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omer\Downloads\"/>
    </mc:Choice>
  </mc:AlternateContent>
  <xr:revisionPtr revIDLastSave="0" documentId="8_{7FF62048-AF96-4CFA-A6D6-E214C28164C8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Sequence" sheetId="2" r:id="rId1"/>
    <sheet name="Platemap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I93" i="2" l="1"/>
  <c r="I94" i="2" s="1"/>
  <c r="I95" i="2" s="1"/>
  <c r="I96" i="2" s="1"/>
  <c r="I97" i="2" s="1"/>
  <c r="I98" i="2" s="1"/>
  <c r="I99" i="2" s="1"/>
  <c r="I85" i="2"/>
  <c r="I86" i="2" s="1"/>
  <c r="I87" i="2" s="1"/>
  <c r="I88" i="2" s="1"/>
  <c r="I89" i="2" s="1"/>
  <c r="I90" i="2" s="1"/>
  <c r="I91" i="2" s="1"/>
  <c r="I77" i="2" l="1"/>
  <c r="I78" i="2" s="1"/>
  <c r="I79" i="2" s="1"/>
  <c r="I80" i="2" s="1"/>
  <c r="I81" i="2" s="1"/>
  <c r="I82" i="2" s="1"/>
  <c r="I83" i="2" s="1"/>
  <c r="I69" i="2"/>
  <c r="I70" i="2" s="1"/>
  <c r="I71" i="2" s="1"/>
  <c r="I72" i="2" s="1"/>
  <c r="I73" i="2" s="1"/>
  <c r="I74" i="2" s="1"/>
  <c r="I75" i="2" s="1"/>
  <c r="I61" i="2"/>
  <c r="I62" i="2" s="1"/>
  <c r="I63" i="2" s="1"/>
  <c r="I64" i="2" s="1"/>
  <c r="I65" i="2" s="1"/>
  <c r="I66" i="2" s="1"/>
  <c r="I67" i="2" s="1"/>
  <c r="I53" i="2"/>
  <c r="I54" i="2" s="1"/>
  <c r="I55" i="2" s="1"/>
  <c r="I56" i="2" s="1"/>
  <c r="I57" i="2" s="1"/>
  <c r="I58" i="2" s="1"/>
  <c r="I59" i="2" s="1"/>
  <c r="I45" i="2"/>
  <c r="I46" i="2" s="1"/>
  <c r="I47" i="2" s="1"/>
  <c r="I48" i="2" s="1"/>
  <c r="I49" i="2" s="1"/>
  <c r="I50" i="2" s="1"/>
  <c r="I51" i="2" s="1"/>
  <c r="I37" i="2"/>
  <c r="I38" i="2" s="1"/>
  <c r="I39" i="2" s="1"/>
  <c r="I40" i="2" s="1"/>
  <c r="I41" i="2" s="1"/>
  <c r="I42" i="2" s="1"/>
  <c r="I43" i="2" s="1"/>
  <c r="I29" i="2"/>
  <c r="I30" i="2" s="1"/>
  <c r="I31" i="2" s="1"/>
  <c r="I32" i="2" s="1"/>
  <c r="I33" i="2" s="1"/>
  <c r="I34" i="2" s="1"/>
  <c r="I35" i="2" s="1"/>
  <c r="I21" i="2"/>
  <c r="I22" i="2" s="1"/>
  <c r="I23" i="2" s="1"/>
  <c r="I24" i="2" s="1"/>
  <c r="I25" i="2" s="1"/>
  <c r="I26" i="2" s="1"/>
  <c r="I27" i="2" s="1"/>
  <c r="I13" i="2"/>
  <c r="I14" i="2" s="1"/>
  <c r="I15" i="2" s="1"/>
  <c r="I16" i="2" s="1"/>
  <c r="I17" i="2" s="1"/>
  <c r="I18" i="2" s="1"/>
  <c r="I19" i="2" s="1"/>
  <c r="I5" i="2"/>
  <c r="I6" i="2" s="1"/>
  <c r="I7" i="2" s="1"/>
  <c r="I8" i="2" s="1"/>
  <c r="I9" i="2" s="1"/>
  <c r="I10" i="2" s="1"/>
  <c r="I11" i="2" s="1"/>
  <c r="M15" i="1" l="1"/>
  <c r="M17" i="1"/>
  <c r="M13" i="1"/>
  <c r="M11" i="1"/>
  <c r="M9" i="1"/>
  <c r="M7" i="1"/>
  <c r="M5" i="1"/>
  <c r="M3" i="1"/>
  <c r="L17" i="1"/>
  <c r="L15" i="1"/>
  <c r="L13" i="1"/>
  <c r="L11" i="1"/>
  <c r="L9" i="1"/>
  <c r="L7" i="1"/>
  <c r="L5" i="1"/>
  <c r="L3" i="1"/>
  <c r="K17" i="1"/>
  <c r="K15" i="1"/>
  <c r="K13" i="1"/>
  <c r="K11" i="1"/>
  <c r="K9" i="1"/>
  <c r="K7" i="1"/>
  <c r="K5" i="1"/>
  <c r="K3" i="1"/>
  <c r="J17" i="1"/>
  <c r="J15" i="1"/>
  <c r="J13" i="1"/>
  <c r="J11" i="1"/>
  <c r="J9" i="1"/>
  <c r="J7" i="1"/>
  <c r="J5" i="1"/>
  <c r="J3" i="1"/>
  <c r="I17" i="1"/>
  <c r="I15" i="1"/>
  <c r="I13" i="1"/>
  <c r="I11" i="1"/>
  <c r="I9" i="1"/>
  <c r="I7" i="1"/>
  <c r="I5" i="1"/>
  <c r="I3" i="1"/>
  <c r="H17" i="1"/>
  <c r="H15" i="1"/>
  <c r="H13" i="1"/>
  <c r="H11" i="1"/>
  <c r="H9" i="1"/>
  <c r="H7" i="1"/>
  <c r="H5" i="1"/>
  <c r="H3" i="1"/>
  <c r="G17" i="1"/>
  <c r="G15" i="1"/>
  <c r="G13" i="1"/>
  <c r="G11" i="1"/>
  <c r="G9" i="1"/>
  <c r="G7" i="1"/>
  <c r="G5" i="1"/>
  <c r="G3" i="1"/>
  <c r="F17" i="1"/>
  <c r="F15" i="1"/>
  <c r="F13" i="1"/>
  <c r="F11" i="1"/>
  <c r="F9" i="1"/>
  <c r="F7" i="1"/>
  <c r="F5" i="1"/>
  <c r="F3" i="1"/>
  <c r="E17" i="1"/>
  <c r="E15" i="1"/>
  <c r="E13" i="1"/>
  <c r="E11" i="1"/>
  <c r="E9" i="1"/>
  <c r="E7" i="1"/>
  <c r="E5" i="1"/>
  <c r="E3" i="1"/>
  <c r="D17" i="1"/>
  <c r="D15" i="1"/>
  <c r="D11" i="1"/>
  <c r="D9" i="1"/>
  <c r="D7" i="1"/>
  <c r="D5" i="1"/>
  <c r="D3" i="1"/>
  <c r="C17" i="1"/>
  <c r="C15" i="1"/>
  <c r="C13" i="1"/>
  <c r="C11" i="1"/>
  <c r="C9" i="1"/>
  <c r="C7" i="1"/>
  <c r="C5" i="1"/>
  <c r="C3" i="1"/>
  <c r="B17" i="1"/>
  <c r="B15" i="1"/>
  <c r="B13" i="1"/>
  <c r="B11" i="1"/>
  <c r="B9" i="1"/>
  <c r="B7" i="1"/>
  <c r="B5" i="1"/>
  <c r="B3" i="1" l="1"/>
</calcChain>
</file>

<file path=xl/sharedStrings.xml><?xml version="1.0" encoding="utf-8"?>
<sst xmlns="http://schemas.openxmlformats.org/spreadsheetml/2006/main" count="392" uniqueCount="202">
  <si>
    <t>A</t>
  </si>
  <si>
    <t>B</t>
  </si>
  <si>
    <t>C</t>
  </si>
  <si>
    <t>D</t>
  </si>
  <si>
    <t>E</t>
  </si>
  <si>
    <t>F</t>
  </si>
  <si>
    <t>G</t>
  </si>
  <si>
    <t>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</si>
  <si>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</si>
  <si>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</si>
  <si>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</si>
  <si>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</si>
  <si>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</si>
  <si>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</si>
  <si>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</si>
  <si>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</si>
  <si>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</si>
  <si>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</si>
  <si>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</si>
  <si>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</si>
  <si>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</si>
  <si>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</si>
  <si>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</si>
  <si>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</si>
  <si>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</si>
  <si>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</si>
  <si>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</si>
  <si>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</si>
  <si>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</si>
  <si>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</si>
  <si>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</si>
  <si>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</si>
  <si>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</si>
  <si>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</si>
  <si>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</si>
  <si>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</si>
  <si>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</si>
  <si>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</si>
  <si>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</si>
  <si>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</si>
  <si>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</si>
  <si>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</si>
  <si>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</si>
  <si>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</si>
  <si>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</si>
  <si>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</si>
  <si>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</si>
  <si>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</si>
  <si>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</si>
  <si>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</si>
  <si>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</si>
  <si>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</si>
  <si>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</si>
  <si>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</si>
  <si>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</si>
  <si>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</si>
  <si>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</si>
  <si>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</si>
  <si>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</si>
  <si>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</si>
  <si>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</si>
  <si>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</si>
  <si>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</si>
  <si>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</si>
  <si>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</si>
  <si>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</si>
  <si>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</si>
  <si>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</si>
  <si>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</si>
  <si>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</si>
  <si>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</si>
  <si>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</si>
  <si>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</si>
  <si>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</si>
  <si>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</si>
  <si>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</si>
  <si>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</si>
  <si>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</si>
  <si>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</si>
  <si>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</si>
  <si>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</si>
  <si>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</si>
  <si>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</si>
  <si>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</si>
  <si>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</si>
  <si>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</si>
  <si>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</si>
  <si>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</si>
  <si>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</si>
  <si>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A11</t>
  </si>
  <si>
    <t>A12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</si>
  <si>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</si>
  <si>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</si>
  <si>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</si>
  <si>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</si>
  <si>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</si>
  <si>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</si>
  <si>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</si>
  <si>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</si>
  <si>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</si>
  <si>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</si>
  <si>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</si>
  <si>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</si>
  <si>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</si>
  <si>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Blank</t>
  </si>
  <si>
    <t>Standard</t>
  </si>
  <si>
    <t>Double Blank</t>
  </si>
  <si>
    <t>Unknown</t>
  </si>
  <si>
    <t>I.S.</t>
  </si>
  <si>
    <t>0 STD</t>
  </si>
  <si>
    <t>0.025 STD</t>
  </si>
  <si>
    <t>0.050 STD</t>
  </si>
  <si>
    <t>0.100 STD</t>
  </si>
  <si>
    <t>1.0 STD</t>
  </si>
  <si>
    <t>5.0 STD</t>
  </si>
  <si>
    <t>10.0 STD</t>
  </si>
  <si>
    <t>50.0 STD</t>
  </si>
  <si>
    <t>100.0 STD</t>
  </si>
  <si>
    <t>200.0 STD</t>
  </si>
  <si>
    <t>Solvent blank</t>
  </si>
  <si>
    <t>0.0025 STD</t>
  </si>
  <si>
    <t>0.010 STD</t>
  </si>
  <si>
    <t>0.0050 STD</t>
  </si>
  <si>
    <t>0.250 STD</t>
  </si>
  <si>
    <t>0.500 STD</t>
  </si>
  <si>
    <t>2.5 STD</t>
  </si>
  <si>
    <t>25.0 STD</t>
  </si>
  <si>
    <t>400.0 STD</t>
  </si>
  <si>
    <t>Plasma 1</t>
  </si>
  <si>
    <t>Plasma 2</t>
  </si>
  <si>
    <t>Plasma 3</t>
  </si>
  <si>
    <t>Plasma 4</t>
  </si>
  <si>
    <t>Plasma 5</t>
  </si>
  <si>
    <t>Plasma 6</t>
  </si>
  <si>
    <t>Plasma 7</t>
  </si>
  <si>
    <t>Plasma 8</t>
  </si>
  <si>
    <t>Plasma 9</t>
  </si>
  <si>
    <t>Plasma 10</t>
  </si>
  <si>
    <t>Plasma 11</t>
  </si>
  <si>
    <t>Plasma 12</t>
  </si>
  <si>
    <t>Plasma 13</t>
  </si>
  <si>
    <t>Plasma 14</t>
  </si>
  <si>
    <t>Plasma 15</t>
  </si>
  <si>
    <t>Plasma 16</t>
  </si>
  <si>
    <t>Plasma 17</t>
  </si>
  <si>
    <t>Plasma 18</t>
  </si>
  <si>
    <t>Plasma 19</t>
  </si>
  <si>
    <t>Plasma 20</t>
  </si>
  <si>
    <t>Plasma 21</t>
  </si>
  <si>
    <t>Plasma 22</t>
  </si>
  <si>
    <t>Plasma 23</t>
  </si>
  <si>
    <t>Plasma 24</t>
  </si>
  <si>
    <t>Plasma 25</t>
  </si>
  <si>
    <t>Plasma 26</t>
  </si>
  <si>
    <t>Plasma 27</t>
  </si>
  <si>
    <t>Plasma 28</t>
  </si>
  <si>
    <t>Plasma 29</t>
  </si>
  <si>
    <t>Plasma 30</t>
  </si>
  <si>
    <t>Plasma 31</t>
  </si>
  <si>
    <t>Plasma 32</t>
  </si>
  <si>
    <t>Plasma 33</t>
  </si>
  <si>
    <t>Plasma 34</t>
  </si>
  <si>
    <t>Plasma 35</t>
  </si>
  <si>
    <t>Plasma 36</t>
  </si>
  <si>
    <t>Plasma 37</t>
  </si>
  <si>
    <t>Plasma 38</t>
  </si>
  <si>
    <t>Plasma 39</t>
  </si>
  <si>
    <t>Plasma 40</t>
  </si>
  <si>
    <t>Plasma 41</t>
  </si>
  <si>
    <t>Plasma 42</t>
  </si>
  <si>
    <t>Plasma 43</t>
  </si>
  <si>
    <t>Plasma 44</t>
  </si>
  <si>
    <t>Plasma 45</t>
  </si>
  <si>
    <t>Plasma 46</t>
  </si>
  <si>
    <t>Plasma 47</t>
  </si>
  <si>
    <t>Plasma 48</t>
  </si>
  <si>
    <t>Plasma 49</t>
  </si>
  <si>
    <t>Plasma 50</t>
  </si>
  <si>
    <t>Plasma 51</t>
  </si>
  <si>
    <t>Plasma 52</t>
  </si>
  <si>
    <t>Plasma 53</t>
  </si>
  <si>
    <t>Plasma 54</t>
  </si>
  <si>
    <t>Plasma 55</t>
  </si>
  <si>
    <t>Plasma 56</t>
  </si>
  <si>
    <t>Plasma 57</t>
  </si>
  <si>
    <t>Plasma 58</t>
  </si>
  <si>
    <t>Plasma 59</t>
  </si>
  <si>
    <t>Plasma 60</t>
  </si>
  <si>
    <t>Plasma 61</t>
  </si>
  <si>
    <t>Plasma 62</t>
  </si>
  <si>
    <t>Plasma 63</t>
  </si>
  <si>
    <t>Plasma 64</t>
  </si>
  <si>
    <t>Plasma 65</t>
  </si>
  <si>
    <t>Plasma 66</t>
  </si>
  <si>
    <t>Plasma 67</t>
  </si>
  <si>
    <t>Plasma 68</t>
  </si>
  <si>
    <t>Plasma 69</t>
  </si>
  <si>
    <t>Plasma 70</t>
  </si>
  <si>
    <t>Plasma 71</t>
  </si>
  <si>
    <t>Plasma 72</t>
  </si>
  <si>
    <t>Plasma 73</t>
  </si>
  <si>
    <t xml:space="preserve">QC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</si>
</sst>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" fillId="0" borderId="0" xfId="0" applyFont="1"/>
    <xf numFmtId="0" fontId="0" fillId="0" borderId="0" xfId="0" applyFill="1"/>
    <xf numFmtId="0" fontId="2" fillId="0" borderId="1" xfId="0" applyFont="1" applyFill="1" applyBorder="1" applyAlignment="1">
      <alignment horizontal="center" wrapText="1"/>
    </xf>
    <xf numFmtId="0" fontId="2" fillId="0" borderId="17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 wrapText="1"/>
    </xf>
    <xf numFmtId="0" fontId="1" fillId="4" borderId="18" xfId="0" applyFont="1" applyFill="1" applyBorder="1" applyAlignment="1">
      <alignment horizontal="left" vertical="top" wrapText="1"/>
    </xf>
    <xf numFmtId="0" fontId="2" fillId="4" borderId="21" xfId="0" applyFont="1" applyFill="1" applyBorder="1" applyAlignment="1">
      <alignment horizontal="center" wrapText="1"/>
    </xf>
    <xf numFmtId="0" fontId="0" fillId="0" borderId="23" xfId="0" applyBorder="1"/>
    <xf numFmtId="0" fontId="2" fillId="0" borderId="23" xfId="0" applyFont="1" applyBorder="1"/>
    <xf numFmtId="0" fontId="0" fillId="0" borderId="23" xfId="0" applyFill="1" applyBorder="1"/>
    <xf numFmtId="0" fontId="1" fillId="5" borderId="2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wrapText="1"/>
    </xf>
    <xf numFmtId="0" fontId="1" fillId="6" borderId="18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center" wrapText="1"/>
    </xf>
    <xf numFmtId="0" fontId="1" fillId="0" borderId="18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99"/>
  <sheetViews>
    <sheetView tabSelected="1" workbookViewId="0">
      <selection activeCell="E100" sqref="E100"/>
    </sheetView>
  </sheetViews>
  <sheetFormatPr defaultRowHeight="13.2" x14ac:dyDescent="0.25"/>
  <cols>
    <col min="3" max="3" width="18.88671875" bestFit="1" customWidth="1"/>
    <col min="5" max="5" width="13.44140625" bestFit="1" customWidth="1"/>
    <col min="15" max="15" width="18.5546875" bestFit="1" customWidth="1"/>
  </cols>
  <sheetData>
    <row r="3" spans="1:9" x14ac:dyDescent="0.25">
      <c r="F3" s="24" t="s">
        <v>108</v>
      </c>
    </row>
    <row r="4" spans="1:9" x14ac:dyDescent="0.25">
      <c r="A4" s="37">
        <v>1</v>
      </c>
      <c r="B4" s="37" t="s">
        <v>8</v>
      </c>
      <c r="C4" s="37" t="s">
        <v>106</v>
      </c>
      <c r="D4" s="37"/>
      <c r="E4" s="38" t="s">
        <v>106</v>
      </c>
      <c r="F4" s="37"/>
      <c r="I4">
        <v>1</v>
      </c>
    </row>
    <row r="5" spans="1:9" x14ac:dyDescent="0.25">
      <c r="A5" s="37">
        <v>2</v>
      </c>
      <c r="B5" s="37" t="s">
        <v>18</v>
      </c>
      <c r="C5" s="38" t="s">
        <v>109</v>
      </c>
      <c r="D5" s="37">
        <v>0</v>
      </c>
      <c r="E5" s="38" t="s">
        <v>104</v>
      </c>
      <c r="F5" s="37">
        <v>1</v>
      </c>
      <c r="I5">
        <f>I4+12</f>
        <v>13</v>
      </c>
    </row>
    <row r="6" spans="1:9" x14ac:dyDescent="0.25">
      <c r="A6" s="37">
        <v>3</v>
      </c>
      <c r="B6" s="37" t="s">
        <v>29</v>
      </c>
      <c r="C6" s="38" t="s">
        <v>120</v>
      </c>
      <c r="D6" s="37">
        <v>2.5000000000000001E-3</v>
      </c>
      <c r="E6" s="37" t="s">
        <v>105</v>
      </c>
      <c r="F6" s="37">
        <v>1</v>
      </c>
      <c r="I6">
        <f t="shared" ref="I6:I11" si="0">I5+12</f>
        <v>25</v>
      </c>
    </row>
    <row r="7" spans="1:9" x14ac:dyDescent="0.25">
      <c r="A7" s="37">
        <v>4</v>
      </c>
      <c r="B7" s="37" t="s">
        <v>38</v>
      </c>
      <c r="C7" s="38" t="s">
        <v>122</v>
      </c>
      <c r="D7" s="37">
        <v>5.0000000000000001E-3</v>
      </c>
      <c r="E7" s="37" t="s">
        <v>105</v>
      </c>
      <c r="F7" s="37">
        <v>1</v>
      </c>
      <c r="I7">
        <f t="shared" si="0"/>
        <v>37</v>
      </c>
    </row>
    <row r="8" spans="1:9" x14ac:dyDescent="0.25">
      <c r="A8" s="37">
        <v>5</v>
      </c>
      <c r="B8" s="37" t="s">
        <v>47</v>
      </c>
      <c r="C8" s="38" t="s">
        <v>121</v>
      </c>
      <c r="D8" s="37">
        <v>0.01</v>
      </c>
      <c r="E8" s="37" t="s">
        <v>105</v>
      </c>
      <c r="F8" s="37">
        <v>1</v>
      </c>
      <c r="I8">
        <f t="shared" si="0"/>
        <v>49</v>
      </c>
    </row>
    <row r="9" spans="1:9" x14ac:dyDescent="0.25">
      <c r="A9" s="37">
        <v>6</v>
      </c>
      <c r="B9" s="37" t="s">
        <v>56</v>
      </c>
      <c r="C9" s="38" t="s">
        <v>110</v>
      </c>
      <c r="D9" s="37">
        <v>2.5000000000000001E-2</v>
      </c>
      <c r="E9" s="37" t="s">
        <v>105</v>
      </c>
      <c r="F9" s="37">
        <v>1</v>
      </c>
      <c r="I9">
        <f t="shared" si="0"/>
        <v>61</v>
      </c>
    </row>
    <row r="10" spans="1:9" x14ac:dyDescent="0.25">
      <c r="A10" s="37">
        <v>7</v>
      </c>
      <c r="B10" s="37" t="s">
        <v>65</v>
      </c>
      <c r="C10" s="38" t="s">
        <v>111</v>
      </c>
      <c r="D10" s="37">
        <v>0.05</v>
      </c>
      <c r="E10" s="37" t="s">
        <v>105</v>
      </c>
      <c r="F10" s="37">
        <v>1</v>
      </c>
      <c r="I10">
        <f t="shared" si="0"/>
        <v>73</v>
      </c>
    </row>
    <row r="11" spans="1:9" x14ac:dyDescent="0.25">
      <c r="A11" s="37">
        <v>8</v>
      </c>
      <c r="B11" s="37" t="s">
        <v>77</v>
      </c>
      <c r="C11" s="38" t="s">
        <v>112</v>
      </c>
      <c r="D11" s="37">
        <v>0.1</v>
      </c>
      <c r="E11" s="37" t="s">
        <v>105</v>
      </c>
      <c r="F11" s="37">
        <v>1</v>
      </c>
      <c r="I11">
        <f t="shared" si="0"/>
        <v>85</v>
      </c>
    </row>
    <row r="12" spans="1:9" x14ac:dyDescent="0.25">
      <c r="A12" s="37">
        <v>9</v>
      </c>
      <c r="B12" s="37" t="s">
        <v>9</v>
      </c>
      <c r="C12" s="38" t="s">
        <v>123</v>
      </c>
      <c r="D12" s="37">
        <v>0.25</v>
      </c>
      <c r="E12" s="37" t="s">
        <v>105</v>
      </c>
      <c r="F12" s="37">
        <v>1</v>
      </c>
      <c r="I12">
        <v>2</v>
      </c>
    </row>
    <row r="13" spans="1:9" x14ac:dyDescent="0.25">
      <c r="A13" s="37">
        <v>10</v>
      </c>
      <c r="B13" s="37" t="s">
        <v>19</v>
      </c>
      <c r="C13" s="38" t="s">
        <v>124</v>
      </c>
      <c r="D13" s="37">
        <v>0.5</v>
      </c>
      <c r="E13" s="37" t="s">
        <v>105</v>
      </c>
      <c r="F13" s="37">
        <v>1</v>
      </c>
      <c r="I13">
        <f>I12+12</f>
        <v>14</v>
      </c>
    </row>
    <row r="14" spans="1:9" x14ac:dyDescent="0.25">
      <c r="A14" s="37">
        <v>11</v>
      </c>
      <c r="B14" s="37" t="s">
        <v>30</v>
      </c>
      <c r="C14" s="38" t="s">
        <v>113</v>
      </c>
      <c r="D14" s="37">
        <v>1</v>
      </c>
      <c r="E14" s="37" t="s">
        <v>105</v>
      </c>
      <c r="F14" s="37">
        <v>1</v>
      </c>
      <c r="I14">
        <f t="shared" ref="I14:I19" si="1">I13+12</f>
        <v>26</v>
      </c>
    </row>
    <row r="15" spans="1:9" x14ac:dyDescent="0.25">
      <c r="A15" s="37">
        <v>12</v>
      </c>
      <c r="B15" s="37" t="s">
        <v>39</v>
      </c>
      <c r="C15" s="38" t="s">
        <v>125</v>
      </c>
      <c r="D15" s="37">
        <v>2.5</v>
      </c>
      <c r="E15" s="37" t="s">
        <v>105</v>
      </c>
      <c r="F15" s="37">
        <v>1</v>
      </c>
      <c r="I15">
        <f t="shared" si="1"/>
        <v>38</v>
      </c>
    </row>
    <row r="16" spans="1:9" x14ac:dyDescent="0.25">
      <c r="A16" s="37">
        <v>13</v>
      </c>
      <c r="B16" s="37" t="s">
        <v>48</v>
      </c>
      <c r="C16" s="38" t="s">
        <v>114</v>
      </c>
      <c r="D16" s="37">
        <v>5</v>
      </c>
      <c r="E16" s="37" t="s">
        <v>105</v>
      </c>
      <c r="F16" s="37">
        <v>1</v>
      </c>
      <c r="I16">
        <f t="shared" si="1"/>
        <v>50</v>
      </c>
    </row>
    <row r="17" spans="1:9" x14ac:dyDescent="0.25">
      <c r="A17" s="37">
        <v>14</v>
      </c>
      <c r="B17" s="37" t="s">
        <v>57</v>
      </c>
      <c r="C17" s="38" t="s">
        <v>115</v>
      </c>
      <c r="D17" s="37">
        <v>10</v>
      </c>
      <c r="E17" s="37" t="s">
        <v>105</v>
      </c>
      <c r="F17" s="37">
        <v>1</v>
      </c>
      <c r="I17">
        <f t="shared" si="1"/>
        <v>62</v>
      </c>
    </row>
    <row r="18" spans="1:9" x14ac:dyDescent="0.25">
      <c r="A18" s="37">
        <v>15</v>
      </c>
      <c r="B18" s="37" t="s">
        <v>66</v>
      </c>
      <c r="C18" s="38" t="s">
        <v>126</v>
      </c>
      <c r="D18" s="37">
        <v>25</v>
      </c>
      <c r="E18" s="37" t="s">
        <v>105</v>
      </c>
      <c r="F18" s="37">
        <v>1</v>
      </c>
      <c r="I18">
        <f t="shared" si="1"/>
        <v>74</v>
      </c>
    </row>
    <row r="19" spans="1:9" x14ac:dyDescent="0.25">
      <c r="A19" s="37">
        <v>16</v>
      </c>
      <c r="B19" s="37" t="s">
        <v>78</v>
      </c>
      <c r="C19" s="38" t="s">
        <v>116</v>
      </c>
      <c r="D19" s="37">
        <v>50</v>
      </c>
      <c r="E19" s="37" t="s">
        <v>105</v>
      </c>
      <c r="F19" s="37">
        <v>1</v>
      </c>
      <c r="I19">
        <f t="shared" si="1"/>
        <v>86</v>
      </c>
    </row>
    <row r="20" spans="1:9" x14ac:dyDescent="0.25">
      <c r="A20" s="37">
        <v>17</v>
      </c>
      <c r="B20" s="37" t="s">
        <v>10</v>
      </c>
      <c r="C20" s="38" t="s">
        <v>117</v>
      </c>
      <c r="D20" s="37">
        <v>100</v>
      </c>
      <c r="E20" s="37" t="s">
        <v>105</v>
      </c>
      <c r="F20" s="37">
        <v>1</v>
      </c>
      <c r="I20">
        <v>3</v>
      </c>
    </row>
    <row r="21" spans="1:9" x14ac:dyDescent="0.25">
      <c r="A21" s="37">
        <v>18</v>
      </c>
      <c r="B21" s="37" t="s">
        <v>20</v>
      </c>
      <c r="C21" s="37" t="s">
        <v>118</v>
      </c>
      <c r="D21" s="37">
        <v>200</v>
      </c>
      <c r="E21" s="37" t="s">
        <v>105</v>
      </c>
      <c r="F21" s="37">
        <v>1</v>
      </c>
      <c r="I21">
        <f>I20+12</f>
        <v>15</v>
      </c>
    </row>
    <row r="22" spans="1:9" x14ac:dyDescent="0.25">
      <c r="A22" s="37">
        <v>19</v>
      </c>
      <c r="B22" s="37" t="s">
        <v>31</v>
      </c>
      <c r="C22" s="37" t="s">
        <v>127</v>
      </c>
      <c r="D22" s="37">
        <v>400</v>
      </c>
      <c r="E22" s="37" t="s">
        <v>105</v>
      </c>
      <c r="F22" s="37">
        <v>1</v>
      </c>
      <c r="I22">
        <f t="shared" ref="I22:I27" si="2">I21+12</f>
        <v>27</v>
      </c>
    </row>
    <row r="23" spans="1:9" x14ac:dyDescent="0.25">
      <c r="A23" s="37">
        <v>20</v>
      </c>
      <c r="B23" s="37" t="s">
        <v>40</v>
      </c>
      <c r="C23" s="37" t="s">
        <v>106</v>
      </c>
      <c r="D23" s="37"/>
      <c r="E23" s="38" t="s">
        <v>106</v>
      </c>
      <c r="F23" s="37"/>
      <c r="I23">
        <f t="shared" si="2"/>
        <v>39</v>
      </c>
    </row>
    <row r="24" spans="1:9" x14ac:dyDescent="0.25">
      <c r="A24" s="37">
        <v>21</v>
      </c>
      <c r="B24" s="37" t="s">
        <v>49</v>
      </c>
      <c r="C24" s="37" t="s">
        <v>201</v>
      </c>
      <c r="D24" s="37"/>
      <c r="E24" s="38" t="s">
        <v>107</v>
      </c>
      <c r="F24" s="37">
        <v>1</v>
      </c>
      <c r="I24">
        <f t="shared" si="2"/>
        <v>51</v>
      </c>
    </row>
    <row r="25" spans="1:9" x14ac:dyDescent="0.25">
      <c r="A25" s="37">
        <v>22</v>
      </c>
      <c r="B25" s="37" t="s">
        <v>58</v>
      </c>
      <c r="C25" s="38" t="s">
        <v>128</v>
      </c>
      <c r="D25" s="37"/>
      <c r="E25" s="38" t="s">
        <v>107</v>
      </c>
      <c r="F25" s="37">
        <v>1</v>
      </c>
      <c r="I25">
        <f t="shared" si="2"/>
        <v>63</v>
      </c>
    </row>
    <row r="26" spans="1:9" x14ac:dyDescent="0.25">
      <c r="A26" s="37">
        <v>23</v>
      </c>
      <c r="B26" s="37" t="s">
        <v>67</v>
      </c>
      <c r="C26" s="38" t="s">
        <v>129</v>
      </c>
      <c r="D26" s="37"/>
      <c r="E26" s="38" t="s">
        <v>107</v>
      </c>
      <c r="F26" s="37">
        <v>1</v>
      </c>
      <c r="I26">
        <f t="shared" si="2"/>
        <v>75</v>
      </c>
    </row>
    <row r="27" spans="1:9" x14ac:dyDescent="0.25">
      <c r="A27" s="37">
        <v>24</v>
      </c>
      <c r="B27" s="37" t="s">
        <v>79</v>
      </c>
      <c r="C27" s="38" t="s">
        <v>130</v>
      </c>
      <c r="D27" s="37"/>
      <c r="E27" s="38" t="s">
        <v>107</v>
      </c>
      <c r="F27" s="37">
        <v>1</v>
      </c>
      <c r="I27">
        <f t="shared" si="2"/>
        <v>87</v>
      </c>
    </row>
    <row r="28" spans="1:9" x14ac:dyDescent="0.25">
      <c r="A28" s="37">
        <v>25</v>
      </c>
      <c r="B28" s="37" t="s">
        <v>11</v>
      </c>
      <c r="C28" s="38" t="s">
        <v>131</v>
      </c>
      <c r="D28" s="37"/>
      <c r="E28" s="38" t="s">
        <v>107</v>
      </c>
      <c r="F28" s="37">
        <v>1</v>
      </c>
      <c r="I28">
        <v>4</v>
      </c>
    </row>
    <row r="29" spans="1:9" x14ac:dyDescent="0.25">
      <c r="A29" s="37">
        <v>26</v>
      </c>
      <c r="B29" s="37" t="s">
        <v>21</v>
      </c>
      <c r="C29" s="38" t="s">
        <v>132</v>
      </c>
      <c r="D29" s="37"/>
      <c r="E29" s="38" t="s">
        <v>107</v>
      </c>
      <c r="F29" s="37">
        <v>1</v>
      </c>
      <c r="I29">
        <f>I28+12</f>
        <v>16</v>
      </c>
    </row>
    <row r="30" spans="1:9" x14ac:dyDescent="0.25">
      <c r="A30" s="37">
        <v>27</v>
      </c>
      <c r="B30" s="37" t="s">
        <v>32</v>
      </c>
      <c r="C30" s="38" t="s">
        <v>133</v>
      </c>
      <c r="D30" s="37"/>
      <c r="E30" s="38" t="s">
        <v>107</v>
      </c>
      <c r="F30" s="37">
        <v>1</v>
      </c>
      <c r="I30">
        <f t="shared" ref="I30:I35" si="3">I29+12</f>
        <v>28</v>
      </c>
    </row>
    <row r="31" spans="1:9" x14ac:dyDescent="0.25">
      <c r="A31" s="37">
        <v>28</v>
      </c>
      <c r="B31" s="37" t="s">
        <v>41</v>
      </c>
      <c r="C31" s="38" t="s">
        <v>134</v>
      </c>
      <c r="D31" s="37"/>
      <c r="E31" s="38" t="s">
        <v>107</v>
      </c>
      <c r="F31" s="37">
        <v>1</v>
      </c>
      <c r="I31">
        <f t="shared" si="3"/>
        <v>40</v>
      </c>
    </row>
    <row r="32" spans="1:9" x14ac:dyDescent="0.25">
      <c r="A32" s="37">
        <v>29</v>
      </c>
      <c r="B32" s="37" t="s">
        <v>50</v>
      </c>
      <c r="C32" s="38" t="s">
        <v>135</v>
      </c>
      <c r="D32" s="37"/>
      <c r="E32" s="38" t="s">
        <v>107</v>
      </c>
      <c r="F32" s="37">
        <v>1</v>
      </c>
      <c r="I32">
        <f t="shared" si="3"/>
        <v>52</v>
      </c>
    </row>
    <row r="33" spans="1:9" x14ac:dyDescent="0.25">
      <c r="A33" s="37">
        <v>30</v>
      </c>
      <c r="B33" s="37" t="s">
        <v>59</v>
      </c>
      <c r="C33" s="38" t="s">
        <v>136</v>
      </c>
      <c r="D33" s="37"/>
      <c r="E33" s="38" t="s">
        <v>107</v>
      </c>
      <c r="F33" s="37">
        <v>1</v>
      </c>
      <c r="I33">
        <f t="shared" si="3"/>
        <v>64</v>
      </c>
    </row>
    <row r="34" spans="1:9" x14ac:dyDescent="0.25">
      <c r="A34" s="37">
        <v>31</v>
      </c>
      <c r="B34" s="37" t="s">
        <v>68</v>
      </c>
      <c r="C34" s="38" t="s">
        <v>137</v>
      </c>
      <c r="D34" s="37"/>
      <c r="E34" s="38" t="s">
        <v>107</v>
      </c>
      <c r="F34" s="37">
        <v>1</v>
      </c>
      <c r="I34">
        <f t="shared" si="3"/>
        <v>76</v>
      </c>
    </row>
    <row r="35" spans="1:9" x14ac:dyDescent="0.25">
      <c r="A35" s="37">
        <v>32</v>
      </c>
      <c r="B35" s="37" t="s">
        <v>80</v>
      </c>
      <c r="C35" s="38" t="s">
        <v>138</v>
      </c>
      <c r="D35" s="37"/>
      <c r="E35" s="38" t="s">
        <v>107</v>
      </c>
      <c r="F35" s="37">
        <v>1</v>
      </c>
      <c r="G35" s="21"/>
      <c r="H35" s="20"/>
      <c r="I35">
        <f t="shared" si="3"/>
        <v>88</v>
      </c>
    </row>
    <row r="36" spans="1:9" x14ac:dyDescent="0.25">
      <c r="A36" s="37">
        <v>33</v>
      </c>
      <c r="B36" s="37" t="s">
        <v>12</v>
      </c>
      <c r="C36" s="38" t="s">
        <v>139</v>
      </c>
      <c r="D36" s="37"/>
      <c r="E36" s="38" t="s">
        <v>107</v>
      </c>
      <c r="F36" s="37">
        <v>1</v>
      </c>
      <c r="G36" s="21"/>
      <c r="I36">
        <v>5</v>
      </c>
    </row>
    <row r="37" spans="1:9" x14ac:dyDescent="0.25">
      <c r="A37" s="37">
        <v>34</v>
      </c>
      <c r="B37" s="37" t="s">
        <v>22</v>
      </c>
      <c r="C37" s="38" t="s">
        <v>140</v>
      </c>
      <c r="D37" s="37"/>
      <c r="E37" s="38" t="s">
        <v>107</v>
      </c>
      <c r="F37" s="37">
        <v>1</v>
      </c>
      <c r="G37" s="21"/>
      <c r="H37" s="20"/>
      <c r="I37">
        <f>I36+12</f>
        <v>17</v>
      </c>
    </row>
    <row r="38" spans="1:9" x14ac:dyDescent="0.25">
      <c r="A38" s="37">
        <v>35</v>
      </c>
      <c r="B38" s="37" t="s">
        <v>33</v>
      </c>
      <c r="C38" s="38" t="s">
        <v>141</v>
      </c>
      <c r="D38" s="37"/>
      <c r="E38" s="38" t="s">
        <v>107</v>
      </c>
      <c r="F38" s="37">
        <v>1</v>
      </c>
      <c r="G38" s="21"/>
      <c r="I38">
        <f t="shared" ref="I38:I43" si="4">I37+12</f>
        <v>29</v>
      </c>
    </row>
    <row r="39" spans="1:9" x14ac:dyDescent="0.25">
      <c r="A39" s="37">
        <v>36</v>
      </c>
      <c r="B39" s="37" t="s">
        <v>42</v>
      </c>
      <c r="C39" s="38" t="s">
        <v>142</v>
      </c>
      <c r="D39" s="37"/>
      <c r="E39" s="38" t="s">
        <v>107</v>
      </c>
      <c r="F39" s="37">
        <v>1</v>
      </c>
      <c r="G39" s="21"/>
      <c r="I39">
        <f t="shared" si="4"/>
        <v>41</v>
      </c>
    </row>
    <row r="40" spans="1:9" x14ac:dyDescent="0.25">
      <c r="A40" s="37">
        <v>37</v>
      </c>
      <c r="B40" s="37" t="s">
        <v>51</v>
      </c>
      <c r="C40" s="38" t="s">
        <v>143</v>
      </c>
      <c r="D40" s="37"/>
      <c r="E40" s="38" t="s">
        <v>107</v>
      </c>
      <c r="F40" s="37">
        <v>1</v>
      </c>
      <c r="G40" s="21"/>
      <c r="I40">
        <f t="shared" si="4"/>
        <v>53</v>
      </c>
    </row>
    <row r="41" spans="1:9" x14ac:dyDescent="0.25">
      <c r="A41" s="37">
        <v>38</v>
      </c>
      <c r="B41" s="37" t="s">
        <v>60</v>
      </c>
      <c r="C41" s="38" t="s">
        <v>144</v>
      </c>
      <c r="D41" s="37"/>
      <c r="E41" s="38" t="s">
        <v>107</v>
      </c>
      <c r="F41" s="37">
        <v>1</v>
      </c>
      <c r="G41" s="21"/>
      <c r="I41">
        <f t="shared" si="4"/>
        <v>65</v>
      </c>
    </row>
    <row r="42" spans="1:9" x14ac:dyDescent="0.25">
      <c r="A42" s="37">
        <v>39</v>
      </c>
      <c r="B42" s="37" t="s">
        <v>69</v>
      </c>
      <c r="C42" s="38" t="s">
        <v>145</v>
      </c>
      <c r="D42" s="37"/>
      <c r="E42" s="38" t="s">
        <v>107</v>
      </c>
      <c r="F42" s="37">
        <v>1</v>
      </c>
      <c r="G42" s="21"/>
      <c r="I42">
        <f t="shared" si="4"/>
        <v>77</v>
      </c>
    </row>
    <row r="43" spans="1:9" x14ac:dyDescent="0.25">
      <c r="A43" s="37">
        <v>40</v>
      </c>
      <c r="B43" s="37" t="s">
        <v>81</v>
      </c>
      <c r="C43" s="38" t="s">
        <v>146</v>
      </c>
      <c r="D43" s="37"/>
      <c r="E43" s="38" t="s">
        <v>107</v>
      </c>
      <c r="F43" s="37">
        <v>1</v>
      </c>
      <c r="G43" s="21"/>
      <c r="I43">
        <f t="shared" si="4"/>
        <v>89</v>
      </c>
    </row>
    <row r="44" spans="1:9" x14ac:dyDescent="0.25">
      <c r="A44" s="37">
        <v>41</v>
      </c>
      <c r="B44" s="37" t="s">
        <v>13</v>
      </c>
      <c r="C44" s="38" t="s">
        <v>147</v>
      </c>
      <c r="D44" s="37"/>
      <c r="E44" s="38" t="s">
        <v>107</v>
      </c>
      <c r="F44" s="37">
        <v>1</v>
      </c>
      <c r="G44" s="21"/>
      <c r="I44">
        <v>6</v>
      </c>
    </row>
    <row r="45" spans="1:9" x14ac:dyDescent="0.25">
      <c r="A45" s="37">
        <v>42</v>
      </c>
      <c r="B45" s="37" t="s">
        <v>23</v>
      </c>
      <c r="C45" s="38" t="s">
        <v>148</v>
      </c>
      <c r="D45" s="37"/>
      <c r="E45" s="38" t="s">
        <v>107</v>
      </c>
      <c r="F45" s="37">
        <v>1</v>
      </c>
      <c r="G45" s="21"/>
      <c r="I45">
        <f>I44+12</f>
        <v>18</v>
      </c>
    </row>
    <row r="46" spans="1:9" x14ac:dyDescent="0.25">
      <c r="A46" s="37">
        <v>43</v>
      </c>
      <c r="B46" s="37" t="s">
        <v>34</v>
      </c>
      <c r="C46" s="38" t="s">
        <v>149</v>
      </c>
      <c r="D46" s="37"/>
      <c r="E46" s="38" t="s">
        <v>107</v>
      </c>
      <c r="F46" s="37">
        <v>1</v>
      </c>
      <c r="G46" s="21"/>
      <c r="I46">
        <f t="shared" ref="I46:I51" si="5">I45+12</f>
        <v>30</v>
      </c>
    </row>
    <row r="47" spans="1:9" x14ac:dyDescent="0.25">
      <c r="A47" s="37">
        <v>44</v>
      </c>
      <c r="B47" s="37" t="s">
        <v>43</v>
      </c>
      <c r="C47" s="38" t="s">
        <v>150</v>
      </c>
      <c r="D47" s="37"/>
      <c r="E47" s="38" t="s">
        <v>107</v>
      </c>
      <c r="F47" s="37">
        <v>1</v>
      </c>
      <c r="I47">
        <f t="shared" si="5"/>
        <v>42</v>
      </c>
    </row>
    <row r="48" spans="1:9" x14ac:dyDescent="0.25">
      <c r="A48" s="37">
        <v>45</v>
      </c>
      <c r="B48" s="37" t="s">
        <v>52</v>
      </c>
      <c r="C48" s="38" t="s">
        <v>151</v>
      </c>
      <c r="D48" s="37"/>
      <c r="E48" s="38" t="s">
        <v>107</v>
      </c>
      <c r="F48" s="37">
        <v>1</v>
      </c>
      <c r="I48">
        <f t="shared" si="5"/>
        <v>54</v>
      </c>
    </row>
    <row r="49" spans="1:9" x14ac:dyDescent="0.25">
      <c r="A49" s="37">
        <v>46</v>
      </c>
      <c r="B49" s="37" t="s">
        <v>61</v>
      </c>
      <c r="C49" s="38" t="s">
        <v>152</v>
      </c>
      <c r="D49" s="37"/>
      <c r="E49" s="38" t="s">
        <v>107</v>
      </c>
      <c r="F49" s="37">
        <v>1</v>
      </c>
      <c r="I49">
        <f t="shared" si="5"/>
        <v>66</v>
      </c>
    </row>
    <row r="50" spans="1:9" x14ac:dyDescent="0.25">
      <c r="A50" s="37">
        <v>47</v>
      </c>
      <c r="B50" s="37" t="s">
        <v>70</v>
      </c>
      <c r="C50" s="38" t="s">
        <v>153</v>
      </c>
      <c r="D50" s="37"/>
      <c r="E50" s="38" t="s">
        <v>107</v>
      </c>
      <c r="F50" s="37">
        <v>1</v>
      </c>
      <c r="I50">
        <f t="shared" si="5"/>
        <v>78</v>
      </c>
    </row>
    <row r="51" spans="1:9" x14ac:dyDescent="0.25">
      <c r="A51" s="37">
        <v>48</v>
      </c>
      <c r="B51" s="37" t="s">
        <v>82</v>
      </c>
      <c r="C51" s="38" t="s">
        <v>154</v>
      </c>
      <c r="D51" s="37"/>
      <c r="E51" s="38" t="s">
        <v>107</v>
      </c>
      <c r="F51" s="37">
        <v>1</v>
      </c>
      <c r="I51">
        <f t="shared" si="5"/>
        <v>90</v>
      </c>
    </row>
    <row r="52" spans="1:9" x14ac:dyDescent="0.25">
      <c r="A52" s="37">
        <v>49</v>
      </c>
      <c r="B52" s="37" t="s">
        <v>14</v>
      </c>
      <c r="C52" s="38" t="s">
        <v>155</v>
      </c>
      <c r="D52" s="37"/>
      <c r="E52" s="38" t="s">
        <v>107</v>
      </c>
      <c r="F52" s="37">
        <v>1</v>
      </c>
      <c r="I52">
        <v>7</v>
      </c>
    </row>
    <row r="53" spans="1:9" x14ac:dyDescent="0.25">
      <c r="A53" s="37">
        <v>50</v>
      </c>
      <c r="B53" s="37" t="s">
        <v>24</v>
      </c>
      <c r="C53" s="38" t="s">
        <v>156</v>
      </c>
      <c r="D53" s="37"/>
      <c r="E53" s="38" t="s">
        <v>107</v>
      </c>
      <c r="F53" s="37">
        <v>1</v>
      </c>
      <c r="I53">
        <f>I52+12</f>
        <v>19</v>
      </c>
    </row>
    <row r="54" spans="1:9" x14ac:dyDescent="0.25">
      <c r="A54" s="37">
        <v>51</v>
      </c>
      <c r="B54" s="37" t="s">
        <v>35</v>
      </c>
      <c r="C54" s="38" t="s">
        <v>157</v>
      </c>
      <c r="D54" s="39"/>
      <c r="E54" s="38" t="s">
        <v>107</v>
      </c>
      <c r="F54" s="37">
        <v>1</v>
      </c>
      <c r="I54">
        <f t="shared" ref="I54:I59" si="6">I53+12</f>
        <v>31</v>
      </c>
    </row>
    <row r="55" spans="1:9" x14ac:dyDescent="0.25">
      <c r="A55" s="37">
        <v>52</v>
      </c>
      <c r="B55" s="37" t="s">
        <v>44</v>
      </c>
      <c r="C55" s="38" t="s">
        <v>158</v>
      </c>
      <c r="D55" s="37"/>
      <c r="E55" s="38" t="s">
        <v>107</v>
      </c>
      <c r="F55" s="37">
        <v>1</v>
      </c>
      <c r="I55">
        <f t="shared" si="6"/>
        <v>43</v>
      </c>
    </row>
    <row r="56" spans="1:9" x14ac:dyDescent="0.25">
      <c r="A56" s="37">
        <v>53</v>
      </c>
      <c r="B56" s="37" t="s">
        <v>53</v>
      </c>
      <c r="C56" s="38" t="s">
        <v>159</v>
      </c>
      <c r="D56" s="37"/>
      <c r="E56" s="38" t="s">
        <v>107</v>
      </c>
      <c r="F56" s="37">
        <v>1</v>
      </c>
      <c r="I56">
        <f t="shared" si="6"/>
        <v>55</v>
      </c>
    </row>
    <row r="57" spans="1:9" x14ac:dyDescent="0.25">
      <c r="A57" s="37">
        <v>54</v>
      </c>
      <c r="B57" s="37" t="s">
        <v>62</v>
      </c>
      <c r="C57" s="38" t="s">
        <v>160</v>
      </c>
      <c r="D57" s="39"/>
      <c r="E57" s="38" t="s">
        <v>107</v>
      </c>
      <c r="F57" s="37">
        <v>1</v>
      </c>
      <c r="I57">
        <f t="shared" si="6"/>
        <v>67</v>
      </c>
    </row>
    <row r="58" spans="1:9" x14ac:dyDescent="0.25">
      <c r="A58" s="37">
        <v>55</v>
      </c>
      <c r="B58" s="37" t="s">
        <v>71</v>
      </c>
      <c r="C58" s="38" t="s">
        <v>161</v>
      </c>
      <c r="D58" s="37"/>
      <c r="E58" s="38" t="s">
        <v>107</v>
      </c>
      <c r="F58" s="37">
        <v>1</v>
      </c>
      <c r="I58">
        <f t="shared" si="6"/>
        <v>79</v>
      </c>
    </row>
    <row r="59" spans="1:9" x14ac:dyDescent="0.25">
      <c r="A59" s="37">
        <v>56</v>
      </c>
      <c r="B59" s="37" t="s">
        <v>83</v>
      </c>
      <c r="C59" s="38" t="s">
        <v>162</v>
      </c>
      <c r="D59" s="37"/>
      <c r="E59" s="38" t="s">
        <v>107</v>
      </c>
      <c r="F59" s="37">
        <v>1</v>
      </c>
      <c r="I59">
        <f t="shared" si="6"/>
        <v>91</v>
      </c>
    </row>
    <row r="60" spans="1:9" x14ac:dyDescent="0.25">
      <c r="A60" s="37">
        <v>57</v>
      </c>
      <c r="B60" s="37" t="s">
        <v>15</v>
      </c>
      <c r="C60" s="38" t="s">
        <v>163</v>
      </c>
      <c r="D60" s="37"/>
      <c r="E60" s="38" t="s">
        <v>107</v>
      </c>
      <c r="F60" s="37">
        <v>1</v>
      </c>
      <c r="I60">
        <v>8</v>
      </c>
    </row>
    <row r="61" spans="1:9" x14ac:dyDescent="0.25">
      <c r="A61" s="37">
        <v>58</v>
      </c>
      <c r="B61" s="37" t="s">
        <v>25</v>
      </c>
      <c r="C61" s="38" t="s">
        <v>164</v>
      </c>
      <c r="D61" s="37"/>
      <c r="E61" s="38" t="s">
        <v>107</v>
      </c>
      <c r="F61" s="37">
        <v>1</v>
      </c>
      <c r="I61">
        <f>I60+12</f>
        <v>20</v>
      </c>
    </row>
    <row r="62" spans="1:9" x14ac:dyDescent="0.25">
      <c r="A62" s="37">
        <v>59</v>
      </c>
      <c r="B62" s="37" t="s">
        <v>36</v>
      </c>
      <c r="C62" s="38" t="s">
        <v>165</v>
      </c>
      <c r="D62" s="37"/>
      <c r="E62" s="38" t="s">
        <v>107</v>
      </c>
      <c r="F62" s="37">
        <v>1</v>
      </c>
      <c r="I62">
        <f t="shared" ref="I62:I67" si="7">I61+12</f>
        <v>32</v>
      </c>
    </row>
    <row r="63" spans="1:9" x14ac:dyDescent="0.25">
      <c r="A63" s="37">
        <v>60</v>
      </c>
      <c r="B63" s="37" t="s">
        <v>45</v>
      </c>
      <c r="C63" s="38" t="s">
        <v>166</v>
      </c>
      <c r="D63" s="37"/>
      <c r="E63" s="38" t="s">
        <v>107</v>
      </c>
      <c r="F63" s="37">
        <v>1</v>
      </c>
      <c r="I63">
        <f t="shared" si="7"/>
        <v>44</v>
      </c>
    </row>
    <row r="64" spans="1:9" x14ac:dyDescent="0.25">
      <c r="A64" s="37">
        <v>61</v>
      </c>
      <c r="B64" s="37" t="s">
        <v>54</v>
      </c>
      <c r="C64" s="38" t="s">
        <v>167</v>
      </c>
      <c r="D64" s="37"/>
      <c r="E64" s="38" t="s">
        <v>107</v>
      </c>
      <c r="F64" s="37">
        <v>1</v>
      </c>
      <c r="I64">
        <f t="shared" si="7"/>
        <v>56</v>
      </c>
    </row>
    <row r="65" spans="1:9" x14ac:dyDescent="0.25">
      <c r="A65" s="37">
        <v>62</v>
      </c>
      <c r="B65" s="37" t="s">
        <v>63</v>
      </c>
      <c r="C65" s="38" t="s">
        <v>168</v>
      </c>
      <c r="D65" s="37"/>
      <c r="E65" s="38" t="s">
        <v>107</v>
      </c>
      <c r="F65" s="37">
        <v>1</v>
      </c>
      <c r="I65">
        <f t="shared" si="7"/>
        <v>68</v>
      </c>
    </row>
    <row r="66" spans="1:9" x14ac:dyDescent="0.25">
      <c r="A66" s="37">
        <v>63</v>
      </c>
      <c r="B66" s="37" t="s">
        <v>72</v>
      </c>
      <c r="C66" s="38" t="s">
        <v>169</v>
      </c>
      <c r="D66" s="37"/>
      <c r="E66" s="38" t="s">
        <v>107</v>
      </c>
      <c r="F66" s="37">
        <v>1</v>
      </c>
      <c r="I66">
        <f t="shared" si="7"/>
        <v>80</v>
      </c>
    </row>
    <row r="67" spans="1:9" x14ac:dyDescent="0.25">
      <c r="A67" s="37">
        <v>64</v>
      </c>
      <c r="B67" s="37" t="s">
        <v>84</v>
      </c>
      <c r="C67" s="38" t="s">
        <v>170</v>
      </c>
      <c r="D67" s="37"/>
      <c r="E67" s="38" t="s">
        <v>107</v>
      </c>
      <c r="F67" s="37">
        <v>1</v>
      </c>
      <c r="I67">
        <f t="shared" si="7"/>
        <v>92</v>
      </c>
    </row>
    <row r="68" spans="1:9" x14ac:dyDescent="0.25">
      <c r="A68" s="37">
        <v>65</v>
      </c>
      <c r="B68" s="37" t="s">
        <v>16</v>
      </c>
      <c r="C68" s="38" t="s">
        <v>171</v>
      </c>
      <c r="D68" s="37"/>
      <c r="E68" s="38" t="s">
        <v>107</v>
      </c>
      <c r="F68" s="37">
        <v>1</v>
      </c>
      <c r="I68">
        <v>9</v>
      </c>
    </row>
    <row r="69" spans="1:9" x14ac:dyDescent="0.25">
      <c r="A69" s="37">
        <v>66</v>
      </c>
      <c r="B69" s="37" t="s">
        <v>26</v>
      </c>
      <c r="C69" s="38" t="s">
        <v>172</v>
      </c>
      <c r="D69" s="37"/>
      <c r="E69" s="38" t="s">
        <v>107</v>
      </c>
      <c r="F69" s="37">
        <v>1</v>
      </c>
      <c r="I69">
        <f>I68+12</f>
        <v>21</v>
      </c>
    </row>
    <row r="70" spans="1:9" x14ac:dyDescent="0.25">
      <c r="A70" s="37">
        <v>67</v>
      </c>
      <c r="B70" s="37" t="s">
        <v>37</v>
      </c>
      <c r="C70" s="38" t="s">
        <v>173</v>
      </c>
      <c r="D70" s="37"/>
      <c r="E70" s="38" t="s">
        <v>107</v>
      </c>
      <c r="F70" s="37">
        <v>1</v>
      </c>
      <c r="I70">
        <f t="shared" ref="I70:I75" si="8">I69+12</f>
        <v>33</v>
      </c>
    </row>
    <row r="71" spans="1:9" x14ac:dyDescent="0.25">
      <c r="A71" s="37">
        <v>68</v>
      </c>
      <c r="B71" s="37" t="s">
        <v>46</v>
      </c>
      <c r="C71" s="38" t="s">
        <v>174</v>
      </c>
      <c r="D71" s="37"/>
      <c r="E71" s="38" t="s">
        <v>107</v>
      </c>
      <c r="F71" s="37">
        <v>1</v>
      </c>
      <c r="I71">
        <f t="shared" si="8"/>
        <v>45</v>
      </c>
    </row>
    <row r="72" spans="1:9" x14ac:dyDescent="0.25">
      <c r="A72" s="37">
        <v>69</v>
      </c>
      <c r="B72" s="37" t="s">
        <v>55</v>
      </c>
      <c r="C72" s="38" t="s">
        <v>175</v>
      </c>
      <c r="D72" s="37"/>
      <c r="E72" s="38" t="s">
        <v>107</v>
      </c>
      <c r="F72" s="37">
        <v>1</v>
      </c>
      <c r="I72">
        <f t="shared" si="8"/>
        <v>57</v>
      </c>
    </row>
    <row r="73" spans="1:9" x14ac:dyDescent="0.25">
      <c r="A73" s="37">
        <v>70</v>
      </c>
      <c r="B73" s="37" t="s">
        <v>64</v>
      </c>
      <c r="C73" s="38" t="s">
        <v>176</v>
      </c>
      <c r="D73" s="37"/>
      <c r="E73" s="38" t="s">
        <v>107</v>
      </c>
      <c r="F73" s="37">
        <v>1</v>
      </c>
      <c r="I73">
        <f t="shared" si="8"/>
        <v>69</v>
      </c>
    </row>
    <row r="74" spans="1:9" x14ac:dyDescent="0.25">
      <c r="A74" s="37">
        <v>71</v>
      </c>
      <c r="B74" s="37" t="s">
        <v>73</v>
      </c>
      <c r="C74" s="38" t="s">
        <v>177</v>
      </c>
      <c r="D74" s="37"/>
      <c r="E74" s="38" t="s">
        <v>107</v>
      </c>
      <c r="F74" s="37">
        <v>1</v>
      </c>
      <c r="I74">
        <f t="shared" si="8"/>
        <v>81</v>
      </c>
    </row>
    <row r="75" spans="1:9" x14ac:dyDescent="0.25">
      <c r="A75" s="37">
        <v>72</v>
      </c>
      <c r="B75" s="37" t="s">
        <v>85</v>
      </c>
      <c r="C75" s="38" t="s">
        <v>178</v>
      </c>
      <c r="D75" s="37"/>
      <c r="E75" s="38" t="s">
        <v>107</v>
      </c>
      <c r="F75" s="37">
        <v>1</v>
      </c>
      <c r="I75">
        <f t="shared" si="8"/>
        <v>93</v>
      </c>
    </row>
    <row r="76" spans="1:9" x14ac:dyDescent="0.25">
      <c r="A76" s="37">
        <v>73</v>
      </c>
      <c r="B76" s="37" t="s">
        <v>17</v>
      </c>
      <c r="C76" s="38" t="s">
        <v>179</v>
      </c>
      <c r="D76" s="37"/>
      <c r="E76" s="38" t="s">
        <v>107</v>
      </c>
      <c r="F76" s="37">
        <v>1</v>
      </c>
      <c r="I76">
        <v>10</v>
      </c>
    </row>
    <row r="77" spans="1:9" x14ac:dyDescent="0.25">
      <c r="A77" s="37">
        <v>74</v>
      </c>
      <c r="B77" s="37" t="s">
        <v>27</v>
      </c>
      <c r="C77" s="38" t="s">
        <v>180</v>
      </c>
      <c r="D77" s="37"/>
      <c r="E77" s="38" t="s">
        <v>107</v>
      </c>
      <c r="F77" s="37">
        <v>1</v>
      </c>
      <c r="I77">
        <f>I76+12</f>
        <v>22</v>
      </c>
    </row>
    <row r="78" spans="1:9" x14ac:dyDescent="0.25">
      <c r="A78" s="37">
        <v>75</v>
      </c>
      <c r="B78" s="37" t="s">
        <v>92</v>
      </c>
      <c r="C78" s="38" t="s">
        <v>181</v>
      </c>
      <c r="D78" s="37"/>
      <c r="E78" s="38" t="s">
        <v>107</v>
      </c>
      <c r="F78" s="37">
        <v>1</v>
      </c>
      <c r="I78">
        <f t="shared" ref="I78:I83" si="9">I77+12</f>
        <v>34</v>
      </c>
    </row>
    <row r="79" spans="1:9" x14ac:dyDescent="0.25">
      <c r="A79" s="37">
        <v>76</v>
      </c>
      <c r="B79" s="37" t="s">
        <v>95</v>
      </c>
      <c r="C79" s="38" t="s">
        <v>182</v>
      </c>
      <c r="D79" s="37"/>
      <c r="E79" s="38" t="s">
        <v>107</v>
      </c>
      <c r="F79" s="37">
        <v>1</v>
      </c>
      <c r="I79">
        <f t="shared" si="9"/>
        <v>46</v>
      </c>
    </row>
    <row r="80" spans="1:9" x14ac:dyDescent="0.25">
      <c r="A80" s="37">
        <v>77</v>
      </c>
      <c r="B80" s="37" t="s">
        <v>98</v>
      </c>
      <c r="C80" s="38" t="s">
        <v>183</v>
      </c>
      <c r="D80" s="37"/>
      <c r="E80" s="38" t="s">
        <v>107</v>
      </c>
      <c r="F80" s="37">
        <v>1</v>
      </c>
      <c r="I80">
        <f t="shared" si="9"/>
        <v>58</v>
      </c>
    </row>
    <row r="81" spans="1:9" x14ac:dyDescent="0.25">
      <c r="A81" s="37">
        <v>78</v>
      </c>
      <c r="B81" s="37" t="s">
        <v>101</v>
      </c>
      <c r="C81" s="38" t="s">
        <v>184</v>
      </c>
      <c r="D81" s="37"/>
      <c r="E81" s="38" t="s">
        <v>107</v>
      </c>
      <c r="F81" s="37">
        <v>1</v>
      </c>
      <c r="I81">
        <f t="shared" si="9"/>
        <v>70</v>
      </c>
    </row>
    <row r="82" spans="1:9" x14ac:dyDescent="0.25">
      <c r="A82" s="37">
        <v>79</v>
      </c>
      <c r="B82" s="37" t="s">
        <v>74</v>
      </c>
      <c r="C82" s="38" t="s">
        <v>185</v>
      </c>
      <c r="D82" s="37"/>
      <c r="E82" s="38" t="s">
        <v>107</v>
      </c>
      <c r="F82" s="37">
        <v>1</v>
      </c>
      <c r="I82">
        <f t="shared" si="9"/>
        <v>82</v>
      </c>
    </row>
    <row r="83" spans="1:9" x14ac:dyDescent="0.25">
      <c r="A83" s="37">
        <v>80</v>
      </c>
      <c r="B83" s="37" t="s">
        <v>86</v>
      </c>
      <c r="C83" s="38" t="s">
        <v>186</v>
      </c>
      <c r="D83" s="37"/>
      <c r="E83" s="38" t="s">
        <v>107</v>
      </c>
      <c r="F83" s="37">
        <v>1</v>
      </c>
      <c r="I83">
        <f t="shared" si="9"/>
        <v>94</v>
      </c>
    </row>
    <row r="84" spans="1:9" x14ac:dyDescent="0.25">
      <c r="A84" s="37">
        <v>81</v>
      </c>
      <c r="B84" s="37" t="s">
        <v>89</v>
      </c>
      <c r="C84" s="38" t="s">
        <v>187</v>
      </c>
      <c r="D84" s="37"/>
      <c r="E84" s="38" t="s">
        <v>107</v>
      </c>
      <c r="F84" s="37">
        <v>1</v>
      </c>
      <c r="I84">
        <v>11</v>
      </c>
    </row>
    <row r="85" spans="1:9" x14ac:dyDescent="0.25">
      <c r="A85" s="37">
        <v>82</v>
      </c>
      <c r="B85" s="37" t="s">
        <v>28</v>
      </c>
      <c r="C85" s="38" t="s">
        <v>188</v>
      </c>
      <c r="D85" s="37"/>
      <c r="E85" s="38" t="s">
        <v>107</v>
      </c>
      <c r="F85" s="37">
        <v>1</v>
      </c>
      <c r="I85">
        <f>I84+12</f>
        <v>23</v>
      </c>
    </row>
    <row r="86" spans="1:9" x14ac:dyDescent="0.25">
      <c r="A86" s="37">
        <v>83</v>
      </c>
      <c r="B86" s="37" t="s">
        <v>93</v>
      </c>
      <c r="C86" s="38" t="s">
        <v>189</v>
      </c>
      <c r="D86" s="37"/>
      <c r="E86" s="38" t="s">
        <v>107</v>
      </c>
      <c r="F86" s="37">
        <v>1</v>
      </c>
      <c r="I86">
        <f t="shared" ref="I86:I91" si="10">I85+12</f>
        <v>35</v>
      </c>
    </row>
    <row r="87" spans="1:9" x14ac:dyDescent="0.25">
      <c r="A87" s="37">
        <v>84</v>
      </c>
      <c r="B87" s="37" t="s">
        <v>96</v>
      </c>
      <c r="C87" s="38" t="s">
        <v>190</v>
      </c>
      <c r="D87" s="37"/>
      <c r="E87" s="38" t="s">
        <v>107</v>
      </c>
      <c r="F87" s="37">
        <v>1</v>
      </c>
      <c r="I87">
        <f t="shared" si="10"/>
        <v>47</v>
      </c>
    </row>
    <row r="88" spans="1:9" x14ac:dyDescent="0.25">
      <c r="A88" s="37">
        <v>85</v>
      </c>
      <c r="B88" s="37" t="s">
        <v>99</v>
      </c>
      <c r="C88" s="38" t="s">
        <v>191</v>
      </c>
      <c r="D88" s="37"/>
      <c r="E88" s="38" t="s">
        <v>107</v>
      </c>
      <c r="F88" s="37">
        <v>1</v>
      </c>
      <c r="I88">
        <f t="shared" si="10"/>
        <v>59</v>
      </c>
    </row>
    <row r="89" spans="1:9" x14ac:dyDescent="0.25">
      <c r="A89" s="37">
        <v>86</v>
      </c>
      <c r="B89" s="37" t="s">
        <v>102</v>
      </c>
      <c r="C89" s="38" t="s">
        <v>192</v>
      </c>
      <c r="D89" s="37"/>
      <c r="E89" s="38" t="s">
        <v>107</v>
      </c>
      <c r="F89" s="37">
        <v>1</v>
      </c>
      <c r="I89">
        <f t="shared" si="10"/>
        <v>71</v>
      </c>
    </row>
    <row r="90" spans="1:9" x14ac:dyDescent="0.25">
      <c r="A90" s="37">
        <v>87</v>
      </c>
      <c r="B90" s="37" t="s">
        <v>75</v>
      </c>
      <c r="C90" s="38" t="s">
        <v>193</v>
      </c>
      <c r="D90" s="37"/>
      <c r="E90" s="38" t="s">
        <v>107</v>
      </c>
      <c r="F90" s="37">
        <v>1</v>
      </c>
      <c r="I90">
        <f t="shared" si="10"/>
        <v>83</v>
      </c>
    </row>
    <row r="91" spans="1:9" x14ac:dyDescent="0.25">
      <c r="A91" s="37">
        <v>88</v>
      </c>
      <c r="B91" s="37" t="s">
        <v>87</v>
      </c>
      <c r="C91" s="38" t="s">
        <v>194</v>
      </c>
      <c r="D91" s="37"/>
      <c r="E91" s="38" t="s">
        <v>107</v>
      </c>
      <c r="F91" s="37">
        <v>1</v>
      </c>
      <c r="I91">
        <f t="shared" si="10"/>
        <v>95</v>
      </c>
    </row>
    <row r="92" spans="1:9" x14ac:dyDescent="0.25">
      <c r="A92" s="37">
        <v>89</v>
      </c>
      <c r="B92" s="37" t="s">
        <v>90</v>
      </c>
      <c r="C92" s="38" t="s">
        <v>195</v>
      </c>
      <c r="D92" s="37"/>
      <c r="E92" s="38" t="s">
        <v>107</v>
      </c>
      <c r="F92" s="37">
        <v>1</v>
      </c>
      <c r="I92">
        <v>12</v>
      </c>
    </row>
    <row r="93" spans="1:9" x14ac:dyDescent="0.25">
      <c r="A93" s="37">
        <v>90</v>
      </c>
      <c r="B93" s="37" t="s">
        <v>91</v>
      </c>
      <c r="C93" s="38" t="s">
        <v>196</v>
      </c>
      <c r="D93" s="37"/>
      <c r="E93" s="38" t="s">
        <v>107</v>
      </c>
      <c r="F93" s="37">
        <v>1</v>
      </c>
      <c r="I93">
        <f>I92+12</f>
        <v>24</v>
      </c>
    </row>
    <row r="94" spans="1:9" x14ac:dyDescent="0.25">
      <c r="A94" s="37">
        <v>91</v>
      </c>
      <c r="B94" s="37" t="s">
        <v>94</v>
      </c>
      <c r="C94" s="38" t="s">
        <v>197</v>
      </c>
      <c r="D94" s="37"/>
      <c r="E94" s="38" t="s">
        <v>107</v>
      </c>
      <c r="F94" s="37">
        <v>1</v>
      </c>
      <c r="I94">
        <f t="shared" ref="I94:I99" si="11">I93+12</f>
        <v>36</v>
      </c>
    </row>
    <row r="95" spans="1:9" x14ac:dyDescent="0.25">
      <c r="A95" s="37">
        <v>92</v>
      </c>
      <c r="B95" s="37" t="s">
        <v>97</v>
      </c>
      <c r="C95" s="38" t="s">
        <v>198</v>
      </c>
      <c r="D95" s="37"/>
      <c r="E95" s="38" t="s">
        <v>107</v>
      </c>
      <c r="F95" s="37">
        <v>1</v>
      </c>
      <c r="I95">
        <f t="shared" si="11"/>
        <v>48</v>
      </c>
    </row>
    <row r="96" spans="1:9" x14ac:dyDescent="0.25">
      <c r="A96" s="37">
        <v>93</v>
      </c>
      <c r="B96" s="37" t="s">
        <v>100</v>
      </c>
      <c r="C96" s="38" t="s">
        <v>199</v>
      </c>
      <c r="D96" s="37"/>
      <c r="E96" s="38" t="s">
        <v>107</v>
      </c>
      <c r="F96" s="37">
        <v>1</v>
      </c>
      <c r="I96">
        <f t="shared" si="11"/>
        <v>60</v>
      </c>
    </row>
    <row r="97" spans="1:9" x14ac:dyDescent="0.25">
      <c r="A97" s="37">
        <v>94</v>
      </c>
      <c r="B97" s="37" t="s">
        <v>103</v>
      </c>
      <c r="C97" s="38" t="s">
        <v>200</v>
      </c>
      <c r="D97" s="37"/>
      <c r="E97" s="38" t="s">
        <v>107</v>
      </c>
      <c r="F97" s="37">
        <v>1</v>
      </c>
      <c r="I97">
        <f t="shared" si="11"/>
        <v>72</v>
      </c>
    </row>
    <row r="98" spans="1:9" x14ac:dyDescent="0.25">
      <c r="A98" s="37">
        <v>95</v>
      </c>
      <c r="B98" s="37" t="s">
        <v>76</v>
      </c>
      <c r="C98" s="37" t="s">
        <v>201</v>
      </c>
      <c r="D98" s="37"/>
      <c r="E98" s="38" t="s">
        <v>107</v>
      </c>
      <c r="F98" s="37">
        <v>1</v>
      </c>
      <c r="I98">
        <f t="shared" si="11"/>
        <v>84</v>
      </c>
    </row>
    <row r="99" spans="1:9" x14ac:dyDescent="0.25">
      <c r="A99" s="37">
        <v>96</v>
      </c>
      <c r="B99" s="37" t="s">
        <v>88</v>
      </c>
      <c r="C99" s="37" t="s">
        <v>119</v>
      </c>
      <c r="D99" s="37"/>
      <c r="E99" s="37"/>
      <c r="F99" s="37"/>
      <c r="I99">
        <f t="shared" si="11"/>
        <v>96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70" orientation="portrait" r:id="rId1"/>
  <headerFooter alignWithMargins="0">
    <oddHeader>&amp;C&amp;F</oddHeader>
    <oddFooter>&amp;C&amp;Z&amp;F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7"/>
  <sheetViews>
    <sheetView zoomScale="85" zoomScaleNormal="85" workbookViewId="0">
      <selection activeCell="Q10" sqref="Q10"/>
    </sheetView>
  </sheetViews>
  <sheetFormatPr defaultRowHeight="13.2" x14ac:dyDescent="0.25"/>
  <cols>
    <col min="1" max="1" width="9.109375" style="14"/>
    <col min="2" max="13" width="11.6640625" style="1" customWidth="1"/>
  </cols>
  <sheetData>
    <row r="1" spans="1:13" s="14" customFormat="1" ht="43.5" customHeight="1" thickBot="1" x14ac:dyDescent="0.3">
      <c r="A1" s="13"/>
      <c r="B1" s="15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6">
        <v>8</v>
      </c>
      <c r="J1" s="16">
        <v>9</v>
      </c>
      <c r="K1" s="16">
        <v>10</v>
      </c>
      <c r="L1" s="16">
        <v>11</v>
      </c>
      <c r="M1" s="17">
        <v>12</v>
      </c>
    </row>
    <row r="2" spans="1:13" s="8" customFormat="1" ht="24" customHeight="1" x14ac:dyDescent="0.25">
      <c r="A2" s="50" t="s">
        <v>0</v>
      </c>
      <c r="B2" s="33" t="s">
        <v>8</v>
      </c>
      <c r="C2" s="30" t="s">
        <v>9</v>
      </c>
      <c r="D2" s="30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89</v>
      </c>
      <c r="M2" s="7" t="s">
        <v>90</v>
      </c>
    </row>
    <row r="3" spans="1:13" ht="24" customHeight="1" x14ac:dyDescent="0.25">
      <c r="A3" s="48"/>
      <c r="B3" s="34" t="str">
        <f>Sequence!C4</f>
        <v>Double Blank</v>
      </c>
      <c r="C3" s="25" t="str">
        <f>Sequence!C12</f>
        <v>0.250 STD</v>
      </c>
      <c r="D3" s="25" t="str">
        <f>Sequence!C20</f>
        <v>100.0 STD</v>
      </c>
      <c r="E3" s="2" t="str">
        <f>Sequence!C28</f>
        <v>Plasma 4</v>
      </c>
      <c r="F3" s="2" t="str">
        <f>Sequence!C36</f>
        <v>Plasma 12</v>
      </c>
      <c r="G3" s="2" t="str">
        <f>Sequence!C44</f>
        <v>Plasma 20</v>
      </c>
      <c r="H3" s="2" t="str">
        <f>Sequence!C52</f>
        <v>Plasma 28</v>
      </c>
      <c r="I3" s="2" t="str">
        <f>Sequence!C60</f>
        <v>Plasma 36</v>
      </c>
      <c r="J3" s="2" t="str">
        <f>Sequence!C68</f>
        <v>Plasma 44</v>
      </c>
      <c r="K3" s="2" t="str">
        <f>Sequence!C76</f>
        <v>Plasma 52</v>
      </c>
      <c r="L3" s="2" t="str">
        <f>Sequence!C84</f>
        <v>Plasma 60</v>
      </c>
      <c r="M3" s="4" t="str">
        <f>Sequence!C92</f>
        <v>Plasma 68</v>
      </c>
    </row>
    <row r="4" spans="1:13" s="11" customFormat="1" ht="24" customHeight="1" x14ac:dyDescent="0.25">
      <c r="A4" s="47" t="s">
        <v>1</v>
      </c>
      <c r="B4" s="26" t="s">
        <v>18</v>
      </c>
      <c r="C4" s="31" t="s">
        <v>19</v>
      </c>
      <c r="D4" s="31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10" t="s">
        <v>91</v>
      </c>
    </row>
    <row r="5" spans="1:13" ht="24" customHeight="1" x14ac:dyDescent="0.25">
      <c r="A5" s="48"/>
      <c r="B5" s="25" t="str">
        <f>Sequence!C5</f>
        <v>0 STD</v>
      </c>
      <c r="C5" s="25" t="str">
        <f>Sequence!C13</f>
        <v>0.500 STD</v>
      </c>
      <c r="D5" s="25" t="str">
        <f>Sequence!C21</f>
        <v>200.0 STD</v>
      </c>
      <c r="E5" s="2" t="str">
        <f>Sequence!C29</f>
        <v>Plasma 5</v>
      </c>
      <c r="F5" s="2" t="str">
        <f>Sequence!C37</f>
        <v>Plasma 13</v>
      </c>
      <c r="G5" s="2" t="str">
        <f>Sequence!C45</f>
        <v>Plasma 21</v>
      </c>
      <c r="H5" s="2" t="str">
        <f>Sequence!C53</f>
        <v>Plasma 29</v>
      </c>
      <c r="I5" s="2" t="str">
        <f>Sequence!C61</f>
        <v>Plasma 37</v>
      </c>
      <c r="J5" s="2" t="str">
        <f>Sequence!C69</f>
        <v>Plasma 45</v>
      </c>
      <c r="K5" s="2" t="str">
        <f>Sequence!C77</f>
        <v>Plasma 53</v>
      </c>
      <c r="L5" s="3" t="str">
        <f>Sequence!C85</f>
        <v>Plasma 61</v>
      </c>
      <c r="M5" s="4" t="str">
        <f>Sequence!C93</f>
        <v>Plasma 69</v>
      </c>
    </row>
    <row r="6" spans="1:13" s="11" customFormat="1" ht="24" customHeight="1" x14ac:dyDescent="0.25">
      <c r="A6" s="47" t="s">
        <v>2</v>
      </c>
      <c r="B6" s="26" t="s">
        <v>29</v>
      </c>
      <c r="C6" s="31" t="s">
        <v>30</v>
      </c>
      <c r="D6" s="31" t="s">
        <v>31</v>
      </c>
      <c r="E6" s="9" t="s">
        <v>32</v>
      </c>
      <c r="F6" s="9" t="s">
        <v>33</v>
      </c>
      <c r="G6" s="9" t="s">
        <v>34</v>
      </c>
      <c r="H6" s="9" t="s">
        <v>35</v>
      </c>
      <c r="I6" s="9" t="s">
        <v>36</v>
      </c>
      <c r="J6" s="9" t="s">
        <v>37</v>
      </c>
      <c r="K6" s="9" t="s">
        <v>92</v>
      </c>
      <c r="L6" s="9" t="s">
        <v>93</v>
      </c>
      <c r="M6" s="12" t="s">
        <v>94</v>
      </c>
    </row>
    <row r="7" spans="1:13" ht="24" customHeight="1" x14ac:dyDescent="0.25">
      <c r="A7" s="48"/>
      <c r="B7" s="27" t="str">
        <f>Sequence!C6</f>
        <v>0.0025 STD</v>
      </c>
      <c r="C7" s="25" t="str">
        <f>Sequence!C14</f>
        <v>1.0 STD</v>
      </c>
      <c r="D7" s="25" t="str">
        <f>Sequence!C22</f>
        <v>400.0 STD</v>
      </c>
      <c r="E7" s="2" t="str">
        <f>Sequence!C30</f>
        <v>Plasma 6</v>
      </c>
      <c r="F7" s="2" t="str">
        <f>Sequence!C38</f>
        <v>Plasma 14</v>
      </c>
      <c r="G7" s="2" t="str">
        <f>Sequence!C46</f>
        <v>Plasma 22</v>
      </c>
      <c r="H7" s="22" t="str">
        <f>Sequence!C54</f>
        <v>Plasma 30</v>
      </c>
      <c r="I7" s="22" t="str">
        <f>Sequence!C62</f>
        <v>Plasma 38</v>
      </c>
      <c r="J7" s="22" t="str">
        <f>Sequence!C70</f>
        <v>Plasma 46</v>
      </c>
      <c r="K7" s="22" t="str">
        <f>Sequence!C78</f>
        <v>Plasma 54</v>
      </c>
      <c r="L7" s="22" t="str">
        <f>Sequence!C86</f>
        <v>Plasma 62</v>
      </c>
      <c r="M7" s="23" t="str">
        <f>Sequence!C94</f>
        <v>Plasma 70</v>
      </c>
    </row>
    <row r="8" spans="1:13" s="11" customFormat="1" ht="24" customHeight="1" x14ac:dyDescent="0.25">
      <c r="A8" s="47" t="s">
        <v>3</v>
      </c>
      <c r="B8" s="26" t="s">
        <v>38</v>
      </c>
      <c r="C8" s="31" t="s">
        <v>39</v>
      </c>
      <c r="D8" s="40" t="s">
        <v>40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45</v>
      </c>
      <c r="J8" s="9" t="s">
        <v>46</v>
      </c>
      <c r="K8" s="9" t="s">
        <v>95</v>
      </c>
      <c r="L8" s="9" t="s">
        <v>96</v>
      </c>
      <c r="M8" s="10" t="s">
        <v>97</v>
      </c>
    </row>
    <row r="9" spans="1:13" ht="24" customHeight="1" x14ac:dyDescent="0.25">
      <c r="A9" s="48"/>
      <c r="B9" s="28" t="str">
        <f>Sequence!C7</f>
        <v>0.0050 STD</v>
      </c>
      <c r="C9" s="25" t="str">
        <f>Sequence!C15</f>
        <v>2.5 STD</v>
      </c>
      <c r="D9" s="41" t="str">
        <f>Sequence!C23</f>
        <v>Double Blank</v>
      </c>
      <c r="E9" s="22" t="str">
        <f>Sequence!C31</f>
        <v>Plasma 7</v>
      </c>
      <c r="F9" s="22" t="str">
        <f>Sequence!C39</f>
        <v>Plasma 15</v>
      </c>
      <c r="G9" s="22" t="str">
        <f>Sequence!C47</f>
        <v>Plasma 23</v>
      </c>
      <c r="H9" s="22" t="str">
        <f>Sequence!C55</f>
        <v>Plasma 31</v>
      </c>
      <c r="I9" s="22" t="str">
        <f>Sequence!C63</f>
        <v>Plasma 39</v>
      </c>
      <c r="J9" s="22" t="str">
        <f>Sequence!C71</f>
        <v>Plasma 47</v>
      </c>
      <c r="K9" s="22" t="str">
        <f>Sequence!C79</f>
        <v>Plasma 55</v>
      </c>
      <c r="L9" s="22" t="str">
        <f>Sequence!C87</f>
        <v>Plasma 63</v>
      </c>
      <c r="M9" s="23" t="str">
        <f>Sequence!C95</f>
        <v>Plasma 71</v>
      </c>
    </row>
    <row r="10" spans="1:13" s="11" customFormat="1" ht="24" customHeight="1" x14ac:dyDescent="0.25">
      <c r="A10" s="47" t="s">
        <v>4</v>
      </c>
      <c r="B10" s="26" t="s">
        <v>47</v>
      </c>
      <c r="C10" s="31" t="s">
        <v>48</v>
      </c>
      <c r="D10" s="45" t="s">
        <v>49</v>
      </c>
      <c r="E10" s="9" t="s">
        <v>50</v>
      </c>
      <c r="F10" s="9" t="s">
        <v>51</v>
      </c>
      <c r="G10" s="9" t="s">
        <v>52</v>
      </c>
      <c r="H10" s="9" t="s">
        <v>53</v>
      </c>
      <c r="I10" s="9" t="s">
        <v>54</v>
      </c>
      <c r="J10" s="9" t="s">
        <v>55</v>
      </c>
      <c r="K10" s="9" t="s">
        <v>98</v>
      </c>
      <c r="L10" s="9" t="s">
        <v>99</v>
      </c>
      <c r="M10" s="10" t="s">
        <v>100</v>
      </c>
    </row>
    <row r="11" spans="1:13" ht="24" customHeight="1" x14ac:dyDescent="0.25">
      <c r="A11" s="48"/>
      <c r="B11" s="27" t="str">
        <f>Sequence!C8</f>
        <v>0.010 STD</v>
      </c>
      <c r="C11" s="25" t="str">
        <f>Sequence!C16</f>
        <v>5.0 STD</v>
      </c>
      <c r="D11" s="46" t="str">
        <f>Sequence!C24</f>
        <v xml:space="preserve">QC </v>
      </c>
      <c r="E11" s="22" t="str">
        <f>Sequence!C32</f>
        <v>Plasma 8</v>
      </c>
      <c r="F11" s="22" t="str">
        <f>Sequence!C40</f>
        <v>Plasma 16</v>
      </c>
      <c r="G11" s="22" t="str">
        <f>Sequence!C48</f>
        <v>Plasma 24</v>
      </c>
      <c r="H11" s="22" t="str">
        <f>Sequence!C56</f>
        <v>Plasma 32</v>
      </c>
      <c r="I11" s="2" t="str">
        <f>Sequence!C64</f>
        <v>Plasma 40</v>
      </c>
      <c r="J11" s="2" t="str">
        <f>Sequence!C72</f>
        <v>Plasma 48</v>
      </c>
      <c r="K11" s="2" t="str">
        <f>Sequence!C80</f>
        <v>Plasma 56</v>
      </c>
      <c r="L11" s="2" t="str">
        <f>Sequence!C88</f>
        <v>Plasma 64</v>
      </c>
      <c r="M11" s="4" t="str">
        <f>Sequence!C96</f>
        <v>Plasma 72</v>
      </c>
    </row>
    <row r="12" spans="1:13" s="11" customFormat="1" ht="24" customHeight="1" x14ac:dyDescent="0.25">
      <c r="A12" s="47" t="s">
        <v>5</v>
      </c>
      <c r="B12" s="26" t="s">
        <v>56</v>
      </c>
      <c r="C12" s="31" t="s">
        <v>57</v>
      </c>
      <c r="D12" s="9" t="s">
        <v>58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63</v>
      </c>
      <c r="J12" s="9" t="s">
        <v>64</v>
      </c>
      <c r="K12" s="9" t="s">
        <v>101</v>
      </c>
      <c r="L12" s="9" t="s">
        <v>102</v>
      </c>
      <c r="M12" s="44" t="s">
        <v>103</v>
      </c>
    </row>
    <row r="13" spans="1:13" ht="24" customHeight="1" x14ac:dyDescent="0.25">
      <c r="A13" s="48"/>
      <c r="B13" s="27" t="str">
        <f>Sequence!C9</f>
        <v>0.025 STD</v>
      </c>
      <c r="C13" s="25" t="str">
        <f>Sequence!C17</f>
        <v>10.0 STD</v>
      </c>
      <c r="D13" s="2" t="str">
        <f>Sequence!C25</f>
        <v>Plasma 1</v>
      </c>
      <c r="E13" s="2" t="str">
        <f>Sequence!C33</f>
        <v>Plasma 9</v>
      </c>
      <c r="F13" s="2" t="str">
        <f>Sequence!C41</f>
        <v>Plasma 17</v>
      </c>
      <c r="G13" s="2" t="str">
        <f>Sequence!C49</f>
        <v>Plasma 25</v>
      </c>
      <c r="H13" s="2" t="str">
        <f>Sequence!C57</f>
        <v>Plasma 33</v>
      </c>
      <c r="I13" s="2" t="str">
        <f>Sequence!C65</f>
        <v>Plasma 41</v>
      </c>
      <c r="J13" s="2" t="str">
        <f>Sequence!C73</f>
        <v>Plasma 49</v>
      </c>
      <c r="K13" s="2" t="str">
        <f>Sequence!C81</f>
        <v>Plasma 57</v>
      </c>
      <c r="L13" s="2" t="str">
        <f>Sequence!C89</f>
        <v>Plasma 65</v>
      </c>
      <c r="M13" s="23" t="str">
        <f>Sequence!C97</f>
        <v>Plasma 73</v>
      </c>
    </row>
    <row r="14" spans="1:13" s="11" customFormat="1" ht="24" customHeight="1" x14ac:dyDescent="0.25">
      <c r="A14" s="47" t="s">
        <v>6</v>
      </c>
      <c r="B14" s="26" t="s">
        <v>65</v>
      </c>
      <c r="C14" s="31" t="s">
        <v>66</v>
      </c>
      <c r="D14" s="9" t="s">
        <v>67</v>
      </c>
      <c r="E14" s="9" t="s">
        <v>68</v>
      </c>
      <c r="F14" s="9" t="s">
        <v>69</v>
      </c>
      <c r="G14" s="9" t="s">
        <v>70</v>
      </c>
      <c r="H14" s="9" t="s">
        <v>71</v>
      </c>
      <c r="I14" s="9" t="s">
        <v>72</v>
      </c>
      <c r="J14" s="9" t="s">
        <v>73</v>
      </c>
      <c r="K14" s="9" t="s">
        <v>74</v>
      </c>
      <c r="L14" s="9" t="s">
        <v>75</v>
      </c>
      <c r="M14" s="42" t="s">
        <v>76</v>
      </c>
    </row>
    <row r="15" spans="1:13" ht="24" customHeight="1" x14ac:dyDescent="0.25">
      <c r="A15" s="48"/>
      <c r="B15" s="27" t="str">
        <f>Sequence!C10</f>
        <v>0.050 STD</v>
      </c>
      <c r="C15" s="25" t="str">
        <f>Sequence!C18</f>
        <v>25.0 STD</v>
      </c>
      <c r="D15" s="2" t="str">
        <f>Sequence!C26</f>
        <v>Plasma 2</v>
      </c>
      <c r="E15" s="2" t="str">
        <f>Sequence!C34</f>
        <v>Plasma 10</v>
      </c>
      <c r="F15" s="2" t="str">
        <f>Sequence!C42</f>
        <v>Plasma 18</v>
      </c>
      <c r="G15" s="2" t="str">
        <f>Sequence!C50</f>
        <v>Plasma 26</v>
      </c>
      <c r="H15" s="2" t="str">
        <f>Sequence!C58</f>
        <v>Plasma 34</v>
      </c>
      <c r="I15" s="2" t="str">
        <f>Sequence!C66</f>
        <v>Plasma 42</v>
      </c>
      <c r="J15" s="2" t="str">
        <f>Sequence!C74</f>
        <v>Plasma 50</v>
      </c>
      <c r="K15" s="2" t="str">
        <f>Sequence!C82</f>
        <v>Plasma 58</v>
      </c>
      <c r="L15" s="2" t="str">
        <f>Sequence!C90</f>
        <v>Plasma 66</v>
      </c>
      <c r="M15" s="43" t="str">
        <f>Sequence!C98</f>
        <v xml:space="preserve">QC </v>
      </c>
    </row>
    <row r="16" spans="1:13" s="11" customFormat="1" ht="24" customHeight="1" x14ac:dyDescent="0.25">
      <c r="A16" s="47" t="s">
        <v>7</v>
      </c>
      <c r="B16" s="26" t="s">
        <v>77</v>
      </c>
      <c r="C16" s="31" t="s">
        <v>78</v>
      </c>
      <c r="D16" s="9" t="s">
        <v>79</v>
      </c>
      <c r="E16" s="9" t="s">
        <v>80</v>
      </c>
      <c r="F16" s="9" t="s">
        <v>81</v>
      </c>
      <c r="G16" s="9" t="s">
        <v>82</v>
      </c>
      <c r="H16" s="9" t="s">
        <v>83</v>
      </c>
      <c r="I16" s="9" t="s">
        <v>84</v>
      </c>
      <c r="J16" s="9" t="s">
        <v>85</v>
      </c>
      <c r="K16" s="9" t="s">
        <v>86</v>
      </c>
      <c r="L16" s="9" t="s">
        <v>87</v>
      </c>
      <c r="M16" s="35" t="s">
        <v>88</v>
      </c>
    </row>
    <row r="17" spans="1:13" ht="24" customHeight="1" thickBot="1" x14ac:dyDescent="0.3">
      <c r="A17" s="49"/>
      <c r="B17" s="29" t="str">
        <f>Sequence!C11</f>
        <v>0.100 STD</v>
      </c>
      <c r="C17" s="32" t="str">
        <f>Sequence!C19</f>
        <v>50.0 STD</v>
      </c>
      <c r="D17" s="5" t="str">
        <f>Sequence!C27</f>
        <v>Plasma 3</v>
      </c>
      <c r="E17" s="5" t="str">
        <f>Sequence!C35</f>
        <v>Plasma 11</v>
      </c>
      <c r="F17" s="5" t="str">
        <f>Sequence!C43</f>
        <v>Plasma 19</v>
      </c>
      <c r="G17" s="5" t="str">
        <f>Sequence!C51</f>
        <v>Plasma 27</v>
      </c>
      <c r="H17" s="5" t="str">
        <f>Sequence!C59</f>
        <v>Plasma 35</v>
      </c>
      <c r="I17" s="5" t="str">
        <f>Sequence!C67</f>
        <v>Plasma 43</v>
      </c>
      <c r="J17" s="5" t="str">
        <f>Sequence!C75</f>
        <v>Plasma 51</v>
      </c>
      <c r="K17" s="5" t="str">
        <f>Sequence!C83</f>
        <v>Plasma 59</v>
      </c>
      <c r="L17" s="5" t="str">
        <f>Sequence!C91</f>
        <v>Plasma 67</v>
      </c>
      <c r="M17" s="36" t="str">
        <f>Sequence!C99</f>
        <v>Solvent blank</v>
      </c>
    </row>
    <row r="19" spans="1:13" x14ac:dyDescent="0.25">
      <c r="E19" s="21"/>
      <c r="F19" s="20"/>
    </row>
    <row r="21" spans="1:13" x14ac:dyDescent="0.25">
      <c r="E21" s="21"/>
      <c r="F21" s="20"/>
    </row>
    <row r="23" spans="1:13" x14ac:dyDescent="0.25">
      <c r="C23" s="18"/>
      <c r="D23" s="18"/>
      <c r="E23" s="18"/>
      <c r="F23" s="18"/>
      <c r="G23" s="18"/>
      <c r="H23" s="18"/>
    </row>
    <row r="24" spans="1:13" x14ac:dyDescent="0.25">
      <c r="C24" s="19"/>
      <c r="D24" s="19"/>
      <c r="E24" s="19"/>
      <c r="F24" s="19"/>
      <c r="G24" s="19"/>
      <c r="H24" s="19"/>
    </row>
    <row r="25" spans="1:13" x14ac:dyDescent="0.25">
      <c r="C25" s="19"/>
      <c r="D25" s="19"/>
      <c r="E25" s="19"/>
      <c r="F25" s="19"/>
      <c r="G25" s="19"/>
      <c r="H25" s="19"/>
    </row>
    <row r="26" spans="1:13" x14ac:dyDescent="0.25">
      <c r="C26" s="19"/>
      <c r="D26" s="19"/>
      <c r="E26" s="19"/>
      <c r="F26" s="18"/>
      <c r="G26" s="18"/>
      <c r="H26" s="18"/>
    </row>
    <row r="27" spans="1:13" x14ac:dyDescent="0.25">
      <c r="C27" s="19"/>
      <c r="D27" s="19"/>
      <c r="E27" s="19"/>
      <c r="F27" s="19"/>
      <c r="G27" s="19"/>
      <c r="H27" s="19"/>
    </row>
  </sheetData>
  <mergeCells count="8">
    <mergeCell ref="A14:A15"/>
    <mergeCell ref="A16:A17"/>
    <mergeCell ref="A2:A3"/>
    <mergeCell ref="A4:A5"/>
    <mergeCell ref="A6:A7"/>
    <mergeCell ref="A8:A9"/>
    <mergeCell ref="A10:A11"/>
    <mergeCell ref="A12:A13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8" fitToHeight="2" orientation="landscape" horizontalDpi="1200" verticalDpi="1200" r:id="rId1"/>
  <headerFooter alignWithMargins="0">
    <oddHeader>&amp;LPage&amp;P&amp;CExcel File: &amp;F &amp;R&amp;T &amp;D</oddHeader>
    <oddFooter>&amp;C&amp;Z&amp;F</oddFooter>
  </headerFooter>
  <ignoredErrors>
    <ignoredError sqref="H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Sequence</vt:lpstr>
      <vt:lpstr>Platemap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Natalie Homer</cp:lastModifiedBy>
  <cp:lastPrinted>2018-09-25T11:48:50Z</cp:lastPrinted>
  <dcterms:created xsi:type="dcterms:W3CDTF">2008-09-11T10:45:20Z</dcterms:created>
  <dcterms:modified xsi:type="dcterms:W3CDTF">2024-02-23T18:40:14Z</dcterms:modified>
</cp:coreProperties>
</file>