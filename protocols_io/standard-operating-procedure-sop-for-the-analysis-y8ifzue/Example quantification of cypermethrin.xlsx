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H:\Ram Dhakal\Cypermethrin protocol\"/>
    </mc:Choice>
  </mc:AlternateContent>
  <xr:revisionPtr revIDLastSave="0" documentId="8_{945D9911-92D1-4567-9782-5FA88B648C56}" xr6:coauthVersionLast="45" xr6:coauthVersionMax="45" xr10:uidLastSave="{00000000-0000-0000-0000-000000000000}"/>
  <bookViews>
    <workbookView xWindow="19080" yWindow="-120" windowWidth="19440" windowHeight="15000" tabRatio="869" firstSheet="2" activeTab="5" xr2:uid="{00000000-000D-0000-FFFF-FFFF00000000}"/>
  </bookViews>
  <sheets>
    <sheet name="RCD-A-12 (ref)" sheetId="1" r:id="rId1"/>
    <sheet name="RCD-F1-12 (W-blank)" sheetId="26" r:id="rId2"/>
    <sheet name="RCD-E1-12 (Plasma-blank)" sheetId="25" r:id="rId3"/>
    <sheet name="RCD-B-12 (OPR spike-B)" sheetId="27" r:id="rId4"/>
    <sheet name="RCD-C-12 (OPR spike-C)" sheetId="28" r:id="rId5"/>
    <sheet name="RCD-D-12 (OPR spike-D)" sheetId="24" r:id="rId6"/>
    <sheet name="RCD-G1-12 (actual sample)" sheetId="3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8" i="26" l="1"/>
  <c r="C15" i="1" l="1"/>
  <c r="C19" i="31"/>
  <c r="C19" i="24"/>
  <c r="C19" i="28"/>
  <c r="C19" i="27"/>
  <c r="C19" i="25"/>
  <c r="C19" i="26"/>
  <c r="G11" i="1" l="1"/>
  <c r="F15" i="26" s="1"/>
  <c r="C18" i="31" l="1"/>
  <c r="E17" i="31"/>
  <c r="E16" i="31"/>
  <c r="E15" i="31"/>
  <c r="G14" i="31"/>
  <c r="E14" i="31"/>
  <c r="G13" i="31"/>
  <c r="E13" i="31"/>
  <c r="E12" i="31"/>
  <c r="E15" i="26" l="1"/>
  <c r="E14" i="26"/>
  <c r="G14" i="26" l="1"/>
  <c r="G13" i="26"/>
  <c r="E10" i="1"/>
  <c r="E9" i="1"/>
  <c r="C18" i="24"/>
  <c r="E17" i="24"/>
  <c r="E16" i="24"/>
  <c r="E15" i="24"/>
  <c r="G14" i="24"/>
  <c r="E14" i="24"/>
  <c r="G13" i="24"/>
  <c r="E13" i="24"/>
  <c r="E12" i="24"/>
  <c r="C18" i="28"/>
  <c r="E17" i="28"/>
  <c r="E16" i="28"/>
  <c r="E15" i="28"/>
  <c r="G14" i="28"/>
  <c r="E14" i="28"/>
  <c r="G13" i="28"/>
  <c r="E13" i="28"/>
  <c r="E12" i="28"/>
  <c r="C18" i="27"/>
  <c r="E17" i="27"/>
  <c r="E16" i="27"/>
  <c r="E15" i="27"/>
  <c r="G14" i="27"/>
  <c r="E14" i="27"/>
  <c r="G13" i="27"/>
  <c r="E13" i="27"/>
  <c r="E12" i="27"/>
  <c r="C18" i="25"/>
  <c r="E17" i="25"/>
  <c r="E16" i="25"/>
  <c r="E15" i="25"/>
  <c r="G14" i="25"/>
  <c r="E14" i="25"/>
  <c r="G13" i="25"/>
  <c r="E13" i="25"/>
  <c r="E12" i="25"/>
  <c r="E17" i="26"/>
  <c r="E16" i="26"/>
  <c r="E13" i="26"/>
  <c r="E12" i="26"/>
  <c r="F14" i="1"/>
  <c r="C14" i="1"/>
  <c r="G13" i="1"/>
  <c r="E13" i="1"/>
  <c r="G12" i="1"/>
  <c r="F16" i="26" s="1"/>
  <c r="E12" i="1"/>
  <c r="E11" i="1"/>
  <c r="G10" i="1"/>
  <c r="G9" i="1"/>
  <c r="G8" i="1"/>
  <c r="E8" i="1"/>
  <c r="F12" i="31" l="1"/>
  <c r="G12" i="31" s="1"/>
  <c r="H12" i="31" s="1"/>
  <c r="F15" i="31"/>
  <c r="G15" i="31" s="1"/>
  <c r="F13" i="31"/>
  <c r="F16" i="31"/>
  <c r="G16" i="31" s="1"/>
  <c r="I16" i="31" s="1"/>
  <c r="F14" i="31"/>
  <c r="F17" i="31"/>
  <c r="G17" i="31" s="1"/>
  <c r="H17" i="31" s="1"/>
  <c r="F16" i="24"/>
  <c r="G16" i="24" s="1"/>
  <c r="I16" i="24" s="1"/>
  <c r="F16" i="27"/>
  <c r="G16" i="27" s="1"/>
  <c r="I16" i="27" s="1"/>
  <c r="G16" i="26"/>
  <c r="I16" i="26" s="1"/>
  <c r="F16" i="28"/>
  <c r="G16" i="28" s="1"/>
  <c r="I16" i="28" s="1"/>
  <c r="F16" i="25"/>
  <c r="G16" i="25" s="1"/>
  <c r="I16" i="25" s="1"/>
  <c r="F13" i="28"/>
  <c r="F13" i="25"/>
  <c r="F13" i="26"/>
  <c r="F13" i="24"/>
  <c r="F13" i="27"/>
  <c r="F14" i="24"/>
  <c r="F14" i="27"/>
  <c r="F14" i="28"/>
  <c r="F14" i="25"/>
  <c r="F14" i="26"/>
  <c r="F12" i="26"/>
  <c r="G12" i="26" s="1"/>
  <c r="H12" i="26" s="1"/>
  <c r="F12" i="28"/>
  <c r="G12" i="28" s="1"/>
  <c r="H12" i="28" s="1"/>
  <c r="F12" i="25"/>
  <c r="G12" i="25" s="1"/>
  <c r="H12" i="25" s="1"/>
  <c r="F12" i="24"/>
  <c r="G12" i="24" s="1"/>
  <c r="H12" i="24" s="1"/>
  <c r="F12" i="27"/>
  <c r="G12" i="27" s="1"/>
  <c r="H12" i="27" s="1"/>
  <c r="F15" i="24"/>
  <c r="G15" i="24" s="1"/>
  <c r="F15" i="27"/>
  <c r="G15" i="27" s="1"/>
  <c r="F15" i="28"/>
  <c r="G15" i="28" s="1"/>
  <c r="F15" i="25"/>
  <c r="G15" i="25" s="1"/>
  <c r="G15" i="26"/>
  <c r="F17" i="27"/>
  <c r="G17" i="27" s="1"/>
  <c r="H17" i="27" s="1"/>
  <c r="F17" i="26"/>
  <c r="G17" i="26" s="1"/>
  <c r="H17" i="26" s="1"/>
  <c r="F17" i="28"/>
  <c r="G17" i="28" s="1"/>
  <c r="H17" i="28" s="1"/>
  <c r="F17" i="24"/>
  <c r="G17" i="24" s="1"/>
  <c r="H17" i="24" s="1"/>
  <c r="F17" i="25"/>
  <c r="G17" i="25" s="1"/>
  <c r="H17" i="25" s="1"/>
  <c r="G14" i="1"/>
  <c r="I15" i="25" l="1"/>
  <c r="I19" i="25"/>
  <c r="I15" i="31"/>
  <c r="I19" i="31"/>
  <c r="I19" i="28"/>
  <c r="I15" i="28"/>
  <c r="I19" i="27"/>
  <c r="I15" i="27"/>
  <c r="I19" i="26"/>
  <c r="I15" i="26"/>
  <c r="I15" i="24"/>
  <c r="I19" i="24"/>
  <c r="F18" i="31"/>
  <c r="G18" i="31" s="1"/>
  <c r="I18" i="31" s="1"/>
  <c r="F18" i="28"/>
  <c r="G18" i="28" s="1"/>
  <c r="I18" i="28" s="1"/>
  <c r="F18" i="25"/>
  <c r="G18" i="25" s="1"/>
  <c r="I18" i="25" s="1"/>
  <c r="F18" i="24"/>
  <c r="G18" i="24" s="1"/>
  <c r="I18" i="24" s="1"/>
  <c r="F18" i="27"/>
  <c r="G18" i="27" s="1"/>
  <c r="I18" i="27" s="1"/>
  <c r="F18" i="26"/>
  <c r="G18" i="26" s="1"/>
  <c r="I18" i="26" s="1"/>
</calcChain>
</file>

<file path=xl/sharedStrings.xml><?xml version="1.0" encoding="utf-8"?>
<sst xmlns="http://schemas.openxmlformats.org/spreadsheetml/2006/main" count="229" uniqueCount="65">
  <si>
    <t>No.</t>
  </si>
  <si>
    <t>Response</t>
  </si>
  <si>
    <t>RT</t>
  </si>
  <si>
    <t>Mass injected [ng]</t>
  </si>
  <si>
    <t>RRF</t>
  </si>
  <si>
    <t>IS</t>
  </si>
  <si>
    <t>mass of IS</t>
  </si>
  <si>
    <t>mass of sample [g]</t>
  </si>
  <si>
    <t>Mass [ng]</t>
  </si>
  <si>
    <t>SURR recovery</t>
  </si>
  <si>
    <t xml:space="preserve"> </t>
  </si>
  <si>
    <t>Deltamethrin-A (IS)</t>
  </si>
  <si>
    <t>Deltamethrin-B</t>
  </si>
  <si>
    <t>Alpha-cyp-A</t>
  </si>
  <si>
    <t>Alpha-cyp-B</t>
  </si>
  <si>
    <t>Cis-perm (RS)</t>
  </si>
  <si>
    <t>RS</t>
  </si>
  <si>
    <t>mass of trans-perm(RS)</t>
  </si>
  <si>
    <t>mass of cis-perm(RS)</t>
  </si>
  <si>
    <t>Compounds</t>
  </si>
  <si>
    <t>Alpha-A+alpha-B</t>
  </si>
  <si>
    <t>[GC]</t>
  </si>
  <si>
    <t>RRT</t>
  </si>
  <si>
    <t>Ram</t>
  </si>
  <si>
    <t>CYPERMETHRIN_SPB1_08232018.M</t>
  </si>
  <si>
    <t>Cypermethrin</t>
  </si>
  <si>
    <t>Analyte</t>
  </si>
  <si>
    <t>Concentration</t>
  </si>
  <si>
    <t>1 ug/mL</t>
  </si>
  <si>
    <t>[Header Info Signal 1 COLT 3.0]</t>
  </si>
  <si>
    <t>0.125ug/mL</t>
  </si>
  <si>
    <t>trans-perm (RS)</t>
  </si>
  <si>
    <t>cis/trans-permethrin</t>
  </si>
  <si>
    <r>
      <t>Spiked volume(</t>
    </r>
    <r>
      <rPr>
        <b/>
        <sz val="11"/>
        <color rgb="FF3F3F3F"/>
        <rFont val="Calibri"/>
        <family val="2"/>
      </rPr>
      <t>µ</t>
    </r>
    <r>
      <rPr>
        <b/>
        <sz val="11"/>
        <color rgb="FF3F3F3F"/>
        <rFont val="Calibri"/>
        <family val="2"/>
        <scheme val="minor"/>
      </rPr>
      <t>L)</t>
    </r>
  </si>
  <si>
    <t>NoteBook# RCD-I-29</t>
  </si>
  <si>
    <t>RCD-A-12 (Reference).D</t>
  </si>
  <si>
    <t>U:\OEH Shared by All\Lehmler group files\Dhakal, Ram\QuEChERS\GC DATA\Dec 31, 2018-real serum\</t>
  </si>
  <si>
    <t>RCD-A-12 (Reference)</t>
  </si>
  <si>
    <t>RCD-B-12(Standard).D</t>
  </si>
  <si>
    <t>RCD-B-12(Standard)</t>
  </si>
  <si>
    <t>RCD-F1-12 (Water Blank).D</t>
  </si>
  <si>
    <t>RCD-F1-12 (Water Blank)</t>
  </si>
  <si>
    <t>RCD-E1-12 (Plasma Blank).D</t>
  </si>
  <si>
    <t>RCD-E1-12 (Plasma Blank)</t>
  </si>
  <si>
    <t>RCD-C-12 (Standard).D</t>
  </si>
  <si>
    <t>RCD-C-12 (Standard)</t>
  </si>
  <si>
    <t>RCD-D-12 (Standard).D</t>
  </si>
  <si>
    <t>RCD-D-12 (Standard)</t>
  </si>
  <si>
    <t>RCD-G1-12.D</t>
  </si>
  <si>
    <t>RCD-G1-12</t>
  </si>
  <si>
    <t xml:space="preserve">Ratio: Alpha-A and B </t>
  </si>
  <si>
    <t>Standard type</t>
  </si>
  <si>
    <t>Notes</t>
  </si>
  <si>
    <t>prepared by DS, August 31st, 2017 (Acetonitrile)</t>
  </si>
  <si>
    <t>prepared by RCD, November 29th, 2018 (Acetonitrile)</t>
  </si>
  <si>
    <t>prepared by RCD, November 14th, 2018 (Ethyl acetate)</t>
  </si>
  <si>
    <t>Date of Sample Analysis: December 31, 2018</t>
  </si>
  <si>
    <t>Sample IDs</t>
  </si>
  <si>
    <r>
      <rPr>
        <b/>
        <sz val="12"/>
        <color theme="1"/>
        <rFont val="Calibri"/>
        <family val="2"/>
        <scheme val="minor"/>
      </rPr>
      <t>RCD:</t>
    </r>
    <r>
      <rPr>
        <sz val="11"/>
        <color theme="1"/>
        <rFont val="Calibri"/>
        <family val="2"/>
        <scheme val="minor"/>
      </rPr>
      <t xml:space="preserve"> Initials of analytical chemist </t>
    </r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</si>
  <si>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for References</t>
    </r>
  </si>
  <si>
    <r>
      <rPr>
        <b/>
        <sz val="12"/>
        <color theme="1"/>
        <rFont val="Calibri"/>
        <family val="2"/>
        <scheme val="minor"/>
      </rPr>
      <t>F1</t>
    </r>
    <r>
      <rPr>
        <b/>
        <sz val="11"/>
        <color theme="1"/>
        <rFont val="Calibri"/>
        <family val="2"/>
        <scheme val="minor"/>
      </rPr>
      <t xml:space="preserve"> etc.:</t>
    </r>
    <r>
      <rPr>
        <sz val="11"/>
        <color theme="1"/>
        <rFont val="Calibri"/>
        <family val="2"/>
        <scheme val="minor"/>
      </rPr>
      <t xml:space="preserve"> Water blanks</t>
    </r>
  </si>
  <si>
    <r>
      <rPr>
        <b/>
        <sz val="12"/>
        <color theme="1"/>
        <rFont val="Calibri"/>
        <family val="2"/>
        <scheme val="minor"/>
      </rPr>
      <t>E1</t>
    </r>
    <r>
      <rPr>
        <b/>
        <sz val="11"/>
        <color theme="1"/>
        <rFont val="Calibri"/>
        <family val="2"/>
        <scheme val="minor"/>
      </rPr>
      <t xml:space="preserve"> etc.:</t>
    </r>
    <r>
      <rPr>
        <sz val="11"/>
        <color theme="1"/>
        <rFont val="Calibri"/>
        <family val="2"/>
        <scheme val="minor"/>
      </rPr>
      <t xml:space="preserve"> Plasma blanks</t>
    </r>
  </si>
  <si>
    <r>
      <rPr>
        <b/>
        <sz val="12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2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Ongoing Precision and Recovery (OPR) standard</t>
    </r>
  </si>
  <si>
    <r>
      <rPr>
        <b/>
        <sz val="12"/>
        <color theme="1"/>
        <rFont val="Calibri"/>
        <family val="2"/>
        <scheme val="minor"/>
      </rPr>
      <t>G1</t>
    </r>
    <r>
      <rPr>
        <b/>
        <sz val="11"/>
        <color theme="1"/>
        <rFont val="Calibri"/>
        <family val="2"/>
        <scheme val="minor"/>
      </rPr>
      <t xml:space="preserve"> etc.:</t>
    </r>
    <r>
      <rPr>
        <sz val="11"/>
        <color theme="1"/>
        <rFont val="Calibri"/>
        <family val="2"/>
        <scheme val="minor"/>
      </rPr>
      <t xml:space="preserve"> Actual samples</t>
    </r>
  </si>
  <si>
    <r>
      <rPr>
        <b/>
        <sz val="12"/>
        <color theme="1"/>
        <rFont val="Calibri"/>
        <family val="2"/>
        <scheme val="minor"/>
      </rPr>
      <t>12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Number of the experimental 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</si>
</sst>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>
    <font>
      <sz val="11"/>
      <color theme="1"/>
      <name val="Calibri"/>
      <family val="2"/>
      <scheme val="minor"/>
    </font>
    <font>
      <i/>
      <sz val="10"/>
      <name val="Arial CE"/>
      <family val="2"/>
    </font>
    <font>
      <b/>
      <sz val="10"/>
      <name val="Arial CE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E"/>
    </font>
    <font>
      <b/>
      <sz val="11"/>
      <color rgb="FF3F3F3F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rial CE"/>
      <family val="2"/>
    </font>
    <font>
      <b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indexed="27"/>
      </patternFill>
    </fill>
    <fill>
      <patternFill patternType="solid">
        <fgColor rgb="FFFFFF00"/>
        <bgColor indexed="41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41"/>
      </patternFill>
    </fill>
    <fill>
      <patternFill patternType="solid">
        <fgColor rgb="FF002060"/>
        <bgColor indexed="64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rgb="FFFF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/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1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/>
      <bottom style="thin">
        <color indexed="64"/>
      </bottom>
      <diagonal/>
    </border>
  </borders>
  <cellStyleXfs count="6">
    <xf numFmtId="0" fontId="0" fillId="0" borderId="0"/>
    <xf numFmtId="0" fontId="5" fillId="13" borderId="0" applyNumberFormat="0" applyBorder="0" applyAlignment="0" applyProtection="0"/>
    <xf numFmtId="0" fontId="4" fillId="14" borderId="0" applyNumberFormat="0" applyAlignment="0">
      <protection locked="0"/>
    </xf>
    <xf numFmtId="0" fontId="6" fillId="8" borderId="7" applyNumberFormat="0" applyAlignment="0" applyProtection="0"/>
    <xf numFmtId="0" fontId="13" fillId="11" borderId="0" applyNumberFormat="0" applyBorder="0" applyAlignment="0" applyProtection="0"/>
    <xf numFmtId="0" fontId="7" fillId="12" borderId="14" applyNumberFormat="0" applyFont="0" applyAlignment="0" applyProtection="0"/>
  </cellStyleXfs>
  <cellXfs count="97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Fill="1"/>
    <xf numFmtId="2" fontId="0" fillId="0" borderId="0" xfId="0" applyNumberFormat="1"/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5" xfId="0" applyNumberForma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4" borderId="6" xfId="0" applyFill="1" applyBorder="1"/>
    <xf numFmtId="2" fontId="0" fillId="0" borderId="2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0" xfId="0" applyFill="1"/>
    <xf numFmtId="0" fontId="0" fillId="4" borderId="0" xfId="0" applyFill="1"/>
    <xf numFmtId="0" fontId="0" fillId="5" borderId="11" xfId="0" applyFill="1" applyBorder="1"/>
    <xf numFmtId="2" fontId="0" fillId="9" borderId="12" xfId="0" applyNumberFormat="1" applyFill="1" applyBorder="1" applyAlignment="1">
      <alignment horizontal="center"/>
    </xf>
    <xf numFmtId="164" fontId="0" fillId="5" borderId="13" xfId="0" applyNumberFormat="1" applyFill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22" fontId="0" fillId="0" borderId="0" xfId="0" applyNumberFormat="1"/>
    <xf numFmtId="0" fontId="12" fillId="14" borderId="0" xfId="2" applyFont="1">
      <protection locked="0"/>
    </xf>
    <xf numFmtId="0" fontId="0" fillId="0" borderId="0" xfId="0" applyAlignment="1">
      <alignment wrapText="1"/>
    </xf>
    <xf numFmtId="0" fontId="0" fillId="0" borderId="0" xfId="0"/>
    <xf numFmtId="0" fontId="4" fillId="14" borderId="0" xfId="2" applyFont="1" applyAlignment="1">
      <alignment horizontal="left"/>
      <protection locked="0"/>
    </xf>
    <xf numFmtId="0" fontId="4" fillId="14" borderId="0" xfId="2">
      <protection locked="0"/>
    </xf>
    <xf numFmtId="0" fontId="4" fillId="14" borderId="0" xfId="2" applyAlignment="1">
      <alignment horizontal="left"/>
      <protection locked="0"/>
    </xf>
    <xf numFmtId="2" fontId="4" fillId="14" borderId="2" xfId="2" applyNumberFormat="1" applyBorder="1" applyAlignment="1">
      <alignment horizontal="center"/>
      <protection locked="0"/>
    </xf>
    <xf numFmtId="0" fontId="4" fillId="15" borderId="7" xfId="3" applyFont="1" applyFill="1" applyAlignment="1">
      <alignment horizontal="center"/>
    </xf>
    <xf numFmtId="0" fontId="4" fillId="15" borderId="7" xfId="3" applyFont="1" applyFill="1"/>
    <xf numFmtId="0" fontId="4" fillId="15" borderId="7" xfId="3" applyFont="1" applyFill="1" applyAlignment="1">
      <alignment horizontal="right"/>
    </xf>
    <xf numFmtId="0" fontId="4" fillId="15" borderId="15" xfId="3" applyFont="1" applyFill="1" applyBorder="1" applyAlignment="1">
      <alignment horizontal="center"/>
    </xf>
    <xf numFmtId="2" fontId="0" fillId="4" borderId="16" xfId="0" applyNumberFormat="1" applyFill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14" borderId="2" xfId="2" applyBorder="1">
      <protection locked="0"/>
    </xf>
    <xf numFmtId="0" fontId="4" fillId="15" borderId="15" xfId="3" applyFont="1" applyFill="1" applyBorder="1"/>
    <xf numFmtId="0" fontId="4" fillId="14" borderId="2" xfId="2" applyBorder="1" applyAlignment="1">
      <alignment horizontal="left"/>
      <protection locked="0"/>
    </xf>
    <xf numFmtId="0" fontId="0" fillId="5" borderId="2" xfId="0" applyFill="1" applyBorder="1"/>
    <xf numFmtId="0" fontId="14" fillId="15" borderId="7" xfId="3" applyFont="1" applyFill="1" applyAlignment="1">
      <alignment horizontal="center"/>
    </xf>
    <xf numFmtId="0" fontId="0" fillId="0" borderId="0" xfId="0" applyAlignment="1"/>
    <xf numFmtId="2" fontId="0" fillId="0" borderId="10" xfId="0" applyNumberForma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0" fillId="5" borderId="23" xfId="0" applyFill="1" applyBorder="1"/>
    <xf numFmtId="0" fontId="0" fillId="4" borderId="24" xfId="0" applyFill="1" applyBorder="1"/>
    <xf numFmtId="0" fontId="0" fillId="12" borderId="25" xfId="5" applyFont="1" applyBorder="1"/>
    <xf numFmtId="0" fontId="0" fillId="5" borderId="24" xfId="0" applyFill="1" applyBorder="1"/>
    <xf numFmtId="0" fontId="0" fillId="0" borderId="26" xfId="0" applyBorder="1"/>
    <xf numFmtId="0" fontId="0" fillId="0" borderId="21" xfId="0" applyBorder="1"/>
    <xf numFmtId="0" fontId="0" fillId="0" borderId="27" xfId="0" applyBorder="1"/>
    <xf numFmtId="0" fontId="4" fillId="12" borderId="25" xfId="5" applyFont="1" applyBorder="1" applyAlignment="1">
      <alignment horizontal="left"/>
    </xf>
    <xf numFmtId="2" fontId="0" fillId="2" borderId="23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28" xfId="0" applyBorder="1"/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1" fontId="0" fillId="0" borderId="0" xfId="0" applyNumberFormat="1" applyAlignment="1">
      <alignment horizontal="center"/>
    </xf>
    <xf numFmtId="0" fontId="6" fillId="8" borderId="30" xfId="3" applyBorder="1" applyAlignment="1">
      <alignment horizontal="center"/>
    </xf>
    <xf numFmtId="2" fontId="6" fillId="8" borderId="30" xfId="3" applyNumberFormat="1" applyBorder="1" applyAlignment="1">
      <alignment horizontal="center"/>
    </xf>
    <xf numFmtId="2" fontId="5" fillId="13" borderId="31" xfId="1" applyNumberFormat="1" applyBorder="1" applyAlignment="1">
      <alignment horizontal="center"/>
    </xf>
    <xf numFmtId="2" fontId="5" fillId="13" borderId="32" xfId="1" applyNumberFormat="1" applyBorder="1" applyAlignment="1">
      <alignment horizontal="center"/>
    </xf>
    <xf numFmtId="2" fontId="0" fillId="0" borderId="33" xfId="0" applyNumberFormat="1" applyBorder="1" applyAlignment="1">
      <alignment horizontal="left"/>
    </xf>
    <xf numFmtId="2" fontId="5" fillId="13" borderId="34" xfId="1" applyNumberFormat="1" applyBorder="1" applyAlignment="1">
      <alignment horizontal="center"/>
    </xf>
    <xf numFmtId="0" fontId="5" fillId="13" borderId="34" xfId="1" applyBorder="1" applyAlignment="1">
      <alignment horizontal="center"/>
    </xf>
    <xf numFmtId="0" fontId="5" fillId="13" borderId="31" xfId="1" applyBorder="1" applyAlignment="1">
      <alignment horizontal="center"/>
    </xf>
    <xf numFmtId="0" fontId="5" fillId="13" borderId="32" xfId="1" applyBorder="1" applyAlignment="1">
      <alignment horizontal="center"/>
    </xf>
    <xf numFmtId="0" fontId="11" fillId="10" borderId="35" xfId="0" applyFont="1" applyFill="1" applyBorder="1" applyAlignment="1">
      <alignment horizontal="center"/>
    </xf>
    <xf numFmtId="0" fontId="4" fillId="14" borderId="36" xfId="2" applyBorder="1" applyAlignment="1">
      <alignment horizontal="center"/>
      <protection locked="0"/>
    </xf>
    <xf numFmtId="0" fontId="4" fillId="14" borderId="37" xfId="2" applyBorder="1" applyAlignment="1">
      <alignment horizontal="center"/>
      <protection locked="0"/>
    </xf>
    <xf numFmtId="2" fontId="0" fillId="0" borderId="38" xfId="0" applyNumberFormat="1" applyBorder="1" applyAlignment="1">
      <alignment horizontal="left"/>
    </xf>
    <xf numFmtId="2" fontId="0" fillId="0" borderId="39" xfId="0" applyNumberFormat="1" applyBorder="1" applyAlignment="1">
      <alignment horizontal="left"/>
    </xf>
    <xf numFmtId="0" fontId="5" fillId="13" borderId="40" xfId="1" applyBorder="1" applyAlignment="1">
      <alignment horizontal="center"/>
    </xf>
    <xf numFmtId="0" fontId="5" fillId="13" borderId="41" xfId="1" applyBorder="1" applyAlignment="1">
      <alignment horizontal="center"/>
    </xf>
    <xf numFmtId="0" fontId="5" fillId="13" borderId="42" xfId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15" borderId="18" xfId="3" applyFont="1" applyFill="1" applyBorder="1" applyAlignment="1">
      <alignment horizontal="center"/>
    </xf>
    <xf numFmtId="0" fontId="15" fillId="15" borderId="19" xfId="3" applyFont="1" applyFill="1" applyBorder="1" applyAlignment="1">
      <alignment horizontal="center"/>
    </xf>
    <xf numFmtId="0" fontId="15" fillId="15" borderId="20" xfId="3" applyFont="1" applyFill="1" applyBorder="1" applyAlignment="1">
      <alignment horizontal="center"/>
    </xf>
    <xf numFmtId="0" fontId="4" fillId="15" borderId="7" xfId="3" applyFont="1" applyFill="1" applyAlignment="1">
      <alignment horizontal="center"/>
    </xf>
    <xf numFmtId="0" fontId="4" fillId="15" borderId="15" xfId="3" applyFont="1" applyFill="1" applyBorder="1" applyAlignment="1">
      <alignment horizontal="center"/>
    </xf>
  </cellXfs>
  <cellStyles count="6">
    <cellStyle name="Bad" xfId="2" builtinId="27" customBuiltin="1"/>
    <cellStyle name="Good" xfId="1" builtinId="26" customBuiltin="1"/>
    <cellStyle name="Neutral" xfId="4" builtinId="28" hidden="1"/>
    <cellStyle name="Normal" xfId="0" builtinId="0"/>
    <cellStyle name="Note" xfId="5" builtinId="10" customBuiltin="1"/>
    <cellStyle name="Output" xfId="3" builtinId="21"/>
  </cellStyles>
  <dxfs count="0"/>
  <tableStyles count="0" defaultTableStyle="TableStyleMedium2" defaultPivotStyle="PivotStyleLight16"/>
  <colors>
    <mruColors>
      <color rgb="FFFF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activeCell="F34" sqref="F34"/>
    </sheetView>
  </sheetViews>
  <sheetFormatPr defaultRowHeight="14.5"/>
  <cols>
    <col min="1" max="1" width="8.54296875" customWidth="1"/>
    <col min="2" max="2" width="35" customWidth="1"/>
    <col min="3" max="3" width="19.26953125" customWidth="1"/>
    <col min="4" max="4" width="13.7265625" customWidth="1"/>
    <col min="5" max="5" width="11.7265625" customWidth="1"/>
    <col min="6" max="6" width="18.1796875" customWidth="1"/>
    <col min="7" max="7" width="49.26953125" customWidth="1"/>
    <col min="8" max="8" width="33.1796875" customWidth="1"/>
    <col min="9" max="9" width="17.26953125" customWidth="1"/>
    <col min="12" max="12" width="18.453125" customWidth="1"/>
    <col min="14" max="14" width="14.1796875" customWidth="1"/>
  </cols>
  <sheetData>
    <row r="1" spans="1:13">
      <c r="A1" t="s">
        <v>29</v>
      </c>
      <c r="G1" s="35" t="s">
        <v>56</v>
      </c>
    </row>
    <row r="2" spans="1:13">
      <c r="A2" t="s">
        <v>35</v>
      </c>
      <c r="B2" t="s">
        <v>23</v>
      </c>
      <c r="C2" t="s">
        <v>36</v>
      </c>
      <c r="D2" t="s">
        <v>21</v>
      </c>
    </row>
    <row r="3" spans="1:13">
      <c r="A3" s="34">
        <v>43465.70416666667</v>
      </c>
      <c r="B3" t="s">
        <v>24</v>
      </c>
      <c r="C3">
        <v>51</v>
      </c>
    </row>
    <row r="4" spans="1:13">
      <c r="A4" t="s">
        <v>37</v>
      </c>
      <c r="F4" s="3"/>
      <c r="G4" s="2"/>
      <c r="H4" s="3"/>
      <c r="I4" s="3"/>
    </row>
    <row r="5" spans="1:13">
      <c r="F5" s="3"/>
      <c r="G5" s="2"/>
      <c r="H5" s="3"/>
      <c r="I5" s="3"/>
    </row>
    <row r="6" spans="1:13">
      <c r="A6" s="1"/>
      <c r="B6" s="4"/>
      <c r="C6" s="3"/>
      <c r="D6" s="2"/>
      <c r="E6" s="2"/>
      <c r="F6" s="3"/>
      <c r="G6" s="2"/>
      <c r="H6" s="3"/>
      <c r="I6" s="3"/>
    </row>
    <row r="7" spans="1:13">
      <c r="A7" s="5" t="s">
        <v>0</v>
      </c>
      <c r="B7" s="6" t="s">
        <v>19</v>
      </c>
      <c r="C7" s="6" t="s">
        <v>1</v>
      </c>
      <c r="D7" s="7" t="s">
        <v>2</v>
      </c>
      <c r="E7" s="7" t="s">
        <v>22</v>
      </c>
      <c r="F7" s="6" t="s">
        <v>3</v>
      </c>
      <c r="G7" s="7" t="s">
        <v>4</v>
      </c>
      <c r="H7" s="3"/>
      <c r="I7" s="3"/>
    </row>
    <row r="8" spans="1:13">
      <c r="A8" s="5">
        <v>1</v>
      </c>
      <c r="B8" s="27" t="s">
        <v>31</v>
      </c>
      <c r="C8" s="62">
        <v>248335322</v>
      </c>
      <c r="D8" s="72">
        <v>44.77</v>
      </c>
      <c r="E8" s="2">
        <f>D8/$D$9</f>
        <v>0.81339365200486924</v>
      </c>
      <c r="F8" s="90">
        <v>25</v>
      </c>
      <c r="G8" s="8">
        <f>F8*$C$9/(C8*$F$9)</f>
        <v>0.74280630928531388</v>
      </c>
      <c r="H8" s="3"/>
      <c r="I8" s="2"/>
      <c r="L8" s="14"/>
      <c r="M8" s="14"/>
    </row>
    <row r="9" spans="1:13">
      <c r="A9" s="5">
        <v>2</v>
      </c>
      <c r="B9" s="28" t="s">
        <v>11</v>
      </c>
      <c r="C9" s="63">
        <v>184465044</v>
      </c>
      <c r="D9" s="72">
        <v>55.040999999999997</v>
      </c>
      <c r="E9" s="2">
        <f>D9/$D$9</f>
        <v>1</v>
      </c>
      <c r="F9" s="90">
        <v>25</v>
      </c>
      <c r="G9" s="8">
        <f>F9*$C$9/(C9*$F$9)</f>
        <v>1</v>
      </c>
      <c r="H9" s="3"/>
      <c r="I9" s="2"/>
      <c r="L9" s="14"/>
      <c r="M9" s="14"/>
    </row>
    <row r="10" spans="1:13">
      <c r="A10" s="5">
        <v>3</v>
      </c>
      <c r="B10" s="28" t="s">
        <v>12</v>
      </c>
      <c r="C10" s="63">
        <v>62410522</v>
      </c>
      <c r="D10" s="72">
        <v>54.027999999999999</v>
      </c>
      <c r="E10" s="2">
        <f>D10/$D$9</f>
        <v>0.98159553787176834</v>
      </c>
      <c r="F10" s="90">
        <v>25</v>
      </c>
      <c r="G10" s="8">
        <f>F10*$C$10/(C10*$F$10)</f>
        <v>1</v>
      </c>
      <c r="H10" s="3"/>
      <c r="I10" s="2"/>
      <c r="L10" s="14"/>
      <c r="M10" s="14"/>
    </row>
    <row r="11" spans="1:13">
      <c r="A11" s="5">
        <v>5</v>
      </c>
      <c r="B11" s="60" t="s">
        <v>13</v>
      </c>
      <c r="C11" s="63">
        <v>232011833</v>
      </c>
      <c r="D11" s="72">
        <v>48.145000000000003</v>
      </c>
      <c r="E11" s="2">
        <f t="shared" ref="E11:E12" si="0">D11/$D$9</f>
        <v>0.8747115786413765</v>
      </c>
      <c r="F11" s="91">
        <v>25</v>
      </c>
      <c r="G11" s="8">
        <f>F11*$C$9/(C11*$F$9)</f>
        <v>0.79506739641163049</v>
      </c>
      <c r="H11" s="3"/>
      <c r="I11" s="2"/>
      <c r="L11" s="14"/>
      <c r="M11" s="14"/>
    </row>
    <row r="12" spans="1:13">
      <c r="A12" s="5">
        <v>6</v>
      </c>
      <c r="B12" s="60" t="s">
        <v>14</v>
      </c>
      <c r="C12" s="63">
        <v>222862327</v>
      </c>
      <c r="D12" s="72">
        <v>48.822000000000003</v>
      </c>
      <c r="E12" s="2">
        <f t="shared" si="0"/>
        <v>0.88701150051779598</v>
      </c>
      <c r="F12" s="91">
        <v>25</v>
      </c>
      <c r="G12" s="8">
        <f>F12*$C$9/(C12*$F$9)</f>
        <v>0.82770850723460321</v>
      </c>
      <c r="H12" s="3"/>
      <c r="I12" s="3"/>
      <c r="L12" s="14"/>
      <c r="M12" s="14"/>
    </row>
    <row r="13" spans="1:13">
      <c r="A13" s="5">
        <v>7</v>
      </c>
      <c r="B13" s="27" t="s">
        <v>15</v>
      </c>
      <c r="C13" s="63">
        <v>234315948</v>
      </c>
      <c r="D13" s="72">
        <v>43.753999999999998</v>
      </c>
      <c r="E13" s="2">
        <f>D13/$D$9</f>
        <v>0.7949346850529605</v>
      </c>
      <c r="F13" s="91">
        <v>25</v>
      </c>
      <c r="G13" s="8">
        <f>F13*$C$9/(C13*$F$9)</f>
        <v>0.78724920593113024</v>
      </c>
      <c r="H13" s="3"/>
      <c r="I13" s="3"/>
      <c r="L13" s="14"/>
      <c r="M13" s="14"/>
    </row>
    <row r="14" spans="1:13">
      <c r="A14" s="5">
        <v>8</v>
      </c>
      <c r="B14" s="65" t="s">
        <v>20</v>
      </c>
      <c r="C14" s="64">
        <f>SUM(C11:C12)</f>
        <v>454874160</v>
      </c>
      <c r="E14" s="15"/>
      <c r="F14" s="91">
        <f>F11</f>
        <v>25</v>
      </c>
      <c r="G14" s="8">
        <f>F14*$C$9/(C14*$F$9)</f>
        <v>0.40552983708725066</v>
      </c>
      <c r="H14" s="3"/>
      <c r="I14" s="3"/>
      <c r="L14" s="14"/>
      <c r="M14" s="14"/>
    </row>
    <row r="15" spans="1:13" s="37" customFormat="1">
      <c r="A15" s="53">
        <v>9</v>
      </c>
      <c r="B15" s="43" t="s">
        <v>50</v>
      </c>
      <c r="C15" s="44" t="str">
        <f>SUBSTITUTE(TEXT(C11/C12,"#/#"),"/",":")</f>
        <v>1:1</v>
      </c>
      <c r="D15" s="92"/>
      <c r="E15" s="93"/>
      <c r="F15" s="94"/>
      <c r="G15" s="54"/>
      <c r="I15" s="3" t="s">
        <v>10</v>
      </c>
    </row>
    <row r="16" spans="1:13" ht="15" thickBot="1">
      <c r="A16" s="1"/>
      <c r="B16" s="4"/>
      <c r="C16" s="3"/>
      <c r="D16" s="2"/>
      <c r="E16" s="2"/>
      <c r="F16" s="3"/>
      <c r="G16" s="2"/>
    </row>
    <row r="17" spans="1:7" ht="15" customHeight="1">
      <c r="A17" s="1"/>
      <c r="B17" s="25" t="s">
        <v>51</v>
      </c>
      <c r="C17" s="73" t="s">
        <v>26</v>
      </c>
      <c r="D17" s="74" t="s">
        <v>27</v>
      </c>
      <c r="E17" s="74"/>
      <c r="F17" s="73" t="s">
        <v>33</v>
      </c>
      <c r="G17" s="55" t="s">
        <v>52</v>
      </c>
    </row>
    <row r="18" spans="1:7" ht="15" customHeight="1">
      <c r="A18" s="1"/>
      <c r="B18" s="82" t="s">
        <v>34</v>
      </c>
      <c r="C18" s="80" t="s">
        <v>25</v>
      </c>
      <c r="D18" s="75" t="s">
        <v>28</v>
      </c>
      <c r="E18" s="75"/>
      <c r="F18" s="87">
        <v>100</v>
      </c>
      <c r="G18" s="85" t="s">
        <v>53</v>
      </c>
    </row>
    <row r="19" spans="1:7">
      <c r="A19" s="1"/>
      <c r="B19" s="83" t="s">
        <v>16</v>
      </c>
      <c r="C19" s="79" t="s">
        <v>32</v>
      </c>
      <c r="D19" s="78" t="s">
        <v>28</v>
      </c>
      <c r="E19" s="78"/>
      <c r="F19" s="88">
        <v>100</v>
      </c>
      <c r="G19" s="77" t="s">
        <v>54</v>
      </c>
    </row>
    <row r="20" spans="1:7" ht="15" thickBot="1">
      <c r="A20" s="1"/>
      <c r="B20" s="84" t="s">
        <v>5</v>
      </c>
      <c r="C20" s="81" t="s">
        <v>11</v>
      </c>
      <c r="D20" s="76" t="s">
        <v>30</v>
      </c>
      <c r="E20" s="76"/>
      <c r="F20" s="89">
        <v>200</v>
      </c>
      <c r="G20" s="86" t="s">
        <v>55</v>
      </c>
    </row>
    <row r="21" spans="1:7" ht="15" thickBot="1">
      <c r="A21" s="1"/>
      <c r="B21" s="3"/>
      <c r="C21" s="3"/>
      <c r="D21" s="21"/>
      <c r="E21" s="21"/>
      <c r="F21" s="21"/>
      <c r="G21" s="26"/>
    </row>
    <row r="22" spans="1:7">
      <c r="A22" s="1"/>
      <c r="B22" s="57" t="s">
        <v>57</v>
      </c>
      <c r="C22" s="56"/>
      <c r="D22" s="56"/>
      <c r="E22" s="21"/>
      <c r="F22" s="21"/>
      <c r="G22" s="3"/>
    </row>
    <row r="23" spans="1:7" ht="15.5">
      <c r="A23" s="1"/>
      <c r="B23" s="68" t="s">
        <v>58</v>
      </c>
      <c r="C23" s="3"/>
      <c r="D23" s="3"/>
      <c r="E23" s="3"/>
      <c r="F23" s="3"/>
      <c r="G23" s="3"/>
    </row>
    <row r="24" spans="1:7" ht="15.5">
      <c r="B24" s="69" t="s">
        <v>59</v>
      </c>
    </row>
    <row r="25" spans="1:7" ht="15.5">
      <c r="B25" s="70" t="s">
        <v>60</v>
      </c>
    </row>
    <row r="26" spans="1:7" ht="15.5">
      <c r="B26" s="70" t="s">
        <v>61</v>
      </c>
      <c r="C26" s="36"/>
    </row>
    <row r="27" spans="1:7" ht="30">
      <c r="B27" s="70" t="s">
        <v>62</v>
      </c>
      <c r="C27" s="36"/>
    </row>
    <row r="28" spans="1:7" ht="15.5">
      <c r="B28" s="69" t="s">
        <v>63</v>
      </c>
    </row>
    <row r="29" spans="1:7" ht="16" thickBot="1">
      <c r="B29" s="71" t="s">
        <v>64</v>
      </c>
    </row>
  </sheetData>
  <mergeCells count="1">
    <mergeCell ref="D15:F15"/>
  </mergeCells>
  <pageMargins left="0.7" right="0.7" top="0.75" bottom="0.75" header="0.3" footer="0.3"/>
  <pageSetup orientation="portrait" horizontalDpi="4294967294" verticalDpi="4294967294" r:id="rId1"/>
  <ignoredErrors>
    <ignoredError sqref="C1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selection activeCell="E24" sqref="E24"/>
    </sheetView>
  </sheetViews>
  <sheetFormatPr defaultRowHeight="14.5"/>
  <cols>
    <col min="2" max="2" width="21.81640625" customWidth="1"/>
    <col min="3" max="3" width="14.7265625" bestFit="1" customWidth="1"/>
    <col min="8" max="8" width="14.7265625" customWidth="1"/>
    <col min="9" max="9" width="20.54296875" customWidth="1"/>
  </cols>
  <sheetData>
    <row r="1" spans="1:9">
      <c r="A1" t="s">
        <v>29</v>
      </c>
    </row>
    <row r="2" spans="1:9">
      <c r="A2" t="s">
        <v>40</v>
      </c>
      <c r="B2" t="s">
        <v>23</v>
      </c>
      <c r="C2" t="s">
        <v>36</v>
      </c>
      <c r="D2" t="s">
        <v>21</v>
      </c>
    </row>
    <row r="3" spans="1:9">
      <c r="A3" s="34">
        <v>43465.915972222225</v>
      </c>
      <c r="B3" t="s">
        <v>24</v>
      </c>
      <c r="C3">
        <v>56</v>
      </c>
    </row>
    <row r="4" spans="1:9">
      <c r="A4" t="s">
        <v>41</v>
      </c>
    </row>
    <row r="5" spans="1:9">
      <c r="A5" s="1"/>
      <c r="B5" s="4"/>
      <c r="C5" s="3"/>
      <c r="D5" s="2"/>
      <c r="E5" s="2"/>
      <c r="F5" s="3"/>
      <c r="G5" s="2"/>
      <c r="H5" s="9"/>
      <c r="I5" s="2"/>
    </row>
    <row r="6" spans="1:9">
      <c r="A6" s="1"/>
      <c r="B6" s="6" t="s">
        <v>6</v>
      </c>
      <c r="C6" s="18">
        <v>25</v>
      </c>
      <c r="D6" s="2"/>
      <c r="E6" s="2"/>
      <c r="F6" s="3"/>
      <c r="G6" s="2"/>
      <c r="H6" s="9" t="s">
        <v>10</v>
      </c>
      <c r="I6" s="2"/>
    </row>
    <row r="7" spans="1:9">
      <c r="A7" s="1"/>
      <c r="B7" s="6" t="s">
        <v>17</v>
      </c>
      <c r="C7" s="16">
        <v>25</v>
      </c>
      <c r="D7" s="2"/>
      <c r="E7" s="2"/>
      <c r="F7" s="3"/>
      <c r="G7" s="2"/>
      <c r="H7" s="9"/>
      <c r="I7" s="2"/>
    </row>
    <row r="8" spans="1:9">
      <c r="A8" s="1"/>
      <c r="B8" s="6" t="s">
        <v>18</v>
      </c>
      <c r="C8" s="17">
        <v>25</v>
      </c>
      <c r="D8" s="2"/>
      <c r="E8" s="2"/>
      <c r="F8" s="3"/>
      <c r="G8" s="2"/>
      <c r="H8" s="9"/>
      <c r="I8" s="2"/>
    </row>
    <row r="9" spans="1:9">
      <c r="A9" s="1"/>
      <c r="B9" s="6" t="s">
        <v>7</v>
      </c>
      <c r="C9" s="22">
        <v>0.2</v>
      </c>
      <c r="D9" s="2"/>
      <c r="E9" s="2"/>
      <c r="F9" s="3"/>
      <c r="G9" s="2"/>
      <c r="H9" s="9"/>
      <c r="I9" s="2"/>
    </row>
    <row r="10" spans="1:9">
      <c r="A10" s="1"/>
      <c r="B10" s="4"/>
      <c r="C10" s="3"/>
      <c r="D10" s="2"/>
      <c r="E10" s="2"/>
      <c r="F10" s="3"/>
      <c r="G10" s="2"/>
      <c r="H10" s="9"/>
      <c r="I10" s="2"/>
    </row>
    <row r="11" spans="1:9">
      <c r="A11" s="5" t="s">
        <v>0</v>
      </c>
      <c r="B11" s="6" t="s">
        <v>19</v>
      </c>
      <c r="C11" s="6" t="s">
        <v>1</v>
      </c>
      <c r="D11" s="7" t="s">
        <v>2</v>
      </c>
      <c r="E11" s="7" t="s">
        <v>22</v>
      </c>
      <c r="F11" s="6" t="s">
        <v>4</v>
      </c>
      <c r="G11" s="10" t="s">
        <v>8</v>
      </c>
      <c r="H11" s="11" t="s">
        <v>9</v>
      </c>
      <c r="I11" s="10" t="s">
        <v>8</v>
      </c>
    </row>
    <row r="12" spans="1:9">
      <c r="A12" s="5">
        <v>1</v>
      </c>
      <c r="B12" s="58" t="s">
        <v>31</v>
      </c>
      <c r="C12" s="62">
        <v>244101159</v>
      </c>
      <c r="D12" s="72">
        <v>44.746000000000002</v>
      </c>
      <c r="E12" s="2">
        <f>D12/$D$13</f>
        <v>0.81326790258087966</v>
      </c>
      <c r="F12" s="12">
        <f>'RCD-A-12 (ref)'!G8</f>
        <v>0.74280630928531388</v>
      </c>
      <c r="G12" s="30">
        <f>F12*C12*($C$6/$C$13)</f>
        <v>18.96183395375245</v>
      </c>
      <c r="H12" s="31">
        <f>G12/C7</f>
        <v>0.75847335815009798</v>
      </c>
      <c r="I12" s="32"/>
    </row>
    <row r="13" spans="1:9">
      <c r="A13" s="5">
        <v>2</v>
      </c>
      <c r="B13" s="59" t="s">
        <v>11</v>
      </c>
      <c r="C13" s="63">
        <v>239058998</v>
      </c>
      <c r="D13" s="72">
        <v>55.02</v>
      </c>
      <c r="E13" s="2">
        <f t="shared" ref="E13:E17" si="0">D13/$D$13</f>
        <v>1</v>
      </c>
      <c r="F13" s="12">
        <f>'RCD-A-12 (ref)'!G9</f>
        <v>1</v>
      </c>
      <c r="G13" s="19">
        <f>C6</f>
        <v>25</v>
      </c>
      <c r="H13" s="13"/>
      <c r="I13" s="24"/>
    </row>
    <row r="14" spans="1:9">
      <c r="A14" s="5">
        <v>3</v>
      </c>
      <c r="B14" s="59" t="s">
        <v>12</v>
      </c>
      <c r="C14" s="63">
        <v>62315352</v>
      </c>
      <c r="D14" s="72">
        <v>54.003</v>
      </c>
      <c r="E14" s="2">
        <f>D14/$D$13</f>
        <v>0.98151581243184294</v>
      </c>
      <c r="F14" s="12">
        <f>'RCD-A-12 (ref)'!G10</f>
        <v>1</v>
      </c>
      <c r="G14" s="46">
        <f>C6</f>
        <v>25</v>
      </c>
      <c r="H14" s="9"/>
      <c r="I14" s="24"/>
    </row>
    <row r="15" spans="1:9">
      <c r="A15" s="5">
        <v>5</v>
      </c>
      <c r="B15" s="60" t="s">
        <v>13</v>
      </c>
      <c r="C15" s="63">
        <v>2313730</v>
      </c>
      <c r="D15" s="72">
        <v>48.040999999999997</v>
      </c>
      <c r="E15" s="2">
        <f>D15/$D$13</f>
        <v>0.87315521628498716</v>
      </c>
      <c r="F15" s="12">
        <f>'RCD-A-12 (ref)'!G11</f>
        <v>0.79506739641163049</v>
      </c>
      <c r="G15" s="41">
        <f>F15*C15*($C$6/$C$13)</f>
        <v>0.19237628603081086</v>
      </c>
      <c r="H15" s="9"/>
      <c r="I15" s="41">
        <f>G15</f>
        <v>0.19237628603081086</v>
      </c>
    </row>
    <row r="16" spans="1:9">
      <c r="A16" s="5">
        <v>6</v>
      </c>
      <c r="B16" s="60" t="s">
        <v>14</v>
      </c>
      <c r="C16" s="63">
        <v>1664590</v>
      </c>
      <c r="D16" s="72">
        <v>48.81</v>
      </c>
      <c r="E16" s="2">
        <f t="shared" si="0"/>
        <v>0.88713195201744821</v>
      </c>
      <c r="F16" s="12">
        <f>'RCD-A-12 (ref)'!G12</f>
        <v>0.82770850723460321</v>
      </c>
      <c r="G16" s="41">
        <f>F16*C16*($C$6/$C$13)</f>
        <v>0.14408527974103363</v>
      </c>
      <c r="H16" s="9"/>
      <c r="I16" s="41">
        <f>G16</f>
        <v>0.14408527974103363</v>
      </c>
    </row>
    <row r="17" spans="1:9">
      <c r="A17" s="5">
        <v>7</v>
      </c>
      <c r="B17" s="61" t="s">
        <v>15</v>
      </c>
      <c r="C17" s="63">
        <v>228491693</v>
      </c>
      <c r="D17" s="72">
        <v>43.734999999999999</v>
      </c>
      <c r="E17" s="2">
        <f t="shared" si="0"/>
        <v>0.79489276626681205</v>
      </c>
      <c r="F17" s="12">
        <f>'RCD-A-12 (ref)'!G13</f>
        <v>0.78724920593113024</v>
      </c>
      <c r="G17" s="47">
        <f>F17*C17*($C$6/$C$13)</f>
        <v>18.811245903836426</v>
      </c>
      <c r="H17" s="20">
        <f>G17/C8</f>
        <v>0.75244983615345706</v>
      </c>
      <c r="I17" s="24"/>
    </row>
    <row r="18" spans="1:9">
      <c r="A18" s="5">
        <v>8</v>
      </c>
      <c r="B18" s="38" t="s">
        <v>20</v>
      </c>
      <c r="C18" s="64">
        <f>SUM(C15:C16)</f>
        <v>3978320</v>
      </c>
      <c r="F18" s="12">
        <f>'RCD-A-12 (ref)'!G14</f>
        <v>0.40552983708725066</v>
      </c>
      <c r="G18" s="41">
        <f>F18*C18*($C$6/$C$13)</f>
        <v>0.16871645440856309</v>
      </c>
      <c r="H18" s="33"/>
      <c r="I18" s="41">
        <f>G18</f>
        <v>0.16871645440856309</v>
      </c>
    </row>
    <row r="19" spans="1:9" s="37" customFormat="1">
      <c r="A19" s="42">
        <v>9</v>
      </c>
      <c r="B19" s="43" t="s">
        <v>50</v>
      </c>
      <c r="C19" s="44" t="str">
        <f>SUBSTITUTE(TEXT(C15/C16,"#/#"),"/",":")</f>
        <v>7:5</v>
      </c>
      <c r="D19" s="95"/>
      <c r="E19" s="95"/>
      <c r="F19" s="95"/>
      <c r="G19" s="96"/>
      <c r="H19" s="95"/>
      <c r="I19" s="45" t="str">
        <f>SUBSTITUTE(TEXT(G15/G16,"#/#"),"/",":")</f>
        <v>4:3</v>
      </c>
    </row>
    <row r="22" spans="1:9">
      <c r="F22" s="15"/>
    </row>
    <row r="24" spans="1:9">
      <c r="F24" t="s">
        <v>10</v>
      </c>
    </row>
  </sheetData>
  <mergeCells count="1">
    <mergeCell ref="D19:H19"/>
  </mergeCells>
  <pageMargins left="0.7" right="0.7" top="0.75" bottom="0.75" header="0.3" footer="0.3"/>
  <pageSetup orientation="portrait" horizontalDpi="4294967294" verticalDpi="4294967294" r:id="rId1"/>
  <ignoredErrors>
    <ignoredError sqref="C18" formulaRange="1"/>
    <ignoredError sqref="I15 G15:G18 I16:I18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workbookViewId="0">
      <selection activeCell="E27" sqref="E27"/>
    </sheetView>
  </sheetViews>
  <sheetFormatPr defaultRowHeight="14.5"/>
  <cols>
    <col min="2" max="2" width="34.1796875" customWidth="1"/>
    <col min="3" max="3" width="14.7265625" bestFit="1" customWidth="1"/>
    <col min="8" max="8" width="14.7265625" customWidth="1"/>
    <col min="9" max="9" width="20.7265625" customWidth="1"/>
  </cols>
  <sheetData>
    <row r="1" spans="1:9">
      <c r="A1" t="s">
        <v>29</v>
      </c>
    </row>
    <row r="2" spans="1:9">
      <c r="A2" t="s">
        <v>42</v>
      </c>
      <c r="B2" t="s">
        <v>23</v>
      </c>
      <c r="C2" t="s">
        <v>36</v>
      </c>
      <c r="D2" t="s">
        <v>21</v>
      </c>
    </row>
    <row r="3" spans="1:9">
      <c r="A3" s="34">
        <v>43465.873611111114</v>
      </c>
      <c r="B3" t="s">
        <v>24</v>
      </c>
      <c r="C3">
        <v>55</v>
      </c>
    </row>
    <row r="4" spans="1:9">
      <c r="A4" t="s">
        <v>43</v>
      </c>
    </row>
    <row r="5" spans="1:9">
      <c r="A5" s="1"/>
      <c r="B5" s="4"/>
      <c r="C5" s="3"/>
      <c r="D5" s="2"/>
      <c r="E5" s="2"/>
      <c r="F5" s="3"/>
      <c r="G5" s="2"/>
      <c r="H5" s="9"/>
      <c r="I5" s="2"/>
    </row>
    <row r="6" spans="1:9">
      <c r="A6" s="1"/>
      <c r="B6" s="6" t="s">
        <v>6</v>
      </c>
      <c r="C6" s="18">
        <v>25</v>
      </c>
      <c r="D6" s="2"/>
      <c r="E6" s="2"/>
      <c r="F6" s="3"/>
      <c r="G6" s="2"/>
      <c r="H6" s="9" t="s">
        <v>10</v>
      </c>
      <c r="I6" s="2"/>
    </row>
    <row r="7" spans="1:9">
      <c r="A7" s="1"/>
      <c r="B7" s="6" t="s">
        <v>17</v>
      </c>
      <c r="C7" s="16">
        <v>25</v>
      </c>
      <c r="D7" s="2"/>
      <c r="E7" s="2"/>
      <c r="F7" s="3"/>
      <c r="G7" s="2"/>
      <c r="H7" s="9"/>
      <c r="I7" s="2"/>
    </row>
    <row r="8" spans="1:9">
      <c r="A8" s="1"/>
      <c r="B8" s="6" t="s">
        <v>18</v>
      </c>
      <c r="C8" s="17">
        <v>25</v>
      </c>
      <c r="D8" s="2"/>
      <c r="E8" s="2"/>
      <c r="F8" s="3"/>
      <c r="G8" s="2"/>
      <c r="H8" s="9"/>
      <c r="I8" s="2"/>
    </row>
    <row r="9" spans="1:9">
      <c r="A9" s="1"/>
      <c r="B9" s="6" t="s">
        <v>7</v>
      </c>
      <c r="C9" s="22">
        <v>0.2</v>
      </c>
      <c r="D9" s="2"/>
      <c r="E9" s="2"/>
      <c r="F9" s="3"/>
      <c r="G9" s="2"/>
      <c r="H9" s="9"/>
      <c r="I9" s="2"/>
    </row>
    <row r="10" spans="1:9">
      <c r="A10" s="1"/>
      <c r="B10" s="4"/>
      <c r="C10" s="3"/>
      <c r="D10" s="2"/>
      <c r="E10" s="2"/>
      <c r="F10" s="3"/>
      <c r="G10" s="2"/>
      <c r="H10" s="9"/>
      <c r="I10" s="2"/>
    </row>
    <row r="11" spans="1:9">
      <c r="A11" s="5" t="s">
        <v>0</v>
      </c>
      <c r="B11" s="6" t="s">
        <v>19</v>
      </c>
      <c r="C11" s="6" t="s">
        <v>1</v>
      </c>
      <c r="D11" s="7" t="s">
        <v>2</v>
      </c>
      <c r="E11" s="7" t="s">
        <v>22</v>
      </c>
      <c r="F11" s="6" t="s">
        <v>4</v>
      </c>
      <c r="G11" s="10" t="s">
        <v>8</v>
      </c>
      <c r="H11" s="11" t="s">
        <v>9</v>
      </c>
      <c r="I11" s="10" t="s">
        <v>8</v>
      </c>
    </row>
    <row r="12" spans="1:9">
      <c r="A12" s="5">
        <v>1</v>
      </c>
      <c r="B12" s="29" t="s">
        <v>31</v>
      </c>
      <c r="C12">
        <v>211661756</v>
      </c>
      <c r="D12" s="72">
        <v>44.747999999999998</v>
      </c>
      <c r="E12" s="2">
        <f>D12/$D$13</f>
        <v>0.81336338519703355</v>
      </c>
      <c r="F12" s="12">
        <f>'RCD-A-12 (ref)'!G8</f>
        <v>0.74280630928531388</v>
      </c>
      <c r="G12" s="30">
        <f>F12*C12*($C$6/$C$13)</f>
        <v>16.448434454309449</v>
      </c>
      <c r="H12" s="31">
        <f>G12/C7</f>
        <v>0.65793737817237796</v>
      </c>
      <c r="I12" s="32"/>
    </row>
    <row r="13" spans="1:9">
      <c r="A13" s="5">
        <v>2</v>
      </c>
      <c r="B13" s="23" t="s">
        <v>11</v>
      </c>
      <c r="C13">
        <v>238964517</v>
      </c>
      <c r="D13" s="72">
        <v>55.015999999999998</v>
      </c>
      <c r="E13" s="2">
        <f t="shared" ref="E13:E17" si="0">D13/$D$13</f>
        <v>1</v>
      </c>
      <c r="F13" s="12">
        <f>'RCD-A-12 (ref)'!G9</f>
        <v>1</v>
      </c>
      <c r="G13" s="19">
        <f>C6</f>
        <v>25</v>
      </c>
      <c r="H13" s="13"/>
      <c r="I13" s="24"/>
    </row>
    <row r="14" spans="1:9">
      <c r="A14" s="5">
        <v>3</v>
      </c>
      <c r="B14" s="23" t="s">
        <v>12</v>
      </c>
      <c r="C14">
        <v>60372827</v>
      </c>
      <c r="D14" s="72">
        <v>54.000999999999998</v>
      </c>
      <c r="E14" s="2">
        <f t="shared" si="0"/>
        <v>0.98155082157917695</v>
      </c>
      <c r="F14" s="12">
        <f>'RCD-A-12 (ref)'!G10</f>
        <v>1</v>
      </c>
      <c r="G14" s="46">
        <f>C6</f>
        <v>25</v>
      </c>
      <c r="H14" s="9"/>
      <c r="I14" s="24"/>
    </row>
    <row r="15" spans="1:9">
      <c r="A15" s="48">
        <v>5</v>
      </c>
      <c r="B15" s="49" t="s">
        <v>13</v>
      </c>
      <c r="C15">
        <v>2073141</v>
      </c>
      <c r="D15" s="72">
        <v>48.023000000000003</v>
      </c>
      <c r="E15" s="2">
        <f t="shared" si="0"/>
        <v>0.87289152246619173</v>
      </c>
      <c r="F15" s="12">
        <f>'RCD-A-12 (ref)'!G11</f>
        <v>0.79506739641163049</v>
      </c>
      <c r="G15" s="41">
        <f>F15*C15*($C$6/$C$13)</f>
        <v>0.17244054033178952</v>
      </c>
      <c r="H15" s="9"/>
      <c r="I15" s="41">
        <f>G15</f>
        <v>0.17244054033178952</v>
      </c>
    </row>
    <row r="16" spans="1:9">
      <c r="A16" s="48">
        <v>6</v>
      </c>
      <c r="B16" s="49" t="s">
        <v>14</v>
      </c>
      <c r="C16">
        <v>1579663</v>
      </c>
      <c r="D16" s="72">
        <v>48.82</v>
      </c>
      <c r="E16" s="2">
        <f t="shared" si="0"/>
        <v>0.88737821724589216</v>
      </c>
      <c r="F16" s="12">
        <f>'RCD-A-12 (ref)'!G12</f>
        <v>0.82770850723460321</v>
      </c>
      <c r="G16" s="41">
        <f>F16*C16*($C$6/$C$13)</f>
        <v>0.13678814328569699</v>
      </c>
      <c r="H16" s="9"/>
      <c r="I16" s="41">
        <f>G16</f>
        <v>0.13678814328569699</v>
      </c>
    </row>
    <row r="17" spans="1:9">
      <c r="A17" s="48">
        <v>7</v>
      </c>
      <c r="B17" s="52" t="s">
        <v>15</v>
      </c>
      <c r="C17">
        <v>190802147</v>
      </c>
      <c r="D17" s="72">
        <v>43.735999999999997</v>
      </c>
      <c r="E17" s="2">
        <f t="shared" si="0"/>
        <v>0.79496873636760212</v>
      </c>
      <c r="F17" s="12">
        <f>'RCD-A-12 (ref)'!G13</f>
        <v>0.78724920593113024</v>
      </c>
      <c r="G17" s="24">
        <f>F17*C17*($C$6/$C$13)</f>
        <v>15.714554675465141</v>
      </c>
      <c r="H17" s="20">
        <f>G17/C8</f>
        <v>0.62858218701860569</v>
      </c>
      <c r="I17" s="24"/>
    </row>
    <row r="18" spans="1:9">
      <c r="A18" s="48">
        <v>8</v>
      </c>
      <c r="B18" s="51" t="s">
        <v>20</v>
      </c>
      <c r="C18">
        <f>SUM(C15:C16)</f>
        <v>3652804</v>
      </c>
      <c r="F18" s="12">
        <f>'RCD-A-12 (ref)'!G14</f>
        <v>0.40552983708725066</v>
      </c>
      <c r="G18" s="41">
        <f>F18*C18*($C$6/$C$13)</f>
        <v>0.15497290451616061</v>
      </c>
      <c r="H18" s="33"/>
      <c r="I18" s="41">
        <f>G18</f>
        <v>0.15497290451616061</v>
      </c>
    </row>
    <row r="19" spans="1:9" s="37" customFormat="1">
      <c r="A19" s="42">
        <v>9</v>
      </c>
      <c r="B19" s="50" t="s">
        <v>50</v>
      </c>
      <c r="C19" s="44" t="str">
        <f>SUBSTITUTE(TEXT(C15/C16,"#/#"),"/",":")</f>
        <v>4:3</v>
      </c>
      <c r="D19" s="95"/>
      <c r="E19" s="95"/>
      <c r="F19" s="95"/>
      <c r="G19" s="96"/>
      <c r="H19" s="95"/>
      <c r="I19" s="45" t="str">
        <f>SUBSTITUTE(TEXT(G15/G16,"#/#"),"/",":")</f>
        <v>5:4</v>
      </c>
    </row>
    <row r="22" spans="1:9">
      <c r="F22" s="15"/>
    </row>
    <row r="24" spans="1:9">
      <c r="F24" t="s">
        <v>10</v>
      </c>
    </row>
  </sheetData>
  <mergeCells count="1">
    <mergeCell ref="D19:H19"/>
  </mergeCells>
  <pageMargins left="0.7" right="0.7" top="0.75" bottom="0.75" header="0.3" footer="0.3"/>
  <pageSetup orientation="portrait" horizontalDpi="4294967294" verticalDpi="4294967294" r:id="rId1"/>
  <ignoredErrors>
    <ignoredError sqref="C18" formulaRange="1"/>
    <ignoredError sqref="G15:I1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workbookViewId="0">
      <selection activeCell="E26" sqref="E26"/>
    </sheetView>
  </sheetViews>
  <sheetFormatPr defaultRowHeight="14.5"/>
  <cols>
    <col min="2" max="2" width="27.7265625" customWidth="1"/>
    <col min="3" max="3" width="14.7265625" customWidth="1"/>
    <col min="8" max="8" width="14.7265625" customWidth="1"/>
    <col min="9" max="9" width="20.7265625" customWidth="1"/>
  </cols>
  <sheetData>
    <row r="1" spans="1:9">
      <c r="A1" t="s">
        <v>29</v>
      </c>
    </row>
    <row r="2" spans="1:9">
      <c r="A2" t="s">
        <v>38</v>
      </c>
      <c r="B2" t="s">
        <v>23</v>
      </c>
      <c r="C2" t="s">
        <v>36</v>
      </c>
      <c r="D2" t="s">
        <v>21</v>
      </c>
    </row>
    <row r="3" spans="1:9">
      <c r="A3" s="34">
        <v>43465.746527777781</v>
      </c>
      <c r="B3" t="s">
        <v>24</v>
      </c>
      <c r="C3">
        <v>52</v>
      </c>
    </row>
    <row r="4" spans="1:9">
      <c r="A4" t="s">
        <v>39</v>
      </c>
    </row>
    <row r="5" spans="1:9">
      <c r="A5" s="1"/>
      <c r="B5" s="4"/>
      <c r="C5" s="3"/>
      <c r="D5" s="2"/>
      <c r="E5" s="2"/>
      <c r="F5" s="3"/>
      <c r="G5" s="2"/>
      <c r="H5" s="9"/>
      <c r="I5" s="2"/>
    </row>
    <row r="6" spans="1:9">
      <c r="A6" s="1"/>
      <c r="B6" s="6" t="s">
        <v>6</v>
      </c>
      <c r="C6" s="18">
        <v>25</v>
      </c>
      <c r="D6" s="2"/>
      <c r="E6" s="2"/>
      <c r="F6" s="3"/>
      <c r="G6" s="2"/>
      <c r="H6" s="9" t="s">
        <v>10</v>
      </c>
      <c r="I6" s="2"/>
    </row>
    <row r="7" spans="1:9">
      <c r="A7" s="1"/>
      <c r="B7" s="6" t="s">
        <v>17</v>
      </c>
      <c r="C7" s="16">
        <v>25</v>
      </c>
      <c r="D7" s="2"/>
      <c r="E7" s="2"/>
      <c r="F7" s="3"/>
      <c r="G7" s="2"/>
      <c r="H7" s="9"/>
      <c r="I7" s="2"/>
    </row>
    <row r="8" spans="1:9">
      <c r="A8" s="1"/>
      <c r="B8" s="6" t="s">
        <v>18</v>
      </c>
      <c r="C8" s="17">
        <v>25</v>
      </c>
      <c r="D8" s="2"/>
      <c r="E8" s="2"/>
      <c r="F8" s="3"/>
      <c r="G8" s="2"/>
      <c r="H8" s="9"/>
      <c r="I8" s="2"/>
    </row>
    <row r="9" spans="1:9">
      <c r="A9" s="1"/>
      <c r="B9" s="6" t="s">
        <v>7</v>
      </c>
      <c r="C9" s="22">
        <v>0.2</v>
      </c>
      <c r="D9" s="2"/>
      <c r="E9" s="2"/>
      <c r="F9" s="3"/>
      <c r="G9" s="2"/>
      <c r="H9" s="9"/>
      <c r="I9" s="2"/>
    </row>
    <row r="10" spans="1:9">
      <c r="A10" s="1"/>
      <c r="B10" s="4"/>
      <c r="C10" s="3"/>
      <c r="D10" s="2"/>
      <c r="E10" s="2"/>
      <c r="F10" s="3"/>
      <c r="G10" s="2"/>
      <c r="H10" s="9"/>
      <c r="I10" s="2"/>
    </row>
    <row r="11" spans="1:9">
      <c r="A11" s="5" t="s">
        <v>0</v>
      </c>
      <c r="B11" s="6" t="s">
        <v>19</v>
      </c>
      <c r="C11" s="6" t="s">
        <v>1</v>
      </c>
      <c r="D11" s="7" t="s">
        <v>2</v>
      </c>
      <c r="E11" s="7" t="s">
        <v>22</v>
      </c>
      <c r="F11" s="6" t="s">
        <v>4</v>
      </c>
      <c r="G11" s="10" t="s">
        <v>8</v>
      </c>
      <c r="H11" s="11" t="s">
        <v>9</v>
      </c>
      <c r="I11" s="10" t="s">
        <v>8</v>
      </c>
    </row>
    <row r="12" spans="1:9">
      <c r="A12" s="5">
        <v>1</v>
      </c>
      <c r="B12" s="29" t="s">
        <v>31</v>
      </c>
      <c r="C12">
        <v>255899111</v>
      </c>
      <c r="D12" s="72">
        <v>44.761000000000003</v>
      </c>
      <c r="E12" s="2">
        <f>D12/$D$13</f>
        <v>0.81365883807169348</v>
      </c>
      <c r="F12" s="12">
        <f>'RCD-A-12 (ref)'!G8</f>
        <v>0.74280630928531388</v>
      </c>
      <c r="G12" s="30">
        <f>F12*C12*($C$6/$C$13)</f>
        <v>18.944091334614235</v>
      </c>
      <c r="H12" s="31">
        <f>G12/C7</f>
        <v>0.75776365338456941</v>
      </c>
      <c r="I12" s="32"/>
    </row>
    <row r="13" spans="1:9">
      <c r="A13" s="5">
        <v>2</v>
      </c>
      <c r="B13" s="23" t="s">
        <v>11</v>
      </c>
      <c r="C13">
        <v>250847970</v>
      </c>
      <c r="D13" s="72">
        <v>55.012</v>
      </c>
      <c r="E13" s="2">
        <f t="shared" ref="E13:E17" si="0">D13/$D$13</f>
        <v>1</v>
      </c>
      <c r="F13" s="12">
        <f>'RCD-A-12 (ref)'!G9</f>
        <v>1</v>
      </c>
      <c r="G13" s="19">
        <f>C6</f>
        <v>25</v>
      </c>
      <c r="H13" s="13"/>
      <c r="I13" s="24"/>
    </row>
    <row r="14" spans="1:9">
      <c r="A14" s="5">
        <v>3</v>
      </c>
      <c r="B14" s="23" t="s">
        <v>12</v>
      </c>
      <c r="C14">
        <v>66554753</v>
      </c>
      <c r="D14" s="72">
        <v>54</v>
      </c>
      <c r="E14" s="2">
        <f t="shared" si="0"/>
        <v>0.98160401366974481</v>
      </c>
      <c r="F14" s="12">
        <f>'RCD-A-12 (ref)'!G10</f>
        <v>1</v>
      </c>
      <c r="G14" s="46">
        <f>C6</f>
        <v>25</v>
      </c>
      <c r="H14" s="9"/>
      <c r="I14" s="24"/>
    </row>
    <row r="15" spans="1:9">
      <c r="A15" s="48">
        <v>5</v>
      </c>
      <c r="B15" s="49" t="s">
        <v>13</v>
      </c>
      <c r="C15">
        <v>220338950</v>
      </c>
      <c r="D15" s="72">
        <v>48.133000000000003</v>
      </c>
      <c r="E15" s="2">
        <f t="shared" si="0"/>
        <v>0.87495455536973754</v>
      </c>
      <c r="F15" s="12">
        <f>'RCD-A-12 (ref)'!G11</f>
        <v>0.79506739641163049</v>
      </c>
      <c r="G15" s="41">
        <f>F15*C15*($C$6/$C$13)</f>
        <v>17.459211978531499</v>
      </c>
      <c r="H15" s="9"/>
      <c r="I15" s="41">
        <f>G15</f>
        <v>17.459211978531499</v>
      </c>
    </row>
    <row r="16" spans="1:9">
      <c r="A16" s="48">
        <v>6</v>
      </c>
      <c r="B16" s="49" t="s">
        <v>14</v>
      </c>
      <c r="C16">
        <v>215387542</v>
      </c>
      <c r="D16" s="72">
        <v>48.805</v>
      </c>
      <c r="E16" s="2">
        <f t="shared" si="0"/>
        <v>0.88717007198429432</v>
      </c>
      <c r="F16" s="12">
        <f>'RCD-A-12 (ref)'!G12</f>
        <v>0.82770850723460321</v>
      </c>
      <c r="G16" s="41">
        <f>F16*C16*($C$6/$C$13)</f>
        <v>17.767544707034144</v>
      </c>
      <c r="H16" s="9"/>
      <c r="I16" s="41">
        <f>G16</f>
        <v>17.767544707034144</v>
      </c>
    </row>
    <row r="17" spans="1:9">
      <c r="A17" s="48">
        <v>7</v>
      </c>
      <c r="B17" s="52" t="s">
        <v>15</v>
      </c>
      <c r="C17">
        <v>215402903</v>
      </c>
      <c r="D17" s="72">
        <v>44.747999999999998</v>
      </c>
      <c r="E17" s="2">
        <f t="shared" si="0"/>
        <v>0.8134225259943284</v>
      </c>
      <c r="F17" s="12">
        <f>'RCD-A-12 (ref)'!G13</f>
        <v>0.78724920593113024</v>
      </c>
      <c r="G17" s="47">
        <f>F17*C17*($C$6/$C$13)</f>
        <v>16.900252804717759</v>
      </c>
      <c r="H17" s="20">
        <f>G17/C8</f>
        <v>0.67601011218871032</v>
      </c>
      <c r="I17" s="24"/>
    </row>
    <row r="18" spans="1:9">
      <c r="A18" s="48">
        <v>8</v>
      </c>
      <c r="B18" s="51" t="s">
        <v>20</v>
      </c>
      <c r="C18">
        <f>SUM(C15:C16)</f>
        <v>435726492</v>
      </c>
      <c r="F18" s="12">
        <f>'RCD-A-12 (ref)'!G14</f>
        <v>0.40552983708725066</v>
      </c>
      <c r="G18" s="41">
        <f>F18*C18*($C$6/$C$13)</f>
        <v>17.610277383883076</v>
      </c>
      <c r="H18" s="33"/>
      <c r="I18" s="41">
        <f>G18</f>
        <v>17.610277383883076</v>
      </c>
    </row>
    <row r="19" spans="1:9" s="37" customFormat="1">
      <c r="A19" s="42">
        <v>9</v>
      </c>
      <c r="B19" s="50" t="s">
        <v>50</v>
      </c>
      <c r="C19" s="44" t="str">
        <f>SUBSTITUTE(TEXT(C15/C16,"#/#"),"/",":")</f>
        <v>1:1</v>
      </c>
      <c r="D19" s="95"/>
      <c r="E19" s="95"/>
      <c r="F19" s="95"/>
      <c r="G19" s="96"/>
      <c r="H19" s="95"/>
      <c r="I19" s="45" t="str">
        <f>SUBSTITUTE(TEXT(G15/G16,"#/#"),"/",":")</f>
        <v>1:1</v>
      </c>
    </row>
    <row r="22" spans="1:9">
      <c r="F22" s="15"/>
    </row>
    <row r="24" spans="1:9">
      <c r="F24" t="s">
        <v>10</v>
      </c>
    </row>
  </sheetData>
  <mergeCells count="1">
    <mergeCell ref="D19:H19"/>
  </mergeCells>
  <pageMargins left="0.7" right="0.7" top="0.75" bottom="0.75" header="0.3" footer="0.3"/>
  <pageSetup orientation="portrait" horizontalDpi="4294967294" verticalDpi="4294967294" r:id="rId1"/>
  <ignoredErrors>
    <ignoredError sqref="C18" formulaRange="1"/>
    <ignoredError sqref="G15:I18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>
      <selection activeCell="G8" sqref="G8"/>
    </sheetView>
  </sheetViews>
  <sheetFormatPr defaultRowHeight="14.5"/>
  <cols>
    <col min="2" max="2" width="21.81640625" customWidth="1"/>
    <col min="3" max="3" width="14.7265625" bestFit="1" customWidth="1"/>
    <col min="8" max="8" width="14.7265625" customWidth="1"/>
    <col min="9" max="9" width="20.7265625" customWidth="1"/>
  </cols>
  <sheetData>
    <row r="1" spans="1:9">
      <c r="A1" t="s">
        <v>29</v>
      </c>
    </row>
    <row r="2" spans="1:9">
      <c r="A2" t="s">
        <v>44</v>
      </c>
      <c r="B2" t="s">
        <v>23</v>
      </c>
      <c r="C2" t="s">
        <v>36</v>
      </c>
      <c r="D2" t="s">
        <v>21</v>
      </c>
    </row>
    <row r="3" spans="1:9">
      <c r="A3" s="34">
        <v>43465.788888888892</v>
      </c>
      <c r="B3" t="s">
        <v>24</v>
      </c>
      <c r="C3">
        <v>53</v>
      </c>
    </row>
    <row r="4" spans="1:9">
      <c r="A4" t="s">
        <v>45</v>
      </c>
    </row>
    <row r="5" spans="1:9">
      <c r="A5" s="1"/>
      <c r="B5" s="4"/>
      <c r="C5" s="3"/>
      <c r="D5" s="2"/>
      <c r="E5" s="2"/>
      <c r="F5" s="3"/>
      <c r="G5" s="2"/>
      <c r="H5" s="9"/>
      <c r="I5" s="2"/>
    </row>
    <row r="6" spans="1:9">
      <c r="A6" s="1"/>
      <c r="B6" s="6" t="s">
        <v>6</v>
      </c>
      <c r="C6" s="18">
        <v>25</v>
      </c>
      <c r="D6" s="2"/>
      <c r="E6" s="2"/>
      <c r="F6" s="3"/>
      <c r="G6" s="2"/>
      <c r="H6" s="9" t="s">
        <v>10</v>
      </c>
      <c r="I6" s="2"/>
    </row>
    <row r="7" spans="1:9">
      <c r="A7" s="1"/>
      <c r="B7" s="6" t="s">
        <v>17</v>
      </c>
      <c r="C7" s="16">
        <v>25</v>
      </c>
      <c r="D7" s="2"/>
      <c r="E7" s="2"/>
      <c r="F7" s="3"/>
      <c r="G7" s="2"/>
      <c r="H7" s="9"/>
      <c r="I7" s="2"/>
    </row>
    <row r="8" spans="1:9">
      <c r="A8" s="1"/>
      <c r="B8" s="6" t="s">
        <v>18</v>
      </c>
      <c r="C8" s="17">
        <v>25</v>
      </c>
      <c r="D8" s="2"/>
      <c r="E8" s="2"/>
      <c r="F8" s="3"/>
      <c r="G8" s="2"/>
      <c r="H8" s="9"/>
      <c r="I8" s="2"/>
    </row>
    <row r="9" spans="1:9">
      <c r="A9" s="1"/>
      <c r="B9" s="6" t="s">
        <v>7</v>
      </c>
      <c r="C9" s="22">
        <v>0.2</v>
      </c>
      <c r="D9" s="2"/>
      <c r="E9" s="2"/>
      <c r="F9" s="3"/>
      <c r="G9" s="2"/>
      <c r="H9" s="9"/>
      <c r="I9" s="2"/>
    </row>
    <row r="10" spans="1:9">
      <c r="A10" s="1"/>
      <c r="B10" s="4"/>
      <c r="C10" s="3"/>
      <c r="D10" s="2"/>
      <c r="E10" s="2"/>
      <c r="F10" s="3"/>
      <c r="G10" s="2"/>
      <c r="H10" s="9"/>
      <c r="I10" s="2"/>
    </row>
    <row r="11" spans="1:9">
      <c r="A11" s="5" t="s">
        <v>0</v>
      </c>
      <c r="B11" s="6" t="s">
        <v>19</v>
      </c>
      <c r="C11" s="6" t="s">
        <v>1</v>
      </c>
      <c r="D11" s="7" t="s">
        <v>2</v>
      </c>
      <c r="E11" s="7" t="s">
        <v>22</v>
      </c>
      <c r="F11" s="6" t="s">
        <v>4</v>
      </c>
      <c r="G11" s="10" t="s">
        <v>8</v>
      </c>
      <c r="H11" s="11" t="s">
        <v>9</v>
      </c>
      <c r="I11" s="10" t="s">
        <v>8</v>
      </c>
    </row>
    <row r="12" spans="1:9">
      <c r="A12" s="5">
        <v>1</v>
      </c>
      <c r="B12" s="29" t="s">
        <v>31</v>
      </c>
      <c r="C12">
        <v>221485527</v>
      </c>
      <c r="D12" s="72">
        <v>44.74</v>
      </c>
      <c r="E12" s="2">
        <f>D12/$D$13</f>
        <v>0.81330667151427016</v>
      </c>
      <c r="F12" s="12">
        <f>'RCD-A-12 (ref)'!G8</f>
        <v>0.74280630928531388</v>
      </c>
      <c r="G12" s="30">
        <f>F12*C12*($C$6/$C$13)</f>
        <v>16.773424314239911</v>
      </c>
      <c r="H12" s="31">
        <f>G12/C7</f>
        <v>0.67093697256959639</v>
      </c>
      <c r="I12" s="32"/>
    </row>
    <row r="13" spans="1:9">
      <c r="A13" s="5">
        <v>2</v>
      </c>
      <c r="B13" s="23" t="s">
        <v>11</v>
      </c>
      <c r="C13">
        <v>245210584</v>
      </c>
      <c r="D13" s="72">
        <v>55.01</v>
      </c>
      <c r="E13" s="2">
        <f t="shared" ref="E13:E17" si="0">D13/$D$13</f>
        <v>1</v>
      </c>
      <c r="F13" s="12">
        <f>'RCD-A-12 (ref)'!G9</f>
        <v>1</v>
      </c>
      <c r="G13" s="19">
        <f>C6</f>
        <v>25</v>
      </c>
      <c r="H13" s="13"/>
      <c r="I13" s="24"/>
    </row>
    <row r="14" spans="1:9">
      <c r="A14" s="5">
        <v>3</v>
      </c>
      <c r="B14" s="23" t="s">
        <v>12</v>
      </c>
      <c r="C14">
        <v>65778645</v>
      </c>
      <c r="D14" s="72">
        <v>53.997999999999998</v>
      </c>
      <c r="E14" s="2">
        <f t="shared" si="0"/>
        <v>0.98160334484639156</v>
      </c>
      <c r="F14" s="12">
        <f>'RCD-A-12 (ref)'!G10</f>
        <v>1</v>
      </c>
      <c r="G14" s="46">
        <f>C6</f>
        <v>25</v>
      </c>
      <c r="H14" s="9"/>
      <c r="I14" s="24"/>
    </row>
    <row r="15" spans="1:9">
      <c r="A15" s="48">
        <v>5</v>
      </c>
      <c r="B15" s="49" t="s">
        <v>13</v>
      </c>
      <c r="C15">
        <v>215499640</v>
      </c>
      <c r="D15" s="72">
        <v>48.131999999999998</v>
      </c>
      <c r="E15" s="2">
        <f t="shared" si="0"/>
        <v>0.87496818760225414</v>
      </c>
      <c r="F15" s="12">
        <f>'RCD-A-12 (ref)'!G11</f>
        <v>0.79506739641163049</v>
      </c>
      <c r="G15" s="41">
        <f>F15*C15*($C$6/$C$13)</f>
        <v>17.468326092160407</v>
      </c>
      <c r="H15" s="9"/>
      <c r="I15" s="41">
        <f>G15</f>
        <v>17.468326092160407</v>
      </c>
    </row>
    <row r="16" spans="1:9">
      <c r="A16" s="48">
        <v>6</v>
      </c>
      <c r="B16" s="49" t="s">
        <v>14</v>
      </c>
      <c r="C16">
        <v>214672580</v>
      </c>
      <c r="D16" s="72">
        <v>48.804000000000002</v>
      </c>
      <c r="E16" s="2">
        <f t="shared" si="0"/>
        <v>0.88718414833666615</v>
      </c>
      <c r="F16" s="12">
        <f>'RCD-A-12 (ref)'!G12</f>
        <v>0.82770850723460321</v>
      </c>
      <c r="G16" s="41">
        <f>F16*C16*($C$6/$C$13)</f>
        <v>18.115686304959915</v>
      </c>
      <c r="H16" s="9"/>
      <c r="I16" s="41">
        <f>G16</f>
        <v>18.115686304959915</v>
      </c>
    </row>
    <row r="17" spans="1:9">
      <c r="A17" s="48">
        <v>7</v>
      </c>
      <c r="B17" s="52" t="s">
        <v>15</v>
      </c>
      <c r="C17">
        <v>205026452</v>
      </c>
      <c r="D17" s="72">
        <v>43.73</v>
      </c>
      <c r="E17" s="2">
        <f t="shared" si="0"/>
        <v>0.79494637338665697</v>
      </c>
      <c r="F17" s="12">
        <f>'RCD-A-12 (ref)'!G13</f>
        <v>0.78724920593113024</v>
      </c>
      <c r="G17" s="47">
        <f>F17*C17*($C$6/$C$13)</f>
        <v>16.455948688972271</v>
      </c>
      <c r="H17" s="20">
        <f>G17/C8</f>
        <v>0.65823794755889087</v>
      </c>
      <c r="I17" s="24"/>
    </row>
    <row r="18" spans="1:9">
      <c r="A18" s="48">
        <v>8</v>
      </c>
      <c r="B18" s="51" t="s">
        <v>20</v>
      </c>
      <c r="C18">
        <f>SUM(C15:C16)</f>
        <v>430172220</v>
      </c>
      <c r="F18" s="12">
        <f>'RCD-A-12 (ref)'!G14</f>
        <v>0.40552983708725066</v>
      </c>
      <c r="G18" s="41">
        <f>F18*C18*($C$6/$C$13)</f>
        <v>17.78549557796218</v>
      </c>
      <c r="H18" s="33"/>
      <c r="I18" s="41">
        <f>G18</f>
        <v>17.78549557796218</v>
      </c>
    </row>
    <row r="19" spans="1:9" s="37" customFormat="1">
      <c r="A19" s="42">
        <v>9</v>
      </c>
      <c r="B19" s="50" t="s">
        <v>50</v>
      </c>
      <c r="C19" s="44" t="str">
        <f>SUBSTITUTE(TEXT(C15/C16,"#/#"),"/",":")</f>
        <v>1:1</v>
      </c>
      <c r="D19" s="95"/>
      <c r="E19" s="95"/>
      <c r="F19" s="95"/>
      <c r="G19" s="96"/>
      <c r="H19" s="95"/>
      <c r="I19" s="45" t="str">
        <f>SUBSTITUTE(TEXT(G15/G16,"#/#"),"/",":")</f>
        <v>1:1</v>
      </c>
    </row>
    <row r="22" spans="1:9">
      <c r="F22" s="15"/>
    </row>
    <row r="24" spans="1:9">
      <c r="F24" t="s">
        <v>10</v>
      </c>
    </row>
  </sheetData>
  <mergeCells count="1">
    <mergeCell ref="D19:H19"/>
  </mergeCells>
  <pageMargins left="0.7" right="0.7" top="0.75" bottom="0.75" header="0.3" footer="0.3"/>
  <pageSetup orientation="portrait" horizontalDpi="4294967294" verticalDpi="4294967294" r:id="rId1"/>
  <ignoredErrors>
    <ignoredError sqref="G15:I18" unlockedFormula="1"/>
    <ignoredError sqref="C1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tabSelected="1" workbookViewId="0">
      <selection activeCell="H29" sqref="H29"/>
    </sheetView>
  </sheetViews>
  <sheetFormatPr defaultRowHeight="14.5"/>
  <cols>
    <col min="2" max="2" width="21.81640625" customWidth="1"/>
    <col min="3" max="3" width="14.7265625" bestFit="1" customWidth="1"/>
    <col min="8" max="8" width="14.7265625" customWidth="1"/>
    <col min="9" max="9" width="20.7265625" customWidth="1"/>
  </cols>
  <sheetData>
    <row r="1" spans="1:9">
      <c r="A1" t="s">
        <v>29</v>
      </c>
    </row>
    <row r="2" spans="1:9">
      <c r="A2" t="s">
        <v>46</v>
      </c>
      <c r="B2" t="s">
        <v>23</v>
      </c>
      <c r="C2" t="s">
        <v>36</v>
      </c>
      <c r="D2" t="s">
        <v>21</v>
      </c>
    </row>
    <row r="3" spans="1:9">
      <c r="A3" s="34">
        <v>43465.831250000003</v>
      </c>
      <c r="B3" t="s">
        <v>24</v>
      </c>
      <c r="C3">
        <v>54</v>
      </c>
    </row>
    <row r="4" spans="1:9">
      <c r="A4" t="s">
        <v>47</v>
      </c>
    </row>
    <row r="5" spans="1:9">
      <c r="A5" s="1"/>
      <c r="B5" s="4"/>
      <c r="C5" s="3"/>
      <c r="D5" s="2"/>
      <c r="E5" s="2"/>
      <c r="F5" s="3"/>
      <c r="G5" s="2"/>
      <c r="H5" s="9"/>
      <c r="I5" s="2"/>
    </row>
    <row r="6" spans="1:9">
      <c r="A6" s="1"/>
      <c r="B6" s="6" t="s">
        <v>6</v>
      </c>
      <c r="C6" s="18">
        <v>25</v>
      </c>
      <c r="D6" s="2"/>
      <c r="E6" s="2"/>
      <c r="F6" s="3"/>
      <c r="G6" s="2"/>
      <c r="H6" s="9" t="s">
        <v>10</v>
      </c>
      <c r="I6" s="2"/>
    </row>
    <row r="7" spans="1:9">
      <c r="A7" s="1"/>
      <c r="B7" s="6" t="s">
        <v>17</v>
      </c>
      <c r="C7" s="16">
        <v>25</v>
      </c>
      <c r="D7" s="2"/>
      <c r="E7" s="2"/>
      <c r="F7" s="3"/>
      <c r="G7" s="2"/>
      <c r="H7" s="9"/>
      <c r="I7" s="2"/>
    </row>
    <row r="8" spans="1:9">
      <c r="A8" s="1"/>
      <c r="B8" s="6" t="s">
        <v>18</v>
      </c>
      <c r="C8" s="17">
        <v>25</v>
      </c>
      <c r="D8" s="2"/>
      <c r="E8" s="2"/>
      <c r="F8" s="3"/>
      <c r="G8" s="2"/>
      <c r="H8" s="9"/>
      <c r="I8" s="2"/>
    </row>
    <row r="9" spans="1:9">
      <c r="A9" s="1"/>
      <c r="B9" s="6" t="s">
        <v>7</v>
      </c>
      <c r="C9" s="22">
        <v>0.2</v>
      </c>
      <c r="D9" s="2"/>
      <c r="E9" s="2"/>
      <c r="F9" s="3"/>
      <c r="G9" s="2"/>
      <c r="H9" s="9"/>
      <c r="I9" s="2"/>
    </row>
    <row r="10" spans="1:9">
      <c r="A10" s="1"/>
      <c r="B10" s="4"/>
      <c r="C10" s="3"/>
      <c r="D10" s="2"/>
      <c r="E10" s="2"/>
      <c r="F10" s="3"/>
      <c r="G10" s="2"/>
      <c r="H10" s="9"/>
      <c r="I10" s="2"/>
    </row>
    <row r="11" spans="1:9">
      <c r="A11" s="5" t="s">
        <v>0</v>
      </c>
      <c r="B11" s="6" t="s">
        <v>19</v>
      </c>
      <c r="C11" s="6" t="s">
        <v>1</v>
      </c>
      <c r="D11" s="7" t="s">
        <v>2</v>
      </c>
      <c r="E11" s="7" t="s">
        <v>22</v>
      </c>
      <c r="F11" s="6" t="s">
        <v>4</v>
      </c>
      <c r="G11" s="10" t="s">
        <v>8</v>
      </c>
      <c r="H11" s="11" t="s">
        <v>9</v>
      </c>
      <c r="I11" s="10" t="s">
        <v>8</v>
      </c>
    </row>
    <row r="12" spans="1:9">
      <c r="A12" s="5">
        <v>1</v>
      </c>
      <c r="B12" s="58" t="s">
        <v>31</v>
      </c>
      <c r="C12" s="62">
        <v>258701123</v>
      </c>
      <c r="D12" s="72">
        <v>44.744</v>
      </c>
      <c r="E12" s="2">
        <f>D12/$D$13</f>
        <v>0.81334981458590849</v>
      </c>
      <c r="F12" s="12">
        <f>'RCD-A-12 (ref)'!G8</f>
        <v>0.74280630928531388</v>
      </c>
      <c r="G12" s="30">
        <f>F12*C12*($C$6/$C$13)</f>
        <v>18.195016728200564</v>
      </c>
      <c r="H12" s="31">
        <f>G12/C7</f>
        <v>0.72780066912802255</v>
      </c>
      <c r="I12" s="32"/>
    </row>
    <row r="13" spans="1:9">
      <c r="A13" s="5">
        <v>2</v>
      </c>
      <c r="B13" s="59" t="s">
        <v>11</v>
      </c>
      <c r="C13" s="63">
        <v>264034968</v>
      </c>
      <c r="D13" s="72">
        <v>55.012</v>
      </c>
      <c r="E13" s="2">
        <f t="shared" ref="E13:E17" si="0">D13/$D$13</f>
        <v>1</v>
      </c>
      <c r="F13" s="12">
        <f>'RCD-A-12 (ref)'!G9</f>
        <v>1</v>
      </c>
      <c r="G13" s="19">
        <f>C6</f>
        <v>25</v>
      </c>
      <c r="H13" s="13"/>
      <c r="I13" s="24"/>
    </row>
    <row r="14" spans="1:9">
      <c r="A14" s="5">
        <v>3</v>
      </c>
      <c r="B14" s="59" t="s">
        <v>12</v>
      </c>
      <c r="C14" s="63">
        <v>69485417</v>
      </c>
      <c r="D14" s="72">
        <v>53.996000000000002</v>
      </c>
      <c r="E14" s="2">
        <f t="shared" si="0"/>
        <v>0.98153130226132479</v>
      </c>
      <c r="F14" s="12">
        <f>'RCD-A-12 (ref)'!G10</f>
        <v>1</v>
      </c>
      <c r="G14" s="46">
        <f>C6</f>
        <v>25</v>
      </c>
      <c r="H14" s="9"/>
      <c r="I14" s="24"/>
    </row>
    <row r="15" spans="1:9">
      <c r="A15" s="5">
        <v>5</v>
      </c>
      <c r="B15" s="39" t="s">
        <v>13</v>
      </c>
      <c r="C15" s="63">
        <v>250297481</v>
      </c>
      <c r="D15" s="72">
        <v>48.131</v>
      </c>
      <c r="E15" s="2">
        <f t="shared" si="0"/>
        <v>0.87491819966552753</v>
      </c>
      <c r="F15" s="12">
        <f>'RCD-A-12 (ref)'!G11</f>
        <v>0.79506739641163049</v>
      </c>
      <c r="G15" s="41">
        <f>F15*C15*($C$6/$C$13)</f>
        <v>18.842519994080817</v>
      </c>
      <c r="H15" s="9"/>
      <c r="I15" s="41">
        <f>G15</f>
        <v>18.842519994080817</v>
      </c>
    </row>
    <row r="16" spans="1:9">
      <c r="A16" s="5">
        <v>6</v>
      </c>
      <c r="B16" s="39" t="s">
        <v>14</v>
      </c>
      <c r="C16" s="63">
        <v>248651727</v>
      </c>
      <c r="D16" s="72">
        <v>48.804000000000002</v>
      </c>
      <c r="E16" s="2">
        <f t="shared" si="0"/>
        <v>0.88715189413218942</v>
      </c>
      <c r="F16" s="12">
        <f>'RCD-A-12 (ref)'!G12</f>
        <v>0.82770850723460321</v>
      </c>
      <c r="G16" s="41">
        <f>F16*C16*($C$6/$C$13)</f>
        <v>19.487111057244139</v>
      </c>
      <c r="H16" s="9"/>
      <c r="I16" s="41">
        <f>G16</f>
        <v>19.487111057244139</v>
      </c>
    </row>
    <row r="17" spans="1:9">
      <c r="A17" s="5">
        <v>7</v>
      </c>
      <c r="B17" s="61" t="s">
        <v>15</v>
      </c>
      <c r="C17" s="63">
        <v>235806742</v>
      </c>
      <c r="D17" s="72">
        <v>43.734999999999999</v>
      </c>
      <c r="E17" s="2">
        <f t="shared" si="0"/>
        <v>0.79500836181196832</v>
      </c>
      <c r="F17" s="66">
        <f>'RCD-A-12 (ref)'!G13</f>
        <v>0.78724920593113024</v>
      </c>
      <c r="G17" s="47">
        <f>F17*C17*($C$6/$C$13)</f>
        <v>17.577091379114879</v>
      </c>
      <c r="H17" s="20">
        <f>G17/C8</f>
        <v>0.70308365516459514</v>
      </c>
      <c r="I17" s="24"/>
    </row>
    <row r="18" spans="1:9">
      <c r="A18" s="5">
        <v>8</v>
      </c>
      <c r="B18" s="40" t="s">
        <v>20</v>
      </c>
      <c r="C18" s="64">
        <f>SUM(C15:C16)</f>
        <v>498949208</v>
      </c>
      <c r="F18" s="67">
        <f>'RCD-A-12 (ref)'!G14</f>
        <v>0.40552983708725066</v>
      </c>
      <c r="G18" s="41">
        <f>F18*C18*($C$6/$C$13)</f>
        <v>19.158332754911154</v>
      </c>
      <c r="H18" s="33"/>
      <c r="I18" s="41">
        <f>G18</f>
        <v>19.158332754911154</v>
      </c>
    </row>
    <row r="19" spans="1:9" s="37" customFormat="1">
      <c r="A19" s="42">
        <v>9</v>
      </c>
      <c r="B19" s="43" t="s">
        <v>50</v>
      </c>
      <c r="C19" s="44" t="str">
        <f>SUBSTITUTE(TEXT(C15/C16,"#/#"),"/",":")</f>
        <v>1:1</v>
      </c>
      <c r="D19" s="95"/>
      <c r="E19" s="95"/>
      <c r="F19" s="96"/>
      <c r="G19" s="96"/>
      <c r="H19" s="95"/>
      <c r="I19" s="45" t="str">
        <f>SUBSTITUTE(TEXT(G15/G16,"#/#"),"/",":")</f>
        <v>1:1</v>
      </c>
    </row>
    <row r="22" spans="1:9">
      <c r="F22" s="15"/>
    </row>
    <row r="24" spans="1:9">
      <c r="F24" t="s">
        <v>10</v>
      </c>
    </row>
  </sheetData>
  <mergeCells count="1">
    <mergeCell ref="D19:H19"/>
  </mergeCells>
  <pageMargins left="0.7" right="0.7" top="0.75" bottom="0.75" header="0.3" footer="0.3"/>
  <pageSetup orientation="portrait" horizontalDpi="4294967294" verticalDpi="4294967294" r:id="rId1"/>
  <ignoredErrors>
    <ignoredError sqref="C18" formulaRange="1"/>
    <ignoredError sqref="G15:I18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"/>
  <sheetViews>
    <sheetView workbookViewId="0">
      <selection activeCell="E26" sqref="E26"/>
    </sheetView>
  </sheetViews>
  <sheetFormatPr defaultRowHeight="14.5"/>
  <cols>
    <col min="2" max="2" width="27.1796875" customWidth="1"/>
    <col min="3" max="3" width="14.7265625" bestFit="1" customWidth="1"/>
    <col min="8" max="8" width="14.7265625" customWidth="1"/>
    <col min="9" max="9" width="20.7265625" customWidth="1"/>
  </cols>
  <sheetData>
    <row r="1" spans="1:9">
      <c r="A1" t="s">
        <v>29</v>
      </c>
    </row>
    <row r="2" spans="1:9">
      <c r="A2" t="s">
        <v>48</v>
      </c>
      <c r="B2" t="s">
        <v>23</v>
      </c>
      <c r="C2" t="s">
        <v>36</v>
      </c>
      <c r="D2" t="s">
        <v>21</v>
      </c>
    </row>
    <row r="3" spans="1:9">
      <c r="A3" s="34">
        <v>43465.958333333336</v>
      </c>
      <c r="B3" t="s">
        <v>24</v>
      </c>
      <c r="C3">
        <v>57</v>
      </c>
    </row>
    <row r="4" spans="1:9">
      <c r="A4" t="s">
        <v>49</v>
      </c>
    </row>
    <row r="5" spans="1:9">
      <c r="A5" s="1"/>
      <c r="B5" s="4"/>
      <c r="C5" s="3"/>
      <c r="D5" s="2"/>
      <c r="E5" s="2"/>
      <c r="F5" s="3"/>
      <c r="G5" s="2"/>
      <c r="H5" s="9"/>
      <c r="I5" s="2"/>
    </row>
    <row r="6" spans="1:9">
      <c r="A6" s="1"/>
      <c r="B6" s="6" t="s">
        <v>6</v>
      </c>
      <c r="C6" s="18">
        <v>25</v>
      </c>
      <c r="D6" s="2"/>
      <c r="E6" s="2"/>
      <c r="F6" s="3"/>
      <c r="G6" s="2"/>
      <c r="H6" s="9" t="s">
        <v>10</v>
      </c>
      <c r="I6" s="2"/>
    </row>
    <row r="7" spans="1:9">
      <c r="A7" s="1"/>
      <c r="B7" s="6" t="s">
        <v>17</v>
      </c>
      <c r="C7" s="16">
        <v>25</v>
      </c>
      <c r="D7" s="2"/>
      <c r="E7" s="2"/>
      <c r="F7" s="3"/>
      <c r="G7" s="2"/>
      <c r="H7" s="9"/>
      <c r="I7" s="2"/>
    </row>
    <row r="8" spans="1:9">
      <c r="A8" s="1"/>
      <c r="B8" s="6" t="s">
        <v>18</v>
      </c>
      <c r="C8" s="17">
        <v>25</v>
      </c>
      <c r="D8" s="2"/>
      <c r="E8" s="2"/>
      <c r="F8" s="3"/>
      <c r="G8" s="2"/>
      <c r="H8" s="9"/>
      <c r="I8" s="2"/>
    </row>
    <row r="9" spans="1:9">
      <c r="A9" s="1"/>
      <c r="B9" s="6" t="s">
        <v>7</v>
      </c>
      <c r="C9" s="22">
        <v>0.2</v>
      </c>
      <c r="D9" s="2"/>
      <c r="E9" s="2"/>
      <c r="F9" s="3"/>
      <c r="G9" s="2"/>
      <c r="H9" s="9"/>
      <c r="I9" s="2"/>
    </row>
    <row r="10" spans="1:9">
      <c r="A10" s="1"/>
      <c r="B10" s="4"/>
      <c r="C10" s="3"/>
      <c r="D10" s="2"/>
      <c r="E10" s="2"/>
      <c r="F10" s="3"/>
      <c r="G10" s="2"/>
      <c r="H10" s="9"/>
      <c r="I10" s="2"/>
    </row>
    <row r="11" spans="1:9">
      <c r="A11" s="5" t="s">
        <v>0</v>
      </c>
      <c r="B11" s="6" t="s">
        <v>19</v>
      </c>
      <c r="C11" s="6" t="s">
        <v>1</v>
      </c>
      <c r="D11" s="7" t="s">
        <v>2</v>
      </c>
      <c r="E11" s="7" t="s">
        <v>22</v>
      </c>
      <c r="F11" s="6" t="s">
        <v>4</v>
      </c>
      <c r="G11" s="10" t="s">
        <v>8</v>
      </c>
      <c r="H11" s="11" t="s">
        <v>9</v>
      </c>
      <c r="I11" s="10" t="s">
        <v>8</v>
      </c>
    </row>
    <row r="12" spans="1:9">
      <c r="A12" s="5">
        <v>1</v>
      </c>
      <c r="B12" s="58" t="s">
        <v>31</v>
      </c>
      <c r="C12" s="62">
        <v>255484259</v>
      </c>
      <c r="D12" s="72">
        <v>44.746000000000002</v>
      </c>
      <c r="E12" s="2">
        <f>D12/$D$13</f>
        <v>0.81348968275611311</v>
      </c>
      <c r="F12" s="12">
        <f>'RCD-A-12 (ref)'!G8</f>
        <v>0.74280630928531388</v>
      </c>
      <c r="G12" s="30">
        <f>F12*C12*($C$6/$C$13)</f>
        <v>18.657171377563937</v>
      </c>
      <c r="H12" s="31">
        <f>G12/C7</f>
        <v>0.74628685510255754</v>
      </c>
      <c r="I12" s="32"/>
    </row>
    <row r="13" spans="1:9">
      <c r="A13" s="5">
        <v>2</v>
      </c>
      <c r="B13" s="59" t="s">
        <v>11</v>
      </c>
      <c r="C13" s="63">
        <v>254292727</v>
      </c>
      <c r="D13" s="72">
        <v>55.005000000000003</v>
      </c>
      <c r="E13" s="2">
        <f t="shared" ref="E13:E17" si="0">D13/$D$13</f>
        <v>1</v>
      </c>
      <c r="F13" s="12">
        <f>'RCD-A-12 (ref)'!G9</f>
        <v>1</v>
      </c>
      <c r="G13" s="19">
        <f>C6</f>
        <v>25</v>
      </c>
      <c r="H13" s="13"/>
      <c r="I13" s="24"/>
    </row>
    <row r="14" spans="1:9">
      <c r="A14" s="5">
        <v>3</v>
      </c>
      <c r="B14" s="59" t="s">
        <v>12</v>
      </c>
      <c r="C14" s="63">
        <v>59374599</v>
      </c>
      <c r="D14" s="72">
        <v>53.994999999999997</v>
      </c>
      <c r="E14" s="2">
        <f t="shared" si="0"/>
        <v>0.9816380329060993</v>
      </c>
      <c r="F14" s="12">
        <f>'RCD-A-12 (ref)'!G10</f>
        <v>1</v>
      </c>
      <c r="G14" s="46">
        <f>C6</f>
        <v>25</v>
      </c>
      <c r="H14" s="9"/>
      <c r="I14" s="24"/>
    </row>
    <row r="15" spans="1:9">
      <c r="A15" s="5">
        <v>5</v>
      </c>
      <c r="B15" s="39" t="s">
        <v>13</v>
      </c>
      <c r="C15" s="63">
        <v>1465901</v>
      </c>
      <c r="D15" s="72">
        <v>48.021000000000001</v>
      </c>
      <c r="E15" s="2">
        <f t="shared" si="0"/>
        <v>0.87302972457049355</v>
      </c>
      <c r="F15" s="12">
        <f>'RCD-A-12 (ref)'!G11</f>
        <v>0.79506739641163049</v>
      </c>
      <c r="G15" s="41">
        <f>F15*C15*($C$6/$C$13)</f>
        <v>0.11458154006378694</v>
      </c>
      <c r="H15" s="9"/>
      <c r="I15" s="41">
        <f>G15</f>
        <v>0.11458154006378694</v>
      </c>
    </row>
    <row r="16" spans="1:9">
      <c r="A16" s="5">
        <v>6</v>
      </c>
      <c r="B16" s="39" t="s">
        <v>14</v>
      </c>
      <c r="C16" s="63">
        <v>2134973</v>
      </c>
      <c r="D16" s="72">
        <v>48.813000000000002</v>
      </c>
      <c r="E16" s="2">
        <f t="shared" si="0"/>
        <v>0.88742841559858199</v>
      </c>
      <c r="F16" s="12">
        <f>'RCD-A-12 (ref)'!G12</f>
        <v>0.82770850723460321</v>
      </c>
      <c r="G16" s="41">
        <f>F16*C16*($C$6/$C$13)</f>
        <v>0.17373042238209416</v>
      </c>
      <c r="H16" s="9"/>
      <c r="I16" s="41">
        <f>G16</f>
        <v>0.17373042238209416</v>
      </c>
    </row>
    <row r="17" spans="1:9">
      <c r="A17" s="5">
        <v>7</v>
      </c>
      <c r="B17" s="61" t="s">
        <v>15</v>
      </c>
      <c r="C17" s="63">
        <v>232851562</v>
      </c>
      <c r="D17" s="72">
        <v>43.73</v>
      </c>
      <c r="E17" s="2">
        <f t="shared" si="0"/>
        <v>0.79501863466957545</v>
      </c>
      <c r="F17" s="66">
        <f>'RCD-A-12 (ref)'!G13</f>
        <v>0.78724920593113024</v>
      </c>
      <c r="G17" s="47">
        <f>F17*C17*($C$6/$C$13)</f>
        <v>18.021770564079418</v>
      </c>
      <c r="H17" s="20">
        <f>G17/C8</f>
        <v>0.72087082256317669</v>
      </c>
      <c r="I17" s="24"/>
    </row>
    <row r="18" spans="1:9">
      <c r="A18" s="5">
        <v>8</v>
      </c>
      <c r="B18" s="40" t="s">
        <v>20</v>
      </c>
      <c r="C18" s="64">
        <f>SUM(C15:C16)</f>
        <v>3600874</v>
      </c>
      <c r="F18" s="67">
        <f>'RCD-A-12 (ref)'!G14</f>
        <v>0.40552983708725066</v>
      </c>
      <c r="G18" s="41">
        <f>F18*C18*($C$6/$C$13)</f>
        <v>0.14356111004619063</v>
      </c>
      <c r="H18" s="33"/>
      <c r="I18" s="41">
        <f>G18</f>
        <v>0.14356111004619063</v>
      </c>
    </row>
    <row r="19" spans="1:9" s="37" customFormat="1">
      <c r="A19" s="42">
        <v>9</v>
      </c>
      <c r="B19" s="43" t="s">
        <v>50</v>
      </c>
      <c r="C19" s="44" t="str">
        <f>SUBSTITUTE(TEXT(C15/C16,"#/#"),"/",":")</f>
        <v>2:3</v>
      </c>
      <c r="D19" s="95"/>
      <c r="E19" s="95"/>
      <c r="F19" s="96"/>
      <c r="G19" s="96"/>
      <c r="H19" s="95"/>
      <c r="I19" s="45" t="str">
        <f>SUBSTITUTE(TEXT(G15/G16,"#/#"),"/",":")</f>
        <v>2:3</v>
      </c>
    </row>
    <row r="22" spans="1:9">
      <c r="F22" s="15"/>
    </row>
    <row r="24" spans="1:9">
      <c r="F24" t="s">
        <v>10</v>
      </c>
    </row>
  </sheetData>
  <mergeCells count="1">
    <mergeCell ref="D19:H19"/>
  </mergeCells>
  <pageMargins left="0.7" right="0.7" top="0.75" bottom="0.75" header="0.3" footer="0.3"/>
  <pageSetup orientation="portrait" horizontalDpi="4294967294" verticalDpi="4294967294" r:id="rId1"/>
  <ignoredErrors>
    <ignoredError sqref="C18" formulaRange="1"/>
    <ignoredError sqref="G15:G18 I15:I1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RCD-A-12 (ref)</vt:lpstr>
      <vt:lpstr>RCD-F1-12 (W-blank)</vt:lpstr>
      <vt:lpstr>RCD-E1-12 (Plasma-blank)</vt:lpstr>
      <vt:lpstr>RCD-B-12 (OPR spike-B)</vt:lpstr>
      <vt:lpstr>RCD-C-12 (OPR spike-C)</vt:lpstr>
      <vt:lpstr>RCD-D-12 (OPR spike-D)</vt:lpstr>
      <vt:lpstr>RCD-G1-12 (actual sample)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Agilent223</dc:creator>
  <cp:lastModifiedBy>Lehmler, Hans-Joachim</cp:lastModifiedBy>
  <dcterms:created xsi:type="dcterms:W3CDTF">2016-06-13T13:37:38Z</dcterms:created>
  <dcterms:modified xsi:type="dcterms:W3CDTF">2019-11-12T18:15:00Z</dcterms:modified>
</cp:coreProperties>
</file>