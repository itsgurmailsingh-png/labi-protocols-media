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smbn/orkun/OSSLAB_prtclSheets/"/>
    </mc:Choice>
  </mc:AlternateContent>
  <xr:revisionPtr revIDLastSave="0" documentId="13_ncr:1_{F1D227B5-15FC-B840-8476-CF2B59E1AC01}" xr6:coauthVersionLast="46" xr6:coauthVersionMax="46" xr10:uidLastSave="{00000000-0000-0000-0000-000000000000}"/>
  <bookViews>
    <workbookView xWindow="0" yWindow="4620" windowWidth="28800" windowHeight="12540" xr2:uid="{4DBB9767-5575-8E46-8CF2-0D9CFA7FC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6" i="1"/>
  <c r="E8" i="1"/>
  <c r="E9" i="1"/>
  <c r="E10" i="1"/>
  <c r="E7" i="1"/>
  <c r="H7" i="1" s="1"/>
  <c r="M13" i="1"/>
  <c r="J13" i="1"/>
  <c r="I13" i="1"/>
  <c r="H12" i="1"/>
  <c r="I12" i="1" s="1"/>
  <c r="F12" i="1"/>
  <c r="D7" i="1"/>
  <c r="K29" i="1"/>
  <c r="K27" i="1"/>
  <c r="K28" i="1"/>
  <c r="I27" i="1"/>
  <c r="I28" i="1"/>
  <c r="I29" i="1"/>
  <c r="I14" i="1"/>
  <c r="E1" i="1"/>
  <c r="F24" i="1" s="1"/>
  <c r="E2" i="1"/>
  <c r="D29" i="1"/>
  <c r="D28" i="1"/>
  <c r="D27" i="1"/>
  <c r="D26" i="1"/>
  <c r="H26" i="1" s="1"/>
  <c r="I26" i="1" s="1"/>
  <c r="D25" i="1"/>
  <c r="D24" i="1"/>
  <c r="D22" i="1"/>
  <c r="D21" i="1"/>
  <c r="H21" i="1" s="1"/>
  <c r="I21" i="1" s="1"/>
  <c r="D20" i="1"/>
  <c r="H20" i="1" s="1"/>
  <c r="I20" i="1" s="1"/>
  <c r="D19" i="1"/>
  <c r="H19" i="1" s="1"/>
  <c r="I19" i="1" s="1"/>
  <c r="D18" i="1"/>
  <c r="H18" i="1" s="1"/>
  <c r="I18" i="1" s="1"/>
  <c r="D17" i="1"/>
  <c r="H14" i="1"/>
  <c r="H13" i="1"/>
  <c r="D8" i="1"/>
  <c r="L14" i="1"/>
  <c r="L13" i="1"/>
  <c r="D10" i="1"/>
  <c r="D9" i="1"/>
  <c r="D16" i="1"/>
  <c r="D23" i="1"/>
  <c r="D30" i="1"/>
  <c r="D31" i="1"/>
  <c r="H17" i="1" l="1"/>
  <c r="I17" i="1" s="1"/>
  <c r="H9" i="1"/>
  <c r="I9" i="1" s="1"/>
  <c r="H10" i="1"/>
  <c r="I10" i="1" s="1"/>
  <c r="H8" i="1"/>
  <c r="I8" i="1" s="1"/>
  <c r="J8" i="1" s="1"/>
  <c r="H22" i="1"/>
  <c r="I22" i="1" s="1"/>
  <c r="H30" i="1"/>
  <c r="I30" i="1" s="1"/>
  <c r="H31" i="1"/>
  <c r="I31" i="1" s="1"/>
  <c r="H25" i="1"/>
  <c r="I25" i="1" s="1"/>
  <c r="H23" i="1"/>
  <c r="I23" i="1" s="1"/>
  <c r="H24" i="1"/>
  <c r="I24" i="1" s="1"/>
  <c r="H16" i="1"/>
  <c r="I16" i="1" s="1"/>
  <c r="F29" i="1"/>
  <c r="F7" i="1"/>
  <c r="F10" i="1"/>
  <c r="F9" i="1"/>
  <c r="F8" i="1"/>
  <c r="F22" i="1"/>
  <c r="F28" i="1"/>
  <c r="F27" i="1"/>
  <c r="F23" i="1"/>
  <c r="J12" i="1"/>
  <c r="F21" i="1"/>
  <c r="F31" i="1"/>
  <c r="F20" i="1"/>
  <c r="F30" i="1"/>
  <c r="F19" i="1"/>
  <c r="J19" i="1" s="1"/>
  <c r="K19" i="1" s="1"/>
  <c r="F14" i="1"/>
  <c r="F26" i="1"/>
  <c r="F18" i="1"/>
  <c r="F13" i="1"/>
  <c r="F25" i="1"/>
  <c r="F17" i="1"/>
  <c r="F16" i="1"/>
  <c r="K8" i="1" l="1"/>
  <c r="J9" i="1"/>
  <c r="K9" i="1" s="1"/>
  <c r="J10" i="1"/>
  <c r="K10" i="1" s="1"/>
  <c r="J7" i="1"/>
  <c r="K7" i="1" s="1"/>
  <c r="M19" i="1"/>
  <c r="M7" i="1"/>
  <c r="J26" i="1"/>
  <c r="K26" i="1" s="1"/>
  <c r="M8" i="1"/>
  <c r="J22" i="1"/>
  <c r="K22" i="1" s="1"/>
  <c r="J18" i="1"/>
  <c r="K18" i="1" s="1"/>
  <c r="M10" i="1"/>
  <c r="J17" i="1"/>
  <c r="K17" i="1" s="1"/>
  <c r="M12" i="1"/>
  <c r="N12" i="1" s="1"/>
  <c r="J14" i="1"/>
  <c r="M14" i="1" s="1"/>
  <c r="N14" i="1" s="1"/>
  <c r="M9" i="1"/>
  <c r="J25" i="1"/>
  <c r="K25" i="1" s="1"/>
  <c r="J29" i="1"/>
  <c r="J24" i="1"/>
  <c r="K24" i="1" s="1"/>
  <c r="J21" i="1"/>
  <c r="K21" i="1" s="1"/>
  <c r="J28" i="1"/>
  <c r="J20" i="1"/>
  <c r="K20" i="1" s="1"/>
  <c r="J27" i="1"/>
  <c r="M22" i="1" l="1"/>
  <c r="M18" i="1"/>
  <c r="M29" i="1"/>
  <c r="M25" i="1"/>
  <c r="M26" i="1"/>
  <c r="M27" i="1"/>
  <c r="M20" i="1"/>
  <c r="M24" i="1"/>
  <c r="M28" i="1"/>
  <c r="M17" i="1"/>
  <c r="M21" i="1"/>
  <c r="N13" i="1"/>
  <c r="J16" i="1"/>
  <c r="K16" i="1" s="1"/>
  <c r="J31" i="1"/>
  <c r="K31" i="1" s="1"/>
  <c r="J23" i="1"/>
  <c r="K23" i="1" s="1"/>
  <c r="J30" i="1"/>
  <c r="K30" i="1" s="1"/>
  <c r="M30" i="1" l="1"/>
  <c r="M23" i="1"/>
  <c r="M31" i="1"/>
  <c r="M16" i="1"/>
</calcChain>
</file>

<file path=xl/sharedStrings.xml><?xml version="1.0" encoding="utf-8"?>
<sst xmlns="http://schemas.openxmlformats.org/spreadsheetml/2006/main" count="66" uniqueCount="39">
  <si>
    <t>Avogadro</t>
  </si>
  <si>
    <t>Example in protocol</t>
  </si>
  <si>
    <t>Obkective NA</t>
  </si>
  <si>
    <t>NA</t>
  </si>
  <si>
    <t>Waeldchen S, et al. at 20ms for a total of 12000 frames</t>
  </si>
  <si>
    <t>NOTES</t>
  </si>
  <si>
    <t>Kiepas A et al (24ms for 100 frames)</t>
  </si>
  <si>
    <t>per sec</t>
  </si>
  <si>
    <t xml:space="preserve">exposure </t>
  </si>
  <si>
    <t>duration [ms]</t>
  </si>
  <si>
    <t>N photons per cm2</t>
  </si>
  <si>
    <t>[kW per cm2]</t>
  </si>
  <si>
    <t xml:space="preserve">Power </t>
  </si>
  <si>
    <t>Excitation light</t>
  </si>
  <si>
    <t>wavelength [nm]</t>
  </si>
  <si>
    <t>Excitation beam</t>
  </si>
  <si>
    <t>Excitation</t>
  </si>
  <si>
    <t>area [cm2]</t>
  </si>
  <si>
    <t>Photon</t>
  </si>
  <si>
    <t>Power measured</t>
  </si>
  <si>
    <t>[uW]</t>
  </si>
  <si>
    <t>Emily - SLS confocal</t>
  </si>
  <si>
    <t>Kelsey - Chem confocal</t>
  </si>
  <si>
    <t>Laser</t>
  </si>
  <si>
    <t>setting (%)</t>
  </si>
  <si>
    <t>Emily - WISB confocal</t>
  </si>
  <si>
    <t>NOTES2</t>
  </si>
  <si>
    <t>significant photobleacing after timelapse</t>
  </si>
  <si>
    <t>significant viability loss after timelapse</t>
  </si>
  <si>
    <t>per cm2 per sec</t>
  </si>
  <si>
    <t>Millimoles photon</t>
  </si>
  <si>
    <t xml:space="preserve"> per cm2 per exposure</t>
  </si>
  <si>
    <t xml:space="preserve">Millimoles photon </t>
  </si>
  <si>
    <t>per cm2  per timelapse</t>
  </si>
  <si>
    <t>hc</t>
  </si>
  <si>
    <t>energy [J]</t>
  </si>
  <si>
    <t>in beam area per sec</t>
  </si>
  <si>
    <t xml:space="preserve">Picomoles photon </t>
  </si>
  <si>
    <t>radius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</si>
</sst>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A542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2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0" fillId="0" borderId="0" xfId="0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1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0" fontId="0" fillId="0" borderId="0" xfId="0" applyFont="1" applyFill="1"/>
    <xf numFmtId="164" fontId="0" fillId="0" borderId="0" xfId="0" applyNumberForma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1" fontId="0" fillId="0" borderId="0" xfId="0" applyNumberFormat="1" applyFill="1"/>
    <xf numFmtId="165" fontId="0" fillId="0" borderId="0" xfId="0" applyNumberFormat="1" applyFill="1"/>
    <xf numFmtId="165" fontId="1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54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CD87-0CF3-594D-9CEC-EC1B4D65177A}">
  <dimension ref="B1:P32"/>
  <sheetViews>
    <sheetView tabSelected="1" workbookViewId="0">
      <selection activeCell="K4" sqref="K4"/>
    </sheetView>
  </sheetViews>
  <sheetFormatPr baseColWidth="10" defaultRowHeight="16" x14ac:dyDescent="0.2"/>
  <cols>
    <col min="1" max="1" width="6.1640625" style="6" customWidth="1"/>
    <col min="2" max="2" width="10.1640625" style="5" bestFit="1" customWidth="1"/>
    <col min="3" max="3" width="15.5" style="6" bestFit="1" customWidth="1"/>
    <col min="4" max="4" width="14.5" style="6" bestFit="1" customWidth="1"/>
    <col min="5" max="6" width="12.1640625" style="6" bestFit="1" customWidth="1"/>
    <col min="7" max="7" width="15" style="6" bestFit="1" customWidth="1"/>
    <col min="8" max="8" width="12.5" style="6" bestFit="1" customWidth="1"/>
    <col min="9" max="9" width="16.83203125" style="6" bestFit="1" customWidth="1"/>
    <col min="10" max="10" width="17.83203125" style="26" bestFit="1" customWidth="1"/>
    <col min="11" max="11" width="17.83203125" style="26" customWidth="1"/>
    <col min="12" max="12" width="12.33203125" style="6" bestFit="1" customWidth="1"/>
    <col min="13" max="13" width="18.33203125" style="6" bestFit="1" customWidth="1"/>
    <col min="14" max="14" width="20.33203125" style="6" bestFit="1" customWidth="1"/>
    <col min="15" max="15" width="48" style="6" bestFit="1" customWidth="1"/>
    <col min="16" max="16384" width="10.83203125" style="6"/>
  </cols>
  <sheetData>
    <row r="1" spans="2:16" x14ac:dyDescent="0.2">
      <c r="D1" s="6" t="s">
        <v>34</v>
      </c>
      <c r="E1" s="6">
        <f>(6.62*10^-34)*(299792458*10^9)</f>
        <v>1.9846260719600002E-16</v>
      </c>
    </row>
    <row r="2" spans="2:16" x14ac:dyDescent="0.2">
      <c r="D2" s="6" t="s">
        <v>0</v>
      </c>
      <c r="E2" s="6">
        <f>6.022*10^23</f>
        <v>6.0219999999999996E+23</v>
      </c>
    </row>
    <row r="3" spans="2:16" x14ac:dyDescent="0.2">
      <c r="D3" s="6" t="s">
        <v>2</v>
      </c>
      <c r="E3" s="6">
        <v>1.4</v>
      </c>
    </row>
    <row r="4" spans="2:16" x14ac:dyDescent="0.2">
      <c r="K4" s="25"/>
    </row>
    <row r="5" spans="2:16" x14ac:dyDescent="0.2">
      <c r="B5" s="7" t="s">
        <v>23</v>
      </c>
      <c r="C5" s="1" t="s">
        <v>13</v>
      </c>
      <c r="D5" s="1" t="s">
        <v>15</v>
      </c>
      <c r="E5" s="1" t="s">
        <v>16</v>
      </c>
      <c r="F5" s="1" t="s">
        <v>18</v>
      </c>
      <c r="G5" s="1" t="s">
        <v>19</v>
      </c>
      <c r="H5" s="1" t="s">
        <v>12</v>
      </c>
      <c r="I5" s="1" t="s">
        <v>10</v>
      </c>
      <c r="J5" s="27" t="s">
        <v>32</v>
      </c>
      <c r="K5" s="27" t="s">
        <v>37</v>
      </c>
      <c r="L5" s="1" t="s">
        <v>8</v>
      </c>
      <c r="M5" s="1" t="s">
        <v>30</v>
      </c>
      <c r="N5" s="1" t="s">
        <v>32</v>
      </c>
    </row>
    <row r="6" spans="2:16" x14ac:dyDescent="0.2">
      <c r="B6" s="7" t="s">
        <v>24</v>
      </c>
      <c r="C6" s="1" t="s">
        <v>14</v>
      </c>
      <c r="D6" s="1" t="s">
        <v>38</v>
      </c>
      <c r="E6" s="1" t="s">
        <v>17</v>
      </c>
      <c r="F6" s="1" t="s">
        <v>35</v>
      </c>
      <c r="G6" s="1" t="s">
        <v>20</v>
      </c>
      <c r="H6" s="1" t="s">
        <v>11</v>
      </c>
      <c r="I6" s="1" t="s">
        <v>7</v>
      </c>
      <c r="J6" s="27" t="s">
        <v>29</v>
      </c>
      <c r="K6" s="27" t="s">
        <v>36</v>
      </c>
      <c r="L6" s="1" t="s">
        <v>9</v>
      </c>
      <c r="M6" s="1" t="s">
        <v>31</v>
      </c>
      <c r="N6" s="1" t="s">
        <v>33</v>
      </c>
      <c r="O6" s="8" t="s">
        <v>5</v>
      </c>
      <c r="P6" s="8" t="s">
        <v>26</v>
      </c>
    </row>
    <row r="7" spans="2:16" x14ac:dyDescent="0.2">
      <c r="C7" s="20">
        <v>405</v>
      </c>
      <c r="D7" s="9">
        <f>0.6*C7/$E$3</f>
        <v>173.57142857142858</v>
      </c>
      <c r="E7" s="10">
        <f>3.14*(D7*10^-7)^2</f>
        <v>9.459890816326531E-10</v>
      </c>
      <c r="F7" s="10">
        <f>$E$1/(C7)</f>
        <v>4.9003112887901243E-19</v>
      </c>
      <c r="G7" s="9">
        <v>1</v>
      </c>
      <c r="H7" s="9">
        <f>(G7/E7)*10^-9</f>
        <v>1.0570946530102983</v>
      </c>
      <c r="I7" s="11">
        <f>H7*1000/F7</f>
        <v>2.1571989833145734E+21</v>
      </c>
      <c r="J7" s="22">
        <f>(I7/$E$2)*1000</f>
        <v>3.5821969168292487</v>
      </c>
      <c r="K7" s="22">
        <f>J7*E7*10^9</f>
        <v>3.3887191715786225</v>
      </c>
      <c r="L7" s="9">
        <v>25</v>
      </c>
      <c r="M7" s="18">
        <f>J7*(L7/1000)</f>
        <v>8.9554922920731223E-2</v>
      </c>
      <c r="N7" s="5"/>
      <c r="O7" s="6" t="s">
        <v>1</v>
      </c>
    </row>
    <row r="8" spans="2:16" x14ac:dyDescent="0.2">
      <c r="C8" s="20">
        <v>405</v>
      </c>
      <c r="D8" s="9">
        <f>0.6*C8/$E$3</f>
        <v>173.57142857142858</v>
      </c>
      <c r="E8" s="10">
        <f t="shared" ref="E8:E10" si="0">3.14*(D8*10^-7)^2</f>
        <v>9.459890816326531E-10</v>
      </c>
      <c r="F8" s="10">
        <f t="shared" ref="F8:F10" si="1">$E$1/(C8)</f>
        <v>4.9003112887901243E-19</v>
      </c>
      <c r="G8" s="9">
        <v>0.15</v>
      </c>
      <c r="H8" s="9">
        <f t="shared" ref="H8:H10" si="2">(G8/E8)*10^-9</f>
        <v>0.15856419795154472</v>
      </c>
      <c r="I8" s="11">
        <f t="shared" ref="I8:I9" si="3">H8*1000/F8</f>
        <v>3.2357984749718595E+20</v>
      </c>
      <c r="J8" s="22">
        <f>(I8/$E$2)*1000</f>
        <v>0.53732953752438717</v>
      </c>
      <c r="K8" s="22">
        <f t="shared" ref="K8:K10" si="4">J8*E8*10^9</f>
        <v>0.50830787573679326</v>
      </c>
      <c r="L8" s="9">
        <v>25</v>
      </c>
      <c r="M8" s="18">
        <f>J8*(L8/1000)</f>
        <v>1.3433238438109681E-2</v>
      </c>
      <c r="N8" s="5"/>
      <c r="O8" s="6" t="s">
        <v>1</v>
      </c>
    </row>
    <row r="9" spans="2:16" x14ac:dyDescent="0.2">
      <c r="C9" s="4">
        <v>561</v>
      </c>
      <c r="D9" s="9">
        <f>0.6*C9/$E$3</f>
        <v>240.42857142857142</v>
      </c>
      <c r="E9" s="10">
        <f t="shared" si="0"/>
        <v>1.8151051959183669E-9</v>
      </c>
      <c r="F9" s="10">
        <f t="shared" si="1"/>
        <v>3.5376578822816404E-19</v>
      </c>
      <c r="G9" s="9">
        <v>1</v>
      </c>
      <c r="H9" s="9">
        <f t="shared" si="2"/>
        <v>0.5509322557440216</v>
      </c>
      <c r="I9" s="11">
        <f t="shared" si="3"/>
        <v>1.5573361644249599E+21</v>
      </c>
      <c r="J9" s="22">
        <f t="shared" ref="J9:J10" si="5">(I9/$E$2)*1000</f>
        <v>2.5860779880852873</v>
      </c>
      <c r="K9" s="22">
        <f t="shared" si="4"/>
        <v>4.6940035932237212</v>
      </c>
      <c r="L9" s="9">
        <v>25</v>
      </c>
      <c r="M9" s="18">
        <f>J9*(L9/1000)</f>
        <v>6.4651949702132186E-2</v>
      </c>
      <c r="N9" s="5"/>
      <c r="O9" s="6" t="s">
        <v>1</v>
      </c>
    </row>
    <row r="10" spans="2:16" x14ac:dyDescent="0.2">
      <c r="C10" s="4">
        <v>561</v>
      </c>
      <c r="D10" s="9">
        <f>0.6*C10/$E$3</f>
        <v>240.42857142857142</v>
      </c>
      <c r="E10" s="10">
        <f t="shared" si="0"/>
        <v>1.8151051959183669E-9</v>
      </c>
      <c r="F10" s="10">
        <f t="shared" si="1"/>
        <v>3.5376578822816404E-19</v>
      </c>
      <c r="G10" s="9">
        <v>0.3</v>
      </c>
      <c r="H10" s="9">
        <f t="shared" si="2"/>
        <v>0.16527967672320648</v>
      </c>
      <c r="I10" s="11">
        <f>H10*1000/F10</f>
        <v>4.6720084932748798E+20</v>
      </c>
      <c r="J10" s="22">
        <f t="shared" si="5"/>
        <v>0.77582339642558618</v>
      </c>
      <c r="K10" s="22">
        <f t="shared" si="4"/>
        <v>1.4082010779671164</v>
      </c>
      <c r="L10" s="9">
        <v>25</v>
      </c>
      <c r="M10" s="18">
        <f>J10*(L10/1000)</f>
        <v>1.9395584910639654E-2</v>
      </c>
      <c r="N10" s="5"/>
      <c r="O10" s="6" t="s">
        <v>1</v>
      </c>
    </row>
    <row r="11" spans="2:16" x14ac:dyDescent="0.2">
      <c r="C11" s="5"/>
      <c r="D11" s="9"/>
      <c r="E11" s="10"/>
      <c r="F11" s="9"/>
      <c r="G11" s="9"/>
      <c r="H11" s="9"/>
      <c r="I11" s="11"/>
      <c r="J11" s="22"/>
      <c r="K11" s="22"/>
      <c r="L11" s="9"/>
      <c r="M11" s="18"/>
      <c r="N11" s="5"/>
    </row>
    <row r="12" spans="2:16" s="17" customFormat="1" x14ac:dyDescent="0.2">
      <c r="B12" s="12"/>
      <c r="C12" s="21">
        <v>600</v>
      </c>
      <c r="D12" s="13" t="s">
        <v>3</v>
      </c>
      <c r="E12" s="14" t="s">
        <v>3</v>
      </c>
      <c r="F12" s="10">
        <f>$E$1/(C12)</f>
        <v>3.3077101199333339E-19</v>
      </c>
      <c r="G12" s="15" t="s">
        <v>3</v>
      </c>
      <c r="H12" s="16">
        <f>3.814/1000</f>
        <v>3.8140000000000001E-3</v>
      </c>
      <c r="I12" s="11">
        <f>H12*1000/F12</f>
        <v>1.1530635580837628E+19</v>
      </c>
      <c r="J12" s="22">
        <f>(I12/$E$2)*1000</f>
        <v>1.9147518400593869E-2</v>
      </c>
      <c r="K12" s="28"/>
      <c r="L12" s="13">
        <v>24</v>
      </c>
      <c r="M12" s="15">
        <f>J12*(L12/1000)</f>
        <v>4.5954044161425285E-4</v>
      </c>
      <c r="N12" s="13">
        <f>M12*100</f>
        <v>4.5954044161425282E-2</v>
      </c>
      <c r="O12" s="17" t="s">
        <v>6</v>
      </c>
      <c r="P12" s="17" t="s">
        <v>27</v>
      </c>
    </row>
    <row r="13" spans="2:16" x14ac:dyDescent="0.2">
      <c r="C13" s="4">
        <v>514</v>
      </c>
      <c r="D13" s="9" t="s">
        <v>3</v>
      </c>
      <c r="E13" s="10" t="s">
        <v>3</v>
      </c>
      <c r="F13" s="10">
        <f t="shared" ref="F13:F14" si="6">$E$1/(C13)</f>
        <v>3.8611402178210124E-19</v>
      </c>
      <c r="G13" s="18" t="s">
        <v>3</v>
      </c>
      <c r="H13" s="9">
        <f>0.49</f>
        <v>0.49</v>
      </c>
      <c r="I13" s="11">
        <f>H13*1000/F13</f>
        <v>1.2690551815197365E+21</v>
      </c>
      <c r="J13" s="22">
        <f>(I13/$E$2)*1000</f>
        <v>2.1073649643303494</v>
      </c>
      <c r="K13" s="22"/>
      <c r="L13" s="9">
        <f>20</f>
        <v>20</v>
      </c>
      <c r="M13" s="18">
        <f>J13*(L13/1000)</f>
        <v>4.2147299286606987E-2</v>
      </c>
      <c r="N13" s="9">
        <f>M13*12000</f>
        <v>505.76759143928382</v>
      </c>
      <c r="O13" s="6" t="s">
        <v>4</v>
      </c>
      <c r="P13" s="6" t="s">
        <v>28</v>
      </c>
    </row>
    <row r="14" spans="2:16" ht="15" customHeight="1" x14ac:dyDescent="0.2">
      <c r="C14" s="4">
        <v>514</v>
      </c>
      <c r="D14" s="9" t="s">
        <v>3</v>
      </c>
      <c r="E14" s="10" t="s">
        <v>3</v>
      </c>
      <c r="F14" s="10">
        <f t="shared" si="6"/>
        <v>3.8611402178210124E-19</v>
      </c>
      <c r="G14" s="18" t="s">
        <v>3</v>
      </c>
      <c r="H14" s="9">
        <f>1</f>
        <v>1</v>
      </c>
      <c r="I14" s="11">
        <f t="shared" ref="I14" si="7">H14*1000/F14</f>
        <v>2.5899085337137481E+21</v>
      </c>
      <c r="J14" s="22">
        <f t="shared" ref="J14:J31" si="8">(I14/$E$2)*1000</f>
        <v>4.3007448251639788</v>
      </c>
      <c r="K14" s="22"/>
      <c r="L14" s="9">
        <f>20</f>
        <v>20</v>
      </c>
      <c r="M14" s="18">
        <f>J14*(L14/1000)</f>
        <v>8.6014896503279578E-2</v>
      </c>
      <c r="N14" s="9">
        <f>M14*12000</f>
        <v>1032.178758039355</v>
      </c>
      <c r="O14" s="6" t="s">
        <v>4</v>
      </c>
      <c r="P14" s="6" t="s">
        <v>28</v>
      </c>
    </row>
    <row r="15" spans="2:16" x14ac:dyDescent="0.2">
      <c r="C15" s="5"/>
      <c r="D15" s="9"/>
      <c r="E15" s="10"/>
      <c r="F15" s="9"/>
      <c r="G15" s="9"/>
      <c r="H15" s="9"/>
      <c r="I15" s="11"/>
      <c r="J15" s="22"/>
      <c r="K15" s="22"/>
      <c r="L15" s="9"/>
      <c r="M15" s="18"/>
      <c r="N15" s="5"/>
    </row>
    <row r="16" spans="2:16" x14ac:dyDescent="0.2">
      <c r="C16" s="20">
        <v>405</v>
      </c>
      <c r="D16" s="9">
        <f t="shared" ref="D16:D31" si="9">0.6*C16/$E$3</f>
        <v>173.57142857142858</v>
      </c>
      <c r="E16" s="10">
        <f>3.14*(D16*10^-7)^2</f>
        <v>9.459890816326531E-10</v>
      </c>
      <c r="F16" s="10">
        <f>$E$1/(C16)</f>
        <v>4.9003112887901243E-19</v>
      </c>
      <c r="G16" s="9">
        <v>1</v>
      </c>
      <c r="H16" s="9">
        <f t="shared" ref="H16:H26" si="10">(G16/E16)*10^-9</f>
        <v>1.0570946530102983</v>
      </c>
      <c r="I16" s="11">
        <f>H16*1000/F16</f>
        <v>2.1571989833145734E+21</v>
      </c>
      <c r="J16" s="22">
        <f t="shared" si="8"/>
        <v>3.5821969168292487</v>
      </c>
      <c r="K16" s="22">
        <f>J16*E16*10^9</f>
        <v>3.3887191715786225</v>
      </c>
      <c r="L16" s="9">
        <v>25</v>
      </c>
      <c r="M16" s="18">
        <f t="shared" ref="M16:M31" si="11">J16*(L16/1000)</f>
        <v>8.9554922920731223E-2</v>
      </c>
      <c r="N16" s="5"/>
      <c r="O16" s="6" t="s">
        <v>21</v>
      </c>
    </row>
    <row r="17" spans="2:15" x14ac:dyDescent="0.2">
      <c r="B17" s="5">
        <v>20</v>
      </c>
      <c r="C17" s="20">
        <v>405</v>
      </c>
      <c r="D17" s="9">
        <f t="shared" si="9"/>
        <v>173.57142857142858</v>
      </c>
      <c r="E17" s="10">
        <f t="shared" ref="E17:E31" si="12">3.14*(D17*10^-7)^2</f>
        <v>9.459890816326531E-10</v>
      </c>
      <c r="F17" s="10">
        <f t="shared" ref="F17:F31" si="13">$E$1/(C17)</f>
        <v>4.9003112887901243E-19</v>
      </c>
      <c r="G17" s="19">
        <v>110</v>
      </c>
      <c r="H17" s="9">
        <f t="shared" si="10"/>
        <v>116.28041183113281</v>
      </c>
      <c r="I17" s="11">
        <f t="shared" ref="I17:I31" si="14">H17*1000/F17</f>
        <v>2.3729188816460306E+23</v>
      </c>
      <c r="J17" s="23">
        <f t="shared" si="8"/>
        <v>394.04166085121733</v>
      </c>
      <c r="K17" s="23">
        <f t="shared" ref="K17:K31" si="15">J17*E17*10^9</f>
        <v>372.75910887364842</v>
      </c>
      <c r="L17" s="9">
        <v>25</v>
      </c>
      <c r="M17" s="24">
        <f t="shared" si="11"/>
        <v>9.8510415212804343</v>
      </c>
      <c r="N17" s="5"/>
      <c r="O17" s="6" t="s">
        <v>25</v>
      </c>
    </row>
    <row r="18" spans="2:15" x14ac:dyDescent="0.2">
      <c r="B18" s="5">
        <v>10</v>
      </c>
      <c r="C18" s="20">
        <v>405</v>
      </c>
      <c r="D18" s="9">
        <f t="shared" si="9"/>
        <v>173.57142857142858</v>
      </c>
      <c r="E18" s="10">
        <f t="shared" si="12"/>
        <v>9.459890816326531E-10</v>
      </c>
      <c r="F18" s="10">
        <f t="shared" si="13"/>
        <v>4.9003112887901243E-19</v>
      </c>
      <c r="G18" s="19">
        <v>39.9</v>
      </c>
      <c r="H18" s="9">
        <f t="shared" si="10"/>
        <v>42.178076655110893</v>
      </c>
      <c r="I18" s="11">
        <f t="shared" si="14"/>
        <v>8.6072239434251456E+22</v>
      </c>
      <c r="J18" s="23">
        <f t="shared" si="8"/>
        <v>142.929656981487</v>
      </c>
      <c r="K18" s="23">
        <f t="shared" si="15"/>
        <v>135.209894945987</v>
      </c>
      <c r="L18" s="9">
        <v>25</v>
      </c>
      <c r="M18" s="24">
        <f t="shared" si="11"/>
        <v>3.5732414245371751</v>
      </c>
      <c r="N18" s="5"/>
      <c r="O18" s="6" t="s">
        <v>25</v>
      </c>
    </row>
    <row r="19" spans="2:15" x14ac:dyDescent="0.2">
      <c r="B19" s="5">
        <v>6</v>
      </c>
      <c r="C19" s="20">
        <v>405</v>
      </c>
      <c r="D19" s="9">
        <f t="shared" si="9"/>
        <v>173.57142857142858</v>
      </c>
      <c r="E19" s="10">
        <f t="shared" si="12"/>
        <v>9.459890816326531E-10</v>
      </c>
      <c r="F19" s="10">
        <f t="shared" si="13"/>
        <v>4.9003112887901243E-19</v>
      </c>
      <c r="G19" s="9">
        <v>1.5</v>
      </c>
      <c r="H19" s="9">
        <f t="shared" si="10"/>
        <v>1.5856419795154473</v>
      </c>
      <c r="I19" s="11">
        <f t="shared" si="14"/>
        <v>3.2357984749718596E+21</v>
      </c>
      <c r="J19" s="22">
        <f t="shared" si="8"/>
        <v>5.373295375243873</v>
      </c>
      <c r="K19" s="22">
        <f t="shared" si="15"/>
        <v>5.0830787573679332</v>
      </c>
      <c r="L19" s="9">
        <v>25</v>
      </c>
      <c r="M19" s="18">
        <f t="shared" si="11"/>
        <v>0.13433238438109682</v>
      </c>
      <c r="N19" s="5"/>
      <c r="O19" s="6" t="s">
        <v>25</v>
      </c>
    </row>
    <row r="20" spans="2:15" x14ac:dyDescent="0.2">
      <c r="B20" s="5">
        <v>20</v>
      </c>
      <c r="C20" s="2">
        <v>488</v>
      </c>
      <c r="D20" s="9">
        <f t="shared" si="9"/>
        <v>209.14285714285717</v>
      </c>
      <c r="E20" s="10">
        <f t="shared" si="12"/>
        <v>1.3734590693877554E-9</v>
      </c>
      <c r="F20" s="10">
        <f t="shared" si="13"/>
        <v>4.0668567048360662E-19</v>
      </c>
      <c r="G20" s="19">
        <v>143</v>
      </c>
      <c r="H20" s="9">
        <f t="shared" si="10"/>
        <v>104.11668114998497</v>
      </c>
      <c r="I20" s="11">
        <f t="shared" si="14"/>
        <v>2.5601266212840878E+23</v>
      </c>
      <c r="J20" s="23">
        <f t="shared" si="8"/>
        <v>425.12896401263498</v>
      </c>
      <c r="K20" s="23">
        <f t="shared" si="15"/>
        <v>583.89723128257413</v>
      </c>
      <c r="L20" s="9">
        <v>25</v>
      </c>
      <c r="M20" s="24">
        <f t="shared" si="11"/>
        <v>10.628224100315876</v>
      </c>
      <c r="N20" s="5"/>
      <c r="O20" s="6" t="s">
        <v>25</v>
      </c>
    </row>
    <row r="21" spans="2:15" x14ac:dyDescent="0.2">
      <c r="B21" s="5">
        <v>10</v>
      </c>
      <c r="C21" s="2">
        <v>488</v>
      </c>
      <c r="D21" s="9">
        <f t="shared" si="9"/>
        <v>209.14285714285717</v>
      </c>
      <c r="E21" s="10">
        <f t="shared" si="12"/>
        <v>1.3734590693877554E-9</v>
      </c>
      <c r="F21" s="10">
        <f t="shared" si="13"/>
        <v>4.0668567048360662E-19</v>
      </c>
      <c r="G21" s="19">
        <v>42.1</v>
      </c>
      <c r="H21" s="9">
        <f t="shared" si="10"/>
        <v>30.65253340149907</v>
      </c>
      <c r="I21" s="11">
        <f t="shared" si="14"/>
        <v>7.5371559969272789E+22</v>
      </c>
      <c r="J21" s="23">
        <f t="shared" si="8"/>
        <v>125.16034534917436</v>
      </c>
      <c r="K21" s="23">
        <f t="shared" si="15"/>
        <v>171.90261144752711</v>
      </c>
      <c r="L21" s="9">
        <v>25</v>
      </c>
      <c r="M21" s="24">
        <f t="shared" si="11"/>
        <v>3.1290086337293594</v>
      </c>
      <c r="N21" s="5"/>
      <c r="O21" s="6" t="s">
        <v>25</v>
      </c>
    </row>
    <row r="22" spans="2:15" x14ac:dyDescent="0.2">
      <c r="B22" s="5">
        <v>6</v>
      </c>
      <c r="C22" s="2">
        <v>488</v>
      </c>
      <c r="D22" s="9">
        <f t="shared" si="9"/>
        <v>209.14285714285717</v>
      </c>
      <c r="E22" s="10">
        <f t="shared" si="12"/>
        <v>1.3734590693877554E-9</v>
      </c>
      <c r="F22" s="10">
        <f t="shared" si="13"/>
        <v>4.0668567048360662E-19</v>
      </c>
      <c r="G22" s="9">
        <v>2.64</v>
      </c>
      <c r="H22" s="9">
        <f t="shared" si="10"/>
        <v>1.9221541135381841</v>
      </c>
      <c r="I22" s="11">
        <f t="shared" si="14"/>
        <v>4.7263876085244693E+21</v>
      </c>
      <c r="J22" s="22">
        <f t="shared" si="8"/>
        <v>7.8485347202332614</v>
      </c>
      <c r="K22" s="22">
        <f t="shared" si="15"/>
        <v>10.779641192909061</v>
      </c>
      <c r="L22" s="9">
        <v>25</v>
      </c>
      <c r="M22" s="18">
        <f t="shared" si="11"/>
        <v>0.19621336800583156</v>
      </c>
      <c r="N22" s="5"/>
      <c r="O22" s="6" t="s">
        <v>25</v>
      </c>
    </row>
    <row r="23" spans="2:15" x14ac:dyDescent="0.2">
      <c r="C23" s="4">
        <v>561</v>
      </c>
      <c r="D23" s="9">
        <f>0.6*C23/$E$3</f>
        <v>240.42857142857142</v>
      </c>
      <c r="E23" s="10">
        <f t="shared" si="12"/>
        <v>1.8151051959183669E-9</v>
      </c>
      <c r="F23" s="10">
        <f t="shared" si="13"/>
        <v>3.5376578822816404E-19</v>
      </c>
      <c r="G23" s="9">
        <v>1.5</v>
      </c>
      <c r="H23" s="9">
        <f t="shared" si="10"/>
        <v>0.82639838361603224</v>
      </c>
      <c r="I23" s="11">
        <f t="shared" si="14"/>
        <v>2.3360042466374394E+21</v>
      </c>
      <c r="J23" s="22">
        <f t="shared" si="8"/>
        <v>3.8791169821279299</v>
      </c>
      <c r="K23" s="22">
        <f t="shared" si="15"/>
        <v>7.04100538983558</v>
      </c>
      <c r="L23" s="9">
        <v>25</v>
      </c>
      <c r="M23" s="18">
        <f t="shared" si="11"/>
        <v>9.6977924553198258E-2</v>
      </c>
      <c r="N23" s="5"/>
      <c r="O23" s="6" t="s">
        <v>21</v>
      </c>
    </row>
    <row r="24" spans="2:15" x14ac:dyDescent="0.2">
      <c r="B24" s="5">
        <v>20</v>
      </c>
      <c r="C24" s="4">
        <v>561</v>
      </c>
      <c r="D24" s="9">
        <f t="shared" si="9"/>
        <v>240.42857142857142</v>
      </c>
      <c r="E24" s="10">
        <f t="shared" si="12"/>
        <v>1.8151051959183669E-9</v>
      </c>
      <c r="F24" s="10">
        <f t="shared" si="13"/>
        <v>3.5376578822816404E-19</v>
      </c>
      <c r="G24" s="19">
        <v>95.7</v>
      </c>
      <c r="H24" s="9">
        <f t="shared" si="10"/>
        <v>52.724216874702861</v>
      </c>
      <c r="I24" s="11">
        <f t="shared" si="14"/>
        <v>1.4903707093546864E+23</v>
      </c>
      <c r="J24" s="23">
        <f t="shared" si="8"/>
        <v>247.48766345976196</v>
      </c>
      <c r="K24" s="23">
        <f t="shared" si="15"/>
        <v>449.21614387151004</v>
      </c>
      <c r="L24" s="9">
        <v>25</v>
      </c>
      <c r="M24" s="24">
        <f t="shared" si="11"/>
        <v>6.1871915864940492</v>
      </c>
      <c r="N24" s="5"/>
      <c r="O24" s="6" t="s">
        <v>25</v>
      </c>
    </row>
    <row r="25" spans="2:15" x14ac:dyDescent="0.2">
      <c r="B25" s="5">
        <v>10</v>
      </c>
      <c r="C25" s="4">
        <v>561</v>
      </c>
      <c r="D25" s="9">
        <f t="shared" si="9"/>
        <v>240.42857142857142</v>
      </c>
      <c r="E25" s="10">
        <f t="shared" si="12"/>
        <v>1.8151051959183669E-9</v>
      </c>
      <c r="F25" s="10">
        <f t="shared" si="13"/>
        <v>3.5376578822816404E-19</v>
      </c>
      <c r="G25" s="19">
        <v>15.9</v>
      </c>
      <c r="H25" s="9">
        <f t="shared" si="10"/>
        <v>8.7598228663299427</v>
      </c>
      <c r="I25" s="11">
        <f t="shared" si="14"/>
        <v>2.4761645014356861E+22</v>
      </c>
      <c r="J25" s="23">
        <f t="shared" si="8"/>
        <v>41.118640010556071</v>
      </c>
      <c r="K25" s="23">
        <f t="shared" si="15"/>
        <v>74.634657132257175</v>
      </c>
      <c r="L25" s="9">
        <v>25</v>
      </c>
      <c r="M25" s="24">
        <f t="shared" si="11"/>
        <v>1.0279660002639017</v>
      </c>
      <c r="N25" s="5"/>
      <c r="O25" s="6" t="s">
        <v>25</v>
      </c>
    </row>
    <row r="26" spans="2:15" x14ac:dyDescent="0.2">
      <c r="B26" s="5">
        <v>8</v>
      </c>
      <c r="C26" s="4">
        <v>561</v>
      </c>
      <c r="D26" s="9">
        <f t="shared" si="9"/>
        <v>240.42857142857142</v>
      </c>
      <c r="E26" s="10">
        <f t="shared" si="12"/>
        <v>1.8151051959183669E-9</v>
      </c>
      <c r="F26" s="10">
        <f t="shared" si="13"/>
        <v>3.5376578822816404E-19</v>
      </c>
      <c r="G26" s="19">
        <v>14.2</v>
      </c>
      <c r="H26" s="9">
        <f t="shared" si="10"/>
        <v>7.823238031565106</v>
      </c>
      <c r="I26" s="11">
        <f t="shared" si="14"/>
        <v>2.2114173534834428E+22</v>
      </c>
      <c r="J26" s="23">
        <f t="shared" si="8"/>
        <v>36.722307430811078</v>
      </c>
      <c r="K26" s="23">
        <f t="shared" si="15"/>
        <v>66.654851023776843</v>
      </c>
      <c r="L26" s="9">
        <v>25</v>
      </c>
      <c r="M26" s="24">
        <f t="shared" si="11"/>
        <v>0.91805768577027702</v>
      </c>
      <c r="N26" s="5"/>
      <c r="O26" s="6" t="s">
        <v>25</v>
      </c>
    </row>
    <row r="27" spans="2:15" x14ac:dyDescent="0.2">
      <c r="B27" s="5">
        <v>20</v>
      </c>
      <c r="C27" s="3">
        <v>640</v>
      </c>
      <c r="D27" s="9">
        <f t="shared" si="9"/>
        <v>274.28571428571428</v>
      </c>
      <c r="E27" s="10">
        <f t="shared" si="12"/>
        <v>2.3623053061224485E-9</v>
      </c>
      <c r="F27" s="10">
        <f t="shared" si="13"/>
        <v>3.1009782374375004E-19</v>
      </c>
      <c r="G27" s="19">
        <v>95.7</v>
      </c>
      <c r="H27" s="9">
        <v>323</v>
      </c>
      <c r="I27" s="11">
        <f t="shared" si="14"/>
        <v>1.0416067939480662E+24</v>
      </c>
      <c r="J27" s="23">
        <f t="shared" si="8"/>
        <v>1729.6692028363771</v>
      </c>
      <c r="K27" s="23">
        <f t="shared" si="15"/>
        <v>4086.0067356969589</v>
      </c>
      <c r="L27" s="9">
        <v>25</v>
      </c>
      <c r="M27" s="24">
        <f t="shared" si="11"/>
        <v>43.241730070909426</v>
      </c>
      <c r="N27" s="5"/>
      <c r="O27" s="6" t="s">
        <v>25</v>
      </c>
    </row>
    <row r="28" spans="2:15" x14ac:dyDescent="0.2">
      <c r="B28" s="5">
        <v>10</v>
      </c>
      <c r="C28" s="3">
        <v>640</v>
      </c>
      <c r="D28" s="9">
        <f t="shared" si="9"/>
        <v>274.28571428571428</v>
      </c>
      <c r="E28" s="10">
        <f t="shared" si="12"/>
        <v>2.3623053061224485E-9</v>
      </c>
      <c r="F28" s="10">
        <f t="shared" si="13"/>
        <v>3.1009782374375004E-19</v>
      </c>
      <c r="G28" s="19">
        <v>15.9</v>
      </c>
      <c r="H28" s="9">
        <v>67.599999999999994</v>
      </c>
      <c r="I28" s="11">
        <f t="shared" si="14"/>
        <v>2.1799572529687083E+23</v>
      </c>
      <c r="J28" s="23">
        <f t="shared" si="8"/>
        <v>361.99887960290744</v>
      </c>
      <c r="K28" s="23">
        <f t="shared" si="15"/>
        <v>855.15187409632972</v>
      </c>
      <c r="L28" s="9">
        <v>25</v>
      </c>
      <c r="M28" s="24">
        <f t="shared" si="11"/>
        <v>9.0499719900726863</v>
      </c>
      <c r="N28" s="5"/>
      <c r="O28" s="6" t="s">
        <v>25</v>
      </c>
    </row>
    <row r="29" spans="2:15" x14ac:dyDescent="0.2">
      <c r="B29" s="5">
        <v>6</v>
      </c>
      <c r="C29" s="3">
        <v>640</v>
      </c>
      <c r="D29" s="9">
        <f t="shared" si="9"/>
        <v>274.28571428571428</v>
      </c>
      <c r="E29" s="10">
        <f t="shared" si="12"/>
        <v>2.3623053061224485E-9</v>
      </c>
      <c r="F29" s="10">
        <f t="shared" si="13"/>
        <v>3.1009782374375004E-19</v>
      </c>
      <c r="G29" s="9">
        <v>14.2</v>
      </c>
      <c r="H29" s="9">
        <v>3.4</v>
      </c>
      <c r="I29" s="11">
        <f t="shared" si="14"/>
        <v>1.0964282041558593E+22</v>
      </c>
      <c r="J29" s="22">
        <f t="shared" si="8"/>
        <v>18.207044240382917</v>
      </c>
      <c r="K29" s="22">
        <f t="shared" si="15"/>
        <v>43.010597217862731</v>
      </c>
      <c r="L29" s="9">
        <v>25</v>
      </c>
      <c r="M29" s="15">
        <f t="shared" si="11"/>
        <v>0.45517610600957292</v>
      </c>
      <c r="N29" s="5"/>
      <c r="O29" s="6" t="s">
        <v>25</v>
      </c>
    </row>
    <row r="30" spans="2:15" x14ac:dyDescent="0.2">
      <c r="C30" s="2">
        <v>488</v>
      </c>
      <c r="D30" s="9">
        <f t="shared" si="9"/>
        <v>209.14285714285717</v>
      </c>
      <c r="E30" s="10">
        <f t="shared" si="12"/>
        <v>1.3734590693877554E-9</v>
      </c>
      <c r="F30" s="10">
        <f t="shared" si="13"/>
        <v>4.0668567048360662E-19</v>
      </c>
      <c r="G30" s="19">
        <v>21</v>
      </c>
      <c r="H30" s="9">
        <f t="shared" ref="H30:H31" si="16">(G30/E30)*10^-9</f>
        <v>15.289862266781009</v>
      </c>
      <c r="I30" s="11">
        <f t="shared" si="14"/>
        <v>3.7596265067808278E+22</v>
      </c>
      <c r="J30" s="23">
        <f t="shared" si="8"/>
        <v>62.431526183673668</v>
      </c>
      <c r="K30" s="23">
        <f t="shared" si="15"/>
        <v>85.747145852685719</v>
      </c>
      <c r="L30" s="9">
        <v>25</v>
      </c>
      <c r="M30" s="24">
        <f t="shared" si="11"/>
        <v>1.5607881545918418</v>
      </c>
      <c r="N30" s="5"/>
      <c r="O30" s="6" t="s">
        <v>22</v>
      </c>
    </row>
    <row r="31" spans="2:15" x14ac:dyDescent="0.2">
      <c r="C31" s="4">
        <v>566</v>
      </c>
      <c r="D31" s="9">
        <f t="shared" si="9"/>
        <v>242.57142857142856</v>
      </c>
      <c r="E31" s="10">
        <f t="shared" si="12"/>
        <v>1.8476041959183672E-9</v>
      </c>
      <c r="F31" s="10">
        <f t="shared" si="13"/>
        <v>3.5064064875618379E-19</v>
      </c>
      <c r="G31" s="9">
        <v>1.77</v>
      </c>
      <c r="H31" s="9">
        <f t="shared" si="16"/>
        <v>0.95799739138403861</v>
      </c>
      <c r="I31" s="11">
        <f t="shared" si="14"/>
        <v>2.7321344367297734E+21</v>
      </c>
      <c r="J31" s="22">
        <f t="shared" si="8"/>
        <v>4.5369220138322381</v>
      </c>
      <c r="K31" s="22">
        <f t="shared" si="15"/>
        <v>8.3824361493108519</v>
      </c>
      <c r="L31" s="9">
        <v>25</v>
      </c>
      <c r="M31" s="18">
        <f t="shared" si="11"/>
        <v>0.11342305034580596</v>
      </c>
      <c r="N31" s="5"/>
      <c r="O31" s="6" t="s">
        <v>22</v>
      </c>
    </row>
    <row r="32" spans="2:15" x14ac:dyDescent="0.2">
      <c r="C32" s="5"/>
      <c r="D32" s="5"/>
      <c r="E32" s="5"/>
      <c r="F32" s="18"/>
      <c r="G32" s="18"/>
      <c r="H32" s="9"/>
      <c r="I32" s="10"/>
      <c r="J32" s="22"/>
      <c r="K32" s="22"/>
      <c r="L32" s="9"/>
      <c r="M32" s="9"/>
      <c r="N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2021-04-20T12:31:37Z</dcterms:created>
  <dcterms:modified xsi:type="dcterms:W3CDTF">2021-05-07T08:48:12Z</dcterms:modified>
</cp:coreProperties>
</file>