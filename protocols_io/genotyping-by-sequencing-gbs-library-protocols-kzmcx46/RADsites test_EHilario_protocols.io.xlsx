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:\NextGenSeq\GBS and RAD protocols\"/>
    </mc:Choice>
  </mc:AlternateContent>
  <bookViews>
    <workbookView xWindow="-15" yWindow="-15" windowWidth="15495" windowHeight="11760"/>
  </bookViews>
  <sheets>
    <sheet name="Calculations" sheetId="2" r:id="rId1"/>
    <sheet name="REBASE_withrefm.109" sheetId="1" r:id="rId2"/>
  </sheets>
  <definedNames>
    <definedName name="A_or_T">Calculations!$B$5</definedName>
    <definedName name="coverage">#REF!</definedName>
    <definedName name="covv">#REF!</definedName>
    <definedName name="fold_coverage">Calculations!$B$7</definedName>
    <definedName name="G_or_C">Calculations!$B$4</definedName>
    <definedName name="genome">#REF!</definedName>
    <definedName name="Gnm">#REF!</definedName>
    <definedName name="megabases_genome">Calculations!$B$6</definedName>
    <definedName name="million_reads_per_lane">Calculations!$B$9</definedName>
    <definedName name="p">#REF!</definedName>
    <definedName name="plexity">Calculations!$B$8</definedName>
    <definedName name="_xlnm.Print_Area" localSheetId="0">Calculations!$A$1:$I$97</definedName>
    <definedName name="proportion_AT">Calculations!$B$3</definedName>
    <definedName name="proportion_GC">Calculations!$B$2</definedName>
    <definedName name="reads_per_lane">#REF!</definedName>
    <definedName name="rl">#REF!</definedName>
    <definedName name="x">#REF!</definedName>
  </definedNames>
  <calcPr calcId="152511"/>
</workbook>
</file>

<file path=xl/calcChain.xml><?xml version="1.0" encoding="utf-8"?>
<calcChain xmlns="http://schemas.openxmlformats.org/spreadsheetml/2006/main">
  <c r="B3" i="2" l="1"/>
  <c r="B4" i="2"/>
  <c r="B5" i="2"/>
  <c r="C36" i="2" l="1"/>
  <c r="C15" i="2"/>
  <c r="E15" i="2" s="1"/>
  <c r="F15" i="2" s="1"/>
  <c r="G15" i="2" s="1"/>
  <c r="H15" i="2" s="1"/>
  <c r="I15" i="2" s="1"/>
  <c r="C63" i="2"/>
  <c r="E63" i="2" s="1"/>
  <c r="F63" i="2" s="1"/>
  <c r="G63" i="2" s="1"/>
  <c r="H63" i="2" s="1"/>
  <c r="I63" i="2" s="1"/>
  <c r="C64" i="2"/>
  <c r="E64" i="2" s="1"/>
  <c r="F64" i="2" s="1"/>
  <c r="G64" i="2" s="1"/>
  <c r="H64" i="2" s="1"/>
  <c r="I64" i="2" s="1"/>
  <c r="C65" i="2"/>
  <c r="E65" i="2" s="1"/>
  <c r="F65" i="2" s="1"/>
  <c r="G65" i="2" s="1"/>
  <c r="H65" i="2" s="1"/>
  <c r="I65" i="2" s="1"/>
  <c r="C66" i="2"/>
  <c r="E66" i="2" s="1"/>
  <c r="F66" i="2" s="1"/>
  <c r="G66" i="2" s="1"/>
  <c r="H66" i="2" s="1"/>
  <c r="I66" i="2" s="1"/>
  <c r="C67" i="2"/>
  <c r="E67" i="2" s="1"/>
  <c r="F67" i="2" s="1"/>
  <c r="G67" i="2" s="1"/>
  <c r="H67" i="2" s="1"/>
  <c r="I67" i="2" s="1"/>
  <c r="C68" i="2"/>
  <c r="E68" i="2" s="1"/>
  <c r="F68" i="2" s="1"/>
  <c r="G68" i="2" s="1"/>
  <c r="H68" i="2" s="1"/>
  <c r="I68" i="2" s="1"/>
  <c r="C69" i="2"/>
  <c r="E69" i="2" s="1"/>
  <c r="F69" i="2" s="1"/>
  <c r="G69" i="2" s="1"/>
  <c r="H69" i="2" s="1"/>
  <c r="I69" i="2" s="1"/>
  <c r="C70" i="2"/>
  <c r="E70" i="2" s="1"/>
  <c r="F70" i="2" s="1"/>
  <c r="G70" i="2" s="1"/>
  <c r="H70" i="2" s="1"/>
  <c r="I70" i="2" s="1"/>
  <c r="C71" i="2"/>
  <c r="E71" i="2" s="1"/>
  <c r="F71" i="2" s="1"/>
  <c r="G71" i="2" s="1"/>
  <c r="H71" i="2" s="1"/>
  <c r="I71" i="2" s="1"/>
  <c r="C72" i="2"/>
  <c r="E72" i="2" s="1"/>
  <c r="F72" i="2" s="1"/>
  <c r="G72" i="2" s="1"/>
  <c r="H72" i="2" s="1"/>
  <c r="I72" i="2" s="1"/>
  <c r="C73" i="2"/>
  <c r="E73" i="2" s="1"/>
  <c r="F73" i="2" s="1"/>
  <c r="G73" i="2" s="1"/>
  <c r="H73" i="2" s="1"/>
  <c r="I73" i="2" s="1"/>
  <c r="C74" i="2"/>
  <c r="E74" i="2" s="1"/>
  <c r="F74" i="2" s="1"/>
  <c r="G74" i="2" s="1"/>
  <c r="H74" i="2" s="1"/>
  <c r="I74" i="2" s="1"/>
  <c r="C75" i="2"/>
  <c r="E75" i="2" s="1"/>
  <c r="F75" i="2" s="1"/>
  <c r="G75" i="2" s="1"/>
  <c r="H75" i="2" s="1"/>
  <c r="I75" i="2" s="1"/>
  <c r="C76" i="2"/>
  <c r="E76" i="2" s="1"/>
  <c r="F76" i="2" s="1"/>
  <c r="G76" i="2" s="1"/>
  <c r="H76" i="2" s="1"/>
  <c r="I76" i="2" s="1"/>
  <c r="C77" i="2"/>
  <c r="E77" i="2" s="1"/>
  <c r="F77" i="2" s="1"/>
  <c r="G77" i="2" s="1"/>
  <c r="H77" i="2" s="1"/>
  <c r="I77" i="2" s="1"/>
  <c r="C78" i="2"/>
  <c r="E78" i="2" s="1"/>
  <c r="F78" i="2" s="1"/>
  <c r="G78" i="2" s="1"/>
  <c r="H78" i="2" s="1"/>
  <c r="I78" i="2" s="1"/>
  <c r="C79" i="2"/>
  <c r="E79" i="2" s="1"/>
  <c r="F79" i="2" s="1"/>
  <c r="G79" i="2" s="1"/>
  <c r="H79" i="2" s="1"/>
  <c r="I79" i="2" s="1"/>
  <c r="C80" i="2"/>
  <c r="E80" i="2" s="1"/>
  <c r="F80" i="2" s="1"/>
  <c r="G80" i="2" s="1"/>
  <c r="H80" i="2" s="1"/>
  <c r="I80" i="2" s="1"/>
  <c r="C81" i="2"/>
  <c r="E81" i="2" s="1"/>
  <c r="F81" i="2" s="1"/>
  <c r="G81" i="2" s="1"/>
  <c r="H81" i="2" s="1"/>
  <c r="I81" i="2" s="1"/>
  <c r="C82" i="2"/>
  <c r="E82" i="2" s="1"/>
  <c r="F82" i="2" s="1"/>
  <c r="G82" i="2" s="1"/>
  <c r="H82" i="2" s="1"/>
  <c r="I82" i="2" s="1"/>
  <c r="C83" i="2"/>
  <c r="E83" i="2" s="1"/>
  <c r="F83" i="2" s="1"/>
  <c r="G83" i="2" s="1"/>
  <c r="H83" i="2" s="1"/>
  <c r="I83" i="2" s="1"/>
  <c r="C84" i="2"/>
  <c r="E84" i="2" s="1"/>
  <c r="F84" i="2" s="1"/>
  <c r="G84" i="2" s="1"/>
  <c r="H84" i="2" s="1"/>
  <c r="I84" i="2" s="1"/>
  <c r="C85" i="2"/>
  <c r="E85" i="2" s="1"/>
  <c r="F85" i="2" s="1"/>
  <c r="G85" i="2" s="1"/>
  <c r="H85" i="2" s="1"/>
  <c r="I85" i="2" s="1"/>
  <c r="C86" i="2"/>
  <c r="E86" i="2" s="1"/>
  <c r="F86" i="2" s="1"/>
  <c r="G86" i="2" s="1"/>
  <c r="H86" i="2" s="1"/>
  <c r="I86" i="2" s="1"/>
  <c r="C87" i="2"/>
  <c r="E87" i="2" s="1"/>
  <c r="F87" i="2" s="1"/>
  <c r="G87" i="2" s="1"/>
  <c r="H87" i="2" s="1"/>
  <c r="I87" i="2" s="1"/>
  <c r="C88" i="2"/>
  <c r="E88" i="2" s="1"/>
  <c r="F88" i="2" s="1"/>
  <c r="G88" i="2" s="1"/>
  <c r="H88" i="2" s="1"/>
  <c r="I88" i="2" s="1"/>
  <c r="C89" i="2"/>
  <c r="E89" i="2" s="1"/>
  <c r="F89" i="2" s="1"/>
  <c r="G89" i="2" s="1"/>
  <c r="H89" i="2" s="1"/>
  <c r="I89" i="2" s="1"/>
  <c r="C90" i="2"/>
  <c r="E90" i="2" s="1"/>
  <c r="F90" i="2" s="1"/>
  <c r="G90" i="2" s="1"/>
  <c r="H90" i="2" s="1"/>
  <c r="I90" i="2" s="1"/>
  <c r="C91" i="2"/>
  <c r="E91" i="2" s="1"/>
  <c r="F91" i="2" s="1"/>
  <c r="G91" i="2" s="1"/>
  <c r="H91" i="2" s="1"/>
  <c r="I91" i="2" s="1"/>
  <c r="C92" i="2"/>
  <c r="E92" i="2" s="1"/>
  <c r="F92" i="2" s="1"/>
  <c r="G92" i="2" s="1"/>
  <c r="H92" i="2" s="1"/>
  <c r="I92" i="2" s="1"/>
  <c r="C93" i="2"/>
  <c r="E93" i="2" s="1"/>
  <c r="F93" i="2" s="1"/>
  <c r="G93" i="2" s="1"/>
  <c r="H93" i="2" s="1"/>
  <c r="I93" i="2" s="1"/>
  <c r="C94" i="2"/>
  <c r="E94" i="2" s="1"/>
  <c r="F94" i="2" s="1"/>
  <c r="G94" i="2" s="1"/>
  <c r="H94" i="2" s="1"/>
  <c r="I94" i="2" s="1"/>
  <c r="C95" i="2"/>
  <c r="E95" i="2" s="1"/>
  <c r="F95" i="2" s="1"/>
  <c r="G95" i="2" s="1"/>
  <c r="H95" i="2" s="1"/>
  <c r="I95" i="2" s="1"/>
  <c r="C96" i="2"/>
  <c r="E96" i="2" s="1"/>
  <c r="F96" i="2" s="1"/>
  <c r="G96" i="2" s="1"/>
  <c r="H96" i="2" s="1"/>
  <c r="I96" i="2" s="1"/>
  <c r="C97" i="2"/>
  <c r="E97" i="2" s="1"/>
  <c r="F97" i="2" s="1"/>
  <c r="G97" i="2" s="1"/>
  <c r="H97" i="2" s="1"/>
  <c r="I97" i="2" s="1"/>
  <c r="C98" i="2"/>
  <c r="E98" i="2" s="1"/>
  <c r="F98" i="2" s="1"/>
  <c r="G98" i="2" s="1"/>
  <c r="H98" i="2" s="1"/>
  <c r="I98" i="2" s="1"/>
  <c r="C99" i="2"/>
  <c r="E99" i="2" s="1"/>
  <c r="F99" i="2" s="1"/>
  <c r="G99" i="2" s="1"/>
  <c r="H99" i="2" s="1"/>
  <c r="I99" i="2" s="1"/>
  <c r="C100" i="2"/>
  <c r="E100" i="2" s="1"/>
  <c r="F100" i="2" s="1"/>
  <c r="G100" i="2" s="1"/>
  <c r="H100" i="2" s="1"/>
  <c r="I100" i="2" s="1"/>
  <c r="C101" i="2"/>
  <c r="E101" i="2" s="1"/>
  <c r="F101" i="2" s="1"/>
  <c r="G101" i="2" s="1"/>
  <c r="H101" i="2" s="1"/>
  <c r="I101" i="2" s="1"/>
  <c r="C102" i="2"/>
  <c r="E102" i="2" s="1"/>
  <c r="F102" i="2" s="1"/>
  <c r="G102" i="2" s="1"/>
  <c r="H102" i="2" s="1"/>
  <c r="I102" i="2" s="1"/>
  <c r="C103" i="2"/>
  <c r="E103" i="2" s="1"/>
  <c r="F103" i="2" s="1"/>
  <c r="G103" i="2" s="1"/>
  <c r="H103" i="2" s="1"/>
  <c r="I103" i="2" s="1"/>
  <c r="C104" i="2"/>
  <c r="E104" i="2" s="1"/>
  <c r="F104" i="2" s="1"/>
  <c r="G104" i="2" s="1"/>
  <c r="H104" i="2" s="1"/>
  <c r="I104" i="2" s="1"/>
  <c r="C105" i="2"/>
  <c r="E105" i="2" s="1"/>
  <c r="F105" i="2" s="1"/>
  <c r="G105" i="2" s="1"/>
  <c r="H105" i="2" s="1"/>
  <c r="I105" i="2" s="1"/>
  <c r="C106" i="2"/>
  <c r="E106" i="2" s="1"/>
  <c r="F106" i="2" s="1"/>
  <c r="G106" i="2" s="1"/>
  <c r="H106" i="2" s="1"/>
  <c r="I106" i="2" s="1"/>
  <c r="C107" i="2"/>
  <c r="E107" i="2" s="1"/>
  <c r="F107" i="2" s="1"/>
  <c r="G107" i="2" s="1"/>
  <c r="H107" i="2" s="1"/>
  <c r="I107" i="2" s="1"/>
  <c r="C108" i="2"/>
  <c r="E108" i="2" s="1"/>
  <c r="F108" i="2" s="1"/>
  <c r="G108" i="2" s="1"/>
  <c r="H108" i="2" s="1"/>
  <c r="I108" i="2" s="1"/>
  <c r="C109" i="2"/>
  <c r="E109" i="2" s="1"/>
  <c r="F109" i="2" s="1"/>
  <c r="G109" i="2" s="1"/>
  <c r="H109" i="2" s="1"/>
  <c r="I109" i="2" s="1"/>
  <c r="C110" i="2"/>
  <c r="E110" i="2" s="1"/>
  <c r="F110" i="2" s="1"/>
  <c r="G110" i="2" s="1"/>
  <c r="H110" i="2" s="1"/>
  <c r="I110" i="2" s="1"/>
  <c r="C111" i="2"/>
  <c r="E111" i="2" s="1"/>
  <c r="F111" i="2" s="1"/>
  <c r="G111" i="2" s="1"/>
  <c r="H111" i="2" s="1"/>
  <c r="I111" i="2" s="1"/>
  <c r="C112" i="2"/>
  <c r="E112" i="2" s="1"/>
  <c r="F112" i="2" s="1"/>
  <c r="G112" i="2" s="1"/>
  <c r="H112" i="2" s="1"/>
  <c r="I112" i="2" s="1"/>
  <c r="C113" i="2"/>
  <c r="E113" i="2" s="1"/>
  <c r="F113" i="2" s="1"/>
  <c r="G113" i="2" s="1"/>
  <c r="H113" i="2" s="1"/>
  <c r="I113" i="2" s="1"/>
  <c r="C114" i="2"/>
  <c r="E114" i="2" s="1"/>
  <c r="F114" i="2" s="1"/>
  <c r="G114" i="2" s="1"/>
  <c r="H114" i="2" s="1"/>
  <c r="I114" i="2" s="1"/>
  <c r="C115" i="2"/>
  <c r="E115" i="2" s="1"/>
  <c r="F115" i="2" s="1"/>
  <c r="G115" i="2" s="1"/>
  <c r="H115" i="2" s="1"/>
  <c r="I115" i="2" s="1"/>
  <c r="C116" i="2"/>
  <c r="E116" i="2" s="1"/>
  <c r="F116" i="2" s="1"/>
  <c r="G116" i="2" s="1"/>
  <c r="H116" i="2" s="1"/>
  <c r="I116" i="2" s="1"/>
  <c r="C117" i="2"/>
  <c r="E117" i="2" s="1"/>
  <c r="F117" i="2" s="1"/>
  <c r="G117" i="2" s="1"/>
  <c r="H117" i="2" s="1"/>
  <c r="I117" i="2" s="1"/>
  <c r="C118" i="2"/>
  <c r="E118" i="2" s="1"/>
  <c r="F118" i="2" s="1"/>
  <c r="G118" i="2" s="1"/>
  <c r="H118" i="2" s="1"/>
  <c r="I118" i="2" s="1"/>
  <c r="C119" i="2"/>
  <c r="E119" i="2" s="1"/>
  <c r="F119" i="2" s="1"/>
  <c r="G119" i="2" s="1"/>
  <c r="H119" i="2" s="1"/>
  <c r="I119" i="2" s="1"/>
  <c r="C120" i="2"/>
  <c r="E120" i="2" s="1"/>
  <c r="F120" i="2" s="1"/>
  <c r="G120" i="2" s="1"/>
  <c r="H120" i="2" s="1"/>
  <c r="I120" i="2" s="1"/>
  <c r="C121" i="2"/>
  <c r="E121" i="2" s="1"/>
  <c r="F121" i="2" s="1"/>
  <c r="G121" i="2" s="1"/>
  <c r="H121" i="2" s="1"/>
  <c r="I121" i="2" s="1"/>
  <c r="C122" i="2"/>
  <c r="E122" i="2" s="1"/>
  <c r="F122" i="2" s="1"/>
  <c r="G122" i="2" s="1"/>
  <c r="H122" i="2" s="1"/>
  <c r="I122" i="2" s="1"/>
  <c r="C123" i="2"/>
  <c r="E123" i="2" s="1"/>
  <c r="F123" i="2" s="1"/>
  <c r="G123" i="2" s="1"/>
  <c r="H123" i="2" s="1"/>
  <c r="I123" i="2" s="1"/>
  <c r="C124" i="2"/>
  <c r="E124" i="2" s="1"/>
  <c r="F124" i="2" s="1"/>
  <c r="G124" i="2" s="1"/>
  <c r="H124" i="2" s="1"/>
  <c r="I124" i="2" s="1"/>
  <c r="C125" i="2"/>
  <c r="E125" i="2" s="1"/>
  <c r="F125" i="2" s="1"/>
  <c r="G125" i="2" s="1"/>
  <c r="H125" i="2" s="1"/>
  <c r="I125" i="2" s="1"/>
  <c r="C126" i="2"/>
  <c r="D126" i="2" s="1"/>
  <c r="C127" i="2"/>
  <c r="E127" i="2" s="1"/>
  <c r="F127" i="2" s="1"/>
  <c r="G127" i="2" s="1"/>
  <c r="H127" i="2" s="1"/>
  <c r="I127" i="2" s="1"/>
  <c r="C128" i="2"/>
  <c r="E128" i="2" s="1"/>
  <c r="F128" i="2" s="1"/>
  <c r="G128" i="2" s="1"/>
  <c r="H128" i="2" s="1"/>
  <c r="I128" i="2" s="1"/>
  <c r="C129" i="2"/>
  <c r="E129" i="2" s="1"/>
  <c r="F129" i="2" s="1"/>
  <c r="G129" i="2" s="1"/>
  <c r="H129" i="2" s="1"/>
  <c r="I129" i="2" s="1"/>
  <c r="C130" i="2"/>
  <c r="E130" i="2" s="1"/>
  <c r="F130" i="2" s="1"/>
  <c r="G130" i="2" s="1"/>
  <c r="H130" i="2" s="1"/>
  <c r="I130" i="2" s="1"/>
  <c r="C131" i="2"/>
  <c r="E131" i="2" s="1"/>
  <c r="F131" i="2" s="1"/>
  <c r="G131" i="2" s="1"/>
  <c r="H131" i="2" s="1"/>
  <c r="I131" i="2" s="1"/>
  <c r="C132" i="2"/>
  <c r="E132" i="2" s="1"/>
  <c r="F132" i="2" s="1"/>
  <c r="G132" i="2" s="1"/>
  <c r="H132" i="2" s="1"/>
  <c r="I132" i="2" s="1"/>
  <c r="C133" i="2"/>
  <c r="E133" i="2" s="1"/>
  <c r="F133" i="2" s="1"/>
  <c r="G133" i="2" s="1"/>
  <c r="H133" i="2" s="1"/>
  <c r="I133" i="2" s="1"/>
  <c r="C134" i="2"/>
  <c r="E134" i="2" s="1"/>
  <c r="F134" i="2" s="1"/>
  <c r="G134" i="2" s="1"/>
  <c r="H134" i="2" s="1"/>
  <c r="I134" i="2" s="1"/>
  <c r="C135" i="2"/>
  <c r="E135" i="2" s="1"/>
  <c r="F135" i="2" s="1"/>
  <c r="G135" i="2" s="1"/>
  <c r="H135" i="2" s="1"/>
  <c r="I135" i="2" s="1"/>
  <c r="C136" i="2"/>
  <c r="E136" i="2" s="1"/>
  <c r="F136" i="2" s="1"/>
  <c r="G136" i="2" s="1"/>
  <c r="H136" i="2" s="1"/>
  <c r="I136" i="2" s="1"/>
  <c r="C137" i="2"/>
  <c r="E137" i="2" s="1"/>
  <c r="F137" i="2" s="1"/>
  <c r="G137" i="2" s="1"/>
  <c r="H137" i="2" s="1"/>
  <c r="I137" i="2" s="1"/>
  <c r="C138" i="2"/>
  <c r="E138" i="2" s="1"/>
  <c r="F138" i="2" s="1"/>
  <c r="G138" i="2" s="1"/>
  <c r="H138" i="2" s="1"/>
  <c r="I138" i="2" s="1"/>
  <c r="C139" i="2"/>
  <c r="E139" i="2" s="1"/>
  <c r="F139" i="2" s="1"/>
  <c r="G139" i="2" s="1"/>
  <c r="H139" i="2" s="1"/>
  <c r="I139" i="2" s="1"/>
  <c r="C140" i="2"/>
  <c r="E140" i="2" s="1"/>
  <c r="F140" i="2" s="1"/>
  <c r="G140" i="2" s="1"/>
  <c r="H140" i="2" s="1"/>
  <c r="I140" i="2" s="1"/>
  <c r="C141" i="2"/>
  <c r="E141" i="2" s="1"/>
  <c r="F141" i="2" s="1"/>
  <c r="G141" i="2" s="1"/>
  <c r="H141" i="2" s="1"/>
  <c r="I141" i="2" s="1"/>
  <c r="C142" i="2"/>
  <c r="E142" i="2" s="1"/>
  <c r="F142" i="2" s="1"/>
  <c r="G142" i="2" s="1"/>
  <c r="H142" i="2" s="1"/>
  <c r="I142" i="2" s="1"/>
  <c r="C143" i="2"/>
  <c r="E143" i="2" s="1"/>
  <c r="F143" i="2" s="1"/>
  <c r="G143" i="2" s="1"/>
  <c r="H143" i="2" s="1"/>
  <c r="I143" i="2" s="1"/>
  <c r="C144" i="2"/>
  <c r="E144" i="2" s="1"/>
  <c r="F144" i="2" s="1"/>
  <c r="G144" i="2" s="1"/>
  <c r="H144" i="2" s="1"/>
  <c r="I144" i="2" s="1"/>
  <c r="C145" i="2"/>
  <c r="E145" i="2" s="1"/>
  <c r="F145" i="2" s="1"/>
  <c r="G145" i="2" s="1"/>
  <c r="H145" i="2" s="1"/>
  <c r="I145" i="2" s="1"/>
  <c r="C146" i="2"/>
  <c r="E146" i="2" s="1"/>
  <c r="F146" i="2" s="1"/>
  <c r="G146" i="2" s="1"/>
  <c r="H146" i="2" s="1"/>
  <c r="I146" i="2" s="1"/>
  <c r="C147" i="2"/>
  <c r="E147" i="2" s="1"/>
  <c r="F147" i="2" s="1"/>
  <c r="G147" i="2" s="1"/>
  <c r="H147" i="2" s="1"/>
  <c r="I147" i="2" s="1"/>
  <c r="C148" i="2"/>
  <c r="D148" i="2" s="1"/>
  <c r="C149" i="2"/>
  <c r="E149" i="2" s="1"/>
  <c r="F149" i="2" s="1"/>
  <c r="G149" i="2" s="1"/>
  <c r="H149" i="2" s="1"/>
  <c r="I149" i="2" s="1"/>
  <c r="C150" i="2"/>
  <c r="E150" i="2" s="1"/>
  <c r="F150" i="2" s="1"/>
  <c r="G150" i="2" s="1"/>
  <c r="H150" i="2" s="1"/>
  <c r="I150" i="2" s="1"/>
  <c r="C151" i="2"/>
  <c r="E151" i="2" s="1"/>
  <c r="F151" i="2" s="1"/>
  <c r="G151" i="2" s="1"/>
  <c r="H151" i="2" s="1"/>
  <c r="I151" i="2" s="1"/>
  <c r="C152" i="2"/>
  <c r="E152" i="2" s="1"/>
  <c r="F152" i="2" s="1"/>
  <c r="G152" i="2" s="1"/>
  <c r="H152" i="2" s="1"/>
  <c r="I152" i="2" s="1"/>
  <c r="C153" i="2"/>
  <c r="E153" i="2" s="1"/>
  <c r="F153" i="2" s="1"/>
  <c r="G153" i="2" s="1"/>
  <c r="H153" i="2" s="1"/>
  <c r="I153" i="2" s="1"/>
  <c r="C154" i="2"/>
  <c r="E154" i="2" s="1"/>
  <c r="F154" i="2" s="1"/>
  <c r="G154" i="2" s="1"/>
  <c r="H154" i="2" s="1"/>
  <c r="I154" i="2" s="1"/>
  <c r="C155" i="2"/>
  <c r="E155" i="2" s="1"/>
  <c r="F155" i="2" s="1"/>
  <c r="G155" i="2" s="1"/>
  <c r="H155" i="2" s="1"/>
  <c r="I155" i="2" s="1"/>
  <c r="C156" i="2"/>
  <c r="E156" i="2" s="1"/>
  <c r="F156" i="2" s="1"/>
  <c r="G156" i="2" s="1"/>
  <c r="H156" i="2" s="1"/>
  <c r="I156" i="2" s="1"/>
  <c r="C157" i="2"/>
  <c r="E157" i="2" s="1"/>
  <c r="F157" i="2" s="1"/>
  <c r="G157" i="2" s="1"/>
  <c r="H157" i="2" s="1"/>
  <c r="I157" i="2" s="1"/>
  <c r="C158" i="2"/>
  <c r="D158" i="2" s="1"/>
  <c r="C159" i="2"/>
  <c r="E159" i="2" s="1"/>
  <c r="F159" i="2" s="1"/>
  <c r="G159" i="2" s="1"/>
  <c r="H159" i="2" s="1"/>
  <c r="I159" i="2" s="1"/>
  <c r="C160" i="2"/>
  <c r="E160" i="2" s="1"/>
  <c r="F160" i="2" s="1"/>
  <c r="G160" i="2" s="1"/>
  <c r="H160" i="2" s="1"/>
  <c r="I160" i="2" s="1"/>
  <c r="C161" i="2"/>
  <c r="E161" i="2" s="1"/>
  <c r="F161" i="2" s="1"/>
  <c r="G161" i="2" s="1"/>
  <c r="H161" i="2" s="1"/>
  <c r="I161" i="2" s="1"/>
  <c r="C162" i="2"/>
  <c r="E162" i="2" s="1"/>
  <c r="F162" i="2" s="1"/>
  <c r="G162" i="2" s="1"/>
  <c r="H162" i="2" s="1"/>
  <c r="I162" i="2" s="1"/>
  <c r="C163" i="2"/>
  <c r="E163" i="2" s="1"/>
  <c r="F163" i="2" s="1"/>
  <c r="G163" i="2" s="1"/>
  <c r="H163" i="2" s="1"/>
  <c r="I163" i="2" s="1"/>
  <c r="C164" i="2"/>
  <c r="D164" i="2" s="1"/>
  <c r="C165" i="2"/>
  <c r="E165" i="2" s="1"/>
  <c r="F165" i="2" s="1"/>
  <c r="G165" i="2" s="1"/>
  <c r="H165" i="2" s="1"/>
  <c r="I165" i="2" s="1"/>
  <c r="C166" i="2"/>
  <c r="E166" i="2" s="1"/>
  <c r="F166" i="2" s="1"/>
  <c r="G166" i="2" s="1"/>
  <c r="H166" i="2" s="1"/>
  <c r="I166" i="2" s="1"/>
  <c r="C167" i="2"/>
  <c r="E167" i="2" s="1"/>
  <c r="F167" i="2" s="1"/>
  <c r="G167" i="2" s="1"/>
  <c r="H167" i="2" s="1"/>
  <c r="I167" i="2" s="1"/>
  <c r="C168" i="2"/>
  <c r="E168" i="2" s="1"/>
  <c r="F168" i="2" s="1"/>
  <c r="G168" i="2" s="1"/>
  <c r="H168" i="2" s="1"/>
  <c r="I168" i="2" s="1"/>
  <c r="C169" i="2"/>
  <c r="E169" i="2" s="1"/>
  <c r="F169" i="2" s="1"/>
  <c r="G169" i="2" s="1"/>
  <c r="H169" i="2" s="1"/>
  <c r="I169" i="2" s="1"/>
  <c r="C170" i="2"/>
  <c r="D170" i="2" s="1"/>
  <c r="C171" i="2"/>
  <c r="E171" i="2" s="1"/>
  <c r="F171" i="2" s="1"/>
  <c r="G171" i="2" s="1"/>
  <c r="H171" i="2" s="1"/>
  <c r="I171" i="2" s="1"/>
  <c r="C172" i="2"/>
  <c r="E172" i="2" s="1"/>
  <c r="F172" i="2" s="1"/>
  <c r="G172" i="2" s="1"/>
  <c r="H172" i="2" s="1"/>
  <c r="I172" i="2" s="1"/>
  <c r="C173" i="2"/>
  <c r="E173" i="2" s="1"/>
  <c r="F173" i="2" s="1"/>
  <c r="G173" i="2" s="1"/>
  <c r="H173" i="2" s="1"/>
  <c r="I173" i="2" s="1"/>
  <c r="C13" i="2"/>
  <c r="E13" i="2" s="1"/>
  <c r="F13" i="2" s="1"/>
  <c r="G13" i="2" s="1"/>
  <c r="H13" i="2" s="1"/>
  <c r="I13" i="2" s="1"/>
  <c r="D63" i="2"/>
  <c r="D64" i="2"/>
  <c r="D65" i="2"/>
  <c r="D71" i="2"/>
  <c r="D79" i="2"/>
  <c r="D86" i="2"/>
  <c r="D91" i="2"/>
  <c r="D92" i="2"/>
  <c r="D97" i="2"/>
  <c r="D99" i="2"/>
  <c r="D102" i="2"/>
  <c r="D112" i="2"/>
  <c r="D122" i="2"/>
  <c r="D131" i="2"/>
  <c r="D132" i="2"/>
  <c r="D139" i="2"/>
  <c r="D140" i="2"/>
  <c r="D146" i="2"/>
  <c r="D147" i="2"/>
  <c r="D150" i="2"/>
  <c r="D155" i="2"/>
  <c r="D162" i="2"/>
  <c r="D13" i="2"/>
  <c r="D120" i="2" l="1"/>
  <c r="D108" i="2"/>
  <c r="D84" i="2"/>
  <c r="D76" i="2"/>
  <c r="D68" i="2"/>
  <c r="D167" i="2"/>
  <c r="D152" i="2"/>
  <c r="D136" i="2"/>
  <c r="D128" i="2"/>
  <c r="D119" i="2"/>
  <c r="D107" i="2"/>
  <c r="D88" i="2"/>
  <c r="D83" i="2"/>
  <c r="D75" i="2"/>
  <c r="D67" i="2"/>
  <c r="D163" i="2"/>
  <c r="D151" i="2"/>
  <c r="D144" i="2"/>
  <c r="D135" i="2"/>
  <c r="D124" i="2"/>
  <c r="D116" i="2"/>
  <c r="D103" i="2"/>
  <c r="D95" i="2"/>
  <c r="D87" i="2"/>
  <c r="D80" i="2"/>
  <c r="D72" i="2"/>
  <c r="D69" i="2"/>
  <c r="D101" i="2"/>
  <c r="D73" i="2"/>
  <c r="D77" i="2"/>
  <c r="D114" i="2"/>
  <c r="D90" i="2"/>
  <c r="D110" i="2"/>
  <c r="D82" i="2"/>
  <c r="E126" i="2"/>
  <c r="F126" i="2" s="1"/>
  <c r="G126" i="2" s="1"/>
  <c r="H126" i="2" s="1"/>
  <c r="I126" i="2" s="1"/>
  <c r="D172" i="2"/>
  <c r="D160" i="2"/>
  <c r="D118" i="2"/>
  <c r="D98" i="2"/>
  <c r="D106" i="2"/>
  <c r="D94" i="2"/>
  <c r="E158" i="2"/>
  <c r="F158" i="2" s="1"/>
  <c r="G158" i="2" s="1"/>
  <c r="H158" i="2" s="1"/>
  <c r="I158" i="2" s="1"/>
  <c r="D115" i="2"/>
  <c r="D100" i="2"/>
  <c r="D111" i="2"/>
  <c r="D93" i="2"/>
  <c r="D89" i="2"/>
  <c r="D81" i="2"/>
  <c r="D15" i="2"/>
  <c r="D166" i="2"/>
  <c r="D142" i="2"/>
  <c r="D130" i="2"/>
  <c r="D123" i="2"/>
  <c r="D78" i="2"/>
  <c r="D74" i="2"/>
  <c r="D70" i="2"/>
  <c r="D66" i="2"/>
  <c r="D171" i="2"/>
  <c r="D96" i="2"/>
  <c r="D104" i="2"/>
  <c r="D134" i="2"/>
  <c r="D85" i="2"/>
  <c r="D168" i="2"/>
  <c r="D156" i="2"/>
  <c r="E164" i="2"/>
  <c r="F164" i="2" s="1"/>
  <c r="G164" i="2" s="1"/>
  <c r="H164" i="2" s="1"/>
  <c r="I164" i="2" s="1"/>
  <c r="E148" i="2"/>
  <c r="F148" i="2" s="1"/>
  <c r="G148" i="2" s="1"/>
  <c r="H148" i="2" s="1"/>
  <c r="I148" i="2" s="1"/>
  <c r="E170" i="2"/>
  <c r="F170" i="2" s="1"/>
  <c r="G170" i="2" s="1"/>
  <c r="H170" i="2" s="1"/>
  <c r="I170" i="2" s="1"/>
  <c r="D159" i="2"/>
  <c r="D154" i="2"/>
  <c r="D143" i="2"/>
  <c r="D138" i="2"/>
  <c r="D127" i="2"/>
  <c r="D173" i="2"/>
  <c r="D169" i="2"/>
  <c r="D165" i="2"/>
  <c r="D161" i="2"/>
  <c r="D157" i="2"/>
  <c r="D153" i="2"/>
  <c r="D149" i="2"/>
  <c r="D145" i="2"/>
  <c r="D141" i="2"/>
  <c r="D137" i="2"/>
  <c r="D133" i="2"/>
  <c r="D129" i="2"/>
  <c r="D125" i="2"/>
  <c r="D121" i="2"/>
  <c r="D117" i="2"/>
  <c r="D113" i="2"/>
  <c r="D109" i="2"/>
  <c r="D105" i="2"/>
  <c r="C62" i="2"/>
  <c r="C61" i="2"/>
  <c r="C60" i="2"/>
  <c r="C59" i="2"/>
  <c r="C58" i="2"/>
  <c r="C57" i="2"/>
  <c r="C56" i="2"/>
  <c r="C55" i="2"/>
  <c r="C54" i="2"/>
  <c r="C53" i="2"/>
  <c r="C52" i="2"/>
  <c r="C51" i="2"/>
  <c r="C25" i="2"/>
  <c r="E25" i="2" s="1"/>
  <c r="F25" i="2" s="1"/>
  <c r="G25" i="2" s="1"/>
  <c r="H25" i="2" s="1"/>
  <c r="I25" i="2" s="1"/>
  <c r="E36" i="2"/>
  <c r="F36" i="2" s="1"/>
  <c r="G36" i="2" s="1"/>
  <c r="H36" i="2" s="1"/>
  <c r="I36" i="2" s="1"/>
  <c r="D36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5" i="2"/>
  <c r="C34" i="2"/>
  <c r="C33" i="2"/>
  <c r="D25" i="2"/>
  <c r="C14" i="2"/>
  <c r="E14" i="2" s="1"/>
  <c r="F14" i="2" s="1"/>
  <c r="G14" i="2" s="1"/>
  <c r="H14" i="2" s="1"/>
  <c r="I14" i="2" s="1"/>
  <c r="C32" i="2"/>
  <c r="C31" i="2"/>
  <c r="C30" i="2"/>
  <c r="C29" i="2"/>
  <c r="C28" i="2"/>
  <c r="C27" i="2"/>
  <c r="C26" i="2"/>
  <c r="C24" i="2"/>
  <c r="C23" i="2"/>
  <c r="C22" i="2"/>
  <c r="C21" i="2"/>
  <c r="C20" i="2"/>
  <c r="C19" i="2"/>
  <c r="C18" i="2"/>
  <c r="C17" i="2"/>
  <c r="C16" i="2"/>
  <c r="D14" i="2" l="1"/>
  <c r="E51" i="2"/>
  <c r="F51" i="2" s="1"/>
  <c r="G51" i="2" s="1"/>
  <c r="H51" i="2" s="1"/>
  <c r="I51" i="2" s="1"/>
  <c r="D51" i="2"/>
  <c r="E53" i="2"/>
  <c r="F53" i="2" s="1"/>
  <c r="G53" i="2" s="1"/>
  <c r="H53" i="2" s="1"/>
  <c r="I53" i="2" s="1"/>
  <c r="D53" i="2"/>
  <c r="E55" i="2"/>
  <c r="F55" i="2" s="1"/>
  <c r="G55" i="2" s="1"/>
  <c r="H55" i="2" s="1"/>
  <c r="I55" i="2" s="1"/>
  <c r="D55" i="2"/>
  <c r="E57" i="2"/>
  <c r="F57" i="2" s="1"/>
  <c r="G57" i="2" s="1"/>
  <c r="H57" i="2" s="1"/>
  <c r="I57" i="2" s="1"/>
  <c r="D57" i="2"/>
  <c r="E59" i="2"/>
  <c r="F59" i="2" s="1"/>
  <c r="G59" i="2" s="1"/>
  <c r="H59" i="2" s="1"/>
  <c r="I59" i="2" s="1"/>
  <c r="D59" i="2"/>
  <c r="E61" i="2"/>
  <c r="F61" i="2" s="1"/>
  <c r="G61" i="2" s="1"/>
  <c r="H61" i="2" s="1"/>
  <c r="I61" i="2" s="1"/>
  <c r="D61" i="2"/>
  <c r="E52" i="2"/>
  <c r="F52" i="2" s="1"/>
  <c r="G52" i="2" s="1"/>
  <c r="H52" i="2" s="1"/>
  <c r="I52" i="2" s="1"/>
  <c r="D52" i="2"/>
  <c r="E54" i="2"/>
  <c r="F54" i="2" s="1"/>
  <c r="G54" i="2" s="1"/>
  <c r="H54" i="2" s="1"/>
  <c r="I54" i="2" s="1"/>
  <c r="D54" i="2"/>
  <c r="E56" i="2"/>
  <c r="F56" i="2" s="1"/>
  <c r="G56" i="2" s="1"/>
  <c r="H56" i="2" s="1"/>
  <c r="I56" i="2" s="1"/>
  <c r="D56" i="2"/>
  <c r="E58" i="2"/>
  <c r="F58" i="2" s="1"/>
  <c r="G58" i="2" s="1"/>
  <c r="H58" i="2" s="1"/>
  <c r="I58" i="2" s="1"/>
  <c r="D58" i="2"/>
  <c r="E60" i="2"/>
  <c r="F60" i="2" s="1"/>
  <c r="G60" i="2" s="1"/>
  <c r="H60" i="2" s="1"/>
  <c r="I60" i="2" s="1"/>
  <c r="D60" i="2"/>
  <c r="E62" i="2"/>
  <c r="F62" i="2" s="1"/>
  <c r="G62" i="2" s="1"/>
  <c r="H62" i="2" s="1"/>
  <c r="I62" i="2" s="1"/>
  <c r="D62" i="2"/>
  <c r="D33" i="2"/>
  <c r="E33" i="2"/>
  <c r="F33" i="2" s="1"/>
  <c r="G33" i="2" s="1"/>
  <c r="H33" i="2" s="1"/>
  <c r="I33" i="2" s="1"/>
  <c r="D35" i="2"/>
  <c r="E35" i="2"/>
  <c r="F35" i="2" s="1"/>
  <c r="G35" i="2" s="1"/>
  <c r="H35" i="2" s="1"/>
  <c r="I35" i="2" s="1"/>
  <c r="E38" i="2"/>
  <c r="F38" i="2" s="1"/>
  <c r="G38" i="2" s="1"/>
  <c r="H38" i="2" s="1"/>
  <c r="I38" i="2" s="1"/>
  <c r="D38" i="2"/>
  <c r="E40" i="2"/>
  <c r="F40" i="2" s="1"/>
  <c r="G40" i="2" s="1"/>
  <c r="H40" i="2" s="1"/>
  <c r="I40" i="2" s="1"/>
  <c r="D40" i="2"/>
  <c r="D42" i="2"/>
  <c r="E42" i="2"/>
  <c r="F42" i="2" s="1"/>
  <c r="G42" i="2" s="1"/>
  <c r="H42" i="2" s="1"/>
  <c r="I42" i="2" s="1"/>
  <c r="E44" i="2"/>
  <c r="F44" i="2" s="1"/>
  <c r="G44" i="2" s="1"/>
  <c r="H44" i="2" s="1"/>
  <c r="I44" i="2" s="1"/>
  <c r="D44" i="2"/>
  <c r="E46" i="2"/>
  <c r="F46" i="2" s="1"/>
  <c r="G46" i="2" s="1"/>
  <c r="H46" i="2" s="1"/>
  <c r="I46" i="2" s="1"/>
  <c r="D46" i="2"/>
  <c r="D48" i="2"/>
  <c r="E48" i="2"/>
  <c r="F48" i="2" s="1"/>
  <c r="G48" i="2" s="1"/>
  <c r="H48" i="2" s="1"/>
  <c r="I48" i="2" s="1"/>
  <c r="E50" i="2"/>
  <c r="F50" i="2" s="1"/>
  <c r="G50" i="2" s="1"/>
  <c r="H50" i="2" s="1"/>
  <c r="I50" i="2" s="1"/>
  <c r="D50" i="2"/>
  <c r="E34" i="2"/>
  <c r="F34" i="2" s="1"/>
  <c r="G34" i="2" s="1"/>
  <c r="H34" i="2" s="1"/>
  <c r="I34" i="2" s="1"/>
  <c r="D34" i="2"/>
  <c r="D37" i="2"/>
  <c r="E37" i="2"/>
  <c r="F37" i="2" s="1"/>
  <c r="G37" i="2" s="1"/>
  <c r="H37" i="2" s="1"/>
  <c r="I37" i="2" s="1"/>
  <c r="D39" i="2"/>
  <c r="E39" i="2"/>
  <c r="F39" i="2" s="1"/>
  <c r="G39" i="2" s="1"/>
  <c r="H39" i="2" s="1"/>
  <c r="I39" i="2" s="1"/>
  <c r="D41" i="2"/>
  <c r="E41" i="2"/>
  <c r="F41" i="2" s="1"/>
  <c r="G41" i="2" s="1"/>
  <c r="H41" i="2" s="1"/>
  <c r="I41" i="2" s="1"/>
  <c r="D43" i="2"/>
  <c r="E43" i="2"/>
  <c r="F43" i="2" s="1"/>
  <c r="G43" i="2" s="1"/>
  <c r="H43" i="2" s="1"/>
  <c r="I43" i="2" s="1"/>
  <c r="D45" i="2"/>
  <c r="E45" i="2"/>
  <c r="F45" i="2" s="1"/>
  <c r="G45" i="2" s="1"/>
  <c r="H45" i="2" s="1"/>
  <c r="I45" i="2" s="1"/>
  <c r="D47" i="2"/>
  <c r="E47" i="2"/>
  <c r="F47" i="2" s="1"/>
  <c r="G47" i="2" s="1"/>
  <c r="H47" i="2" s="1"/>
  <c r="I47" i="2" s="1"/>
  <c r="D49" i="2"/>
  <c r="E49" i="2"/>
  <c r="F49" i="2" s="1"/>
  <c r="G49" i="2" s="1"/>
  <c r="H49" i="2" s="1"/>
  <c r="I49" i="2" s="1"/>
  <c r="E17" i="2"/>
  <c r="F17" i="2" s="1"/>
  <c r="G17" i="2" s="1"/>
  <c r="H17" i="2" s="1"/>
  <c r="I17" i="2" s="1"/>
  <c r="D17" i="2"/>
  <c r="D21" i="2"/>
  <c r="E21" i="2"/>
  <c r="F21" i="2" s="1"/>
  <c r="G21" i="2" s="1"/>
  <c r="H21" i="2" s="1"/>
  <c r="I21" i="2" s="1"/>
  <c r="E26" i="2"/>
  <c r="F26" i="2" s="1"/>
  <c r="G26" i="2" s="1"/>
  <c r="H26" i="2" s="1"/>
  <c r="I26" i="2" s="1"/>
  <c r="D26" i="2"/>
  <c r="D16" i="2"/>
  <c r="E16" i="2"/>
  <c r="F16" i="2" s="1"/>
  <c r="G16" i="2" s="1"/>
  <c r="H16" i="2" s="1"/>
  <c r="I16" i="2" s="1"/>
  <c r="D18" i="2"/>
  <c r="E18" i="2"/>
  <c r="F18" i="2" s="1"/>
  <c r="G18" i="2" s="1"/>
  <c r="H18" i="2" s="1"/>
  <c r="I18" i="2" s="1"/>
  <c r="D20" i="2"/>
  <c r="E20" i="2"/>
  <c r="F20" i="2" s="1"/>
  <c r="G20" i="2" s="1"/>
  <c r="H20" i="2" s="1"/>
  <c r="I20" i="2" s="1"/>
  <c r="E22" i="2"/>
  <c r="F22" i="2" s="1"/>
  <c r="G22" i="2" s="1"/>
  <c r="H22" i="2" s="1"/>
  <c r="I22" i="2" s="1"/>
  <c r="D22" i="2"/>
  <c r="E24" i="2"/>
  <c r="F24" i="2" s="1"/>
  <c r="G24" i="2" s="1"/>
  <c r="H24" i="2" s="1"/>
  <c r="I24" i="2" s="1"/>
  <c r="D24" i="2"/>
  <c r="D27" i="2"/>
  <c r="E27" i="2"/>
  <c r="F27" i="2" s="1"/>
  <c r="G27" i="2" s="1"/>
  <c r="H27" i="2" s="1"/>
  <c r="I27" i="2" s="1"/>
  <c r="D29" i="2"/>
  <c r="E29" i="2"/>
  <c r="F29" i="2" s="1"/>
  <c r="G29" i="2" s="1"/>
  <c r="H29" i="2" s="1"/>
  <c r="I29" i="2" s="1"/>
  <c r="D31" i="2"/>
  <c r="E31" i="2"/>
  <c r="F31" i="2" s="1"/>
  <c r="G31" i="2" s="1"/>
  <c r="H31" i="2" s="1"/>
  <c r="I31" i="2" s="1"/>
  <c r="D19" i="2"/>
  <c r="E19" i="2"/>
  <c r="F19" i="2" s="1"/>
  <c r="G19" i="2" s="1"/>
  <c r="H19" i="2" s="1"/>
  <c r="I19" i="2" s="1"/>
  <c r="D23" i="2"/>
  <c r="E23" i="2"/>
  <c r="F23" i="2" s="1"/>
  <c r="G23" i="2" s="1"/>
  <c r="H23" i="2" s="1"/>
  <c r="I23" i="2" s="1"/>
  <c r="E28" i="2"/>
  <c r="F28" i="2" s="1"/>
  <c r="G28" i="2" s="1"/>
  <c r="H28" i="2" s="1"/>
  <c r="I28" i="2" s="1"/>
  <c r="D28" i="2"/>
  <c r="D30" i="2"/>
  <c r="E30" i="2"/>
  <c r="F30" i="2" s="1"/>
  <c r="G30" i="2" s="1"/>
  <c r="H30" i="2" s="1"/>
  <c r="I30" i="2" s="1"/>
  <c r="E32" i="2"/>
  <c r="F32" i="2" s="1"/>
  <c r="G32" i="2" s="1"/>
  <c r="H32" i="2" s="1"/>
  <c r="I32" i="2" s="1"/>
  <c r="D32" i="2"/>
</calcChain>
</file>

<file path=xl/connections.xml><?xml version="1.0" encoding="utf-8"?>
<connections xmlns="http://schemas.openxmlformats.org/spreadsheetml/2006/main">
  <connection id="1" name="withrefm.109.RE" type="6" refreshedVersion="3" background="1" saveData="1">
    <textPr codePage="850" sourceFile="H:\TRANSCRIPTOME\Ac_Red5 genome seq\KiwiBAC BAC end sequencing\withrefm.109.RE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<sst xmlns="http://schemas.openxmlformats.org/spreadsheetml/2006/main" count="3387" uniqueCount="1415">
  <si>
    <t>Name</t>
  </si>
  <si>
    <t>Recognition Sequence</t>
  </si>
  <si>
    <t>Effective Length (nt)</t>
  </si>
  <si>
    <t>Overhang</t>
  </si>
  <si>
    <t>GGATCC</t>
  </si>
  <si>
    <t>GTGCAC</t>
  </si>
  <si>
    <t>TTCGAA</t>
  </si>
  <si>
    <t>GGCC</t>
  </si>
  <si>
    <t>CCWGG</t>
  </si>
  <si>
    <t>CYCGRG</t>
  </si>
  <si>
    <t>GTCGAC</t>
  </si>
  <si>
    <t>CTCGAG</t>
  </si>
  <si>
    <t>GCCGGC</t>
  </si>
  <si>
    <t>GGNCC</t>
  </si>
  <si>
    <t>CTGCAG</t>
  </si>
  <si>
    <t>RGATCY</t>
  </si>
  <si>
    <t>CCGCGG</t>
  </si>
  <si>
    <t>ACGCGT</t>
  </si>
  <si>
    <t>ATCGAT</t>
  </si>
  <si>
    <t>GTAC</t>
  </si>
  <si>
    <t>CCSGG</t>
  </si>
  <si>
    <t>AAGCTT</t>
  </si>
  <si>
    <t>GCATGC</t>
  </si>
  <si>
    <t>GGWCC</t>
  </si>
  <si>
    <t>CCGG</t>
  </si>
  <si>
    <t>ACRYGT</t>
  </si>
  <si>
    <t>GACGTC</t>
  </si>
  <si>
    <t>GATC</t>
  </si>
  <si>
    <t>CCTNAGG</t>
  </si>
  <si>
    <t>CCATGG</t>
  </si>
  <si>
    <t>TGATCA</t>
  </si>
  <si>
    <t>YGGCCR</t>
  </si>
  <si>
    <t>ATGCAT</t>
  </si>
  <si>
    <t>WCCGGW</t>
  </si>
  <si>
    <t>GGCGCC</t>
  </si>
  <si>
    <t>TCCGGA</t>
  </si>
  <si>
    <t>GCGC</t>
  </si>
  <si>
    <t>GCNNNNNNNGC</t>
  </si>
  <si>
    <t>CGCG</t>
  </si>
  <si>
    <t>GAATTC</t>
  </si>
  <si>
    <t>CTRYAG</t>
  </si>
  <si>
    <t>GWGCWC</t>
  </si>
  <si>
    <t>GDGCHC</t>
  </si>
  <si>
    <t>GCNGC</t>
  </si>
  <si>
    <t>CGATCG</t>
  </si>
  <si>
    <t>GGYRCC</t>
  </si>
  <si>
    <t>GKGCMC</t>
  </si>
  <si>
    <t>CTNAG</t>
  </si>
  <si>
    <t>CCTNNNNNAGG</t>
  </si>
  <si>
    <t>GCCNNNNNGGC</t>
  </si>
  <si>
    <t>GCTNAGC</t>
  </si>
  <si>
    <t>CCNGG</t>
  </si>
  <si>
    <t>CTTAAG</t>
  </si>
  <si>
    <t>GCGCGC</t>
  </si>
  <si>
    <t>CCANNNNNNTGG</t>
  </si>
  <si>
    <t>GRGCYC</t>
  </si>
  <si>
    <t>CGRYCG</t>
  </si>
  <si>
    <t>RCCGGY</t>
  </si>
  <si>
    <t>CCNNNNNNNGG</t>
  </si>
  <si>
    <t>GGTNACC</t>
  </si>
  <si>
    <t>AGATCT</t>
  </si>
  <si>
    <t>TGTACA</t>
  </si>
  <si>
    <t>RGCGCY</t>
  </si>
  <si>
    <t>CGTACG</t>
  </si>
  <si>
    <t>CGGCCG</t>
  </si>
  <si>
    <t>CCNNGG</t>
  </si>
  <si>
    <t>GGTACC</t>
  </si>
  <si>
    <t>TCTAGA</t>
  </si>
  <si>
    <t>CCWWGG</t>
  </si>
  <si>
    <t>GACNNNNNGTC</t>
  </si>
  <si>
    <t>GCSGC</t>
  </si>
  <si>
    <t>ATTAAT</t>
  </si>
  <si>
    <t>GANTC</t>
  </si>
  <si>
    <t>TCGA</t>
  </si>
  <si>
    <t>GTMKAC</t>
  </si>
  <si>
    <t>GGGCCC</t>
  </si>
  <si>
    <t>GAGCTC</t>
  </si>
  <si>
    <t>CATG</t>
  </si>
  <si>
    <t>CTAG</t>
  </si>
  <si>
    <t>GACNNNGTC</t>
  </si>
  <si>
    <t>GRCGYC</t>
  </si>
  <si>
    <t>TCNGA</t>
  </si>
  <si>
    <t>GTSAC</t>
  </si>
  <si>
    <t>TCNNGA</t>
  </si>
  <si>
    <t>ACNGT</t>
  </si>
  <si>
    <t>ACGT</t>
  </si>
  <si>
    <t>CGWCG</t>
  </si>
  <si>
    <t>CCCGGG</t>
  </si>
  <si>
    <t>RCATGY</t>
  </si>
  <si>
    <t>GCWGC</t>
  </si>
  <si>
    <t>RGGWCCY</t>
  </si>
  <si>
    <t>CRCCGGYG</t>
  </si>
  <si>
    <t>TCATGA</t>
  </si>
  <si>
    <t>CTYRAG</t>
  </si>
  <si>
    <t>CATATG</t>
  </si>
  <si>
    <t>GACNNNNNNGTC</t>
  </si>
  <si>
    <t>AATT</t>
  </si>
  <si>
    <t>RGGNCCY</t>
  </si>
  <si>
    <t>AACGTT</t>
  </si>
  <si>
    <t>3' (5 nucleotides)</t>
  </si>
  <si>
    <t>ApaBI</t>
  </si>
  <si>
    <t>GCANNNNN^TGC</t>
  </si>
  <si>
    <t>Hpy99I</t>
  </si>
  <si>
    <t>CGWCG^</t>
  </si>
  <si>
    <t>AatII</t>
  </si>
  <si>
    <t>GACGT^C</t>
  </si>
  <si>
    <t>3' (4 nucleotides)</t>
  </si>
  <si>
    <t>AccB2I</t>
  </si>
  <si>
    <t>RGCGC^Y</t>
  </si>
  <si>
    <t>AceII</t>
  </si>
  <si>
    <t>GCTAG^C</t>
  </si>
  <si>
    <t>AjoI</t>
  </si>
  <si>
    <t>CTGCA^G</t>
  </si>
  <si>
    <t>AliAJI</t>
  </si>
  <si>
    <t>Alw21I</t>
  </si>
  <si>
    <t>GWGCW^C</t>
  </si>
  <si>
    <t>AocII</t>
  </si>
  <si>
    <t>GDGCH^C</t>
  </si>
  <si>
    <t>ApaI</t>
  </si>
  <si>
    <t>GGGCC^C</t>
  </si>
  <si>
    <t>ApiI</t>
  </si>
  <si>
    <t>Asi372I</t>
  </si>
  <si>
    <t>ATGCA^T</t>
  </si>
  <si>
    <t>Asp713I</t>
  </si>
  <si>
    <t>AspHI</t>
  </si>
  <si>
    <t>AvoI</t>
  </si>
  <si>
    <t>RCATG^Y</t>
  </si>
  <si>
    <t>BaeGI</t>
  </si>
  <si>
    <t>GKGCM^C</t>
  </si>
  <si>
    <t>BanII</t>
  </si>
  <si>
    <t>GRGCY^C</t>
  </si>
  <si>
    <t>BbeI</t>
  </si>
  <si>
    <t>GGCGC^C</t>
  </si>
  <si>
    <t>BbuI</t>
  </si>
  <si>
    <t>GCATG^C</t>
  </si>
  <si>
    <t>Bbv12I</t>
  </si>
  <si>
    <t>BfoI</t>
  </si>
  <si>
    <t>BfrBI</t>
  </si>
  <si>
    <t>BfuAII</t>
  </si>
  <si>
    <t>BinSII</t>
  </si>
  <si>
    <t>BloHII</t>
  </si>
  <si>
    <t>Bme1580I</t>
  </si>
  <si>
    <t>BmtI</t>
  </si>
  <si>
    <t>BmyI</t>
  </si>
  <si>
    <t>BpuI</t>
  </si>
  <si>
    <t>BseSI</t>
  </si>
  <si>
    <t>Bsh45I</t>
  </si>
  <si>
    <t>BsiHKAI</t>
  </si>
  <si>
    <t>Bsm6I</t>
  </si>
  <si>
    <t>BsoCI</t>
  </si>
  <si>
    <t>Bsp1286I</t>
  </si>
  <si>
    <t>Bsp143II</t>
  </si>
  <si>
    <t>Bsp519I</t>
  </si>
  <si>
    <t>Bsp63I</t>
  </si>
  <si>
    <t>BspBI</t>
  </si>
  <si>
    <t>BspLS2I</t>
  </si>
  <si>
    <t>BspMAI</t>
  </si>
  <si>
    <t>BspOI</t>
  </si>
  <si>
    <t>BstH2I</t>
  </si>
  <si>
    <t>BstHZ55I</t>
  </si>
  <si>
    <t>CCANNNNN^NTGG</t>
  </si>
  <si>
    <t>BstNSI</t>
  </si>
  <si>
    <t>BstSLI</t>
  </si>
  <si>
    <t>BstXI</t>
  </si>
  <si>
    <t>Bsu1854I</t>
  </si>
  <si>
    <t>BsuBI</t>
  </si>
  <si>
    <t>BvuI</t>
  </si>
  <si>
    <t>CflI</t>
  </si>
  <si>
    <t>CfrA4I</t>
  </si>
  <si>
    <t>CfuII</t>
  </si>
  <si>
    <t>ChaI</t>
  </si>
  <si>
    <t>GATC^</t>
  </si>
  <si>
    <t>Csp68KIII</t>
  </si>
  <si>
    <t>CstI</t>
  </si>
  <si>
    <t>Ecl2zI</t>
  </si>
  <si>
    <t>Ecl37kI</t>
  </si>
  <si>
    <t>Eco24I</t>
  </si>
  <si>
    <t>Eco75KI</t>
  </si>
  <si>
    <t>EcoT22I</t>
  </si>
  <si>
    <t>EcoT38I</t>
  </si>
  <si>
    <t>FaeI</t>
  </si>
  <si>
    <t>CATG^</t>
  </si>
  <si>
    <t>FriOI</t>
  </si>
  <si>
    <t>FseI</t>
  </si>
  <si>
    <t>GGCCGG^CC</t>
  </si>
  <si>
    <t>HaeII</t>
  </si>
  <si>
    <t>HalII</t>
  </si>
  <si>
    <t>HgiAI</t>
  </si>
  <si>
    <t>HgiJII</t>
  </si>
  <si>
    <t>Hin1II</t>
  </si>
  <si>
    <t>HpyCH4I</t>
  </si>
  <si>
    <t>Hsp92II</t>
  </si>
  <si>
    <t>KoxII</t>
  </si>
  <si>
    <t>KpnI</t>
  </si>
  <si>
    <t>GGTAC^C</t>
  </si>
  <si>
    <t>MhaAI</t>
  </si>
  <si>
    <t>MhlI</t>
  </si>
  <si>
    <t>Mph1103I</t>
  </si>
  <si>
    <t>MspV281I</t>
  </si>
  <si>
    <t>NlaIII</t>
  </si>
  <si>
    <t>Nli3877I</t>
  </si>
  <si>
    <t>CYCGR^G</t>
  </si>
  <si>
    <t>NsiI</t>
  </si>
  <si>
    <t>NspHI</t>
  </si>
  <si>
    <t>NspI</t>
  </si>
  <si>
    <t>NspII</t>
  </si>
  <si>
    <t>PaeHI</t>
  </si>
  <si>
    <t>PaeI</t>
  </si>
  <si>
    <t>PaePI</t>
  </si>
  <si>
    <t>PauAI</t>
  </si>
  <si>
    <t>PfaAIII</t>
  </si>
  <si>
    <t>Pfl21I</t>
  </si>
  <si>
    <t>PinBI</t>
  </si>
  <si>
    <t>PluTI</t>
  </si>
  <si>
    <t>PpeI</t>
  </si>
  <si>
    <t>Psp124BI</t>
  </si>
  <si>
    <t>GAGCT^C</t>
  </si>
  <si>
    <t>Psp23I</t>
  </si>
  <si>
    <t>PstI</t>
  </si>
  <si>
    <t>PunAII</t>
  </si>
  <si>
    <t>RigI</t>
  </si>
  <si>
    <t>RspLKI</t>
  </si>
  <si>
    <t>SacI</t>
  </si>
  <si>
    <t>SacNI</t>
  </si>
  <si>
    <t>Sag16I</t>
  </si>
  <si>
    <t>Sag23I</t>
  </si>
  <si>
    <t>SalPI</t>
  </si>
  <si>
    <t>SbfI</t>
  </si>
  <si>
    <t>CCTGCA^GG</t>
  </si>
  <si>
    <t>SdaI</t>
  </si>
  <si>
    <t>SduI</t>
  </si>
  <si>
    <t>SepI</t>
  </si>
  <si>
    <t>SetI</t>
  </si>
  <si>
    <t>ASST^</t>
  </si>
  <si>
    <t>SflI</t>
  </si>
  <si>
    <t>SpaHI</t>
  </si>
  <si>
    <t>SphI</t>
  </si>
  <si>
    <t>Srl5DI</t>
  </si>
  <si>
    <t>Sse8387I</t>
  </si>
  <si>
    <t>Ssp5230I</t>
  </si>
  <si>
    <t>SspD5II</t>
  </si>
  <si>
    <t>Sst12I</t>
  </si>
  <si>
    <t>SstI</t>
  </si>
  <si>
    <t>TaiI</t>
  </si>
  <si>
    <t>ACGT^</t>
  </si>
  <si>
    <t>TscI</t>
  </si>
  <si>
    <t>Tsp49I</t>
  </si>
  <si>
    <t>XceI</t>
  </si>
  <si>
    <t>XcpI</t>
  </si>
  <si>
    <t>YenI</t>
  </si>
  <si>
    <t>Zsp2I</t>
  </si>
  <si>
    <t>AccB7I</t>
  </si>
  <si>
    <t>CCANNNN^NTGG</t>
  </si>
  <si>
    <t>3' (3 nucleotides)</t>
  </si>
  <si>
    <t>AcpII</t>
  </si>
  <si>
    <t>AdeI</t>
  </si>
  <si>
    <t>CACNNN^GTG</t>
  </si>
  <si>
    <t>AfiI</t>
  </si>
  <si>
    <t>CCNNNNN^NNGG</t>
  </si>
  <si>
    <t>AlwNI</t>
  </si>
  <si>
    <t>CAGNNN^CTG</t>
  </si>
  <si>
    <t>Asp10HII</t>
  </si>
  <si>
    <t>BasI</t>
  </si>
  <si>
    <t>Bce4I</t>
  </si>
  <si>
    <t>GCNNNNN^NNGC</t>
  </si>
  <si>
    <t>BceCI</t>
  </si>
  <si>
    <t>BflI</t>
  </si>
  <si>
    <t>BglI</t>
  </si>
  <si>
    <t>GCCNNNN^NGGC</t>
  </si>
  <si>
    <t>Bsc107I</t>
  </si>
  <si>
    <t>Bsc4I</t>
  </si>
  <si>
    <t>BseLI</t>
  </si>
  <si>
    <t>BsiYI</t>
  </si>
  <si>
    <t>BslI</t>
  </si>
  <si>
    <t>BspUI</t>
  </si>
  <si>
    <t>GCSG^C</t>
  </si>
  <si>
    <t>BspWI</t>
  </si>
  <si>
    <t>Bst22I</t>
  </si>
  <si>
    <t>BstAPI</t>
  </si>
  <si>
    <t>GCANNNN^NTGC</t>
  </si>
  <si>
    <t>BstIZ316I</t>
  </si>
  <si>
    <t>BstMWI</t>
  </si>
  <si>
    <t>BthCI</t>
  </si>
  <si>
    <t>GCNG^C</t>
  </si>
  <si>
    <t>CaiI</t>
  </si>
  <si>
    <t>DraIII</t>
  </si>
  <si>
    <t>Esp1396I</t>
  </si>
  <si>
    <t>FmuI</t>
  </si>
  <si>
    <t>GGNC^C</t>
  </si>
  <si>
    <t>HpyF10VI</t>
  </si>
  <si>
    <t>Kaz48kI</t>
  </si>
  <si>
    <t>RGGNC^CY</t>
  </si>
  <si>
    <t>MwoI</t>
  </si>
  <si>
    <t>PflBI</t>
  </si>
  <si>
    <t>PflMI</t>
  </si>
  <si>
    <t>Psp03I</t>
  </si>
  <si>
    <t>GGWC^C</t>
  </si>
  <si>
    <t>Psp1009I</t>
  </si>
  <si>
    <t>PssI</t>
  </si>
  <si>
    <t>PstNI</t>
  </si>
  <si>
    <t>SdiI</t>
  </si>
  <si>
    <t>GGCCNNNN^NGGCC</t>
  </si>
  <si>
    <t>SfiI</t>
  </si>
  <si>
    <t>TauI</t>
  </si>
  <si>
    <t>Tsp8EI</t>
  </si>
  <si>
    <t>Van91I</t>
  </si>
  <si>
    <t>AasI</t>
  </si>
  <si>
    <t>GACNNNN^NNGTC</t>
  </si>
  <si>
    <t>3' (2 nucleotides)</t>
  </si>
  <si>
    <t>Afa16RI</t>
  </si>
  <si>
    <t>CGAT^CG</t>
  </si>
  <si>
    <t>Afa22MI</t>
  </si>
  <si>
    <t>AsiSI</t>
  </si>
  <si>
    <t>GCGAT^CGC</t>
  </si>
  <si>
    <t>AspLEI</t>
  </si>
  <si>
    <t>GCG^C</t>
  </si>
  <si>
    <t>BpvUI</t>
  </si>
  <si>
    <t>BsaOI</t>
  </si>
  <si>
    <t>CGRY^CG</t>
  </si>
  <si>
    <t>Bsh1285I</t>
  </si>
  <si>
    <t>BsiEI</t>
  </si>
  <si>
    <t>BspCI</t>
  </si>
  <si>
    <t>BspKT6I</t>
  </si>
  <si>
    <t>GAT^C</t>
  </si>
  <si>
    <t>BspLAI</t>
  </si>
  <si>
    <t>BstHHI</t>
  </si>
  <si>
    <t>BstKTI</t>
  </si>
  <si>
    <t>BstMCI</t>
  </si>
  <si>
    <t>CfoI</t>
  </si>
  <si>
    <t>Cfr42I</t>
  </si>
  <si>
    <t>CCGC^GG</t>
  </si>
  <si>
    <t>CscI</t>
  </si>
  <si>
    <t>DrdI</t>
  </si>
  <si>
    <t>DseDI</t>
  </si>
  <si>
    <t>Eae46I</t>
  </si>
  <si>
    <t>EagBI</t>
  </si>
  <si>
    <t>Eco29kI</t>
  </si>
  <si>
    <t>ErhB9I</t>
  </si>
  <si>
    <t>FnuDIII</t>
  </si>
  <si>
    <t>GalI</t>
  </si>
  <si>
    <t>GceGLI</t>
  </si>
  <si>
    <t>GceI</t>
  </si>
  <si>
    <t>HhaI</t>
  </si>
  <si>
    <t>Kpn378I</t>
  </si>
  <si>
    <t>KspI</t>
  </si>
  <si>
    <t>McaTI</t>
  </si>
  <si>
    <t>GCGC^GC</t>
  </si>
  <si>
    <t>McrI</t>
  </si>
  <si>
    <t>Mpr154I</t>
  </si>
  <si>
    <t>MvrI</t>
  </si>
  <si>
    <t>NblI</t>
  </si>
  <si>
    <t>NgoAIII</t>
  </si>
  <si>
    <t>NgoPIII</t>
  </si>
  <si>
    <t>PabI</t>
  </si>
  <si>
    <t>GTA^C</t>
  </si>
  <si>
    <t>PacI</t>
  </si>
  <si>
    <t>TTAAT^TAA</t>
  </si>
  <si>
    <t>Pae14kI</t>
  </si>
  <si>
    <t>Pae5kI</t>
  </si>
  <si>
    <t>PaeAI</t>
  </si>
  <si>
    <t>PaeQI</t>
  </si>
  <si>
    <t>Ple19I</t>
  </si>
  <si>
    <t>Psu161I</t>
  </si>
  <si>
    <t>PvuI</t>
  </si>
  <si>
    <t>RaqI</t>
  </si>
  <si>
    <t>RgaI</t>
  </si>
  <si>
    <t>RshI</t>
  </si>
  <si>
    <t>SacII</t>
  </si>
  <si>
    <t>SchZI</t>
  </si>
  <si>
    <t>SenPT14bI</t>
  </si>
  <si>
    <t>SexBI</t>
  </si>
  <si>
    <t>SexCI</t>
  </si>
  <si>
    <t>SfaAI</t>
  </si>
  <si>
    <t>Sfr303I</t>
  </si>
  <si>
    <t>SgfI</t>
  </si>
  <si>
    <t>SgrBI</t>
  </si>
  <si>
    <t>SpuI</t>
  </si>
  <si>
    <t>SstII</t>
  </si>
  <si>
    <t>XorII</t>
  </si>
  <si>
    <t>AgsI</t>
  </si>
  <si>
    <t>TTS^AA</t>
  </si>
  <si>
    <t>3' (1 nucleotide)</t>
  </si>
  <si>
    <t>AhdI</t>
  </si>
  <si>
    <t>GACNNN^NNGTC</t>
  </si>
  <si>
    <t>AspEI</t>
  </si>
  <si>
    <t>BlsI</t>
  </si>
  <si>
    <t>GCN^GC</t>
  </si>
  <si>
    <t>BmeRI</t>
  </si>
  <si>
    <t>BspOVI</t>
  </si>
  <si>
    <t>Bst4CI</t>
  </si>
  <si>
    <t>ACN^GT</t>
  </si>
  <si>
    <t>DriI</t>
  </si>
  <si>
    <t>Eam1105I</t>
  </si>
  <si>
    <t>EclHKI</t>
  </si>
  <si>
    <t>Hpy188I</t>
  </si>
  <si>
    <t>TCN^GA</t>
  </si>
  <si>
    <t>HpyCH4III</t>
  </si>
  <si>
    <t>NruGI</t>
  </si>
  <si>
    <t>PcsI</t>
  </si>
  <si>
    <t>WCGNNNN^NNNCGW</t>
  </si>
  <si>
    <t>TaaI</t>
  </si>
  <si>
    <t>Tsp4CI</t>
  </si>
  <si>
    <t>XcmI</t>
  </si>
  <si>
    <t>CCANNNNN^NNNNTGG</t>
  </si>
  <si>
    <t>5' (1 nucleotide)</t>
  </si>
  <si>
    <t>AeuI</t>
  </si>
  <si>
    <t>CC^WGG</t>
  </si>
  <si>
    <t>AglI</t>
  </si>
  <si>
    <t>AhaI</t>
  </si>
  <si>
    <t>CC^SGG</t>
  </si>
  <si>
    <t>AorI</t>
  </si>
  <si>
    <t>ApaORI</t>
  </si>
  <si>
    <t>ApyI</t>
  </si>
  <si>
    <t>AseII</t>
  </si>
  <si>
    <t>AspI</t>
  </si>
  <si>
    <t>GACN^NNGTC</t>
  </si>
  <si>
    <t>AsuC2I</t>
  </si>
  <si>
    <t>AtsI</t>
  </si>
  <si>
    <t>BciBII</t>
  </si>
  <si>
    <t>BciT130I</t>
  </si>
  <si>
    <t>BcnI</t>
  </si>
  <si>
    <t>BgiI</t>
  </si>
  <si>
    <t>BisI</t>
  </si>
  <si>
    <t>GC^NGC</t>
  </si>
  <si>
    <t>Bme1390I</t>
  </si>
  <si>
    <t>CC^NGG</t>
  </si>
  <si>
    <t>BmgT120I</t>
  </si>
  <si>
    <t>GG^NCC</t>
  </si>
  <si>
    <t>BmrFI</t>
  </si>
  <si>
    <t>BptI</t>
  </si>
  <si>
    <t>BpuMI</t>
  </si>
  <si>
    <t>Bse16I</t>
  </si>
  <si>
    <t>Bse17I</t>
  </si>
  <si>
    <t>Bse24I</t>
  </si>
  <si>
    <t>BseBI</t>
  </si>
  <si>
    <t>BshGI</t>
  </si>
  <si>
    <t>BsiLI</t>
  </si>
  <si>
    <t>BsoFI</t>
  </si>
  <si>
    <t>Bsp6I</t>
  </si>
  <si>
    <t>BspNI</t>
  </si>
  <si>
    <t>Bst100I</t>
  </si>
  <si>
    <t>Bst1I</t>
  </si>
  <si>
    <t>Bst2I</t>
  </si>
  <si>
    <t>Bst2UI</t>
  </si>
  <si>
    <t>Bst38I</t>
  </si>
  <si>
    <t>BstENI</t>
  </si>
  <si>
    <t>CCTNN^NNNAGG</t>
  </si>
  <si>
    <t>BstM6I</t>
  </si>
  <si>
    <t>BstNI</t>
  </si>
  <si>
    <t>BstOI</t>
  </si>
  <si>
    <t>BthDI</t>
  </si>
  <si>
    <t>BthEI</t>
  </si>
  <si>
    <t>CauII</t>
  </si>
  <si>
    <t>CbrI</t>
  </si>
  <si>
    <t>CthII</t>
  </si>
  <si>
    <t>EcoNI</t>
  </si>
  <si>
    <t>FbrI</t>
  </si>
  <si>
    <t>Fnu4HI</t>
  </si>
  <si>
    <t>Fsp1604I</t>
  </si>
  <si>
    <t>Fsp4HI</t>
  </si>
  <si>
    <t>GluI</t>
  </si>
  <si>
    <t>HgiS22I</t>
  </si>
  <si>
    <t>ItaI</t>
  </si>
  <si>
    <t>Mgl14481I</t>
  </si>
  <si>
    <t>Msp67I</t>
  </si>
  <si>
    <t>MspR9I</t>
  </si>
  <si>
    <t>MvaI</t>
  </si>
  <si>
    <t>NciI</t>
  </si>
  <si>
    <t>PflFI</t>
  </si>
  <si>
    <t>PsyI</t>
  </si>
  <si>
    <t>SatI</t>
  </si>
  <si>
    <t>ScrFI</t>
  </si>
  <si>
    <t>SniI</t>
  </si>
  <si>
    <t>SslI</t>
  </si>
  <si>
    <t>Sth117I</t>
  </si>
  <si>
    <t>Sth302I</t>
  </si>
  <si>
    <t>TaqXI</t>
  </si>
  <si>
    <t>TelI</t>
  </si>
  <si>
    <t>Tth111I</t>
  </si>
  <si>
    <t>Uur960I</t>
  </si>
  <si>
    <t>XagI</t>
  </si>
  <si>
    <t>ZanI</t>
  </si>
  <si>
    <t>AagI</t>
  </si>
  <si>
    <t>AT^CGAT</t>
  </si>
  <si>
    <t>5' (2 nucleotides)</t>
  </si>
  <si>
    <t>AccI</t>
  </si>
  <si>
    <t>GT^MKAC</t>
  </si>
  <si>
    <t>AclI</t>
  </si>
  <si>
    <t>AA^CGTT</t>
  </si>
  <si>
    <t>AcpI</t>
  </si>
  <si>
    <t>TT^CGAA</t>
  </si>
  <si>
    <t>AcyI</t>
  </si>
  <si>
    <t>GR^CGYC</t>
  </si>
  <si>
    <t>AhaII</t>
  </si>
  <si>
    <t>AosII</t>
  </si>
  <si>
    <t>AseI</t>
  </si>
  <si>
    <t>AT^TAAT</t>
  </si>
  <si>
    <t>Asi256I</t>
  </si>
  <si>
    <t>G^ATC</t>
  </si>
  <si>
    <t>AsnI</t>
  </si>
  <si>
    <t>Asp10HI</t>
  </si>
  <si>
    <t>AstWI</t>
  </si>
  <si>
    <t>AsuII</t>
  </si>
  <si>
    <t>AsuIII</t>
  </si>
  <si>
    <t>BanIII</t>
  </si>
  <si>
    <t>BavCI</t>
  </si>
  <si>
    <t>BbiII</t>
  </si>
  <si>
    <t>BbtI</t>
  </si>
  <si>
    <t>G^CGC</t>
  </si>
  <si>
    <t>BbvAII</t>
  </si>
  <si>
    <t>Bci29I</t>
  </si>
  <si>
    <t>BciBI</t>
  </si>
  <si>
    <t>BcmI</t>
  </si>
  <si>
    <t>Bco27I</t>
  </si>
  <si>
    <t>C^CGG</t>
  </si>
  <si>
    <t>BdiI</t>
  </si>
  <si>
    <t>BfaI</t>
  </si>
  <si>
    <t>C^TAG</t>
  </si>
  <si>
    <t>Bim19I</t>
  </si>
  <si>
    <t>BimI</t>
  </si>
  <si>
    <t>Bli41I</t>
  </si>
  <si>
    <t>Bli86I</t>
  </si>
  <si>
    <t>BliAI</t>
  </si>
  <si>
    <t>BliRI</t>
  </si>
  <si>
    <t>BpoAI</t>
  </si>
  <si>
    <t>Bpu14I</t>
  </si>
  <si>
    <t>Bsa29I</t>
  </si>
  <si>
    <t>BsaHI</t>
  </si>
  <si>
    <t>BscI</t>
  </si>
  <si>
    <t>BseCI</t>
  </si>
  <si>
    <t>BshVI</t>
  </si>
  <si>
    <t>BsiCI</t>
  </si>
  <si>
    <t>BsiSI</t>
  </si>
  <si>
    <t>BsiXI</t>
  </si>
  <si>
    <t>Bsp106I</t>
  </si>
  <si>
    <t>Bsp119I</t>
  </si>
  <si>
    <t>BspDI</t>
  </si>
  <si>
    <t>BspJII</t>
  </si>
  <si>
    <t>BspLAII</t>
  </si>
  <si>
    <t>BspOVII</t>
  </si>
  <si>
    <t>BspT104I</t>
  </si>
  <si>
    <t>BspXI</t>
  </si>
  <si>
    <t>BspZEI</t>
  </si>
  <si>
    <t>BssNI</t>
  </si>
  <si>
    <t>Bst28I</t>
  </si>
  <si>
    <t>Bst40I</t>
  </si>
  <si>
    <t>BstACI</t>
  </si>
  <si>
    <t>BstBI</t>
  </si>
  <si>
    <t>BstNZ169I</t>
  </si>
  <si>
    <t>Bsu15I</t>
  </si>
  <si>
    <t>BsuFI</t>
  </si>
  <si>
    <t>BsuTUI</t>
  </si>
  <si>
    <t>CbiI</t>
  </si>
  <si>
    <t>CboI</t>
  </si>
  <si>
    <t>CchI</t>
  </si>
  <si>
    <t>ClaI</t>
  </si>
  <si>
    <t>Csp45I</t>
  </si>
  <si>
    <t>Csp68KII</t>
  </si>
  <si>
    <t>Csp6I</t>
  </si>
  <si>
    <t>G^TAC</t>
  </si>
  <si>
    <t>CviAII</t>
  </si>
  <si>
    <t>C^ATG</t>
  </si>
  <si>
    <t>CviQI</t>
  </si>
  <si>
    <t>CviRII</t>
  </si>
  <si>
    <t>FauNDI</t>
  </si>
  <si>
    <t>CA^TATG</t>
  </si>
  <si>
    <t>FblI</t>
  </si>
  <si>
    <t>FgoI</t>
  </si>
  <si>
    <t>FspBI</t>
  </si>
  <si>
    <t>FspII</t>
  </si>
  <si>
    <t>HapII</t>
  </si>
  <si>
    <t>HgiDI</t>
  </si>
  <si>
    <t>HgiGI</t>
  </si>
  <si>
    <t>HgiHII</t>
  </si>
  <si>
    <t>HgiI</t>
  </si>
  <si>
    <t>Hin1I</t>
  </si>
  <si>
    <t>Hin2I</t>
  </si>
  <si>
    <t>Hin6I</t>
  </si>
  <si>
    <t>HinP1I</t>
  </si>
  <si>
    <t>HpaII</t>
  </si>
  <si>
    <t>Hpy178III</t>
  </si>
  <si>
    <t>TC^NNGA</t>
  </si>
  <si>
    <t>Hpy188III</t>
  </si>
  <si>
    <t>HpyCH4IV</t>
  </si>
  <si>
    <t>A^CGT</t>
  </si>
  <si>
    <t>HsoI</t>
  </si>
  <si>
    <t>Hsp92I</t>
  </si>
  <si>
    <t>HspAI</t>
  </si>
  <si>
    <t>LcaI</t>
  </si>
  <si>
    <t>LplI</t>
  </si>
  <si>
    <t>LspI</t>
  </si>
  <si>
    <t>MaeI</t>
  </si>
  <si>
    <t>MaeII</t>
  </si>
  <si>
    <t>MchI</t>
  </si>
  <si>
    <t>GG^CGCC</t>
  </si>
  <si>
    <t>MlaI</t>
  </si>
  <si>
    <t>Mly113I</t>
  </si>
  <si>
    <t>MnoI</t>
  </si>
  <si>
    <t>MseI</t>
  </si>
  <si>
    <t>T^TAA</t>
  </si>
  <si>
    <t>Msp17I</t>
  </si>
  <si>
    <t>MspI</t>
  </si>
  <si>
    <t>MthZI</t>
  </si>
  <si>
    <t>NarI</t>
  </si>
  <si>
    <t>NdaI</t>
  </si>
  <si>
    <t>NdeI</t>
  </si>
  <si>
    <t>NspV</t>
  </si>
  <si>
    <t>NunII</t>
  </si>
  <si>
    <t>PamII</t>
  </si>
  <si>
    <t>Pde137I</t>
  </si>
  <si>
    <t>PfaAII</t>
  </si>
  <si>
    <t>PgaI</t>
  </si>
  <si>
    <t>PlaII</t>
  </si>
  <si>
    <t>PpaAI</t>
  </si>
  <si>
    <t>PpaAII</t>
  </si>
  <si>
    <t>T^CGA</t>
  </si>
  <si>
    <t>PshBI</t>
  </si>
  <si>
    <t>Psp1406I</t>
  </si>
  <si>
    <t>RmaI</t>
  </si>
  <si>
    <t>Rme21I</t>
  </si>
  <si>
    <t>RsaNI</t>
  </si>
  <si>
    <t>SaqAI</t>
  </si>
  <si>
    <t>SciNI</t>
  </si>
  <si>
    <t>SfuI</t>
  </si>
  <si>
    <t>SpmI</t>
  </si>
  <si>
    <t>Sru4DI</t>
  </si>
  <si>
    <t>SseAI</t>
  </si>
  <si>
    <t>Ssp1I</t>
  </si>
  <si>
    <t>Ssp27144I</t>
  </si>
  <si>
    <t>SspRFI</t>
  </si>
  <si>
    <t>Sth134I</t>
  </si>
  <si>
    <t>SviI</t>
  </si>
  <si>
    <t>TaqI</t>
  </si>
  <si>
    <t>Tru1I</t>
  </si>
  <si>
    <t>Tru9I</t>
  </si>
  <si>
    <t>Tsp32I</t>
  </si>
  <si>
    <t>Tsp32II</t>
  </si>
  <si>
    <t>TthHB8I</t>
  </si>
  <si>
    <t>VspI</t>
  </si>
  <si>
    <t>XmiI</t>
  </si>
  <si>
    <t>XspI</t>
  </si>
  <si>
    <t>ZhoI</t>
  </si>
  <si>
    <t>5' (3 nucleotides)</t>
  </si>
  <si>
    <t>AceI</t>
  </si>
  <si>
    <t>G^CWGC</t>
  </si>
  <si>
    <t>AflI</t>
  </si>
  <si>
    <t>G^GWCC</t>
  </si>
  <si>
    <t>AocI</t>
  </si>
  <si>
    <t>CC^TNAGG</t>
  </si>
  <si>
    <t>ApeKI</t>
  </si>
  <si>
    <t>Asp745I</t>
  </si>
  <si>
    <t>AspS9I</t>
  </si>
  <si>
    <t>G^GNCC</t>
  </si>
  <si>
    <t>AsuI</t>
  </si>
  <si>
    <t>AvaII</t>
  </si>
  <si>
    <t>AvcI</t>
  </si>
  <si>
    <t>AxyI</t>
  </si>
  <si>
    <t>Bac36I</t>
  </si>
  <si>
    <t>Bal228I</t>
  </si>
  <si>
    <t>BamNxI</t>
  </si>
  <si>
    <t>BavAII</t>
  </si>
  <si>
    <t>BavBII</t>
  </si>
  <si>
    <t>Bce22I</t>
  </si>
  <si>
    <t>BcuAI</t>
  </si>
  <si>
    <t>BliHKI</t>
  </si>
  <si>
    <t>BlpI</t>
  </si>
  <si>
    <t>GC^TNAGC</t>
  </si>
  <si>
    <t>Bme18I</t>
  </si>
  <si>
    <t>Bme216I</t>
  </si>
  <si>
    <t>BmpI</t>
  </si>
  <si>
    <t>Bpu1102I</t>
  </si>
  <si>
    <t>Bse21I</t>
  </si>
  <si>
    <t>BshKI</t>
  </si>
  <si>
    <t>BsiZI</t>
  </si>
  <si>
    <t>Bsp1720I</t>
  </si>
  <si>
    <t>Bsp1894I</t>
  </si>
  <si>
    <t>BspBII</t>
  </si>
  <si>
    <t>BspF4I</t>
  </si>
  <si>
    <t>BspR7I</t>
  </si>
  <si>
    <t>BsrAI</t>
  </si>
  <si>
    <t>BstDEI</t>
  </si>
  <si>
    <t>C^TNAG</t>
  </si>
  <si>
    <t>BstJZ301I</t>
  </si>
  <si>
    <t>Bsu36I</t>
  </si>
  <si>
    <t>Bsu54I</t>
  </si>
  <si>
    <t>BthAI</t>
  </si>
  <si>
    <t>CauI</t>
  </si>
  <si>
    <t>CcuI</t>
  </si>
  <si>
    <t>CelII</t>
  </si>
  <si>
    <t>Cfr13I</t>
  </si>
  <si>
    <t>CpoI</t>
  </si>
  <si>
    <t>CG^GWCCG</t>
  </si>
  <si>
    <t>Csp68KI</t>
  </si>
  <si>
    <t>CspI</t>
  </si>
  <si>
    <t>CviBI</t>
  </si>
  <si>
    <t>G^ANTC</t>
  </si>
  <si>
    <t>CvnI</t>
  </si>
  <si>
    <t>DdeI</t>
  </si>
  <si>
    <t>DraII</t>
  </si>
  <si>
    <t>RG^GNCCY</t>
  </si>
  <si>
    <t>DsaIV</t>
  </si>
  <si>
    <t>EagMI</t>
  </si>
  <si>
    <t>Eco47I</t>
  </si>
  <si>
    <t>Eco81I</t>
  </si>
  <si>
    <t>EcoO109I</t>
  </si>
  <si>
    <t>ErpI</t>
  </si>
  <si>
    <t>EspI</t>
  </si>
  <si>
    <t>FdiI</t>
  </si>
  <si>
    <t>FnuAI</t>
  </si>
  <si>
    <t>FspMSI</t>
  </si>
  <si>
    <t>FssI</t>
  </si>
  <si>
    <t>HgiBI</t>
  </si>
  <si>
    <t>HgiCII</t>
  </si>
  <si>
    <t>HgiEI</t>
  </si>
  <si>
    <t>HgiHIII</t>
  </si>
  <si>
    <t>HgiJI</t>
  </si>
  <si>
    <t>HhaII</t>
  </si>
  <si>
    <t>HinfI</t>
  </si>
  <si>
    <t>HpyF3I</t>
  </si>
  <si>
    <t>KflI</t>
  </si>
  <si>
    <t>GG^GWCCC</t>
  </si>
  <si>
    <t>Kzo49I</t>
  </si>
  <si>
    <t>Lmu60I</t>
  </si>
  <si>
    <t>Mae7806III</t>
  </si>
  <si>
    <t>MaeK81II</t>
  </si>
  <si>
    <t>MstII</t>
  </si>
  <si>
    <t>Nsp7121I</t>
  </si>
  <si>
    <t>NspIV</t>
  </si>
  <si>
    <t>OxaNI</t>
  </si>
  <si>
    <t>PasI</t>
  </si>
  <si>
    <t>CC^CWGGG</t>
  </si>
  <si>
    <t>Pde12I</t>
  </si>
  <si>
    <t>PfeI</t>
  </si>
  <si>
    <t>G^AWTC</t>
  </si>
  <si>
    <t>Pfl27I</t>
  </si>
  <si>
    <t>RG^GWCCY</t>
  </si>
  <si>
    <t>PpuMI</t>
  </si>
  <si>
    <t>PpuXI</t>
  </si>
  <si>
    <t>Psp5II</t>
  </si>
  <si>
    <t>PspPI</t>
  </si>
  <si>
    <t>PspPPI</t>
  </si>
  <si>
    <t>Rsr2I</t>
  </si>
  <si>
    <t>RsrII</t>
  </si>
  <si>
    <t>SanDI</t>
  </si>
  <si>
    <t>Sau96I</t>
  </si>
  <si>
    <t>SauI</t>
  </si>
  <si>
    <t>SinI</t>
  </si>
  <si>
    <t>SmuEI</t>
  </si>
  <si>
    <t>SscL1I</t>
  </si>
  <si>
    <t>Sse1825I</t>
  </si>
  <si>
    <t>Sse8647I</t>
  </si>
  <si>
    <t>AG^GWCCT</t>
  </si>
  <si>
    <t>SshAI</t>
  </si>
  <si>
    <t>SuiI</t>
  </si>
  <si>
    <t>Taq52I</t>
  </si>
  <si>
    <t>TfiI</t>
  </si>
  <si>
    <t>TseI</t>
  </si>
  <si>
    <t>VpaK11BI</t>
  </si>
  <si>
    <t>AaaI</t>
  </si>
  <si>
    <t>C^GGCCG</t>
  </si>
  <si>
    <t>5' (4 nucleotides)</t>
  </si>
  <si>
    <t>AauI</t>
  </si>
  <si>
    <t>T^GTACA</t>
  </si>
  <si>
    <t>AbaI</t>
  </si>
  <si>
    <t>T^GATCA</t>
  </si>
  <si>
    <t>AbrI</t>
  </si>
  <si>
    <t>C^TCGAG</t>
  </si>
  <si>
    <t>AbsI</t>
  </si>
  <si>
    <t>CC^TCGAGG</t>
  </si>
  <si>
    <t>Acc65I</t>
  </si>
  <si>
    <t>G^GTACC</t>
  </si>
  <si>
    <t>AccB1I</t>
  </si>
  <si>
    <t>G^GYRCC</t>
  </si>
  <si>
    <t>AccEBI</t>
  </si>
  <si>
    <t>G^GATCC</t>
  </si>
  <si>
    <t>AccIII</t>
  </si>
  <si>
    <t>T^CCGGA</t>
  </si>
  <si>
    <t>AclNI</t>
  </si>
  <si>
    <t>A^CTAGT</t>
  </si>
  <si>
    <t>AcoI</t>
  </si>
  <si>
    <t>Y^GGCCR</t>
  </si>
  <si>
    <t>AcsI</t>
  </si>
  <si>
    <t>R^AATTY</t>
  </si>
  <si>
    <t>AflII</t>
  </si>
  <si>
    <t>C^TTAAG</t>
  </si>
  <si>
    <t>AflIII</t>
  </si>
  <si>
    <t>A^CRYGT</t>
  </si>
  <si>
    <t>AgeI</t>
  </si>
  <si>
    <t>A^CCGGT</t>
  </si>
  <si>
    <t>AhaB8I</t>
  </si>
  <si>
    <t>AhlI</t>
  </si>
  <si>
    <t>AhyI</t>
  </si>
  <si>
    <t>C^CCGGG</t>
  </si>
  <si>
    <t>AliI</t>
  </si>
  <si>
    <t>Alw44I</t>
  </si>
  <si>
    <t>G^TGCAC</t>
  </si>
  <si>
    <t>Ama87I</t>
  </si>
  <si>
    <t>C^YCGRG</t>
  </si>
  <si>
    <t>Aor13HI</t>
  </si>
  <si>
    <t>AoxI</t>
  </si>
  <si>
    <t>^GGCC</t>
  </si>
  <si>
    <t>ApaCI</t>
  </si>
  <si>
    <t>ApaLI</t>
  </si>
  <si>
    <t>ApoI</t>
  </si>
  <si>
    <t>AquI</t>
  </si>
  <si>
    <t>AscI</t>
  </si>
  <si>
    <t>GG^CGCGCC</t>
  </si>
  <si>
    <t>AsiAI</t>
  </si>
  <si>
    <t>AsiGI</t>
  </si>
  <si>
    <t>AsiI</t>
  </si>
  <si>
    <t>Asp718I</t>
  </si>
  <si>
    <t>AspA2I</t>
  </si>
  <si>
    <t>C^CTAGG</t>
  </si>
  <si>
    <t>AspMDI</t>
  </si>
  <si>
    <t>^GATC</t>
  </si>
  <si>
    <t>AsuNHI</t>
  </si>
  <si>
    <t>G^CTAGC</t>
  </si>
  <si>
    <t>AvaI</t>
  </si>
  <si>
    <t>AvrBII</t>
  </si>
  <si>
    <t>AvrII</t>
  </si>
  <si>
    <t>BamHI</t>
  </si>
  <si>
    <t>BanI</t>
  </si>
  <si>
    <t>Bbi24I</t>
  </si>
  <si>
    <t>A^CGCGT</t>
  </si>
  <si>
    <t>BbrI</t>
  </si>
  <si>
    <t>A^AGCTT</t>
  </si>
  <si>
    <t>BbvAIII</t>
  </si>
  <si>
    <t>BbvBI</t>
  </si>
  <si>
    <t>Bca77I</t>
  </si>
  <si>
    <t>W^CCGGW</t>
  </si>
  <si>
    <t>Bce243I</t>
  </si>
  <si>
    <t>Bce751I</t>
  </si>
  <si>
    <t>BclI</t>
  </si>
  <si>
    <t>Bco118I</t>
  </si>
  <si>
    <t>R^CCGGY</t>
  </si>
  <si>
    <t>BcoI</t>
  </si>
  <si>
    <t>BcuI</t>
  </si>
  <si>
    <t>BdiSI</t>
  </si>
  <si>
    <t>C^TRYAG</t>
  </si>
  <si>
    <t>BetI</t>
  </si>
  <si>
    <t>Bfi57I</t>
  </si>
  <si>
    <t>Bfi89I</t>
  </si>
  <si>
    <t>BfmI</t>
  </si>
  <si>
    <t>BfrI</t>
  </si>
  <si>
    <t>BfuCI</t>
  </si>
  <si>
    <t>BglII</t>
  </si>
  <si>
    <t>A^GATCT</t>
  </si>
  <si>
    <t>BlfI</t>
  </si>
  <si>
    <t>BlnI</t>
  </si>
  <si>
    <t>BloHI</t>
  </si>
  <si>
    <t>R^GATCY</t>
  </si>
  <si>
    <t>BluI</t>
  </si>
  <si>
    <t>Bme12I</t>
  </si>
  <si>
    <t>BmeT110I</t>
  </si>
  <si>
    <t>BnaI</t>
  </si>
  <si>
    <t>BpcI</t>
  </si>
  <si>
    <t>BpuB5I</t>
  </si>
  <si>
    <t>C^GTACG</t>
  </si>
  <si>
    <t>BsaJI</t>
  </si>
  <si>
    <t>C^CNNGG</t>
  </si>
  <si>
    <t>BsaWI</t>
  </si>
  <si>
    <t>BscFI</t>
  </si>
  <si>
    <t>Bse118I</t>
  </si>
  <si>
    <t>Bse15I</t>
  </si>
  <si>
    <t>Bse634I</t>
  </si>
  <si>
    <t>BseAI</t>
  </si>
  <si>
    <t>BseDI</t>
  </si>
  <si>
    <t>BsePI</t>
  </si>
  <si>
    <t>G^CGCGC</t>
  </si>
  <si>
    <t>BseX3I</t>
  </si>
  <si>
    <t>BshNI</t>
  </si>
  <si>
    <t>BshTI</t>
  </si>
  <si>
    <t>BsiHKCI</t>
  </si>
  <si>
    <t>BsiMI</t>
  </si>
  <si>
    <t>BsiQI</t>
  </si>
  <si>
    <t>BsiWI</t>
  </si>
  <si>
    <t>BsmRI</t>
  </si>
  <si>
    <t>BsmSI</t>
  </si>
  <si>
    <t>C^CWWGG</t>
  </si>
  <si>
    <t>BsoBI</t>
  </si>
  <si>
    <t>Bsp105I</t>
  </si>
  <si>
    <t>Bsp120I</t>
  </si>
  <si>
    <t>G^GGCCC</t>
  </si>
  <si>
    <t>Bsp13I</t>
  </si>
  <si>
    <t>Bsp1407I</t>
  </si>
  <si>
    <t>Bsp143I</t>
  </si>
  <si>
    <t>Bsp19I</t>
  </si>
  <si>
    <t>C^CATGG</t>
  </si>
  <si>
    <t>Bsp2095I</t>
  </si>
  <si>
    <t>Bsp4009I</t>
  </si>
  <si>
    <t>Bsp67I</t>
  </si>
  <si>
    <t>Bsp98I</t>
  </si>
  <si>
    <t>BspA2I</t>
  </si>
  <si>
    <t>BspAAI</t>
  </si>
  <si>
    <t>BspAAII</t>
  </si>
  <si>
    <t>T^CTAGA</t>
  </si>
  <si>
    <t>BspAAIII</t>
  </si>
  <si>
    <t>BspAI</t>
  </si>
  <si>
    <t>BspEI</t>
  </si>
  <si>
    <t>BspFI</t>
  </si>
  <si>
    <t>BspHI</t>
  </si>
  <si>
    <t>T^CATGA</t>
  </si>
  <si>
    <t>BspJI</t>
  </si>
  <si>
    <t>BspKMI</t>
  </si>
  <si>
    <t>BspKT8I</t>
  </si>
  <si>
    <t>BspLAIII</t>
  </si>
  <si>
    <t>BspLU11I</t>
  </si>
  <si>
    <t>A^CATGT</t>
  </si>
  <si>
    <t>BspLU4I</t>
  </si>
  <si>
    <t>BspMII</t>
  </si>
  <si>
    <t>BspMKI</t>
  </si>
  <si>
    <t>G^TCGAC</t>
  </si>
  <si>
    <t>BspT107I</t>
  </si>
  <si>
    <t>BspTI</t>
  </si>
  <si>
    <t>BspXII</t>
  </si>
  <si>
    <t>BsrFI</t>
  </si>
  <si>
    <t>BsrGI</t>
  </si>
  <si>
    <t>BssAI</t>
  </si>
  <si>
    <t>BssECI</t>
  </si>
  <si>
    <t>BssHI</t>
  </si>
  <si>
    <t>BssHII</t>
  </si>
  <si>
    <t>BssMI</t>
  </si>
  <si>
    <t>BssT1I</t>
  </si>
  <si>
    <t>Bst19II</t>
  </si>
  <si>
    <t>Bst98I</t>
  </si>
  <si>
    <t>BstAFI</t>
  </si>
  <si>
    <t>BstAUI</t>
  </si>
  <si>
    <t>BstB7SI</t>
  </si>
  <si>
    <t>BstBZ153I</t>
  </si>
  <si>
    <t>BstDSI</t>
  </si>
  <si>
    <t>C^CRYGG</t>
  </si>
  <si>
    <t>BstENII</t>
  </si>
  <si>
    <t>BstFI</t>
  </si>
  <si>
    <t>BstI</t>
  </si>
  <si>
    <t>BstMBI</t>
  </si>
  <si>
    <t>BstPZ740I</t>
  </si>
  <si>
    <t>BstSFI</t>
  </si>
  <si>
    <t>BstSI</t>
  </si>
  <si>
    <t>BstT7I</t>
  </si>
  <si>
    <t>BstVI</t>
  </si>
  <si>
    <t>BstX2I</t>
  </si>
  <si>
    <t>BstYI</t>
  </si>
  <si>
    <t>BstZI</t>
  </si>
  <si>
    <t>Bsu23I</t>
  </si>
  <si>
    <t>BtgI</t>
  </si>
  <si>
    <t>BthP35I</t>
  </si>
  <si>
    <t>BtkII</t>
  </si>
  <si>
    <t>BvuBI</t>
  </si>
  <si>
    <t>CacI</t>
  </si>
  <si>
    <t>CauB3I</t>
  </si>
  <si>
    <t>CciI</t>
  </si>
  <si>
    <t>CciNI</t>
  </si>
  <si>
    <t>GC^GGCCGC</t>
  </si>
  <si>
    <t>CcrI</t>
  </si>
  <si>
    <t>CcyI</t>
  </si>
  <si>
    <t>CelI</t>
  </si>
  <si>
    <t>CfaI</t>
  </si>
  <si>
    <t>Cfr10I</t>
  </si>
  <si>
    <t>Cfr9I</t>
  </si>
  <si>
    <t>CfrBI</t>
  </si>
  <si>
    <t>CfrI</t>
  </si>
  <si>
    <t>CpfI</t>
  </si>
  <si>
    <t>CsiAI</t>
  </si>
  <si>
    <t>CsiBI</t>
  </si>
  <si>
    <t>CspAI</t>
  </si>
  <si>
    <t>CspBI</t>
  </si>
  <si>
    <t>CviAI</t>
  </si>
  <si>
    <t>DpnII</t>
  </si>
  <si>
    <t>DsaI</t>
  </si>
  <si>
    <t>DsaIII</t>
  </si>
  <si>
    <t>EaeAI</t>
  </si>
  <si>
    <t>EaeI</t>
  </si>
  <si>
    <t>EagI</t>
  </si>
  <si>
    <t>EclRI</t>
  </si>
  <si>
    <t>EclXI</t>
  </si>
  <si>
    <t>Eco130I</t>
  </si>
  <si>
    <t>Eco27kI</t>
  </si>
  <si>
    <t>Eco52I</t>
  </si>
  <si>
    <t>Eco56I</t>
  </si>
  <si>
    <t>G^CCGGC</t>
  </si>
  <si>
    <t>Eco64I</t>
  </si>
  <si>
    <t>Eco88I</t>
  </si>
  <si>
    <t>EcoHK31I</t>
  </si>
  <si>
    <t>EcoRI</t>
  </si>
  <si>
    <t>G^AATTC</t>
  </si>
  <si>
    <t>EcoT14I</t>
  </si>
  <si>
    <t>EcoVIII</t>
  </si>
  <si>
    <t>ErhB9II</t>
  </si>
  <si>
    <t>ErhI</t>
  </si>
  <si>
    <t>EscI</t>
  </si>
  <si>
    <t>Esp4I</t>
  </si>
  <si>
    <t>FatI</t>
  </si>
  <si>
    <t>^CATG</t>
  </si>
  <si>
    <t>FbaI</t>
  </si>
  <si>
    <t>FnuCI</t>
  </si>
  <si>
    <t>FnuEI</t>
  </si>
  <si>
    <t>FsiI</t>
  </si>
  <si>
    <t>FunII</t>
  </si>
  <si>
    <t>GstI</t>
  </si>
  <si>
    <t>HacI</t>
  </si>
  <si>
    <t>HalI</t>
  </si>
  <si>
    <t>HgiCI</t>
  </si>
  <si>
    <t>HgiCIII</t>
  </si>
  <si>
    <t>HgiDII</t>
  </si>
  <si>
    <t>HgiHI</t>
  </si>
  <si>
    <t>HindIII</t>
  </si>
  <si>
    <t>HsuI</t>
  </si>
  <si>
    <t>KasI</t>
  </si>
  <si>
    <t>G^GCGCC</t>
  </si>
  <si>
    <t>Kpn2I</t>
  </si>
  <si>
    <t>Kpn49kI</t>
  </si>
  <si>
    <t>KroI</t>
  </si>
  <si>
    <t>Ksp22I</t>
  </si>
  <si>
    <t>Kzo9I</t>
  </si>
  <si>
    <t>LlaAI</t>
  </si>
  <si>
    <t>LlaBI</t>
  </si>
  <si>
    <t>LlaCI</t>
  </si>
  <si>
    <t>LlaG2I</t>
  </si>
  <si>
    <t>MaeK81I</t>
  </si>
  <si>
    <t>MauBI</t>
  </si>
  <si>
    <t>CG^CGCGCG</t>
  </si>
  <si>
    <t>MavI</t>
  </si>
  <si>
    <t>MboI</t>
  </si>
  <si>
    <t>MchAI</t>
  </si>
  <si>
    <t>MfeI</t>
  </si>
  <si>
    <t>C^AATTG</t>
  </si>
  <si>
    <t>MflI</t>
  </si>
  <si>
    <t>MgoI</t>
  </si>
  <si>
    <t>MkrAI</t>
  </si>
  <si>
    <t>MlaAI</t>
  </si>
  <si>
    <t>Mlu23I</t>
  </si>
  <si>
    <t>MluCI</t>
  </si>
  <si>
    <t>^AATT</t>
  </si>
  <si>
    <t>MluI</t>
  </si>
  <si>
    <t>MreI</t>
  </si>
  <si>
    <t>CG^CCGGCG</t>
  </si>
  <si>
    <t>MroI</t>
  </si>
  <si>
    <t>MroNI</t>
  </si>
  <si>
    <t>MspB4I</t>
  </si>
  <si>
    <t>MspCI</t>
  </si>
  <si>
    <t>MunI</t>
  </si>
  <si>
    <t>NcoI</t>
  </si>
  <si>
    <t>NcrI</t>
  </si>
  <si>
    <t>NdeII</t>
  </si>
  <si>
    <t>NgoAIV</t>
  </si>
  <si>
    <t>NgoMIV</t>
  </si>
  <si>
    <t>NheI</t>
  </si>
  <si>
    <t>NlaII</t>
  </si>
  <si>
    <t>NmeCI</t>
  </si>
  <si>
    <t>NopI</t>
  </si>
  <si>
    <t>NotI</t>
  </si>
  <si>
    <t>NphI</t>
  </si>
  <si>
    <t>Nsp29132II</t>
  </si>
  <si>
    <t>NspIII</t>
  </si>
  <si>
    <t>NspMACI</t>
  </si>
  <si>
    <t>NspSAI</t>
  </si>
  <si>
    <t>NspSAIV</t>
  </si>
  <si>
    <t>OfoI</t>
  </si>
  <si>
    <t>OkrAI</t>
  </si>
  <si>
    <t>Pac25I</t>
  </si>
  <si>
    <t>Pae18kI</t>
  </si>
  <si>
    <t>Pae2kI</t>
  </si>
  <si>
    <t>PaeR7I</t>
  </si>
  <si>
    <t>PagI</t>
  </si>
  <si>
    <t>PalAI</t>
  </si>
  <si>
    <t>PanI</t>
  </si>
  <si>
    <t>ParI</t>
  </si>
  <si>
    <t>PauI</t>
  </si>
  <si>
    <t>PbrTI</t>
  </si>
  <si>
    <t>PciI</t>
  </si>
  <si>
    <t>PfaAI</t>
  </si>
  <si>
    <t>Pfl23II</t>
  </si>
  <si>
    <t>Pfl8I</t>
  </si>
  <si>
    <t>PinAI</t>
  </si>
  <si>
    <t>PinBII</t>
  </si>
  <si>
    <t>PlaAI</t>
  </si>
  <si>
    <t>Ppu10I</t>
  </si>
  <si>
    <t>A^TGCAT</t>
  </si>
  <si>
    <t>Ppu111I</t>
  </si>
  <si>
    <t>PpuAI</t>
  </si>
  <si>
    <t>PscI</t>
  </si>
  <si>
    <t>PspAI</t>
  </si>
  <si>
    <t>PspLI</t>
  </si>
  <si>
    <t>PspOMI</t>
  </si>
  <si>
    <t>PspXI</t>
  </si>
  <si>
    <t>VC^TCGAGB</t>
  </si>
  <si>
    <t>PstNHI</t>
  </si>
  <si>
    <t>PsuI</t>
  </si>
  <si>
    <t>PtaI</t>
  </si>
  <si>
    <t>PteI</t>
  </si>
  <si>
    <t>PunAI</t>
  </si>
  <si>
    <t>RalF40I</t>
  </si>
  <si>
    <t>RcaI</t>
  </si>
  <si>
    <t>RflFI</t>
  </si>
  <si>
    <t>Rrh4273I</t>
  </si>
  <si>
    <t>RspLKII</t>
  </si>
  <si>
    <t>RspXI</t>
  </si>
  <si>
    <t>RsrI</t>
  </si>
  <si>
    <t>Rtr63I</t>
  </si>
  <si>
    <t>RtrI</t>
  </si>
  <si>
    <t>SalI</t>
  </si>
  <si>
    <t>Sau3239I</t>
  </si>
  <si>
    <t>Sau3AI</t>
  </si>
  <si>
    <t>SauLPII</t>
  </si>
  <si>
    <t>SauMI</t>
  </si>
  <si>
    <t>Sbi68I</t>
  </si>
  <si>
    <t>SceIII</t>
  </si>
  <si>
    <t>SecI</t>
  </si>
  <si>
    <t>SelI</t>
  </si>
  <si>
    <t>^CGCG</t>
  </si>
  <si>
    <t>SenPT16I</t>
  </si>
  <si>
    <t>SfcI</t>
  </si>
  <si>
    <t>SfeI</t>
  </si>
  <si>
    <t>Sfr274I</t>
  </si>
  <si>
    <t>SgrAI</t>
  </si>
  <si>
    <t>CR^CCGGYG</t>
  </si>
  <si>
    <t>SgrDI</t>
  </si>
  <si>
    <t>CG^TCGACG</t>
  </si>
  <si>
    <t>SgsI</t>
  </si>
  <si>
    <t>SlaI</t>
  </si>
  <si>
    <t>SmlI</t>
  </si>
  <si>
    <t>C^TYRAG</t>
  </si>
  <si>
    <t>SmoI</t>
  </si>
  <si>
    <t>SnoI</t>
  </si>
  <si>
    <t>Sol10179I</t>
  </si>
  <si>
    <t>SolI</t>
  </si>
  <si>
    <t>SpeI</t>
  </si>
  <si>
    <t>SplI</t>
  </si>
  <si>
    <t>Srl32DII</t>
  </si>
  <si>
    <t>Srl55DI</t>
  </si>
  <si>
    <t>Srl56DI</t>
  </si>
  <si>
    <t>SrlI</t>
  </si>
  <si>
    <t>SsbI</t>
  </si>
  <si>
    <t>Sse232I</t>
  </si>
  <si>
    <t>Sse9I</t>
  </si>
  <si>
    <t>SsiAI</t>
  </si>
  <si>
    <t>SsiBI</t>
  </si>
  <si>
    <t>SsoI</t>
  </si>
  <si>
    <t>Ssp4800I</t>
  </si>
  <si>
    <t>SspBI</t>
  </si>
  <si>
    <t>SspDI</t>
  </si>
  <si>
    <t>Sth368I</t>
  </si>
  <si>
    <t>SthI</t>
  </si>
  <si>
    <t>StrI</t>
  </si>
  <si>
    <t>StyI</t>
  </si>
  <si>
    <t>SunI</t>
  </si>
  <si>
    <t>SurI</t>
  </si>
  <si>
    <t>TasI</t>
  </si>
  <si>
    <t>TatI</t>
  </si>
  <si>
    <t>W^GTACW</t>
  </si>
  <si>
    <t>TliI</t>
  </si>
  <si>
    <t>Tru201I</t>
  </si>
  <si>
    <t>Tsp509I</t>
  </si>
  <si>
    <t>TspBI</t>
  </si>
  <si>
    <t>TspEI</t>
  </si>
  <si>
    <t>TspMI</t>
  </si>
  <si>
    <t>Uba4009I</t>
  </si>
  <si>
    <t>Vha464I</t>
  </si>
  <si>
    <t>VneI</t>
  </si>
  <si>
    <t>XapI</t>
  </si>
  <si>
    <t>XbaI</t>
  </si>
  <si>
    <t>XciI</t>
  </si>
  <si>
    <t>XcyI</t>
  </si>
  <si>
    <t>XhoI</t>
  </si>
  <si>
    <t>XhoII</t>
  </si>
  <si>
    <t>XmaCI</t>
  </si>
  <si>
    <t>XmaI</t>
  </si>
  <si>
    <t>XmaIII</t>
  </si>
  <si>
    <t>XmaJI</t>
  </si>
  <si>
    <t>XpaI</t>
  </si>
  <si>
    <t>AcrII</t>
  </si>
  <si>
    <t>G^GTNACC</t>
  </si>
  <si>
    <t>5' (5 nucleotides)</t>
  </si>
  <si>
    <t>AjnI</t>
  </si>
  <si>
    <t>^CCWGG</t>
  </si>
  <si>
    <t>AspAI</t>
  </si>
  <si>
    <t>Bse64I</t>
  </si>
  <si>
    <t>BseT10I</t>
  </si>
  <si>
    <t>BseT9I</t>
  </si>
  <si>
    <t>BsiKI</t>
  </si>
  <si>
    <t>BssKI</t>
  </si>
  <si>
    <t>^CCNGG</t>
  </si>
  <si>
    <t>BstEII</t>
  </si>
  <si>
    <t>BstMZ611I</t>
  </si>
  <si>
    <t>BstPI</t>
  </si>
  <si>
    <t>BstSCI</t>
  </si>
  <si>
    <t>BstT10I</t>
  </si>
  <si>
    <t>BstT9I</t>
  </si>
  <si>
    <t>CsiI</t>
  </si>
  <si>
    <t>A^CCWGGT</t>
  </si>
  <si>
    <t>DsaV</t>
  </si>
  <si>
    <t>EcaI</t>
  </si>
  <si>
    <t>Eci125I</t>
  </si>
  <si>
    <t>Ecl18kI</t>
  </si>
  <si>
    <t>Eco137kI</t>
  </si>
  <si>
    <t>Eco13kI</t>
  </si>
  <si>
    <t>Eco1831I</t>
  </si>
  <si>
    <t>^CCSGG</t>
  </si>
  <si>
    <t>Eco21kI</t>
  </si>
  <si>
    <t>Eco91I</t>
  </si>
  <si>
    <t>EcoHI</t>
  </si>
  <si>
    <t>EcoO128I</t>
  </si>
  <si>
    <t>EcoO65I</t>
  </si>
  <si>
    <t>EcoRII</t>
  </si>
  <si>
    <t>Hpy51I</t>
  </si>
  <si>
    <t>^GTSAC</t>
  </si>
  <si>
    <t>Kpn2kI</t>
  </si>
  <si>
    <t>Kpn49kII</t>
  </si>
  <si>
    <t>MabI</t>
  </si>
  <si>
    <t>MaeIII</t>
  </si>
  <si>
    <t>^GTNAC</t>
  </si>
  <si>
    <t>NmuCI</t>
  </si>
  <si>
    <t>NspSAII</t>
  </si>
  <si>
    <t>PfoI</t>
  </si>
  <si>
    <t>T^CCNGGA</t>
  </si>
  <si>
    <t>Psp6I</t>
  </si>
  <si>
    <t>PspEI</t>
  </si>
  <si>
    <t>PspGI</t>
  </si>
  <si>
    <t>SexAI</t>
  </si>
  <si>
    <t>SleI</t>
  </si>
  <si>
    <t>SsoII</t>
  </si>
  <si>
    <t>SspAI</t>
  </si>
  <si>
    <t>StyD4I</t>
  </si>
  <si>
    <t>Tsp45I</t>
  </si>
  <si>
    <t>UnbI</t>
  </si>
  <si>
    <t>^GGNCC</t>
  </si>
  <si>
    <t>VpaK11AI</t>
  </si>
  <si>
    <t>^GGWCC</t>
  </si>
  <si>
    <t>GTNAC</t>
  </si>
  <si>
    <t>ACATGT</t>
  </si>
  <si>
    <t>ACCGGT</t>
  </si>
  <si>
    <t>ACCWGGT</t>
  </si>
  <si>
    <t>ACTAGT</t>
  </si>
  <si>
    <t>AGGWCCT</t>
  </si>
  <si>
    <t>ASST</t>
  </si>
  <si>
    <t>CAATTG</t>
  </si>
  <si>
    <t>CCRYGG</t>
  </si>
  <si>
    <t>CCTAGG</t>
  </si>
  <si>
    <t>CACNNNGTG</t>
  </si>
  <si>
    <t>CAGNNNCTG</t>
  </si>
  <si>
    <t>CCCWGGG</t>
  </si>
  <si>
    <t>CCTCGAGG</t>
  </si>
  <si>
    <t>CCANNNNNTGG</t>
  </si>
  <si>
    <t>CCANNNNNNNNNTGG</t>
  </si>
  <si>
    <t>CCTGCAGG</t>
  </si>
  <si>
    <t>CGCCGGCG</t>
  </si>
  <si>
    <t>CGCGCGCG</t>
  </si>
  <si>
    <t>CGGWCCG</t>
  </si>
  <si>
    <t>CGTCGACG</t>
  </si>
  <si>
    <t>GAWTC</t>
  </si>
  <si>
    <t>GCTAGC</t>
  </si>
  <si>
    <t>GCGGCCGC</t>
  </si>
  <si>
    <t>GCANNNNNTGC</t>
  </si>
  <si>
    <t>GCGATCGC</t>
  </si>
  <si>
    <t>GGCGCGCC</t>
  </si>
  <si>
    <t>GGGWCCC</t>
  </si>
  <si>
    <t>GGCCGGCC</t>
  </si>
  <si>
    <t>GGCCNNNNNGGCC</t>
  </si>
  <si>
    <t>RAATTY</t>
  </si>
  <si>
    <t>TCCNGGA</t>
  </si>
  <si>
    <t>TTAA</t>
  </si>
  <si>
    <t>TTAATTAA</t>
  </si>
  <si>
    <t>TTSAA</t>
  </si>
  <si>
    <t>VCTCGAGB</t>
  </si>
  <si>
    <t>WGTACW</t>
  </si>
  <si>
    <t>WCGNNNNNNNCGW</t>
  </si>
  <si>
    <t>proportion GC</t>
  </si>
  <si>
    <t>megabases genome</t>
  </si>
  <si>
    <t>fold coverage</t>
  </si>
  <si>
    <t>plexity</t>
  </si>
  <si>
    <t>million reads per lane</t>
  </si>
  <si>
    <t>Organism</t>
  </si>
  <si>
    <t>proportion AT</t>
  </si>
  <si>
    <t xml:space="preserve"> </t>
  </si>
  <si>
    <t>A_or_T</t>
  </si>
  <si>
    <t>G_or_C</t>
  </si>
  <si>
    <r>
      <t xml:space="preserve">M/K, R/Y, W, S, </t>
    </r>
    <r>
      <rPr>
        <sz val="11"/>
        <color theme="3" tint="0.59999389629810485"/>
        <rFont val="Calibri"/>
        <family val="2"/>
        <scheme val="minor"/>
      </rPr>
      <t>ARE ALL EQUAL 0.5</t>
    </r>
  </si>
  <si>
    <r>
      <t xml:space="preserve">N </t>
    </r>
    <r>
      <rPr>
        <sz val="11"/>
        <color theme="5" tint="0.39997558519241921"/>
        <rFont val="Calibri"/>
        <family val="2"/>
        <scheme val="minor"/>
      </rPr>
      <t>EQUALS 0.25</t>
    </r>
  </si>
  <si>
    <r>
      <t xml:space="preserve">V/B, H/D, </t>
    </r>
    <r>
      <rPr>
        <sz val="11"/>
        <color theme="6" tint="-0.249977111117893"/>
        <rFont val="Calibri"/>
        <family val="2"/>
        <scheme val="minor"/>
      </rPr>
      <t>EQUAL 0.33</t>
    </r>
  </si>
  <si>
    <t>Million sequences per pool</t>
  </si>
  <si>
    <t>Num sequences for coverage</t>
  </si>
  <si>
    <t>Number of sites in genome</t>
  </si>
  <si>
    <t>Sites/Mb</t>
  </si>
  <si>
    <t>Site frequency</t>
  </si>
  <si>
    <t>does your pool fit in one lane?</t>
  </si>
  <si>
    <t>From the file: withrefm.109 downloaded from REBASE, delete all blunt end enzymes and uncertain recognition sites (left blank in the original file). All other enzymes are included in this list.</t>
  </si>
  <si>
    <t>TspEI, Tsp509I, TasI, Sse9I, MluCI</t>
  </si>
  <si>
    <t>BssKI, SsoII, Eco21kI, Eco137kI, Ecl18kI, DsaV, StyD4I, BstMZ611I, Kpn2kI, BstSCI, Eco13kI</t>
  </si>
  <si>
    <t>Kpn49kII, Eco1831I, EcoHI</t>
  </si>
  <si>
    <t>SleI, AjnI, EcoRII, PspGI, SspAI, Psp6I</t>
  </si>
  <si>
    <t>Sth368I, SsiBI, BspFI, FnuEI, CviAI, Bsp67I, SsiAI, CacI, CcyI, CpfI, BspJI, DpnII, FnuCI, BspKMI, Bsp105I, Bsp143I, BtkII, AspMDI, Bce243I, Bfi57I, BfuCI, Bme12I, BscFI, Bsp2095I, LlaAI, NdeII, NlaII, NmeCI, NphI, MgoI, RalF40I, MboI, BssMI, BspAI, HacI, Bst19II, BstENII, BstMBI, Kzo9I, SauMI, Sau3AI, PbrTI, MkrAI</t>
  </si>
  <si>
    <t>Tsp45I, NmuCI, Hpy51I</t>
  </si>
  <si>
    <t>BstFI, SsbI, BspLAIII, EcoVIII, HindIII, HsuI, LlaCI, BbrI, BspKT8I</t>
  </si>
  <si>
    <t>PscI, PciI, BspLU11I</t>
  </si>
  <si>
    <t>AsiGI, BshTI, CspAI, PinAI, CsiAI, AgeI, AsiAI</t>
  </si>
  <si>
    <t>SexAI, MabI, CsiI</t>
  </si>
  <si>
    <t>Bbi24I, MluI</t>
  </si>
  <si>
    <t>HpyCH4IV, MaeII</t>
  </si>
  <si>
    <t>AclNI, BcuI, SpeI, AhlI</t>
  </si>
  <si>
    <t>Pae2kI, BglII, NcrI, Pae18kI, NspMACI</t>
  </si>
  <si>
    <t>Psp1406I, AclI</t>
  </si>
  <si>
    <t>TaiI, TscI, Tsp49I</t>
  </si>
  <si>
    <t>Tsp4CI, TaaI, HpyCH4III, Bst4CI</t>
  </si>
  <si>
    <t>BliRI, BdiI, Bli86I, Bli41I, BliAI, BcmI, BciBI, Bci29I, AagI, Bsa29I, BsiXI, BbvAII, BanIII, Bsu15I, ZhoI, Ssp27144I, SpmI, Rme21I, PgaI, LplI, LcaI, BseCI, BsuTUI, BscI, Bsp106I, BavCI, ClaI, BshVI, BstNZ169I, BspDI, BspJII, BspOVII, BspXI, BspZEI, Bst28I</t>
  </si>
  <si>
    <t>AseI, AsnI, PshBI, VspI, BpoAI, Sru4DI</t>
  </si>
  <si>
    <t>EcoT22I, SspD5II, PinBI, Zsp2I, SepI, Mph1103I, Csp68KIII, BfrBI, Asi372I, NsiI</t>
  </si>
  <si>
    <t>MunI, MfeI</t>
  </si>
  <si>
    <t>NcoI, Bsp19I</t>
  </si>
  <si>
    <t>XcyI, XmaI, AhyI, Cfr9I, EaeAI, EclRI, Pac25I, PspAI, TspMI, XmaCI</t>
  </si>
  <si>
    <t>BsuFI, Sth134I, Bst40I, CboI, HapII, Hin2I, HpaII, MnoI, MspI, Pde137I, Bco27I, BsiSI</t>
  </si>
  <si>
    <t>SecI, BssECI, BsaJI, BseDI</t>
  </si>
  <si>
    <t>BstDSI, BtgI, DsaI, TspBI</t>
  </si>
  <si>
    <t>AspA2I, AvrBII, XmaJI, BspA2I, AvrII, BlnI</t>
  </si>
  <si>
    <t>EcoT14I, Eco130I, CfrBI, ErhI, StyI, BssT1I, ErhB9II, BsmSI</t>
  </si>
  <si>
    <t>EagI, XmaIII, SenPT16I, EclXI, BseX3I, AaaI, Eco52I, BstZI</t>
  </si>
  <si>
    <t>BvuBI, SunI, SplI, PspLI, PpuAI, MaeK81I, BsiWI, Pfl23II, BpuB5I</t>
  </si>
  <si>
    <t>BfaI, XspI, RmaI, MthZI, MaeI, FspBI, FgoI, CchI</t>
  </si>
  <si>
    <t>Sol10179I, EscI, AbrI, BluI, BspAAI, BssHI, BstVI, CcrI, StrI, Sfr274I, MavI, XpaI, TliI, SlaI, Sbi68I, SauLPII, Sau3239I, PanI, PaeR7I, MlaAI, XhoI</t>
  </si>
  <si>
    <t>BstDEI, BstJZ301I, DdeI, HpyF3I</t>
  </si>
  <si>
    <t>BdiSI, Srl56DI, SfeI, SfcI, LlaBI, BthP35I, BstSFI, BfmI, BpcI</t>
  </si>
  <si>
    <t>Esp4I, AflII, BfrI, BspTI, Bst98I, BstPZ740I, MspCI, Vha464I, BstAFI</t>
  </si>
  <si>
    <t>SmoI, SmlI</t>
  </si>
  <si>
    <t>BsiHKCI, PlaAI, OfoI, NspSAI, NspIII, Eco88I, Eco27kI, BstSI, BsoBI, PunAI, Bse15I, BmeT110I, BcoI, AvaI, AquI, Ama87I, BspLU4I</t>
  </si>
  <si>
    <t>FauNDI, PfaAII, NdeI</t>
  </si>
  <si>
    <t>AdeI, BstIZ316I, DraIII</t>
  </si>
  <si>
    <t>PstNI, AlwNI, CaiI</t>
  </si>
  <si>
    <t>NlaIII, Hsp92II, HpyCH4I, FaeI, Hin1II</t>
  </si>
  <si>
    <t>ScrFI, MspR9I, Bme1390I, BmrFI, Msp67I</t>
  </si>
  <si>
    <t>Mgl14481I, HgiS22I, CauII, BpuMI, BcnI, AsuC2I, AhaI, AseII, NciI</t>
  </si>
  <si>
    <t>BspR7I, Bse21I, Bsu36I, BliHKI, AxyI, Eco81I, Lmu60I, MstII, OxaNI, SauI, SshAI, CvnI, AocI</t>
  </si>
  <si>
    <t>BstOI, SniI, SslI, Sth117I, Sth302I, Bst38I, BstM6I, Bst2UI, Fsp1604I, Bst2I, BspNI, Bst1I, Bst100I, ZanI, TaqXI, AeuI, BsiLI, BstNI, AglI, AorI, ApaORI, ApyI, BciBII, BciT130I, MvaI, Bse16I, BthDI, Bse17I, BthEI, CbrI, CthII, Bse24I, BseBI, BshGI, BptI</t>
  </si>
  <si>
    <t>Esp1396I, AccB7I, AcpII, PflBI, PflMI, Van91I, Asp10HII, BasI</t>
  </si>
  <si>
    <t>BstXI, BstHZ55I</t>
  </si>
  <si>
    <t>GceGLI, Pae14kI, NgoPIII, NgoAIII, Mpr154I, KspI, Pae5kI, GceI, SacII, GalI, Eco29kI, Kpn378I, PaeAI, RaqI, SchZI, SenPT14bI, SexBI, SexCI, Sfr303I, SgrBI, SpuI, SstII, Eae46I, Cfr42I, CscI, PaeQI</t>
  </si>
  <si>
    <t>BseLI, AfiI, BflI, Bsc4I, BsiYI, BslI, Bst22I, Bsc107I</t>
  </si>
  <si>
    <t>SdaI, Sse8387I, SbfI</t>
  </si>
  <si>
    <t>BstENI, EcoNI, XagI</t>
  </si>
  <si>
    <t>Sse232I, MreI</t>
  </si>
  <si>
    <t>Rsr2I, CpoI, CspI, RsrII</t>
  </si>
  <si>
    <t>RshI, Afa16RI, XorII, PvuI, Psu161I, Ple19I, MvrI, ErhB9I, EagBI, Afa22MI, BspCI, BpvUI, NblI</t>
  </si>
  <si>
    <t>BsiEI, BsaOI, BstMCI, Bsh1285I, McrI</t>
  </si>
  <si>
    <t>BloHII, AjoI, ApiI, Asp713I, Sag23I, AliAJI, MhaAI, PaePI, Pfl21I, Psp23I, Ecl37kI, Sag16I, Ecl2zI, SalPI, SflI, Srl5DI, Sst12I, XcpI, YenI, PstI, CfrA4I, CstI, CfuII, BspBI, BspMAI, BsuBI, Bsp63I, CflI, HalII</t>
  </si>
  <si>
    <t>Srl32DII, RsrI, Ppu111I, Kpn49kI, HalI, FunII, EcoRI, Srl55DI, SsoI</t>
  </si>
  <si>
    <t>SscL1I, CviBI, FnuAI, HhaII, HinfI</t>
  </si>
  <si>
    <t>TfiI, PfeI</t>
  </si>
  <si>
    <t>NgoAIV, Eco56I, NgoMIV, SceIII, SrlI, MroNI, KroI</t>
  </si>
  <si>
    <t>HinP1I, HsoI, HspAI, Hin6I, BbtI, SciNI</t>
  </si>
  <si>
    <t>BsePI, PteI, PauI, BssHII, BstBZ153I</t>
  </si>
  <si>
    <t>NheI, LlaG2I, PstNHI, AsuNHI</t>
  </si>
  <si>
    <t>Taq52I, SuiI, ApeKI, AceI, TseI</t>
  </si>
  <si>
    <t>BnaI, CelI, Uba4009I, SurI, SolI, RspLKII, Pfl8I, OkrAI, NspSAIV, BamHI, Mlu23I, AccEBI, BspAAIII, Bsp98I, Bsp4009I, BstI, Bce751I, AsiI, ApaCI, AliI, Nsp29132II, GstI</t>
  </si>
  <si>
    <t>KasI, SspDI</t>
  </si>
  <si>
    <t>Bsp120I, PspOMI</t>
  </si>
  <si>
    <t>Bac36I, BsiZI, Pde12I, Bce22I, PspPI, Bsp1894I, Bal228I, BshKI, AvcI, AsuI, AspS9I, NspIV, Sau96I, BavAII, CcuI, Nsp7121I, MaeK81II, Cfr13I, BavBII, BspBII, Bsu54I, BspF4I</t>
  </si>
  <si>
    <t>SthI, Acc65I, AhaB8I, Asp718I</t>
  </si>
  <si>
    <t>BseT9I, BsiKI, BstEII, EcoO128I, EcoO65I, NspSAII, BseT10I, PspEI, Bse64I, BstT10I, AspAI, AcrII, Eco91I, BstT9I, BstPI, EcaI, Eci125I</t>
  </si>
  <si>
    <t>HgiHIII, HgiCII, FdiI, HgiEI, FssI, HgiBI, VpaK11BI, Bme216I, Kzo49I, Eco47I, HgiJI, ErpI, SmuEI, SinI, Mae7806III, Bme18I, DsaIV, Csp68KI, CauI, BthAI, BsrAI, BmpI, AflI, Asp745I, AvaII, BamNxI, BcuAI, EagMI, FspMSI</t>
  </si>
  <si>
    <t>Eco64I, PfaAI, MspB4I, HgiCI, BspT107I, AccB1I, BshNI, BbvBI, BanI, HgiHI</t>
  </si>
  <si>
    <t>Csp6I, RsaNI, CviRII, CviQI</t>
  </si>
  <si>
    <t>XciI, SalI, RtrI, Rtr63I, Rrh4273I, RflFI, NopI, HgiDII, HgiCIII, BspMKI</t>
  </si>
  <si>
    <t>VneI, SnoI, Alw44I, ApaLI</t>
  </si>
  <si>
    <t>Ssp5230I, AatII</t>
  </si>
  <si>
    <t>PsyI, PflFI, BgiI, AtsI, AspI, Tth111I, TelI</t>
  </si>
  <si>
    <t>NruGI, EclHKI, BspOVI, DriI, AspEI, AhdI, BmeRI, Eam1105I</t>
  </si>
  <si>
    <t>DseDI, DrdI, AasI</t>
  </si>
  <si>
    <t>SstI, Psp124BI, SacI</t>
  </si>
  <si>
    <t>BspKT6I, BstKTI</t>
  </si>
  <si>
    <t>CsiBI, MchAI, CspBI, NotI, CciNI</t>
  </si>
  <si>
    <t>FbrI, SatI, Uur960I, GluI, Fnu4HI, Bsp6I, BsoFI, BisI, Fsp4HI, ItaI</t>
  </si>
  <si>
    <t>Bpu1102I, CelII, EspI, BlpI, Bsp1720I</t>
  </si>
  <si>
    <t>SphI, BfuAII, SpaHI, RspLKI, PfaAIII, BbuI, PaeI</t>
  </si>
  <si>
    <t>Psp1009I, BglI, Tsp8EI</t>
  </si>
  <si>
    <t>BstHHI, BspLAI, HhaI, CfoI, FnuDIII, AspLEI</t>
  </si>
  <si>
    <t>AsiSI, SfaAI, SgfI, RgaI</t>
  </si>
  <si>
    <t>BceCI, BspWI, BstMWI, HpyF10VI, MwoI, Bce4I</t>
  </si>
  <si>
    <t>BspUI, TauI</t>
  </si>
  <si>
    <t>AceII, BspOI, BmtI</t>
  </si>
  <si>
    <t>BsoCI, AocII, BmyI, SduI, NspII, MhlI, BspLS2I, Bsp1286I</t>
  </si>
  <si>
    <t>NarI, NdaI, NunII, Mly113I, MchI, SseAI</t>
  </si>
  <si>
    <t>AscI, SgsI, PalAI</t>
  </si>
  <si>
    <t>Sse1825I, SanDI, KflI</t>
  </si>
  <si>
    <t>RigI, FseI</t>
  </si>
  <si>
    <t>SdiI, SfiI</t>
  </si>
  <si>
    <t>BbeI, BinSII, PluTI</t>
  </si>
  <si>
    <t>ApaI, PpeI</t>
  </si>
  <si>
    <t>BstSLI, BseSI, Bme1580I, BaeGI</t>
  </si>
  <si>
    <t>AsuIII, BbiII, BsaHI, BssNI, BstACI, HgiDI, HgiGI, HgiHII, HgiI, AosII, Msp17I, AhaII, Hsp92I, Hin1I, PamII, AcyI, AstWI</t>
  </si>
  <si>
    <t>KoxII, BanII, BpuI, Bsp519I, Bsu1854I, BvuI, Eco24I, Eco75KI, EcoT38I, FriOI, HgiJII, PaeHI, SacNI</t>
  </si>
  <si>
    <t>XmiI, AccI, FblI</t>
  </si>
  <si>
    <t>Alw21I, MspV281I, HgiAI, Bsm6I, BsiHKAI, Bsh45I, Bbv12I, AspHI</t>
  </si>
  <si>
    <t>XapI, CfaI, ApoI, AcsI, FsiI</t>
  </si>
  <si>
    <t>Bse634I, Bse118I, Bco118I, BsrFI, BssAI, BstB7SI, Cfr10I</t>
  </si>
  <si>
    <t>BstYI, DsaIII, BloHI, MflI, BstX2I, PsuI, Tru201I, XhoII</t>
  </si>
  <si>
    <t>AvoI, XceI, PunAII, PauAI, NspI, NspHI, BstNSI</t>
  </si>
  <si>
    <t>EcoO109I, DraII</t>
  </si>
  <si>
    <t>Pfl27I, PpuMI, PpuXI, Psp5II, PspPPI</t>
  </si>
  <si>
    <t>HaeII, AccB2I, BfoI, Bsp143II, BstH2I</t>
  </si>
  <si>
    <t>Kaz48kI, PssI</t>
  </si>
  <si>
    <t>BspHI, RspXI, RcaI, PagI, CciI</t>
  </si>
  <si>
    <t>Kpn2I, MroI, AccIII, Aor13HI, BbvAIII, BlfI, BseAI, BsiMI, Bsp13I, BspEI, BspMII, CauB3I, PtaI, PinBII, Bsu23I</t>
  </si>
  <si>
    <t>TthHB8I, Tsp32II, Tsp32I, TaqI, PpaAII</t>
  </si>
  <si>
    <t>XbaI, BspAAII</t>
  </si>
  <si>
    <t>Ksp22I, ParI, AbaI, FbaI, BstT7I, BspXII, BsiQI, BclI</t>
  </si>
  <si>
    <t>SspBI, BstAUI, Ssp4800I, Bsp1407I, BsrGI, AauI, BsmRI</t>
  </si>
  <si>
    <t>Tru1I, Tru9I, MseI, SaqAI</t>
  </si>
  <si>
    <t>Hpy178III, Hpy188III</t>
  </si>
  <si>
    <t>FspII, Csp68KII, Csp45I, BstBI, PpaAI, CbiI, LspI, MlaI, BspT104I, PlaII, BimI, SfuI, Ssp1I, SspRFI, SviI, NspV, AsuII, BsiCI, Asp10HI, AcpI, Bim19I, Bpu14I, Bsp119I, BspLAII</t>
  </si>
  <si>
    <t>Bca77I, BetI, BsaWI</t>
  </si>
  <si>
    <t>AcoI, Bfi89I, CfrI, EcoHK31I, EaeI</t>
  </si>
  <si>
    <t>Restriction Enzyme</t>
  </si>
  <si>
    <t>Site</t>
  </si>
  <si>
    <t>Number of tags</t>
  </si>
  <si>
    <t>Original file can be found here: www.wiki.ed.ac.uk/display/RADSequencing/Home;jsessionid=297E35F7D71D16CF5D633B302A96C220)</t>
  </si>
  <si>
    <t>Calculations page based on RAD Counter file provided by the GenePool facility at the University of Edinburgh (genepool.bio.ed.ac.uk)</t>
  </si>
  <si>
    <t>Kiwifruit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</si>
</sst>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indexed="8"/>
      <name val="맑은 고딕"/>
      <family val="3"/>
      <charset val="129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41" fontId="0" fillId="0" borderId="0" xfId="2" applyNumberFormat="1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3" applyNumberFormat="1" applyFont="1"/>
    <xf numFmtId="164" fontId="0" fillId="0" borderId="0" xfId="3" applyNumberFormat="1" applyFont="1" applyFill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164" fontId="8" fillId="0" borderId="0" xfId="3" applyNumberFormat="1" applyFont="1" applyFill="1" applyAlignment="1">
      <alignment horizontal="center"/>
    </xf>
    <xf numFmtId="164" fontId="8" fillId="0" borderId="0" xfId="3" applyNumberFormat="1" applyFont="1" applyFill="1" applyAlignment="1">
      <alignment textRotation="45" wrapText="1"/>
    </xf>
    <xf numFmtId="0" fontId="8" fillId="0" borderId="0" xfId="0" applyFont="1" applyFill="1" applyAlignment="1">
      <alignment textRotation="45" wrapText="1"/>
    </xf>
    <xf numFmtId="0" fontId="9" fillId="0" borderId="0" xfId="0" applyFont="1" applyFill="1"/>
    <xf numFmtId="164" fontId="9" fillId="0" borderId="0" xfId="3" applyNumberFormat="1" applyFont="1" applyFill="1"/>
    <xf numFmtId="0" fontId="9" fillId="0" borderId="0" xfId="0" applyFont="1" applyFill="1" applyAlignment="1">
      <alignment horizontal="center"/>
    </xf>
    <xf numFmtId="0" fontId="9" fillId="0" borderId="0" xfId="0" applyNumberFormat="1" applyFont="1" applyFill="1"/>
    <xf numFmtId="0" fontId="9" fillId="0" borderId="0" xfId="5" applyFont="1" applyFill="1"/>
    <xf numFmtId="0" fontId="9" fillId="0" borderId="0" xfId="5" applyFont="1" applyFill="1" applyAlignment="1">
      <alignment horizontal="center"/>
    </xf>
    <xf numFmtId="0" fontId="9" fillId="0" borderId="0" xfId="6" applyFont="1" applyFill="1"/>
    <xf numFmtId="164" fontId="9" fillId="0" borderId="0" xfId="6" applyNumberFormat="1" applyFont="1" applyFill="1"/>
    <xf numFmtId="0" fontId="9" fillId="0" borderId="0" xfId="6" applyFont="1" applyFill="1" applyAlignment="1">
      <alignment horizontal="center"/>
    </xf>
    <xf numFmtId="41" fontId="1" fillId="0" borderId="0" xfId="2" applyNumberFormat="1" applyFont="1" applyAlignment="1">
      <alignment vertical="center" wrapText="1"/>
    </xf>
    <xf numFmtId="0" fontId="10" fillId="0" borderId="0" xfId="7" applyAlignment="1" applyProtection="1">
      <alignment horizontal="center" vertical="center"/>
    </xf>
    <xf numFmtId="0" fontId="0" fillId="2" borderId="0" xfId="0" applyFill="1" applyAlignment="1">
      <alignment vertical="top" wrapText="1"/>
    </xf>
    <xf numFmtId="41" fontId="11" fillId="9" borderId="0" xfId="2" applyNumberFormat="1" applyFont="1" applyFill="1" applyAlignment="1">
      <alignment horizontal="center" vertical="center" wrapText="1"/>
    </xf>
  </cellXfs>
  <cellStyles count="8">
    <cellStyle name="Comma" xfId="3" builtinId="3"/>
    <cellStyle name="Comma [0] 2" xfId="4"/>
    <cellStyle name="Good" xfId="5" builtinId="26"/>
    <cellStyle name="Hyperlink" xfId="7" builtinId="8"/>
    <cellStyle name="Neutral" xfId="6" builtinId="28"/>
    <cellStyle name="Normal" xfId="0" builtinId="0"/>
    <cellStyle name="Normal 2" xfId="2"/>
    <cellStyle name="Percent 2" xfId="1"/>
  </cellStyles>
  <dxfs count="0"/>
  <tableStyles count="0" defaultTableStyle="TableStyleMedium9" defaultPivotStyle="PivotStyleLight16"/>
  <colors>
    <mruColors>
      <color rgb="FFE4E3D4"/>
      <color rgb="FF2D8828"/>
      <color rgb="FFCC66FF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iki.ed.ac.uk/display/RADSequencing/Home;jsessionid=297E35F7D71D16CF5D633B302A96C220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A1:M217"/>
  <sheetViews>
    <sheetView tabSelected="1" zoomScaleNormal="100" workbookViewId="0">
      <pane ySplit="12" topLeftCell="A13" activePane="bottomLeft" state="frozen"/>
      <selection pane="bottomLeft" activeCell="G5" sqref="G5"/>
    </sheetView>
  </sheetViews>
  <sheetFormatPr defaultRowHeight="15"/>
  <cols>
    <col min="1" max="1" width="22.140625" customWidth="1"/>
    <col min="2" max="2" width="14.42578125" customWidth="1"/>
    <col min="3" max="3" width="14" bestFit="1" customWidth="1"/>
    <col min="4" max="4" width="13.7109375" style="9" customWidth="1"/>
    <col min="5" max="5" width="15" style="9" bestFit="1" customWidth="1"/>
    <col min="6" max="6" width="12.85546875" style="9" bestFit="1" customWidth="1"/>
    <col min="7" max="8" width="15" style="9" bestFit="1" customWidth="1"/>
    <col min="9" max="9" width="14.85546875" bestFit="1" customWidth="1"/>
    <col min="10" max="10" width="255.7109375" bestFit="1" customWidth="1"/>
    <col min="13" max="13" width="9.140625" customWidth="1"/>
  </cols>
  <sheetData>
    <row r="1" spans="1:13">
      <c r="A1" t="s">
        <v>1271</v>
      </c>
      <c r="B1" t="s">
        <v>1414</v>
      </c>
      <c r="D1" s="9" t="s">
        <v>1276</v>
      </c>
    </row>
    <row r="2" spans="1:13">
      <c r="A2" s="2" t="s">
        <v>1266</v>
      </c>
      <c r="B2" s="2">
        <v>0.3510107656047145</v>
      </c>
      <c r="D2" s="9" t="s">
        <v>1277</v>
      </c>
    </row>
    <row r="3" spans="1:13">
      <c r="A3" s="3" t="s">
        <v>1272</v>
      </c>
      <c r="B3" s="3">
        <f>1-B2</f>
        <v>0.64898923439528544</v>
      </c>
      <c r="D3" s="9" t="s">
        <v>1278</v>
      </c>
    </row>
    <row r="4" spans="1:13">
      <c r="A4" s="5" t="s">
        <v>1275</v>
      </c>
      <c r="B4" s="5">
        <f>proportion_GC/2</f>
        <v>0.17550538280235725</v>
      </c>
    </row>
    <row r="5" spans="1:13">
      <c r="A5" s="6" t="s">
        <v>1274</v>
      </c>
      <c r="B5" s="6">
        <f>proportion_AT/2</f>
        <v>0.32449461719764272</v>
      </c>
    </row>
    <row r="6" spans="1:13">
      <c r="A6" t="s">
        <v>1267</v>
      </c>
      <c r="B6">
        <v>758</v>
      </c>
    </row>
    <row r="7" spans="1:13">
      <c r="A7" t="s">
        <v>1268</v>
      </c>
      <c r="B7">
        <v>24</v>
      </c>
      <c r="D7" s="10"/>
      <c r="E7" s="10"/>
    </row>
    <row r="8" spans="1:13">
      <c r="A8" t="s">
        <v>1269</v>
      </c>
      <c r="B8">
        <v>96</v>
      </c>
    </row>
    <row r="9" spans="1:13">
      <c r="A9" t="s">
        <v>1270</v>
      </c>
      <c r="B9" s="1">
        <v>200</v>
      </c>
    </row>
    <row r="10" spans="1:13" ht="45" customHeight="1">
      <c r="A10" s="28" t="s">
        <v>1413</v>
      </c>
      <c r="B10" s="28"/>
      <c r="C10" s="28"/>
      <c r="D10" s="28"/>
      <c r="E10" s="28"/>
      <c r="F10" s="28"/>
      <c r="G10" s="28"/>
      <c r="H10" s="28"/>
      <c r="I10" s="28"/>
      <c r="J10" s="25"/>
    </row>
    <row r="11" spans="1:13" ht="45" customHeight="1">
      <c r="A11" s="26" t="s">
        <v>1412</v>
      </c>
      <c r="B11" s="26"/>
      <c r="C11" s="26"/>
      <c r="D11" s="26"/>
      <c r="E11" s="26"/>
      <c r="F11" s="26"/>
      <c r="G11" s="26"/>
      <c r="H11" s="26"/>
      <c r="I11" s="26"/>
      <c r="J11" s="25"/>
    </row>
    <row r="12" spans="1:13" s="16" customFormat="1" ht="81" customHeight="1">
      <c r="A12" s="11"/>
      <c r="B12" s="11" t="s">
        <v>1410</v>
      </c>
      <c r="C12" s="12" t="s">
        <v>1283</v>
      </c>
      <c r="D12" s="13" t="s">
        <v>1282</v>
      </c>
      <c r="E12" s="14" t="s">
        <v>1281</v>
      </c>
      <c r="F12" s="14" t="s">
        <v>1411</v>
      </c>
      <c r="G12" s="14" t="s">
        <v>1280</v>
      </c>
      <c r="H12" s="14" t="s">
        <v>1279</v>
      </c>
      <c r="I12" s="15" t="s">
        <v>1284</v>
      </c>
      <c r="J12" s="14" t="s">
        <v>1409</v>
      </c>
    </row>
    <row r="13" spans="1:13" s="16" customFormat="1">
      <c r="A13" s="16" t="s">
        <v>1032</v>
      </c>
      <c r="B13" s="16" t="s">
        <v>96</v>
      </c>
      <c r="C13" s="16">
        <f>POWER((A_or_T), 4)</f>
        <v>1.1087406948425239E-2</v>
      </c>
      <c r="D13" s="17">
        <f>1000000*C13</f>
        <v>11087.40694842524</v>
      </c>
      <c r="E13" s="17">
        <f t="shared" ref="E13:E44" si="0">C13*1000000*megabases_genome</f>
        <v>8404254.4669063315</v>
      </c>
      <c r="F13" s="17">
        <f>E13*2</f>
        <v>16808508.933812663</v>
      </c>
      <c r="G13" s="17">
        <f t="shared" ref="G13:G44" si="1">F13*fold_coverage</f>
        <v>403404214.41150391</v>
      </c>
      <c r="H13" s="17">
        <f t="shared" ref="H13:H44" si="2">G13*plexity/1000000</f>
        <v>38726.804583504381</v>
      </c>
      <c r="I13" s="18" t="str">
        <f t="shared" ref="I13:I44" si="3">IF(H13/million_reads_per_lane&lt;1, "YES","-")</f>
        <v>-</v>
      </c>
      <c r="J13" s="16" t="s">
        <v>1286</v>
      </c>
    </row>
    <row r="14" spans="1:13" s="16" customFormat="1">
      <c r="A14" s="16" t="s">
        <v>992</v>
      </c>
      <c r="B14" s="16" t="s">
        <v>77</v>
      </c>
      <c r="C14" s="16">
        <f>POWER(G_or_C,2)*POWER(A_or_T,2)</f>
        <v>3.2433653740815958E-3</v>
      </c>
      <c r="D14" s="17">
        <f t="shared" ref="D14:D77" si="4">1000000*C14</f>
        <v>3243.3653740815957</v>
      </c>
      <c r="E14" s="17">
        <f t="shared" si="0"/>
        <v>2458470.9535538494</v>
      </c>
      <c r="F14" s="17">
        <f t="shared" ref="F14:F77" si="5">E14*2</f>
        <v>4916941.9071076987</v>
      </c>
      <c r="G14" s="17">
        <f t="shared" si="1"/>
        <v>118006605.77058476</v>
      </c>
      <c r="H14" s="17">
        <f t="shared" si="2"/>
        <v>11328.634153976138</v>
      </c>
      <c r="I14" s="18" t="str">
        <f t="shared" si="3"/>
        <v>-</v>
      </c>
      <c r="J14" s="16" t="s">
        <v>991</v>
      </c>
    </row>
    <row r="15" spans="1:13" s="16" customFormat="1">
      <c r="A15" s="16" t="s">
        <v>1181</v>
      </c>
      <c r="B15" s="16" t="s">
        <v>51</v>
      </c>
      <c r="C15" s="16">
        <f>POWER(G_or_C,4)*0.25</f>
        <v>2.3719294779032032E-4</v>
      </c>
      <c r="D15" s="17">
        <f t="shared" si="4"/>
        <v>237.19294779032032</v>
      </c>
      <c r="E15" s="17">
        <f t="shared" si="0"/>
        <v>179792.2544250628</v>
      </c>
      <c r="F15" s="17">
        <f t="shared" si="5"/>
        <v>359584.5088501256</v>
      </c>
      <c r="G15" s="17">
        <f t="shared" si="1"/>
        <v>8630028.2124030143</v>
      </c>
      <c r="H15" s="17">
        <f t="shared" si="2"/>
        <v>828.48270839068937</v>
      </c>
      <c r="I15" s="18" t="str">
        <f t="shared" si="3"/>
        <v>-</v>
      </c>
      <c r="J15" s="16" t="s">
        <v>1287</v>
      </c>
      <c r="M15" s="16" t="s">
        <v>1273</v>
      </c>
    </row>
    <row r="16" spans="1:13" s="16" customFormat="1">
      <c r="A16" s="16" t="s">
        <v>1197</v>
      </c>
      <c r="B16" s="16" t="s">
        <v>20</v>
      </c>
      <c r="C16" s="16">
        <f>POWER(G_or_C,4)*0.5</f>
        <v>4.7438589558064065E-4</v>
      </c>
      <c r="D16" s="17">
        <f t="shared" si="4"/>
        <v>474.38589558064064</v>
      </c>
      <c r="E16" s="17">
        <f t="shared" si="0"/>
        <v>359584.5088501256</v>
      </c>
      <c r="F16" s="17">
        <f t="shared" si="5"/>
        <v>719169.01770025119</v>
      </c>
      <c r="G16" s="17">
        <f t="shared" si="1"/>
        <v>17260056.424806029</v>
      </c>
      <c r="H16" s="17">
        <f t="shared" si="2"/>
        <v>1656.9654167813787</v>
      </c>
      <c r="I16" s="18" t="str">
        <f t="shared" si="3"/>
        <v>-</v>
      </c>
      <c r="J16" s="16" t="s">
        <v>1288</v>
      </c>
    </row>
    <row r="17" spans="1:10" s="16" customFormat="1">
      <c r="A17" s="16" t="s">
        <v>1174</v>
      </c>
      <c r="B17" s="16" t="s">
        <v>8</v>
      </c>
      <c r="C17" s="16">
        <f>POWER(G_or_C,4)*0.5</f>
        <v>4.7438589558064065E-4</v>
      </c>
      <c r="D17" s="17">
        <f t="shared" si="4"/>
        <v>474.38589558064064</v>
      </c>
      <c r="E17" s="17">
        <f t="shared" si="0"/>
        <v>359584.5088501256</v>
      </c>
      <c r="F17" s="17">
        <f t="shared" si="5"/>
        <v>719169.01770025119</v>
      </c>
      <c r="G17" s="17">
        <f t="shared" si="1"/>
        <v>17260056.424806029</v>
      </c>
      <c r="H17" s="17">
        <f t="shared" si="2"/>
        <v>1656.9654167813787</v>
      </c>
      <c r="I17" s="18" t="str">
        <f t="shared" si="3"/>
        <v>-</v>
      </c>
      <c r="J17" s="16" t="s">
        <v>1289</v>
      </c>
    </row>
    <row r="18" spans="1:10" s="16" customFormat="1">
      <c r="A18" s="16" t="s">
        <v>1109</v>
      </c>
      <c r="B18" s="16" t="s">
        <v>38</v>
      </c>
      <c r="C18" s="16">
        <f>POWER(G_or_C,4)</f>
        <v>9.4877179116128129E-4</v>
      </c>
      <c r="D18" s="17">
        <f t="shared" si="4"/>
        <v>948.77179116128127</v>
      </c>
      <c r="E18" s="17">
        <f t="shared" si="0"/>
        <v>719169.01770025119</v>
      </c>
      <c r="F18" s="17">
        <f t="shared" si="5"/>
        <v>1438338.0354005024</v>
      </c>
      <c r="G18" s="17">
        <f t="shared" si="1"/>
        <v>34520112.849612057</v>
      </c>
      <c r="H18" s="17">
        <f t="shared" si="2"/>
        <v>3313.9308335627575</v>
      </c>
      <c r="I18" s="18" t="str">
        <f t="shared" si="3"/>
        <v>-</v>
      </c>
      <c r="J18" s="16" t="s">
        <v>1108</v>
      </c>
    </row>
    <row r="19" spans="1:10" s="16" customFormat="1">
      <c r="A19" s="16" t="s">
        <v>814</v>
      </c>
      <c r="B19" s="16" t="s">
        <v>27</v>
      </c>
      <c r="C19" s="16">
        <f>POWER(G_or_C,2)*POWER(A_or_T,2)</f>
        <v>3.2433653740815958E-3</v>
      </c>
      <c r="D19" s="17">
        <f t="shared" si="4"/>
        <v>3243.3653740815957</v>
      </c>
      <c r="E19" s="17">
        <f t="shared" si="0"/>
        <v>2458470.9535538494</v>
      </c>
      <c r="F19" s="17">
        <f t="shared" si="5"/>
        <v>4916941.9071076987</v>
      </c>
      <c r="G19" s="17">
        <f t="shared" si="1"/>
        <v>118006605.77058476</v>
      </c>
      <c r="H19" s="17">
        <f t="shared" si="2"/>
        <v>11328.634153976138</v>
      </c>
      <c r="I19" s="18" t="str">
        <f t="shared" si="3"/>
        <v>-</v>
      </c>
      <c r="J19" s="19" t="s">
        <v>1290</v>
      </c>
    </row>
    <row r="20" spans="1:10" s="16" customFormat="1">
      <c r="A20" s="16" t="s">
        <v>800</v>
      </c>
      <c r="B20" s="16" t="s">
        <v>7</v>
      </c>
      <c r="C20" s="16">
        <f>POWER(G_or_C,4)</f>
        <v>9.4877179116128129E-4</v>
      </c>
      <c r="D20" s="17">
        <f t="shared" si="4"/>
        <v>948.77179116128127</v>
      </c>
      <c r="E20" s="17">
        <f t="shared" si="0"/>
        <v>719169.01770025119</v>
      </c>
      <c r="F20" s="17">
        <f t="shared" si="5"/>
        <v>1438338.0354005024</v>
      </c>
      <c r="G20" s="17">
        <f t="shared" si="1"/>
        <v>34520112.849612057</v>
      </c>
      <c r="H20" s="17">
        <f t="shared" si="2"/>
        <v>3313.9308335627575</v>
      </c>
      <c r="I20" s="18" t="str">
        <f t="shared" si="3"/>
        <v>-</v>
      </c>
      <c r="J20" s="16" t="s">
        <v>799</v>
      </c>
    </row>
    <row r="21" spans="1:10" s="16" customFormat="1">
      <c r="A21" s="16" t="s">
        <v>1225</v>
      </c>
      <c r="B21" s="16" t="s">
        <v>13</v>
      </c>
      <c r="C21" s="16">
        <f>POWER(G_or_C,4)*0.25</f>
        <v>2.3719294779032032E-4</v>
      </c>
      <c r="D21" s="17">
        <f t="shared" si="4"/>
        <v>237.19294779032032</v>
      </c>
      <c r="E21" s="17">
        <f t="shared" si="0"/>
        <v>179792.2544250628</v>
      </c>
      <c r="F21" s="17">
        <f t="shared" si="5"/>
        <v>359584.5088501256</v>
      </c>
      <c r="G21" s="17">
        <f t="shared" si="1"/>
        <v>8630028.2124030143</v>
      </c>
      <c r="H21" s="17">
        <f t="shared" si="2"/>
        <v>828.48270839068937</v>
      </c>
      <c r="I21" s="18" t="str">
        <f t="shared" si="3"/>
        <v>-</v>
      </c>
      <c r="J21" s="16" t="s">
        <v>1224</v>
      </c>
    </row>
    <row r="22" spans="1:10" s="16" customFormat="1">
      <c r="A22" s="16" t="s">
        <v>1227</v>
      </c>
      <c r="B22" s="16" t="s">
        <v>23</v>
      </c>
      <c r="C22" s="16">
        <f>POWER(G_or_C,4)*0.5</f>
        <v>4.7438589558064065E-4</v>
      </c>
      <c r="D22" s="17">
        <f t="shared" si="4"/>
        <v>474.38589558064064</v>
      </c>
      <c r="E22" s="17">
        <f t="shared" si="0"/>
        <v>359584.5088501256</v>
      </c>
      <c r="F22" s="17">
        <f t="shared" si="5"/>
        <v>719169.01770025119</v>
      </c>
      <c r="G22" s="17">
        <f t="shared" si="1"/>
        <v>17260056.424806029</v>
      </c>
      <c r="H22" s="17">
        <f t="shared" si="2"/>
        <v>1656.9654167813787</v>
      </c>
      <c r="I22" s="18" t="str">
        <f t="shared" si="3"/>
        <v>-</v>
      </c>
      <c r="J22" s="16" t="s">
        <v>1226</v>
      </c>
    </row>
    <row r="23" spans="1:10" s="16" customFormat="1">
      <c r="A23" s="16" t="s">
        <v>1210</v>
      </c>
      <c r="B23" s="16" t="s">
        <v>1228</v>
      </c>
      <c r="C23" s="16">
        <f>POWER(G_or_C,2)*POWER(A_or_T,2)*0.25</f>
        <v>8.1084134352039895E-4</v>
      </c>
      <c r="D23" s="17">
        <f t="shared" si="4"/>
        <v>810.84134352039894</v>
      </c>
      <c r="E23" s="17">
        <f t="shared" si="0"/>
        <v>614617.73838846234</v>
      </c>
      <c r="F23" s="17">
        <f t="shared" si="5"/>
        <v>1229235.4767769247</v>
      </c>
      <c r="G23" s="17">
        <f t="shared" si="1"/>
        <v>29501651.442646191</v>
      </c>
      <c r="H23" s="17">
        <f t="shared" si="2"/>
        <v>2832.1585384940345</v>
      </c>
      <c r="I23" s="18" t="str">
        <f t="shared" si="3"/>
        <v>-</v>
      </c>
      <c r="J23" s="16" t="s">
        <v>1209</v>
      </c>
    </row>
    <row r="24" spans="1:10" s="16" customFormat="1">
      <c r="A24" s="16" t="s">
        <v>1205</v>
      </c>
      <c r="B24" s="16" t="s">
        <v>82</v>
      </c>
      <c r="C24" s="16">
        <f>POWER(G_or_C,2)*POWER(A_or_T,2)*0.5</f>
        <v>1.6216826870407979E-3</v>
      </c>
      <c r="D24" s="17">
        <f t="shared" si="4"/>
        <v>1621.6826870407979</v>
      </c>
      <c r="E24" s="17">
        <f t="shared" si="0"/>
        <v>1229235.4767769247</v>
      </c>
      <c r="F24" s="17">
        <f t="shared" si="5"/>
        <v>2458470.9535538494</v>
      </c>
      <c r="G24" s="17">
        <f t="shared" si="1"/>
        <v>59003302.885292381</v>
      </c>
      <c r="H24" s="17">
        <f t="shared" si="2"/>
        <v>5664.3170769880689</v>
      </c>
      <c r="I24" s="18" t="str">
        <f t="shared" si="3"/>
        <v>-</v>
      </c>
      <c r="J24" s="16" t="s">
        <v>1291</v>
      </c>
    </row>
    <row r="25" spans="1:10" s="16" customFormat="1">
      <c r="A25" s="16" t="s">
        <v>825</v>
      </c>
      <c r="B25" s="16" t="s">
        <v>21</v>
      </c>
      <c r="C25" s="16">
        <f>POWER(A_or_T,4)*POWER(G_or_C,2)</f>
        <v>3.4151585432789768E-4</v>
      </c>
      <c r="D25" s="17">
        <f t="shared" si="4"/>
        <v>341.51585432789767</v>
      </c>
      <c r="E25" s="17">
        <f t="shared" si="0"/>
        <v>258869.01758054644</v>
      </c>
      <c r="F25" s="17">
        <f t="shared" si="5"/>
        <v>517738.03516109288</v>
      </c>
      <c r="G25" s="17">
        <f t="shared" si="1"/>
        <v>12425712.843866229</v>
      </c>
      <c r="H25" s="17">
        <f t="shared" si="2"/>
        <v>1192.868433011158</v>
      </c>
      <c r="I25" s="18" t="str">
        <f t="shared" si="3"/>
        <v>-</v>
      </c>
      <c r="J25" s="16" t="s">
        <v>1292</v>
      </c>
    </row>
    <row r="26" spans="1:10" s="16" customFormat="1">
      <c r="A26" s="16" t="s">
        <v>907</v>
      </c>
      <c r="B26" s="16" t="s">
        <v>1229</v>
      </c>
      <c r="C26" s="16">
        <f>POWER(A_or_T,4)*POWER(G_or_C,2)</f>
        <v>3.4151585432789768E-4</v>
      </c>
      <c r="D26" s="17">
        <f t="shared" si="4"/>
        <v>341.51585432789767</v>
      </c>
      <c r="E26" s="17">
        <f t="shared" si="0"/>
        <v>258869.01758054644</v>
      </c>
      <c r="F26" s="17">
        <f t="shared" si="5"/>
        <v>517738.03516109288</v>
      </c>
      <c r="G26" s="17">
        <f t="shared" si="1"/>
        <v>12425712.843866229</v>
      </c>
      <c r="H26" s="17">
        <f t="shared" si="2"/>
        <v>1192.868433011158</v>
      </c>
      <c r="I26" s="18" t="str">
        <f t="shared" si="3"/>
        <v>-</v>
      </c>
      <c r="J26" s="16" t="s">
        <v>1293</v>
      </c>
    </row>
    <row r="27" spans="1:10" s="16" customFormat="1">
      <c r="A27" s="16" t="s">
        <v>788</v>
      </c>
      <c r="B27" s="16" t="s">
        <v>1230</v>
      </c>
      <c r="C27" s="16">
        <f>POWER(G_or_C,4)*POWER(A_or_T,2)</f>
        <v>9.9902592353599907E-5</v>
      </c>
      <c r="D27" s="17">
        <f t="shared" si="4"/>
        <v>99.902592353599914</v>
      </c>
      <c r="E27" s="17">
        <f t="shared" si="0"/>
        <v>75726.165004028735</v>
      </c>
      <c r="F27" s="17">
        <f t="shared" si="5"/>
        <v>151452.33000805747</v>
      </c>
      <c r="G27" s="17">
        <f t="shared" si="1"/>
        <v>3634855.9201933793</v>
      </c>
      <c r="H27" s="17">
        <f t="shared" si="2"/>
        <v>348.94616833856441</v>
      </c>
      <c r="I27" s="18" t="str">
        <f t="shared" si="3"/>
        <v>-</v>
      </c>
      <c r="J27" s="16" t="s">
        <v>1294</v>
      </c>
    </row>
    <row r="28" spans="1:10" s="16" customFormat="1">
      <c r="A28" s="16" t="s">
        <v>1189</v>
      </c>
      <c r="B28" s="16" t="s">
        <v>1231</v>
      </c>
      <c r="C28" s="16">
        <f>POWER(A_or_T,2)*POWER(G_or_C,4)*0.5</f>
        <v>4.9951296176799953E-5</v>
      </c>
      <c r="D28" s="17">
        <f t="shared" si="4"/>
        <v>49.951296176799957</v>
      </c>
      <c r="E28" s="17">
        <f t="shared" si="0"/>
        <v>37863.082502014367</v>
      </c>
      <c r="F28" s="17">
        <f t="shared" si="5"/>
        <v>75726.165004028735</v>
      </c>
      <c r="G28" s="17">
        <f t="shared" si="1"/>
        <v>1817427.9600966896</v>
      </c>
      <c r="H28" s="17">
        <f t="shared" si="2"/>
        <v>174.4730841692822</v>
      </c>
      <c r="I28" s="18" t="str">
        <f t="shared" si="3"/>
        <v>YES</v>
      </c>
      <c r="J28" s="16" t="s">
        <v>1295</v>
      </c>
    </row>
    <row r="29" spans="1:10" s="16" customFormat="1">
      <c r="A29" s="16" t="s">
        <v>823</v>
      </c>
      <c r="B29" s="16" t="s">
        <v>17</v>
      </c>
      <c r="C29" s="16">
        <f>POWER(G_or_C,4)*POWER(A_or_T,2)</f>
        <v>9.9902592353599907E-5</v>
      </c>
      <c r="D29" s="17">
        <f t="shared" si="4"/>
        <v>99.902592353599914</v>
      </c>
      <c r="E29" s="17">
        <f t="shared" si="0"/>
        <v>75726.165004028735</v>
      </c>
      <c r="F29" s="17">
        <f t="shared" si="5"/>
        <v>151452.33000805747</v>
      </c>
      <c r="G29" s="17">
        <f t="shared" si="1"/>
        <v>3634855.9201933793</v>
      </c>
      <c r="H29" s="17">
        <f t="shared" si="2"/>
        <v>348.94616833856441</v>
      </c>
      <c r="I29" s="18" t="str">
        <f t="shared" si="3"/>
        <v>-</v>
      </c>
      <c r="J29" s="16" t="s">
        <v>1296</v>
      </c>
    </row>
    <row r="30" spans="1:10" s="16" customFormat="1">
      <c r="A30" s="16" t="s">
        <v>584</v>
      </c>
      <c r="B30" s="16" t="s">
        <v>85</v>
      </c>
      <c r="C30" s="16">
        <f>POWER(G_or_C,2)*POWER(A_or_T,2)</f>
        <v>3.2433653740815958E-3</v>
      </c>
      <c r="D30" s="17">
        <f t="shared" si="4"/>
        <v>3243.3653740815957</v>
      </c>
      <c r="E30" s="17">
        <f t="shared" si="0"/>
        <v>2458470.9535538494</v>
      </c>
      <c r="F30" s="17">
        <f t="shared" si="5"/>
        <v>4916941.9071076987</v>
      </c>
      <c r="G30" s="17">
        <f t="shared" si="1"/>
        <v>118006605.77058476</v>
      </c>
      <c r="H30" s="17">
        <f t="shared" si="2"/>
        <v>11328.634153976138</v>
      </c>
      <c r="I30" s="18" t="str">
        <f t="shared" si="3"/>
        <v>-</v>
      </c>
      <c r="J30" s="16" t="s">
        <v>1297</v>
      </c>
    </row>
    <row r="31" spans="1:10" s="16" customFormat="1">
      <c r="A31" s="16" t="s">
        <v>786</v>
      </c>
      <c r="B31" s="16" t="s">
        <v>25</v>
      </c>
      <c r="C31" s="16">
        <f>POWER(G_or_C,2)*POWER(A_or_T,2)*POWER(0.5,2)</f>
        <v>8.1084134352039895E-4</v>
      </c>
      <c r="D31" s="17">
        <f t="shared" si="4"/>
        <v>810.84134352039894</v>
      </c>
      <c r="E31" s="17">
        <f t="shared" si="0"/>
        <v>614617.73838846234</v>
      </c>
      <c r="F31" s="17">
        <f t="shared" si="5"/>
        <v>1229235.4767769247</v>
      </c>
      <c r="G31" s="17">
        <f t="shared" si="1"/>
        <v>29501651.442646191</v>
      </c>
      <c r="H31" s="17">
        <f t="shared" si="2"/>
        <v>2832.1585384940345</v>
      </c>
      <c r="I31" s="18" t="str">
        <f t="shared" si="3"/>
        <v>-</v>
      </c>
      <c r="J31" s="16" t="s">
        <v>785</v>
      </c>
    </row>
    <row r="32" spans="1:10" s="16" customFormat="1">
      <c r="A32" s="16" t="s">
        <v>778</v>
      </c>
      <c r="B32" s="16" t="s">
        <v>1232</v>
      </c>
      <c r="C32" s="16">
        <f>POWER(A_or_T,4)*POWER(G_or_C,2)</f>
        <v>3.4151585432789768E-4</v>
      </c>
      <c r="D32" s="17">
        <f t="shared" si="4"/>
        <v>341.51585432789767</v>
      </c>
      <c r="E32" s="17">
        <f t="shared" si="0"/>
        <v>258869.01758054644</v>
      </c>
      <c r="F32" s="17">
        <f t="shared" si="5"/>
        <v>517738.03516109288</v>
      </c>
      <c r="G32" s="17">
        <f t="shared" si="1"/>
        <v>12425712.843866229</v>
      </c>
      <c r="H32" s="17">
        <f t="shared" si="2"/>
        <v>1192.868433011158</v>
      </c>
      <c r="I32" s="18" t="str">
        <f t="shared" si="3"/>
        <v>-</v>
      </c>
      <c r="J32" s="16" t="s">
        <v>1298</v>
      </c>
    </row>
    <row r="33" spans="1:10" s="16" customFormat="1">
      <c r="A33" s="16" t="s">
        <v>846</v>
      </c>
      <c r="B33" s="16" t="s">
        <v>60</v>
      </c>
      <c r="C33" s="16">
        <f>POWER(A_or_T,4)*POWER(G_or_C,2)</f>
        <v>3.4151585432789768E-4</v>
      </c>
      <c r="D33" s="17">
        <f t="shared" si="4"/>
        <v>341.51585432789767</v>
      </c>
      <c r="E33" s="17">
        <f t="shared" si="0"/>
        <v>258869.01758054644</v>
      </c>
      <c r="F33" s="17">
        <f t="shared" si="5"/>
        <v>517738.03516109288</v>
      </c>
      <c r="G33" s="17">
        <f t="shared" si="1"/>
        <v>12425712.843866229</v>
      </c>
      <c r="H33" s="17">
        <f t="shared" si="2"/>
        <v>1192.868433011158</v>
      </c>
      <c r="I33" s="18" t="str">
        <f t="shared" si="3"/>
        <v>-</v>
      </c>
      <c r="J33" s="16" t="s">
        <v>1299</v>
      </c>
    </row>
    <row r="34" spans="1:10" s="16" customFormat="1">
      <c r="A34" s="16" t="s">
        <v>1077</v>
      </c>
      <c r="B34" s="16" t="s">
        <v>32</v>
      </c>
      <c r="C34" s="16">
        <f>POWER(A_or_T,4)*POWER(G_or_C,2)</f>
        <v>3.4151585432789768E-4</v>
      </c>
      <c r="D34" s="17">
        <f t="shared" si="4"/>
        <v>341.51585432789767</v>
      </c>
      <c r="E34" s="17">
        <f t="shared" si="0"/>
        <v>258869.01758054644</v>
      </c>
      <c r="F34" s="17">
        <f t="shared" si="5"/>
        <v>517738.03516109288</v>
      </c>
      <c r="G34" s="17">
        <f t="shared" si="1"/>
        <v>12425712.843866229</v>
      </c>
      <c r="H34" s="17">
        <f t="shared" si="2"/>
        <v>1192.868433011158</v>
      </c>
      <c r="I34" s="18" t="str">
        <f t="shared" si="3"/>
        <v>-</v>
      </c>
      <c r="J34" s="16" t="s">
        <v>1076</v>
      </c>
    </row>
    <row r="35" spans="1:10" s="16" customFormat="1">
      <c r="A35" s="16" t="s">
        <v>488</v>
      </c>
      <c r="B35" s="16" t="s">
        <v>98</v>
      </c>
      <c r="C35" s="16">
        <f>POWER(A_or_T,4)*POWER(G_or_C,2)</f>
        <v>3.4151585432789768E-4</v>
      </c>
      <c r="D35" s="17">
        <f t="shared" si="4"/>
        <v>341.51585432789767</v>
      </c>
      <c r="E35" s="17">
        <f t="shared" si="0"/>
        <v>258869.01758054644</v>
      </c>
      <c r="F35" s="17">
        <f t="shared" si="5"/>
        <v>517738.03516109288</v>
      </c>
      <c r="G35" s="17">
        <f t="shared" si="1"/>
        <v>12425712.843866229</v>
      </c>
      <c r="H35" s="17">
        <f t="shared" si="2"/>
        <v>1192.868433011158</v>
      </c>
      <c r="I35" s="18" t="str">
        <f t="shared" si="3"/>
        <v>-</v>
      </c>
      <c r="J35" s="16" t="s">
        <v>1300</v>
      </c>
    </row>
    <row r="36" spans="1:10" s="16" customFormat="1">
      <c r="A36" s="16" t="s">
        <v>244</v>
      </c>
      <c r="B36" s="16" t="s">
        <v>85</v>
      </c>
      <c r="C36" s="16">
        <f>POWER(G_or_C,2)*POWER(A_or_T,2)</f>
        <v>3.2433653740815958E-3</v>
      </c>
      <c r="D36" s="17">
        <f t="shared" si="4"/>
        <v>3243.3653740815957</v>
      </c>
      <c r="E36" s="17">
        <f t="shared" si="0"/>
        <v>2458470.9535538494</v>
      </c>
      <c r="F36" s="17">
        <f t="shared" si="5"/>
        <v>4916941.9071076987</v>
      </c>
      <c r="G36" s="17">
        <f t="shared" si="1"/>
        <v>118006605.77058476</v>
      </c>
      <c r="H36" s="17">
        <f t="shared" si="2"/>
        <v>11328.634153976138</v>
      </c>
      <c r="I36" s="18" t="str">
        <f t="shared" si="3"/>
        <v>-</v>
      </c>
      <c r="J36" s="16" t="s">
        <v>1301</v>
      </c>
    </row>
    <row r="37" spans="1:10" s="16" customFormat="1">
      <c r="A37" s="16" t="s">
        <v>390</v>
      </c>
      <c r="B37" s="16" t="s">
        <v>84</v>
      </c>
      <c r="C37" s="16">
        <f>POWER(G_or_C,2)*POWER(A_or_T,2)*0.25</f>
        <v>8.1084134352039895E-4</v>
      </c>
      <c r="D37" s="17">
        <f t="shared" si="4"/>
        <v>810.84134352039894</v>
      </c>
      <c r="E37" s="17">
        <f t="shared" si="0"/>
        <v>614617.73838846234</v>
      </c>
      <c r="F37" s="17">
        <f t="shared" si="5"/>
        <v>1229235.4767769247</v>
      </c>
      <c r="G37" s="17">
        <f t="shared" si="1"/>
        <v>29501651.442646191</v>
      </c>
      <c r="H37" s="17">
        <f t="shared" si="2"/>
        <v>2832.1585384940345</v>
      </c>
      <c r="I37" s="18" t="str">
        <f t="shared" si="3"/>
        <v>-</v>
      </c>
      <c r="J37" s="16" t="s">
        <v>1302</v>
      </c>
    </row>
    <row r="38" spans="1:10" s="16" customFormat="1">
      <c r="A38" s="16" t="s">
        <v>751</v>
      </c>
      <c r="B38" s="16" t="s">
        <v>1233</v>
      </c>
      <c r="C38" s="16">
        <f>POWER(A_or_T,2)*POWER(G_or_C,4)*0.5</f>
        <v>4.9951296176799953E-5</v>
      </c>
      <c r="D38" s="17">
        <f t="shared" si="4"/>
        <v>49.951296176799957</v>
      </c>
      <c r="E38" s="17">
        <f t="shared" si="0"/>
        <v>37863.082502014367</v>
      </c>
      <c r="F38" s="17">
        <f t="shared" si="5"/>
        <v>75726.165004028735</v>
      </c>
      <c r="G38" s="17">
        <f t="shared" si="1"/>
        <v>1817427.9600966896</v>
      </c>
      <c r="H38" s="17">
        <f t="shared" si="2"/>
        <v>174.4730841692822</v>
      </c>
      <c r="I38" s="18" t="str">
        <f t="shared" si="3"/>
        <v>YES</v>
      </c>
      <c r="J38" s="16" t="s">
        <v>750</v>
      </c>
    </row>
    <row r="39" spans="1:10" s="16" customFormat="1">
      <c r="A39" s="16" t="s">
        <v>233</v>
      </c>
      <c r="B39" s="16" t="s">
        <v>1234</v>
      </c>
      <c r="C39" s="16">
        <f>POWER(A_or_T,2)*POWER(0.5,2)</f>
        <v>2.6324189147561173E-2</v>
      </c>
      <c r="D39" s="17">
        <f t="shared" si="4"/>
        <v>26324.189147561174</v>
      </c>
      <c r="E39" s="17">
        <f t="shared" si="0"/>
        <v>19953735.37385137</v>
      </c>
      <c r="F39" s="17">
        <f t="shared" si="5"/>
        <v>39907470.74770274</v>
      </c>
      <c r="G39" s="17">
        <f t="shared" si="1"/>
        <v>957779297.9448657</v>
      </c>
      <c r="H39" s="17">
        <f t="shared" si="2"/>
        <v>91946.812602707112</v>
      </c>
      <c r="I39" s="18" t="str">
        <f t="shared" si="3"/>
        <v>-</v>
      </c>
      <c r="J39" s="16" t="s">
        <v>232</v>
      </c>
    </row>
    <row r="40" spans="1:10" s="16" customFormat="1">
      <c r="A40" s="16" t="s">
        <v>483</v>
      </c>
      <c r="B40" s="16" t="s">
        <v>18</v>
      </c>
      <c r="C40" s="16">
        <f>POWER(A_or_T,4)*POWER(G_or_C,2)</f>
        <v>3.4151585432789768E-4</v>
      </c>
      <c r="D40" s="17">
        <f t="shared" si="4"/>
        <v>341.51585432789767</v>
      </c>
      <c r="E40" s="17">
        <f t="shared" si="0"/>
        <v>258869.01758054644</v>
      </c>
      <c r="F40" s="17">
        <f t="shared" si="5"/>
        <v>517738.03516109288</v>
      </c>
      <c r="G40" s="17">
        <f t="shared" si="1"/>
        <v>12425712.843866229</v>
      </c>
      <c r="H40" s="17">
        <f t="shared" si="2"/>
        <v>1192.868433011158</v>
      </c>
      <c r="I40" s="18" t="str">
        <f t="shared" si="3"/>
        <v>-</v>
      </c>
      <c r="J40" s="19" t="s">
        <v>1303</v>
      </c>
    </row>
    <row r="41" spans="1:10" s="16" customFormat="1">
      <c r="A41" s="16" t="s">
        <v>496</v>
      </c>
      <c r="B41" s="16" t="s">
        <v>71</v>
      </c>
      <c r="C41" s="16">
        <f>POWER(A_or_T,6)</f>
        <v>1.1674679906653201E-3</v>
      </c>
      <c r="D41" s="17">
        <f t="shared" si="4"/>
        <v>1167.46799066532</v>
      </c>
      <c r="E41" s="17">
        <f t="shared" si="0"/>
        <v>884940.73692431254</v>
      </c>
      <c r="F41" s="17">
        <f t="shared" si="5"/>
        <v>1769881.4738486251</v>
      </c>
      <c r="G41" s="17">
        <f t="shared" si="1"/>
        <v>42477155.372367002</v>
      </c>
      <c r="H41" s="17">
        <f t="shared" si="2"/>
        <v>4077.8069157472323</v>
      </c>
      <c r="I41" s="18" t="str">
        <f t="shared" si="3"/>
        <v>-</v>
      </c>
      <c r="J41" s="16" t="s">
        <v>1304</v>
      </c>
    </row>
    <row r="42" spans="1:10" s="16" customFormat="1">
      <c r="A42" s="16" t="s">
        <v>122</v>
      </c>
      <c r="B42" s="16" t="s">
        <v>32</v>
      </c>
      <c r="C42" s="16">
        <f>POWER(A_or_T,4)*POWER(G_or_C,2)</f>
        <v>3.4151585432789768E-4</v>
      </c>
      <c r="D42" s="17">
        <f t="shared" si="4"/>
        <v>341.51585432789767</v>
      </c>
      <c r="E42" s="17">
        <f t="shared" si="0"/>
        <v>258869.01758054644</v>
      </c>
      <c r="F42" s="17">
        <f t="shared" si="5"/>
        <v>517738.03516109288</v>
      </c>
      <c r="G42" s="17">
        <f t="shared" si="1"/>
        <v>12425712.843866229</v>
      </c>
      <c r="H42" s="17">
        <f t="shared" si="2"/>
        <v>1192.868433011158</v>
      </c>
      <c r="I42" s="18" t="str">
        <f t="shared" si="3"/>
        <v>-</v>
      </c>
      <c r="J42" s="16" t="s">
        <v>1305</v>
      </c>
    </row>
    <row r="43" spans="1:10" s="16" customFormat="1">
      <c r="A43" s="16" t="s">
        <v>1025</v>
      </c>
      <c r="B43" s="16" t="s">
        <v>1235</v>
      </c>
      <c r="C43" s="16">
        <f>POWER(A_or_T,4)*POWER(G_or_C,2)</f>
        <v>3.4151585432789768E-4</v>
      </c>
      <c r="D43" s="17">
        <f t="shared" si="4"/>
        <v>341.51585432789767</v>
      </c>
      <c r="E43" s="17">
        <f t="shared" si="0"/>
        <v>258869.01758054644</v>
      </c>
      <c r="F43" s="17">
        <f t="shared" si="5"/>
        <v>517738.03516109288</v>
      </c>
      <c r="G43" s="17">
        <f t="shared" si="1"/>
        <v>12425712.843866229</v>
      </c>
      <c r="H43" s="17">
        <f t="shared" si="2"/>
        <v>1192.868433011158</v>
      </c>
      <c r="I43" s="18" t="str">
        <f t="shared" si="3"/>
        <v>-</v>
      </c>
      <c r="J43" s="16" t="s">
        <v>1306</v>
      </c>
    </row>
    <row r="44" spans="1:10" s="16" customFormat="1">
      <c r="A44" s="16" t="s">
        <v>561</v>
      </c>
      <c r="B44" s="16" t="s">
        <v>77</v>
      </c>
      <c r="C44" s="16">
        <f>POWER(G_or_C,2)*POWER(A_or_T,2)</f>
        <v>3.2433653740815958E-3</v>
      </c>
      <c r="D44" s="17">
        <f t="shared" si="4"/>
        <v>3243.3653740815957</v>
      </c>
      <c r="E44" s="17">
        <f t="shared" si="0"/>
        <v>2458470.9535538494</v>
      </c>
      <c r="F44" s="17">
        <f t="shared" si="5"/>
        <v>4916941.9071076987</v>
      </c>
      <c r="G44" s="17">
        <f t="shared" si="1"/>
        <v>118006605.77058476</v>
      </c>
      <c r="H44" s="17">
        <f t="shared" si="2"/>
        <v>11328.634153976138</v>
      </c>
      <c r="I44" s="18" t="str">
        <f t="shared" si="3"/>
        <v>-</v>
      </c>
      <c r="J44" s="16" t="s">
        <v>560</v>
      </c>
    </row>
    <row r="45" spans="1:10" s="16" customFormat="1">
      <c r="A45" s="16" t="s">
        <v>887</v>
      </c>
      <c r="B45" s="16" t="s">
        <v>29</v>
      </c>
      <c r="C45" s="16">
        <f>POWER(A_or_T,2)*POWER(G_or_C,4)</f>
        <v>9.9902592353599907E-5</v>
      </c>
      <c r="D45" s="17">
        <f t="shared" si="4"/>
        <v>99.902592353599914</v>
      </c>
      <c r="E45" s="17">
        <f t="shared" ref="E45:E76" si="6">C45*1000000*megabases_genome</f>
        <v>75726.165004028735</v>
      </c>
      <c r="F45" s="17">
        <f t="shared" si="5"/>
        <v>151452.33000805747</v>
      </c>
      <c r="G45" s="17">
        <f t="shared" ref="G45:G76" si="7">F45*fold_coverage</f>
        <v>3634855.9201933793</v>
      </c>
      <c r="H45" s="17">
        <f t="shared" ref="H45:H76" si="8">G45*plexity/1000000</f>
        <v>348.94616833856441</v>
      </c>
      <c r="I45" s="18" t="str">
        <f t="shared" ref="I45:I76" si="9">IF(H45/million_reads_per_lane&lt;1, "YES","-")</f>
        <v>-</v>
      </c>
      <c r="J45" s="16" t="s">
        <v>1307</v>
      </c>
    </row>
    <row r="46" spans="1:10" s="16" customFormat="1">
      <c r="A46" s="16" t="s">
        <v>792</v>
      </c>
      <c r="B46" s="16" t="s">
        <v>87</v>
      </c>
      <c r="C46" s="16">
        <f>POWER(G_or_C,6)</f>
        <v>2.922420096311842E-5</v>
      </c>
      <c r="D46" s="17">
        <f t="shared" si="4"/>
        <v>29.22420096311842</v>
      </c>
      <c r="E46" s="17">
        <f t="shared" si="6"/>
        <v>22151.944330043763</v>
      </c>
      <c r="F46" s="17">
        <f t="shared" si="5"/>
        <v>44303.888660087527</v>
      </c>
      <c r="G46" s="17">
        <f t="shared" si="7"/>
        <v>1063293.3278421005</v>
      </c>
      <c r="H46" s="17">
        <f t="shared" si="8"/>
        <v>102.07615947284165</v>
      </c>
      <c r="I46" s="18" t="str">
        <f t="shared" si="9"/>
        <v>YES</v>
      </c>
      <c r="J46" s="16" t="s">
        <v>1308</v>
      </c>
    </row>
    <row r="47" spans="1:10" s="16" customFormat="1">
      <c r="A47" s="16" t="s">
        <v>514</v>
      </c>
      <c r="B47" s="16" t="s">
        <v>24</v>
      </c>
      <c r="C47" s="16">
        <f>POWER(G_or_C,4)</f>
        <v>9.4877179116128129E-4</v>
      </c>
      <c r="D47" s="17">
        <f t="shared" si="4"/>
        <v>948.77179116128127</v>
      </c>
      <c r="E47" s="17">
        <f t="shared" si="6"/>
        <v>719169.01770025119</v>
      </c>
      <c r="F47" s="17">
        <f t="shared" si="5"/>
        <v>1438338.0354005024</v>
      </c>
      <c r="G47" s="17">
        <f t="shared" si="7"/>
        <v>34520112.849612057</v>
      </c>
      <c r="H47" s="17">
        <f t="shared" si="8"/>
        <v>3313.9308335627575</v>
      </c>
      <c r="I47" s="18" t="str">
        <f t="shared" si="9"/>
        <v>-</v>
      </c>
      <c r="J47" s="16" t="s">
        <v>1309</v>
      </c>
    </row>
    <row r="48" spans="1:10" s="16" customFormat="1">
      <c r="A48" s="16" t="s">
        <v>859</v>
      </c>
      <c r="B48" s="16" t="s">
        <v>65</v>
      </c>
      <c r="C48" s="16">
        <f>POWER(G_or_C,4)*POWER(0.25,2)</f>
        <v>5.9298236947580081E-5</v>
      </c>
      <c r="D48" s="17">
        <f t="shared" si="4"/>
        <v>59.298236947580079</v>
      </c>
      <c r="E48" s="17">
        <f t="shared" si="6"/>
        <v>44948.063606265699</v>
      </c>
      <c r="F48" s="17">
        <f t="shared" si="5"/>
        <v>89896.127212531399</v>
      </c>
      <c r="G48" s="17">
        <f t="shared" si="7"/>
        <v>2157507.0531007536</v>
      </c>
      <c r="H48" s="17">
        <f t="shared" si="8"/>
        <v>207.12067709767234</v>
      </c>
      <c r="I48" s="18" t="str">
        <f t="shared" si="9"/>
        <v>-</v>
      </c>
      <c r="J48" s="16" t="s">
        <v>1310</v>
      </c>
    </row>
    <row r="49" spans="1:10" s="16" customFormat="1">
      <c r="A49" s="16" t="s">
        <v>930</v>
      </c>
      <c r="B49" s="16" t="s">
        <v>1236</v>
      </c>
      <c r="C49" s="16">
        <f>(POWER(G_or_C,4))*POWER(0.5,2)</f>
        <v>2.3719294779032032E-4</v>
      </c>
      <c r="D49" s="17">
        <f t="shared" si="4"/>
        <v>237.19294779032032</v>
      </c>
      <c r="E49" s="17">
        <f t="shared" si="6"/>
        <v>179792.2544250628</v>
      </c>
      <c r="F49" s="17">
        <f t="shared" si="5"/>
        <v>359584.5088501256</v>
      </c>
      <c r="G49" s="17">
        <f t="shared" si="7"/>
        <v>8630028.2124030143</v>
      </c>
      <c r="H49" s="17">
        <f t="shared" si="8"/>
        <v>828.48270839068937</v>
      </c>
      <c r="I49" s="18" t="str">
        <f t="shared" si="9"/>
        <v>-</v>
      </c>
      <c r="J49" s="16" t="s">
        <v>1311</v>
      </c>
    </row>
    <row r="50" spans="1:10" s="16" customFormat="1">
      <c r="A50" s="16" t="s">
        <v>812</v>
      </c>
      <c r="B50" s="16" t="s">
        <v>1237</v>
      </c>
      <c r="C50" s="16">
        <f>POWER(A_or_T,2)*POWER(G_or_C,4)</f>
        <v>9.9902592353599907E-5</v>
      </c>
      <c r="D50" s="17">
        <f t="shared" si="4"/>
        <v>99.902592353599914</v>
      </c>
      <c r="E50" s="17">
        <f t="shared" si="6"/>
        <v>75726.165004028735</v>
      </c>
      <c r="F50" s="17">
        <f t="shared" si="5"/>
        <v>151452.33000805747</v>
      </c>
      <c r="G50" s="17">
        <f t="shared" si="7"/>
        <v>3634855.9201933793</v>
      </c>
      <c r="H50" s="17">
        <f t="shared" si="8"/>
        <v>348.94616833856441</v>
      </c>
      <c r="I50" s="18" t="str">
        <f t="shared" si="9"/>
        <v>-</v>
      </c>
      <c r="J50" s="16" t="s">
        <v>1312</v>
      </c>
    </row>
    <row r="51" spans="1:10" s="16" customFormat="1">
      <c r="A51" s="16" t="s">
        <v>878</v>
      </c>
      <c r="B51" s="16" t="s">
        <v>68</v>
      </c>
      <c r="C51" s="16">
        <f>POWER(G_or_C,4)*POWER(0.5,2)</f>
        <v>2.3719294779032032E-4</v>
      </c>
      <c r="D51" s="17">
        <f t="shared" si="4"/>
        <v>237.19294779032032</v>
      </c>
      <c r="E51" s="17">
        <f t="shared" si="6"/>
        <v>179792.2544250628</v>
      </c>
      <c r="F51" s="17">
        <f t="shared" si="5"/>
        <v>359584.5088501256</v>
      </c>
      <c r="G51" s="17">
        <f t="shared" si="7"/>
        <v>8630028.2124030143</v>
      </c>
      <c r="H51" s="17">
        <f t="shared" si="8"/>
        <v>828.48270839068937</v>
      </c>
      <c r="I51" s="18" t="str">
        <f t="shared" si="9"/>
        <v>-</v>
      </c>
      <c r="J51" s="16" t="s">
        <v>1313</v>
      </c>
    </row>
    <row r="52" spans="1:10" s="16" customFormat="1">
      <c r="A52" s="16" t="s">
        <v>759</v>
      </c>
      <c r="B52" s="16" t="s">
        <v>64</v>
      </c>
      <c r="C52" s="16">
        <f>POWER(G_or_C,6)</f>
        <v>2.922420096311842E-5</v>
      </c>
      <c r="D52" s="17">
        <f t="shared" si="4"/>
        <v>29.22420096311842</v>
      </c>
      <c r="E52" s="17">
        <f t="shared" si="6"/>
        <v>22151.944330043763</v>
      </c>
      <c r="F52" s="17">
        <f t="shared" si="5"/>
        <v>44303.888660087527</v>
      </c>
      <c r="G52" s="17">
        <f t="shared" si="7"/>
        <v>1063293.3278421005</v>
      </c>
      <c r="H52" s="17">
        <f t="shared" si="8"/>
        <v>102.07615947284165</v>
      </c>
      <c r="I52" s="18" t="str">
        <f t="shared" si="9"/>
        <v>YES</v>
      </c>
      <c r="J52" s="16" t="s">
        <v>1314</v>
      </c>
    </row>
    <row r="53" spans="1:10" s="16" customFormat="1">
      <c r="A53" s="16" t="s">
        <v>857</v>
      </c>
      <c r="B53" s="16" t="s">
        <v>63</v>
      </c>
      <c r="C53" s="16">
        <f>POWER(A_or_T,2)*POWER(G_or_C,4)</f>
        <v>9.9902592353599907E-5</v>
      </c>
      <c r="D53" s="17">
        <f t="shared" si="4"/>
        <v>99.902592353599914</v>
      </c>
      <c r="E53" s="17">
        <f t="shared" si="6"/>
        <v>75726.165004028735</v>
      </c>
      <c r="F53" s="17">
        <f t="shared" si="5"/>
        <v>151452.33000805747</v>
      </c>
      <c r="G53" s="17">
        <f t="shared" si="7"/>
        <v>3634855.9201933793</v>
      </c>
      <c r="H53" s="17">
        <f t="shared" si="8"/>
        <v>348.94616833856441</v>
      </c>
      <c r="I53" s="18" t="str">
        <f t="shared" si="9"/>
        <v>-</v>
      </c>
      <c r="J53" s="16" t="s">
        <v>1315</v>
      </c>
    </row>
    <row r="54" spans="1:10" s="16" customFormat="1">
      <c r="A54" s="16" t="s">
        <v>517</v>
      </c>
      <c r="B54" s="16" t="s">
        <v>78</v>
      </c>
      <c r="C54" s="16">
        <f>POWER(G_or_C,2)*POWER(A_or_T,2)</f>
        <v>3.2433653740815958E-3</v>
      </c>
      <c r="D54" s="17">
        <f t="shared" si="4"/>
        <v>3243.3653740815957</v>
      </c>
      <c r="E54" s="17">
        <f t="shared" si="6"/>
        <v>2458470.9535538494</v>
      </c>
      <c r="F54" s="17">
        <f t="shared" si="5"/>
        <v>4916941.9071076987</v>
      </c>
      <c r="G54" s="17">
        <f t="shared" si="7"/>
        <v>118006605.77058476</v>
      </c>
      <c r="H54" s="17">
        <f t="shared" si="8"/>
        <v>11328.634153976138</v>
      </c>
      <c r="I54" s="18" t="str">
        <f t="shared" si="9"/>
        <v>-</v>
      </c>
      <c r="J54" s="16" t="s">
        <v>1316</v>
      </c>
    </row>
    <row r="55" spans="1:10" s="20" customFormat="1">
      <c r="A55" s="20" t="s">
        <v>766</v>
      </c>
      <c r="B55" s="20" t="s">
        <v>11</v>
      </c>
      <c r="C55" s="20">
        <f>POWER(G_or_C,5)*A_or_T</f>
        <v>5.4033077236800983E-5</v>
      </c>
      <c r="D55" s="17">
        <f t="shared" si="4"/>
        <v>54.033077236800985</v>
      </c>
      <c r="E55" s="17">
        <f t="shared" si="6"/>
        <v>40957.072545495146</v>
      </c>
      <c r="F55" s="17">
        <f t="shared" si="5"/>
        <v>81914.145090990292</v>
      </c>
      <c r="G55" s="17">
        <f t="shared" si="7"/>
        <v>1965939.482183767</v>
      </c>
      <c r="H55" s="17">
        <f t="shared" si="8"/>
        <v>188.73019028964163</v>
      </c>
      <c r="I55" s="21" t="str">
        <f t="shared" si="9"/>
        <v>YES</v>
      </c>
      <c r="J55" s="20" t="s">
        <v>1317</v>
      </c>
    </row>
    <row r="56" spans="1:10" s="16" customFormat="1">
      <c r="A56" s="16" t="s">
        <v>681</v>
      </c>
      <c r="B56" s="16" t="s">
        <v>47</v>
      </c>
      <c r="C56" s="16">
        <f>POWER(G_or_C,2)*POWER(A_or_T,2)*0.25</f>
        <v>8.1084134352039895E-4</v>
      </c>
      <c r="D56" s="17">
        <f t="shared" si="4"/>
        <v>810.84134352039894</v>
      </c>
      <c r="E56" s="17">
        <f t="shared" si="6"/>
        <v>614617.73838846234</v>
      </c>
      <c r="F56" s="17">
        <f t="shared" si="5"/>
        <v>1229235.4767769247</v>
      </c>
      <c r="G56" s="17">
        <f t="shared" si="7"/>
        <v>29501651.442646191</v>
      </c>
      <c r="H56" s="17">
        <f t="shared" si="8"/>
        <v>2832.1585384940345</v>
      </c>
      <c r="I56" s="18" t="str">
        <f t="shared" si="9"/>
        <v>-</v>
      </c>
      <c r="J56" s="16" t="s">
        <v>1318</v>
      </c>
    </row>
    <row r="57" spans="1:10" s="16" customFormat="1">
      <c r="A57" s="16" t="s">
        <v>838</v>
      </c>
      <c r="B57" s="16" t="s">
        <v>40</v>
      </c>
      <c r="C57" s="16">
        <f>POWER(G_or_C,2)*POWER(A_or_T,2)*POWER(0.5,2)</f>
        <v>8.1084134352039895E-4</v>
      </c>
      <c r="D57" s="17">
        <f t="shared" si="4"/>
        <v>810.84134352039894</v>
      </c>
      <c r="E57" s="17">
        <f t="shared" si="6"/>
        <v>614617.73838846234</v>
      </c>
      <c r="F57" s="17">
        <f t="shared" si="5"/>
        <v>1229235.4767769247</v>
      </c>
      <c r="G57" s="17">
        <f t="shared" si="7"/>
        <v>29501651.442646191</v>
      </c>
      <c r="H57" s="17">
        <f t="shared" si="8"/>
        <v>2832.1585384940345</v>
      </c>
      <c r="I57" s="18" t="str">
        <f t="shared" si="9"/>
        <v>-</v>
      </c>
      <c r="J57" s="16" t="s">
        <v>1319</v>
      </c>
    </row>
    <row r="58" spans="1:10" s="16" customFormat="1">
      <c r="A58" s="16" t="s">
        <v>784</v>
      </c>
      <c r="B58" s="16" t="s">
        <v>52</v>
      </c>
      <c r="C58" s="16">
        <f>POWER(A_or_T,4)*POWER(G_or_C,2)</f>
        <v>3.4151585432789768E-4</v>
      </c>
      <c r="D58" s="17">
        <f t="shared" si="4"/>
        <v>341.51585432789767</v>
      </c>
      <c r="E58" s="17">
        <f t="shared" si="6"/>
        <v>258869.01758054644</v>
      </c>
      <c r="F58" s="17">
        <f t="shared" si="5"/>
        <v>517738.03516109288</v>
      </c>
      <c r="G58" s="17">
        <f t="shared" si="7"/>
        <v>12425712.843866229</v>
      </c>
      <c r="H58" s="17">
        <f t="shared" si="8"/>
        <v>1192.868433011158</v>
      </c>
      <c r="I58" s="18" t="str">
        <f t="shared" si="9"/>
        <v>-</v>
      </c>
      <c r="J58" s="16" t="s">
        <v>1320</v>
      </c>
    </row>
    <row r="59" spans="1:10" s="16" customFormat="1">
      <c r="A59" s="16" t="s">
        <v>1121</v>
      </c>
      <c r="B59" s="16" t="s">
        <v>93</v>
      </c>
      <c r="C59" s="16">
        <f>POWER(G_or_C,2)*POWER(A_or_T,2)*POWER(0.5,2)</f>
        <v>8.1084134352039895E-4</v>
      </c>
      <c r="D59" s="17">
        <f t="shared" si="4"/>
        <v>810.84134352039894</v>
      </c>
      <c r="E59" s="17">
        <f t="shared" si="6"/>
        <v>614617.73838846234</v>
      </c>
      <c r="F59" s="17">
        <f t="shared" si="5"/>
        <v>1229235.4767769247</v>
      </c>
      <c r="G59" s="17">
        <f t="shared" si="7"/>
        <v>29501651.442646191</v>
      </c>
      <c r="H59" s="17">
        <f t="shared" si="8"/>
        <v>2832.1585384940345</v>
      </c>
      <c r="I59" s="18" t="str">
        <f t="shared" si="9"/>
        <v>-</v>
      </c>
      <c r="J59" s="16" t="s">
        <v>1321</v>
      </c>
    </row>
    <row r="60" spans="1:10" s="16" customFormat="1">
      <c r="A60" s="16" t="s">
        <v>797</v>
      </c>
      <c r="B60" s="16" t="s">
        <v>9</v>
      </c>
      <c r="C60" s="16">
        <f>POWER(G_or_C,4)*POWER(0.5,2)</f>
        <v>2.3719294779032032E-4</v>
      </c>
      <c r="D60" s="17">
        <f t="shared" si="4"/>
        <v>237.19294779032032</v>
      </c>
      <c r="E60" s="17">
        <f t="shared" si="6"/>
        <v>179792.2544250628</v>
      </c>
      <c r="F60" s="17">
        <f t="shared" si="5"/>
        <v>359584.5088501256</v>
      </c>
      <c r="G60" s="17">
        <f t="shared" si="7"/>
        <v>8630028.2124030143</v>
      </c>
      <c r="H60" s="17">
        <f t="shared" si="8"/>
        <v>828.48270839068937</v>
      </c>
      <c r="I60" s="18" t="str">
        <f t="shared" si="9"/>
        <v>-</v>
      </c>
      <c r="J60" s="16" t="s">
        <v>1322</v>
      </c>
    </row>
    <row r="61" spans="1:10" s="16" customFormat="1">
      <c r="A61" s="16" t="s">
        <v>565</v>
      </c>
      <c r="B61" s="16" t="s">
        <v>94</v>
      </c>
      <c r="C61" s="16">
        <f>POWER(A_or_T,4)*POWER(G_or_C,2)</f>
        <v>3.4151585432789768E-4</v>
      </c>
      <c r="D61" s="17">
        <f t="shared" si="4"/>
        <v>341.51585432789767</v>
      </c>
      <c r="E61" s="17">
        <f t="shared" si="6"/>
        <v>258869.01758054644</v>
      </c>
      <c r="F61" s="17">
        <f t="shared" si="5"/>
        <v>517738.03516109288</v>
      </c>
      <c r="G61" s="17">
        <f t="shared" si="7"/>
        <v>12425712.843866229</v>
      </c>
      <c r="H61" s="17">
        <f t="shared" si="8"/>
        <v>1192.868433011158</v>
      </c>
      <c r="I61" s="18" t="str">
        <f t="shared" si="9"/>
        <v>-</v>
      </c>
      <c r="J61" s="16" t="s">
        <v>1323</v>
      </c>
    </row>
    <row r="62" spans="1:10" s="16" customFormat="1">
      <c r="A62" s="16" t="s">
        <v>256</v>
      </c>
      <c r="B62" s="16" t="s">
        <v>1238</v>
      </c>
      <c r="C62" s="16">
        <f>POWER(A_or_T,2)*POWER(G_or_C,4)*POWER(0.25,3)</f>
        <v>1.5609780055249985E-6</v>
      </c>
      <c r="D62" s="17">
        <f t="shared" si="4"/>
        <v>1.5609780055249987</v>
      </c>
      <c r="E62" s="17">
        <f t="shared" si="6"/>
        <v>1183.221328187949</v>
      </c>
      <c r="F62" s="17">
        <f t="shared" si="5"/>
        <v>2366.442656375898</v>
      </c>
      <c r="G62" s="17">
        <f t="shared" si="7"/>
        <v>56794.623753021551</v>
      </c>
      <c r="H62" s="17">
        <f t="shared" si="8"/>
        <v>5.4522838802900688</v>
      </c>
      <c r="I62" s="18" t="str">
        <f t="shared" si="9"/>
        <v>YES</v>
      </c>
      <c r="J62" s="16" t="s">
        <v>1324</v>
      </c>
    </row>
    <row r="63" spans="1:10" s="16" customFormat="1">
      <c r="A63" s="16" t="s">
        <v>260</v>
      </c>
      <c r="B63" s="16" t="s">
        <v>1239</v>
      </c>
      <c r="C63" s="16">
        <f>POWER(A_or_T,2)*POWER(G_or_C,4)*POWER(0.25,3)</f>
        <v>1.5609780055249985E-6</v>
      </c>
      <c r="D63" s="17">
        <f t="shared" si="4"/>
        <v>1.5609780055249987</v>
      </c>
      <c r="E63" s="17">
        <f t="shared" si="6"/>
        <v>1183.221328187949</v>
      </c>
      <c r="F63" s="17">
        <f t="shared" si="5"/>
        <v>2366.442656375898</v>
      </c>
      <c r="G63" s="17">
        <f t="shared" si="7"/>
        <v>56794.623753021551</v>
      </c>
      <c r="H63" s="17">
        <f t="shared" si="8"/>
        <v>5.4522838802900688</v>
      </c>
      <c r="I63" s="18" t="str">
        <f t="shared" si="9"/>
        <v>YES</v>
      </c>
      <c r="J63" s="16" t="s">
        <v>1325</v>
      </c>
    </row>
    <row r="64" spans="1:10" s="16" customFormat="1">
      <c r="A64" s="16" t="s">
        <v>181</v>
      </c>
      <c r="B64" s="16" t="s">
        <v>77</v>
      </c>
      <c r="C64" s="16">
        <f>POWER(G_or_C,2)*POWER(A_or_T,2)</f>
        <v>3.2433653740815958E-3</v>
      </c>
      <c r="D64" s="17">
        <f t="shared" si="4"/>
        <v>3243.3653740815957</v>
      </c>
      <c r="E64" s="17">
        <f t="shared" si="6"/>
        <v>2458470.9535538494</v>
      </c>
      <c r="F64" s="17">
        <f t="shared" si="5"/>
        <v>4916941.9071076987</v>
      </c>
      <c r="G64" s="17">
        <f t="shared" si="7"/>
        <v>118006605.77058476</v>
      </c>
      <c r="H64" s="17">
        <f t="shared" si="8"/>
        <v>11328.634153976138</v>
      </c>
      <c r="I64" s="18" t="str">
        <f t="shared" si="9"/>
        <v>-</v>
      </c>
      <c r="J64" s="16" t="s">
        <v>1326</v>
      </c>
    </row>
    <row r="65" spans="1:10" s="16" customFormat="1">
      <c r="A65" s="16" t="s">
        <v>730</v>
      </c>
      <c r="B65" s="16" t="s">
        <v>1240</v>
      </c>
      <c r="C65" s="16">
        <f>POWER(G_or_C,6)*0.5</f>
        <v>1.461210048155921E-5</v>
      </c>
      <c r="D65" s="17">
        <f t="shared" si="4"/>
        <v>14.61210048155921</v>
      </c>
      <c r="E65" s="17">
        <f t="shared" si="6"/>
        <v>11075.972165021882</v>
      </c>
      <c r="F65" s="17">
        <f t="shared" si="5"/>
        <v>22151.944330043763</v>
      </c>
      <c r="G65" s="17">
        <f t="shared" si="7"/>
        <v>531646.66392105026</v>
      </c>
      <c r="H65" s="17">
        <f t="shared" si="8"/>
        <v>51.038079736420826</v>
      </c>
      <c r="I65" s="18" t="str">
        <f t="shared" si="9"/>
        <v>YES</v>
      </c>
      <c r="J65" s="16" t="s">
        <v>729</v>
      </c>
    </row>
    <row r="66" spans="1:10" s="16" customFormat="1">
      <c r="A66" s="16" t="s">
        <v>425</v>
      </c>
      <c r="B66" s="16" t="s">
        <v>51</v>
      </c>
      <c r="C66" s="16">
        <f>POWER(G_or_C,4)*0.25</f>
        <v>2.3719294779032032E-4</v>
      </c>
      <c r="D66" s="17">
        <f t="shared" si="4"/>
        <v>237.19294779032032</v>
      </c>
      <c r="E66" s="17">
        <f t="shared" si="6"/>
        <v>179792.2544250628</v>
      </c>
      <c r="F66" s="17">
        <f t="shared" si="5"/>
        <v>359584.5088501256</v>
      </c>
      <c r="G66" s="17">
        <f t="shared" si="7"/>
        <v>8630028.2124030143</v>
      </c>
      <c r="H66" s="17">
        <f t="shared" si="8"/>
        <v>828.48270839068937</v>
      </c>
      <c r="I66" s="18" t="str">
        <f t="shared" si="9"/>
        <v>-</v>
      </c>
      <c r="J66" s="16" t="s">
        <v>1327</v>
      </c>
    </row>
    <row r="67" spans="1:10" s="16" customFormat="1">
      <c r="A67" s="16" t="s">
        <v>409</v>
      </c>
      <c r="B67" s="16" t="s">
        <v>20</v>
      </c>
      <c r="C67" s="16">
        <f>POWER(G_or_C,4)*0.5</f>
        <v>4.7438589558064065E-4</v>
      </c>
      <c r="D67" s="17">
        <f t="shared" si="4"/>
        <v>474.38589558064064</v>
      </c>
      <c r="E67" s="17">
        <f t="shared" si="6"/>
        <v>359584.5088501256</v>
      </c>
      <c r="F67" s="17">
        <f t="shared" si="5"/>
        <v>719169.01770025119</v>
      </c>
      <c r="G67" s="17">
        <f t="shared" si="7"/>
        <v>17260056.424806029</v>
      </c>
      <c r="H67" s="17">
        <f t="shared" si="8"/>
        <v>1656.9654167813787</v>
      </c>
      <c r="I67" s="18" t="str">
        <f t="shared" si="9"/>
        <v>-</v>
      </c>
      <c r="J67" s="16" t="s">
        <v>1328</v>
      </c>
    </row>
    <row r="68" spans="1:10" s="16" customFormat="1">
      <c r="A68" s="16" t="s">
        <v>768</v>
      </c>
      <c r="B68" s="16" t="s">
        <v>1241</v>
      </c>
      <c r="C68" s="16">
        <f>POWER(A_or_T,2)*POWER(G_or_C,6)</f>
        <v>3.077213575357875E-6</v>
      </c>
      <c r="D68" s="17">
        <f t="shared" si="4"/>
        <v>3.0772135753578751</v>
      </c>
      <c r="E68" s="17">
        <f t="shared" si="6"/>
        <v>2332.5278901212691</v>
      </c>
      <c r="F68" s="17">
        <f t="shared" si="5"/>
        <v>4665.0557802425383</v>
      </c>
      <c r="G68" s="17">
        <f t="shared" si="7"/>
        <v>111961.33872582091</v>
      </c>
      <c r="H68" s="17">
        <f t="shared" si="8"/>
        <v>10.748288517678809</v>
      </c>
      <c r="I68" s="18" t="str">
        <f t="shared" si="9"/>
        <v>YES</v>
      </c>
      <c r="J68" s="16" t="s">
        <v>767</v>
      </c>
    </row>
    <row r="69" spans="1:10" s="16" customFormat="1">
      <c r="A69" s="16" t="s">
        <v>648</v>
      </c>
      <c r="B69" s="16" t="s">
        <v>28</v>
      </c>
      <c r="C69" s="16">
        <f>POWER(A_or_T,2)*POWER(G_or_C,4)*0.25</f>
        <v>2.4975648088399977E-5</v>
      </c>
      <c r="D69" s="17">
        <f t="shared" si="4"/>
        <v>24.975648088399979</v>
      </c>
      <c r="E69" s="17">
        <f t="shared" si="6"/>
        <v>18931.541251007184</v>
      </c>
      <c r="F69" s="17">
        <f t="shared" si="5"/>
        <v>37863.082502014367</v>
      </c>
      <c r="G69" s="17">
        <f t="shared" si="7"/>
        <v>908713.98004834482</v>
      </c>
      <c r="H69" s="17">
        <f t="shared" si="8"/>
        <v>87.236542084641101</v>
      </c>
      <c r="I69" s="18" t="str">
        <f t="shared" si="9"/>
        <v>YES</v>
      </c>
      <c r="J69" s="16" t="s">
        <v>1329</v>
      </c>
    </row>
    <row r="70" spans="1:10" s="16" customFormat="1">
      <c r="A70" s="16" t="s">
        <v>406</v>
      </c>
      <c r="B70" s="16" t="s">
        <v>8</v>
      </c>
      <c r="C70" s="16">
        <f>POWER(G_or_C,4)*0.5</f>
        <v>4.7438589558064065E-4</v>
      </c>
      <c r="D70" s="17">
        <f t="shared" si="4"/>
        <v>474.38589558064064</v>
      </c>
      <c r="E70" s="17">
        <f t="shared" si="6"/>
        <v>359584.5088501256</v>
      </c>
      <c r="F70" s="17">
        <f t="shared" si="5"/>
        <v>719169.01770025119</v>
      </c>
      <c r="G70" s="17">
        <f t="shared" si="7"/>
        <v>17260056.424806029</v>
      </c>
      <c r="H70" s="17">
        <f t="shared" si="8"/>
        <v>1656.9654167813787</v>
      </c>
      <c r="I70" s="18" t="str">
        <f t="shared" si="9"/>
        <v>-</v>
      </c>
      <c r="J70" s="16" t="s">
        <v>1330</v>
      </c>
    </row>
    <row r="71" spans="1:10" s="16" customFormat="1">
      <c r="A71" s="16" t="s">
        <v>252</v>
      </c>
      <c r="B71" s="16" t="s">
        <v>1242</v>
      </c>
      <c r="C71" s="16">
        <f>POWER(A_or_T,2)*POWER(G_or_C,4)*POWER(0.25,5)</f>
        <v>9.7561125345312409E-8</v>
      </c>
      <c r="D71" s="17">
        <f t="shared" si="4"/>
        <v>9.7561125345312416E-2</v>
      </c>
      <c r="E71" s="17">
        <f t="shared" si="6"/>
        <v>73.951333011746812</v>
      </c>
      <c r="F71" s="17">
        <f t="shared" si="5"/>
        <v>147.90266602349362</v>
      </c>
      <c r="G71" s="17">
        <f t="shared" si="7"/>
        <v>3549.663984563847</v>
      </c>
      <c r="H71" s="17">
        <f t="shared" si="8"/>
        <v>0.3407677425181293</v>
      </c>
      <c r="I71" s="18" t="str">
        <f t="shared" si="9"/>
        <v>YES</v>
      </c>
      <c r="J71" s="16" t="s">
        <v>1331</v>
      </c>
    </row>
    <row r="72" spans="1:10" s="16" customFormat="1">
      <c r="A72" s="16" t="s">
        <v>403</v>
      </c>
      <c r="B72" s="16" t="s">
        <v>1243</v>
      </c>
      <c r="C72" s="16">
        <f>POWER(A_or_T,2)*POWER(G_or_C,4)*POWER(0.25,9)</f>
        <v>3.810981458801266E-10</v>
      </c>
      <c r="D72" s="17">
        <f t="shared" si="4"/>
        <v>3.8109814588012663E-4</v>
      </c>
      <c r="E72" s="17">
        <f t="shared" si="6"/>
        <v>0.28887239457713598</v>
      </c>
      <c r="F72" s="17">
        <f t="shared" si="5"/>
        <v>0.57774478915427196</v>
      </c>
      <c r="G72" s="17">
        <f t="shared" si="7"/>
        <v>13.865874939702527</v>
      </c>
      <c r="H72" s="17">
        <f t="shared" si="8"/>
        <v>1.3311239942114426E-3</v>
      </c>
      <c r="I72" s="18" t="str">
        <f t="shared" si="9"/>
        <v>YES</v>
      </c>
      <c r="J72" s="16" t="s">
        <v>402</v>
      </c>
    </row>
    <row r="73" spans="1:10" s="16" customFormat="1">
      <c r="A73" s="16" t="s">
        <v>160</v>
      </c>
      <c r="B73" s="16" t="s">
        <v>54</v>
      </c>
      <c r="C73" s="16">
        <f>POWER(A_or_T,2)*POWER(G_or_C,4)*POWER(0.25,6)</f>
        <v>2.4390281336328102E-8</v>
      </c>
      <c r="D73" s="17">
        <f t="shared" si="4"/>
        <v>2.4390281336328104E-2</v>
      </c>
      <c r="E73" s="17">
        <f t="shared" si="6"/>
        <v>18.487833252936703</v>
      </c>
      <c r="F73" s="17">
        <f t="shared" si="5"/>
        <v>36.975666505873406</v>
      </c>
      <c r="G73" s="17">
        <f t="shared" si="7"/>
        <v>887.41599614096174</v>
      </c>
      <c r="H73" s="17">
        <f t="shared" si="8"/>
        <v>8.5191935629532325E-2</v>
      </c>
      <c r="I73" s="18" t="str">
        <f t="shared" si="9"/>
        <v>YES</v>
      </c>
      <c r="J73" s="16" t="s">
        <v>1332</v>
      </c>
    </row>
    <row r="74" spans="1:10" s="16" customFormat="1">
      <c r="A74" s="16" t="s">
        <v>330</v>
      </c>
      <c r="B74" s="16" t="s">
        <v>16</v>
      </c>
      <c r="C74" s="16">
        <f>POWER(G_or_C,6)</f>
        <v>2.922420096311842E-5</v>
      </c>
      <c r="D74" s="17">
        <f t="shared" si="4"/>
        <v>29.22420096311842</v>
      </c>
      <c r="E74" s="17">
        <f t="shared" si="6"/>
        <v>22151.944330043763</v>
      </c>
      <c r="F74" s="17">
        <f t="shared" si="5"/>
        <v>44303.888660087527</v>
      </c>
      <c r="G74" s="17">
        <f t="shared" si="7"/>
        <v>1063293.3278421005</v>
      </c>
      <c r="H74" s="17">
        <f t="shared" si="8"/>
        <v>102.07615947284165</v>
      </c>
      <c r="I74" s="18" t="str">
        <f t="shared" si="9"/>
        <v>YES</v>
      </c>
      <c r="J74" s="16" t="s">
        <v>1333</v>
      </c>
    </row>
    <row r="75" spans="1:10" s="16" customFormat="1">
      <c r="A75" s="16" t="s">
        <v>258</v>
      </c>
      <c r="B75" s="16" t="s">
        <v>58</v>
      </c>
      <c r="C75" s="16">
        <f>POWER(G_or_C,4)*POWER(0.25,7)</f>
        <v>5.7908434519121173E-8</v>
      </c>
      <c r="D75" s="17">
        <f t="shared" si="4"/>
        <v>5.7908434519121171E-2</v>
      </c>
      <c r="E75" s="17">
        <f t="shared" si="6"/>
        <v>43.894593365493847</v>
      </c>
      <c r="F75" s="17">
        <f t="shared" si="5"/>
        <v>87.789186730987694</v>
      </c>
      <c r="G75" s="17">
        <f t="shared" si="7"/>
        <v>2106.9404815437047</v>
      </c>
      <c r="H75" s="17">
        <f t="shared" si="8"/>
        <v>0.20226628622819565</v>
      </c>
      <c r="I75" s="18" t="str">
        <f t="shared" si="9"/>
        <v>YES</v>
      </c>
      <c r="J75" s="16" t="s">
        <v>1334</v>
      </c>
    </row>
    <row r="76" spans="1:10" s="16" customFormat="1">
      <c r="A76" s="16" t="s">
        <v>228</v>
      </c>
      <c r="B76" s="16" t="s">
        <v>1244</v>
      </c>
      <c r="C76" s="16">
        <f>POWER(A_or_T,2)*POWER(G_or_C,6)</f>
        <v>3.077213575357875E-6</v>
      </c>
      <c r="D76" s="17">
        <f t="shared" si="4"/>
        <v>3.0772135753578751</v>
      </c>
      <c r="E76" s="17">
        <f t="shared" si="6"/>
        <v>2332.5278901212691</v>
      </c>
      <c r="F76" s="17">
        <f t="shared" si="5"/>
        <v>4665.0557802425383</v>
      </c>
      <c r="G76" s="17">
        <f t="shared" si="7"/>
        <v>111961.33872582091</v>
      </c>
      <c r="H76" s="17">
        <f t="shared" si="8"/>
        <v>10.748288517678809</v>
      </c>
      <c r="I76" s="18" t="str">
        <f t="shared" si="9"/>
        <v>YES</v>
      </c>
      <c r="J76" s="16" t="s">
        <v>1335</v>
      </c>
    </row>
    <row r="77" spans="1:10" s="16" customFormat="1">
      <c r="A77" s="16" t="s">
        <v>446</v>
      </c>
      <c r="B77" s="16" t="s">
        <v>48</v>
      </c>
      <c r="C77" s="16">
        <f>POWER(A_or_T,2)*POWER(G_or_C,4)*POWER(0.25,5)</f>
        <v>9.7561125345312409E-8</v>
      </c>
      <c r="D77" s="17">
        <f t="shared" si="4"/>
        <v>9.7561125345312416E-2</v>
      </c>
      <c r="E77" s="17">
        <f t="shared" ref="E77:E108" si="10">C77*1000000*megabases_genome</f>
        <v>73.951333011746812</v>
      </c>
      <c r="F77" s="17">
        <f t="shared" si="5"/>
        <v>147.90266602349362</v>
      </c>
      <c r="G77" s="17">
        <f t="shared" ref="G77:G108" si="11">F77*fold_coverage</f>
        <v>3549.663984563847</v>
      </c>
      <c r="H77" s="17">
        <f t="shared" ref="H77:H108" si="12">G77*plexity/1000000</f>
        <v>0.3407677425181293</v>
      </c>
      <c r="I77" s="18" t="str">
        <f t="shared" ref="I77:I108" si="13">IF(H77/million_reads_per_lane&lt;1, "YES","-")</f>
        <v>YES</v>
      </c>
      <c r="J77" s="16" t="s">
        <v>1336</v>
      </c>
    </row>
    <row r="78" spans="1:10" s="16" customFormat="1">
      <c r="A78" s="16" t="s">
        <v>1035</v>
      </c>
      <c r="B78" s="16" t="s">
        <v>1245</v>
      </c>
      <c r="C78" s="16">
        <f>POWER(G_or_C,8)</f>
        <v>9.0016791170338594E-7</v>
      </c>
      <c r="D78" s="17">
        <f t="shared" ref="D78:D141" si="14">1000000*C78</f>
        <v>0.90016791170338595</v>
      </c>
      <c r="E78" s="17">
        <f t="shared" si="10"/>
        <v>682.32727707116658</v>
      </c>
      <c r="F78" s="17">
        <f t="shared" ref="F78:F141" si="15">E78*2</f>
        <v>1364.6545541423332</v>
      </c>
      <c r="G78" s="17">
        <f t="shared" si="11"/>
        <v>32751.709299415998</v>
      </c>
      <c r="H78" s="17">
        <f t="shared" si="12"/>
        <v>3.144164092743936</v>
      </c>
      <c r="I78" s="18" t="str">
        <f t="shared" si="13"/>
        <v>YES</v>
      </c>
      <c r="J78" s="16" t="s">
        <v>1337</v>
      </c>
    </row>
    <row r="79" spans="1:10" s="16" customFormat="1">
      <c r="A79" s="16" t="s">
        <v>1020</v>
      </c>
      <c r="B79" s="16" t="s">
        <v>1246</v>
      </c>
      <c r="C79" s="16">
        <f>POWER(G_or_C,8)</f>
        <v>9.0016791170338594E-7</v>
      </c>
      <c r="D79" s="17">
        <f t="shared" si="14"/>
        <v>0.90016791170338595</v>
      </c>
      <c r="E79" s="17">
        <f t="shared" si="10"/>
        <v>682.32727707116658</v>
      </c>
      <c r="F79" s="17">
        <f t="shared" si="15"/>
        <v>1364.6545541423332</v>
      </c>
      <c r="G79" s="17">
        <f t="shared" si="11"/>
        <v>32751.709299415998</v>
      </c>
      <c r="H79" s="17">
        <f t="shared" si="12"/>
        <v>3.144164092743936</v>
      </c>
      <c r="I79" s="18" t="str">
        <f t="shared" si="13"/>
        <v>YES</v>
      </c>
      <c r="J79" s="16" t="s">
        <v>1019</v>
      </c>
    </row>
    <row r="80" spans="1:10" s="16" customFormat="1">
      <c r="A80" s="16" t="s">
        <v>691</v>
      </c>
      <c r="B80" s="16" t="s">
        <v>1247</v>
      </c>
      <c r="C80" s="16">
        <f>POWER(G_or_C,6)*0.5</f>
        <v>1.461210048155921E-5</v>
      </c>
      <c r="D80" s="17">
        <f t="shared" si="14"/>
        <v>14.61210048155921</v>
      </c>
      <c r="E80" s="17">
        <f t="shared" si="10"/>
        <v>11075.972165021882</v>
      </c>
      <c r="F80" s="17">
        <f t="shared" si="15"/>
        <v>22151.944330043763</v>
      </c>
      <c r="G80" s="17">
        <f t="shared" si="11"/>
        <v>531646.66392105026</v>
      </c>
      <c r="H80" s="17">
        <f t="shared" si="12"/>
        <v>51.038079736420826</v>
      </c>
      <c r="I80" s="18" t="str">
        <f t="shared" si="13"/>
        <v>YES</v>
      </c>
      <c r="J80" s="16" t="s">
        <v>1338</v>
      </c>
    </row>
    <row r="81" spans="1:10" s="16" customFormat="1">
      <c r="A81" s="16" t="s">
        <v>1117</v>
      </c>
      <c r="B81" s="16" t="s">
        <v>1248</v>
      </c>
      <c r="C81" s="16">
        <f>POWER(A_or_T,2)*POWER(G_or_C,6)</f>
        <v>3.077213575357875E-6</v>
      </c>
      <c r="D81" s="17">
        <f t="shared" si="14"/>
        <v>3.0772135753578751</v>
      </c>
      <c r="E81" s="17">
        <f t="shared" si="10"/>
        <v>2332.5278901212691</v>
      </c>
      <c r="F81" s="17">
        <f t="shared" si="15"/>
        <v>4665.0557802425383</v>
      </c>
      <c r="G81" s="17">
        <f t="shared" si="11"/>
        <v>111961.33872582091</v>
      </c>
      <c r="H81" s="17">
        <f t="shared" si="12"/>
        <v>10.748288517678809</v>
      </c>
      <c r="I81" s="18" t="str">
        <f t="shared" si="13"/>
        <v>YES</v>
      </c>
      <c r="J81" s="16" t="s">
        <v>1116</v>
      </c>
    </row>
    <row r="82" spans="1:10" s="16" customFormat="1">
      <c r="A82" s="16" t="s">
        <v>310</v>
      </c>
      <c r="B82" s="16" t="s">
        <v>44</v>
      </c>
      <c r="C82" s="16">
        <f>POWER(A_or_T,2)*POWER(G_or_C,4)</f>
        <v>9.9902592353599907E-5</v>
      </c>
      <c r="D82" s="17">
        <f t="shared" si="14"/>
        <v>99.902592353599914</v>
      </c>
      <c r="E82" s="17">
        <f t="shared" si="10"/>
        <v>75726.165004028735</v>
      </c>
      <c r="F82" s="17">
        <f t="shared" si="15"/>
        <v>151452.33000805747</v>
      </c>
      <c r="G82" s="17">
        <f t="shared" si="11"/>
        <v>3634855.9201933793</v>
      </c>
      <c r="H82" s="17">
        <f t="shared" si="12"/>
        <v>348.94616833856441</v>
      </c>
      <c r="I82" s="18" t="str">
        <f t="shared" si="13"/>
        <v>-</v>
      </c>
      <c r="J82" s="16" t="s">
        <v>1339</v>
      </c>
    </row>
    <row r="83" spans="1:10" s="16" customFormat="1">
      <c r="A83" s="16" t="s">
        <v>318</v>
      </c>
      <c r="B83" s="16" t="s">
        <v>56</v>
      </c>
      <c r="C83" s="16">
        <f>POWER(G_or_C,4)*POWER(0.5,2)</f>
        <v>2.3719294779032032E-4</v>
      </c>
      <c r="D83" s="17">
        <f t="shared" si="14"/>
        <v>237.19294779032032</v>
      </c>
      <c r="E83" s="17">
        <f t="shared" si="10"/>
        <v>179792.2544250628</v>
      </c>
      <c r="F83" s="17">
        <f t="shared" si="15"/>
        <v>359584.5088501256</v>
      </c>
      <c r="G83" s="17">
        <f t="shared" si="11"/>
        <v>8630028.2124030143</v>
      </c>
      <c r="H83" s="17">
        <f t="shared" si="12"/>
        <v>828.48270839068937</v>
      </c>
      <c r="I83" s="18" t="str">
        <f t="shared" si="13"/>
        <v>-</v>
      </c>
      <c r="J83" s="16" t="s">
        <v>1340</v>
      </c>
    </row>
    <row r="84" spans="1:10" s="16" customFormat="1">
      <c r="A84" s="16" t="s">
        <v>103</v>
      </c>
      <c r="B84" s="16" t="s">
        <v>86</v>
      </c>
      <c r="C84" s="16">
        <f>POWER(G_or_C,4)*0.5</f>
        <v>4.7438589558064065E-4</v>
      </c>
      <c r="D84" s="17">
        <f t="shared" si="14"/>
        <v>474.38589558064064</v>
      </c>
      <c r="E84" s="17">
        <f t="shared" si="10"/>
        <v>359584.5088501256</v>
      </c>
      <c r="F84" s="17">
        <f t="shared" si="15"/>
        <v>719169.01770025119</v>
      </c>
      <c r="G84" s="17">
        <f t="shared" si="11"/>
        <v>17260056.424806029</v>
      </c>
      <c r="H84" s="17">
        <f t="shared" si="12"/>
        <v>1656.9654167813787</v>
      </c>
      <c r="I84" s="18" t="str">
        <f t="shared" si="13"/>
        <v>-</v>
      </c>
      <c r="J84" s="16" t="s">
        <v>102</v>
      </c>
    </row>
    <row r="85" spans="1:10" s="16" customFormat="1">
      <c r="A85" s="16" t="s">
        <v>1115</v>
      </c>
      <c r="B85" s="16" t="s">
        <v>91</v>
      </c>
      <c r="C85" s="16">
        <f>POWER(G_or_C,6)*POWER(0.5,2)</f>
        <v>7.306050240779605E-6</v>
      </c>
      <c r="D85" s="17">
        <f t="shared" si="14"/>
        <v>7.3060502407796051</v>
      </c>
      <c r="E85" s="17">
        <f t="shared" si="10"/>
        <v>5537.9860825109408</v>
      </c>
      <c r="F85" s="17">
        <f t="shared" si="15"/>
        <v>11075.972165021882</v>
      </c>
      <c r="G85" s="17">
        <f t="shared" si="11"/>
        <v>265823.33196052513</v>
      </c>
      <c r="H85" s="17">
        <f t="shared" si="12"/>
        <v>25.519039868210413</v>
      </c>
      <c r="I85" s="18" t="str">
        <f t="shared" si="13"/>
        <v>YES</v>
      </c>
      <c r="J85" s="16" t="s">
        <v>1114</v>
      </c>
    </row>
    <row r="86" spans="1:10" s="16" customFormat="1">
      <c r="A86" s="16" t="s">
        <v>112</v>
      </c>
      <c r="B86" s="16" t="s">
        <v>14</v>
      </c>
      <c r="C86" s="16">
        <f>POWER(A_or_T,2)*POWER(G_or_C,4)</f>
        <v>9.9902592353599907E-5</v>
      </c>
      <c r="D86" s="17">
        <f t="shared" si="14"/>
        <v>99.902592353599914</v>
      </c>
      <c r="E86" s="17">
        <f t="shared" si="10"/>
        <v>75726.165004028735</v>
      </c>
      <c r="F86" s="17">
        <f t="shared" si="15"/>
        <v>151452.33000805747</v>
      </c>
      <c r="G86" s="17">
        <f t="shared" si="11"/>
        <v>3634855.9201933793</v>
      </c>
      <c r="H86" s="17">
        <f t="shared" si="12"/>
        <v>348.94616833856441</v>
      </c>
      <c r="I86" s="18" t="str">
        <f t="shared" si="13"/>
        <v>-</v>
      </c>
      <c r="J86" s="16" t="s">
        <v>1341</v>
      </c>
    </row>
    <row r="87" spans="1:10" s="16" customFormat="1">
      <c r="A87" s="16" t="s">
        <v>201</v>
      </c>
      <c r="B87" s="16" t="s">
        <v>9</v>
      </c>
      <c r="C87" s="16">
        <f>POWER(G_or_C,4)*POWER(0.5,2)</f>
        <v>2.3719294779032032E-4</v>
      </c>
      <c r="D87" s="17">
        <f t="shared" si="14"/>
        <v>237.19294779032032</v>
      </c>
      <c r="E87" s="17">
        <f t="shared" si="10"/>
        <v>179792.2544250628</v>
      </c>
      <c r="F87" s="17">
        <f t="shared" si="15"/>
        <v>359584.5088501256</v>
      </c>
      <c r="G87" s="17">
        <f t="shared" si="11"/>
        <v>8630028.2124030143</v>
      </c>
      <c r="H87" s="17">
        <f t="shared" si="12"/>
        <v>828.48270839068937</v>
      </c>
      <c r="I87" s="18" t="str">
        <f t="shared" si="13"/>
        <v>-</v>
      </c>
      <c r="J87" s="16" t="s">
        <v>200</v>
      </c>
    </row>
    <row r="88" spans="1:10" s="16" customFormat="1">
      <c r="A88" s="16" t="s">
        <v>984</v>
      </c>
      <c r="B88" s="16" t="s">
        <v>39</v>
      </c>
      <c r="C88" s="16">
        <f>POWER(A_or_T,4)*POWER(G_or_C,2)</f>
        <v>3.4151585432789768E-4</v>
      </c>
      <c r="D88" s="17">
        <f t="shared" si="14"/>
        <v>341.51585432789767</v>
      </c>
      <c r="E88" s="17">
        <f t="shared" si="10"/>
        <v>258869.01758054644</v>
      </c>
      <c r="F88" s="17">
        <f t="shared" si="15"/>
        <v>517738.03516109288</v>
      </c>
      <c r="G88" s="17">
        <f t="shared" si="11"/>
        <v>12425712.843866229</v>
      </c>
      <c r="H88" s="17">
        <f t="shared" si="12"/>
        <v>1192.868433011158</v>
      </c>
      <c r="I88" s="18" t="str">
        <f t="shared" si="13"/>
        <v>-</v>
      </c>
      <c r="J88" s="16" t="s">
        <v>1342</v>
      </c>
    </row>
    <row r="89" spans="1:10" s="16" customFormat="1">
      <c r="A89" s="16" t="s">
        <v>695</v>
      </c>
      <c r="B89" s="16" t="s">
        <v>72</v>
      </c>
      <c r="C89" s="16">
        <f>POWER(G_or_C,2)*POWER(A_or_T,2)*0.25</f>
        <v>8.1084134352039895E-4</v>
      </c>
      <c r="D89" s="17">
        <f t="shared" si="14"/>
        <v>810.84134352039894</v>
      </c>
      <c r="E89" s="17">
        <f t="shared" si="10"/>
        <v>614617.73838846234</v>
      </c>
      <c r="F89" s="17">
        <f t="shared" si="15"/>
        <v>1229235.4767769247</v>
      </c>
      <c r="G89" s="17">
        <f t="shared" si="11"/>
        <v>29501651.442646191</v>
      </c>
      <c r="H89" s="17">
        <f t="shared" si="12"/>
        <v>2832.1585384940345</v>
      </c>
      <c r="I89" s="18" t="str">
        <f t="shared" si="13"/>
        <v>-</v>
      </c>
      <c r="J89" s="16" t="s">
        <v>1343</v>
      </c>
    </row>
    <row r="90" spans="1:10" s="16" customFormat="1">
      <c r="A90" s="16" t="s">
        <v>498</v>
      </c>
      <c r="B90" s="16" t="s">
        <v>27</v>
      </c>
      <c r="C90" s="16">
        <f>POWER(G_or_C,2)*POWER(A_or_T,2)</f>
        <v>3.2433653740815958E-3</v>
      </c>
      <c r="D90" s="17">
        <f t="shared" si="14"/>
        <v>3243.3653740815957</v>
      </c>
      <c r="E90" s="17">
        <f t="shared" si="10"/>
        <v>2458470.9535538494</v>
      </c>
      <c r="F90" s="17">
        <f t="shared" si="15"/>
        <v>4916941.9071076987</v>
      </c>
      <c r="G90" s="17">
        <f t="shared" si="11"/>
        <v>118006605.77058476</v>
      </c>
      <c r="H90" s="17">
        <f t="shared" si="12"/>
        <v>11328.634153976138</v>
      </c>
      <c r="I90" s="18" t="str">
        <f t="shared" si="13"/>
        <v>-</v>
      </c>
      <c r="J90" s="16" t="s">
        <v>497</v>
      </c>
    </row>
    <row r="91" spans="1:10" s="16" customFormat="1">
      <c r="A91" s="16" t="s">
        <v>733</v>
      </c>
      <c r="B91" s="16" t="s">
        <v>1249</v>
      </c>
      <c r="C91" s="16">
        <f>POWER(G_or_C,2)*POWER(A_or_T,2)*0.5</f>
        <v>1.6216826870407979E-3</v>
      </c>
      <c r="D91" s="17">
        <f t="shared" si="14"/>
        <v>1621.6826870407979</v>
      </c>
      <c r="E91" s="17">
        <f t="shared" si="10"/>
        <v>1229235.4767769247</v>
      </c>
      <c r="F91" s="17">
        <f t="shared" si="15"/>
        <v>2458470.9535538494</v>
      </c>
      <c r="G91" s="17">
        <f t="shared" si="11"/>
        <v>59003302.885292381</v>
      </c>
      <c r="H91" s="17">
        <f t="shared" si="12"/>
        <v>5664.3170769880689</v>
      </c>
      <c r="I91" s="18" t="str">
        <f t="shared" si="13"/>
        <v>-</v>
      </c>
      <c r="J91" s="16" t="s">
        <v>1344</v>
      </c>
    </row>
    <row r="92" spans="1:10" s="16" customFormat="1">
      <c r="A92" s="16" t="s">
        <v>979</v>
      </c>
      <c r="B92" s="16" t="s">
        <v>12</v>
      </c>
      <c r="C92" s="16">
        <f>POWER(G_or_C,6)</f>
        <v>2.922420096311842E-5</v>
      </c>
      <c r="D92" s="17">
        <f t="shared" si="14"/>
        <v>29.22420096311842</v>
      </c>
      <c r="E92" s="17">
        <f t="shared" si="10"/>
        <v>22151.944330043763</v>
      </c>
      <c r="F92" s="17">
        <f t="shared" si="15"/>
        <v>44303.888660087527</v>
      </c>
      <c r="G92" s="17">
        <f t="shared" si="11"/>
        <v>1063293.3278421005</v>
      </c>
      <c r="H92" s="17">
        <f t="shared" si="12"/>
        <v>102.07615947284165</v>
      </c>
      <c r="I92" s="18" t="str">
        <f t="shared" si="13"/>
        <v>YES</v>
      </c>
      <c r="J92" s="16" t="s">
        <v>1345</v>
      </c>
    </row>
    <row r="93" spans="1:10" s="16" customFormat="1">
      <c r="A93" s="16" t="s">
        <v>508</v>
      </c>
      <c r="B93" s="16" t="s">
        <v>36</v>
      </c>
      <c r="C93" s="16">
        <f>POWER(G_or_C,4)</f>
        <v>9.4877179116128129E-4</v>
      </c>
      <c r="D93" s="17">
        <f t="shared" si="14"/>
        <v>948.77179116128127</v>
      </c>
      <c r="E93" s="17">
        <f t="shared" si="10"/>
        <v>719169.01770025119</v>
      </c>
      <c r="F93" s="17">
        <f t="shared" si="15"/>
        <v>1438338.0354005024</v>
      </c>
      <c r="G93" s="17">
        <f t="shared" si="11"/>
        <v>34520112.849612057</v>
      </c>
      <c r="H93" s="17">
        <f t="shared" si="12"/>
        <v>3313.9308335627575</v>
      </c>
      <c r="I93" s="18" t="str">
        <f t="shared" si="13"/>
        <v>-</v>
      </c>
      <c r="J93" s="16" t="s">
        <v>1346</v>
      </c>
    </row>
    <row r="94" spans="1:10" s="16" customFormat="1">
      <c r="A94" s="16" t="s">
        <v>868</v>
      </c>
      <c r="B94" s="16" t="s">
        <v>53</v>
      </c>
      <c r="C94" s="16">
        <f>POWER(G_or_C,6)</f>
        <v>2.922420096311842E-5</v>
      </c>
      <c r="D94" s="17">
        <f t="shared" si="14"/>
        <v>29.22420096311842</v>
      </c>
      <c r="E94" s="17">
        <f t="shared" si="10"/>
        <v>22151.944330043763</v>
      </c>
      <c r="F94" s="17">
        <f t="shared" si="15"/>
        <v>44303.888660087527</v>
      </c>
      <c r="G94" s="17">
        <f t="shared" si="11"/>
        <v>1063293.3278421005</v>
      </c>
      <c r="H94" s="17">
        <f t="shared" si="12"/>
        <v>102.07615947284165</v>
      </c>
      <c r="I94" s="18" t="str">
        <f t="shared" si="13"/>
        <v>YES</v>
      </c>
      <c r="J94" s="16" t="s">
        <v>1347</v>
      </c>
    </row>
    <row r="95" spans="1:10" s="16" customFormat="1">
      <c r="A95" s="16" t="s">
        <v>816</v>
      </c>
      <c r="B95" s="16" t="s">
        <v>1250</v>
      </c>
      <c r="C95" s="16">
        <f>POWER(A_or_T,2)*POWER(G_or_C,4)</f>
        <v>9.9902592353599907E-5</v>
      </c>
      <c r="D95" s="17">
        <f t="shared" si="14"/>
        <v>99.902592353599914</v>
      </c>
      <c r="E95" s="17">
        <f t="shared" si="10"/>
        <v>75726.165004028735</v>
      </c>
      <c r="F95" s="17">
        <f t="shared" si="15"/>
        <v>151452.33000805747</v>
      </c>
      <c r="G95" s="17">
        <f t="shared" si="11"/>
        <v>3634855.9201933793</v>
      </c>
      <c r="H95" s="17">
        <f t="shared" si="12"/>
        <v>348.94616833856441</v>
      </c>
      <c r="I95" s="18" t="str">
        <f t="shared" si="13"/>
        <v>-</v>
      </c>
      <c r="J95" s="16" t="s">
        <v>1348</v>
      </c>
    </row>
    <row r="96" spans="1:10" s="22" customFormat="1">
      <c r="A96" s="22" t="s">
        <v>644</v>
      </c>
      <c r="B96" s="22" t="s">
        <v>89</v>
      </c>
      <c r="C96" s="22">
        <f>POWER(G_or_C,4)*0.5</f>
        <v>4.7438589558064065E-4</v>
      </c>
      <c r="D96" s="23">
        <f t="shared" si="14"/>
        <v>474.38589558064064</v>
      </c>
      <c r="E96" s="23">
        <f t="shared" si="10"/>
        <v>359584.5088501256</v>
      </c>
      <c r="F96" s="23">
        <f t="shared" si="15"/>
        <v>719169.01770025119</v>
      </c>
      <c r="G96" s="23">
        <f t="shared" si="11"/>
        <v>17260056.424806029</v>
      </c>
      <c r="H96" s="23">
        <f t="shared" si="12"/>
        <v>1656.9654167813787</v>
      </c>
      <c r="I96" s="24" t="str">
        <f t="shared" si="13"/>
        <v>-</v>
      </c>
      <c r="J96" s="22" t="s">
        <v>1349</v>
      </c>
    </row>
    <row r="97" spans="1:10" s="20" customFormat="1">
      <c r="A97" s="20" t="s">
        <v>774</v>
      </c>
      <c r="B97" s="20" t="s">
        <v>4</v>
      </c>
      <c r="C97" s="20">
        <f>POWER(A_or_T,2)*POWER(G_or_C,4)</f>
        <v>9.9902592353599907E-5</v>
      </c>
      <c r="D97" s="17">
        <f t="shared" si="14"/>
        <v>99.902592353599914</v>
      </c>
      <c r="E97" s="17">
        <f t="shared" si="10"/>
        <v>75726.165004028735</v>
      </c>
      <c r="F97" s="17">
        <f t="shared" si="15"/>
        <v>151452.33000805747</v>
      </c>
      <c r="G97" s="17">
        <f t="shared" si="11"/>
        <v>3634855.9201933793</v>
      </c>
      <c r="H97" s="17">
        <f t="shared" si="12"/>
        <v>348.94616833856441</v>
      </c>
      <c r="I97" s="21" t="str">
        <f t="shared" si="13"/>
        <v>-</v>
      </c>
      <c r="J97" s="20" t="s">
        <v>1350</v>
      </c>
    </row>
    <row r="98" spans="1:10" s="16" customFormat="1">
      <c r="A98" s="16" t="s">
        <v>1008</v>
      </c>
      <c r="B98" s="16" t="s">
        <v>34</v>
      </c>
      <c r="C98" s="16">
        <f>POWER(G_or_C,6)</f>
        <v>2.922420096311842E-5</v>
      </c>
      <c r="D98" s="17">
        <f t="shared" si="14"/>
        <v>29.22420096311842</v>
      </c>
      <c r="E98" s="17">
        <f t="shared" si="10"/>
        <v>22151.944330043763</v>
      </c>
      <c r="F98" s="17">
        <f t="shared" si="15"/>
        <v>44303.888660087527</v>
      </c>
      <c r="G98" s="17">
        <f t="shared" si="11"/>
        <v>1063293.3278421005</v>
      </c>
      <c r="H98" s="17">
        <f t="shared" si="12"/>
        <v>102.07615947284165</v>
      </c>
      <c r="I98" s="18" t="str">
        <f t="shared" si="13"/>
        <v>YES</v>
      </c>
      <c r="J98" s="16" t="s">
        <v>1351</v>
      </c>
    </row>
    <row r="99" spans="1:10" s="16" customFormat="1">
      <c r="A99" s="16" t="s">
        <v>882</v>
      </c>
      <c r="B99" s="16" t="s">
        <v>75</v>
      </c>
      <c r="C99" s="16">
        <f>POWER(G_or_C,6)</f>
        <v>2.922420096311842E-5</v>
      </c>
      <c r="D99" s="17">
        <f t="shared" si="14"/>
        <v>29.22420096311842</v>
      </c>
      <c r="E99" s="17">
        <f t="shared" si="10"/>
        <v>22151.944330043763</v>
      </c>
      <c r="F99" s="17">
        <f t="shared" si="15"/>
        <v>44303.888660087527</v>
      </c>
      <c r="G99" s="17">
        <f t="shared" si="11"/>
        <v>1063293.3278421005</v>
      </c>
      <c r="H99" s="17">
        <f t="shared" si="12"/>
        <v>102.07615947284165</v>
      </c>
      <c r="I99" s="18" t="str">
        <f t="shared" si="13"/>
        <v>YES</v>
      </c>
      <c r="J99" s="16" t="s">
        <v>1352</v>
      </c>
    </row>
    <row r="100" spans="1:10" s="16" customFormat="1">
      <c r="A100" s="16" t="s">
        <v>652</v>
      </c>
      <c r="B100" s="16" t="s">
        <v>13</v>
      </c>
      <c r="C100" s="16">
        <f>POWER(G_or_C,4)*0.25</f>
        <v>2.3719294779032032E-4</v>
      </c>
      <c r="D100" s="17">
        <f t="shared" si="14"/>
        <v>237.19294779032032</v>
      </c>
      <c r="E100" s="17">
        <f t="shared" si="10"/>
        <v>179792.2544250628</v>
      </c>
      <c r="F100" s="17">
        <f t="shared" si="15"/>
        <v>359584.5088501256</v>
      </c>
      <c r="G100" s="17">
        <f t="shared" si="11"/>
        <v>8630028.2124030143</v>
      </c>
      <c r="H100" s="17">
        <f t="shared" si="12"/>
        <v>828.48270839068937</v>
      </c>
      <c r="I100" s="18" t="str">
        <f t="shared" si="13"/>
        <v>-</v>
      </c>
      <c r="J100" s="16" t="s">
        <v>1353</v>
      </c>
    </row>
    <row r="101" spans="1:10" s="16" customFormat="1">
      <c r="A101" s="16" t="s">
        <v>770</v>
      </c>
      <c r="B101" s="16" t="s">
        <v>66</v>
      </c>
      <c r="C101" s="16">
        <f>POWER(A_or_T,2)*POWER(G_or_C,4)</f>
        <v>9.9902592353599907E-5</v>
      </c>
      <c r="D101" s="17">
        <f t="shared" si="14"/>
        <v>99.902592353599914</v>
      </c>
      <c r="E101" s="17">
        <f t="shared" si="10"/>
        <v>75726.165004028735</v>
      </c>
      <c r="F101" s="17">
        <f t="shared" si="15"/>
        <v>151452.33000805747</v>
      </c>
      <c r="G101" s="17">
        <f t="shared" si="11"/>
        <v>3634855.9201933793</v>
      </c>
      <c r="H101" s="17">
        <f t="shared" si="12"/>
        <v>348.94616833856441</v>
      </c>
      <c r="I101" s="18" t="str">
        <f t="shared" si="13"/>
        <v>-</v>
      </c>
      <c r="J101" s="16" t="s">
        <v>1354</v>
      </c>
    </row>
    <row r="102" spans="1:10" s="16" customFormat="1">
      <c r="A102" s="16" t="s">
        <v>1171</v>
      </c>
      <c r="B102" s="16" t="s">
        <v>59</v>
      </c>
      <c r="C102" s="16">
        <f>POWER(A_or_T,2)*POWER(G_or_C,4)*0.25</f>
        <v>2.4975648088399977E-5</v>
      </c>
      <c r="D102" s="17">
        <f t="shared" si="14"/>
        <v>24.975648088399979</v>
      </c>
      <c r="E102" s="17">
        <f t="shared" si="10"/>
        <v>18931.541251007184</v>
      </c>
      <c r="F102" s="17">
        <f t="shared" si="15"/>
        <v>37863.082502014367</v>
      </c>
      <c r="G102" s="17">
        <f t="shared" si="11"/>
        <v>908713.98004834482</v>
      </c>
      <c r="H102" s="17">
        <f t="shared" si="12"/>
        <v>87.236542084641101</v>
      </c>
      <c r="I102" s="18" t="str">
        <f t="shared" si="13"/>
        <v>YES</v>
      </c>
      <c r="J102" s="16" t="s">
        <v>1355</v>
      </c>
    </row>
    <row r="103" spans="1:10" s="16" customFormat="1">
      <c r="A103" s="16" t="s">
        <v>646</v>
      </c>
      <c r="B103" s="16" t="s">
        <v>23</v>
      </c>
      <c r="C103" s="16">
        <f>POWER(G_or_C,4)*0.5</f>
        <v>4.7438589558064065E-4</v>
      </c>
      <c r="D103" s="17">
        <f t="shared" si="14"/>
        <v>474.38589558064064</v>
      </c>
      <c r="E103" s="17">
        <f t="shared" si="10"/>
        <v>359584.5088501256</v>
      </c>
      <c r="F103" s="17">
        <f t="shared" si="15"/>
        <v>719169.01770025119</v>
      </c>
      <c r="G103" s="17">
        <f t="shared" si="11"/>
        <v>17260056.424806029</v>
      </c>
      <c r="H103" s="17">
        <f t="shared" si="12"/>
        <v>1656.9654167813787</v>
      </c>
      <c r="I103" s="18" t="str">
        <f t="shared" si="13"/>
        <v>-</v>
      </c>
      <c r="J103" s="16" t="s">
        <v>1356</v>
      </c>
    </row>
    <row r="104" spans="1:10" s="16" customFormat="1">
      <c r="A104" s="16" t="s">
        <v>772</v>
      </c>
      <c r="B104" s="16" t="s">
        <v>45</v>
      </c>
      <c r="C104" s="16">
        <f>POWER(G_or_C,4)*POWER(0.5,2)</f>
        <v>2.3719294779032032E-4</v>
      </c>
      <c r="D104" s="17">
        <f t="shared" si="14"/>
        <v>237.19294779032032</v>
      </c>
      <c r="E104" s="17">
        <f t="shared" si="10"/>
        <v>179792.2544250628</v>
      </c>
      <c r="F104" s="17">
        <f t="shared" si="15"/>
        <v>359584.5088501256</v>
      </c>
      <c r="G104" s="17">
        <f t="shared" si="11"/>
        <v>8630028.2124030143</v>
      </c>
      <c r="H104" s="17">
        <f t="shared" si="12"/>
        <v>828.48270839068937</v>
      </c>
      <c r="I104" s="18" t="str">
        <f t="shared" si="13"/>
        <v>-</v>
      </c>
      <c r="J104" s="16" t="s">
        <v>1357</v>
      </c>
    </row>
    <row r="105" spans="1:10" s="16" customFormat="1">
      <c r="A105" s="16" t="s">
        <v>559</v>
      </c>
      <c r="B105" s="16" t="s">
        <v>19</v>
      </c>
      <c r="C105" s="16">
        <f>POWER(G_or_C,2)*POWER(A_or_T,2)</f>
        <v>3.2433653740815958E-3</v>
      </c>
      <c r="D105" s="17">
        <f t="shared" si="14"/>
        <v>3243.3653740815957</v>
      </c>
      <c r="E105" s="17">
        <f t="shared" si="10"/>
        <v>2458470.9535538494</v>
      </c>
      <c r="F105" s="17">
        <f t="shared" si="15"/>
        <v>4916941.9071076987</v>
      </c>
      <c r="G105" s="17">
        <f t="shared" si="11"/>
        <v>118006605.77058476</v>
      </c>
      <c r="H105" s="17">
        <f t="shared" si="12"/>
        <v>11328.634153976138</v>
      </c>
      <c r="I105" s="18" t="str">
        <f t="shared" si="13"/>
        <v>-</v>
      </c>
      <c r="J105" s="16" t="s">
        <v>1358</v>
      </c>
    </row>
    <row r="106" spans="1:10" s="16" customFormat="1">
      <c r="A106" s="16" t="s">
        <v>911</v>
      </c>
      <c r="B106" s="16" t="s">
        <v>10</v>
      </c>
      <c r="C106" s="16">
        <f>POWER(G_or_C,4)*POWER(A_or_T,2)</f>
        <v>9.9902592353599907E-5</v>
      </c>
      <c r="D106" s="17">
        <f t="shared" si="14"/>
        <v>99.902592353599914</v>
      </c>
      <c r="E106" s="17">
        <f t="shared" si="10"/>
        <v>75726.165004028735</v>
      </c>
      <c r="F106" s="17">
        <f t="shared" si="15"/>
        <v>151452.33000805747</v>
      </c>
      <c r="G106" s="17">
        <f t="shared" si="11"/>
        <v>3634855.9201933793</v>
      </c>
      <c r="H106" s="17">
        <f t="shared" si="12"/>
        <v>348.94616833856441</v>
      </c>
      <c r="I106" s="18" t="str">
        <f t="shared" si="13"/>
        <v>-</v>
      </c>
      <c r="J106" s="16" t="s">
        <v>1359</v>
      </c>
    </row>
    <row r="107" spans="1:10" s="16" customFormat="1">
      <c r="A107" s="16" t="s">
        <v>795</v>
      </c>
      <c r="B107" s="16" t="s">
        <v>5</v>
      </c>
      <c r="C107" s="16">
        <f>POWER(G_or_C,4)*POWER(A_or_T,2)</f>
        <v>9.9902592353599907E-5</v>
      </c>
      <c r="D107" s="17">
        <f t="shared" si="14"/>
        <v>99.902592353599914</v>
      </c>
      <c r="E107" s="17">
        <f t="shared" si="10"/>
        <v>75726.165004028735</v>
      </c>
      <c r="F107" s="17">
        <f t="shared" si="15"/>
        <v>151452.33000805747</v>
      </c>
      <c r="G107" s="17">
        <f t="shared" si="11"/>
        <v>3634855.9201933793</v>
      </c>
      <c r="H107" s="17">
        <f t="shared" si="12"/>
        <v>348.94616833856441</v>
      </c>
      <c r="I107" s="18" t="str">
        <f t="shared" si="13"/>
        <v>-</v>
      </c>
      <c r="J107" s="16" t="s">
        <v>1360</v>
      </c>
    </row>
    <row r="108" spans="1:10" s="16" customFormat="1">
      <c r="A108" s="16" t="s">
        <v>105</v>
      </c>
      <c r="B108" s="16" t="s">
        <v>26</v>
      </c>
      <c r="C108" s="16">
        <f>POWER(G_or_C,4)*POWER(A_or_T,2)</f>
        <v>9.9902592353599907E-5</v>
      </c>
      <c r="D108" s="17">
        <f t="shared" si="14"/>
        <v>99.902592353599914</v>
      </c>
      <c r="E108" s="17">
        <f t="shared" si="10"/>
        <v>75726.165004028735</v>
      </c>
      <c r="F108" s="17">
        <f t="shared" si="15"/>
        <v>151452.33000805747</v>
      </c>
      <c r="G108" s="17">
        <f t="shared" si="11"/>
        <v>3634855.9201933793</v>
      </c>
      <c r="H108" s="17">
        <f t="shared" si="12"/>
        <v>348.94616833856441</v>
      </c>
      <c r="I108" s="18" t="str">
        <f t="shared" si="13"/>
        <v>-</v>
      </c>
      <c r="J108" s="16" t="s">
        <v>1361</v>
      </c>
    </row>
    <row r="109" spans="1:10" s="16" customFormat="1">
      <c r="A109" s="16" t="s">
        <v>415</v>
      </c>
      <c r="B109" s="16" t="s">
        <v>79</v>
      </c>
      <c r="C109" s="16">
        <f>POWER(G_or_C,4)*POWER(A_or_T,2)*POWER(0.25,3)</f>
        <v>1.5609780055249985E-6</v>
      </c>
      <c r="D109" s="17">
        <f t="shared" si="14"/>
        <v>1.5609780055249987</v>
      </c>
      <c r="E109" s="17">
        <f t="shared" ref="E109:E140" si="16">C109*1000000*megabases_genome</f>
        <v>1183.221328187949</v>
      </c>
      <c r="F109" s="17">
        <f t="shared" si="15"/>
        <v>2366.442656375898</v>
      </c>
      <c r="G109" s="17">
        <f t="shared" ref="G109:G140" si="17">F109*fold_coverage</f>
        <v>56794.623753021551</v>
      </c>
      <c r="H109" s="17">
        <f t="shared" ref="H109:H140" si="18">G109*plexity/1000000</f>
        <v>5.4522838802900688</v>
      </c>
      <c r="I109" s="18" t="str">
        <f t="shared" ref="I109:I140" si="19">IF(H109/million_reads_per_lane&lt;1, "YES","-")</f>
        <v>YES</v>
      </c>
      <c r="J109" s="16" t="s">
        <v>1362</v>
      </c>
    </row>
    <row r="110" spans="1:10" s="16" customFormat="1">
      <c r="A110" s="16" t="s">
        <v>383</v>
      </c>
      <c r="B110" s="16" t="s">
        <v>69</v>
      </c>
      <c r="C110" s="16">
        <f>POWER(G_or_C,4)*POWER(A_or_T,2)*POWER(0.25,5)</f>
        <v>9.7561125345312409E-8</v>
      </c>
      <c r="D110" s="17">
        <f t="shared" si="14"/>
        <v>9.7561125345312416E-2</v>
      </c>
      <c r="E110" s="17">
        <f t="shared" si="16"/>
        <v>73.951333011746812</v>
      </c>
      <c r="F110" s="17">
        <f t="shared" si="15"/>
        <v>147.90266602349362</v>
      </c>
      <c r="G110" s="17">
        <f t="shared" si="17"/>
        <v>3549.663984563847</v>
      </c>
      <c r="H110" s="17">
        <f t="shared" si="18"/>
        <v>0.3407677425181293</v>
      </c>
      <c r="I110" s="18" t="str">
        <f t="shared" si="19"/>
        <v>YES</v>
      </c>
      <c r="J110" s="16" t="s">
        <v>1363</v>
      </c>
    </row>
    <row r="111" spans="1:10" s="16" customFormat="1">
      <c r="A111" s="16" t="s">
        <v>307</v>
      </c>
      <c r="B111" s="16" t="s">
        <v>95</v>
      </c>
      <c r="C111" s="16">
        <f>POWER(G_or_C,4)*POWER(A_or_T,2)*POWER(0.25,6)</f>
        <v>2.4390281336328102E-8</v>
      </c>
      <c r="D111" s="17">
        <f t="shared" si="14"/>
        <v>2.4390281336328104E-2</v>
      </c>
      <c r="E111" s="17">
        <f t="shared" si="16"/>
        <v>18.487833252936703</v>
      </c>
      <c r="F111" s="17">
        <f t="shared" si="15"/>
        <v>36.975666505873406</v>
      </c>
      <c r="G111" s="17">
        <f t="shared" si="17"/>
        <v>887.41599614096174</v>
      </c>
      <c r="H111" s="17">
        <f t="shared" si="18"/>
        <v>8.5191935629532325E-2</v>
      </c>
      <c r="I111" s="18" t="str">
        <f t="shared" si="19"/>
        <v>YES</v>
      </c>
      <c r="J111" s="16" t="s">
        <v>1364</v>
      </c>
    </row>
    <row r="112" spans="1:10" s="16" customFormat="1">
      <c r="A112" s="16" t="s">
        <v>216</v>
      </c>
      <c r="B112" s="16" t="s">
        <v>76</v>
      </c>
      <c r="C112" s="16">
        <f>POWER(G_or_C,4)*POWER(A_or_T,2)</f>
        <v>9.9902592353599907E-5</v>
      </c>
      <c r="D112" s="17">
        <f t="shared" si="14"/>
        <v>99.902592353599914</v>
      </c>
      <c r="E112" s="17">
        <f t="shared" si="16"/>
        <v>75726.165004028735</v>
      </c>
      <c r="F112" s="17">
        <f t="shared" si="15"/>
        <v>151452.33000805747</v>
      </c>
      <c r="G112" s="17">
        <f t="shared" si="17"/>
        <v>3634855.9201933793</v>
      </c>
      <c r="H112" s="17">
        <f t="shared" si="18"/>
        <v>348.94616833856441</v>
      </c>
      <c r="I112" s="18" t="str">
        <f t="shared" si="19"/>
        <v>-</v>
      </c>
      <c r="J112" s="16" t="s">
        <v>1365</v>
      </c>
    </row>
    <row r="113" spans="1:10" s="16" customFormat="1">
      <c r="A113" s="16" t="s">
        <v>323</v>
      </c>
      <c r="B113" s="16" t="s">
        <v>27</v>
      </c>
      <c r="C113" s="16">
        <f>POWER(G_or_C,2)*POWER(A_or_T,2)</f>
        <v>3.2433653740815958E-3</v>
      </c>
      <c r="D113" s="17">
        <f t="shared" si="14"/>
        <v>3243.3653740815957</v>
      </c>
      <c r="E113" s="17">
        <f t="shared" si="16"/>
        <v>2458470.9535538494</v>
      </c>
      <c r="F113" s="17">
        <f t="shared" si="15"/>
        <v>4916941.9071076987</v>
      </c>
      <c r="G113" s="17">
        <f t="shared" si="17"/>
        <v>118006605.77058476</v>
      </c>
      <c r="H113" s="17">
        <f t="shared" si="18"/>
        <v>11328.634153976138</v>
      </c>
      <c r="I113" s="18" t="str">
        <f t="shared" si="19"/>
        <v>-</v>
      </c>
      <c r="J113" s="16" t="s">
        <v>1366</v>
      </c>
    </row>
    <row r="114" spans="1:10" s="16" customFormat="1">
      <c r="A114" s="16" t="s">
        <v>171</v>
      </c>
      <c r="B114" s="16" t="s">
        <v>27</v>
      </c>
      <c r="C114" s="16">
        <f>POWER(G_or_C,2)*POWER(A_or_T,2)</f>
        <v>3.2433653740815958E-3</v>
      </c>
      <c r="D114" s="17">
        <f t="shared" si="14"/>
        <v>3243.3653740815957</v>
      </c>
      <c r="E114" s="17">
        <f t="shared" si="16"/>
        <v>2458470.9535538494</v>
      </c>
      <c r="F114" s="17">
        <f t="shared" si="15"/>
        <v>4916941.9071076987</v>
      </c>
      <c r="G114" s="17">
        <f t="shared" si="17"/>
        <v>118006605.77058476</v>
      </c>
      <c r="H114" s="17">
        <f t="shared" si="18"/>
        <v>11328.634153976138</v>
      </c>
      <c r="I114" s="18" t="str">
        <f t="shared" si="19"/>
        <v>-</v>
      </c>
      <c r="J114" s="16" t="s">
        <v>170</v>
      </c>
    </row>
    <row r="115" spans="1:10" s="16" customFormat="1">
      <c r="A115" s="16" t="s">
        <v>952</v>
      </c>
      <c r="B115" s="16" t="s">
        <v>1251</v>
      </c>
      <c r="C115" s="16">
        <f>POWER(G_or_C,8)</f>
        <v>9.0016791170338594E-7</v>
      </c>
      <c r="D115" s="17">
        <f t="shared" si="14"/>
        <v>0.90016791170338595</v>
      </c>
      <c r="E115" s="17">
        <f t="shared" si="16"/>
        <v>682.32727707116658</v>
      </c>
      <c r="F115" s="17">
        <f t="shared" si="15"/>
        <v>1364.6545541423332</v>
      </c>
      <c r="G115" s="17">
        <f t="shared" si="17"/>
        <v>32751.709299415998</v>
      </c>
      <c r="H115" s="17">
        <f t="shared" si="18"/>
        <v>3.144164092743936</v>
      </c>
      <c r="I115" s="18" t="str">
        <f t="shared" si="19"/>
        <v>YES</v>
      </c>
      <c r="J115" s="16" t="s">
        <v>1367</v>
      </c>
    </row>
    <row r="116" spans="1:10" s="16" customFormat="1">
      <c r="A116" s="16" t="s">
        <v>423</v>
      </c>
      <c r="B116" s="16" t="s">
        <v>43</v>
      </c>
      <c r="C116" s="16">
        <f>POWER(G_or_C,4)*0.25</f>
        <v>2.3719294779032032E-4</v>
      </c>
      <c r="D116" s="17">
        <f t="shared" si="14"/>
        <v>237.19294779032032</v>
      </c>
      <c r="E116" s="17">
        <f t="shared" si="16"/>
        <v>179792.2544250628</v>
      </c>
      <c r="F116" s="17">
        <f t="shared" si="15"/>
        <v>359584.5088501256</v>
      </c>
      <c r="G116" s="17">
        <f t="shared" si="17"/>
        <v>8630028.2124030143</v>
      </c>
      <c r="H116" s="17">
        <f t="shared" si="18"/>
        <v>828.48270839068937</v>
      </c>
      <c r="I116" s="18" t="str">
        <f t="shared" si="19"/>
        <v>-</v>
      </c>
      <c r="J116" s="16" t="s">
        <v>1368</v>
      </c>
    </row>
    <row r="117" spans="1:10" s="16" customFormat="1">
      <c r="A117" s="16" t="s">
        <v>666</v>
      </c>
      <c r="B117" s="16" t="s">
        <v>50</v>
      </c>
      <c r="C117" s="16">
        <f>POWER(G_or_C,4)*POWER(A_or_T,2)*0.25</f>
        <v>2.4975648088399977E-5</v>
      </c>
      <c r="D117" s="17">
        <f t="shared" si="14"/>
        <v>24.975648088399979</v>
      </c>
      <c r="E117" s="17">
        <f t="shared" si="16"/>
        <v>18931.541251007184</v>
      </c>
      <c r="F117" s="17">
        <f t="shared" si="15"/>
        <v>37863.082502014367</v>
      </c>
      <c r="G117" s="17">
        <f t="shared" si="17"/>
        <v>908713.98004834482</v>
      </c>
      <c r="H117" s="17">
        <f t="shared" si="18"/>
        <v>87.236542084641101</v>
      </c>
      <c r="I117" s="18" t="str">
        <f t="shared" si="19"/>
        <v>YES</v>
      </c>
      <c r="J117" s="16" t="s">
        <v>1369</v>
      </c>
    </row>
    <row r="118" spans="1:10" s="16" customFormat="1">
      <c r="A118" s="16" t="s">
        <v>279</v>
      </c>
      <c r="B118" s="16" t="s">
        <v>1252</v>
      </c>
      <c r="C118" s="16">
        <f>POWER(G_or_C,4)*POWER(A_or_T,2)*POWER(0.25,5)</f>
        <v>9.7561125345312409E-8</v>
      </c>
      <c r="D118" s="17">
        <f t="shared" si="14"/>
        <v>9.7561125345312416E-2</v>
      </c>
      <c r="E118" s="17">
        <f t="shared" si="16"/>
        <v>73.951333011746812</v>
      </c>
      <c r="F118" s="17">
        <f t="shared" si="15"/>
        <v>147.90266602349362</v>
      </c>
      <c r="G118" s="17">
        <f t="shared" si="17"/>
        <v>3549.663984563847</v>
      </c>
      <c r="H118" s="17">
        <f t="shared" si="18"/>
        <v>0.3407677425181293</v>
      </c>
      <c r="I118" s="18" t="str">
        <f t="shared" si="19"/>
        <v>YES</v>
      </c>
      <c r="J118" s="16" t="s">
        <v>278</v>
      </c>
    </row>
    <row r="119" spans="1:10" s="16" customFormat="1">
      <c r="A119" s="16" t="s">
        <v>101</v>
      </c>
      <c r="B119" s="16" t="s">
        <v>1252</v>
      </c>
      <c r="C119" s="16">
        <f>POWER(G_or_C,4)*POWER(A_or_T,2)*POWER(0.25,5)</f>
        <v>9.7561125345312409E-8</v>
      </c>
      <c r="D119" s="17">
        <f t="shared" si="14"/>
        <v>9.7561125345312416E-2</v>
      </c>
      <c r="E119" s="17">
        <f t="shared" si="16"/>
        <v>73.951333011746812</v>
      </c>
      <c r="F119" s="17">
        <f t="shared" si="15"/>
        <v>147.90266602349362</v>
      </c>
      <c r="G119" s="17">
        <f t="shared" si="17"/>
        <v>3549.663984563847</v>
      </c>
      <c r="H119" s="17">
        <f t="shared" si="18"/>
        <v>0.3407677425181293</v>
      </c>
      <c r="I119" s="18" t="str">
        <f t="shared" si="19"/>
        <v>YES</v>
      </c>
      <c r="J119" s="16" t="s">
        <v>100</v>
      </c>
    </row>
    <row r="120" spans="1:10" s="16" customFormat="1">
      <c r="A120" s="16" t="s">
        <v>134</v>
      </c>
      <c r="B120" s="16" t="s">
        <v>22</v>
      </c>
      <c r="C120" s="16">
        <f>POWER(G_or_C,4)*POWER(A_or_T,2)</f>
        <v>9.9902592353599907E-5</v>
      </c>
      <c r="D120" s="17">
        <f t="shared" si="14"/>
        <v>99.902592353599914</v>
      </c>
      <c r="E120" s="17">
        <f t="shared" si="16"/>
        <v>75726.165004028735</v>
      </c>
      <c r="F120" s="17">
        <f t="shared" si="15"/>
        <v>151452.33000805747</v>
      </c>
      <c r="G120" s="17">
        <f t="shared" si="17"/>
        <v>3634855.9201933793</v>
      </c>
      <c r="H120" s="17">
        <f t="shared" si="18"/>
        <v>348.94616833856441</v>
      </c>
      <c r="I120" s="18" t="str">
        <f t="shared" si="19"/>
        <v>-</v>
      </c>
      <c r="J120" s="16" t="s">
        <v>1370</v>
      </c>
    </row>
    <row r="121" spans="1:10" s="16" customFormat="1">
      <c r="A121" s="16" t="s">
        <v>268</v>
      </c>
      <c r="B121" s="16" t="s">
        <v>49</v>
      </c>
      <c r="C121" s="16">
        <f>POWER(G_or_C,6)*POWER(0.25,5)</f>
        <v>2.8539258753045332E-8</v>
      </c>
      <c r="D121" s="17">
        <f t="shared" si="14"/>
        <v>2.8539258753045332E-2</v>
      </c>
      <c r="E121" s="17">
        <f t="shared" si="16"/>
        <v>21.632758134808363</v>
      </c>
      <c r="F121" s="17">
        <f t="shared" si="15"/>
        <v>43.265516269616725</v>
      </c>
      <c r="G121" s="17">
        <f t="shared" si="17"/>
        <v>1038.3723904708013</v>
      </c>
      <c r="H121" s="17">
        <f t="shared" si="18"/>
        <v>9.9683749485196926E-2</v>
      </c>
      <c r="I121" s="18" t="str">
        <f t="shared" si="19"/>
        <v>YES</v>
      </c>
      <c r="J121" s="16" t="s">
        <v>1371</v>
      </c>
    </row>
    <row r="122" spans="1:10" s="16" customFormat="1">
      <c r="A122" s="16" t="s">
        <v>315</v>
      </c>
      <c r="B122" s="16" t="s">
        <v>36</v>
      </c>
      <c r="C122" s="16">
        <f>POWER(G_or_C,4)</f>
        <v>9.4877179116128129E-4</v>
      </c>
      <c r="D122" s="17">
        <f t="shared" si="14"/>
        <v>948.77179116128127</v>
      </c>
      <c r="E122" s="17">
        <f t="shared" si="16"/>
        <v>719169.01770025119</v>
      </c>
      <c r="F122" s="17">
        <f t="shared" si="15"/>
        <v>1438338.0354005024</v>
      </c>
      <c r="G122" s="17">
        <f t="shared" si="17"/>
        <v>34520112.849612057</v>
      </c>
      <c r="H122" s="17">
        <f t="shared" si="18"/>
        <v>3313.9308335627575</v>
      </c>
      <c r="I122" s="18" t="str">
        <f t="shared" si="19"/>
        <v>-</v>
      </c>
      <c r="J122" s="16" t="s">
        <v>1372</v>
      </c>
    </row>
    <row r="123" spans="1:10" s="16" customFormat="1">
      <c r="A123" s="16" t="s">
        <v>313</v>
      </c>
      <c r="B123" s="16" t="s">
        <v>1253</v>
      </c>
      <c r="C123" s="16">
        <f>POWER(A_or_T,2)*POWER(G_or_C,6)</f>
        <v>3.077213575357875E-6</v>
      </c>
      <c r="D123" s="17">
        <f t="shared" si="14"/>
        <v>3.0772135753578751</v>
      </c>
      <c r="E123" s="17">
        <f t="shared" si="16"/>
        <v>2332.5278901212691</v>
      </c>
      <c r="F123" s="17">
        <f t="shared" si="15"/>
        <v>4665.0557802425383</v>
      </c>
      <c r="G123" s="17">
        <f t="shared" si="17"/>
        <v>111961.33872582091</v>
      </c>
      <c r="H123" s="17">
        <f t="shared" si="18"/>
        <v>10.748288517678809</v>
      </c>
      <c r="I123" s="18" t="str">
        <f t="shared" si="19"/>
        <v>YES</v>
      </c>
      <c r="J123" s="16" t="s">
        <v>1373</v>
      </c>
    </row>
    <row r="124" spans="1:10" s="16" customFormat="1">
      <c r="A124" s="16" t="s">
        <v>346</v>
      </c>
      <c r="B124" s="16" t="s">
        <v>53</v>
      </c>
      <c r="C124" s="16">
        <f>POWER(G_or_C,6)</f>
        <v>2.922420096311842E-5</v>
      </c>
      <c r="D124" s="17">
        <f t="shared" si="14"/>
        <v>29.22420096311842</v>
      </c>
      <c r="E124" s="17">
        <f t="shared" si="16"/>
        <v>22151.944330043763</v>
      </c>
      <c r="F124" s="17">
        <f t="shared" si="15"/>
        <v>44303.888660087527</v>
      </c>
      <c r="G124" s="17">
        <f t="shared" si="17"/>
        <v>1063293.3278421005</v>
      </c>
      <c r="H124" s="17">
        <f t="shared" si="18"/>
        <v>102.07615947284165</v>
      </c>
      <c r="I124" s="18" t="str">
        <f t="shared" si="19"/>
        <v>YES</v>
      </c>
      <c r="J124" s="16" t="s">
        <v>345</v>
      </c>
    </row>
    <row r="125" spans="1:10" s="16" customFormat="1">
      <c r="A125" s="16" t="s">
        <v>386</v>
      </c>
      <c r="B125" s="16" t="s">
        <v>43</v>
      </c>
      <c r="C125" s="16">
        <f>POWER(G_or_C,4)*0.25</f>
        <v>2.3719294779032032E-4</v>
      </c>
      <c r="D125" s="17">
        <f t="shared" si="14"/>
        <v>237.19294779032032</v>
      </c>
      <c r="E125" s="17">
        <f t="shared" si="16"/>
        <v>179792.2544250628</v>
      </c>
      <c r="F125" s="17">
        <f t="shared" si="15"/>
        <v>359584.5088501256</v>
      </c>
      <c r="G125" s="17">
        <f t="shared" si="17"/>
        <v>8630028.2124030143</v>
      </c>
      <c r="H125" s="17">
        <f t="shared" si="18"/>
        <v>828.48270839068937</v>
      </c>
      <c r="I125" s="18" t="str">
        <f t="shared" si="19"/>
        <v>-</v>
      </c>
      <c r="J125" s="16" t="s">
        <v>385</v>
      </c>
    </row>
    <row r="126" spans="1:10" s="16" customFormat="1">
      <c r="A126" s="16" t="s">
        <v>283</v>
      </c>
      <c r="B126" s="16" t="s">
        <v>43</v>
      </c>
      <c r="C126" s="16">
        <f>POWER(G_or_C,4)*0.25</f>
        <v>2.3719294779032032E-4</v>
      </c>
      <c r="D126" s="17">
        <f t="shared" si="14"/>
        <v>237.19294779032032</v>
      </c>
      <c r="E126" s="17">
        <f t="shared" si="16"/>
        <v>179792.2544250628</v>
      </c>
      <c r="F126" s="17">
        <f t="shared" si="15"/>
        <v>359584.5088501256</v>
      </c>
      <c r="G126" s="17">
        <f t="shared" si="17"/>
        <v>8630028.2124030143</v>
      </c>
      <c r="H126" s="17">
        <f t="shared" si="18"/>
        <v>828.48270839068937</v>
      </c>
      <c r="I126" s="18" t="str">
        <f t="shared" si="19"/>
        <v>-</v>
      </c>
      <c r="J126" s="16" t="s">
        <v>282</v>
      </c>
    </row>
    <row r="127" spans="1:10" s="16" customFormat="1">
      <c r="A127" s="16" t="s">
        <v>264</v>
      </c>
      <c r="B127" s="16" t="s">
        <v>37</v>
      </c>
      <c r="C127" s="16">
        <f>POWER(G_or_C,4)*POWER(0.25,7)</f>
        <v>5.7908434519121173E-8</v>
      </c>
      <c r="D127" s="17">
        <f t="shared" si="14"/>
        <v>5.7908434519121171E-2</v>
      </c>
      <c r="E127" s="17">
        <f t="shared" si="16"/>
        <v>43.894593365493847</v>
      </c>
      <c r="F127" s="17">
        <f t="shared" si="15"/>
        <v>87.789186730987694</v>
      </c>
      <c r="G127" s="17">
        <f t="shared" si="17"/>
        <v>2106.9404815437047</v>
      </c>
      <c r="H127" s="17">
        <f t="shared" si="18"/>
        <v>0.20226628622819565</v>
      </c>
      <c r="I127" s="18" t="str">
        <f t="shared" si="19"/>
        <v>YES</v>
      </c>
      <c r="J127" s="16" t="s">
        <v>1374</v>
      </c>
    </row>
    <row r="128" spans="1:10" s="16" customFormat="1">
      <c r="A128" s="16" t="s">
        <v>275</v>
      </c>
      <c r="B128" s="16" t="s">
        <v>70</v>
      </c>
      <c r="C128" s="16">
        <f>POWER(G_or_C,4)*0.5</f>
        <v>4.7438589558064065E-4</v>
      </c>
      <c r="D128" s="17">
        <f t="shared" si="14"/>
        <v>474.38589558064064</v>
      </c>
      <c r="E128" s="17">
        <f t="shared" si="16"/>
        <v>359584.5088501256</v>
      </c>
      <c r="F128" s="17">
        <f t="shared" si="15"/>
        <v>719169.01770025119</v>
      </c>
      <c r="G128" s="17">
        <f t="shared" si="17"/>
        <v>17260056.424806029</v>
      </c>
      <c r="H128" s="17">
        <f t="shared" si="18"/>
        <v>1656.9654167813787</v>
      </c>
      <c r="I128" s="18" t="str">
        <f t="shared" si="19"/>
        <v>-</v>
      </c>
      <c r="J128" s="16" t="s">
        <v>1375</v>
      </c>
    </row>
    <row r="129" spans="1:10" s="16" customFormat="1">
      <c r="A129" s="16" t="s">
        <v>110</v>
      </c>
      <c r="B129" s="16" t="s">
        <v>1250</v>
      </c>
      <c r="C129" s="16">
        <f>POWER(G_or_C,4)*POWER(A_or_T,2)</f>
        <v>9.9902592353599907E-5</v>
      </c>
      <c r="D129" s="17">
        <f t="shared" si="14"/>
        <v>99.902592353599914</v>
      </c>
      <c r="E129" s="17">
        <f t="shared" si="16"/>
        <v>75726.165004028735</v>
      </c>
      <c r="F129" s="17">
        <f t="shared" si="15"/>
        <v>151452.33000805747</v>
      </c>
      <c r="G129" s="17">
        <f t="shared" si="17"/>
        <v>3634855.9201933793</v>
      </c>
      <c r="H129" s="17">
        <f t="shared" si="18"/>
        <v>348.94616833856441</v>
      </c>
      <c r="I129" s="18" t="str">
        <f t="shared" si="19"/>
        <v>-</v>
      </c>
      <c r="J129" s="16" t="s">
        <v>1376</v>
      </c>
    </row>
    <row r="130" spans="1:10" s="16" customFormat="1">
      <c r="A130" s="16" t="s">
        <v>117</v>
      </c>
      <c r="B130" s="16" t="s">
        <v>42</v>
      </c>
      <c r="C130" s="16">
        <f>POWER(G_or_C,4)*POWER(0.33,2)</f>
        <v>1.0332124805746355E-4</v>
      </c>
      <c r="D130" s="17">
        <f t="shared" si="14"/>
        <v>103.32124805746355</v>
      </c>
      <c r="E130" s="17">
        <f t="shared" si="16"/>
        <v>78317.506027557363</v>
      </c>
      <c r="F130" s="17">
        <f t="shared" si="15"/>
        <v>156635.01205511473</v>
      </c>
      <c r="G130" s="17">
        <f t="shared" si="17"/>
        <v>3759240.2893227534</v>
      </c>
      <c r="H130" s="17">
        <f t="shared" si="18"/>
        <v>360.88706777498436</v>
      </c>
      <c r="I130" s="18" t="str">
        <f t="shared" si="19"/>
        <v>-</v>
      </c>
      <c r="J130" s="16" t="s">
        <v>1377</v>
      </c>
    </row>
    <row r="131" spans="1:10" s="16" customFormat="1">
      <c r="A131" s="16" t="s">
        <v>594</v>
      </c>
      <c r="B131" s="16" t="s">
        <v>34</v>
      </c>
      <c r="C131" s="16">
        <f>POWER(G_or_C,6)</f>
        <v>2.922420096311842E-5</v>
      </c>
      <c r="D131" s="17">
        <f t="shared" si="14"/>
        <v>29.22420096311842</v>
      </c>
      <c r="E131" s="17">
        <f t="shared" si="16"/>
        <v>22151.944330043763</v>
      </c>
      <c r="F131" s="17">
        <f t="shared" si="15"/>
        <v>44303.888660087527</v>
      </c>
      <c r="G131" s="17">
        <f t="shared" si="17"/>
        <v>1063293.3278421005</v>
      </c>
      <c r="H131" s="17">
        <f t="shared" si="18"/>
        <v>102.07615947284165</v>
      </c>
      <c r="I131" s="18" t="str">
        <f t="shared" si="19"/>
        <v>YES</v>
      </c>
      <c r="J131" s="16" t="s">
        <v>1378</v>
      </c>
    </row>
    <row r="132" spans="1:10" s="16" customFormat="1">
      <c r="A132" s="16" t="s">
        <v>806</v>
      </c>
      <c r="B132" s="16" t="s">
        <v>1254</v>
      </c>
      <c r="C132" s="16">
        <f>POWER(G_or_C,8)</f>
        <v>9.0016791170338594E-7</v>
      </c>
      <c r="D132" s="17">
        <f t="shared" si="14"/>
        <v>0.90016791170338595</v>
      </c>
      <c r="E132" s="17">
        <f t="shared" si="16"/>
        <v>682.32727707116658</v>
      </c>
      <c r="F132" s="17">
        <f t="shared" si="15"/>
        <v>1364.6545541423332</v>
      </c>
      <c r="G132" s="17">
        <f t="shared" si="17"/>
        <v>32751.709299415998</v>
      </c>
      <c r="H132" s="17">
        <f t="shared" si="18"/>
        <v>3.144164092743936</v>
      </c>
      <c r="I132" s="18" t="str">
        <f t="shared" si="19"/>
        <v>YES</v>
      </c>
      <c r="J132" s="16" t="s">
        <v>1379</v>
      </c>
    </row>
    <row r="133" spans="1:10" s="16" customFormat="1">
      <c r="A133" s="16" t="s">
        <v>720</v>
      </c>
      <c r="B133" s="16" t="s">
        <v>1255</v>
      </c>
      <c r="C133" s="16">
        <f>POWER(G_or_C,6)*0.5</f>
        <v>1.461210048155921E-5</v>
      </c>
      <c r="D133" s="17">
        <f t="shared" si="14"/>
        <v>14.61210048155921</v>
      </c>
      <c r="E133" s="17">
        <f t="shared" si="16"/>
        <v>11075.972165021882</v>
      </c>
      <c r="F133" s="17">
        <f t="shared" si="15"/>
        <v>22151.944330043763</v>
      </c>
      <c r="G133" s="17">
        <f t="shared" si="17"/>
        <v>531646.66392105026</v>
      </c>
      <c r="H133" s="17">
        <f t="shared" si="18"/>
        <v>51.038079736420826</v>
      </c>
      <c r="I133" s="18" t="str">
        <f t="shared" si="19"/>
        <v>YES</v>
      </c>
      <c r="J133" s="16" t="s">
        <v>1380</v>
      </c>
    </row>
    <row r="134" spans="1:10" s="16" customFormat="1">
      <c r="A134" s="16" t="s">
        <v>427</v>
      </c>
      <c r="B134" s="16" t="s">
        <v>13</v>
      </c>
      <c r="C134" s="16">
        <f>POWER(G_or_C,4)*0.25</f>
        <v>2.3719294779032032E-4</v>
      </c>
      <c r="D134" s="17">
        <f t="shared" si="14"/>
        <v>237.19294779032032</v>
      </c>
      <c r="E134" s="17">
        <f t="shared" si="16"/>
        <v>179792.2544250628</v>
      </c>
      <c r="F134" s="17">
        <f t="shared" si="15"/>
        <v>359584.5088501256</v>
      </c>
      <c r="G134" s="17">
        <f t="shared" si="17"/>
        <v>8630028.2124030143</v>
      </c>
      <c r="H134" s="17">
        <f t="shared" si="18"/>
        <v>828.48270839068937</v>
      </c>
      <c r="I134" s="18" t="str">
        <f t="shared" si="19"/>
        <v>-</v>
      </c>
      <c r="J134" s="16" t="s">
        <v>426</v>
      </c>
    </row>
    <row r="135" spans="1:10" s="16" customFormat="1">
      <c r="A135" s="16" t="s">
        <v>184</v>
      </c>
      <c r="B135" s="16" t="s">
        <v>1256</v>
      </c>
      <c r="C135" s="16">
        <f>POWER(G_or_C,8)</f>
        <v>9.0016791170338594E-7</v>
      </c>
      <c r="D135" s="17">
        <f t="shared" si="14"/>
        <v>0.90016791170338595</v>
      </c>
      <c r="E135" s="17">
        <f t="shared" si="16"/>
        <v>682.32727707116658</v>
      </c>
      <c r="F135" s="17">
        <f t="shared" si="15"/>
        <v>1364.6545541423332</v>
      </c>
      <c r="G135" s="17">
        <f t="shared" si="17"/>
        <v>32751.709299415998</v>
      </c>
      <c r="H135" s="17">
        <f t="shared" si="18"/>
        <v>3.144164092743936</v>
      </c>
      <c r="I135" s="18" t="str">
        <f t="shared" si="19"/>
        <v>YES</v>
      </c>
      <c r="J135" s="16" t="s">
        <v>1381</v>
      </c>
    </row>
    <row r="136" spans="1:10" s="16" customFormat="1">
      <c r="A136" s="16" t="s">
        <v>301</v>
      </c>
      <c r="B136" s="16" t="s">
        <v>1257</v>
      </c>
      <c r="C136" s="16">
        <f>POWER(G_or_C,8)*POWER(0.25,5)</f>
        <v>8.7907022627283783E-10</v>
      </c>
      <c r="D136" s="17">
        <f t="shared" si="14"/>
        <v>8.7907022627283784E-4</v>
      </c>
      <c r="E136" s="17">
        <f t="shared" si="16"/>
        <v>0.66633523151481111</v>
      </c>
      <c r="F136" s="17">
        <f t="shared" si="15"/>
        <v>1.3326704630296222</v>
      </c>
      <c r="G136" s="17">
        <f t="shared" si="17"/>
        <v>31.984091112710935</v>
      </c>
      <c r="H136" s="17">
        <f t="shared" si="18"/>
        <v>3.07047274682025E-3</v>
      </c>
      <c r="I136" s="18" t="str">
        <f t="shared" si="19"/>
        <v>YES</v>
      </c>
      <c r="J136" s="16" t="s">
        <v>1382</v>
      </c>
    </row>
    <row r="137" spans="1:10" s="16" customFormat="1">
      <c r="A137" s="16" t="s">
        <v>132</v>
      </c>
      <c r="B137" s="16" t="s">
        <v>34</v>
      </c>
      <c r="C137" s="16">
        <f>POWER(G_or_C,6)</f>
        <v>2.922420096311842E-5</v>
      </c>
      <c r="D137" s="17">
        <f t="shared" si="14"/>
        <v>29.22420096311842</v>
      </c>
      <c r="E137" s="17">
        <f t="shared" si="16"/>
        <v>22151.944330043763</v>
      </c>
      <c r="F137" s="17">
        <f t="shared" si="15"/>
        <v>44303.888660087527</v>
      </c>
      <c r="G137" s="17">
        <f t="shared" si="17"/>
        <v>1063293.3278421005</v>
      </c>
      <c r="H137" s="17">
        <f t="shared" si="18"/>
        <v>102.07615947284165</v>
      </c>
      <c r="I137" s="18" t="str">
        <f t="shared" si="19"/>
        <v>YES</v>
      </c>
      <c r="J137" s="16" t="s">
        <v>1383</v>
      </c>
    </row>
    <row r="138" spans="1:10" s="16" customFormat="1">
      <c r="A138" s="16" t="s">
        <v>119</v>
      </c>
      <c r="B138" s="16" t="s">
        <v>75</v>
      </c>
      <c r="C138" s="16">
        <f>POWER(G_or_C,6)</f>
        <v>2.922420096311842E-5</v>
      </c>
      <c r="D138" s="17">
        <f t="shared" si="14"/>
        <v>29.22420096311842</v>
      </c>
      <c r="E138" s="17">
        <f t="shared" si="16"/>
        <v>22151.944330043763</v>
      </c>
      <c r="F138" s="17">
        <f t="shared" si="15"/>
        <v>44303.888660087527</v>
      </c>
      <c r="G138" s="17">
        <f t="shared" si="17"/>
        <v>1063293.3278421005</v>
      </c>
      <c r="H138" s="17">
        <f t="shared" si="18"/>
        <v>102.07615947284165</v>
      </c>
      <c r="I138" s="18" t="str">
        <f t="shared" si="19"/>
        <v>YES</v>
      </c>
      <c r="J138" s="16" t="s">
        <v>1384</v>
      </c>
    </row>
    <row r="139" spans="1:10" s="16" customFormat="1">
      <c r="A139" s="16" t="s">
        <v>288</v>
      </c>
      <c r="B139" s="16" t="s">
        <v>13</v>
      </c>
      <c r="C139" s="16">
        <f>POWER(G_or_C,4)*0.25</f>
        <v>2.3719294779032032E-4</v>
      </c>
      <c r="D139" s="17">
        <f t="shared" si="14"/>
        <v>237.19294779032032</v>
      </c>
      <c r="E139" s="17">
        <f t="shared" si="16"/>
        <v>179792.2544250628</v>
      </c>
      <c r="F139" s="17">
        <f t="shared" si="15"/>
        <v>359584.5088501256</v>
      </c>
      <c r="G139" s="17">
        <f t="shared" si="17"/>
        <v>8630028.2124030143</v>
      </c>
      <c r="H139" s="17">
        <f t="shared" si="18"/>
        <v>828.48270839068937</v>
      </c>
      <c r="I139" s="18" t="str">
        <f t="shared" si="19"/>
        <v>-</v>
      </c>
      <c r="J139" s="16" t="s">
        <v>287</v>
      </c>
    </row>
    <row r="140" spans="1:10" s="16" customFormat="1">
      <c r="A140" s="16" t="s">
        <v>194</v>
      </c>
      <c r="B140" s="16" t="s">
        <v>66</v>
      </c>
      <c r="C140" s="16">
        <f>POWER(G_or_C,4)*POWER(A_or_T,2)</f>
        <v>9.9902592353599907E-5</v>
      </c>
      <c r="D140" s="17">
        <f t="shared" si="14"/>
        <v>99.902592353599914</v>
      </c>
      <c r="E140" s="17">
        <f t="shared" si="16"/>
        <v>75726.165004028735</v>
      </c>
      <c r="F140" s="17">
        <f t="shared" si="15"/>
        <v>151452.33000805747</v>
      </c>
      <c r="G140" s="17">
        <f t="shared" si="17"/>
        <v>3634855.9201933793</v>
      </c>
      <c r="H140" s="17">
        <f t="shared" si="18"/>
        <v>348.94616833856441</v>
      </c>
      <c r="I140" s="18" t="str">
        <f t="shared" si="19"/>
        <v>-</v>
      </c>
      <c r="J140" s="16" t="s">
        <v>193</v>
      </c>
    </row>
    <row r="141" spans="1:10" s="16" customFormat="1">
      <c r="A141" s="16" t="s">
        <v>296</v>
      </c>
      <c r="B141" s="16" t="s">
        <v>23</v>
      </c>
      <c r="C141" s="16">
        <f>POWER(G_or_C,4)*0.5</f>
        <v>4.7438589558064065E-4</v>
      </c>
      <c r="D141" s="17">
        <f t="shared" si="14"/>
        <v>474.38589558064064</v>
      </c>
      <c r="E141" s="17">
        <f t="shared" ref="E141:E173" si="20">C141*1000000*megabases_genome</f>
        <v>359584.5088501256</v>
      </c>
      <c r="F141" s="17">
        <f t="shared" si="15"/>
        <v>719169.01770025119</v>
      </c>
      <c r="G141" s="17">
        <f t="shared" ref="G141:G172" si="21">F141*fold_coverage</f>
        <v>17260056.424806029</v>
      </c>
      <c r="H141" s="17">
        <f t="shared" ref="H141:H172" si="22">G141*plexity/1000000</f>
        <v>1656.9654167813787</v>
      </c>
      <c r="I141" s="18" t="str">
        <f t="shared" ref="I141:I172" si="23">IF(H141/million_reads_per_lane&lt;1, "YES","-")</f>
        <v>-</v>
      </c>
      <c r="J141" s="16" t="s">
        <v>295</v>
      </c>
    </row>
    <row r="142" spans="1:10" s="16" customFormat="1">
      <c r="A142" s="16" t="s">
        <v>128</v>
      </c>
      <c r="B142" s="16" t="s">
        <v>46</v>
      </c>
      <c r="C142" s="16">
        <f>POWER(G_or_C,4)*POWER(0.5,2)</f>
        <v>2.3719294779032032E-4</v>
      </c>
      <c r="D142" s="17">
        <f t="shared" ref="D142:D173" si="24">1000000*C142</f>
        <v>237.19294779032032</v>
      </c>
      <c r="E142" s="17">
        <f t="shared" si="20"/>
        <v>179792.2544250628</v>
      </c>
      <c r="F142" s="17">
        <f t="shared" ref="F142:F173" si="25">E142*2</f>
        <v>359584.5088501256</v>
      </c>
      <c r="G142" s="17">
        <f t="shared" si="21"/>
        <v>8630028.2124030143</v>
      </c>
      <c r="H142" s="17">
        <f t="shared" si="22"/>
        <v>828.48270839068937</v>
      </c>
      <c r="I142" s="18" t="str">
        <f t="shared" si="23"/>
        <v>-</v>
      </c>
      <c r="J142" s="16" t="s">
        <v>1385</v>
      </c>
    </row>
    <row r="143" spans="1:10" s="16" customFormat="1">
      <c r="A143" s="16" t="s">
        <v>492</v>
      </c>
      <c r="B143" s="16" t="s">
        <v>80</v>
      </c>
      <c r="C143" s="16">
        <f>POWER(G_or_C,4)*POWER(0.5,2)</f>
        <v>2.3719294779032032E-4</v>
      </c>
      <c r="D143" s="17">
        <f t="shared" si="24"/>
        <v>237.19294779032032</v>
      </c>
      <c r="E143" s="17">
        <f t="shared" si="20"/>
        <v>179792.2544250628</v>
      </c>
      <c r="F143" s="17">
        <f t="shared" si="25"/>
        <v>359584.5088501256</v>
      </c>
      <c r="G143" s="17">
        <f t="shared" si="21"/>
        <v>8630028.2124030143</v>
      </c>
      <c r="H143" s="17">
        <f t="shared" si="22"/>
        <v>828.48270839068937</v>
      </c>
      <c r="I143" s="18" t="str">
        <f t="shared" si="23"/>
        <v>-</v>
      </c>
      <c r="J143" s="16" t="s">
        <v>1386</v>
      </c>
    </row>
    <row r="144" spans="1:10" s="16" customFormat="1">
      <c r="A144" s="16" t="s">
        <v>130</v>
      </c>
      <c r="B144" s="16" t="s">
        <v>55</v>
      </c>
      <c r="C144" s="16">
        <f>POWER(G_or_C,4)*POWER(0.5,2)</f>
        <v>2.3719294779032032E-4</v>
      </c>
      <c r="D144" s="17">
        <f t="shared" si="24"/>
        <v>237.19294779032032</v>
      </c>
      <c r="E144" s="17">
        <f t="shared" si="20"/>
        <v>179792.2544250628</v>
      </c>
      <c r="F144" s="17">
        <f t="shared" si="25"/>
        <v>359584.5088501256</v>
      </c>
      <c r="G144" s="17">
        <f t="shared" si="21"/>
        <v>8630028.2124030143</v>
      </c>
      <c r="H144" s="17">
        <f t="shared" si="22"/>
        <v>828.48270839068937</v>
      </c>
      <c r="I144" s="18" t="str">
        <f t="shared" si="23"/>
        <v>-</v>
      </c>
      <c r="J144" s="16" t="s">
        <v>1387</v>
      </c>
    </row>
    <row r="145" spans="1:10" s="16" customFormat="1">
      <c r="A145" s="16" t="s">
        <v>486</v>
      </c>
      <c r="B145" s="16" t="s">
        <v>74</v>
      </c>
      <c r="C145" s="16">
        <f>POWER(A_or_T,2)*POWER(G_or_C,2)*POWER(0.5,2)</f>
        <v>8.1084134352039895E-4</v>
      </c>
      <c r="D145" s="17">
        <f t="shared" si="24"/>
        <v>810.84134352039894</v>
      </c>
      <c r="E145" s="17">
        <f t="shared" si="20"/>
        <v>614617.73838846234</v>
      </c>
      <c r="F145" s="17">
        <f t="shared" si="25"/>
        <v>1229235.4767769247</v>
      </c>
      <c r="G145" s="17">
        <f t="shared" si="21"/>
        <v>29501651.442646191</v>
      </c>
      <c r="H145" s="17">
        <f t="shared" si="22"/>
        <v>2832.1585384940345</v>
      </c>
      <c r="I145" s="18" t="str">
        <f t="shared" si="23"/>
        <v>-</v>
      </c>
      <c r="J145" s="16" t="s">
        <v>1388</v>
      </c>
    </row>
    <row r="146" spans="1:10" s="16" customFormat="1">
      <c r="A146" s="16" t="s">
        <v>354</v>
      </c>
      <c r="B146" s="16" t="s">
        <v>19</v>
      </c>
      <c r="C146" s="16">
        <f>POWER(G_or_C,2)*POWER(A_or_T,2)</f>
        <v>3.2433653740815958E-3</v>
      </c>
      <c r="D146" s="17">
        <f t="shared" si="24"/>
        <v>3243.3653740815957</v>
      </c>
      <c r="E146" s="17">
        <f t="shared" si="20"/>
        <v>2458470.9535538494</v>
      </c>
      <c r="F146" s="17">
        <f t="shared" si="25"/>
        <v>4916941.9071076987</v>
      </c>
      <c r="G146" s="17">
        <f t="shared" si="21"/>
        <v>118006605.77058476</v>
      </c>
      <c r="H146" s="17">
        <f t="shared" si="22"/>
        <v>11328.634153976138</v>
      </c>
      <c r="I146" s="18" t="str">
        <f t="shared" si="23"/>
        <v>-</v>
      </c>
      <c r="J146" s="16" t="s">
        <v>353</v>
      </c>
    </row>
    <row r="147" spans="1:10" s="16" customFormat="1">
      <c r="A147" s="16" t="s">
        <v>115</v>
      </c>
      <c r="B147" s="16" t="s">
        <v>41</v>
      </c>
      <c r="C147" s="16">
        <f>POWER(G_or_C,4)*POWER(0.5,2)</f>
        <v>2.3719294779032032E-4</v>
      </c>
      <c r="D147" s="17">
        <f t="shared" si="24"/>
        <v>237.19294779032032</v>
      </c>
      <c r="E147" s="17">
        <f t="shared" si="20"/>
        <v>179792.2544250628</v>
      </c>
      <c r="F147" s="17">
        <f t="shared" si="25"/>
        <v>359584.5088501256</v>
      </c>
      <c r="G147" s="17">
        <f t="shared" si="21"/>
        <v>8630028.2124030143</v>
      </c>
      <c r="H147" s="17">
        <f t="shared" si="22"/>
        <v>828.48270839068937</v>
      </c>
      <c r="I147" s="18" t="str">
        <f t="shared" si="23"/>
        <v>-</v>
      </c>
      <c r="J147" s="16" t="s">
        <v>1389</v>
      </c>
    </row>
    <row r="148" spans="1:10" s="16" customFormat="1">
      <c r="A148" s="16" t="s">
        <v>782</v>
      </c>
      <c r="B148" s="16" t="s">
        <v>1258</v>
      </c>
      <c r="C148" s="16">
        <f>POWER(A_or_T,4)*POWER(0.5,2)</f>
        <v>2.7718517371063097E-3</v>
      </c>
      <c r="D148" s="17">
        <f t="shared" si="24"/>
        <v>2771.8517371063099</v>
      </c>
      <c r="E148" s="17">
        <f t="shared" si="20"/>
        <v>2101063.6167265829</v>
      </c>
      <c r="F148" s="17">
        <f t="shared" si="25"/>
        <v>4202127.2334531657</v>
      </c>
      <c r="G148" s="17">
        <f t="shared" si="21"/>
        <v>100851053.60287598</v>
      </c>
      <c r="H148" s="17">
        <f t="shared" si="22"/>
        <v>9681.7011458760953</v>
      </c>
      <c r="I148" s="18" t="str">
        <f t="shared" si="23"/>
        <v>-</v>
      </c>
      <c r="J148" s="16" t="s">
        <v>1390</v>
      </c>
    </row>
    <row r="149" spans="1:10" s="16" customFormat="1">
      <c r="A149" s="16" t="s">
        <v>834</v>
      </c>
      <c r="B149" s="16" t="s">
        <v>57</v>
      </c>
      <c r="C149" s="16">
        <f>POWER(G_or_C,4)*POWER(0.5,2)</f>
        <v>2.3719294779032032E-4</v>
      </c>
      <c r="D149" s="17">
        <f t="shared" si="24"/>
        <v>237.19294779032032</v>
      </c>
      <c r="E149" s="17">
        <f t="shared" si="20"/>
        <v>179792.2544250628</v>
      </c>
      <c r="F149" s="17">
        <f t="shared" si="25"/>
        <v>359584.5088501256</v>
      </c>
      <c r="G149" s="17">
        <f t="shared" si="21"/>
        <v>8630028.2124030143</v>
      </c>
      <c r="H149" s="17">
        <f t="shared" si="22"/>
        <v>828.48270839068937</v>
      </c>
      <c r="I149" s="18" t="str">
        <f t="shared" si="23"/>
        <v>-</v>
      </c>
      <c r="J149" s="16" t="s">
        <v>1391</v>
      </c>
    </row>
    <row r="150" spans="1:10" s="16" customFormat="1">
      <c r="A150" s="16" t="s">
        <v>850</v>
      </c>
      <c r="B150" s="16" t="s">
        <v>15</v>
      </c>
      <c r="C150" s="16">
        <f>POWER(G_or_C,2)*POWER(A_or_T,2)*POWER(0.5,2)</f>
        <v>8.1084134352039895E-4</v>
      </c>
      <c r="D150" s="17">
        <f t="shared" si="24"/>
        <v>810.84134352039894</v>
      </c>
      <c r="E150" s="17">
        <f t="shared" si="20"/>
        <v>614617.73838846234</v>
      </c>
      <c r="F150" s="17">
        <f t="shared" si="25"/>
        <v>1229235.4767769247</v>
      </c>
      <c r="G150" s="17">
        <f t="shared" si="21"/>
        <v>29501651.442646191</v>
      </c>
      <c r="H150" s="17">
        <f t="shared" si="22"/>
        <v>2832.1585384940345</v>
      </c>
      <c r="I150" s="18" t="str">
        <f t="shared" si="23"/>
        <v>-</v>
      </c>
      <c r="J150" s="16" t="s">
        <v>1392</v>
      </c>
    </row>
    <row r="151" spans="1:10" s="16" customFormat="1">
      <c r="A151" s="16" t="s">
        <v>126</v>
      </c>
      <c r="B151" s="16" t="s">
        <v>88</v>
      </c>
      <c r="C151" s="16">
        <f>POWER(G_or_C,2)*POWER(A_or_T,2)*POWER(0.5,2)</f>
        <v>8.1084134352039895E-4</v>
      </c>
      <c r="D151" s="17">
        <f t="shared" si="24"/>
        <v>810.84134352039894</v>
      </c>
      <c r="E151" s="17">
        <f t="shared" si="20"/>
        <v>614617.73838846234</v>
      </c>
      <c r="F151" s="17">
        <f t="shared" si="25"/>
        <v>1229235.4767769247</v>
      </c>
      <c r="G151" s="17">
        <f t="shared" si="21"/>
        <v>29501651.442646191</v>
      </c>
      <c r="H151" s="17">
        <f t="shared" si="22"/>
        <v>2832.1585384940345</v>
      </c>
      <c r="I151" s="18" t="str">
        <f t="shared" si="23"/>
        <v>-</v>
      </c>
      <c r="J151" s="16" t="s">
        <v>1393</v>
      </c>
    </row>
    <row r="152" spans="1:10" s="16" customFormat="1">
      <c r="A152" s="16" t="s">
        <v>699</v>
      </c>
      <c r="B152" s="16" t="s">
        <v>97</v>
      </c>
      <c r="C152" s="16">
        <f>POWER(G_or_C,4)*POWER(0.5,2)*0.25</f>
        <v>5.9298236947580081E-5</v>
      </c>
      <c r="D152" s="17">
        <f t="shared" si="24"/>
        <v>59.298236947580079</v>
      </c>
      <c r="E152" s="17">
        <f t="shared" si="20"/>
        <v>44948.063606265699</v>
      </c>
      <c r="F152" s="17">
        <f t="shared" si="25"/>
        <v>89896.127212531399</v>
      </c>
      <c r="G152" s="17">
        <f t="shared" si="21"/>
        <v>2157507.0531007536</v>
      </c>
      <c r="H152" s="17">
        <f t="shared" si="22"/>
        <v>207.12067709767234</v>
      </c>
      <c r="I152" s="18" t="str">
        <f t="shared" si="23"/>
        <v>-</v>
      </c>
      <c r="J152" s="16" t="s">
        <v>1394</v>
      </c>
    </row>
    <row r="153" spans="1:10" s="16" customFormat="1">
      <c r="A153" s="16" t="s">
        <v>735</v>
      </c>
      <c r="B153" s="16" t="s">
        <v>90</v>
      </c>
      <c r="C153" s="16">
        <f>POWER(G_or_C,4)*POWER(0.5,3)</f>
        <v>1.1859647389516016E-4</v>
      </c>
      <c r="D153" s="17">
        <f t="shared" si="24"/>
        <v>118.59647389516016</v>
      </c>
      <c r="E153" s="17">
        <f t="shared" si="20"/>
        <v>89896.127212531399</v>
      </c>
      <c r="F153" s="17">
        <f t="shared" si="25"/>
        <v>179792.2544250628</v>
      </c>
      <c r="G153" s="17">
        <f t="shared" si="21"/>
        <v>4315014.1062015072</v>
      </c>
      <c r="H153" s="17">
        <f t="shared" si="22"/>
        <v>414.24135419534468</v>
      </c>
      <c r="I153" s="18" t="str">
        <f t="shared" si="23"/>
        <v>-</v>
      </c>
      <c r="J153" s="16" t="s">
        <v>1395</v>
      </c>
    </row>
    <row r="154" spans="1:10" s="16" customFormat="1">
      <c r="A154" s="16" t="s">
        <v>108</v>
      </c>
      <c r="B154" s="16" t="s">
        <v>62</v>
      </c>
      <c r="C154" s="16">
        <f>POWER(G_or_C,4)*POWER(0.5,2)</f>
        <v>2.3719294779032032E-4</v>
      </c>
      <c r="D154" s="17">
        <f t="shared" si="24"/>
        <v>237.19294779032032</v>
      </c>
      <c r="E154" s="17">
        <f t="shared" si="20"/>
        <v>179792.2544250628</v>
      </c>
      <c r="F154" s="17">
        <f t="shared" si="25"/>
        <v>359584.5088501256</v>
      </c>
      <c r="G154" s="17">
        <f t="shared" si="21"/>
        <v>8630028.2124030143</v>
      </c>
      <c r="H154" s="17">
        <f t="shared" si="22"/>
        <v>828.48270839068937</v>
      </c>
      <c r="I154" s="18" t="str">
        <f t="shared" si="23"/>
        <v>-</v>
      </c>
      <c r="J154" s="16" t="s">
        <v>1396</v>
      </c>
    </row>
    <row r="155" spans="1:10" s="16" customFormat="1">
      <c r="A155" s="16" t="s">
        <v>291</v>
      </c>
      <c r="B155" s="16" t="s">
        <v>97</v>
      </c>
      <c r="C155" s="16">
        <f>POWER(G_or_C,4)*POWER(0.5,2)*0.25</f>
        <v>5.9298236947580081E-5</v>
      </c>
      <c r="D155" s="17">
        <f t="shared" si="24"/>
        <v>59.298236947580079</v>
      </c>
      <c r="E155" s="17">
        <f t="shared" si="20"/>
        <v>44948.063606265699</v>
      </c>
      <c r="F155" s="17">
        <f t="shared" si="25"/>
        <v>89896.127212531399</v>
      </c>
      <c r="G155" s="17">
        <f t="shared" si="21"/>
        <v>2157507.0531007536</v>
      </c>
      <c r="H155" s="17">
        <f t="shared" si="22"/>
        <v>207.12067709767234</v>
      </c>
      <c r="I155" s="18" t="str">
        <f t="shared" si="23"/>
        <v>-</v>
      </c>
      <c r="J155" s="16" t="s">
        <v>1397</v>
      </c>
    </row>
    <row r="156" spans="1:10" s="16" customFormat="1">
      <c r="A156" s="16" t="s">
        <v>901</v>
      </c>
      <c r="B156" s="16" t="s">
        <v>92</v>
      </c>
      <c r="C156" s="16">
        <f>POWER(A_or_T,4)*POWER(G_or_C,2)</f>
        <v>3.4151585432789768E-4</v>
      </c>
      <c r="D156" s="17">
        <f t="shared" si="24"/>
        <v>341.51585432789767</v>
      </c>
      <c r="E156" s="17">
        <f t="shared" si="20"/>
        <v>258869.01758054644</v>
      </c>
      <c r="F156" s="17">
        <f t="shared" si="25"/>
        <v>517738.03516109288</v>
      </c>
      <c r="G156" s="17">
        <f t="shared" si="21"/>
        <v>12425712.843866229</v>
      </c>
      <c r="H156" s="17">
        <f t="shared" si="22"/>
        <v>1192.868433011158</v>
      </c>
      <c r="I156" s="18" t="str">
        <f t="shared" si="23"/>
        <v>-</v>
      </c>
      <c r="J156" s="16" t="s">
        <v>1398</v>
      </c>
    </row>
    <row r="157" spans="1:10" s="16" customFormat="1">
      <c r="A157" s="16" t="s">
        <v>776</v>
      </c>
      <c r="B157" s="16" t="s">
        <v>35</v>
      </c>
      <c r="C157" s="16">
        <f>POWER(A_or_T,2)*POWER(G_or_C,4)</f>
        <v>9.9902592353599907E-5</v>
      </c>
      <c r="D157" s="17">
        <f t="shared" si="24"/>
        <v>99.902592353599914</v>
      </c>
      <c r="E157" s="17">
        <f t="shared" si="20"/>
        <v>75726.165004028735</v>
      </c>
      <c r="F157" s="17">
        <f t="shared" si="25"/>
        <v>151452.33000805747</v>
      </c>
      <c r="G157" s="17">
        <f t="shared" si="21"/>
        <v>3634855.9201933793</v>
      </c>
      <c r="H157" s="17">
        <f t="shared" si="22"/>
        <v>348.94616833856441</v>
      </c>
      <c r="I157" s="18" t="str">
        <f t="shared" si="23"/>
        <v>-</v>
      </c>
      <c r="J157" s="16" t="s">
        <v>1399</v>
      </c>
    </row>
    <row r="158" spans="1:10" s="16" customFormat="1">
      <c r="A158" s="16" t="s">
        <v>1214</v>
      </c>
      <c r="B158" s="16" t="s">
        <v>1259</v>
      </c>
      <c r="C158" s="16">
        <f>POWER(A_or_T,2)*POWER(G_or_C,4)*0.25</f>
        <v>2.4975648088399977E-5</v>
      </c>
      <c r="D158" s="17">
        <f t="shared" si="24"/>
        <v>24.975648088399979</v>
      </c>
      <c r="E158" s="17">
        <f t="shared" si="20"/>
        <v>18931.541251007184</v>
      </c>
      <c r="F158" s="17">
        <f t="shared" si="25"/>
        <v>37863.082502014367</v>
      </c>
      <c r="G158" s="17">
        <f t="shared" si="21"/>
        <v>908713.98004834482</v>
      </c>
      <c r="H158" s="17">
        <f t="shared" si="22"/>
        <v>87.236542084641101</v>
      </c>
      <c r="I158" s="18" t="str">
        <f t="shared" si="23"/>
        <v>YES</v>
      </c>
      <c r="J158" s="16" t="s">
        <v>1213</v>
      </c>
    </row>
    <row r="159" spans="1:10" s="16" customFormat="1">
      <c r="A159" s="16" t="s">
        <v>615</v>
      </c>
      <c r="B159" s="16" t="s">
        <v>73</v>
      </c>
      <c r="C159" s="16">
        <f>POWER(G_or_C,2)*POWER(A_or_T,2)</f>
        <v>3.2433653740815958E-3</v>
      </c>
      <c r="D159" s="17">
        <f t="shared" si="24"/>
        <v>3243.3653740815957</v>
      </c>
      <c r="E159" s="17">
        <f t="shared" si="20"/>
        <v>2458470.9535538494</v>
      </c>
      <c r="F159" s="17">
        <f t="shared" si="25"/>
        <v>4916941.9071076987</v>
      </c>
      <c r="G159" s="17">
        <f t="shared" si="21"/>
        <v>118006605.77058476</v>
      </c>
      <c r="H159" s="17">
        <f t="shared" si="22"/>
        <v>11328.634153976138</v>
      </c>
      <c r="I159" s="18" t="str">
        <f t="shared" si="23"/>
        <v>-</v>
      </c>
      <c r="J159" s="16" t="s">
        <v>1400</v>
      </c>
    </row>
    <row r="160" spans="1:10" s="16" customFormat="1">
      <c r="A160" s="16" t="s">
        <v>895</v>
      </c>
      <c r="B160" s="16" t="s">
        <v>67</v>
      </c>
      <c r="C160" s="16">
        <f>POWER(A_or_T,4)*POWER(G_or_C,2)</f>
        <v>3.4151585432789768E-4</v>
      </c>
      <c r="D160" s="17">
        <f t="shared" si="24"/>
        <v>341.51585432789767</v>
      </c>
      <c r="E160" s="17">
        <f t="shared" si="20"/>
        <v>258869.01758054644</v>
      </c>
      <c r="F160" s="17">
        <f t="shared" si="25"/>
        <v>517738.03516109288</v>
      </c>
      <c r="G160" s="17">
        <f t="shared" si="21"/>
        <v>12425712.843866229</v>
      </c>
      <c r="H160" s="17">
        <f t="shared" si="22"/>
        <v>1192.868433011158</v>
      </c>
      <c r="I160" s="18" t="str">
        <f t="shared" si="23"/>
        <v>-</v>
      </c>
      <c r="J160" s="16" t="s">
        <v>1401</v>
      </c>
    </row>
    <row r="161" spans="1:10" s="16" customFormat="1">
      <c r="A161" s="16" t="s">
        <v>764</v>
      </c>
      <c r="B161" s="16" t="s">
        <v>30</v>
      </c>
      <c r="C161" s="16">
        <f>POWER(A_or_T,4)*POWER(G_or_C,2)</f>
        <v>3.4151585432789768E-4</v>
      </c>
      <c r="D161" s="17">
        <f t="shared" si="24"/>
        <v>341.51585432789767</v>
      </c>
      <c r="E161" s="17">
        <f t="shared" si="20"/>
        <v>258869.01758054644</v>
      </c>
      <c r="F161" s="17">
        <f t="shared" si="25"/>
        <v>517738.03516109288</v>
      </c>
      <c r="G161" s="17">
        <f t="shared" si="21"/>
        <v>12425712.843866229</v>
      </c>
      <c r="H161" s="17">
        <f t="shared" si="22"/>
        <v>1192.868433011158</v>
      </c>
      <c r="I161" s="18" t="str">
        <f t="shared" si="23"/>
        <v>-</v>
      </c>
      <c r="J161" s="16" t="s">
        <v>1402</v>
      </c>
    </row>
    <row r="162" spans="1:10" s="16" customFormat="1">
      <c r="A162" s="16" t="s">
        <v>762</v>
      </c>
      <c r="B162" s="16" t="s">
        <v>61</v>
      </c>
      <c r="C162" s="16">
        <f>POWER(A_or_T,4)*POWER(G_or_C,2)</f>
        <v>3.4151585432789768E-4</v>
      </c>
      <c r="D162" s="17">
        <f t="shared" si="24"/>
        <v>341.51585432789767</v>
      </c>
      <c r="E162" s="17">
        <f t="shared" si="20"/>
        <v>258869.01758054644</v>
      </c>
      <c r="F162" s="17">
        <f t="shared" si="25"/>
        <v>517738.03516109288</v>
      </c>
      <c r="G162" s="17">
        <f t="shared" si="21"/>
        <v>12425712.843866229</v>
      </c>
      <c r="H162" s="17">
        <f t="shared" si="22"/>
        <v>1192.868433011158</v>
      </c>
      <c r="I162" s="18" t="str">
        <f t="shared" si="23"/>
        <v>-</v>
      </c>
      <c r="J162" s="16" t="s">
        <v>1403</v>
      </c>
    </row>
    <row r="163" spans="1:10" s="16" customFormat="1">
      <c r="A163" s="16" t="s">
        <v>599</v>
      </c>
      <c r="B163" s="16" t="s">
        <v>1260</v>
      </c>
      <c r="C163" s="16">
        <f>POWER(A_or_T,4)</f>
        <v>1.1087406948425239E-2</v>
      </c>
      <c r="D163" s="17">
        <f t="shared" si="24"/>
        <v>11087.40694842524</v>
      </c>
      <c r="E163" s="17">
        <f t="shared" si="20"/>
        <v>8404254.4669063315</v>
      </c>
      <c r="F163" s="17">
        <f t="shared" si="25"/>
        <v>16808508.933812663</v>
      </c>
      <c r="G163" s="17">
        <f t="shared" si="21"/>
        <v>403404214.41150391</v>
      </c>
      <c r="H163" s="17">
        <f t="shared" si="22"/>
        <v>38726.804583504381</v>
      </c>
      <c r="I163" s="18" t="str">
        <f t="shared" si="23"/>
        <v>-</v>
      </c>
      <c r="J163" s="16" t="s">
        <v>1404</v>
      </c>
    </row>
    <row r="164" spans="1:10" s="16" customFormat="1">
      <c r="A164" s="16" t="s">
        <v>581</v>
      </c>
      <c r="B164" s="16" t="s">
        <v>83</v>
      </c>
      <c r="C164" s="16">
        <f>POWER(G_or_C,2)*POWER(A_or_T,2)*POWER(0.25,2)</f>
        <v>2.0271033588009974E-4</v>
      </c>
      <c r="D164" s="17">
        <f t="shared" si="24"/>
        <v>202.71033588009973</v>
      </c>
      <c r="E164" s="17">
        <f t="shared" si="20"/>
        <v>153654.43459711559</v>
      </c>
      <c r="F164" s="17">
        <f t="shared" si="25"/>
        <v>307308.86919423117</v>
      </c>
      <c r="G164" s="17">
        <f t="shared" si="21"/>
        <v>7375412.8606615476</v>
      </c>
      <c r="H164" s="17">
        <f t="shared" si="22"/>
        <v>708.03963462350862</v>
      </c>
      <c r="I164" s="18" t="str">
        <f t="shared" si="23"/>
        <v>-</v>
      </c>
      <c r="J164" s="16" t="s">
        <v>1405</v>
      </c>
    </row>
    <row r="165" spans="1:10" s="16" customFormat="1">
      <c r="A165" s="16" t="s">
        <v>395</v>
      </c>
      <c r="B165" s="16" t="s">
        <v>81</v>
      </c>
      <c r="C165" s="16">
        <f>POWER(G_or_C,2)*POWER(A_or_T,2)*0.25</f>
        <v>8.1084134352039895E-4</v>
      </c>
      <c r="D165" s="17">
        <f t="shared" si="24"/>
        <v>810.84134352039894</v>
      </c>
      <c r="E165" s="17">
        <f t="shared" si="20"/>
        <v>614617.73838846234</v>
      </c>
      <c r="F165" s="17">
        <f t="shared" si="25"/>
        <v>1229235.4767769247</v>
      </c>
      <c r="G165" s="17">
        <f t="shared" si="21"/>
        <v>29501651.442646191</v>
      </c>
      <c r="H165" s="17">
        <f t="shared" si="22"/>
        <v>2832.1585384940345</v>
      </c>
      <c r="I165" s="18" t="str">
        <f t="shared" si="23"/>
        <v>-</v>
      </c>
      <c r="J165" s="16" t="s">
        <v>394</v>
      </c>
    </row>
    <row r="166" spans="1:10" s="16" customFormat="1">
      <c r="A166" s="16" t="s">
        <v>490</v>
      </c>
      <c r="B166" s="16" t="s">
        <v>6</v>
      </c>
      <c r="C166" s="16">
        <f>POWER(A_or_T,4)*POWER(G_or_C,2)</f>
        <v>3.4151585432789768E-4</v>
      </c>
      <c r="D166" s="17">
        <f t="shared" si="24"/>
        <v>341.51585432789767</v>
      </c>
      <c r="E166" s="17">
        <f t="shared" si="20"/>
        <v>258869.01758054644</v>
      </c>
      <c r="F166" s="17">
        <f t="shared" si="25"/>
        <v>517738.03516109288</v>
      </c>
      <c r="G166" s="17">
        <f t="shared" si="21"/>
        <v>12425712.843866229</v>
      </c>
      <c r="H166" s="17">
        <f t="shared" si="22"/>
        <v>1192.868433011158</v>
      </c>
      <c r="I166" s="18" t="str">
        <f t="shared" si="23"/>
        <v>-</v>
      </c>
      <c r="J166" s="16" t="s">
        <v>1406</v>
      </c>
    </row>
    <row r="167" spans="1:10" s="16" customFormat="1">
      <c r="A167" s="16" t="s">
        <v>356</v>
      </c>
      <c r="B167" s="16" t="s">
        <v>1261</v>
      </c>
      <c r="C167" s="16">
        <f>POWER(A_or_T,8)</f>
        <v>1.2293059283998827E-4</v>
      </c>
      <c r="D167" s="17">
        <f t="shared" si="24"/>
        <v>122.93059283998828</v>
      </c>
      <c r="E167" s="17">
        <f t="shared" si="20"/>
        <v>93181.389372711114</v>
      </c>
      <c r="F167" s="17">
        <f t="shared" si="25"/>
        <v>186362.77874542223</v>
      </c>
      <c r="G167" s="17">
        <f t="shared" si="21"/>
        <v>4472706.6898901332</v>
      </c>
      <c r="H167" s="17">
        <f t="shared" si="22"/>
        <v>429.37984222945278</v>
      </c>
      <c r="I167" s="18" t="str">
        <f t="shared" si="23"/>
        <v>-</v>
      </c>
      <c r="J167" s="16" t="s">
        <v>355</v>
      </c>
    </row>
    <row r="168" spans="1:10" s="16" customFormat="1">
      <c r="A168" s="16" t="s">
        <v>380</v>
      </c>
      <c r="B168" s="16" t="s">
        <v>1262</v>
      </c>
      <c r="C168" s="16">
        <f>POWER(A_or_T,4)*0.5</f>
        <v>5.5437034742126193E-3</v>
      </c>
      <c r="D168" s="17">
        <f t="shared" si="24"/>
        <v>5543.7034742126198</v>
      </c>
      <c r="E168" s="17">
        <f t="shared" si="20"/>
        <v>4202127.2334531657</v>
      </c>
      <c r="F168" s="17">
        <f t="shared" si="25"/>
        <v>8404254.4669063315</v>
      </c>
      <c r="G168" s="17">
        <f t="shared" si="21"/>
        <v>201702107.20575196</v>
      </c>
      <c r="H168" s="17">
        <f t="shared" si="22"/>
        <v>19363.402291752191</v>
      </c>
      <c r="I168" s="18" t="str">
        <f t="shared" si="23"/>
        <v>-</v>
      </c>
      <c r="J168" s="16" t="s">
        <v>379</v>
      </c>
    </row>
    <row r="169" spans="1:10" s="16" customFormat="1">
      <c r="A169" s="16" t="s">
        <v>1085</v>
      </c>
      <c r="B169" s="16" t="s">
        <v>1263</v>
      </c>
      <c r="C169" s="16">
        <f>POWER(A_or_T,2)*POWER(G_or_C,4)*POWER(0.33,2)</f>
        <v>1.0879392307307031E-5</v>
      </c>
      <c r="D169" s="17">
        <f t="shared" si="24"/>
        <v>10.879392307307031</v>
      </c>
      <c r="E169" s="17">
        <f t="shared" si="20"/>
        <v>8246.5793689387301</v>
      </c>
      <c r="F169" s="17">
        <f t="shared" si="25"/>
        <v>16493.15873787746</v>
      </c>
      <c r="G169" s="17">
        <f t="shared" si="21"/>
        <v>395835.80970905907</v>
      </c>
      <c r="H169" s="17">
        <f t="shared" si="22"/>
        <v>38.000237732069671</v>
      </c>
      <c r="I169" s="18" t="str">
        <f t="shared" si="23"/>
        <v>YES</v>
      </c>
      <c r="J169" s="16" t="s">
        <v>1084</v>
      </c>
    </row>
    <row r="170" spans="1:10" s="16" customFormat="1">
      <c r="A170" s="16" t="s">
        <v>829</v>
      </c>
      <c r="B170" s="16" t="s">
        <v>33</v>
      </c>
      <c r="C170" s="16">
        <f>POWER(G_or_C,4)*POWER(0.5,2)</f>
        <v>2.3719294779032032E-4</v>
      </c>
      <c r="D170" s="17">
        <f t="shared" si="24"/>
        <v>237.19294779032032</v>
      </c>
      <c r="E170" s="17">
        <f t="shared" si="20"/>
        <v>179792.2544250628</v>
      </c>
      <c r="F170" s="17">
        <f t="shared" si="25"/>
        <v>359584.5088501256</v>
      </c>
      <c r="G170" s="17">
        <f t="shared" si="21"/>
        <v>8630028.2124030143</v>
      </c>
      <c r="H170" s="17">
        <f t="shared" si="22"/>
        <v>828.48270839068937</v>
      </c>
      <c r="I170" s="18" t="str">
        <f t="shared" si="23"/>
        <v>-</v>
      </c>
      <c r="J170" s="16" t="s">
        <v>1407</v>
      </c>
    </row>
    <row r="171" spans="1:10" s="16" customFormat="1">
      <c r="A171" s="16" t="s">
        <v>1149</v>
      </c>
      <c r="B171" s="16" t="s">
        <v>1264</v>
      </c>
      <c r="C171" s="16">
        <f>POWER(G_or_C,2)*POWER(A_or_T,2)*POWER(0.5,2)</f>
        <v>8.1084134352039895E-4</v>
      </c>
      <c r="D171" s="17">
        <f t="shared" si="24"/>
        <v>810.84134352039894</v>
      </c>
      <c r="E171" s="17">
        <f t="shared" si="20"/>
        <v>614617.73838846234</v>
      </c>
      <c r="F171" s="17">
        <f t="shared" si="25"/>
        <v>1229235.4767769247</v>
      </c>
      <c r="G171" s="17">
        <f t="shared" si="21"/>
        <v>29501651.442646191</v>
      </c>
      <c r="H171" s="17">
        <f t="shared" si="22"/>
        <v>2832.1585384940345</v>
      </c>
      <c r="I171" s="18" t="str">
        <f t="shared" si="23"/>
        <v>-</v>
      </c>
      <c r="J171" s="16" t="s">
        <v>1148</v>
      </c>
    </row>
    <row r="172" spans="1:10" s="16" customFormat="1">
      <c r="A172" s="16" t="s">
        <v>399</v>
      </c>
      <c r="B172" s="16" t="s">
        <v>1265</v>
      </c>
      <c r="C172" s="16">
        <f>POWER(G_or_C,4)*POWER(0.5,2)*POWER(0.25,7)</f>
        <v>1.4477108629780293E-8</v>
      </c>
      <c r="D172" s="17">
        <f t="shared" si="24"/>
        <v>1.4477108629780293E-2</v>
      </c>
      <c r="E172" s="17">
        <f t="shared" si="20"/>
        <v>10.973648341373462</v>
      </c>
      <c r="F172" s="17">
        <f t="shared" si="25"/>
        <v>21.947296682746924</v>
      </c>
      <c r="G172" s="17">
        <f t="shared" si="21"/>
        <v>526.73512038592617</v>
      </c>
      <c r="H172" s="17">
        <f t="shared" si="22"/>
        <v>5.0566571557048912E-2</v>
      </c>
      <c r="I172" s="18" t="str">
        <f t="shared" si="23"/>
        <v>YES</v>
      </c>
      <c r="J172" s="16" t="s">
        <v>398</v>
      </c>
    </row>
    <row r="173" spans="1:10" s="16" customFormat="1">
      <c r="A173" s="16" t="s">
        <v>780</v>
      </c>
      <c r="B173" s="16" t="s">
        <v>31</v>
      </c>
      <c r="C173" s="16">
        <f>POWER(G_or_C,4)*POWER(0.5,2)</f>
        <v>2.3719294779032032E-4</v>
      </c>
      <c r="D173" s="17">
        <f t="shared" si="24"/>
        <v>237.19294779032032</v>
      </c>
      <c r="E173" s="17">
        <f t="shared" si="20"/>
        <v>179792.2544250628</v>
      </c>
      <c r="F173" s="17">
        <f t="shared" si="25"/>
        <v>359584.5088501256</v>
      </c>
      <c r="G173" s="17">
        <f t="shared" ref="G173" si="26">F173*fold_coverage</f>
        <v>8630028.2124030143</v>
      </c>
      <c r="H173" s="17">
        <f t="shared" ref="H173" si="27">G173*plexity/1000000</f>
        <v>828.48270839068937</v>
      </c>
      <c r="I173" s="18" t="str">
        <f t="shared" ref="I173" si="28">IF(H173/million_reads_per_lane&lt;1, "YES","-")</f>
        <v>-</v>
      </c>
      <c r="J173" s="16" t="s">
        <v>1408</v>
      </c>
    </row>
    <row r="174" spans="1:10" s="16" customFormat="1">
      <c r="D174" s="17"/>
      <c r="E174" s="17"/>
      <c r="F174" s="17"/>
      <c r="G174" s="17"/>
      <c r="H174" s="17"/>
    </row>
    <row r="175" spans="1:10" s="16" customFormat="1">
      <c r="D175" s="17"/>
      <c r="E175" s="17"/>
      <c r="F175" s="17"/>
      <c r="G175" s="17"/>
      <c r="H175" s="17"/>
    </row>
    <row r="176" spans="1:10" s="7" customFormat="1">
      <c r="D176" s="10"/>
      <c r="E176" s="10"/>
      <c r="F176" s="10"/>
      <c r="G176" s="10"/>
      <c r="H176" s="10"/>
    </row>
    <row r="177" spans="4:8" s="7" customFormat="1">
      <c r="D177" s="10"/>
      <c r="E177" s="10"/>
      <c r="F177" s="10"/>
      <c r="G177" s="10"/>
      <c r="H177" s="10"/>
    </row>
    <row r="178" spans="4:8" s="7" customFormat="1">
      <c r="D178" s="10"/>
      <c r="E178" s="10"/>
      <c r="F178" s="10"/>
      <c r="G178" s="10"/>
      <c r="H178" s="10"/>
    </row>
    <row r="179" spans="4:8" s="7" customFormat="1">
      <c r="D179" s="10"/>
      <c r="E179" s="10"/>
      <c r="F179" s="10"/>
      <c r="G179" s="10"/>
      <c r="H179" s="10"/>
    </row>
    <row r="180" spans="4:8" s="7" customFormat="1">
      <c r="D180" s="10"/>
      <c r="E180" s="10"/>
      <c r="F180" s="10"/>
      <c r="G180" s="10"/>
      <c r="H180" s="10"/>
    </row>
    <row r="181" spans="4:8" s="7" customFormat="1">
      <c r="D181" s="10"/>
      <c r="E181" s="10"/>
      <c r="F181" s="10"/>
      <c r="G181" s="10"/>
      <c r="H181" s="10"/>
    </row>
    <row r="182" spans="4:8" s="7" customFormat="1">
      <c r="D182" s="10"/>
      <c r="E182" s="10"/>
      <c r="F182" s="10"/>
      <c r="G182" s="10"/>
      <c r="H182" s="10"/>
    </row>
    <row r="183" spans="4:8" s="7" customFormat="1">
      <c r="D183" s="10"/>
      <c r="E183" s="10"/>
      <c r="F183" s="10"/>
      <c r="G183" s="10"/>
      <c r="H183" s="10"/>
    </row>
    <row r="184" spans="4:8" s="7" customFormat="1">
      <c r="D184" s="10"/>
      <c r="E184" s="10"/>
      <c r="F184" s="10"/>
      <c r="G184" s="10"/>
      <c r="H184" s="10"/>
    </row>
    <row r="185" spans="4:8" s="7" customFormat="1">
      <c r="D185" s="10"/>
      <c r="E185" s="10"/>
      <c r="F185" s="10"/>
      <c r="G185" s="10"/>
      <c r="H185" s="10"/>
    </row>
    <row r="186" spans="4:8" s="7" customFormat="1">
      <c r="D186" s="10"/>
      <c r="E186" s="10"/>
      <c r="F186" s="10"/>
      <c r="G186" s="10"/>
      <c r="H186" s="10"/>
    </row>
    <row r="187" spans="4:8" s="7" customFormat="1">
      <c r="D187" s="10"/>
      <c r="E187" s="10"/>
      <c r="F187" s="10"/>
      <c r="G187" s="10"/>
      <c r="H187" s="10"/>
    </row>
    <row r="188" spans="4:8" s="7" customFormat="1">
      <c r="D188" s="10"/>
      <c r="E188" s="10"/>
      <c r="F188" s="10"/>
      <c r="G188" s="10"/>
      <c r="H188" s="10"/>
    </row>
    <row r="189" spans="4:8" s="7" customFormat="1">
      <c r="D189" s="10"/>
      <c r="E189" s="10"/>
      <c r="F189" s="10"/>
      <c r="G189" s="10"/>
      <c r="H189" s="10"/>
    </row>
    <row r="190" spans="4:8" s="7" customFormat="1">
      <c r="D190" s="10"/>
      <c r="E190" s="10"/>
      <c r="F190" s="10"/>
      <c r="G190" s="10"/>
      <c r="H190" s="10"/>
    </row>
    <row r="191" spans="4:8" s="7" customFormat="1">
      <c r="D191" s="10"/>
      <c r="E191" s="10"/>
      <c r="F191" s="10"/>
      <c r="G191" s="10"/>
      <c r="H191" s="10"/>
    </row>
    <row r="192" spans="4:8" s="7" customFormat="1">
      <c r="D192" s="10"/>
      <c r="E192" s="10"/>
      <c r="F192" s="10"/>
      <c r="G192" s="10"/>
      <c r="H192" s="10"/>
    </row>
    <row r="193" spans="4:8" s="7" customFormat="1">
      <c r="D193" s="10"/>
      <c r="E193" s="10"/>
      <c r="F193" s="10"/>
      <c r="G193" s="10"/>
      <c r="H193" s="10"/>
    </row>
    <row r="194" spans="4:8" s="7" customFormat="1">
      <c r="D194" s="10"/>
      <c r="E194" s="10"/>
      <c r="F194" s="10"/>
      <c r="G194" s="10"/>
      <c r="H194" s="10"/>
    </row>
    <row r="195" spans="4:8" s="7" customFormat="1">
      <c r="D195" s="10"/>
      <c r="E195" s="10"/>
      <c r="F195" s="10"/>
      <c r="G195" s="10"/>
      <c r="H195" s="10"/>
    </row>
    <row r="196" spans="4:8" s="7" customFormat="1">
      <c r="D196" s="10"/>
      <c r="E196" s="10"/>
      <c r="F196" s="10"/>
      <c r="G196" s="10"/>
      <c r="H196" s="10"/>
    </row>
    <row r="197" spans="4:8" s="7" customFormat="1">
      <c r="D197" s="10"/>
      <c r="E197" s="10"/>
      <c r="F197" s="10"/>
      <c r="G197" s="10"/>
      <c r="H197" s="10"/>
    </row>
    <row r="198" spans="4:8" s="7" customFormat="1">
      <c r="D198" s="10"/>
      <c r="E198" s="10"/>
      <c r="F198" s="10"/>
      <c r="G198" s="10"/>
      <c r="H198" s="10"/>
    </row>
    <row r="199" spans="4:8" s="7" customFormat="1">
      <c r="D199" s="10"/>
      <c r="E199" s="10"/>
      <c r="F199" s="10"/>
      <c r="G199" s="10"/>
      <c r="H199" s="10"/>
    </row>
    <row r="200" spans="4:8" s="7" customFormat="1">
      <c r="D200" s="10"/>
      <c r="E200" s="10"/>
      <c r="F200" s="10"/>
      <c r="G200" s="10"/>
      <c r="H200" s="10"/>
    </row>
    <row r="201" spans="4:8" s="7" customFormat="1">
      <c r="D201" s="10"/>
      <c r="E201" s="10"/>
      <c r="F201" s="10"/>
      <c r="G201" s="10"/>
      <c r="H201" s="10"/>
    </row>
    <row r="202" spans="4:8" s="7" customFormat="1">
      <c r="D202" s="10"/>
      <c r="E202" s="10"/>
      <c r="F202" s="10"/>
      <c r="G202" s="10"/>
      <c r="H202" s="10"/>
    </row>
    <row r="203" spans="4:8" s="7" customFormat="1">
      <c r="D203" s="10"/>
      <c r="E203" s="10"/>
      <c r="F203" s="10"/>
      <c r="G203" s="10"/>
      <c r="H203" s="10"/>
    </row>
    <row r="204" spans="4:8" s="7" customFormat="1">
      <c r="D204" s="10"/>
      <c r="E204" s="10"/>
      <c r="F204" s="10"/>
      <c r="G204" s="10"/>
      <c r="H204" s="10"/>
    </row>
    <row r="205" spans="4:8" s="7" customFormat="1">
      <c r="D205" s="10"/>
      <c r="E205" s="10"/>
      <c r="F205" s="10"/>
      <c r="G205" s="10"/>
      <c r="H205" s="10"/>
    </row>
    <row r="206" spans="4:8" s="7" customFormat="1">
      <c r="D206" s="10"/>
      <c r="E206" s="10"/>
      <c r="F206" s="10"/>
      <c r="G206" s="10"/>
      <c r="H206" s="10"/>
    </row>
    <row r="207" spans="4:8" s="7" customFormat="1">
      <c r="D207" s="10"/>
      <c r="E207" s="10"/>
      <c r="F207" s="10"/>
      <c r="G207" s="10"/>
      <c r="H207" s="10"/>
    </row>
    <row r="208" spans="4:8" s="7" customFormat="1">
      <c r="D208" s="10"/>
      <c r="E208" s="10"/>
      <c r="F208" s="10"/>
      <c r="G208" s="10"/>
      <c r="H208" s="10"/>
    </row>
    <row r="209" spans="4:8" s="7" customFormat="1">
      <c r="D209" s="10"/>
      <c r="E209" s="10"/>
      <c r="F209" s="10"/>
      <c r="G209" s="10"/>
      <c r="H209" s="10"/>
    </row>
    <row r="210" spans="4:8" s="7" customFormat="1">
      <c r="D210" s="10"/>
      <c r="E210" s="10"/>
      <c r="F210" s="10"/>
      <c r="G210" s="10"/>
      <c r="H210" s="10"/>
    </row>
    <row r="211" spans="4:8" s="7" customFormat="1">
      <c r="D211" s="10"/>
      <c r="E211" s="10"/>
      <c r="F211" s="10"/>
      <c r="G211" s="10"/>
      <c r="H211" s="10"/>
    </row>
    <row r="212" spans="4:8" s="7" customFormat="1">
      <c r="D212" s="10"/>
      <c r="E212" s="10"/>
      <c r="F212" s="10"/>
      <c r="G212" s="10"/>
      <c r="H212" s="10"/>
    </row>
    <row r="213" spans="4:8" s="7" customFormat="1">
      <c r="D213" s="10"/>
      <c r="E213" s="10"/>
      <c r="F213" s="10"/>
      <c r="G213" s="10"/>
      <c r="H213" s="10"/>
    </row>
    <row r="214" spans="4:8" s="7" customFormat="1">
      <c r="D214" s="10"/>
      <c r="E214" s="10"/>
      <c r="F214" s="10"/>
      <c r="G214" s="10"/>
      <c r="H214" s="10"/>
    </row>
    <row r="215" spans="4:8" s="7" customFormat="1">
      <c r="D215" s="10"/>
      <c r="E215" s="10"/>
      <c r="F215" s="10"/>
      <c r="G215" s="10"/>
      <c r="H215" s="10"/>
    </row>
    <row r="216" spans="4:8" s="7" customFormat="1">
      <c r="D216" s="10"/>
      <c r="E216" s="10"/>
      <c r="F216" s="10"/>
      <c r="G216" s="10"/>
      <c r="H216" s="10"/>
    </row>
    <row r="217" spans="4:8" s="7" customFormat="1">
      <c r="D217" s="10"/>
      <c r="E217" s="10"/>
      <c r="F217" s="10"/>
      <c r="G217" s="10"/>
      <c r="H217" s="10"/>
    </row>
  </sheetData>
  <mergeCells count="2">
    <mergeCell ref="A10:I10"/>
    <mergeCell ref="A11:I11"/>
  </mergeCells>
  <hyperlinks>
    <hyperlink ref="A11" r:id="rId1" display="www.wiki.ed.ac.uk/display/RADSequencing/Home;jsessionid=297E35F7D71D16CF5D633B302A96C220)"/>
  </hyperlinks>
  <pageMargins left="0.42" right="0.2" top="0.48" bottom="0.74803149606299213" header="0.31496062992125984" footer="0.31496062992125984"/>
  <pageSetup paperSize="9" orientation="landscape" r:id="rId2"/>
  <cellWatches>
    <cellWatch r="C13"/>
    <cellWatch r="D13"/>
    <cellWatch r="E13"/>
    <cellWatch r="F13"/>
    <cellWatch r="G13"/>
  </cellWatches>
  <ignoredErrors>
    <ignoredError sqref="C19 C28 C41 C50 C58 C93 C96 C1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960"/>
  <sheetViews>
    <sheetView workbookViewId="0">
      <selection activeCell="H34" sqref="H34"/>
    </sheetView>
  </sheetViews>
  <sheetFormatPr defaultRowHeight="15"/>
  <cols>
    <col min="1" max="1" width="15.85546875" bestFit="1" customWidth="1"/>
    <col min="2" max="2" width="30.7109375" bestFit="1" customWidth="1"/>
    <col min="3" max="3" width="19.28515625" style="4" bestFit="1" customWidth="1"/>
    <col min="4" max="4" width="17.42578125" bestFit="1" customWidth="1"/>
    <col min="8" max="10" width="16.42578125" customWidth="1"/>
    <col min="11" max="11" width="15.5703125" customWidth="1"/>
    <col min="12" max="15" width="16.42578125" customWidth="1"/>
    <col min="16" max="16" width="11.28515625" customWidth="1"/>
    <col min="17" max="18" width="6.7109375" customWidth="1"/>
    <col min="19" max="19" width="4.5703125" customWidth="1"/>
    <col min="20" max="20" width="5.7109375" customWidth="1"/>
    <col min="21" max="21" width="4.85546875" customWidth="1"/>
    <col min="22" max="22" width="5.42578125" customWidth="1"/>
    <col min="23" max="23" width="4.28515625" customWidth="1"/>
    <col min="24" max="24" width="5.7109375" customWidth="1"/>
    <col min="25" max="26" width="4.85546875" customWidth="1"/>
    <col min="27" max="27" width="5.42578125" customWidth="1"/>
    <col min="28" max="28" width="5" customWidth="1"/>
    <col min="29" max="29" width="4.5703125" customWidth="1"/>
    <col min="30" max="30" width="4.7109375" customWidth="1"/>
    <col min="31" max="32" width="5.140625" customWidth="1"/>
    <col min="33" max="33" width="7.7109375" customWidth="1"/>
    <col min="34" max="34" width="8.42578125" customWidth="1"/>
    <col min="35" max="36" width="4.140625" customWidth="1"/>
    <col min="37" max="37" width="4.7109375" customWidth="1"/>
    <col min="38" max="38" width="5.28515625" customWidth="1"/>
    <col min="39" max="39" width="5" customWidth="1"/>
    <col min="40" max="40" width="4.42578125" customWidth="1"/>
    <col min="41" max="41" width="4.7109375" customWidth="1"/>
    <col min="42" max="42" width="7.140625" customWidth="1"/>
    <col min="43" max="43" width="5" customWidth="1"/>
    <col min="44" max="44" width="5.5703125" customWidth="1"/>
    <col min="45" max="45" width="5.140625" customWidth="1"/>
    <col min="46" max="46" width="4.5703125" customWidth="1"/>
    <col min="47" max="47" width="5" customWidth="1"/>
    <col min="48" max="49" width="4.5703125" customWidth="1"/>
    <col min="50" max="50" width="6" customWidth="1"/>
    <col min="51" max="51" width="4" customWidth="1"/>
    <col min="52" max="53" width="7" customWidth="1"/>
    <col min="54" max="54" width="6.42578125" customWidth="1"/>
    <col min="55" max="55" width="7.5703125" customWidth="1"/>
    <col min="56" max="56" width="4.85546875" customWidth="1"/>
    <col min="57" max="57" width="5.42578125" customWidth="1"/>
    <col min="58" max="58" width="8" customWidth="1"/>
    <col min="59" max="59" width="4.7109375" customWidth="1"/>
    <col min="60" max="60" width="5.42578125" customWidth="1"/>
    <col min="61" max="61" width="5" customWidth="1"/>
    <col min="62" max="63" width="6.140625" customWidth="1"/>
    <col min="64" max="64" width="5" customWidth="1"/>
    <col min="65" max="65" width="5.85546875" customWidth="1"/>
    <col min="66" max="66" width="7.5703125" customWidth="1"/>
    <col min="67" max="67" width="6.28515625" customWidth="1"/>
    <col min="68" max="68" width="4.5703125" customWidth="1"/>
    <col min="69" max="69" width="5.140625" customWidth="1"/>
    <col min="70" max="70" width="5" customWidth="1"/>
    <col min="71" max="71" width="5.140625" customWidth="1"/>
    <col min="72" max="72" width="4.5703125" customWidth="1"/>
    <col min="73" max="73" width="4.85546875" customWidth="1"/>
    <col min="74" max="74" width="5.42578125" customWidth="1"/>
    <col min="75" max="76" width="7.28515625" customWidth="1"/>
    <col min="77" max="77" width="5.5703125" customWidth="1"/>
    <col min="78" max="78" width="5.7109375" customWidth="1"/>
    <col min="79" max="79" width="4.28515625" customWidth="1"/>
    <col min="80" max="80" width="5.28515625" customWidth="1"/>
    <col min="81" max="81" width="4.85546875" customWidth="1"/>
    <col min="82" max="82" width="8.140625" customWidth="1"/>
    <col min="83" max="83" width="8.7109375" customWidth="1"/>
    <col min="84" max="86" width="7.85546875" customWidth="1"/>
    <col min="87" max="87" width="7.140625" customWidth="1"/>
    <col min="88" max="88" width="6.140625" customWidth="1"/>
    <col min="89" max="89" width="5.85546875" customWidth="1"/>
    <col min="90" max="90" width="6.140625" customWidth="1"/>
    <col min="91" max="91" width="4.85546875" customWidth="1"/>
    <col min="92" max="92" width="6.7109375" customWidth="1"/>
    <col min="93" max="93" width="8" customWidth="1"/>
    <col min="94" max="94" width="6.85546875" customWidth="1"/>
    <col min="95" max="95" width="6.42578125" customWidth="1"/>
    <col min="96" max="96" width="7" customWidth="1"/>
    <col min="97" max="97" width="4.85546875" customWidth="1"/>
    <col min="98" max="98" width="5.42578125" customWidth="1"/>
    <col min="99" max="99" width="6" customWidth="1"/>
    <col min="100" max="100" width="7.5703125" customWidth="1"/>
    <col min="101" max="101" width="4.42578125" customWidth="1"/>
    <col min="102" max="102" width="4.85546875" customWidth="1"/>
    <col min="103" max="103" width="5.42578125" customWidth="1"/>
    <col min="104" max="104" width="4.7109375" customWidth="1"/>
    <col min="105" max="105" width="5" customWidth="1"/>
    <col min="106" max="106" width="6.28515625" customWidth="1"/>
    <col min="107" max="107" width="5.140625" customWidth="1"/>
    <col min="108" max="108" width="4.85546875" customWidth="1"/>
    <col min="109" max="109" width="6.5703125" customWidth="1"/>
    <col min="110" max="110" width="6.28515625" customWidth="1"/>
    <col min="111" max="111" width="7.28515625" customWidth="1"/>
    <col min="112" max="112" width="6.7109375" customWidth="1"/>
    <col min="113" max="113" width="7.85546875" customWidth="1"/>
    <col min="114" max="114" width="4.85546875" customWidth="1"/>
    <col min="115" max="115" width="5.42578125" customWidth="1"/>
    <col min="116" max="116" width="6" customWidth="1"/>
    <col min="117" max="117" width="4.5703125" customWidth="1"/>
    <col min="118" max="118" width="6.5703125" customWidth="1"/>
    <col min="119" max="119" width="6.42578125" customWidth="1"/>
    <col min="120" max="120" width="5.85546875" customWidth="1"/>
    <col min="121" max="121" width="5" customWidth="1"/>
    <col min="122" max="122" width="6.42578125" customWidth="1"/>
    <col min="123" max="123" width="5" customWidth="1"/>
    <col min="124" max="125" width="4.5703125" customWidth="1"/>
    <col min="126" max="126" width="5" customWidth="1"/>
    <col min="127" max="127" width="6.85546875" customWidth="1"/>
    <col min="128" max="128" width="6.7109375" customWidth="1"/>
    <col min="129" max="129" width="7.28515625" customWidth="1"/>
    <col min="130" max="130" width="6" customWidth="1"/>
    <col min="131" max="131" width="6.5703125" customWidth="1"/>
    <col min="132" max="132" width="6.7109375" customWidth="1"/>
    <col min="133" max="133" width="7.7109375" customWidth="1"/>
    <col min="134" max="134" width="5.7109375" customWidth="1"/>
    <col min="135" max="135" width="7.7109375" customWidth="1"/>
    <col min="136" max="136" width="5.85546875" customWidth="1"/>
    <col min="137" max="137" width="6.140625" customWidth="1"/>
    <col min="138" max="138" width="5.28515625" customWidth="1"/>
    <col min="139" max="139" width="5.85546875" customWidth="1"/>
    <col min="140" max="140" width="8.140625" customWidth="1"/>
    <col min="141" max="141" width="4.140625" customWidth="1"/>
    <col min="142" max="142" width="5.28515625" customWidth="1"/>
    <col min="143" max="143" width="4.7109375" customWidth="1"/>
    <col min="144" max="144" width="7.7109375" customWidth="1"/>
    <col min="145" max="145" width="6.7109375" customWidth="1"/>
    <col min="146" max="146" width="4.7109375" customWidth="1"/>
    <col min="147" max="147" width="6" customWidth="1"/>
    <col min="148" max="148" width="4.7109375" customWidth="1"/>
    <col min="149" max="149" width="4.42578125" customWidth="1"/>
    <col min="150" max="150" width="5.42578125" customWidth="1"/>
    <col min="151" max="151" width="4.5703125" customWidth="1"/>
    <col min="152" max="152" width="4.42578125" customWidth="1"/>
    <col min="153" max="154" width="6" customWidth="1"/>
    <col min="155" max="155" width="4" customWidth="1"/>
    <col min="156" max="156" width="5.140625" customWidth="1"/>
    <col min="157" max="157" width="4.5703125" customWidth="1"/>
    <col min="158" max="158" width="5.28515625" customWidth="1"/>
    <col min="159" max="159" width="4.140625" customWidth="1"/>
    <col min="160" max="160" width="6.42578125" customWidth="1"/>
    <col min="161" max="161" width="5.7109375" customWidth="1"/>
    <col min="162" max="163" width="4.28515625" customWidth="1"/>
    <col min="164" max="164" width="4.85546875" customWidth="1"/>
    <col min="165" max="165" width="7" customWidth="1"/>
    <col min="166" max="166" width="5" customWidth="1"/>
    <col min="167" max="167" width="6" customWidth="1"/>
    <col min="168" max="168" width="4.140625" customWidth="1"/>
    <col min="169" max="169" width="4" customWidth="1"/>
    <col min="170" max="171" width="5.85546875" customWidth="1"/>
    <col min="172" max="172" width="5.140625" customWidth="1"/>
    <col min="173" max="173" width="6.28515625" customWidth="1"/>
    <col min="174" max="174" width="5" customWidth="1"/>
    <col min="175" max="175" width="4.42578125" customWidth="1"/>
    <col min="176" max="176" width="5.7109375" customWidth="1"/>
    <col min="177" max="177" width="6.28515625" customWidth="1"/>
    <col min="178" max="178" width="4.42578125" customWidth="1"/>
    <col min="179" max="179" width="4.140625" customWidth="1"/>
    <col min="180" max="180" width="4.42578125" customWidth="1"/>
    <col min="181" max="181" width="7.5703125" customWidth="1"/>
    <col min="182" max="183" width="9.5703125" customWidth="1"/>
    <col min="184" max="184" width="7.5703125" customWidth="1"/>
    <col min="185" max="185" width="8.5703125" customWidth="1"/>
    <col min="186" max="186" width="6.7109375" customWidth="1"/>
    <col min="187" max="187" width="9.5703125" customWidth="1"/>
    <col min="188" max="188" width="9.42578125" customWidth="1"/>
    <col min="189" max="189" width="5.5703125" customWidth="1"/>
    <col min="190" max="190" width="6.140625" customWidth="1"/>
    <col min="191" max="191" width="5.140625" customWidth="1"/>
    <col min="192" max="192" width="5.42578125" customWidth="1"/>
    <col min="193" max="193" width="4.85546875" customWidth="1"/>
    <col min="194" max="194" width="4.7109375" customWidth="1"/>
    <col min="195" max="195" width="6.28515625" customWidth="1"/>
    <col min="196" max="196" width="4.5703125" customWidth="1"/>
    <col min="197" max="197" width="9" customWidth="1"/>
    <col min="198" max="198" width="7" customWidth="1"/>
    <col min="199" max="199" width="7.140625" customWidth="1"/>
    <col min="200" max="200" width="5" customWidth="1"/>
    <col min="201" max="201" width="6.85546875" customWidth="1"/>
    <col min="202" max="202" width="6.28515625" customWidth="1"/>
    <col min="203" max="203" width="6.5703125" customWidth="1"/>
    <col min="204" max="204" width="5.85546875" customWidth="1"/>
    <col min="205" max="205" width="5.28515625" customWidth="1"/>
    <col min="206" max="206" width="6" customWidth="1"/>
    <col min="207" max="207" width="6.5703125" customWidth="1"/>
    <col min="208" max="208" width="7.42578125" customWidth="1"/>
    <col min="209" max="210" width="5.42578125" customWidth="1"/>
    <col min="211" max="211" width="4.42578125" customWidth="1"/>
    <col min="212" max="212" width="7.7109375" customWidth="1"/>
    <col min="213" max="217" width="6.7109375" customWidth="1"/>
    <col min="218" max="218" width="7.7109375" customWidth="1"/>
    <col min="219" max="219" width="6.7109375" customWidth="1"/>
    <col min="220" max="220" width="6" customWidth="1"/>
    <col min="221" max="222" width="5.85546875" customWidth="1"/>
    <col min="223" max="223" width="6" customWidth="1"/>
    <col min="224" max="224" width="5.5703125" customWidth="1"/>
    <col min="225" max="225" width="5.85546875" customWidth="1"/>
    <col min="226" max="226" width="5.7109375" customWidth="1"/>
    <col min="227" max="227" width="7.7109375" customWidth="1"/>
    <col min="228" max="228" width="6.7109375" customWidth="1"/>
    <col min="229" max="229" width="6.85546875" customWidth="1"/>
    <col min="230" max="230" width="8.7109375" customWidth="1"/>
    <col min="231" max="231" width="6.7109375" customWidth="1"/>
    <col min="232" max="232" width="6.140625" customWidth="1"/>
    <col min="233" max="233" width="5.85546875" customWidth="1"/>
    <col min="234" max="234" width="6.140625" customWidth="1"/>
    <col min="235" max="235" width="5.7109375" customWidth="1"/>
    <col min="236" max="236" width="6" customWidth="1"/>
    <col min="237" max="237" width="5.28515625" customWidth="1"/>
    <col min="238" max="238" width="5.140625" customWidth="1"/>
    <col min="239" max="239" width="7.85546875" customWidth="1"/>
    <col min="240" max="240" width="7.7109375" customWidth="1"/>
    <col min="241" max="241" width="5.28515625" customWidth="1"/>
    <col min="242" max="242" width="5" customWidth="1"/>
    <col min="243" max="243" width="6" customWidth="1"/>
    <col min="244" max="244" width="5.5703125" customWidth="1"/>
    <col min="245" max="245" width="5.140625" customWidth="1"/>
    <col min="246" max="246" width="6.140625" customWidth="1"/>
    <col min="247" max="248" width="5.28515625" customWidth="1"/>
    <col min="249" max="249" width="5.140625" customWidth="1"/>
    <col min="250" max="250" width="4.140625" customWidth="1"/>
    <col min="251" max="251" width="6.28515625" customWidth="1"/>
    <col min="252" max="252" width="6.42578125" customWidth="1"/>
    <col min="253" max="253" width="6.28515625" customWidth="1"/>
    <col min="254" max="255" width="5.85546875" customWidth="1"/>
    <col min="256" max="256" width="5.7109375" customWidth="1"/>
    <col min="257" max="260" width="7.7109375" customWidth="1"/>
    <col min="261" max="261" width="8.7109375" customWidth="1"/>
    <col min="262" max="262" width="6.7109375" customWidth="1"/>
    <col min="263" max="263" width="8.7109375" customWidth="1"/>
    <col min="264" max="264" width="7.7109375" customWidth="1"/>
    <col min="265" max="265" width="8.28515625" customWidth="1"/>
    <col min="266" max="267" width="8.7109375" customWidth="1"/>
    <col min="268" max="268" width="6.7109375" customWidth="1"/>
    <col min="269" max="270" width="8.7109375" customWidth="1"/>
    <col min="271" max="271" width="7.7109375" customWidth="1"/>
    <col min="272" max="273" width="6.7109375" customWidth="1"/>
    <col min="274" max="274" width="5.7109375" customWidth="1"/>
    <col min="275" max="275" width="6.7109375" customWidth="1"/>
    <col min="276" max="276" width="7" customWidth="1"/>
    <col min="277" max="277" width="7.28515625" customWidth="1"/>
    <col min="278" max="278" width="7.85546875" customWidth="1"/>
    <col min="279" max="279" width="8.42578125" customWidth="1"/>
    <col min="280" max="280" width="6" customWidth="1"/>
    <col min="281" max="281" width="5.85546875" customWidth="1"/>
    <col min="282" max="282" width="6.42578125" customWidth="1"/>
    <col min="283" max="283" width="5.85546875" customWidth="1"/>
    <col min="284" max="284" width="6" customWidth="1"/>
    <col min="285" max="285" width="5.7109375" customWidth="1"/>
    <col min="286" max="286" width="6.7109375" customWidth="1"/>
    <col min="287" max="287" width="5.7109375" customWidth="1"/>
    <col min="288" max="288" width="6" customWidth="1"/>
    <col min="289" max="289" width="5.42578125" customWidth="1"/>
    <col min="290" max="290" width="6" customWidth="1"/>
    <col min="291" max="291" width="7.7109375" customWidth="1"/>
    <col min="292" max="293" width="7.85546875" customWidth="1"/>
    <col min="294" max="294" width="6.85546875" customWidth="1"/>
    <col min="295" max="295" width="7.42578125" customWidth="1"/>
    <col min="296" max="296" width="8" customWidth="1"/>
    <col min="297" max="297" width="7.5703125" customWidth="1"/>
    <col min="298" max="298" width="9" customWidth="1"/>
    <col min="299" max="299" width="8" customWidth="1"/>
    <col min="300" max="300" width="7.85546875" customWidth="1"/>
    <col min="301" max="301" width="7.140625" customWidth="1"/>
    <col min="302" max="302" width="7.7109375" customWidth="1"/>
    <col min="303" max="304" width="6.140625" customWidth="1"/>
    <col min="305" max="305" width="7.42578125" customWidth="1"/>
    <col min="306" max="306" width="8" customWidth="1"/>
    <col min="307" max="307" width="6.85546875" customWidth="1"/>
    <col min="308" max="309" width="8.7109375" customWidth="1"/>
    <col min="310" max="310" width="5.7109375" customWidth="1"/>
    <col min="311" max="311" width="6.140625" customWidth="1"/>
    <col min="312" max="312" width="6.7109375" customWidth="1"/>
    <col min="313" max="313" width="5.85546875" customWidth="1"/>
    <col min="314" max="314" width="6.42578125" customWidth="1"/>
    <col min="315" max="315" width="6.7109375" customWidth="1"/>
    <col min="316" max="316" width="5.5703125" customWidth="1"/>
    <col min="317" max="317" width="5.28515625" customWidth="1"/>
    <col min="318" max="319" width="5.7109375" customWidth="1"/>
    <col min="320" max="320" width="6.5703125" customWidth="1"/>
    <col min="321" max="321" width="5.7109375" customWidth="1"/>
    <col min="322" max="322" width="6.28515625" customWidth="1"/>
    <col min="323" max="323" width="5.5703125" customWidth="1"/>
    <col min="324" max="324" width="6.28515625" customWidth="1"/>
    <col min="325" max="325" width="5.85546875" customWidth="1"/>
    <col min="326" max="326" width="6.42578125" customWidth="1"/>
    <col min="327" max="327" width="7.28515625" customWidth="1"/>
    <col min="328" max="328" width="6.85546875" customWidth="1"/>
    <col min="329" max="329" width="5.28515625" customWidth="1"/>
    <col min="330" max="331" width="6.28515625" customWidth="1"/>
    <col min="332" max="332" width="5.28515625" customWidth="1"/>
    <col min="333" max="333" width="6.7109375" customWidth="1"/>
    <col min="334" max="335" width="6.28515625" customWidth="1"/>
    <col min="336" max="336" width="6.42578125" customWidth="1"/>
    <col min="337" max="337" width="6.28515625" customWidth="1"/>
    <col min="338" max="338" width="6.7109375" customWidth="1"/>
    <col min="339" max="339" width="6.5703125" customWidth="1"/>
    <col min="340" max="340" width="6.7109375" customWidth="1"/>
    <col min="341" max="341" width="7" customWidth="1"/>
    <col min="342" max="342" width="7.42578125" customWidth="1"/>
    <col min="343" max="343" width="5.42578125" customWidth="1"/>
    <col min="344" max="344" width="9.42578125" customWidth="1"/>
    <col min="345" max="346" width="6.5703125" customWidth="1"/>
    <col min="347" max="347" width="5.85546875" customWidth="1"/>
    <col min="348" max="348" width="6.7109375" customWidth="1"/>
    <col min="349" max="349" width="7.28515625" customWidth="1"/>
    <col min="350" max="350" width="5.28515625" customWidth="1"/>
    <col min="351" max="351" width="6.5703125" customWidth="1"/>
    <col min="352" max="352" width="6.85546875" customWidth="1"/>
    <col min="353" max="353" width="8.5703125" customWidth="1"/>
    <col min="354" max="354" width="4.28515625" customWidth="1"/>
    <col min="355" max="355" width="8.85546875" customWidth="1"/>
    <col min="356" max="356" width="9" customWidth="1"/>
    <col min="357" max="357" width="6.42578125" customWidth="1"/>
    <col min="358" max="358" width="7.140625" customWidth="1"/>
    <col min="359" max="360" width="7.28515625" customWidth="1"/>
    <col min="361" max="361" width="8.140625" customWidth="1"/>
    <col min="362" max="362" width="10.140625" customWidth="1"/>
    <col min="363" max="363" width="5.7109375" customWidth="1"/>
    <col min="364" max="364" width="6.7109375" customWidth="1"/>
    <col min="365" max="365" width="9.7109375" customWidth="1"/>
    <col min="366" max="366" width="5.7109375" customWidth="1"/>
    <col min="367" max="367" width="5.42578125" customWidth="1"/>
    <col min="368" max="368" width="9.42578125" customWidth="1"/>
    <col min="369" max="369" width="6.42578125" customWidth="1"/>
    <col min="370" max="370" width="6.28515625" customWidth="1"/>
    <col min="371" max="371" width="5.28515625" customWidth="1"/>
    <col min="372" max="372" width="6.140625" customWidth="1"/>
    <col min="373" max="373" width="7.28515625" customWidth="1"/>
    <col min="374" max="375" width="6.28515625" customWidth="1"/>
    <col min="376" max="376" width="5.5703125" customWidth="1"/>
    <col min="377" max="377" width="6.42578125" customWidth="1"/>
    <col min="378" max="379" width="5.42578125" customWidth="1"/>
    <col min="380" max="380" width="5.28515625" customWidth="1"/>
    <col min="381" max="381" width="6.7109375" customWidth="1"/>
    <col min="382" max="382" width="8.7109375" customWidth="1"/>
    <col min="383" max="385" width="6.7109375" customWidth="1"/>
    <col min="386" max="386" width="5.85546875" customWidth="1"/>
    <col min="387" max="387" width="5.7109375" customWidth="1"/>
    <col min="388" max="388" width="7.140625" customWidth="1"/>
    <col min="389" max="389" width="4.42578125" customWidth="1"/>
    <col min="390" max="390" width="5.85546875" customWidth="1"/>
    <col min="391" max="391" width="5.7109375" customWidth="1"/>
    <col min="392" max="392" width="5.85546875" customWidth="1"/>
    <col min="393" max="393" width="5.5703125" customWidth="1"/>
    <col min="394" max="394" width="7.7109375" customWidth="1"/>
    <col min="395" max="395" width="5" customWidth="1"/>
    <col min="396" max="396" width="6" customWidth="1"/>
    <col min="397" max="397" width="4.85546875" customWidth="1"/>
    <col min="398" max="398" width="4.5703125" customWidth="1"/>
    <col min="399" max="399" width="4.28515625" customWidth="1"/>
    <col min="400" max="400" width="7" customWidth="1"/>
    <col min="401" max="401" width="4.85546875" customWidth="1"/>
    <col min="402" max="402" width="5.42578125" customWidth="1"/>
    <col min="403" max="403" width="4.42578125" customWidth="1"/>
    <col min="404" max="404" width="5" customWidth="1"/>
    <col min="405" max="405" width="4.5703125" customWidth="1"/>
    <col min="406" max="406" width="4.7109375" customWidth="1"/>
    <col min="407" max="407" width="4.140625" customWidth="1"/>
    <col min="408" max="408" width="5.5703125" customWidth="1"/>
    <col min="409" max="409" width="4.28515625" customWidth="1"/>
    <col min="410" max="410" width="4.7109375" customWidth="1"/>
    <col min="411" max="411" width="4.5703125" customWidth="1"/>
    <col min="412" max="412" width="4.42578125" customWidth="1"/>
    <col min="413" max="413" width="5" customWidth="1"/>
    <col min="414" max="414" width="4.42578125" customWidth="1"/>
    <col min="415" max="415" width="4" customWidth="1"/>
    <col min="416" max="416" width="4.5703125" customWidth="1"/>
    <col min="417" max="419" width="6.140625" customWidth="1"/>
    <col min="420" max="420" width="5.140625" customWidth="1"/>
    <col min="421" max="421" width="6.42578125" customWidth="1"/>
    <col min="422" max="422" width="5.28515625" customWidth="1"/>
    <col min="423" max="423" width="4.140625" customWidth="1"/>
    <col min="424" max="424" width="5.140625" customWidth="1"/>
    <col min="425" max="425" width="4.85546875" customWidth="1"/>
    <col min="426" max="426" width="4.28515625" customWidth="1"/>
    <col min="427" max="427" width="4.5703125" customWidth="1"/>
    <col min="428" max="428" width="5" customWidth="1"/>
    <col min="429" max="429" width="4.42578125" customWidth="1"/>
    <col min="430" max="430" width="5.42578125" customWidth="1"/>
    <col min="431" max="431" width="5.28515625" customWidth="1"/>
    <col min="432" max="432" width="4.140625" customWidth="1"/>
    <col min="433" max="433" width="6.7109375" customWidth="1"/>
    <col min="434" max="434" width="7.85546875" customWidth="1"/>
    <col min="435" max="435" width="8.42578125" customWidth="1"/>
    <col min="436" max="436" width="9" customWidth="1"/>
    <col min="437" max="437" width="5.7109375" customWidth="1"/>
    <col min="438" max="438" width="6" customWidth="1"/>
    <col min="439" max="439" width="5.85546875" customWidth="1"/>
    <col min="440" max="440" width="4.7109375" customWidth="1"/>
    <col min="441" max="441" width="4.28515625" customWidth="1"/>
    <col min="442" max="442" width="5.140625" customWidth="1"/>
    <col min="443" max="443" width="5.5703125" customWidth="1"/>
    <col min="444" max="444" width="6.140625" customWidth="1"/>
    <col min="445" max="445" width="5.42578125" customWidth="1"/>
    <col min="446" max="446" width="5.7109375" customWidth="1"/>
    <col min="447" max="447" width="6" customWidth="1"/>
    <col min="448" max="448" width="4.85546875" customWidth="1"/>
    <col min="449" max="449" width="5.140625" customWidth="1"/>
    <col min="450" max="450" width="5.7109375" customWidth="1"/>
    <col min="451" max="451" width="5.140625" customWidth="1"/>
    <col min="452" max="452" width="5.7109375" customWidth="1"/>
    <col min="453" max="453" width="4.7109375" customWidth="1"/>
    <col min="454" max="454" width="4.140625" customWidth="1"/>
    <col min="455" max="455" width="4.7109375" customWidth="1"/>
    <col min="456" max="456" width="5.85546875" customWidth="1"/>
    <col min="457" max="457" width="6" customWidth="1"/>
    <col min="458" max="458" width="5.42578125" customWidth="1"/>
    <col min="459" max="459" width="6.140625" customWidth="1"/>
    <col min="460" max="460" width="6.7109375" customWidth="1"/>
    <col min="461" max="461" width="6" customWidth="1"/>
    <col min="462" max="462" width="4.7109375" customWidth="1"/>
    <col min="463" max="463" width="5.7109375" customWidth="1"/>
    <col min="464" max="464" width="4.5703125" customWidth="1"/>
    <col min="465" max="465" width="6.42578125" customWidth="1"/>
    <col min="466" max="466" width="9.28515625" customWidth="1"/>
    <col min="467" max="467" width="4.42578125" customWidth="1"/>
    <col min="468" max="469" width="7" customWidth="1"/>
    <col min="470" max="470" width="5.85546875" customWidth="1"/>
    <col min="471" max="471" width="7" customWidth="1"/>
    <col min="472" max="472" width="6.42578125" customWidth="1"/>
    <col min="473" max="474" width="5.140625" customWidth="1"/>
    <col min="475" max="475" width="7.5703125" customWidth="1"/>
    <col min="476" max="476" width="8.5703125" customWidth="1"/>
    <col min="477" max="477" width="7.5703125" customWidth="1"/>
    <col min="478" max="478" width="8.5703125" customWidth="1"/>
    <col min="479" max="479" width="7.5703125" customWidth="1"/>
    <col min="480" max="480" width="6.5703125" customWidth="1"/>
    <col min="481" max="482" width="7.5703125" customWidth="1"/>
    <col min="483" max="486" width="6.5703125" customWidth="1"/>
    <col min="487" max="487" width="7.7109375" customWidth="1"/>
    <col min="488" max="490" width="6.5703125" customWidth="1"/>
    <col min="491" max="491" width="5.85546875" customWidth="1"/>
    <col min="492" max="492" width="9" customWidth="1"/>
    <col min="493" max="493" width="6" customWidth="1"/>
    <col min="494" max="495" width="9" customWidth="1"/>
    <col min="496" max="496" width="8" customWidth="1"/>
    <col min="497" max="497" width="5.7109375" customWidth="1"/>
    <col min="498" max="498" width="6.28515625" customWidth="1"/>
    <col min="499" max="501" width="7.5703125" customWidth="1"/>
    <col min="502" max="502" width="7" customWidth="1"/>
    <col min="503" max="503" width="6.5703125" customWidth="1"/>
    <col min="504" max="504" width="7.140625" customWidth="1"/>
    <col min="505" max="506" width="4.42578125" customWidth="1"/>
    <col min="507" max="507" width="4.28515625" customWidth="1"/>
    <col min="508" max="508" width="8.5703125" customWidth="1"/>
    <col min="509" max="509" width="5.5703125" customWidth="1"/>
    <col min="510" max="510" width="4.5703125" customWidth="1"/>
    <col min="511" max="511" width="4.7109375" customWidth="1"/>
    <col min="512" max="512" width="4.28515625" customWidth="1"/>
    <col min="513" max="513" width="7.42578125" customWidth="1"/>
    <col min="514" max="514" width="4.7109375" customWidth="1"/>
    <col min="515" max="515" width="4.28515625" customWidth="1"/>
    <col min="516" max="516" width="4.42578125" customWidth="1"/>
    <col min="517" max="517" width="4.28515625" customWidth="1"/>
    <col min="518" max="518" width="4.7109375" customWidth="1"/>
    <col min="519" max="519" width="5.42578125" customWidth="1"/>
    <col min="520" max="520" width="7.140625" customWidth="1"/>
    <col min="521" max="521" width="6.140625" customWidth="1"/>
    <col min="522" max="522" width="6" customWidth="1"/>
    <col min="523" max="523" width="7.28515625" customWidth="1"/>
    <col min="524" max="524" width="5.85546875" customWidth="1"/>
    <col min="525" max="525" width="5.28515625" customWidth="1"/>
    <col min="526" max="526" width="4.5703125" customWidth="1"/>
    <col min="527" max="527" width="4" customWidth="1"/>
    <col min="528" max="528" width="8.5703125" customWidth="1"/>
    <col min="529" max="529" width="6.85546875" customWidth="1"/>
    <col min="530" max="530" width="5.7109375" customWidth="1"/>
    <col min="531" max="531" width="5.140625" customWidth="1"/>
    <col min="532" max="532" width="7.42578125" customWidth="1"/>
    <col min="533" max="533" width="4.28515625" customWidth="1"/>
    <col min="534" max="534" width="5.42578125" customWidth="1"/>
    <col min="535" max="535" width="4.5703125" customWidth="1"/>
    <col min="536" max="536" width="7.28515625" customWidth="1"/>
    <col min="537" max="537" width="5" customWidth="1"/>
    <col min="538" max="538" width="4.7109375" customWidth="1"/>
    <col min="539" max="539" width="4.5703125" customWidth="1"/>
    <col min="540" max="540" width="4.7109375" customWidth="1"/>
    <col min="541" max="541" width="5.5703125" customWidth="1"/>
    <col min="542" max="542" width="4.42578125" customWidth="1"/>
    <col min="543" max="543" width="5" customWidth="1"/>
    <col min="544" max="544" width="5.5703125" customWidth="1"/>
    <col min="545" max="545" width="5.7109375" customWidth="1"/>
    <col min="546" max="547" width="5.5703125" customWidth="1"/>
    <col min="548" max="548" width="6.140625" customWidth="1"/>
    <col min="549" max="549" width="6.7109375" customWidth="1"/>
    <col min="550" max="550" width="5.7109375" customWidth="1"/>
    <col min="551" max="551" width="6.28515625" customWidth="1"/>
    <col min="552" max="552" width="5.42578125" customWidth="1"/>
    <col min="553" max="553" width="5.85546875" customWidth="1"/>
    <col min="554" max="554" width="5.7109375" customWidth="1"/>
    <col min="555" max="555" width="6.28515625" customWidth="1"/>
    <col min="556" max="556" width="6.85546875" customWidth="1"/>
    <col min="557" max="557" width="4.42578125" customWidth="1"/>
    <col min="558" max="558" width="5.140625" customWidth="1"/>
    <col min="559" max="559" width="5.7109375" customWidth="1"/>
    <col min="560" max="560" width="7.42578125" customWidth="1"/>
    <col min="561" max="561" width="5" customWidth="1"/>
    <col min="562" max="563" width="5.5703125" customWidth="1"/>
    <col min="564" max="564" width="6.140625" customWidth="1"/>
    <col min="565" max="566" width="5.5703125" customWidth="1"/>
    <col min="567" max="567" width="6.85546875" customWidth="1"/>
    <col min="568" max="568" width="5.28515625" customWidth="1"/>
    <col min="569" max="569" width="6.7109375" customWidth="1"/>
    <col min="570" max="570" width="5.5703125" customWidth="1"/>
    <col min="571" max="571" width="9.140625" customWidth="1"/>
    <col min="572" max="572" width="8" customWidth="1"/>
    <col min="573" max="573" width="9.140625" customWidth="1"/>
    <col min="574" max="575" width="7" customWidth="1"/>
    <col min="576" max="576" width="8.42578125" customWidth="1"/>
    <col min="577" max="577" width="9.5703125" customWidth="1"/>
    <col min="578" max="578" width="9.7109375" customWidth="1"/>
    <col min="579" max="579" width="9.28515625" customWidth="1"/>
    <col min="580" max="580" width="7" customWidth="1"/>
    <col min="581" max="581" width="4.85546875" customWidth="1"/>
    <col min="582" max="582" width="6.85546875" customWidth="1"/>
    <col min="583" max="583" width="7.42578125" customWidth="1"/>
    <col min="584" max="584" width="6.140625" customWidth="1"/>
    <col min="585" max="585" width="4.85546875" customWidth="1"/>
    <col min="586" max="586" width="3.85546875" customWidth="1"/>
    <col min="587" max="587" width="4.5703125" customWidth="1"/>
    <col min="588" max="588" width="7.5703125" customWidth="1"/>
    <col min="589" max="589" width="4" customWidth="1"/>
    <col min="590" max="590" width="5.42578125" customWidth="1"/>
    <col min="591" max="591" width="6" customWidth="1"/>
    <col min="592" max="592" width="7" customWidth="1"/>
    <col min="593" max="594" width="8" customWidth="1"/>
    <col min="595" max="595" width="8.5703125" customWidth="1"/>
    <col min="596" max="596" width="5" customWidth="1"/>
    <col min="597" max="597" width="4.5703125" customWidth="1"/>
    <col min="598" max="598" width="6.7109375" customWidth="1"/>
    <col min="599" max="599" width="4.7109375" customWidth="1"/>
    <col min="600" max="600" width="6.7109375" customWidth="1"/>
    <col min="601" max="601" width="5.7109375" customWidth="1"/>
    <col min="602" max="602" width="4.28515625" customWidth="1"/>
    <col min="603" max="603" width="5.28515625" customWidth="1"/>
    <col min="604" max="605" width="5.140625" customWidth="1"/>
    <col min="606" max="606" width="6.42578125" customWidth="1"/>
    <col min="607" max="607" width="7.28515625" customWidth="1"/>
    <col min="608" max="608" width="4.140625" customWidth="1"/>
    <col min="609" max="609" width="4.42578125" customWidth="1"/>
    <col min="610" max="610" width="5.5703125" customWidth="1"/>
    <col min="611" max="611" width="10.7109375" customWidth="1"/>
    <col min="612" max="612" width="5.5703125" customWidth="1"/>
    <col min="613" max="613" width="6.140625" customWidth="1"/>
    <col min="614" max="614" width="6.7109375" customWidth="1"/>
    <col min="615" max="615" width="8.7109375" customWidth="1"/>
    <col min="616" max="616" width="9.28515625" customWidth="1"/>
    <col min="617" max="617" width="6.7109375" customWidth="1"/>
    <col min="618" max="618" width="5.42578125" customWidth="1"/>
    <col min="619" max="619" width="5.7109375" customWidth="1"/>
    <col min="620" max="620" width="6.28515625" customWidth="1"/>
    <col min="621" max="621" width="6.7109375" customWidth="1"/>
    <col min="622" max="622" width="5.42578125" customWidth="1"/>
    <col min="623" max="623" width="5" customWidth="1"/>
    <col min="624" max="624" width="5.28515625" customWidth="1"/>
    <col min="625" max="625" width="4.7109375" customWidth="1"/>
    <col min="626" max="626" width="10" customWidth="1"/>
    <col min="627" max="627" width="5.5703125" customWidth="1"/>
    <col min="628" max="628" width="6.85546875" customWidth="1"/>
    <col min="629" max="629" width="5.140625" customWidth="1"/>
    <col min="630" max="630" width="6.42578125" customWidth="1"/>
    <col min="631" max="631" width="6.28515625" customWidth="1"/>
    <col min="632" max="632" width="5" customWidth="1"/>
    <col min="633" max="633" width="7.140625" customWidth="1"/>
    <col min="634" max="634" width="6.28515625" customWidth="1"/>
    <col min="635" max="635" width="5.140625" customWidth="1"/>
    <col min="636" max="636" width="8" customWidth="1"/>
    <col min="637" max="637" width="5.7109375" customWidth="1"/>
    <col min="638" max="638" width="9.7109375" customWidth="1"/>
    <col min="639" max="639" width="8.28515625" customWidth="1"/>
    <col min="640" max="641" width="5.28515625" customWidth="1"/>
    <col min="642" max="642" width="6.7109375" customWidth="1"/>
    <col min="643" max="643" width="5.42578125" customWidth="1"/>
    <col min="644" max="645" width="7.42578125" customWidth="1"/>
    <col min="646" max="646" width="7.5703125" customWidth="1"/>
    <col min="647" max="647" width="6.5703125" customWidth="1"/>
    <col min="648" max="648" width="5.42578125" customWidth="1"/>
    <col min="649" max="649" width="7.5703125" customWidth="1"/>
    <col min="650" max="650" width="9.7109375" customWidth="1"/>
    <col min="651" max="651" width="5.5703125" customWidth="1"/>
    <col min="652" max="652" width="6.28515625" customWidth="1"/>
    <col min="653" max="653" width="5.7109375" customWidth="1"/>
    <col min="654" max="654" width="5.42578125" customWidth="1"/>
    <col min="655" max="655" width="5.140625" customWidth="1"/>
    <col min="656" max="656" width="6.140625" customWidth="1"/>
    <col min="657" max="658" width="4.7109375" customWidth="1"/>
    <col min="659" max="659" width="4.42578125" customWidth="1"/>
    <col min="660" max="660" width="5" customWidth="1"/>
    <col min="661" max="661" width="4.5703125" customWidth="1"/>
    <col min="662" max="662" width="5.140625" customWidth="1"/>
    <col min="663" max="663" width="5.28515625" customWidth="1"/>
    <col min="664" max="664" width="5.85546875" customWidth="1"/>
    <col min="665" max="665" width="7.5703125" customWidth="1"/>
    <col min="666" max="666" width="7.7109375" customWidth="1"/>
    <col min="667" max="667" width="8.28515625" customWidth="1"/>
    <col min="668" max="668" width="7.42578125" customWidth="1"/>
    <col min="669" max="669" width="5.28515625" customWidth="1"/>
    <col min="670" max="670" width="5.140625" customWidth="1"/>
    <col min="671" max="671" width="5.7109375" customWidth="1"/>
    <col min="672" max="672" width="8.140625" customWidth="1"/>
    <col min="673" max="674" width="7" customWidth="1"/>
    <col min="675" max="675" width="5.28515625" customWidth="1"/>
    <col min="676" max="676" width="4.85546875" customWidth="1"/>
    <col min="677" max="677" width="5.28515625" customWidth="1"/>
    <col min="678" max="678" width="6.28515625" customWidth="1"/>
    <col min="679" max="679" width="4.42578125" customWidth="1"/>
    <col min="680" max="680" width="10.5703125" customWidth="1"/>
    <col min="681" max="681" width="9" customWidth="1"/>
    <col min="682" max="682" width="6.28515625" customWidth="1"/>
    <col min="683" max="683" width="5" customWidth="1"/>
    <col min="684" max="684" width="5.5703125" customWidth="1"/>
    <col min="685" max="685" width="6.140625" customWidth="1"/>
    <col min="686" max="686" width="6.28515625" customWidth="1"/>
    <col min="687" max="687" width="9.28515625" customWidth="1"/>
    <col min="688" max="688" width="7.28515625" customWidth="1"/>
    <col min="689" max="689" width="7.85546875" customWidth="1"/>
    <col min="690" max="690" width="8.5703125" customWidth="1"/>
    <col min="691" max="691" width="5.7109375" customWidth="1"/>
    <col min="692" max="692" width="5.85546875" customWidth="1"/>
    <col min="693" max="693" width="4.85546875" customWidth="1"/>
    <col min="694" max="694" width="6" customWidth="1"/>
    <col min="695" max="695" width="6.42578125" customWidth="1"/>
    <col min="696" max="696" width="4.85546875" customWidth="1"/>
    <col min="697" max="697" width="6.5703125" customWidth="1"/>
    <col min="698" max="698" width="4.5703125" customWidth="1"/>
    <col min="699" max="700" width="7.85546875" customWidth="1"/>
    <col min="701" max="702" width="6.85546875" customWidth="1"/>
    <col min="703" max="704" width="6.140625" customWidth="1"/>
    <col min="705" max="705" width="4.85546875" customWidth="1"/>
    <col min="706" max="706" width="6" customWidth="1"/>
    <col min="707" max="707" width="6.28515625" customWidth="1"/>
    <col min="708" max="708" width="7" customWidth="1"/>
    <col min="709" max="709" width="4.7109375" customWidth="1"/>
    <col min="710" max="710" width="5.5703125" customWidth="1"/>
    <col min="711" max="711" width="6" customWidth="1"/>
    <col min="712" max="712" width="4.85546875" customWidth="1"/>
    <col min="713" max="713" width="4.42578125" customWidth="1"/>
    <col min="714" max="714" width="4.5703125" customWidth="1"/>
    <col min="715" max="715" width="6.140625" customWidth="1"/>
    <col min="716" max="716" width="4.85546875" customWidth="1"/>
    <col min="717" max="717" width="5.5703125" customWidth="1"/>
    <col min="718" max="718" width="4.140625" customWidth="1"/>
    <col min="719" max="719" width="4.42578125" customWidth="1"/>
    <col min="720" max="720" width="7" customWidth="1"/>
    <col min="721" max="721" width="8" customWidth="1"/>
    <col min="722" max="722" width="5.7109375" customWidth="1"/>
    <col min="723" max="723" width="6.28515625" customWidth="1"/>
    <col min="724" max="724" width="6.85546875" customWidth="1"/>
    <col min="725" max="725" width="4.5703125" customWidth="1"/>
    <col min="726" max="726" width="6" customWidth="1"/>
    <col min="727" max="727" width="6.5703125" customWidth="1"/>
    <col min="728" max="728" width="6" customWidth="1"/>
    <col min="729" max="729" width="5" customWidth="1"/>
    <col min="730" max="730" width="5.140625" customWidth="1"/>
    <col min="731" max="731" width="5" customWidth="1"/>
    <col min="732" max="732" width="5.85546875" customWidth="1"/>
    <col min="733" max="733" width="4.5703125" customWidth="1"/>
    <col min="734" max="734" width="4.7109375" customWidth="1"/>
    <col min="735" max="735" width="5.7109375" customWidth="1"/>
    <col min="736" max="736" width="5.5703125" customWidth="1"/>
    <col min="737" max="737" width="6.140625" customWidth="1"/>
    <col min="738" max="738" width="5.5703125" customWidth="1"/>
    <col min="739" max="739" width="4.85546875" customWidth="1"/>
    <col min="740" max="740" width="6.42578125" customWidth="1"/>
    <col min="741" max="741" width="5.42578125" customWidth="1"/>
    <col min="742" max="742" width="6.140625" customWidth="1"/>
    <col min="743" max="743" width="6.7109375" customWidth="1"/>
    <col min="744" max="744" width="5" customWidth="1"/>
    <col min="745" max="745" width="7" customWidth="1"/>
    <col min="746" max="746" width="8" customWidth="1"/>
    <col min="747" max="747" width="6.28515625" customWidth="1"/>
    <col min="748" max="748" width="6.85546875" customWidth="1"/>
    <col min="749" max="749" width="6.140625" customWidth="1"/>
    <col min="750" max="750" width="4.42578125" customWidth="1"/>
    <col min="751" max="751" width="5.85546875" customWidth="1"/>
    <col min="752" max="752" width="6.7109375" customWidth="1"/>
    <col min="753" max="753" width="8.7109375" customWidth="1"/>
    <col min="754" max="754" width="8.85546875" customWidth="1"/>
    <col min="755" max="755" width="8.7109375" customWidth="1"/>
    <col min="756" max="756" width="6.7109375" customWidth="1"/>
    <col min="757" max="757" width="6.28515625" customWidth="1"/>
    <col min="758" max="758" width="5.7109375" customWidth="1"/>
    <col min="759" max="759" width="6" customWidth="1"/>
    <col min="760" max="760" width="5.7109375" customWidth="1"/>
    <col min="761" max="761" width="6.140625" customWidth="1"/>
    <col min="762" max="762" width="5.5703125" customWidth="1"/>
    <col min="763" max="763" width="8" customWidth="1"/>
    <col min="764" max="764" width="5.85546875" customWidth="1"/>
    <col min="765" max="765" width="7" customWidth="1"/>
    <col min="766" max="766" width="5.85546875" customWidth="1"/>
    <col min="767" max="767" width="4.42578125" customWidth="1"/>
    <col min="768" max="768" width="4.28515625" customWidth="1"/>
    <col min="769" max="769" width="7" customWidth="1"/>
    <col min="770" max="770" width="5.7109375" customWidth="1"/>
    <col min="771" max="771" width="7.7109375" customWidth="1"/>
    <col min="772" max="772" width="4.7109375" customWidth="1"/>
    <col min="773" max="773" width="4.5703125" customWidth="1"/>
    <col min="774" max="774" width="4.42578125" customWidth="1"/>
    <col min="775" max="775" width="4.5703125" customWidth="1"/>
    <col min="776" max="776" width="6.28515625" customWidth="1"/>
    <col min="777" max="777" width="6.85546875" customWidth="1"/>
    <col min="778" max="778" width="4.85546875" customWidth="1"/>
    <col min="779" max="779" width="7.28515625" customWidth="1"/>
    <col min="780" max="780" width="4.85546875" customWidth="1"/>
    <col min="781" max="781" width="4.5703125" customWidth="1"/>
    <col min="782" max="782" width="5" customWidth="1"/>
    <col min="783" max="783" width="4.7109375" customWidth="1"/>
    <col min="784" max="784" width="4.28515625" customWidth="1"/>
    <col min="785" max="785" width="5.42578125" customWidth="1"/>
    <col min="786" max="786" width="7.5703125" customWidth="1"/>
    <col min="787" max="787" width="8.5703125" customWidth="1"/>
    <col min="788" max="788" width="6" customWidth="1"/>
    <col min="789" max="789" width="4.7109375" customWidth="1"/>
    <col min="790" max="790" width="6.7109375" customWidth="1"/>
    <col min="791" max="791" width="7.28515625" customWidth="1"/>
    <col min="792" max="792" width="5.85546875" customWidth="1"/>
    <col min="793" max="793" width="5.28515625" customWidth="1"/>
    <col min="794" max="794" width="4.28515625" customWidth="1"/>
    <col min="795" max="795" width="4.85546875" customWidth="1"/>
    <col min="796" max="796" width="6.140625" customWidth="1"/>
    <col min="797" max="797" width="4.140625" customWidth="1"/>
    <col min="798" max="798" width="4.42578125" customWidth="1"/>
    <col min="799" max="799" width="5" customWidth="1"/>
    <col min="800" max="800" width="5.85546875" customWidth="1"/>
    <col min="801" max="802" width="6.5703125" customWidth="1"/>
    <col min="803" max="803" width="4.140625" customWidth="1"/>
    <col min="804" max="804" width="5.28515625" customWidth="1"/>
    <col min="805" max="806" width="6" customWidth="1"/>
    <col min="807" max="807" width="4.28515625" customWidth="1"/>
    <col min="808" max="808" width="8.7109375" customWidth="1"/>
    <col min="809" max="809" width="7" customWidth="1"/>
    <col min="810" max="810" width="6.7109375" customWidth="1"/>
    <col min="811" max="811" width="4.7109375" customWidth="1"/>
    <col min="812" max="812" width="7.28515625" customWidth="1"/>
    <col min="813" max="813" width="6.5703125" customWidth="1"/>
    <col min="814" max="814" width="4.42578125" customWidth="1"/>
    <col min="815" max="815" width="6.28515625" customWidth="1"/>
    <col min="816" max="816" width="5.7109375" customWidth="1"/>
    <col min="817" max="817" width="5.5703125" customWidth="1"/>
    <col min="818" max="818" width="5.42578125" customWidth="1"/>
    <col min="819" max="819" width="5.140625" customWidth="1"/>
    <col min="820" max="820" width="4.7109375" customWidth="1"/>
    <col min="821" max="821" width="4.28515625" customWidth="1"/>
    <col min="822" max="822" width="4.85546875" customWidth="1"/>
    <col min="823" max="823" width="4.5703125" customWidth="1"/>
    <col min="824" max="824" width="4.28515625" customWidth="1"/>
    <col min="825" max="825" width="10.140625" customWidth="1"/>
    <col min="826" max="826" width="9" customWidth="1"/>
    <col min="827" max="827" width="4.85546875" customWidth="1"/>
    <col min="828" max="828" width="4.42578125" customWidth="1"/>
    <col min="829" max="829" width="6" customWidth="1"/>
    <col min="830" max="831" width="5.85546875" customWidth="1"/>
    <col min="832" max="832" width="5.5703125" customWidth="1"/>
    <col min="833" max="833" width="4.140625" customWidth="1"/>
    <col min="834" max="834" width="4.42578125" customWidth="1"/>
    <col min="835" max="836" width="3.85546875" customWidth="1"/>
    <col min="837" max="838" width="7" customWidth="1"/>
    <col min="839" max="839" width="4.42578125" customWidth="1"/>
    <col min="840" max="840" width="4.28515625" customWidth="1"/>
    <col min="841" max="841" width="5.5703125" customWidth="1"/>
    <col min="842" max="842" width="5.42578125" customWidth="1"/>
    <col min="843" max="843" width="5.5703125" customWidth="1"/>
    <col min="844" max="844" width="4.42578125" customWidth="1"/>
    <col min="845" max="845" width="4.28515625" customWidth="1"/>
    <col min="846" max="846" width="4.140625" customWidth="1"/>
    <col min="847" max="847" width="4.28515625" customWidth="1"/>
    <col min="848" max="848" width="4.85546875" customWidth="1"/>
    <col min="849" max="849" width="5.42578125" customWidth="1"/>
    <col min="850" max="850" width="6.42578125" customWidth="1"/>
    <col min="851" max="851" width="4.28515625" customWidth="1"/>
    <col min="852" max="852" width="4.85546875" customWidth="1"/>
    <col min="853" max="853" width="9.28515625" customWidth="1"/>
    <col min="854" max="854" width="4.28515625" customWidth="1"/>
    <col min="855" max="855" width="6" customWidth="1"/>
    <col min="856" max="857" width="4.85546875" customWidth="1"/>
    <col min="858" max="858" width="4.28515625" customWidth="1"/>
    <col min="859" max="859" width="5.42578125" customWidth="1"/>
    <col min="860" max="860" width="4.85546875" customWidth="1"/>
    <col min="861" max="861" width="7.7109375" customWidth="1"/>
    <col min="862" max="863" width="7.140625" customWidth="1"/>
    <col min="864" max="864" width="6.140625" customWidth="1"/>
    <col min="865" max="865" width="3.85546875" customWidth="1"/>
    <col min="866" max="866" width="6.7109375" customWidth="1"/>
    <col min="867" max="867" width="4.5703125" customWidth="1"/>
    <col min="868" max="868" width="6.140625" customWidth="1"/>
    <col min="869" max="869" width="8.5703125" customWidth="1"/>
    <col min="870" max="870" width="7.5703125" customWidth="1"/>
    <col min="871" max="872" width="8.5703125" customWidth="1"/>
    <col min="873" max="873" width="5.5703125" customWidth="1"/>
    <col min="874" max="875" width="5.85546875" customWidth="1"/>
    <col min="876" max="876" width="5.28515625" customWidth="1"/>
    <col min="877" max="877" width="5.140625" customWidth="1"/>
    <col min="878" max="878" width="4" customWidth="1"/>
    <col min="879" max="879" width="4.5703125" customWidth="1"/>
    <col min="880" max="880" width="5.140625" customWidth="1"/>
    <col min="881" max="881" width="5.5703125" customWidth="1"/>
    <col min="882" max="882" width="9.5703125" customWidth="1"/>
    <col min="883" max="884" width="8.5703125" customWidth="1"/>
    <col min="885" max="885" width="5.85546875" customWidth="1"/>
    <col min="886" max="886" width="5.7109375" customWidth="1"/>
    <col min="887" max="887" width="7.42578125" customWidth="1"/>
    <col min="888" max="888" width="5.85546875" customWidth="1"/>
    <col min="889" max="889" width="6.7109375" customWidth="1"/>
    <col min="890" max="890" width="6.140625" customWidth="1"/>
    <col min="891" max="891" width="4.140625" customWidth="1"/>
    <col min="892" max="892" width="4.7109375" customWidth="1"/>
    <col min="893" max="896" width="7.42578125" customWidth="1"/>
    <col min="897" max="897" width="4.42578125" customWidth="1"/>
    <col min="898" max="898" width="4" customWidth="1"/>
    <col min="899" max="899" width="6.5703125" customWidth="1"/>
    <col min="900" max="901" width="4.28515625" customWidth="1"/>
    <col min="902" max="902" width="4.85546875" customWidth="1"/>
    <col min="903" max="903" width="4.42578125" customWidth="1"/>
    <col min="904" max="904" width="4.140625" customWidth="1"/>
    <col min="905" max="905" width="4.5703125" customWidth="1"/>
    <col min="906" max="906" width="4.140625" customWidth="1"/>
    <col min="907" max="907" width="6.7109375" customWidth="1"/>
    <col min="908" max="908" width="4.7109375" customWidth="1"/>
    <col min="909" max="909" width="5.85546875" customWidth="1"/>
    <col min="910" max="910" width="4.42578125" customWidth="1"/>
    <col min="911" max="911" width="4.28515625" customWidth="1"/>
    <col min="912" max="912" width="4.7109375" customWidth="1"/>
    <col min="913" max="913" width="4.28515625" customWidth="1"/>
    <col min="914" max="914" width="3.85546875" customWidth="1"/>
    <col min="915" max="915" width="3.7109375" customWidth="1"/>
    <col min="916" max="916" width="5.42578125" customWidth="1"/>
    <col min="917" max="917" width="7.42578125" customWidth="1"/>
    <col min="918" max="918" width="5.42578125" customWidth="1"/>
    <col min="919" max="919" width="4.28515625" customWidth="1"/>
    <col min="920" max="920" width="4.5703125" customWidth="1"/>
    <col min="921" max="921" width="6.5703125" customWidth="1"/>
    <col min="922" max="922" width="7.140625" customWidth="1"/>
    <col min="923" max="924" width="6.5703125" customWidth="1"/>
    <col min="925" max="925" width="6.7109375" customWidth="1"/>
    <col min="926" max="926" width="7.5703125" customWidth="1"/>
    <col min="927" max="927" width="6.5703125" customWidth="1"/>
    <col min="928" max="928" width="5.7109375" customWidth="1"/>
    <col min="929" max="929" width="5.5703125" customWidth="1"/>
    <col min="930" max="930" width="6.42578125" customWidth="1"/>
    <col min="931" max="931" width="7.42578125" customWidth="1"/>
    <col min="932" max="932" width="7.85546875" customWidth="1"/>
    <col min="933" max="933" width="9.140625" customWidth="1"/>
    <col min="934" max="934" width="5.28515625" customWidth="1"/>
    <col min="935" max="935" width="7.85546875" customWidth="1"/>
    <col min="936" max="936" width="7" customWidth="1"/>
    <col min="937" max="937" width="8" customWidth="1"/>
    <col min="938" max="938" width="5.140625" customWidth="1"/>
    <col min="939" max="939" width="9.42578125" customWidth="1"/>
    <col min="940" max="940" width="9.28515625" customWidth="1"/>
    <col min="941" max="941" width="4.85546875" customWidth="1"/>
    <col min="942" max="942" width="4.7109375" customWidth="1"/>
    <col min="943" max="944" width="4.85546875" customWidth="1"/>
    <col min="945" max="945" width="4.7109375" customWidth="1"/>
    <col min="946" max="946" width="4.140625" customWidth="1"/>
    <col min="947" max="947" width="5.28515625" customWidth="1"/>
    <col min="948" max="948" width="4.7109375" customWidth="1"/>
    <col min="949" max="949" width="4.5703125" customWidth="1"/>
    <col min="950" max="950" width="5" customWidth="1"/>
    <col min="951" max="951" width="5.5703125" customWidth="1"/>
    <col min="952" max="952" width="6.5703125" customWidth="1"/>
    <col min="953" max="953" width="5.42578125" customWidth="1"/>
    <col min="954" max="954" width="6.5703125" customWidth="1"/>
    <col min="955" max="955" width="6.140625" customWidth="1"/>
    <col min="956" max="956" width="5" customWidth="1"/>
    <col min="957" max="957" width="5.140625" customWidth="1"/>
    <col min="958" max="958" width="4.85546875" customWidth="1"/>
    <col min="959" max="959" width="4.7109375" customWidth="1"/>
    <col min="960" max="960" width="5" customWidth="1"/>
    <col min="961" max="961" width="4.7109375" customWidth="1"/>
    <col min="962" max="962" width="4.85546875" customWidth="1"/>
    <col min="963" max="963" width="5.5703125" customWidth="1"/>
    <col min="964" max="964" width="11.28515625" customWidth="1"/>
    <col min="965" max="965" width="9.42578125" customWidth="1"/>
    <col min="966" max="966" width="11.42578125" customWidth="1"/>
    <col min="967" max="967" width="9.5703125" customWidth="1"/>
    <col min="968" max="968" width="12.5703125" customWidth="1"/>
    <col min="969" max="969" width="10.85546875" customWidth="1"/>
    <col min="970" max="970" width="11.42578125" bestFit="1" customWidth="1"/>
    <col min="971" max="971" width="9.42578125" customWidth="1"/>
    <col min="972" max="972" width="11.42578125" bestFit="1" customWidth="1"/>
    <col min="973" max="973" width="10.85546875" bestFit="1" customWidth="1"/>
    <col min="974" max="974" width="11.42578125" bestFit="1" customWidth="1"/>
    <col min="975" max="975" width="8.140625" customWidth="1"/>
    <col min="976" max="976" width="10.7109375" customWidth="1"/>
    <col min="977" max="977" width="10.85546875" customWidth="1"/>
    <col min="978" max="978" width="14" bestFit="1" customWidth="1"/>
    <col min="979" max="979" width="16.7109375" bestFit="1" customWidth="1"/>
    <col min="980" max="981" width="10.85546875" customWidth="1"/>
    <col min="982" max="982" width="14" bestFit="1" customWidth="1"/>
    <col min="983" max="983" width="10.85546875" customWidth="1"/>
    <col min="984" max="984" width="14" bestFit="1" customWidth="1"/>
    <col min="985" max="985" width="10.85546875" customWidth="1"/>
    <col min="986" max="986" width="12.85546875" bestFit="1" customWidth="1"/>
    <col min="987" max="987" width="9.140625" customWidth="1"/>
    <col min="988" max="988" width="10.5703125" customWidth="1"/>
    <col min="989" max="989" width="9.140625" customWidth="1"/>
    <col min="990" max="991" width="11.140625" bestFit="1" customWidth="1"/>
    <col min="992" max="992" width="12.42578125" customWidth="1"/>
    <col min="993" max="993" width="9.42578125" customWidth="1"/>
    <col min="994" max="994" width="12.42578125" bestFit="1" customWidth="1"/>
    <col min="995" max="995" width="9.42578125" customWidth="1"/>
    <col min="996" max="996" width="12.42578125" bestFit="1" customWidth="1"/>
    <col min="997" max="997" width="9.140625" customWidth="1"/>
    <col min="998" max="998" width="11.85546875" bestFit="1" customWidth="1"/>
    <col min="999" max="999" width="9.42578125" customWidth="1"/>
    <col min="1000" max="1000" width="11.42578125" customWidth="1"/>
    <col min="1001" max="1001" width="11.140625" customWidth="1"/>
    <col min="1002" max="1002" width="12" customWidth="1"/>
    <col min="1003" max="1003" width="11.140625" customWidth="1"/>
    <col min="1004" max="1004" width="9.28515625" customWidth="1"/>
    <col min="1005" max="1005" width="9.140625" customWidth="1"/>
    <col min="1006" max="1006" width="9.28515625" customWidth="1"/>
    <col min="1007" max="1007" width="9.42578125" customWidth="1"/>
    <col min="1008" max="1008" width="9.140625" customWidth="1"/>
    <col min="1009" max="1009" width="16.7109375" bestFit="1" customWidth="1"/>
    <col min="1010" max="1010" width="13.5703125" bestFit="1" customWidth="1"/>
    <col min="1011" max="1011" width="9.140625" customWidth="1"/>
    <col min="1012" max="1012" width="10.42578125" customWidth="1"/>
    <col min="1013" max="1013" width="10.85546875" customWidth="1"/>
    <col min="1014" max="1014" width="9.42578125" customWidth="1"/>
    <col min="1015" max="1015" width="6.85546875" customWidth="1"/>
    <col min="1016" max="1016" width="9.5703125" customWidth="1"/>
    <col min="1017" max="1017" width="6.85546875" customWidth="1"/>
    <col min="1018" max="1018" width="9.140625" customWidth="1"/>
    <col min="1019" max="1019" width="9.28515625" customWidth="1"/>
    <col min="1020" max="1020" width="12.28515625" bestFit="1" customWidth="1"/>
    <col min="1021" max="1021" width="9.140625" customWidth="1"/>
    <col min="1022" max="1022" width="9.5703125" customWidth="1"/>
    <col min="1023" max="1023" width="9.85546875" customWidth="1"/>
    <col min="1024" max="1024" width="9.140625" customWidth="1"/>
    <col min="1025" max="1025" width="8.5703125" customWidth="1"/>
    <col min="1026" max="1026" width="9.28515625" customWidth="1"/>
    <col min="1027" max="1028" width="9.140625" customWidth="1"/>
    <col min="1029" max="1029" width="6.85546875" customWidth="1"/>
    <col min="1030" max="1030" width="9.5703125" customWidth="1"/>
    <col min="1031" max="1031" width="8.5703125" customWidth="1"/>
    <col min="1032" max="1032" width="10.28515625" customWidth="1"/>
    <col min="1033" max="1033" width="9" customWidth="1"/>
    <col min="1034" max="1034" width="12" bestFit="1" customWidth="1"/>
    <col min="1035" max="1035" width="8.28515625" customWidth="1"/>
    <col min="1036" max="1036" width="11" customWidth="1"/>
    <col min="1037" max="1037" width="7.85546875" customWidth="1"/>
    <col min="1038" max="1038" width="10.85546875" customWidth="1"/>
    <col min="1039" max="1039" width="9.140625" customWidth="1"/>
    <col min="1040" max="1040" width="12.140625" customWidth="1"/>
    <col min="1041" max="1041" width="7.7109375" customWidth="1"/>
    <col min="1042" max="1042" width="10.7109375" customWidth="1"/>
    <col min="1043" max="1043" width="9.42578125" customWidth="1"/>
    <col min="1044" max="1044" width="10.140625" customWidth="1"/>
    <col min="1045" max="1045" width="12.28515625" customWidth="1"/>
    <col min="1046" max="1046" width="9.42578125" customWidth="1"/>
    <col min="1047" max="1048" width="8.85546875" customWidth="1"/>
    <col min="1049" max="1049" width="10.42578125" customWidth="1"/>
    <col min="1050" max="1050" width="13.5703125" bestFit="1" customWidth="1"/>
    <col min="1051" max="1051" width="8.7109375" customWidth="1"/>
    <col min="1052" max="1052" width="11.7109375" bestFit="1" customWidth="1"/>
    <col min="1053" max="1053" width="7.5703125" customWidth="1"/>
    <col min="1054" max="1054" width="10.5703125" customWidth="1"/>
    <col min="1055" max="1055" width="9.140625" customWidth="1"/>
    <col min="1056" max="1056" width="10" customWidth="1"/>
    <col min="1057" max="1057" width="9.28515625" customWidth="1"/>
    <col min="1058" max="1058" width="12.28515625" bestFit="1" customWidth="1"/>
    <col min="1059" max="1061" width="9.140625" customWidth="1"/>
    <col min="1062" max="1062" width="10.28515625" customWidth="1"/>
    <col min="1063" max="1063" width="9.7109375" customWidth="1"/>
    <col min="1064" max="1064" width="9.42578125" customWidth="1"/>
    <col min="1065" max="1065" width="9.7109375" customWidth="1"/>
    <col min="1066" max="1066" width="12.140625" bestFit="1" customWidth="1"/>
    <col min="1067" max="1067" width="9.7109375" customWidth="1"/>
    <col min="1068" max="1068" width="9.85546875" customWidth="1"/>
    <col min="1069" max="1069" width="8.5703125" customWidth="1"/>
    <col min="1070" max="1070" width="9.5703125" customWidth="1"/>
    <col min="1071" max="1072" width="9.42578125" customWidth="1"/>
    <col min="1073" max="1073" width="6.85546875" customWidth="1"/>
    <col min="1074" max="1074" width="9.5703125" customWidth="1"/>
    <col min="1075" max="1075" width="9.42578125" customWidth="1"/>
    <col min="1076" max="1076" width="10.42578125" customWidth="1"/>
    <col min="1077" max="1077" width="9.140625" customWidth="1"/>
    <col min="1078" max="1078" width="9.28515625" customWidth="1"/>
    <col min="1079" max="1079" width="9.42578125" customWidth="1"/>
    <col min="1080" max="1080" width="9.85546875" customWidth="1"/>
    <col min="1081" max="1081" width="7.42578125" customWidth="1"/>
    <col min="1082" max="1082" width="10.42578125" customWidth="1"/>
    <col min="1083" max="1083" width="11.140625" bestFit="1" customWidth="1"/>
    <col min="1084" max="1084" width="10.5703125" customWidth="1"/>
    <col min="1085" max="1085" width="9.140625" customWidth="1"/>
    <col min="1086" max="1086" width="10.42578125" customWidth="1"/>
    <col min="1087" max="1087" width="9.42578125" customWidth="1"/>
    <col min="1088" max="1088" width="10.42578125" customWidth="1"/>
    <col min="1089" max="1089" width="9.140625" customWidth="1"/>
    <col min="1090" max="1090" width="11" bestFit="1" customWidth="1"/>
    <col min="1091" max="1091" width="9.42578125" customWidth="1"/>
    <col min="1092" max="1092" width="11.5703125" bestFit="1" customWidth="1"/>
    <col min="1093" max="1093" width="9.42578125" customWidth="1"/>
    <col min="1094" max="1094" width="10.5703125" customWidth="1"/>
    <col min="1095" max="1095" width="9.42578125" customWidth="1"/>
    <col min="1096" max="1096" width="11.140625" bestFit="1" customWidth="1"/>
    <col min="1097" max="1097" width="9.140625" customWidth="1"/>
    <col min="1098" max="1098" width="10.28515625" customWidth="1"/>
    <col min="1099" max="1099" width="9.42578125" customWidth="1"/>
    <col min="1100" max="1100" width="10.7109375" customWidth="1"/>
    <col min="1101" max="1101" width="9.42578125" customWidth="1"/>
    <col min="1102" max="1102" width="10.5703125" customWidth="1"/>
    <col min="1103" max="1103" width="9.42578125" customWidth="1"/>
    <col min="1104" max="1104" width="11.140625" customWidth="1"/>
    <col min="1105" max="1105" width="9.140625" customWidth="1"/>
    <col min="1106" max="1106" width="11.7109375" bestFit="1" customWidth="1"/>
    <col min="1107" max="1107" width="9.42578125" customWidth="1"/>
    <col min="1108" max="1108" width="9.28515625" customWidth="1"/>
    <col min="1109" max="1109" width="9.140625" customWidth="1"/>
    <col min="1110" max="1110" width="10" customWidth="1"/>
    <col min="1111" max="1111" width="9.42578125" customWidth="1"/>
    <col min="1112" max="1112" width="10.5703125" customWidth="1"/>
    <col min="1113" max="1113" width="9.28515625" customWidth="1"/>
    <col min="1114" max="1114" width="12.28515625" customWidth="1"/>
    <col min="1115" max="1115" width="7.140625" customWidth="1"/>
    <col min="1116" max="1116" width="9.85546875" customWidth="1"/>
    <col min="1117" max="1117" width="8.28515625" customWidth="1"/>
    <col min="1118" max="1118" width="10.42578125" customWidth="1"/>
    <col min="1119" max="1119" width="9.42578125" customWidth="1"/>
    <col min="1120" max="1120" width="10.42578125" customWidth="1"/>
    <col min="1121" max="1121" width="8" customWidth="1"/>
    <col min="1122" max="1122" width="11" customWidth="1"/>
    <col min="1123" max="1123" width="7.42578125" customWidth="1"/>
    <col min="1124" max="1124" width="10.42578125" customWidth="1"/>
    <col min="1125" max="1125" width="7.42578125" customWidth="1"/>
    <col min="1126" max="1126" width="10.42578125" bestFit="1" customWidth="1"/>
    <col min="1128" max="1128" width="11.7109375" bestFit="1" customWidth="1"/>
    <col min="1129" max="1129" width="8.28515625" customWidth="1"/>
    <col min="1130" max="1130" width="10.140625" bestFit="1" customWidth="1"/>
    <col min="1131" max="1131" width="8.5703125" customWidth="1"/>
    <col min="1132" max="1132" width="11.5703125" bestFit="1" customWidth="1"/>
    <col min="1133" max="1133" width="7.42578125" customWidth="1"/>
    <col min="1134" max="1134" width="10.42578125" bestFit="1" customWidth="1"/>
    <col min="1135" max="1135" width="11" bestFit="1" customWidth="1"/>
    <col min="1136" max="1136" width="14.140625" bestFit="1" customWidth="1"/>
    <col min="1137" max="1137" width="9.85546875" bestFit="1" customWidth="1"/>
    <col min="1138" max="1138" width="12.85546875" bestFit="1" customWidth="1"/>
    <col min="1139" max="1139" width="11" bestFit="1" customWidth="1"/>
    <col min="1140" max="1140" width="14.140625" bestFit="1" customWidth="1"/>
    <col min="1141" max="1141" width="8.85546875" customWidth="1"/>
    <col min="1142" max="1142" width="11.85546875" bestFit="1" customWidth="1"/>
    <col min="1144" max="1144" width="11.85546875" bestFit="1" customWidth="1"/>
    <col min="1145" max="1145" width="10.28515625" bestFit="1" customWidth="1"/>
    <col min="1146" max="1146" width="13.42578125" bestFit="1" customWidth="1"/>
    <col min="1147" max="1147" width="11.42578125" bestFit="1" customWidth="1"/>
    <col min="1148" max="1148" width="14.5703125" bestFit="1" customWidth="1"/>
    <col min="1149" max="1149" width="11.5703125" bestFit="1" customWidth="1"/>
    <col min="1150" max="1150" width="14.7109375" bestFit="1" customWidth="1"/>
    <col min="1151" max="1151" width="17.42578125" bestFit="1" customWidth="1"/>
    <col min="1152" max="1152" width="14.28515625" bestFit="1" customWidth="1"/>
    <col min="1153" max="1153" width="8.85546875" customWidth="1"/>
    <col min="1154" max="1154" width="11.85546875" bestFit="1" customWidth="1"/>
    <col min="1155" max="1155" width="7.140625" customWidth="1"/>
    <col min="1156" max="1156" width="9.7109375" bestFit="1" customWidth="1"/>
    <col min="1157" max="1157" width="9.42578125" bestFit="1" customWidth="1"/>
    <col min="1158" max="1158" width="11.7109375" bestFit="1" customWidth="1"/>
    <col min="1159" max="1159" width="9.28515625" bestFit="1" customWidth="1"/>
    <col min="1160" max="1160" width="12.28515625" bestFit="1" customWidth="1"/>
    <col min="1161" max="1161" width="8" customWidth="1"/>
    <col min="1162" max="1162" width="11" bestFit="1" customWidth="1"/>
    <col min="1164" max="1164" width="9.7109375" bestFit="1" customWidth="1"/>
    <col min="1165" max="1165" width="8.5703125" customWidth="1"/>
    <col min="1166" max="1166" width="8.7109375" customWidth="1"/>
    <col min="1167" max="1167" width="9.7109375" bestFit="1" customWidth="1"/>
    <col min="1168" max="1168" width="9.42578125" bestFit="1" customWidth="1"/>
    <col min="1169" max="1169" width="10.85546875" bestFit="1" customWidth="1"/>
    <col min="1170" max="1170" width="12.42578125" bestFit="1" customWidth="1"/>
    <col min="1171" max="1171" width="11.7109375" bestFit="1" customWidth="1"/>
    <col min="1172" max="1172" width="8.85546875" customWidth="1"/>
    <col min="1173" max="1173" width="9.42578125" bestFit="1" customWidth="1"/>
    <col min="1174" max="1174" width="10.28515625" bestFit="1" customWidth="1"/>
    <col min="1175" max="1175" width="9.42578125" bestFit="1" customWidth="1"/>
    <col min="1176" max="1176" width="10.85546875" bestFit="1" customWidth="1"/>
    <col min="1177" max="1177" width="8.85546875" customWidth="1"/>
    <col min="1178" max="1178" width="11.85546875" bestFit="1" customWidth="1"/>
    <col min="1179" max="1179" width="9.85546875" bestFit="1" customWidth="1"/>
    <col min="1180" max="1180" width="12.85546875" bestFit="1" customWidth="1"/>
    <col min="1181" max="1181" width="9.85546875" bestFit="1" customWidth="1"/>
    <col min="1182" max="1182" width="12.85546875" bestFit="1" customWidth="1"/>
    <col min="1183" max="1183" width="10.42578125" bestFit="1" customWidth="1"/>
    <col min="1184" max="1184" width="13.5703125" bestFit="1" customWidth="1"/>
    <col min="1185" max="1185" width="9.42578125" bestFit="1" customWidth="1"/>
    <col min="1186" max="1186" width="9.85546875" bestFit="1" customWidth="1"/>
    <col min="1187" max="1187" width="9.7109375" bestFit="1" customWidth="1"/>
    <col min="1188" max="1188" width="9.42578125" bestFit="1" customWidth="1"/>
    <col min="1190" max="1190" width="11.5703125" bestFit="1" customWidth="1"/>
    <col min="1191" max="1191" width="9.7109375" bestFit="1" customWidth="1"/>
    <col min="1192" max="1192" width="9.5703125" bestFit="1" customWidth="1"/>
    <col min="1194" max="1194" width="11.5703125" bestFit="1" customWidth="1"/>
    <col min="1195" max="1195" width="7.5703125" customWidth="1"/>
    <col min="1196" max="1196" width="10.5703125" bestFit="1" customWidth="1"/>
    <col min="1199" max="1199" width="7.140625" customWidth="1"/>
    <col min="1200" max="1200" width="10.140625" bestFit="1" customWidth="1"/>
    <col min="1202" max="1202" width="10" bestFit="1" customWidth="1"/>
    <col min="1204" max="1204" width="10" bestFit="1" customWidth="1"/>
    <col min="1205" max="1205" width="9.42578125" bestFit="1" customWidth="1"/>
    <col min="1206" max="1206" width="11.28515625" bestFit="1" customWidth="1"/>
    <col min="1207" max="1207" width="10.85546875" bestFit="1" customWidth="1"/>
    <col min="1208" max="1208" width="12.140625" bestFit="1" customWidth="1"/>
    <col min="1210" max="1210" width="9" customWidth="1"/>
    <col min="1212" max="1212" width="9.28515625" bestFit="1" customWidth="1"/>
    <col min="1213" max="1213" width="11.42578125" bestFit="1" customWidth="1"/>
    <col min="1214" max="1214" width="10.42578125" bestFit="1" customWidth="1"/>
    <col min="1215" max="1215" width="12.5703125" bestFit="1" customWidth="1"/>
    <col min="1216" max="1216" width="15.7109375" bestFit="1" customWidth="1"/>
    <col min="1217" max="1217" width="7.42578125" customWidth="1"/>
    <col min="1218" max="1218" width="10.42578125" bestFit="1" customWidth="1"/>
    <col min="1219" max="1219" width="8" customWidth="1"/>
    <col min="1220" max="1220" width="11" bestFit="1" customWidth="1"/>
    <col min="1221" max="1221" width="8.5703125" customWidth="1"/>
    <col min="1222" max="1222" width="11.5703125" bestFit="1" customWidth="1"/>
    <col min="1223" max="1223" width="10.5703125" bestFit="1" customWidth="1"/>
    <col min="1224" max="1224" width="13.7109375" bestFit="1" customWidth="1"/>
    <col min="1225" max="1225" width="11.140625" bestFit="1" customWidth="1"/>
    <col min="1226" max="1226" width="14.28515625" bestFit="1" customWidth="1"/>
    <col min="1227" max="1227" width="12.28515625" bestFit="1" customWidth="1"/>
    <col min="1228" max="1228" width="11.5703125" bestFit="1" customWidth="1"/>
    <col min="1229" max="1229" width="9.42578125" bestFit="1" customWidth="1"/>
    <col min="1230" max="1230" width="10.28515625" bestFit="1" customWidth="1"/>
    <col min="1231" max="1231" width="7.5703125" customWidth="1"/>
    <col min="1232" max="1232" width="10.5703125" bestFit="1" customWidth="1"/>
    <col min="1233" max="1233" width="9.7109375" bestFit="1" customWidth="1"/>
    <col min="1234" max="1234" width="11.140625" bestFit="1" customWidth="1"/>
    <col min="1235" max="1235" width="12.28515625" bestFit="1" customWidth="1"/>
    <col min="1236" max="1236" width="11.5703125" bestFit="1" customWidth="1"/>
    <col min="1237" max="1237" width="9.7109375" bestFit="1" customWidth="1"/>
    <col min="1238" max="1238" width="10.28515625" bestFit="1" customWidth="1"/>
    <col min="1239" max="1239" width="9.42578125" bestFit="1" customWidth="1"/>
    <col min="1240" max="1240" width="9.85546875" bestFit="1" customWidth="1"/>
    <col min="1242" max="1242" width="10.140625" bestFit="1" customWidth="1"/>
    <col min="1244" max="1244" width="9.5703125" bestFit="1" customWidth="1"/>
    <col min="1245" max="1245" width="11.85546875" bestFit="1" customWidth="1"/>
    <col min="1246" max="1246" width="15" bestFit="1" customWidth="1"/>
    <col min="1247" max="1247" width="7.42578125" customWidth="1"/>
    <col min="1248" max="1248" width="10.42578125" bestFit="1" customWidth="1"/>
    <col min="1249" max="1249" width="9.42578125" bestFit="1" customWidth="1"/>
    <col min="1250" max="1250" width="11.7109375" bestFit="1" customWidth="1"/>
    <col min="1251" max="1251" width="9.7109375" bestFit="1" customWidth="1"/>
    <col min="1252" max="1252" width="10" bestFit="1" customWidth="1"/>
    <col min="1253" max="1253" width="8.28515625" customWidth="1"/>
    <col min="1254" max="1254" width="11.28515625" bestFit="1" customWidth="1"/>
    <col min="1255" max="1255" width="9.42578125" bestFit="1" customWidth="1"/>
    <col min="1256" max="1256" width="11.140625" bestFit="1" customWidth="1"/>
    <col min="1258" max="1258" width="9.85546875" bestFit="1" customWidth="1"/>
    <col min="1259" max="1259" width="9.42578125" bestFit="1" customWidth="1"/>
    <col min="1260" max="1260" width="12" bestFit="1" customWidth="1"/>
    <col min="1261" max="1261" width="8.140625" customWidth="1"/>
    <col min="1262" max="1262" width="11.140625" bestFit="1" customWidth="1"/>
    <col min="1263" max="1263" width="9.42578125" bestFit="1" customWidth="1"/>
    <col min="1264" max="1264" width="10" bestFit="1" customWidth="1"/>
    <col min="1265" max="1265" width="9.85546875" bestFit="1" customWidth="1"/>
    <col min="1266" max="1266" width="12.85546875" bestFit="1" customWidth="1"/>
    <col min="1267" max="1267" width="7.5703125" customWidth="1"/>
    <col min="1268" max="1268" width="10.5703125" bestFit="1" customWidth="1"/>
    <col min="1269" max="1269" width="11.5703125" bestFit="1" customWidth="1"/>
    <col min="1270" max="1270" width="14.7109375" bestFit="1" customWidth="1"/>
    <col min="1271" max="1271" width="10.140625" bestFit="1" customWidth="1"/>
    <col min="1272" max="1272" width="13.28515625" bestFit="1" customWidth="1"/>
    <col min="1273" max="1273" width="12.28515625" bestFit="1" customWidth="1"/>
    <col min="1274" max="1274" width="10.140625" bestFit="1" customWidth="1"/>
    <col min="1275" max="1275" width="9.42578125" bestFit="1" customWidth="1"/>
    <col min="1276" max="1276" width="10.140625" bestFit="1" customWidth="1"/>
    <col min="1277" max="1277" width="9.7109375" bestFit="1" customWidth="1"/>
    <col min="1278" max="1278" width="11.5703125" bestFit="1" customWidth="1"/>
    <col min="1279" max="1279" width="7.28515625" customWidth="1"/>
    <col min="1280" max="1280" width="10.28515625" bestFit="1" customWidth="1"/>
    <col min="1281" max="1281" width="9.42578125" bestFit="1" customWidth="1"/>
    <col min="1282" max="1282" width="12.28515625" bestFit="1" customWidth="1"/>
    <col min="1283" max="1283" width="9.28515625" bestFit="1" customWidth="1"/>
    <col min="1284" max="1284" width="12.28515625" bestFit="1" customWidth="1"/>
    <col min="1285" max="1285" width="9.42578125" bestFit="1" customWidth="1"/>
    <col min="1286" max="1286" width="12.42578125" bestFit="1" customWidth="1"/>
    <col min="1288" max="1288" width="11.42578125" bestFit="1" customWidth="1"/>
    <col min="1289" max="1289" width="7.28515625" customWidth="1"/>
    <col min="1290" max="1290" width="10.28515625" bestFit="1" customWidth="1"/>
    <col min="1291" max="1291" width="9.42578125" bestFit="1" customWidth="1"/>
    <col min="1292" max="1292" width="12.42578125" bestFit="1" customWidth="1"/>
    <col min="1293" max="1293" width="11.5703125" bestFit="1" customWidth="1"/>
    <col min="1294" max="1294" width="14.7109375" bestFit="1" customWidth="1"/>
    <col min="1295" max="1295" width="10.85546875" bestFit="1" customWidth="1"/>
    <col min="1296" max="1296" width="10.42578125" bestFit="1" customWidth="1"/>
    <col min="1297" max="1297" width="8.140625" customWidth="1"/>
    <col min="1298" max="1298" width="11.140625" bestFit="1" customWidth="1"/>
    <col min="1300" max="1300" width="10.5703125" bestFit="1" customWidth="1"/>
    <col min="1302" max="1302" width="10.28515625" bestFit="1" customWidth="1"/>
    <col min="1303" max="1303" width="9.42578125" bestFit="1" customWidth="1"/>
    <col min="1304" max="1304" width="10" bestFit="1" customWidth="1"/>
    <col min="1305" max="1305" width="17.42578125" bestFit="1" customWidth="1"/>
    <col min="1306" max="1306" width="11" bestFit="1" customWidth="1"/>
    <col min="1307" max="1307" width="9.7109375" bestFit="1" customWidth="1"/>
    <col min="1308" max="1308" width="9.5703125" bestFit="1" customWidth="1"/>
    <col min="1309" max="1309" width="9.42578125" bestFit="1" customWidth="1"/>
    <col min="1310" max="1310" width="9.5703125" bestFit="1" customWidth="1"/>
    <col min="1311" max="1311" width="8.140625" customWidth="1"/>
    <col min="1312" max="1312" width="9.28515625" bestFit="1" customWidth="1"/>
    <col min="1313" max="1313" width="9.42578125" bestFit="1" customWidth="1"/>
    <col min="1314" max="1314" width="9.85546875" bestFit="1" customWidth="1"/>
    <col min="1316" max="1316" width="9.42578125" bestFit="1" customWidth="1"/>
    <col min="1317" max="1317" width="9.7109375" bestFit="1" customWidth="1"/>
    <col min="1318" max="1318" width="10" bestFit="1" customWidth="1"/>
    <col min="1320" max="1320" width="10.140625" bestFit="1" customWidth="1"/>
    <col min="1321" max="1321" width="7.7109375" customWidth="1"/>
    <col min="1322" max="1322" width="10.7109375" bestFit="1" customWidth="1"/>
    <col min="1323" max="1323" width="9.7109375" bestFit="1" customWidth="1"/>
    <col min="1324" max="1324" width="12.42578125" bestFit="1" customWidth="1"/>
    <col min="1325" max="1325" width="9.7109375" bestFit="1" customWidth="1"/>
    <col min="1326" max="1326" width="12.5703125" bestFit="1" customWidth="1"/>
    <col min="1327" max="1327" width="10.140625" bestFit="1" customWidth="1"/>
    <col min="1328" max="1328" width="13.28515625" bestFit="1" customWidth="1"/>
    <col min="1329" max="1329" width="9.7109375" bestFit="1" customWidth="1"/>
    <col min="1330" max="1330" width="12.28515625" bestFit="1" customWidth="1"/>
    <col min="1331" max="1331" width="9.42578125" bestFit="1" customWidth="1"/>
    <col min="1332" max="1332" width="10.140625" bestFit="1" customWidth="1"/>
    <col min="1333" max="1333" width="7" customWidth="1"/>
    <col min="1334" max="1334" width="10" bestFit="1" customWidth="1"/>
    <col min="1335" max="1335" width="7.5703125" customWidth="1"/>
    <col min="1336" max="1336" width="10.5703125" bestFit="1" customWidth="1"/>
    <col min="1337" max="1337" width="10" bestFit="1" customWidth="1"/>
    <col min="1338" max="1338" width="13.140625" bestFit="1" customWidth="1"/>
    <col min="1339" max="1339" width="8.85546875" customWidth="1"/>
    <col min="1340" max="1340" width="11.85546875" bestFit="1" customWidth="1"/>
    <col min="1341" max="1341" width="8.85546875" customWidth="1"/>
    <col min="1342" max="1342" width="11.85546875" bestFit="1" customWidth="1"/>
    <col min="1343" max="1343" width="9.42578125" bestFit="1" customWidth="1"/>
    <col min="1344" max="1344" width="10.140625" bestFit="1" customWidth="1"/>
    <col min="1345" max="1345" width="12.28515625" bestFit="1" customWidth="1"/>
    <col min="1346" max="1346" width="9.7109375" bestFit="1" customWidth="1"/>
    <col min="1347" max="1347" width="7.140625" customWidth="1"/>
    <col min="1348" max="1348" width="10.140625" bestFit="1" customWidth="1"/>
    <col min="1349" max="1349" width="16.7109375" bestFit="1" customWidth="1"/>
    <col min="1350" max="1350" width="11.140625" bestFit="1" customWidth="1"/>
    <col min="1352" max="1352" width="9.28515625" bestFit="1" customWidth="1"/>
    <col min="1353" max="1353" width="12.42578125" bestFit="1" customWidth="1"/>
    <col min="1354" max="1354" width="15.5703125" bestFit="1" customWidth="1"/>
    <col min="1355" max="1355" width="10.85546875" bestFit="1" customWidth="1"/>
    <col min="1356" max="1356" width="14" bestFit="1" customWidth="1"/>
    <col min="1358" max="1358" width="11.140625" bestFit="1" customWidth="1"/>
    <col min="1360" max="1360" width="9.85546875" bestFit="1" customWidth="1"/>
    <col min="1361" max="1361" width="9.7109375" bestFit="1" customWidth="1"/>
    <col min="1362" max="1362" width="10.42578125" bestFit="1" customWidth="1"/>
    <col min="1363" max="1363" width="9.42578125" bestFit="1" customWidth="1"/>
    <col min="1364" max="1364" width="11" bestFit="1" customWidth="1"/>
    <col min="1365" max="1365" width="8.5703125" customWidth="1"/>
    <col min="1366" max="1367" width="11.140625" bestFit="1" customWidth="1"/>
    <col min="1368" max="1368" width="14.28515625" bestFit="1" customWidth="1"/>
    <col min="1369" max="1369" width="9.42578125" bestFit="1" customWidth="1"/>
    <col min="1370" max="1370" width="12.140625" bestFit="1" customWidth="1"/>
    <col min="1371" max="1371" width="10.85546875" bestFit="1" customWidth="1"/>
    <col min="1372" max="1372" width="12.7109375" bestFit="1" customWidth="1"/>
    <col min="1373" max="1373" width="10.42578125" bestFit="1" customWidth="1"/>
    <col min="1374" max="1374" width="13.5703125" bestFit="1" customWidth="1"/>
    <col min="1376" max="1376" width="10.5703125" bestFit="1" customWidth="1"/>
    <col min="1377" max="1377" width="9.7109375" bestFit="1" customWidth="1"/>
    <col min="1378" max="1378" width="10.7109375" bestFit="1" customWidth="1"/>
    <col min="1379" max="1379" width="9.42578125" bestFit="1" customWidth="1"/>
    <col min="1380" max="1380" width="9.7109375" bestFit="1" customWidth="1"/>
    <col min="1381" max="1381" width="9.42578125" bestFit="1" customWidth="1"/>
    <col min="1382" max="1383" width="10.85546875" bestFit="1" customWidth="1"/>
    <col min="1384" max="1384" width="11.28515625" bestFit="1" customWidth="1"/>
    <col min="1385" max="1385" width="6.85546875" customWidth="1"/>
    <col min="1386" max="1387" width="9.7109375" bestFit="1" customWidth="1"/>
    <col min="1388" max="1388" width="11.42578125" bestFit="1" customWidth="1"/>
    <col min="1389" max="1389" width="11.140625" bestFit="1" customWidth="1"/>
    <col min="1390" max="1390" width="9.42578125" bestFit="1" customWidth="1"/>
    <col min="1391" max="1391" width="9.7109375" bestFit="1" customWidth="1"/>
    <col min="1392" max="1392" width="12.7109375" bestFit="1" customWidth="1"/>
    <col min="1393" max="1393" width="9.7109375" bestFit="1" customWidth="1"/>
    <col min="1394" max="1394" width="12.7109375" bestFit="1" customWidth="1"/>
    <col min="1396" max="1396" width="11.7109375" bestFit="1" customWidth="1"/>
    <col min="1397" max="1397" width="9.7109375" bestFit="1" customWidth="1"/>
    <col min="1398" max="1398" width="11.7109375" bestFit="1" customWidth="1"/>
    <col min="1399" max="1399" width="9.7109375" bestFit="1" customWidth="1"/>
    <col min="1400" max="1400" width="11" bestFit="1" customWidth="1"/>
    <col min="1401" max="1401" width="9.42578125" bestFit="1" customWidth="1"/>
    <col min="1402" max="1402" width="11" bestFit="1" customWidth="1"/>
    <col min="1403" max="1403" width="9.42578125" bestFit="1" customWidth="1"/>
    <col min="1404" max="1404" width="9.7109375" bestFit="1" customWidth="1"/>
    <col min="1405" max="1405" width="9.42578125" bestFit="1" customWidth="1"/>
    <col min="1406" max="1406" width="10.85546875" bestFit="1" customWidth="1"/>
    <col min="1407" max="1407" width="9.7109375" bestFit="1" customWidth="1"/>
    <col min="1408" max="1408" width="11.140625" bestFit="1" customWidth="1"/>
    <col min="1409" max="1409" width="9.42578125" bestFit="1" customWidth="1"/>
    <col min="1410" max="1410" width="11.85546875" bestFit="1" customWidth="1"/>
    <col min="1412" max="1412" width="9.5703125" bestFit="1" customWidth="1"/>
    <col min="1413" max="1413" width="12.28515625" bestFit="1" customWidth="1"/>
    <col min="1414" max="1414" width="10.42578125" bestFit="1" customWidth="1"/>
    <col min="1415" max="1415" width="9.42578125" bestFit="1" customWidth="1"/>
    <col min="1416" max="1416" width="10.85546875" bestFit="1" customWidth="1"/>
    <col min="1417" max="1417" width="9.42578125" bestFit="1" customWidth="1"/>
    <col min="1418" max="1418" width="9.7109375" bestFit="1" customWidth="1"/>
    <col min="1420" max="1420" width="9.28515625" bestFit="1" customWidth="1"/>
    <col min="1421" max="1421" width="11.7109375" bestFit="1" customWidth="1"/>
    <col min="1422" max="1422" width="9.42578125" bestFit="1" customWidth="1"/>
    <col min="1424" max="1424" width="11" bestFit="1" customWidth="1"/>
    <col min="1425" max="1426" width="9.7109375" bestFit="1" customWidth="1"/>
    <col min="1427" max="1427" width="7.42578125" customWidth="1"/>
    <col min="1428" max="1428" width="10.42578125" bestFit="1" customWidth="1"/>
    <col min="1430" max="1430" width="9" customWidth="1"/>
    <col min="1431" max="1431" width="21.5703125" bestFit="1" customWidth="1"/>
    <col min="1432" max="1432" width="9.28515625" bestFit="1" customWidth="1"/>
    <col min="1433" max="1433" width="8.85546875" customWidth="1"/>
    <col min="1434" max="1434" width="11.85546875" bestFit="1" customWidth="1"/>
    <col min="1435" max="1435" width="9.85546875" bestFit="1" customWidth="1"/>
    <col min="1436" max="1436" width="12.85546875" bestFit="1" customWidth="1"/>
    <col min="1437" max="1437" width="9.42578125" bestFit="1" customWidth="1"/>
    <col min="1438" max="1438" width="10.5703125" bestFit="1" customWidth="1"/>
    <col min="1440" max="1440" width="11.140625" bestFit="1" customWidth="1"/>
    <col min="1441" max="1441" width="9.42578125" bestFit="1" customWidth="1"/>
    <col min="1442" max="1442" width="11.7109375" bestFit="1" customWidth="1"/>
    <col min="1443" max="1443" width="8.85546875" customWidth="1"/>
    <col min="1444" max="1445" width="9.42578125" bestFit="1" customWidth="1"/>
    <col min="1446" max="1446" width="10.85546875" bestFit="1" customWidth="1"/>
    <col min="1447" max="1447" width="9.42578125" bestFit="1" customWidth="1"/>
    <col min="1448" max="1449" width="11.42578125" bestFit="1" customWidth="1"/>
    <col min="1450" max="1450" width="10.85546875" bestFit="1" customWidth="1"/>
    <col min="1451" max="1451" width="9.42578125" bestFit="1" customWidth="1"/>
    <col min="1452" max="1452" width="9.85546875" bestFit="1" customWidth="1"/>
    <col min="1453" max="1453" width="16.7109375" bestFit="1" customWidth="1"/>
    <col min="1454" max="1454" width="10" bestFit="1" customWidth="1"/>
    <col min="1455" max="1455" width="13.85546875" bestFit="1" customWidth="1"/>
    <col min="1456" max="1456" width="9.85546875" bestFit="1" customWidth="1"/>
    <col min="1457" max="1457" width="16.7109375" bestFit="1" customWidth="1"/>
    <col min="1458" max="1458" width="10.7109375" bestFit="1" customWidth="1"/>
    <col min="1459" max="1459" width="10.85546875" bestFit="1" customWidth="1"/>
    <col min="1460" max="1460" width="9.42578125" bestFit="1" customWidth="1"/>
    <col min="1462" max="1462" width="9.5703125" bestFit="1" customWidth="1"/>
    <col min="1463" max="1463" width="9.42578125" bestFit="1" customWidth="1"/>
    <col min="1464" max="1464" width="10.5703125" bestFit="1" customWidth="1"/>
    <col min="1466" max="1466" width="10.42578125" bestFit="1" customWidth="1"/>
    <col min="1467" max="1467" width="9.42578125" bestFit="1" customWidth="1"/>
    <col min="1468" max="1468" width="11" bestFit="1" customWidth="1"/>
    <col min="1469" max="1469" width="9.42578125" bestFit="1" customWidth="1"/>
    <col min="1470" max="1470" width="10.42578125" bestFit="1" customWidth="1"/>
    <col min="1472" max="1472" width="9.7109375" bestFit="1" customWidth="1"/>
    <col min="1473" max="1473" width="9.42578125" bestFit="1" customWidth="1"/>
    <col min="1474" max="1474" width="11.28515625" bestFit="1" customWidth="1"/>
    <col min="1475" max="1475" width="9.7109375" bestFit="1" customWidth="1"/>
    <col min="1476" max="1476" width="10.28515625" bestFit="1" customWidth="1"/>
    <col min="1478" max="1478" width="11" bestFit="1" customWidth="1"/>
    <col min="1479" max="1479" width="8.5703125" customWidth="1"/>
    <col min="1480" max="1480" width="11.5703125" bestFit="1" customWidth="1"/>
    <col min="1481" max="1481" width="9.7109375" bestFit="1" customWidth="1"/>
    <col min="1482" max="1482" width="9.85546875" bestFit="1" customWidth="1"/>
    <col min="1484" max="1484" width="11.85546875" bestFit="1" customWidth="1"/>
    <col min="1485" max="1485" width="9.85546875" bestFit="1" customWidth="1"/>
    <col min="1486" max="1486" width="12.85546875" bestFit="1" customWidth="1"/>
    <col min="1487" max="1487" width="9.42578125" bestFit="1" customWidth="1"/>
    <col min="1488" max="1488" width="11.140625" bestFit="1" customWidth="1"/>
    <col min="1489" max="1489" width="11.42578125" bestFit="1" customWidth="1"/>
    <col min="1490" max="1490" width="11.7109375" bestFit="1" customWidth="1"/>
    <col min="1491" max="1491" width="11.42578125" bestFit="1" customWidth="1"/>
    <col min="1492" max="1492" width="11" bestFit="1" customWidth="1"/>
    <col min="1494" max="1494" width="9.28515625" bestFit="1" customWidth="1"/>
    <col min="1495" max="1495" width="8.85546875" customWidth="1"/>
    <col min="1496" max="1496" width="10.7109375" bestFit="1" customWidth="1"/>
    <col min="1498" max="1498" width="11.5703125" bestFit="1" customWidth="1"/>
    <col min="1499" max="1499" width="17" bestFit="1" customWidth="1"/>
    <col min="1500" max="1500" width="13.7109375" bestFit="1" customWidth="1"/>
    <col min="1501" max="1501" width="10.7109375" bestFit="1" customWidth="1"/>
    <col min="1502" max="1502" width="13.85546875" bestFit="1" customWidth="1"/>
    <col min="1503" max="1503" width="10.5703125" bestFit="1" customWidth="1"/>
    <col min="1504" max="1504" width="13.7109375" bestFit="1" customWidth="1"/>
    <col min="1505" max="1505" width="9.42578125" bestFit="1" customWidth="1"/>
    <col min="1506" max="1506" width="11.5703125" bestFit="1" customWidth="1"/>
    <col min="1507" max="1507" width="11.42578125" bestFit="1" customWidth="1"/>
    <col min="1508" max="1508" width="11.140625" bestFit="1" customWidth="1"/>
    <col min="1510" max="1510" width="10.5703125" bestFit="1" customWidth="1"/>
    <col min="1511" max="1511" width="9.7109375" bestFit="1" customWidth="1"/>
    <col min="1512" max="1513" width="10.85546875" bestFit="1" customWidth="1"/>
    <col min="1514" max="1514" width="10.5703125" bestFit="1" customWidth="1"/>
    <col min="1516" max="1516" width="11" bestFit="1" customWidth="1"/>
    <col min="1517" max="1517" width="9.42578125" bestFit="1" customWidth="1"/>
    <col min="1518" max="1518" width="10.42578125" bestFit="1" customWidth="1"/>
    <col min="1519" max="1519" width="9.85546875" bestFit="1" customWidth="1"/>
    <col min="1520" max="1520" width="12.85546875" bestFit="1" customWidth="1"/>
    <col min="1521" max="1521" width="8.5703125" customWidth="1"/>
    <col min="1522" max="1522" width="10.7109375" bestFit="1" customWidth="1"/>
    <col min="1523" max="1523" width="11.42578125" bestFit="1" customWidth="1"/>
    <col min="1524" max="1525" width="11.85546875" bestFit="1" customWidth="1"/>
    <col min="1526" max="1526" width="10.7109375" bestFit="1" customWidth="1"/>
    <col min="1527" max="1527" width="10.85546875" bestFit="1" customWidth="1"/>
    <col min="1528" max="1528" width="9.28515625" bestFit="1" customWidth="1"/>
    <col min="1529" max="1529" width="9.42578125" bestFit="1" customWidth="1"/>
    <col min="1531" max="1531" width="9.42578125" bestFit="1" customWidth="1"/>
    <col min="1532" max="1532" width="11.85546875" bestFit="1" customWidth="1"/>
    <col min="1533" max="1533" width="13.85546875" bestFit="1" customWidth="1"/>
    <col min="1534" max="1534" width="10.5703125" bestFit="1" customWidth="1"/>
    <col min="1535" max="1535" width="9.5703125" bestFit="1" customWidth="1"/>
    <col min="1536" max="1536" width="12.5703125" bestFit="1" customWidth="1"/>
    <col min="1538" max="1538" width="9.5703125" bestFit="1" customWidth="1"/>
    <col min="1539" max="1539" width="13.85546875" bestFit="1" customWidth="1"/>
    <col min="1540" max="1541" width="9.42578125" bestFit="1" customWidth="1"/>
    <col min="1542" max="1542" width="9.28515625" bestFit="1" customWidth="1"/>
    <col min="1543" max="1543" width="9.7109375" bestFit="1" customWidth="1"/>
    <col min="1544" max="1545" width="9.42578125" bestFit="1" customWidth="1"/>
    <col min="1546" max="1546" width="11.140625" bestFit="1" customWidth="1"/>
    <col min="1548" max="1548" width="11.7109375" bestFit="1" customWidth="1"/>
    <col min="1549" max="1549" width="9.42578125" bestFit="1" customWidth="1"/>
    <col min="1550" max="1550" width="9.7109375" bestFit="1" customWidth="1"/>
    <col min="1552" max="1552" width="12.140625" bestFit="1" customWidth="1"/>
    <col min="1553" max="1554" width="9.7109375" bestFit="1" customWidth="1"/>
    <col min="1556" max="1557" width="9.42578125" bestFit="1" customWidth="1"/>
    <col min="1558" max="1558" width="9.85546875" bestFit="1" customWidth="1"/>
    <col min="1559" max="1559" width="12" bestFit="1" customWidth="1"/>
    <col min="1560" max="1560" width="9.5703125" bestFit="1" customWidth="1"/>
    <col min="1561" max="1561" width="12.28515625" bestFit="1" customWidth="1"/>
    <col min="1563" max="1563" width="7.28515625" customWidth="1"/>
    <col min="1564" max="1564" width="10.28515625" bestFit="1" customWidth="1"/>
    <col min="1565" max="1565" width="9.42578125" bestFit="1" customWidth="1"/>
    <col min="1566" max="1566" width="12.42578125" bestFit="1" customWidth="1"/>
    <col min="1567" max="1567" width="10.42578125" bestFit="1" customWidth="1"/>
    <col min="1568" max="1568" width="13.5703125" bestFit="1" customWidth="1"/>
    <col min="1569" max="1569" width="7.85546875" customWidth="1"/>
    <col min="1570" max="1570" width="10.85546875" bestFit="1" customWidth="1"/>
    <col min="1571" max="1571" width="9.42578125" bestFit="1" customWidth="1"/>
    <col min="1572" max="1572" width="9.5703125" bestFit="1" customWidth="1"/>
    <col min="1573" max="1573" width="9.42578125" bestFit="1" customWidth="1"/>
    <col min="1574" max="1574" width="11.5703125" bestFit="1" customWidth="1"/>
    <col min="1575" max="1575" width="9.42578125" bestFit="1" customWidth="1"/>
    <col min="1576" max="1576" width="12.140625" bestFit="1" customWidth="1"/>
    <col min="1578" max="1578" width="10.7109375" bestFit="1" customWidth="1"/>
    <col min="1579" max="1579" width="11.7109375" bestFit="1" customWidth="1"/>
    <col min="1580" max="1580" width="10.140625" bestFit="1" customWidth="1"/>
    <col min="1583" max="1583" width="11.7109375" bestFit="1" customWidth="1"/>
    <col min="1584" max="1584" width="9.7109375" bestFit="1" customWidth="1"/>
    <col min="1585" max="1585" width="9.42578125" bestFit="1" customWidth="1"/>
    <col min="1586" max="1586" width="11" bestFit="1" customWidth="1"/>
    <col min="1587" max="1587" width="9.42578125" bestFit="1" customWidth="1"/>
    <col min="1588" max="1588" width="9" customWidth="1"/>
    <col min="1589" max="1589" width="9.42578125" bestFit="1" customWidth="1"/>
    <col min="1590" max="1590" width="9.28515625" bestFit="1" customWidth="1"/>
    <col min="1591" max="1591" width="9.7109375" bestFit="1" customWidth="1"/>
    <col min="1592" max="1592" width="9.85546875" bestFit="1" customWidth="1"/>
    <col min="1593" max="1593" width="9.42578125" bestFit="1" customWidth="1"/>
    <col min="1594" max="1594" width="10.7109375" bestFit="1" customWidth="1"/>
    <col min="1595" max="1595" width="9.42578125" bestFit="1" customWidth="1"/>
    <col min="1596" max="1596" width="11.42578125" bestFit="1" customWidth="1"/>
    <col min="1597" max="1597" width="9.42578125" bestFit="1" customWidth="1"/>
    <col min="1598" max="1598" width="11.42578125" bestFit="1" customWidth="1"/>
    <col min="1599" max="1599" width="9.42578125" bestFit="1" customWidth="1"/>
    <col min="1600" max="1600" width="9" customWidth="1"/>
    <col min="1601" max="1601" width="9.42578125" bestFit="1" customWidth="1"/>
    <col min="1602" max="1602" width="10.140625" bestFit="1" customWidth="1"/>
    <col min="1603" max="1603" width="11.7109375" bestFit="1" customWidth="1"/>
    <col min="1604" max="1604" width="10.85546875" bestFit="1" customWidth="1"/>
    <col min="1605" max="1605" width="7.85546875" customWidth="1"/>
    <col min="1606" max="1606" width="10.85546875" bestFit="1" customWidth="1"/>
    <col min="1607" max="1607" width="8.5703125" customWidth="1"/>
    <col min="1609" max="1609" width="10.5703125" bestFit="1" customWidth="1"/>
    <col min="1610" max="1610" width="13.7109375" bestFit="1" customWidth="1"/>
    <col min="1611" max="1611" width="8.85546875" customWidth="1"/>
    <col min="1612" max="1612" width="11.85546875" bestFit="1" customWidth="1"/>
    <col min="1613" max="1613" width="8.5703125" customWidth="1"/>
    <col min="1614" max="1614" width="11.5703125" bestFit="1" customWidth="1"/>
    <col min="1615" max="1615" width="10.85546875" bestFit="1" customWidth="1"/>
    <col min="1616" max="1616" width="9.5703125" bestFit="1" customWidth="1"/>
    <col min="1617" max="1617" width="9.42578125" bestFit="1" customWidth="1"/>
    <col min="1618" max="1618" width="12.140625" bestFit="1" customWidth="1"/>
    <col min="1619" max="1619" width="8.42578125" customWidth="1"/>
    <col min="1620" max="1620" width="11.42578125" bestFit="1" customWidth="1"/>
    <col min="1621" max="1621" width="12" bestFit="1" customWidth="1"/>
    <col min="1622" max="1622" width="9.28515625" bestFit="1" customWidth="1"/>
    <col min="1623" max="1623" width="9.42578125" bestFit="1" customWidth="1"/>
    <col min="1624" max="1624" width="11.140625" bestFit="1" customWidth="1"/>
    <col min="1625" max="1625" width="9.7109375" bestFit="1" customWidth="1"/>
    <col min="1626" max="1626" width="10.5703125" bestFit="1" customWidth="1"/>
    <col min="1627" max="1627" width="9.7109375" bestFit="1" customWidth="1"/>
    <col min="1628" max="1628" width="10.42578125" bestFit="1" customWidth="1"/>
    <col min="1629" max="1629" width="7.28515625" customWidth="1"/>
    <col min="1630" max="1630" width="10.28515625" bestFit="1" customWidth="1"/>
    <col min="1631" max="1631" width="8.5703125" customWidth="1"/>
    <col min="1632" max="1632" width="10" bestFit="1" customWidth="1"/>
    <col min="1633" max="1633" width="12" bestFit="1" customWidth="1"/>
    <col min="1634" max="1634" width="9.5703125" bestFit="1" customWidth="1"/>
    <col min="1635" max="1635" width="19.7109375" bestFit="1" customWidth="1"/>
    <col min="1637" max="1638" width="9.7109375" bestFit="1" customWidth="1"/>
    <col min="1639" max="1639" width="10" bestFit="1" customWidth="1"/>
    <col min="1640" max="1640" width="9.42578125" bestFit="1" customWidth="1"/>
    <col min="1641" max="1641" width="7.140625" customWidth="1"/>
    <col min="1643" max="1643" width="12" bestFit="1" customWidth="1"/>
    <col min="1644" max="1644" width="15.140625" bestFit="1" customWidth="1"/>
    <col min="1645" max="1645" width="10.85546875" bestFit="1" customWidth="1"/>
    <col min="1646" max="1646" width="14" bestFit="1" customWidth="1"/>
    <col min="1648" max="1648" width="9.7109375" bestFit="1" customWidth="1"/>
    <col min="1649" max="1649" width="6.28515625" customWidth="1"/>
    <col min="1650" max="1650" width="9.28515625" bestFit="1" customWidth="1"/>
    <col min="1651" max="1651" width="11.42578125" bestFit="1" customWidth="1"/>
    <col min="1652" max="1652" width="10.85546875" bestFit="1" customWidth="1"/>
    <col min="1653" max="1653" width="9.7109375" bestFit="1" customWidth="1"/>
    <col min="1654" max="1654" width="10.7109375" bestFit="1" customWidth="1"/>
    <col min="1655" max="1655" width="9.7109375" bestFit="1" customWidth="1"/>
    <col min="1656" max="1656" width="10.7109375" bestFit="1" customWidth="1"/>
    <col min="1657" max="1657" width="12" bestFit="1" customWidth="1"/>
    <col min="1658" max="1658" width="10.42578125" bestFit="1" customWidth="1"/>
    <col min="1660" max="1660" width="9" customWidth="1"/>
    <col min="1662" max="1662" width="9.28515625" bestFit="1" customWidth="1"/>
    <col min="1663" max="1663" width="19.7109375" bestFit="1" customWidth="1"/>
    <col min="1664" max="1664" width="8.7109375" customWidth="1"/>
    <col min="1665" max="1665" width="9.42578125" bestFit="1" customWidth="1"/>
    <col min="1666" max="1666" width="8.7109375" customWidth="1"/>
    <col min="1667" max="1667" width="9.42578125" bestFit="1" customWidth="1"/>
    <col min="1668" max="1668" width="11.85546875" bestFit="1" customWidth="1"/>
    <col min="1669" max="1669" width="9.7109375" bestFit="1" customWidth="1"/>
    <col min="1670" max="1670" width="11.85546875" bestFit="1" customWidth="1"/>
    <col min="1672" max="1672" width="9.28515625" bestFit="1" customWidth="1"/>
    <col min="1673" max="1673" width="12" bestFit="1" customWidth="1"/>
    <col min="1675" max="1675" width="12" bestFit="1" customWidth="1"/>
    <col min="1676" max="1676" width="10.42578125" bestFit="1" customWidth="1"/>
    <col min="1677" max="1677" width="9.7109375" bestFit="1" customWidth="1"/>
    <col min="1678" max="1678" width="10.28515625" bestFit="1" customWidth="1"/>
    <col min="1679" max="1679" width="12" bestFit="1" customWidth="1"/>
    <col min="1680" max="1680" width="10.42578125" bestFit="1" customWidth="1"/>
    <col min="1681" max="1681" width="12.28515625" bestFit="1" customWidth="1"/>
    <col min="1682" max="1682" width="9.28515625" bestFit="1" customWidth="1"/>
    <col min="1685" max="1685" width="9.42578125" bestFit="1" customWidth="1"/>
    <col min="1686" max="1686" width="9" customWidth="1"/>
    <col min="1690" max="1690" width="9.7109375" bestFit="1" customWidth="1"/>
    <col min="1692" max="1692" width="10.28515625" bestFit="1" customWidth="1"/>
    <col min="1694" max="1694" width="11.28515625" bestFit="1" customWidth="1"/>
    <col min="1697" max="1697" width="9.42578125" bestFit="1" customWidth="1"/>
    <col min="1698" max="1698" width="9.7109375" bestFit="1" customWidth="1"/>
    <col min="1699" max="1699" width="11.140625" bestFit="1" customWidth="1"/>
    <col min="1700" max="1700" width="14.28515625" bestFit="1" customWidth="1"/>
    <col min="1701" max="1701" width="9.42578125" bestFit="1" customWidth="1"/>
    <col min="1703" max="1703" width="9.42578125" bestFit="1" customWidth="1"/>
    <col min="1704" max="1704" width="10.85546875" bestFit="1" customWidth="1"/>
    <col min="1706" max="1706" width="9.7109375" bestFit="1" customWidth="1"/>
    <col min="1707" max="1707" width="9.42578125" bestFit="1" customWidth="1"/>
    <col min="1708" max="1708" width="9.7109375" bestFit="1" customWidth="1"/>
    <col min="1709" max="1709" width="9.42578125" bestFit="1" customWidth="1"/>
    <col min="1712" max="1712" width="10.28515625" bestFit="1" customWidth="1"/>
    <col min="1713" max="1714" width="9.7109375" bestFit="1" customWidth="1"/>
    <col min="1715" max="1715" width="9.5703125" bestFit="1" customWidth="1"/>
    <col min="1716" max="1716" width="12.5703125" bestFit="1" customWidth="1"/>
    <col min="1718" max="1718" width="12" bestFit="1" customWidth="1"/>
    <col min="1720" max="1720" width="12" bestFit="1" customWidth="1"/>
    <col min="1721" max="1721" width="9.42578125" bestFit="1" customWidth="1"/>
    <col min="1722" max="1722" width="11" bestFit="1" customWidth="1"/>
    <col min="1723" max="1723" width="9.7109375" bestFit="1" customWidth="1"/>
    <col min="1724" max="1724" width="8.7109375" customWidth="1"/>
    <col min="1725" max="1725" width="8.85546875" customWidth="1"/>
    <col min="1726" max="1726" width="11.5703125" bestFit="1" customWidth="1"/>
    <col min="1728" max="1728" width="9.42578125" bestFit="1" customWidth="1"/>
    <col min="1729" max="1729" width="8.28515625" customWidth="1"/>
    <col min="1730" max="1730" width="11" bestFit="1" customWidth="1"/>
    <col min="1731" max="1731" width="11.7109375" bestFit="1" customWidth="1"/>
    <col min="1732" max="1732" width="13.5703125" bestFit="1" customWidth="1"/>
    <col min="1733" max="1733" width="12.28515625" bestFit="1" customWidth="1"/>
    <col min="1734" max="1734" width="12.42578125" bestFit="1" customWidth="1"/>
    <col min="1735" max="1735" width="12" bestFit="1" customWidth="1"/>
    <col min="1736" max="1736" width="13.5703125" bestFit="1" customWidth="1"/>
    <col min="1737" max="1737" width="11.42578125" bestFit="1" customWidth="1"/>
    <col min="1738" max="1738" width="13.5703125" bestFit="1" customWidth="1"/>
    <col min="1739" max="1739" width="7.42578125" customWidth="1"/>
    <col min="1740" max="1740" width="10.42578125" bestFit="1" customWidth="1"/>
    <col min="1741" max="1741" width="9.7109375" bestFit="1" customWidth="1"/>
    <col min="1742" max="1742" width="10.7109375" bestFit="1" customWidth="1"/>
    <col min="1743" max="1743" width="10.85546875" bestFit="1" customWidth="1"/>
    <col min="1744" max="1744" width="10.7109375" bestFit="1" customWidth="1"/>
    <col min="1745" max="1745" width="7.140625" customWidth="1"/>
    <col min="1746" max="1746" width="10.140625" bestFit="1" customWidth="1"/>
    <col min="1747" max="1747" width="7" customWidth="1"/>
    <col min="1748" max="1748" width="10" bestFit="1" customWidth="1"/>
    <col min="1750" max="1750" width="8.85546875" customWidth="1"/>
    <col min="1752" max="1752" width="9.42578125" bestFit="1" customWidth="1"/>
    <col min="1753" max="1753" width="8.5703125" customWidth="1"/>
    <col min="1754" max="1754" width="10" bestFit="1" customWidth="1"/>
    <col min="1756" max="1756" width="10.42578125" bestFit="1" customWidth="1"/>
    <col min="1757" max="1757" width="11.42578125" bestFit="1" customWidth="1"/>
    <col min="1758" max="1758" width="14.5703125" bestFit="1" customWidth="1"/>
    <col min="1759" max="1759" width="10.42578125" bestFit="1" customWidth="1"/>
    <col min="1760" max="1760" width="13.5703125" bestFit="1" customWidth="1"/>
    <col min="1761" max="1761" width="10.42578125" bestFit="1" customWidth="1"/>
    <col min="1762" max="1762" width="13.5703125" bestFit="1" customWidth="1"/>
    <col min="1764" max="1764" width="10.7109375" bestFit="1" customWidth="1"/>
    <col min="1766" max="1766" width="10.5703125" bestFit="1" customWidth="1"/>
    <col min="1767" max="1767" width="9.28515625" bestFit="1" customWidth="1"/>
    <col min="1768" max="1768" width="12.28515625" bestFit="1" customWidth="1"/>
    <col min="1769" max="1769" width="9.7109375" bestFit="1" customWidth="1"/>
    <col min="1770" max="1770" width="10.7109375" bestFit="1" customWidth="1"/>
    <col min="1772" max="1772" width="11.5703125" bestFit="1" customWidth="1"/>
    <col min="1773" max="1773" width="9.42578125" bestFit="1" customWidth="1"/>
    <col min="1774" max="1774" width="11" bestFit="1" customWidth="1"/>
    <col min="1775" max="1775" width="9.42578125" bestFit="1" customWidth="1"/>
    <col min="1776" max="1776" width="9" customWidth="1"/>
    <col min="1777" max="1777" width="9.7109375" bestFit="1" customWidth="1"/>
    <col min="1778" max="1778" width="9.5703125" bestFit="1" customWidth="1"/>
    <col min="1779" max="1779" width="9.28515625" bestFit="1" customWidth="1"/>
    <col min="1780" max="1780" width="12.28515625" bestFit="1" customWidth="1"/>
    <col min="1781" max="1781" width="9.28515625" bestFit="1" customWidth="1"/>
    <col min="1782" max="1782" width="12.28515625" bestFit="1" customWidth="1"/>
    <col min="1783" max="1783" width="9.28515625" bestFit="1" customWidth="1"/>
    <col min="1784" max="1784" width="12.28515625" bestFit="1" customWidth="1"/>
    <col min="1785" max="1785" width="9.28515625" bestFit="1" customWidth="1"/>
    <col min="1786" max="1786" width="12.28515625" bestFit="1" customWidth="1"/>
    <col min="1787" max="1787" width="9.42578125" bestFit="1" customWidth="1"/>
    <col min="1788" max="1788" width="9.28515625" bestFit="1" customWidth="1"/>
    <col min="1789" max="1789" width="9.42578125" bestFit="1" customWidth="1"/>
    <col min="1790" max="1790" width="8.85546875" customWidth="1"/>
    <col min="1791" max="1791" width="8.5703125" customWidth="1"/>
    <col min="1792" max="1792" width="11.42578125" bestFit="1" customWidth="1"/>
    <col min="1793" max="1793" width="11.140625" bestFit="1" customWidth="1"/>
    <col min="1797" max="1797" width="9.42578125" bestFit="1" customWidth="1"/>
    <col min="1798" max="1798" width="9.7109375" bestFit="1" customWidth="1"/>
    <col min="1799" max="1799" width="9.42578125" bestFit="1" customWidth="1"/>
    <col min="1800" max="1800" width="9.28515625" bestFit="1" customWidth="1"/>
    <col min="1802" max="1802" width="9" customWidth="1"/>
    <col min="1803" max="1803" width="8.28515625" customWidth="1"/>
    <col min="1804" max="1804" width="9.42578125" bestFit="1" customWidth="1"/>
    <col min="1805" max="1805" width="6.85546875" customWidth="1"/>
    <col min="1806" max="1806" width="9" customWidth="1"/>
    <col min="1808" max="1808" width="11.5703125" bestFit="1" customWidth="1"/>
    <col min="1809" max="1809" width="6.85546875" customWidth="1"/>
    <col min="1810" max="1810" width="9.5703125" bestFit="1" customWidth="1"/>
    <col min="1812" max="1812" width="10.7109375" bestFit="1" customWidth="1"/>
    <col min="1813" max="1813" width="6.5703125" customWidth="1"/>
    <col min="1814" max="1814" width="9.28515625" bestFit="1" customWidth="1"/>
    <col min="1815" max="1815" width="10.85546875" bestFit="1" customWidth="1"/>
    <col min="1817" max="1817" width="8.140625" customWidth="1"/>
    <col min="1818" max="1818" width="9.5703125" bestFit="1" customWidth="1"/>
    <col min="1819" max="1819" width="13.85546875" bestFit="1" customWidth="1"/>
    <col min="1821" max="1821" width="8.85546875" customWidth="1"/>
    <col min="1822" max="1822" width="8.7109375" customWidth="1"/>
    <col min="1823" max="1823" width="9.42578125" bestFit="1" customWidth="1"/>
    <col min="1824" max="1824" width="8.5703125" customWidth="1"/>
    <col min="1825" max="1825" width="7.28515625" customWidth="1"/>
    <col min="1826" max="1826" width="10.28515625" bestFit="1" customWidth="1"/>
    <col min="1827" max="1827" width="9.28515625" bestFit="1" customWidth="1"/>
    <col min="1828" max="1828" width="12.28515625" bestFit="1" customWidth="1"/>
    <col min="1829" max="1829" width="7.28515625" customWidth="1"/>
    <col min="1830" max="1830" width="10.28515625" bestFit="1" customWidth="1"/>
    <col min="1831" max="1831" width="6.85546875" customWidth="1"/>
    <col min="1834" max="1834" width="9.42578125" bestFit="1" customWidth="1"/>
    <col min="1835" max="1835" width="8.42578125" customWidth="1"/>
    <col min="1836" max="1836" width="11.42578125" bestFit="1" customWidth="1"/>
    <col min="1837" max="1837" width="9" customWidth="1"/>
    <col min="1838" max="1838" width="12" bestFit="1" customWidth="1"/>
    <col min="1839" max="1839" width="8.42578125" customWidth="1"/>
    <col min="1840" max="1840" width="11.42578125" bestFit="1" customWidth="1"/>
    <col min="1841" max="1841" width="8.42578125" customWidth="1"/>
    <col min="1842" max="1842" width="11.42578125" bestFit="1" customWidth="1"/>
    <col min="1843" max="1843" width="8.5703125" customWidth="1"/>
    <col min="1844" max="1844" width="11.5703125" bestFit="1" customWidth="1"/>
    <col min="1845" max="1845" width="9.42578125" bestFit="1" customWidth="1"/>
    <col min="1846" max="1846" width="12.42578125" bestFit="1" customWidth="1"/>
    <col min="1847" max="1847" width="17" bestFit="1" customWidth="1"/>
    <col min="1848" max="1848" width="11.42578125" bestFit="1" customWidth="1"/>
    <col min="1849" max="1849" width="9.42578125" bestFit="1" customWidth="1"/>
    <col min="1850" max="1850" width="10.5703125" bestFit="1" customWidth="1"/>
    <col min="1851" max="1851" width="7.42578125" customWidth="1"/>
    <col min="1852" max="1852" width="10.42578125" bestFit="1" customWidth="1"/>
    <col min="1853" max="1853" width="9.7109375" bestFit="1" customWidth="1"/>
    <col min="1854" max="1854" width="11.28515625" bestFit="1" customWidth="1"/>
    <col min="1855" max="1855" width="13.85546875" bestFit="1" customWidth="1"/>
    <col min="1856" max="1856" width="12.28515625" bestFit="1" customWidth="1"/>
    <col min="1857" max="1857" width="9.7109375" bestFit="1" customWidth="1"/>
    <col min="1858" max="1858" width="12.7109375" bestFit="1" customWidth="1"/>
    <col min="1859" max="1859" width="11" bestFit="1" customWidth="1"/>
    <col min="1860" max="1860" width="14.140625" bestFit="1" customWidth="1"/>
    <col min="1861" max="1861" width="8.5703125" customWidth="1"/>
    <col min="1862" max="1862" width="10.140625" bestFit="1" customWidth="1"/>
    <col min="1863" max="1863" width="9.7109375" bestFit="1" customWidth="1"/>
    <col min="1864" max="1864" width="12.7109375" bestFit="1" customWidth="1"/>
    <col min="1865" max="1865" width="16.7109375" bestFit="1" customWidth="1"/>
    <col min="1866" max="1866" width="11.85546875" bestFit="1" customWidth="1"/>
    <col min="1867" max="1867" width="9.85546875" bestFit="1" customWidth="1"/>
    <col min="1868" max="1868" width="12.85546875" bestFit="1" customWidth="1"/>
    <col min="1869" max="1869" width="9.42578125" bestFit="1" customWidth="1"/>
    <col min="1870" max="1870" width="10" bestFit="1" customWidth="1"/>
    <col min="1871" max="1871" width="11.28515625" bestFit="1" customWidth="1"/>
    <col min="1872" max="1872" width="14.42578125" bestFit="1" customWidth="1"/>
    <col min="1873" max="1873" width="11.140625" bestFit="1" customWidth="1"/>
    <col min="1874" max="1874" width="14.28515625" bestFit="1" customWidth="1"/>
    <col min="1875" max="1875" width="8.85546875" customWidth="1"/>
    <col min="1876" max="1876" width="9.7109375" bestFit="1" customWidth="1"/>
    <col min="1877" max="1877" width="16.7109375" bestFit="1" customWidth="1"/>
    <col min="1878" max="1878" width="9.5703125" bestFit="1" customWidth="1"/>
    <col min="1879" max="1879" width="8.85546875" customWidth="1"/>
    <col min="1880" max="1880" width="9.7109375" bestFit="1" customWidth="1"/>
    <col min="1882" max="1882" width="9.7109375" bestFit="1" customWidth="1"/>
    <col min="1884" max="1884" width="9.5703125" bestFit="1" customWidth="1"/>
    <col min="1885" max="1885" width="9.42578125" bestFit="1" customWidth="1"/>
    <col min="1886" max="1886" width="9" customWidth="1"/>
    <col min="1887" max="1887" width="22.7109375" bestFit="1" customWidth="1"/>
    <col min="1888" max="1888" width="10.140625" bestFit="1" customWidth="1"/>
    <col min="1889" max="1889" width="9.42578125" bestFit="1" customWidth="1"/>
    <col min="1890" max="1890" width="9.5703125" bestFit="1" customWidth="1"/>
    <col min="1891" max="1891" width="9.7109375" bestFit="1" customWidth="1"/>
    <col min="1892" max="1893" width="9.42578125" bestFit="1" customWidth="1"/>
    <col min="1894" max="1894" width="9.85546875" bestFit="1" customWidth="1"/>
    <col min="1896" max="1896" width="10.42578125" bestFit="1" customWidth="1"/>
    <col min="1897" max="1897" width="9.7109375" bestFit="1" customWidth="1"/>
    <col min="1898" max="1898" width="11.42578125" bestFit="1" customWidth="1"/>
    <col min="1899" max="1899" width="9.7109375" bestFit="1" customWidth="1"/>
    <col min="1900" max="1900" width="10.28515625" bestFit="1" customWidth="1"/>
    <col min="1901" max="1901" width="9.7109375" bestFit="1" customWidth="1"/>
    <col min="1902" max="1902" width="11.42578125" bestFit="1" customWidth="1"/>
    <col min="1903" max="1903" width="9.42578125" bestFit="1" customWidth="1"/>
    <col min="1904" max="1904" width="11" bestFit="1" customWidth="1"/>
    <col min="1905" max="1906" width="9.85546875" bestFit="1" customWidth="1"/>
    <col min="1907" max="1907" width="9.42578125" bestFit="1" customWidth="1"/>
    <col min="1908" max="1908" width="10" bestFit="1" customWidth="1"/>
    <col min="1909" max="1909" width="9.42578125" bestFit="1" customWidth="1"/>
    <col min="1910" max="1910" width="9.7109375" bestFit="1" customWidth="1"/>
    <col min="1911" max="1911" width="6.85546875" customWidth="1"/>
    <col min="1912" max="1912" width="9.5703125" bestFit="1" customWidth="1"/>
    <col min="1913" max="1913" width="9.42578125" bestFit="1" customWidth="1"/>
    <col min="1914" max="1914" width="9.85546875" bestFit="1" customWidth="1"/>
    <col min="1916" max="1916" width="9.5703125" bestFit="1" customWidth="1"/>
    <col min="1918" max="1918" width="9.7109375" bestFit="1" customWidth="1"/>
    <col min="1920" max="1920" width="10.42578125" bestFit="1" customWidth="1"/>
    <col min="1921" max="1921" width="11.28515625" bestFit="1" customWidth="1"/>
  </cols>
  <sheetData>
    <row r="1" spans="1:4" ht="53.25" customHeight="1">
      <c r="A1" s="27" t="s">
        <v>1285</v>
      </c>
      <c r="B1" s="27"/>
      <c r="C1" s="27"/>
      <c r="D1" s="27"/>
    </row>
    <row r="2" spans="1:4">
      <c r="A2" s="7" t="s">
        <v>0</v>
      </c>
      <c r="B2" s="7" t="s">
        <v>1</v>
      </c>
      <c r="C2" s="8" t="s">
        <v>2</v>
      </c>
      <c r="D2" s="7" t="s">
        <v>3</v>
      </c>
    </row>
    <row r="3" spans="1:4">
      <c r="A3" s="7" t="s">
        <v>389</v>
      </c>
      <c r="B3" s="7" t="s">
        <v>390</v>
      </c>
      <c r="C3" s="8">
        <v>4</v>
      </c>
      <c r="D3" s="7" t="s">
        <v>381</v>
      </c>
    </row>
    <row r="4" spans="1:4">
      <c r="A4" s="7" t="s">
        <v>396</v>
      </c>
      <c r="B4" s="7" t="s">
        <v>390</v>
      </c>
      <c r="C4" s="8">
        <v>4</v>
      </c>
      <c r="D4" s="7" t="s">
        <v>381</v>
      </c>
    </row>
    <row r="5" spans="1:4">
      <c r="A5" s="7" t="s">
        <v>400</v>
      </c>
      <c r="B5" s="7" t="s">
        <v>390</v>
      </c>
      <c r="C5" s="8">
        <v>4</v>
      </c>
      <c r="D5" s="7" t="s">
        <v>381</v>
      </c>
    </row>
    <row r="6" spans="1:4">
      <c r="A6" s="7" t="s">
        <v>401</v>
      </c>
      <c r="B6" s="7" t="s">
        <v>390</v>
      </c>
      <c r="C6" s="8">
        <v>4</v>
      </c>
      <c r="D6" s="7" t="s">
        <v>381</v>
      </c>
    </row>
    <row r="7" spans="1:4">
      <c r="A7" s="7" t="s">
        <v>402</v>
      </c>
      <c r="B7" s="7" t="s">
        <v>403</v>
      </c>
      <c r="C7" s="8">
        <v>6</v>
      </c>
      <c r="D7" s="7" t="s">
        <v>381</v>
      </c>
    </row>
    <row r="8" spans="1:4">
      <c r="A8" s="7" t="s">
        <v>382</v>
      </c>
      <c r="B8" s="7" t="s">
        <v>383</v>
      </c>
      <c r="C8" s="8">
        <v>6</v>
      </c>
      <c r="D8" s="7" t="s">
        <v>381</v>
      </c>
    </row>
    <row r="9" spans="1:4">
      <c r="A9" s="7" t="s">
        <v>384</v>
      </c>
      <c r="B9" s="7" t="s">
        <v>383</v>
      </c>
      <c r="C9" s="8">
        <v>6</v>
      </c>
      <c r="D9" s="7" t="s">
        <v>381</v>
      </c>
    </row>
    <row r="10" spans="1:4">
      <c r="A10" s="7" t="s">
        <v>387</v>
      </c>
      <c r="B10" s="7" t="s">
        <v>383</v>
      </c>
      <c r="C10" s="8">
        <v>6</v>
      </c>
      <c r="D10" s="7" t="s">
        <v>381</v>
      </c>
    </row>
    <row r="11" spans="1:4">
      <c r="A11" s="7" t="s">
        <v>388</v>
      </c>
      <c r="B11" s="7" t="s">
        <v>383</v>
      </c>
      <c r="C11" s="8">
        <v>6</v>
      </c>
      <c r="D11" s="7" t="s">
        <v>381</v>
      </c>
    </row>
    <row r="12" spans="1:4">
      <c r="A12" s="7" t="s">
        <v>391</v>
      </c>
      <c r="B12" s="7" t="s">
        <v>383</v>
      </c>
      <c r="C12" s="8">
        <v>6</v>
      </c>
      <c r="D12" s="7" t="s">
        <v>381</v>
      </c>
    </row>
    <row r="13" spans="1:4">
      <c r="A13" s="7" t="s">
        <v>392</v>
      </c>
      <c r="B13" s="7" t="s">
        <v>383</v>
      </c>
      <c r="C13" s="8">
        <v>6</v>
      </c>
      <c r="D13" s="7" t="s">
        <v>381</v>
      </c>
    </row>
    <row r="14" spans="1:4">
      <c r="A14" s="7" t="s">
        <v>393</v>
      </c>
      <c r="B14" s="7" t="s">
        <v>383</v>
      </c>
      <c r="C14" s="8">
        <v>6</v>
      </c>
      <c r="D14" s="7" t="s">
        <v>381</v>
      </c>
    </row>
    <row r="15" spans="1:4">
      <c r="A15" s="7" t="s">
        <v>397</v>
      </c>
      <c r="B15" s="7" t="s">
        <v>383</v>
      </c>
      <c r="C15" s="8">
        <v>6</v>
      </c>
      <c r="D15" s="7" t="s">
        <v>381</v>
      </c>
    </row>
    <row r="16" spans="1:4">
      <c r="A16" s="7" t="s">
        <v>385</v>
      </c>
      <c r="B16" s="7" t="s">
        <v>386</v>
      </c>
      <c r="C16" s="8">
        <v>4</v>
      </c>
      <c r="D16" s="7" t="s">
        <v>381</v>
      </c>
    </row>
    <row r="17" spans="1:4">
      <c r="A17" s="7" t="s">
        <v>394</v>
      </c>
      <c r="B17" s="7" t="s">
        <v>395</v>
      </c>
      <c r="C17" s="8">
        <v>4</v>
      </c>
      <c r="D17" s="7" t="s">
        <v>381</v>
      </c>
    </row>
    <row r="18" spans="1:4">
      <c r="A18" s="7" t="s">
        <v>379</v>
      </c>
      <c r="B18" s="7" t="s">
        <v>380</v>
      </c>
      <c r="C18" s="8">
        <v>4.5</v>
      </c>
      <c r="D18" s="7" t="s">
        <v>381</v>
      </c>
    </row>
    <row r="19" spans="1:4">
      <c r="A19" s="7" t="s">
        <v>398</v>
      </c>
      <c r="B19" s="7" t="s">
        <v>399</v>
      </c>
      <c r="C19" s="8">
        <v>5</v>
      </c>
      <c r="D19" s="7" t="s">
        <v>381</v>
      </c>
    </row>
    <row r="20" spans="1:4">
      <c r="A20" s="7" t="s">
        <v>329</v>
      </c>
      <c r="B20" s="7" t="s">
        <v>330</v>
      </c>
      <c r="C20" s="8">
        <v>6</v>
      </c>
      <c r="D20" s="7" t="s">
        <v>308</v>
      </c>
    </row>
    <row r="21" spans="1:4">
      <c r="A21" s="7" t="s">
        <v>331</v>
      </c>
      <c r="B21" s="7" t="s">
        <v>330</v>
      </c>
      <c r="C21" s="8">
        <v>6</v>
      </c>
      <c r="D21" s="7" t="s">
        <v>308</v>
      </c>
    </row>
    <row r="22" spans="1:4">
      <c r="A22" s="7" t="s">
        <v>334</v>
      </c>
      <c r="B22" s="7" t="s">
        <v>330</v>
      </c>
      <c r="C22" s="8">
        <v>6</v>
      </c>
      <c r="D22" s="7" t="s">
        <v>308</v>
      </c>
    </row>
    <row r="23" spans="1:4">
      <c r="A23" s="7" t="s">
        <v>336</v>
      </c>
      <c r="B23" s="7" t="s">
        <v>330</v>
      </c>
      <c r="C23" s="8">
        <v>6</v>
      </c>
      <c r="D23" s="7" t="s">
        <v>308</v>
      </c>
    </row>
    <row r="24" spans="1:4">
      <c r="A24" s="7" t="s">
        <v>339</v>
      </c>
      <c r="B24" s="7" t="s">
        <v>330</v>
      </c>
      <c r="C24" s="8">
        <v>6</v>
      </c>
      <c r="D24" s="7" t="s">
        <v>308</v>
      </c>
    </row>
    <row r="25" spans="1:4">
      <c r="A25" s="7" t="s">
        <v>340</v>
      </c>
      <c r="B25" s="7" t="s">
        <v>330</v>
      </c>
      <c r="C25" s="8">
        <v>6</v>
      </c>
      <c r="D25" s="7" t="s">
        <v>308</v>
      </c>
    </row>
    <row r="26" spans="1:4">
      <c r="A26" s="7" t="s">
        <v>341</v>
      </c>
      <c r="B26" s="7" t="s">
        <v>330</v>
      </c>
      <c r="C26" s="8">
        <v>6</v>
      </c>
      <c r="D26" s="7" t="s">
        <v>308</v>
      </c>
    </row>
    <row r="27" spans="1:4">
      <c r="A27" s="7" t="s">
        <v>343</v>
      </c>
      <c r="B27" s="7" t="s">
        <v>330</v>
      </c>
      <c r="C27" s="8">
        <v>6</v>
      </c>
      <c r="D27" s="7" t="s">
        <v>308</v>
      </c>
    </row>
    <row r="28" spans="1:4">
      <c r="A28" s="7" t="s">
        <v>344</v>
      </c>
      <c r="B28" s="7" t="s">
        <v>330</v>
      </c>
      <c r="C28" s="8">
        <v>6</v>
      </c>
      <c r="D28" s="7" t="s">
        <v>308</v>
      </c>
    </row>
    <row r="29" spans="1:4">
      <c r="A29" s="7" t="s">
        <v>348</v>
      </c>
      <c r="B29" s="7" t="s">
        <v>330</v>
      </c>
      <c r="C29" s="8">
        <v>6</v>
      </c>
      <c r="D29" s="7" t="s">
        <v>308</v>
      </c>
    </row>
    <row r="30" spans="1:4">
      <c r="A30" s="7" t="s">
        <v>351</v>
      </c>
      <c r="B30" s="7" t="s">
        <v>330</v>
      </c>
      <c r="C30" s="8">
        <v>6</v>
      </c>
      <c r="D30" s="7" t="s">
        <v>308</v>
      </c>
    </row>
    <row r="31" spans="1:4">
      <c r="A31" s="7" t="s">
        <v>352</v>
      </c>
      <c r="B31" s="7" t="s">
        <v>330</v>
      </c>
      <c r="C31" s="8">
        <v>6</v>
      </c>
      <c r="D31" s="7" t="s">
        <v>308</v>
      </c>
    </row>
    <row r="32" spans="1:4">
      <c r="A32" s="7" t="s">
        <v>357</v>
      </c>
      <c r="B32" s="7" t="s">
        <v>330</v>
      </c>
      <c r="C32" s="8">
        <v>6</v>
      </c>
      <c r="D32" s="7" t="s">
        <v>308</v>
      </c>
    </row>
    <row r="33" spans="1:4">
      <c r="A33" s="7" t="s">
        <v>358</v>
      </c>
      <c r="B33" s="7" t="s">
        <v>330</v>
      </c>
      <c r="C33" s="8">
        <v>6</v>
      </c>
      <c r="D33" s="7" t="s">
        <v>308</v>
      </c>
    </row>
    <row r="34" spans="1:4">
      <c r="A34" s="7" t="s">
        <v>359</v>
      </c>
      <c r="B34" s="7" t="s">
        <v>330</v>
      </c>
      <c r="C34" s="8">
        <v>6</v>
      </c>
      <c r="D34" s="7" t="s">
        <v>308</v>
      </c>
    </row>
    <row r="35" spans="1:4">
      <c r="A35" s="7" t="s">
        <v>360</v>
      </c>
      <c r="B35" s="7" t="s">
        <v>330</v>
      </c>
      <c r="C35" s="8">
        <v>6</v>
      </c>
      <c r="D35" s="7" t="s">
        <v>308</v>
      </c>
    </row>
    <row r="36" spans="1:4">
      <c r="A36" s="7" t="s">
        <v>364</v>
      </c>
      <c r="B36" s="7" t="s">
        <v>330</v>
      </c>
      <c r="C36" s="8">
        <v>6</v>
      </c>
      <c r="D36" s="7" t="s">
        <v>308</v>
      </c>
    </row>
    <row r="37" spans="1:4">
      <c r="A37" s="7" t="s">
        <v>367</v>
      </c>
      <c r="B37" s="7" t="s">
        <v>330</v>
      </c>
      <c r="C37" s="8">
        <v>6</v>
      </c>
      <c r="D37" s="7" t="s">
        <v>308</v>
      </c>
    </row>
    <row r="38" spans="1:4">
      <c r="A38" s="7" t="s">
        <v>368</v>
      </c>
      <c r="B38" s="7" t="s">
        <v>330</v>
      </c>
      <c r="C38" s="8">
        <v>6</v>
      </c>
      <c r="D38" s="7" t="s">
        <v>308</v>
      </c>
    </row>
    <row r="39" spans="1:4">
      <c r="A39" s="7" t="s">
        <v>369</v>
      </c>
      <c r="B39" s="7" t="s">
        <v>330</v>
      </c>
      <c r="C39" s="8">
        <v>6</v>
      </c>
      <c r="D39" s="7" t="s">
        <v>308</v>
      </c>
    </row>
    <row r="40" spans="1:4">
      <c r="A40" s="7" t="s">
        <v>370</v>
      </c>
      <c r="B40" s="7" t="s">
        <v>330</v>
      </c>
      <c r="C40" s="8">
        <v>6</v>
      </c>
      <c r="D40" s="7" t="s">
        <v>308</v>
      </c>
    </row>
    <row r="41" spans="1:4">
      <c r="A41" s="7" t="s">
        <v>371</v>
      </c>
      <c r="B41" s="7" t="s">
        <v>330</v>
      </c>
      <c r="C41" s="8">
        <v>6</v>
      </c>
      <c r="D41" s="7" t="s">
        <v>308</v>
      </c>
    </row>
    <row r="42" spans="1:4">
      <c r="A42" s="7" t="s">
        <v>373</v>
      </c>
      <c r="B42" s="7" t="s">
        <v>330</v>
      </c>
      <c r="C42" s="8">
        <v>6</v>
      </c>
      <c r="D42" s="7" t="s">
        <v>308</v>
      </c>
    </row>
    <row r="43" spans="1:4">
      <c r="A43" s="7" t="s">
        <v>375</v>
      </c>
      <c r="B43" s="7" t="s">
        <v>330</v>
      </c>
      <c r="C43" s="8">
        <v>6</v>
      </c>
      <c r="D43" s="7" t="s">
        <v>308</v>
      </c>
    </row>
    <row r="44" spans="1:4">
      <c r="A44" s="7" t="s">
        <v>376</v>
      </c>
      <c r="B44" s="7" t="s">
        <v>330</v>
      </c>
      <c r="C44" s="8">
        <v>6</v>
      </c>
      <c r="D44" s="7" t="s">
        <v>308</v>
      </c>
    </row>
    <row r="45" spans="1:4">
      <c r="A45" s="7" t="s">
        <v>377</v>
      </c>
      <c r="B45" s="7" t="s">
        <v>330</v>
      </c>
      <c r="C45" s="8">
        <v>6</v>
      </c>
      <c r="D45" s="7" t="s">
        <v>308</v>
      </c>
    </row>
    <row r="46" spans="1:4">
      <c r="A46" s="7" t="s">
        <v>309</v>
      </c>
      <c r="B46" s="7" t="s">
        <v>310</v>
      </c>
      <c r="C46" s="8">
        <v>6</v>
      </c>
      <c r="D46" s="7" t="s">
        <v>308</v>
      </c>
    </row>
    <row r="47" spans="1:4">
      <c r="A47" s="7" t="s">
        <v>311</v>
      </c>
      <c r="B47" s="7" t="s">
        <v>310</v>
      </c>
      <c r="C47" s="8">
        <v>6</v>
      </c>
      <c r="D47" s="7" t="s">
        <v>308</v>
      </c>
    </row>
    <row r="48" spans="1:4">
      <c r="A48" s="7" t="s">
        <v>316</v>
      </c>
      <c r="B48" s="7" t="s">
        <v>310</v>
      </c>
      <c r="C48" s="8">
        <v>6</v>
      </c>
      <c r="D48" s="7" t="s">
        <v>308</v>
      </c>
    </row>
    <row r="49" spans="1:4">
      <c r="A49" s="7" t="s">
        <v>321</v>
      </c>
      <c r="B49" s="7" t="s">
        <v>310</v>
      </c>
      <c r="C49" s="8">
        <v>6</v>
      </c>
      <c r="D49" s="7" t="s">
        <v>308</v>
      </c>
    </row>
    <row r="50" spans="1:4">
      <c r="A50" s="7" t="s">
        <v>335</v>
      </c>
      <c r="B50" s="7" t="s">
        <v>310</v>
      </c>
      <c r="C50" s="8">
        <v>6</v>
      </c>
      <c r="D50" s="7" t="s">
        <v>308</v>
      </c>
    </row>
    <row r="51" spans="1:4">
      <c r="A51" s="7" t="s">
        <v>337</v>
      </c>
      <c r="B51" s="7" t="s">
        <v>310</v>
      </c>
      <c r="C51" s="8">
        <v>6</v>
      </c>
      <c r="D51" s="7" t="s">
        <v>308</v>
      </c>
    </row>
    <row r="52" spans="1:4">
      <c r="A52" s="7" t="s">
        <v>349</v>
      </c>
      <c r="B52" s="7" t="s">
        <v>310</v>
      </c>
      <c r="C52" s="8">
        <v>6</v>
      </c>
      <c r="D52" s="7" t="s">
        <v>308</v>
      </c>
    </row>
    <row r="53" spans="1:4">
      <c r="A53" s="7" t="s">
        <v>350</v>
      </c>
      <c r="B53" s="7" t="s">
        <v>310</v>
      </c>
      <c r="C53" s="8">
        <v>6</v>
      </c>
      <c r="D53" s="7" t="s">
        <v>308</v>
      </c>
    </row>
    <row r="54" spans="1:4">
      <c r="A54" s="7" t="s">
        <v>361</v>
      </c>
      <c r="B54" s="7" t="s">
        <v>310</v>
      </c>
      <c r="C54" s="8">
        <v>6</v>
      </c>
      <c r="D54" s="7" t="s">
        <v>308</v>
      </c>
    </row>
    <row r="55" spans="1:4">
      <c r="A55" s="7" t="s">
        <v>362</v>
      </c>
      <c r="B55" s="7" t="s">
        <v>310</v>
      </c>
      <c r="C55" s="8">
        <v>6</v>
      </c>
      <c r="D55" s="7" t="s">
        <v>308</v>
      </c>
    </row>
    <row r="56" spans="1:4">
      <c r="A56" s="7" t="s">
        <v>363</v>
      </c>
      <c r="B56" s="7" t="s">
        <v>310</v>
      </c>
      <c r="C56" s="8">
        <v>6</v>
      </c>
      <c r="D56" s="7" t="s">
        <v>308</v>
      </c>
    </row>
    <row r="57" spans="1:4">
      <c r="A57" s="7" t="s">
        <v>366</v>
      </c>
      <c r="B57" s="7" t="s">
        <v>310</v>
      </c>
      <c r="C57" s="8">
        <v>6</v>
      </c>
      <c r="D57" s="7" t="s">
        <v>308</v>
      </c>
    </row>
    <row r="58" spans="1:4">
      <c r="A58" s="7" t="s">
        <v>378</v>
      </c>
      <c r="B58" s="7" t="s">
        <v>310</v>
      </c>
      <c r="C58" s="8">
        <v>6</v>
      </c>
      <c r="D58" s="7" t="s">
        <v>308</v>
      </c>
    </row>
    <row r="59" spans="1:4">
      <c r="A59" s="7" t="s">
        <v>317</v>
      </c>
      <c r="B59" s="7" t="s">
        <v>318</v>
      </c>
      <c r="C59" s="8">
        <v>5</v>
      </c>
      <c r="D59" s="7" t="s">
        <v>308</v>
      </c>
    </row>
    <row r="60" spans="1:4">
      <c r="A60" s="7" t="s">
        <v>319</v>
      </c>
      <c r="B60" s="7" t="s">
        <v>318</v>
      </c>
      <c r="C60" s="8">
        <v>5</v>
      </c>
      <c r="D60" s="7" t="s">
        <v>308</v>
      </c>
    </row>
    <row r="61" spans="1:4">
      <c r="A61" s="7" t="s">
        <v>320</v>
      </c>
      <c r="B61" s="7" t="s">
        <v>318</v>
      </c>
      <c r="C61" s="8">
        <v>5</v>
      </c>
      <c r="D61" s="7" t="s">
        <v>308</v>
      </c>
    </row>
    <row r="62" spans="1:4">
      <c r="A62" s="7" t="s">
        <v>327</v>
      </c>
      <c r="B62" s="7" t="s">
        <v>318</v>
      </c>
      <c r="C62" s="8">
        <v>5</v>
      </c>
      <c r="D62" s="7" t="s">
        <v>308</v>
      </c>
    </row>
    <row r="63" spans="1:4">
      <c r="A63" s="7" t="s">
        <v>347</v>
      </c>
      <c r="B63" s="7" t="s">
        <v>318</v>
      </c>
      <c r="C63" s="8">
        <v>5</v>
      </c>
      <c r="D63" s="7" t="s">
        <v>308</v>
      </c>
    </row>
    <row r="64" spans="1:4">
      <c r="A64" s="7" t="s">
        <v>306</v>
      </c>
      <c r="B64" s="7" t="s">
        <v>307</v>
      </c>
      <c r="C64" s="8">
        <v>6</v>
      </c>
      <c r="D64" s="7" t="s">
        <v>308</v>
      </c>
    </row>
    <row r="65" spans="1:4">
      <c r="A65" s="7" t="s">
        <v>332</v>
      </c>
      <c r="B65" s="7" t="s">
        <v>307</v>
      </c>
      <c r="C65" s="8">
        <v>6</v>
      </c>
      <c r="D65" s="7" t="s">
        <v>308</v>
      </c>
    </row>
    <row r="66" spans="1:4">
      <c r="A66" s="7" t="s">
        <v>333</v>
      </c>
      <c r="B66" s="7" t="s">
        <v>307</v>
      </c>
      <c r="C66" s="8">
        <v>6</v>
      </c>
      <c r="D66" s="7" t="s">
        <v>308</v>
      </c>
    </row>
    <row r="67" spans="1:4">
      <c r="A67" s="7" t="s">
        <v>322</v>
      </c>
      <c r="B67" s="7" t="s">
        <v>323</v>
      </c>
      <c r="C67" s="8">
        <v>4</v>
      </c>
      <c r="D67" s="7" t="s">
        <v>308</v>
      </c>
    </row>
    <row r="68" spans="1:4">
      <c r="A68" s="7" t="s">
        <v>326</v>
      </c>
      <c r="B68" s="7" t="s">
        <v>323</v>
      </c>
      <c r="C68" s="8">
        <v>4</v>
      </c>
      <c r="D68" s="7" t="s">
        <v>308</v>
      </c>
    </row>
    <row r="69" spans="1:4">
      <c r="A69" s="7" t="s">
        <v>314</v>
      </c>
      <c r="B69" s="7" t="s">
        <v>315</v>
      </c>
      <c r="C69" s="8">
        <v>4</v>
      </c>
      <c r="D69" s="7" t="s">
        <v>308</v>
      </c>
    </row>
    <row r="70" spans="1:4">
      <c r="A70" s="7" t="s">
        <v>324</v>
      </c>
      <c r="B70" s="7" t="s">
        <v>315</v>
      </c>
      <c r="C70" s="8">
        <v>4</v>
      </c>
      <c r="D70" s="7" t="s">
        <v>308</v>
      </c>
    </row>
    <row r="71" spans="1:4">
      <c r="A71" s="7" t="s">
        <v>325</v>
      </c>
      <c r="B71" s="7" t="s">
        <v>315</v>
      </c>
      <c r="C71" s="8">
        <v>4</v>
      </c>
      <c r="D71" s="7" t="s">
        <v>308</v>
      </c>
    </row>
    <row r="72" spans="1:4">
      <c r="A72" s="7" t="s">
        <v>328</v>
      </c>
      <c r="B72" s="7" t="s">
        <v>315</v>
      </c>
      <c r="C72" s="8">
        <v>4</v>
      </c>
      <c r="D72" s="7" t="s">
        <v>308</v>
      </c>
    </row>
    <row r="73" spans="1:4">
      <c r="A73" s="7" t="s">
        <v>338</v>
      </c>
      <c r="B73" s="7" t="s">
        <v>315</v>
      </c>
      <c r="C73" s="8">
        <v>4</v>
      </c>
      <c r="D73" s="7" t="s">
        <v>308</v>
      </c>
    </row>
    <row r="74" spans="1:4">
      <c r="A74" s="7" t="s">
        <v>342</v>
      </c>
      <c r="B74" s="7" t="s">
        <v>315</v>
      </c>
      <c r="C74" s="8">
        <v>4</v>
      </c>
      <c r="D74" s="7" t="s">
        <v>308</v>
      </c>
    </row>
    <row r="75" spans="1:4">
      <c r="A75" s="7" t="s">
        <v>312</v>
      </c>
      <c r="B75" s="7" t="s">
        <v>313</v>
      </c>
      <c r="C75" s="8">
        <v>8</v>
      </c>
      <c r="D75" s="7" t="s">
        <v>308</v>
      </c>
    </row>
    <row r="76" spans="1:4">
      <c r="A76" s="7" t="s">
        <v>365</v>
      </c>
      <c r="B76" s="7" t="s">
        <v>313</v>
      </c>
      <c r="C76" s="8">
        <v>8</v>
      </c>
      <c r="D76" s="7" t="s">
        <v>308</v>
      </c>
    </row>
    <row r="77" spans="1:4">
      <c r="A77" s="7" t="s">
        <v>372</v>
      </c>
      <c r="B77" s="7" t="s">
        <v>313</v>
      </c>
      <c r="C77" s="8">
        <v>8</v>
      </c>
      <c r="D77" s="7" t="s">
        <v>308</v>
      </c>
    </row>
    <row r="78" spans="1:4">
      <c r="A78" s="7" t="s">
        <v>374</v>
      </c>
      <c r="B78" s="7" t="s">
        <v>313</v>
      </c>
      <c r="C78" s="8">
        <v>8</v>
      </c>
      <c r="D78" s="7" t="s">
        <v>308</v>
      </c>
    </row>
    <row r="79" spans="1:4">
      <c r="A79" s="7" t="s">
        <v>345</v>
      </c>
      <c r="B79" s="7" t="s">
        <v>346</v>
      </c>
      <c r="C79" s="8">
        <v>6</v>
      </c>
      <c r="D79" s="7" t="s">
        <v>308</v>
      </c>
    </row>
    <row r="80" spans="1:4">
      <c r="A80" s="7" t="s">
        <v>353</v>
      </c>
      <c r="B80" s="7" t="s">
        <v>354</v>
      </c>
      <c r="C80" s="8">
        <v>4</v>
      </c>
      <c r="D80" s="7" t="s">
        <v>308</v>
      </c>
    </row>
    <row r="81" spans="1:4">
      <c r="A81" s="7" t="s">
        <v>355</v>
      </c>
      <c r="B81" s="7" t="s">
        <v>356</v>
      </c>
      <c r="C81" s="8">
        <v>8</v>
      </c>
      <c r="D81" s="7" t="s">
        <v>308</v>
      </c>
    </row>
    <row r="82" spans="1:4">
      <c r="A82" s="7" t="s">
        <v>255</v>
      </c>
      <c r="B82" s="7" t="s">
        <v>256</v>
      </c>
      <c r="C82" s="8">
        <v>6</v>
      </c>
      <c r="D82" s="7" t="s">
        <v>253</v>
      </c>
    </row>
    <row r="83" spans="1:4">
      <c r="A83" s="7" t="s">
        <v>280</v>
      </c>
      <c r="B83" s="7" t="s">
        <v>256</v>
      </c>
      <c r="C83" s="8">
        <v>6</v>
      </c>
      <c r="D83" s="7" t="s">
        <v>253</v>
      </c>
    </row>
    <row r="84" spans="1:4">
      <c r="A84" s="7" t="s">
        <v>285</v>
      </c>
      <c r="B84" s="7" t="s">
        <v>256</v>
      </c>
      <c r="C84" s="8">
        <v>6</v>
      </c>
      <c r="D84" s="7" t="s">
        <v>253</v>
      </c>
    </row>
    <row r="85" spans="1:4">
      <c r="A85" s="7" t="s">
        <v>259</v>
      </c>
      <c r="B85" s="7" t="s">
        <v>260</v>
      </c>
      <c r="C85" s="8">
        <v>6</v>
      </c>
      <c r="D85" s="7" t="s">
        <v>253</v>
      </c>
    </row>
    <row r="86" spans="1:4">
      <c r="A86" s="7" t="s">
        <v>284</v>
      </c>
      <c r="B86" s="7" t="s">
        <v>260</v>
      </c>
      <c r="C86" s="8">
        <v>6</v>
      </c>
      <c r="D86" s="7" t="s">
        <v>253</v>
      </c>
    </row>
    <row r="87" spans="1:4">
      <c r="A87" s="7" t="s">
        <v>299</v>
      </c>
      <c r="B87" s="7" t="s">
        <v>260</v>
      </c>
      <c r="C87" s="8">
        <v>6</v>
      </c>
      <c r="D87" s="7" t="s">
        <v>253</v>
      </c>
    </row>
    <row r="88" spans="1:4">
      <c r="A88" s="7" t="s">
        <v>251</v>
      </c>
      <c r="B88" s="7" t="s">
        <v>252</v>
      </c>
      <c r="C88" s="8">
        <v>6</v>
      </c>
      <c r="D88" s="7" t="s">
        <v>253</v>
      </c>
    </row>
    <row r="89" spans="1:4">
      <c r="A89" s="7" t="s">
        <v>254</v>
      </c>
      <c r="B89" s="7" t="s">
        <v>252</v>
      </c>
      <c r="C89" s="8">
        <v>6</v>
      </c>
      <c r="D89" s="7" t="s">
        <v>253</v>
      </c>
    </row>
    <row r="90" spans="1:4">
      <c r="A90" s="7" t="s">
        <v>261</v>
      </c>
      <c r="B90" s="7" t="s">
        <v>252</v>
      </c>
      <c r="C90" s="8">
        <v>6</v>
      </c>
      <c r="D90" s="7" t="s">
        <v>253</v>
      </c>
    </row>
    <row r="91" spans="1:4">
      <c r="A91" s="7" t="s">
        <v>262</v>
      </c>
      <c r="B91" s="7" t="s">
        <v>252</v>
      </c>
      <c r="C91" s="8">
        <v>6</v>
      </c>
      <c r="D91" s="7" t="s">
        <v>253</v>
      </c>
    </row>
    <row r="92" spans="1:4">
      <c r="A92" s="7" t="s">
        <v>286</v>
      </c>
      <c r="B92" s="7" t="s">
        <v>252</v>
      </c>
      <c r="C92" s="8">
        <v>6</v>
      </c>
      <c r="D92" s="7" t="s">
        <v>253</v>
      </c>
    </row>
    <row r="93" spans="1:4">
      <c r="A93" s="7" t="s">
        <v>293</v>
      </c>
      <c r="B93" s="7" t="s">
        <v>252</v>
      </c>
      <c r="C93" s="8">
        <v>6</v>
      </c>
      <c r="D93" s="7" t="s">
        <v>253</v>
      </c>
    </row>
    <row r="94" spans="1:4">
      <c r="A94" s="7" t="s">
        <v>294</v>
      </c>
      <c r="B94" s="7" t="s">
        <v>252</v>
      </c>
      <c r="C94" s="8">
        <v>6</v>
      </c>
      <c r="D94" s="7" t="s">
        <v>253</v>
      </c>
    </row>
    <row r="95" spans="1:4">
      <c r="A95" s="7" t="s">
        <v>305</v>
      </c>
      <c r="B95" s="7" t="s">
        <v>252</v>
      </c>
      <c r="C95" s="8">
        <v>6</v>
      </c>
      <c r="D95" s="7" t="s">
        <v>253</v>
      </c>
    </row>
    <row r="96" spans="1:4">
      <c r="A96" s="7" t="s">
        <v>257</v>
      </c>
      <c r="B96" s="7" t="s">
        <v>258</v>
      </c>
      <c r="C96" s="8">
        <v>4</v>
      </c>
      <c r="D96" s="7" t="s">
        <v>253</v>
      </c>
    </row>
    <row r="97" spans="1:4">
      <c r="A97" s="7" t="s">
        <v>266</v>
      </c>
      <c r="B97" s="7" t="s">
        <v>258</v>
      </c>
      <c r="C97" s="8">
        <v>4</v>
      </c>
      <c r="D97" s="7" t="s">
        <v>253</v>
      </c>
    </row>
    <row r="98" spans="1:4">
      <c r="A98" s="7" t="s">
        <v>269</v>
      </c>
      <c r="B98" s="7" t="s">
        <v>258</v>
      </c>
      <c r="C98" s="8">
        <v>4</v>
      </c>
      <c r="D98" s="7" t="s">
        <v>253</v>
      </c>
    </row>
    <row r="99" spans="1:4">
      <c r="A99" s="7" t="s">
        <v>270</v>
      </c>
      <c r="B99" s="7" t="s">
        <v>258</v>
      </c>
      <c r="C99" s="8">
        <v>4</v>
      </c>
      <c r="D99" s="7" t="s">
        <v>253</v>
      </c>
    </row>
    <row r="100" spans="1:4">
      <c r="A100" s="7" t="s">
        <v>271</v>
      </c>
      <c r="B100" s="7" t="s">
        <v>258</v>
      </c>
      <c r="C100" s="8">
        <v>4</v>
      </c>
      <c r="D100" s="7" t="s">
        <v>253</v>
      </c>
    </row>
    <row r="101" spans="1:4">
      <c r="A101" s="7" t="s">
        <v>272</v>
      </c>
      <c r="B101" s="7" t="s">
        <v>258</v>
      </c>
      <c r="C101" s="8">
        <v>4</v>
      </c>
      <c r="D101" s="7" t="s">
        <v>253</v>
      </c>
    </row>
    <row r="102" spans="1:4">
      <c r="A102" s="7" t="s">
        <v>273</v>
      </c>
      <c r="B102" s="7" t="s">
        <v>258</v>
      </c>
      <c r="C102" s="8">
        <v>4</v>
      </c>
      <c r="D102" s="7" t="s">
        <v>253</v>
      </c>
    </row>
    <row r="103" spans="1:4">
      <c r="A103" s="7" t="s">
        <v>277</v>
      </c>
      <c r="B103" s="7" t="s">
        <v>258</v>
      </c>
      <c r="C103" s="8">
        <v>4</v>
      </c>
      <c r="D103" s="7" t="s">
        <v>253</v>
      </c>
    </row>
    <row r="104" spans="1:4">
      <c r="A104" s="7" t="s">
        <v>278</v>
      </c>
      <c r="B104" s="7" t="s">
        <v>279</v>
      </c>
      <c r="C104" s="8">
        <v>6</v>
      </c>
      <c r="D104" s="7" t="s">
        <v>253</v>
      </c>
    </row>
    <row r="105" spans="1:4">
      <c r="A105" s="7" t="s">
        <v>267</v>
      </c>
      <c r="B105" s="7" t="s">
        <v>268</v>
      </c>
      <c r="C105" s="8">
        <v>6</v>
      </c>
      <c r="D105" s="7" t="s">
        <v>253</v>
      </c>
    </row>
    <row r="106" spans="1:4">
      <c r="A106" s="7" t="s">
        <v>297</v>
      </c>
      <c r="B106" s="7" t="s">
        <v>268</v>
      </c>
      <c r="C106" s="8">
        <v>6</v>
      </c>
      <c r="D106" s="7" t="s">
        <v>253</v>
      </c>
    </row>
    <row r="107" spans="1:4">
      <c r="A107" s="7" t="s">
        <v>304</v>
      </c>
      <c r="B107" s="7" t="s">
        <v>268</v>
      </c>
      <c r="C107" s="8">
        <v>6</v>
      </c>
      <c r="D107" s="7" t="s">
        <v>253</v>
      </c>
    </row>
    <row r="108" spans="1:4">
      <c r="A108" s="7" t="s">
        <v>282</v>
      </c>
      <c r="B108" s="7" t="s">
        <v>283</v>
      </c>
      <c r="C108" s="8">
        <v>4</v>
      </c>
      <c r="D108" s="7" t="s">
        <v>253</v>
      </c>
    </row>
    <row r="109" spans="1:4">
      <c r="A109" s="7" t="s">
        <v>263</v>
      </c>
      <c r="B109" s="7" t="s">
        <v>264</v>
      </c>
      <c r="C109" s="8">
        <v>4</v>
      </c>
      <c r="D109" s="7" t="s">
        <v>253</v>
      </c>
    </row>
    <row r="110" spans="1:4">
      <c r="A110" s="7" t="s">
        <v>265</v>
      </c>
      <c r="B110" s="7" t="s">
        <v>264</v>
      </c>
      <c r="C110" s="8">
        <v>4</v>
      </c>
      <c r="D110" s="7" t="s">
        <v>253</v>
      </c>
    </row>
    <row r="111" spans="1:4">
      <c r="A111" s="7" t="s">
        <v>276</v>
      </c>
      <c r="B111" s="7" t="s">
        <v>264</v>
      </c>
      <c r="C111" s="8">
        <v>4</v>
      </c>
      <c r="D111" s="7" t="s">
        <v>253</v>
      </c>
    </row>
    <row r="112" spans="1:4">
      <c r="A112" s="7" t="s">
        <v>281</v>
      </c>
      <c r="B112" s="7" t="s">
        <v>264</v>
      </c>
      <c r="C112" s="8">
        <v>4</v>
      </c>
      <c r="D112" s="7" t="s">
        <v>253</v>
      </c>
    </row>
    <row r="113" spans="1:4">
      <c r="A113" s="7" t="s">
        <v>289</v>
      </c>
      <c r="B113" s="7" t="s">
        <v>264</v>
      </c>
      <c r="C113" s="8">
        <v>4</v>
      </c>
      <c r="D113" s="7" t="s">
        <v>253</v>
      </c>
    </row>
    <row r="114" spans="1:4">
      <c r="A114" s="7" t="s">
        <v>292</v>
      </c>
      <c r="B114" s="7" t="s">
        <v>264</v>
      </c>
      <c r="C114" s="8">
        <v>4</v>
      </c>
      <c r="D114" s="7" t="s">
        <v>253</v>
      </c>
    </row>
    <row r="115" spans="1:4">
      <c r="A115" s="7" t="s">
        <v>274</v>
      </c>
      <c r="B115" s="7" t="s">
        <v>275</v>
      </c>
      <c r="C115" s="8">
        <v>4.5</v>
      </c>
      <c r="D115" s="7" t="s">
        <v>253</v>
      </c>
    </row>
    <row r="116" spans="1:4">
      <c r="A116" s="7" t="s">
        <v>303</v>
      </c>
      <c r="B116" s="7" t="s">
        <v>275</v>
      </c>
      <c r="C116" s="8">
        <v>4.5</v>
      </c>
      <c r="D116" s="7" t="s">
        <v>253</v>
      </c>
    </row>
    <row r="117" spans="1:4">
      <c r="A117" s="7" t="s">
        <v>300</v>
      </c>
      <c r="B117" s="7" t="s">
        <v>301</v>
      </c>
      <c r="C117" s="8">
        <v>8</v>
      </c>
      <c r="D117" s="7" t="s">
        <v>253</v>
      </c>
    </row>
    <row r="118" spans="1:4">
      <c r="A118" s="7" t="s">
        <v>302</v>
      </c>
      <c r="B118" s="7" t="s">
        <v>301</v>
      </c>
      <c r="C118" s="8">
        <v>8</v>
      </c>
      <c r="D118" s="7" t="s">
        <v>253</v>
      </c>
    </row>
    <row r="119" spans="1:4">
      <c r="A119" s="7" t="s">
        <v>287</v>
      </c>
      <c r="B119" s="7" t="s">
        <v>288</v>
      </c>
      <c r="C119" s="8">
        <v>4</v>
      </c>
      <c r="D119" s="7" t="s">
        <v>253</v>
      </c>
    </row>
    <row r="120" spans="1:4">
      <c r="A120" s="7" t="s">
        <v>295</v>
      </c>
      <c r="B120" s="7" t="s">
        <v>296</v>
      </c>
      <c r="C120" s="8">
        <v>4.5</v>
      </c>
      <c r="D120" s="7" t="s">
        <v>253</v>
      </c>
    </row>
    <row r="121" spans="1:4">
      <c r="A121" s="7" t="s">
        <v>290</v>
      </c>
      <c r="B121" s="7" t="s">
        <v>291</v>
      </c>
      <c r="C121" s="8">
        <v>5</v>
      </c>
      <c r="D121" s="7" t="s">
        <v>253</v>
      </c>
    </row>
    <row r="122" spans="1:4">
      <c r="A122" s="7" t="s">
        <v>298</v>
      </c>
      <c r="B122" s="7" t="s">
        <v>291</v>
      </c>
      <c r="C122" s="8">
        <v>5</v>
      </c>
      <c r="D122" s="7" t="s">
        <v>253</v>
      </c>
    </row>
    <row r="123" spans="1:4">
      <c r="A123" s="7" t="s">
        <v>243</v>
      </c>
      <c r="B123" s="7" t="s">
        <v>244</v>
      </c>
      <c r="C123" s="8">
        <v>4</v>
      </c>
      <c r="D123" s="7" t="s">
        <v>106</v>
      </c>
    </row>
    <row r="124" spans="1:4">
      <c r="A124" s="7" t="s">
        <v>245</v>
      </c>
      <c r="B124" s="7" t="s">
        <v>244</v>
      </c>
      <c r="C124" s="8">
        <v>4</v>
      </c>
      <c r="D124" s="7" t="s">
        <v>106</v>
      </c>
    </row>
    <row r="125" spans="1:4">
      <c r="A125" s="7" t="s">
        <v>246</v>
      </c>
      <c r="B125" s="7" t="s">
        <v>244</v>
      </c>
      <c r="C125" s="8">
        <v>4</v>
      </c>
      <c r="D125" s="7" t="s">
        <v>106</v>
      </c>
    </row>
    <row r="126" spans="1:4">
      <c r="A126" s="7" t="s">
        <v>232</v>
      </c>
      <c r="B126" s="7" t="s">
        <v>233</v>
      </c>
      <c r="C126" s="8">
        <v>3</v>
      </c>
      <c r="D126" s="7" t="s">
        <v>106</v>
      </c>
    </row>
    <row r="127" spans="1:4">
      <c r="A127" s="7" t="s">
        <v>121</v>
      </c>
      <c r="B127" s="7" t="s">
        <v>122</v>
      </c>
      <c r="C127" s="8">
        <v>6</v>
      </c>
      <c r="D127" s="7" t="s">
        <v>106</v>
      </c>
    </row>
    <row r="128" spans="1:4">
      <c r="A128" s="7" t="s">
        <v>137</v>
      </c>
      <c r="B128" s="7" t="s">
        <v>122</v>
      </c>
      <c r="C128" s="8">
        <v>6</v>
      </c>
      <c r="D128" s="7" t="s">
        <v>106</v>
      </c>
    </row>
    <row r="129" spans="1:4">
      <c r="A129" s="7" t="s">
        <v>172</v>
      </c>
      <c r="B129" s="7" t="s">
        <v>122</v>
      </c>
      <c r="C129" s="8">
        <v>6</v>
      </c>
      <c r="D129" s="7" t="s">
        <v>106</v>
      </c>
    </row>
    <row r="130" spans="1:4">
      <c r="A130" s="7" t="s">
        <v>178</v>
      </c>
      <c r="B130" s="7" t="s">
        <v>122</v>
      </c>
      <c r="C130" s="8">
        <v>6</v>
      </c>
      <c r="D130" s="7" t="s">
        <v>106</v>
      </c>
    </row>
    <row r="131" spans="1:4">
      <c r="A131" s="7" t="s">
        <v>197</v>
      </c>
      <c r="B131" s="7" t="s">
        <v>122</v>
      </c>
      <c r="C131" s="8">
        <v>6</v>
      </c>
      <c r="D131" s="7" t="s">
        <v>106</v>
      </c>
    </row>
    <row r="132" spans="1:4">
      <c r="A132" s="7" t="s">
        <v>202</v>
      </c>
      <c r="B132" s="7" t="s">
        <v>122</v>
      </c>
      <c r="C132" s="8">
        <v>6</v>
      </c>
      <c r="D132" s="7" t="s">
        <v>106</v>
      </c>
    </row>
    <row r="133" spans="1:4">
      <c r="A133" s="7" t="s">
        <v>212</v>
      </c>
      <c r="B133" s="7" t="s">
        <v>122</v>
      </c>
      <c r="C133" s="8">
        <v>6</v>
      </c>
      <c r="D133" s="7" t="s">
        <v>106</v>
      </c>
    </row>
    <row r="134" spans="1:4">
      <c r="A134" s="7" t="s">
        <v>231</v>
      </c>
      <c r="B134" s="7" t="s">
        <v>122</v>
      </c>
      <c r="C134" s="8">
        <v>6</v>
      </c>
      <c r="D134" s="7" t="s">
        <v>106</v>
      </c>
    </row>
    <row r="135" spans="1:4">
      <c r="A135" s="7" t="s">
        <v>240</v>
      </c>
      <c r="B135" s="7" t="s">
        <v>122</v>
      </c>
      <c r="C135" s="8">
        <v>6</v>
      </c>
      <c r="D135" s="7" t="s">
        <v>106</v>
      </c>
    </row>
    <row r="136" spans="1:4">
      <c r="A136" s="7" t="s">
        <v>250</v>
      </c>
      <c r="B136" s="7" t="s">
        <v>122</v>
      </c>
      <c r="C136" s="8">
        <v>6</v>
      </c>
      <c r="D136" s="7" t="s">
        <v>106</v>
      </c>
    </row>
    <row r="137" spans="1:4">
      <c r="A137" s="7" t="s">
        <v>180</v>
      </c>
      <c r="B137" s="7" t="s">
        <v>181</v>
      </c>
      <c r="C137" s="8">
        <v>4</v>
      </c>
      <c r="D137" s="7" t="s">
        <v>106</v>
      </c>
    </row>
    <row r="138" spans="1:4">
      <c r="A138" s="7" t="s">
        <v>189</v>
      </c>
      <c r="B138" s="7" t="s">
        <v>181</v>
      </c>
      <c r="C138" s="8">
        <v>4</v>
      </c>
      <c r="D138" s="7" t="s">
        <v>106</v>
      </c>
    </row>
    <row r="139" spans="1:4">
      <c r="A139" s="7" t="s">
        <v>190</v>
      </c>
      <c r="B139" s="7" t="s">
        <v>181</v>
      </c>
      <c r="C139" s="8">
        <v>4</v>
      </c>
      <c r="D139" s="7" t="s">
        <v>106</v>
      </c>
    </row>
    <row r="140" spans="1:4">
      <c r="A140" s="7" t="s">
        <v>191</v>
      </c>
      <c r="B140" s="7" t="s">
        <v>181</v>
      </c>
      <c r="C140" s="8">
        <v>4</v>
      </c>
      <c r="D140" s="7" t="s">
        <v>106</v>
      </c>
    </row>
    <row r="141" spans="1:4">
      <c r="A141" s="7" t="s">
        <v>199</v>
      </c>
      <c r="B141" s="7" t="s">
        <v>181</v>
      </c>
      <c r="C141" s="8">
        <v>4</v>
      </c>
      <c r="D141" s="7" t="s">
        <v>106</v>
      </c>
    </row>
    <row r="142" spans="1:4">
      <c r="A142" s="7" t="s">
        <v>159</v>
      </c>
      <c r="B142" s="7" t="s">
        <v>160</v>
      </c>
      <c r="C142" s="8">
        <v>6</v>
      </c>
      <c r="D142" s="7" t="s">
        <v>106</v>
      </c>
    </row>
    <row r="143" spans="1:4">
      <c r="A143" s="7" t="s">
        <v>163</v>
      </c>
      <c r="B143" s="7" t="s">
        <v>160</v>
      </c>
      <c r="C143" s="8">
        <v>6</v>
      </c>
      <c r="D143" s="7" t="s">
        <v>106</v>
      </c>
    </row>
    <row r="144" spans="1:4">
      <c r="A144" s="7" t="s">
        <v>227</v>
      </c>
      <c r="B144" s="7" t="s">
        <v>228</v>
      </c>
      <c r="C144" s="8">
        <v>8</v>
      </c>
      <c r="D144" s="7" t="s">
        <v>106</v>
      </c>
    </row>
    <row r="145" spans="1:4">
      <c r="A145" s="7" t="s">
        <v>229</v>
      </c>
      <c r="B145" s="7" t="s">
        <v>228</v>
      </c>
      <c r="C145" s="8">
        <v>8</v>
      </c>
      <c r="D145" s="7" t="s">
        <v>106</v>
      </c>
    </row>
    <row r="146" spans="1:4">
      <c r="A146" s="7" t="s">
        <v>238</v>
      </c>
      <c r="B146" s="7" t="s">
        <v>228</v>
      </c>
      <c r="C146" s="8">
        <v>8</v>
      </c>
      <c r="D146" s="7" t="s">
        <v>106</v>
      </c>
    </row>
    <row r="147" spans="1:4">
      <c r="A147" s="7" t="s">
        <v>111</v>
      </c>
      <c r="B147" s="7" t="s">
        <v>112</v>
      </c>
      <c r="C147" s="8">
        <v>6</v>
      </c>
      <c r="D147" s="7" t="s">
        <v>106</v>
      </c>
    </row>
    <row r="148" spans="1:4">
      <c r="A148" s="7" t="s">
        <v>113</v>
      </c>
      <c r="B148" s="7" t="s">
        <v>112</v>
      </c>
      <c r="C148" s="8">
        <v>6</v>
      </c>
      <c r="D148" s="7" t="s">
        <v>106</v>
      </c>
    </row>
    <row r="149" spans="1:4">
      <c r="A149" s="7" t="s">
        <v>120</v>
      </c>
      <c r="B149" s="7" t="s">
        <v>112</v>
      </c>
      <c r="C149" s="8">
        <v>6</v>
      </c>
      <c r="D149" s="7" t="s">
        <v>106</v>
      </c>
    </row>
    <row r="150" spans="1:4">
      <c r="A150" s="7" t="s">
        <v>123</v>
      </c>
      <c r="B150" s="7" t="s">
        <v>112</v>
      </c>
      <c r="C150" s="8">
        <v>6</v>
      </c>
      <c r="D150" s="7" t="s">
        <v>106</v>
      </c>
    </row>
    <row r="151" spans="1:4">
      <c r="A151" s="7" t="s">
        <v>140</v>
      </c>
      <c r="B151" s="7" t="s">
        <v>112</v>
      </c>
      <c r="C151" s="8">
        <v>6</v>
      </c>
      <c r="D151" s="7" t="s">
        <v>106</v>
      </c>
    </row>
    <row r="152" spans="1:4">
      <c r="A152" s="7" t="s">
        <v>153</v>
      </c>
      <c r="B152" s="7" t="s">
        <v>112</v>
      </c>
      <c r="C152" s="8">
        <v>6</v>
      </c>
      <c r="D152" s="7" t="s">
        <v>106</v>
      </c>
    </row>
    <row r="153" spans="1:4">
      <c r="A153" s="7" t="s">
        <v>154</v>
      </c>
      <c r="B153" s="7" t="s">
        <v>112</v>
      </c>
      <c r="C153" s="8">
        <v>6</v>
      </c>
      <c r="D153" s="7" t="s">
        <v>106</v>
      </c>
    </row>
    <row r="154" spans="1:4">
      <c r="A154" s="7" t="s">
        <v>156</v>
      </c>
      <c r="B154" s="7" t="s">
        <v>112</v>
      </c>
      <c r="C154" s="8">
        <v>6</v>
      </c>
      <c r="D154" s="7" t="s">
        <v>106</v>
      </c>
    </row>
    <row r="155" spans="1:4">
      <c r="A155" s="7" t="s">
        <v>165</v>
      </c>
      <c r="B155" s="7" t="s">
        <v>112</v>
      </c>
      <c r="C155" s="8">
        <v>6</v>
      </c>
      <c r="D155" s="7" t="s">
        <v>106</v>
      </c>
    </row>
    <row r="156" spans="1:4">
      <c r="A156" s="7" t="s">
        <v>167</v>
      </c>
      <c r="B156" s="7" t="s">
        <v>112</v>
      </c>
      <c r="C156" s="8">
        <v>6</v>
      </c>
      <c r="D156" s="7" t="s">
        <v>106</v>
      </c>
    </row>
    <row r="157" spans="1:4">
      <c r="A157" s="7" t="s">
        <v>168</v>
      </c>
      <c r="B157" s="7" t="s">
        <v>112</v>
      </c>
      <c r="C157" s="8">
        <v>6</v>
      </c>
      <c r="D157" s="7" t="s">
        <v>106</v>
      </c>
    </row>
    <row r="158" spans="1:4">
      <c r="A158" s="7" t="s">
        <v>169</v>
      </c>
      <c r="B158" s="7" t="s">
        <v>112</v>
      </c>
      <c r="C158" s="8">
        <v>6</v>
      </c>
      <c r="D158" s="7" t="s">
        <v>106</v>
      </c>
    </row>
    <row r="159" spans="1:4">
      <c r="A159" s="7" t="s">
        <v>173</v>
      </c>
      <c r="B159" s="7" t="s">
        <v>112</v>
      </c>
      <c r="C159" s="8">
        <v>6</v>
      </c>
      <c r="D159" s="7" t="s">
        <v>106</v>
      </c>
    </row>
    <row r="160" spans="1:4">
      <c r="A160" s="7" t="s">
        <v>174</v>
      </c>
      <c r="B160" s="7" t="s">
        <v>112</v>
      </c>
      <c r="C160" s="8">
        <v>6</v>
      </c>
      <c r="D160" s="7" t="s">
        <v>106</v>
      </c>
    </row>
    <row r="161" spans="1:4">
      <c r="A161" s="7" t="s">
        <v>175</v>
      </c>
      <c r="B161" s="7" t="s">
        <v>112</v>
      </c>
      <c r="C161" s="8">
        <v>6</v>
      </c>
      <c r="D161" s="7" t="s">
        <v>106</v>
      </c>
    </row>
    <row r="162" spans="1:4">
      <c r="A162" s="7" t="s">
        <v>186</v>
      </c>
      <c r="B162" s="7" t="s">
        <v>112</v>
      </c>
      <c r="C162" s="8">
        <v>6</v>
      </c>
      <c r="D162" s="7" t="s">
        <v>106</v>
      </c>
    </row>
    <row r="163" spans="1:4">
      <c r="A163" s="7" t="s">
        <v>195</v>
      </c>
      <c r="B163" s="7" t="s">
        <v>112</v>
      </c>
      <c r="C163" s="8">
        <v>6</v>
      </c>
      <c r="D163" s="7" t="s">
        <v>106</v>
      </c>
    </row>
    <row r="164" spans="1:4">
      <c r="A164" s="7" t="s">
        <v>208</v>
      </c>
      <c r="B164" s="7" t="s">
        <v>112</v>
      </c>
      <c r="C164" s="8">
        <v>6</v>
      </c>
      <c r="D164" s="7" t="s">
        <v>106</v>
      </c>
    </row>
    <row r="165" spans="1:4">
      <c r="A165" s="7" t="s">
        <v>211</v>
      </c>
      <c r="B165" s="7" t="s">
        <v>112</v>
      </c>
      <c r="C165" s="8">
        <v>6</v>
      </c>
      <c r="D165" s="7" t="s">
        <v>106</v>
      </c>
    </row>
    <row r="166" spans="1:4">
      <c r="A166" s="7" t="s">
        <v>217</v>
      </c>
      <c r="B166" s="7" t="s">
        <v>112</v>
      </c>
      <c r="C166" s="8">
        <v>6</v>
      </c>
      <c r="D166" s="7" t="s">
        <v>106</v>
      </c>
    </row>
    <row r="167" spans="1:4">
      <c r="A167" s="7" t="s">
        <v>218</v>
      </c>
      <c r="B167" s="7" t="s">
        <v>112</v>
      </c>
      <c r="C167" s="8">
        <v>6</v>
      </c>
      <c r="D167" s="7" t="s">
        <v>106</v>
      </c>
    </row>
    <row r="168" spans="1:4">
      <c r="A168" s="7" t="s">
        <v>224</v>
      </c>
      <c r="B168" s="7" t="s">
        <v>112</v>
      </c>
      <c r="C168" s="8">
        <v>6</v>
      </c>
      <c r="D168" s="7" t="s">
        <v>106</v>
      </c>
    </row>
    <row r="169" spans="1:4">
      <c r="A169" s="7" t="s">
        <v>225</v>
      </c>
      <c r="B169" s="7" t="s">
        <v>112</v>
      </c>
      <c r="C169" s="8">
        <v>6</v>
      </c>
      <c r="D169" s="7" t="s">
        <v>106</v>
      </c>
    </row>
    <row r="170" spans="1:4">
      <c r="A170" s="7" t="s">
        <v>226</v>
      </c>
      <c r="B170" s="7" t="s">
        <v>112</v>
      </c>
      <c r="C170" s="8">
        <v>6</v>
      </c>
      <c r="D170" s="7" t="s">
        <v>106</v>
      </c>
    </row>
    <row r="171" spans="1:4">
      <c r="A171" s="7" t="s">
        <v>234</v>
      </c>
      <c r="B171" s="7" t="s">
        <v>112</v>
      </c>
      <c r="C171" s="8">
        <v>6</v>
      </c>
      <c r="D171" s="7" t="s">
        <v>106</v>
      </c>
    </row>
    <row r="172" spans="1:4">
      <c r="A172" s="7" t="s">
        <v>237</v>
      </c>
      <c r="B172" s="7" t="s">
        <v>112</v>
      </c>
      <c r="C172" s="8">
        <v>6</v>
      </c>
      <c r="D172" s="7" t="s">
        <v>106</v>
      </c>
    </row>
    <row r="173" spans="1:4">
      <c r="A173" s="7" t="s">
        <v>241</v>
      </c>
      <c r="B173" s="7" t="s">
        <v>112</v>
      </c>
      <c r="C173" s="8">
        <v>6</v>
      </c>
      <c r="D173" s="7" t="s">
        <v>106</v>
      </c>
    </row>
    <row r="174" spans="1:4">
      <c r="A174" s="7" t="s">
        <v>248</v>
      </c>
      <c r="B174" s="7" t="s">
        <v>112</v>
      </c>
      <c r="C174" s="8">
        <v>6</v>
      </c>
      <c r="D174" s="7" t="s">
        <v>106</v>
      </c>
    </row>
    <row r="175" spans="1:4">
      <c r="A175" s="7" t="s">
        <v>249</v>
      </c>
      <c r="B175" s="7" t="s">
        <v>112</v>
      </c>
      <c r="C175" s="8">
        <v>6</v>
      </c>
      <c r="D175" s="7" t="s">
        <v>106</v>
      </c>
    </row>
    <row r="176" spans="1:4">
      <c r="A176" s="7" t="s">
        <v>200</v>
      </c>
      <c r="B176" s="7" t="s">
        <v>201</v>
      </c>
      <c r="C176" s="8">
        <v>5</v>
      </c>
      <c r="D176" s="7" t="s">
        <v>106</v>
      </c>
    </row>
    <row r="177" spans="1:4">
      <c r="A177" s="7" t="s">
        <v>104</v>
      </c>
      <c r="B177" s="7" t="s">
        <v>105</v>
      </c>
      <c r="C177" s="8">
        <v>6</v>
      </c>
      <c r="D177" s="7" t="s">
        <v>106</v>
      </c>
    </row>
    <row r="178" spans="1:4">
      <c r="A178" s="7" t="s">
        <v>239</v>
      </c>
      <c r="B178" s="7" t="s">
        <v>105</v>
      </c>
      <c r="C178" s="8">
        <v>6</v>
      </c>
      <c r="D178" s="7" t="s">
        <v>106</v>
      </c>
    </row>
    <row r="179" spans="1:4">
      <c r="A179" s="7" t="s">
        <v>215</v>
      </c>
      <c r="B179" s="7" t="s">
        <v>216</v>
      </c>
      <c r="C179" s="8">
        <v>6</v>
      </c>
      <c r="D179" s="7" t="s">
        <v>106</v>
      </c>
    </row>
    <row r="180" spans="1:4">
      <c r="A180" s="7" t="s">
        <v>222</v>
      </c>
      <c r="B180" s="7" t="s">
        <v>216</v>
      </c>
      <c r="C180" s="8">
        <v>6</v>
      </c>
      <c r="D180" s="7" t="s">
        <v>106</v>
      </c>
    </row>
    <row r="181" spans="1:4">
      <c r="A181" s="7" t="s">
        <v>242</v>
      </c>
      <c r="B181" s="7" t="s">
        <v>216</v>
      </c>
      <c r="C181" s="8">
        <v>6</v>
      </c>
      <c r="D181" s="7" t="s">
        <v>106</v>
      </c>
    </row>
    <row r="182" spans="1:4">
      <c r="A182" s="7" t="s">
        <v>170</v>
      </c>
      <c r="B182" s="7" t="s">
        <v>171</v>
      </c>
      <c r="C182" s="8">
        <v>4</v>
      </c>
      <c r="D182" s="7" t="s">
        <v>106</v>
      </c>
    </row>
    <row r="183" spans="1:4">
      <c r="A183" s="7" t="s">
        <v>133</v>
      </c>
      <c r="B183" s="7" t="s">
        <v>134</v>
      </c>
      <c r="C183" s="8">
        <v>6</v>
      </c>
      <c r="D183" s="7" t="s">
        <v>106</v>
      </c>
    </row>
    <row r="184" spans="1:4">
      <c r="A184" s="7" t="s">
        <v>138</v>
      </c>
      <c r="B184" s="7" t="s">
        <v>134</v>
      </c>
      <c r="C184" s="8">
        <v>6</v>
      </c>
      <c r="D184" s="7" t="s">
        <v>106</v>
      </c>
    </row>
    <row r="185" spans="1:4">
      <c r="A185" s="7" t="s">
        <v>207</v>
      </c>
      <c r="B185" s="7" t="s">
        <v>134</v>
      </c>
      <c r="C185" s="8">
        <v>6</v>
      </c>
      <c r="D185" s="7" t="s">
        <v>106</v>
      </c>
    </row>
    <row r="186" spans="1:4">
      <c r="A186" s="7" t="s">
        <v>210</v>
      </c>
      <c r="B186" s="7" t="s">
        <v>134</v>
      </c>
      <c r="C186" s="8">
        <v>6</v>
      </c>
      <c r="D186" s="7" t="s">
        <v>106</v>
      </c>
    </row>
    <row r="187" spans="1:4">
      <c r="A187" s="7" t="s">
        <v>221</v>
      </c>
      <c r="B187" s="7" t="s">
        <v>134</v>
      </c>
      <c r="C187" s="8">
        <v>6</v>
      </c>
      <c r="D187" s="7" t="s">
        <v>106</v>
      </c>
    </row>
    <row r="188" spans="1:4">
      <c r="A188" s="7" t="s">
        <v>235</v>
      </c>
      <c r="B188" s="7" t="s">
        <v>134</v>
      </c>
      <c r="C188" s="8">
        <v>6</v>
      </c>
      <c r="D188" s="7" t="s">
        <v>106</v>
      </c>
    </row>
    <row r="189" spans="1:4">
      <c r="A189" s="7" t="s">
        <v>236</v>
      </c>
      <c r="B189" s="7" t="s">
        <v>134</v>
      </c>
      <c r="C189" s="8">
        <v>6</v>
      </c>
      <c r="D189" s="7" t="s">
        <v>106</v>
      </c>
    </row>
    <row r="190" spans="1:4">
      <c r="A190" s="7" t="s">
        <v>109</v>
      </c>
      <c r="B190" s="7" t="s">
        <v>110</v>
      </c>
      <c r="C190" s="8">
        <v>6</v>
      </c>
      <c r="D190" s="7" t="s">
        <v>106</v>
      </c>
    </row>
    <row r="191" spans="1:4">
      <c r="A191" s="7" t="s">
        <v>142</v>
      </c>
      <c r="B191" s="7" t="s">
        <v>110</v>
      </c>
      <c r="C191" s="8">
        <v>6</v>
      </c>
      <c r="D191" s="7" t="s">
        <v>106</v>
      </c>
    </row>
    <row r="192" spans="1:4">
      <c r="A192" s="7" t="s">
        <v>157</v>
      </c>
      <c r="B192" s="7" t="s">
        <v>110</v>
      </c>
      <c r="C192" s="8">
        <v>6</v>
      </c>
      <c r="D192" s="7" t="s">
        <v>106</v>
      </c>
    </row>
    <row r="193" spans="1:4">
      <c r="A193" s="7" t="s">
        <v>116</v>
      </c>
      <c r="B193" s="7" t="s">
        <v>117</v>
      </c>
      <c r="C193" s="8">
        <v>4</v>
      </c>
      <c r="D193" s="7" t="s">
        <v>106</v>
      </c>
    </row>
    <row r="194" spans="1:4">
      <c r="A194" s="7" t="s">
        <v>143</v>
      </c>
      <c r="B194" s="7" t="s">
        <v>117</v>
      </c>
      <c r="C194" s="8">
        <v>4</v>
      </c>
      <c r="D194" s="7" t="s">
        <v>106</v>
      </c>
    </row>
    <row r="195" spans="1:4">
      <c r="A195" s="7" t="s">
        <v>149</v>
      </c>
      <c r="B195" s="7" t="s">
        <v>117</v>
      </c>
      <c r="C195" s="8">
        <v>4</v>
      </c>
      <c r="D195" s="7" t="s">
        <v>106</v>
      </c>
    </row>
    <row r="196" spans="1:4">
      <c r="A196" s="7" t="s">
        <v>150</v>
      </c>
      <c r="B196" s="7" t="s">
        <v>117</v>
      </c>
      <c r="C196" s="8">
        <v>4</v>
      </c>
      <c r="D196" s="7" t="s">
        <v>106</v>
      </c>
    </row>
    <row r="197" spans="1:4">
      <c r="A197" s="7" t="s">
        <v>155</v>
      </c>
      <c r="B197" s="7" t="s">
        <v>117</v>
      </c>
      <c r="C197" s="8">
        <v>4</v>
      </c>
      <c r="D197" s="7" t="s">
        <v>106</v>
      </c>
    </row>
    <row r="198" spans="1:4">
      <c r="A198" s="7" t="s">
        <v>196</v>
      </c>
      <c r="B198" s="7" t="s">
        <v>117</v>
      </c>
      <c r="C198" s="8">
        <v>4</v>
      </c>
      <c r="D198" s="7" t="s">
        <v>106</v>
      </c>
    </row>
    <row r="199" spans="1:4">
      <c r="A199" s="7" t="s">
        <v>205</v>
      </c>
      <c r="B199" s="7" t="s">
        <v>117</v>
      </c>
      <c r="C199" s="8">
        <v>4</v>
      </c>
      <c r="D199" s="7" t="s">
        <v>106</v>
      </c>
    </row>
    <row r="200" spans="1:4">
      <c r="A200" s="7" t="s">
        <v>230</v>
      </c>
      <c r="B200" s="7" t="s">
        <v>117</v>
      </c>
      <c r="C200" s="8">
        <v>4</v>
      </c>
      <c r="D200" s="7" t="s">
        <v>106</v>
      </c>
    </row>
    <row r="201" spans="1:4">
      <c r="A201" s="7" t="s">
        <v>183</v>
      </c>
      <c r="B201" s="7" t="s">
        <v>184</v>
      </c>
      <c r="C201" s="8">
        <v>8</v>
      </c>
      <c r="D201" s="7" t="s">
        <v>106</v>
      </c>
    </row>
    <row r="202" spans="1:4">
      <c r="A202" s="7" t="s">
        <v>220</v>
      </c>
      <c r="B202" s="7" t="s">
        <v>184</v>
      </c>
      <c r="C202" s="8">
        <v>8</v>
      </c>
      <c r="D202" s="7" t="s">
        <v>106</v>
      </c>
    </row>
    <row r="203" spans="1:4">
      <c r="A203" s="7" t="s">
        <v>131</v>
      </c>
      <c r="B203" s="7" t="s">
        <v>132</v>
      </c>
      <c r="C203" s="8">
        <v>6</v>
      </c>
      <c r="D203" s="7" t="s">
        <v>106</v>
      </c>
    </row>
    <row r="204" spans="1:4">
      <c r="A204" s="7" t="s">
        <v>139</v>
      </c>
      <c r="B204" s="7" t="s">
        <v>132</v>
      </c>
      <c r="C204" s="8">
        <v>6</v>
      </c>
      <c r="D204" s="7" t="s">
        <v>106</v>
      </c>
    </row>
    <row r="205" spans="1:4">
      <c r="A205" s="7" t="s">
        <v>213</v>
      </c>
      <c r="B205" s="7" t="s">
        <v>132</v>
      </c>
      <c r="C205" s="8">
        <v>6</v>
      </c>
      <c r="D205" s="7" t="s">
        <v>106</v>
      </c>
    </row>
    <row r="206" spans="1:4">
      <c r="A206" s="7" t="s">
        <v>118</v>
      </c>
      <c r="B206" s="7" t="s">
        <v>119</v>
      </c>
      <c r="C206" s="8">
        <v>6</v>
      </c>
      <c r="D206" s="7" t="s">
        <v>106</v>
      </c>
    </row>
    <row r="207" spans="1:4">
      <c r="A207" s="7" t="s">
        <v>214</v>
      </c>
      <c r="B207" s="7" t="s">
        <v>119</v>
      </c>
      <c r="C207" s="8">
        <v>6</v>
      </c>
      <c r="D207" s="7" t="s">
        <v>106</v>
      </c>
    </row>
    <row r="208" spans="1:4">
      <c r="A208" s="7" t="s">
        <v>193</v>
      </c>
      <c r="B208" s="7" t="s">
        <v>194</v>
      </c>
      <c r="C208" s="8">
        <v>6</v>
      </c>
      <c r="D208" s="7" t="s">
        <v>106</v>
      </c>
    </row>
    <row r="209" spans="1:4">
      <c r="A209" s="7" t="s">
        <v>127</v>
      </c>
      <c r="B209" s="7" t="s">
        <v>128</v>
      </c>
      <c r="C209" s="8">
        <v>5</v>
      </c>
      <c r="D209" s="7" t="s">
        <v>106</v>
      </c>
    </row>
    <row r="210" spans="1:4">
      <c r="A210" s="7" t="s">
        <v>141</v>
      </c>
      <c r="B210" s="7" t="s">
        <v>128</v>
      </c>
      <c r="C210" s="8">
        <v>5</v>
      </c>
      <c r="D210" s="7" t="s">
        <v>106</v>
      </c>
    </row>
    <row r="211" spans="1:4">
      <c r="A211" s="7" t="s">
        <v>145</v>
      </c>
      <c r="B211" s="7" t="s">
        <v>128</v>
      </c>
      <c r="C211" s="8">
        <v>5</v>
      </c>
      <c r="D211" s="7" t="s">
        <v>106</v>
      </c>
    </row>
    <row r="212" spans="1:4">
      <c r="A212" s="7" t="s">
        <v>162</v>
      </c>
      <c r="B212" s="7" t="s">
        <v>128</v>
      </c>
      <c r="C212" s="8">
        <v>5</v>
      </c>
      <c r="D212" s="7" t="s">
        <v>106</v>
      </c>
    </row>
    <row r="213" spans="1:4">
      <c r="A213" s="7" t="s">
        <v>129</v>
      </c>
      <c r="B213" s="7" t="s">
        <v>130</v>
      </c>
      <c r="C213" s="8">
        <v>5</v>
      </c>
      <c r="D213" s="7" t="s">
        <v>106</v>
      </c>
    </row>
    <row r="214" spans="1:4">
      <c r="A214" s="7" t="s">
        <v>144</v>
      </c>
      <c r="B214" s="7" t="s">
        <v>130</v>
      </c>
      <c r="C214" s="8">
        <v>5</v>
      </c>
      <c r="D214" s="7" t="s">
        <v>106</v>
      </c>
    </row>
    <row r="215" spans="1:4">
      <c r="A215" s="7" t="s">
        <v>152</v>
      </c>
      <c r="B215" s="7" t="s">
        <v>130</v>
      </c>
      <c r="C215" s="8">
        <v>5</v>
      </c>
      <c r="D215" s="7" t="s">
        <v>106</v>
      </c>
    </row>
    <row r="216" spans="1:4">
      <c r="A216" s="7" t="s">
        <v>164</v>
      </c>
      <c r="B216" s="7" t="s">
        <v>130</v>
      </c>
      <c r="C216" s="8">
        <v>5</v>
      </c>
      <c r="D216" s="7" t="s">
        <v>106</v>
      </c>
    </row>
    <row r="217" spans="1:4">
      <c r="A217" s="7" t="s">
        <v>166</v>
      </c>
      <c r="B217" s="7" t="s">
        <v>130</v>
      </c>
      <c r="C217" s="8">
        <v>5</v>
      </c>
      <c r="D217" s="7" t="s">
        <v>106</v>
      </c>
    </row>
    <row r="218" spans="1:4">
      <c r="A218" s="7" t="s">
        <v>176</v>
      </c>
      <c r="B218" s="7" t="s">
        <v>130</v>
      </c>
      <c r="C218" s="8">
        <v>5</v>
      </c>
      <c r="D218" s="7" t="s">
        <v>106</v>
      </c>
    </row>
    <row r="219" spans="1:4">
      <c r="A219" s="7" t="s">
        <v>177</v>
      </c>
      <c r="B219" s="7" t="s">
        <v>130</v>
      </c>
      <c r="C219" s="8">
        <v>5</v>
      </c>
      <c r="D219" s="7" t="s">
        <v>106</v>
      </c>
    </row>
    <row r="220" spans="1:4">
      <c r="A220" s="7" t="s">
        <v>179</v>
      </c>
      <c r="B220" s="7" t="s">
        <v>130</v>
      </c>
      <c r="C220" s="8">
        <v>5</v>
      </c>
      <c r="D220" s="7" t="s">
        <v>106</v>
      </c>
    </row>
    <row r="221" spans="1:4">
      <c r="A221" s="7" t="s">
        <v>182</v>
      </c>
      <c r="B221" s="7" t="s">
        <v>130</v>
      </c>
      <c r="C221" s="8">
        <v>5</v>
      </c>
      <c r="D221" s="7" t="s">
        <v>106</v>
      </c>
    </row>
    <row r="222" spans="1:4">
      <c r="A222" s="7" t="s">
        <v>188</v>
      </c>
      <c r="B222" s="7" t="s">
        <v>130</v>
      </c>
      <c r="C222" s="8">
        <v>5</v>
      </c>
      <c r="D222" s="7" t="s">
        <v>106</v>
      </c>
    </row>
    <row r="223" spans="1:4">
      <c r="A223" s="7" t="s">
        <v>192</v>
      </c>
      <c r="B223" s="7" t="s">
        <v>130</v>
      </c>
      <c r="C223" s="8">
        <v>5</v>
      </c>
      <c r="D223" s="7" t="s">
        <v>106</v>
      </c>
    </row>
    <row r="224" spans="1:4">
      <c r="A224" s="7" t="s">
        <v>206</v>
      </c>
      <c r="B224" s="7" t="s">
        <v>130</v>
      </c>
      <c r="C224" s="8">
        <v>5</v>
      </c>
      <c r="D224" s="7" t="s">
        <v>106</v>
      </c>
    </row>
    <row r="225" spans="1:4">
      <c r="A225" s="7" t="s">
        <v>223</v>
      </c>
      <c r="B225" s="7" t="s">
        <v>130</v>
      </c>
      <c r="C225" s="8">
        <v>5</v>
      </c>
      <c r="D225" s="7" t="s">
        <v>106</v>
      </c>
    </row>
    <row r="226" spans="1:4">
      <c r="A226" s="7" t="s">
        <v>114</v>
      </c>
      <c r="B226" s="7" t="s">
        <v>115</v>
      </c>
      <c r="C226" s="8">
        <v>5</v>
      </c>
      <c r="D226" s="7" t="s">
        <v>106</v>
      </c>
    </row>
    <row r="227" spans="1:4">
      <c r="A227" s="7" t="s">
        <v>124</v>
      </c>
      <c r="B227" s="7" t="s">
        <v>115</v>
      </c>
      <c r="C227" s="8">
        <v>5</v>
      </c>
      <c r="D227" s="7" t="s">
        <v>106</v>
      </c>
    </row>
    <row r="228" spans="1:4">
      <c r="A228" s="7" t="s">
        <v>135</v>
      </c>
      <c r="B228" s="7" t="s">
        <v>115</v>
      </c>
      <c r="C228" s="8">
        <v>5</v>
      </c>
      <c r="D228" s="7" t="s">
        <v>106</v>
      </c>
    </row>
    <row r="229" spans="1:4">
      <c r="A229" s="7" t="s">
        <v>146</v>
      </c>
      <c r="B229" s="7" t="s">
        <v>115</v>
      </c>
      <c r="C229" s="8">
        <v>5</v>
      </c>
      <c r="D229" s="7" t="s">
        <v>106</v>
      </c>
    </row>
    <row r="230" spans="1:4">
      <c r="A230" s="7" t="s">
        <v>147</v>
      </c>
      <c r="B230" s="7" t="s">
        <v>115</v>
      </c>
      <c r="C230" s="8">
        <v>5</v>
      </c>
      <c r="D230" s="7" t="s">
        <v>106</v>
      </c>
    </row>
    <row r="231" spans="1:4">
      <c r="A231" s="7" t="s">
        <v>148</v>
      </c>
      <c r="B231" s="7" t="s">
        <v>115</v>
      </c>
      <c r="C231" s="8">
        <v>5</v>
      </c>
      <c r="D231" s="7" t="s">
        <v>106</v>
      </c>
    </row>
    <row r="232" spans="1:4">
      <c r="A232" s="7" t="s">
        <v>187</v>
      </c>
      <c r="B232" s="7" t="s">
        <v>115</v>
      </c>
      <c r="C232" s="8">
        <v>5</v>
      </c>
      <c r="D232" s="7" t="s">
        <v>106</v>
      </c>
    </row>
    <row r="233" spans="1:4">
      <c r="A233" s="7" t="s">
        <v>198</v>
      </c>
      <c r="B233" s="7" t="s">
        <v>115</v>
      </c>
      <c r="C233" s="8">
        <v>5</v>
      </c>
      <c r="D233" s="7" t="s">
        <v>106</v>
      </c>
    </row>
    <row r="234" spans="1:4">
      <c r="A234" s="7" t="s">
        <v>125</v>
      </c>
      <c r="B234" s="7" t="s">
        <v>126</v>
      </c>
      <c r="C234" s="8">
        <v>5</v>
      </c>
      <c r="D234" s="7" t="s">
        <v>106</v>
      </c>
    </row>
    <row r="235" spans="1:4">
      <c r="A235" s="7" t="s">
        <v>161</v>
      </c>
      <c r="B235" s="7" t="s">
        <v>126</v>
      </c>
      <c r="C235" s="8">
        <v>5</v>
      </c>
      <c r="D235" s="7" t="s">
        <v>106</v>
      </c>
    </row>
    <row r="236" spans="1:4">
      <c r="A236" s="7" t="s">
        <v>203</v>
      </c>
      <c r="B236" s="7" t="s">
        <v>126</v>
      </c>
      <c r="C236" s="8">
        <v>5</v>
      </c>
      <c r="D236" s="7" t="s">
        <v>106</v>
      </c>
    </row>
    <row r="237" spans="1:4">
      <c r="A237" s="7" t="s">
        <v>204</v>
      </c>
      <c r="B237" s="7" t="s">
        <v>126</v>
      </c>
      <c r="C237" s="8">
        <v>5</v>
      </c>
      <c r="D237" s="7" t="s">
        <v>106</v>
      </c>
    </row>
    <row r="238" spans="1:4">
      <c r="A238" s="7" t="s">
        <v>209</v>
      </c>
      <c r="B238" s="7" t="s">
        <v>126</v>
      </c>
      <c r="C238" s="8">
        <v>5</v>
      </c>
      <c r="D238" s="7" t="s">
        <v>106</v>
      </c>
    </row>
    <row r="239" spans="1:4">
      <c r="A239" s="7" t="s">
        <v>219</v>
      </c>
      <c r="B239" s="7" t="s">
        <v>126</v>
      </c>
      <c r="C239" s="8">
        <v>5</v>
      </c>
      <c r="D239" s="7" t="s">
        <v>106</v>
      </c>
    </row>
    <row r="240" spans="1:4">
      <c r="A240" s="7" t="s">
        <v>247</v>
      </c>
      <c r="B240" s="7" t="s">
        <v>126</v>
      </c>
      <c r="C240" s="8">
        <v>5</v>
      </c>
      <c r="D240" s="7" t="s">
        <v>106</v>
      </c>
    </row>
    <row r="241" spans="1:4">
      <c r="A241" s="7" t="s">
        <v>107</v>
      </c>
      <c r="B241" s="7" t="s">
        <v>108</v>
      </c>
      <c r="C241" s="8">
        <v>5</v>
      </c>
      <c r="D241" s="7" t="s">
        <v>106</v>
      </c>
    </row>
    <row r="242" spans="1:4">
      <c r="A242" s="7" t="s">
        <v>136</v>
      </c>
      <c r="B242" s="7" t="s">
        <v>108</v>
      </c>
      <c r="C242" s="8">
        <v>5</v>
      </c>
      <c r="D242" s="7" t="s">
        <v>106</v>
      </c>
    </row>
    <row r="243" spans="1:4">
      <c r="A243" s="7" t="s">
        <v>151</v>
      </c>
      <c r="B243" s="7" t="s">
        <v>108</v>
      </c>
      <c r="C243" s="8">
        <v>5</v>
      </c>
      <c r="D243" s="7" t="s">
        <v>106</v>
      </c>
    </row>
    <row r="244" spans="1:4">
      <c r="A244" s="7" t="s">
        <v>158</v>
      </c>
      <c r="B244" s="7" t="s">
        <v>108</v>
      </c>
      <c r="C244" s="8">
        <v>5</v>
      </c>
      <c r="D244" s="7" t="s">
        <v>106</v>
      </c>
    </row>
    <row r="245" spans="1:4">
      <c r="A245" s="7" t="s">
        <v>185</v>
      </c>
      <c r="B245" s="7" t="s">
        <v>108</v>
      </c>
      <c r="C245" s="8">
        <v>5</v>
      </c>
      <c r="D245" s="7" t="s">
        <v>106</v>
      </c>
    </row>
    <row r="246" spans="1:4">
      <c r="A246" s="7" t="s">
        <v>102</v>
      </c>
      <c r="B246" s="7" t="s">
        <v>103</v>
      </c>
      <c r="C246" s="8">
        <v>4.5</v>
      </c>
      <c r="D246" s="7" t="s">
        <v>99</v>
      </c>
    </row>
    <row r="247" spans="1:4">
      <c r="A247" s="7" t="s">
        <v>100</v>
      </c>
      <c r="B247" s="7" t="s">
        <v>101</v>
      </c>
      <c r="C247" s="8">
        <v>6</v>
      </c>
      <c r="D247" s="7" t="s">
        <v>99</v>
      </c>
    </row>
    <row r="248" spans="1:4">
      <c r="A248" s="7" t="s">
        <v>424</v>
      </c>
      <c r="B248" s="7" t="s">
        <v>425</v>
      </c>
      <c r="C248" s="8">
        <v>4</v>
      </c>
      <c r="D248" s="7" t="s">
        <v>404</v>
      </c>
    </row>
    <row r="249" spans="1:4">
      <c r="A249" s="7" t="s">
        <v>428</v>
      </c>
      <c r="B249" s="7" t="s">
        <v>425</v>
      </c>
      <c r="C249" s="8">
        <v>4</v>
      </c>
      <c r="D249" s="7" t="s">
        <v>404</v>
      </c>
    </row>
    <row r="250" spans="1:4">
      <c r="A250" s="7" t="s">
        <v>464</v>
      </c>
      <c r="B250" s="7" t="s">
        <v>425</v>
      </c>
      <c r="C250" s="8">
        <v>4</v>
      </c>
      <c r="D250" s="7" t="s">
        <v>404</v>
      </c>
    </row>
    <row r="251" spans="1:4">
      <c r="A251" s="7" t="s">
        <v>465</v>
      </c>
      <c r="B251" s="7" t="s">
        <v>425</v>
      </c>
      <c r="C251" s="8">
        <v>4</v>
      </c>
      <c r="D251" s="7" t="s">
        <v>404</v>
      </c>
    </row>
    <row r="252" spans="1:4">
      <c r="A252" s="7" t="s">
        <v>471</v>
      </c>
      <c r="B252" s="7" t="s">
        <v>425</v>
      </c>
      <c r="C252" s="8">
        <v>4</v>
      </c>
      <c r="D252" s="7" t="s">
        <v>404</v>
      </c>
    </row>
    <row r="253" spans="1:4">
      <c r="A253" s="7" t="s">
        <v>408</v>
      </c>
      <c r="B253" s="7" t="s">
        <v>409</v>
      </c>
      <c r="C253" s="8">
        <v>4.5</v>
      </c>
      <c r="D253" s="7" t="s">
        <v>404</v>
      </c>
    </row>
    <row r="254" spans="1:4">
      <c r="A254" s="7" t="s">
        <v>413</v>
      </c>
      <c r="B254" s="7" t="s">
        <v>409</v>
      </c>
      <c r="C254" s="8">
        <v>4.5</v>
      </c>
      <c r="D254" s="7" t="s">
        <v>404</v>
      </c>
    </row>
    <row r="255" spans="1:4">
      <c r="A255" s="7" t="s">
        <v>416</v>
      </c>
      <c r="B255" s="7" t="s">
        <v>409</v>
      </c>
      <c r="C255" s="8">
        <v>4.5</v>
      </c>
      <c r="D255" s="7" t="s">
        <v>404</v>
      </c>
    </row>
    <row r="256" spans="1:4">
      <c r="A256" s="7" t="s">
        <v>420</v>
      </c>
      <c r="B256" s="7" t="s">
        <v>409</v>
      </c>
      <c r="C256" s="8">
        <v>4.5</v>
      </c>
      <c r="D256" s="7" t="s">
        <v>404</v>
      </c>
    </row>
    <row r="257" spans="1:4">
      <c r="A257" s="7" t="s">
        <v>430</v>
      </c>
      <c r="B257" s="7" t="s">
        <v>409</v>
      </c>
      <c r="C257" s="8">
        <v>4.5</v>
      </c>
      <c r="D257" s="7" t="s">
        <v>404</v>
      </c>
    </row>
    <row r="258" spans="1:4">
      <c r="A258" s="7" t="s">
        <v>452</v>
      </c>
      <c r="B258" s="7" t="s">
        <v>409</v>
      </c>
      <c r="C258" s="8">
        <v>4.5</v>
      </c>
      <c r="D258" s="7" t="s">
        <v>404</v>
      </c>
    </row>
    <row r="259" spans="1:4">
      <c r="A259" s="7" t="s">
        <v>461</v>
      </c>
      <c r="B259" s="7" t="s">
        <v>409</v>
      </c>
      <c r="C259" s="8">
        <v>4.5</v>
      </c>
      <c r="D259" s="7" t="s">
        <v>404</v>
      </c>
    </row>
    <row r="260" spans="1:4">
      <c r="A260" s="7" t="s">
        <v>463</v>
      </c>
      <c r="B260" s="7" t="s">
        <v>409</v>
      </c>
      <c r="C260" s="8">
        <v>4.5</v>
      </c>
      <c r="D260" s="7" t="s">
        <v>404</v>
      </c>
    </row>
    <row r="261" spans="1:4">
      <c r="A261" s="7" t="s">
        <v>467</v>
      </c>
      <c r="B261" s="7" t="s">
        <v>409</v>
      </c>
      <c r="C261" s="8">
        <v>4.5</v>
      </c>
      <c r="D261" s="7" t="s">
        <v>404</v>
      </c>
    </row>
    <row r="262" spans="1:4">
      <c r="A262" s="7" t="s">
        <v>405</v>
      </c>
      <c r="B262" s="7" t="s">
        <v>406</v>
      </c>
      <c r="C262" s="8">
        <v>4.5</v>
      </c>
      <c r="D262" s="7" t="s">
        <v>404</v>
      </c>
    </row>
    <row r="263" spans="1:4">
      <c r="A263" s="7" t="s">
        <v>407</v>
      </c>
      <c r="B263" s="7" t="s">
        <v>406</v>
      </c>
      <c r="C263" s="8">
        <v>4.5</v>
      </c>
      <c r="D263" s="7" t="s">
        <v>404</v>
      </c>
    </row>
    <row r="264" spans="1:4">
      <c r="A264" s="7" t="s">
        <v>410</v>
      </c>
      <c r="B264" s="7" t="s">
        <v>406</v>
      </c>
      <c r="C264" s="8">
        <v>4.5</v>
      </c>
      <c r="D264" s="7" t="s">
        <v>404</v>
      </c>
    </row>
    <row r="265" spans="1:4">
      <c r="A265" s="7" t="s">
        <v>411</v>
      </c>
      <c r="B265" s="7" t="s">
        <v>406</v>
      </c>
      <c r="C265" s="8">
        <v>4.5</v>
      </c>
      <c r="D265" s="7" t="s">
        <v>404</v>
      </c>
    </row>
    <row r="266" spans="1:4">
      <c r="A266" s="7" t="s">
        <v>412</v>
      </c>
      <c r="B266" s="7" t="s">
        <v>406</v>
      </c>
      <c r="C266" s="8">
        <v>4.5</v>
      </c>
      <c r="D266" s="7" t="s">
        <v>404</v>
      </c>
    </row>
    <row r="267" spans="1:4">
      <c r="A267" s="7" t="s">
        <v>418</v>
      </c>
      <c r="B267" s="7" t="s">
        <v>406</v>
      </c>
      <c r="C267" s="8">
        <v>4.5</v>
      </c>
      <c r="D267" s="7" t="s">
        <v>404</v>
      </c>
    </row>
    <row r="268" spans="1:4">
      <c r="A268" s="7" t="s">
        <v>419</v>
      </c>
      <c r="B268" s="7" t="s">
        <v>406</v>
      </c>
      <c r="C268" s="8">
        <v>4.5</v>
      </c>
      <c r="D268" s="7" t="s">
        <v>404</v>
      </c>
    </row>
    <row r="269" spans="1:4">
      <c r="A269" s="7" t="s">
        <v>429</v>
      </c>
      <c r="B269" s="7" t="s">
        <v>406</v>
      </c>
      <c r="C269" s="8">
        <v>4.5</v>
      </c>
      <c r="D269" s="7" t="s">
        <v>404</v>
      </c>
    </row>
    <row r="270" spans="1:4">
      <c r="A270" s="7" t="s">
        <v>431</v>
      </c>
      <c r="B270" s="7" t="s">
        <v>406</v>
      </c>
      <c r="C270" s="8">
        <v>4.5</v>
      </c>
      <c r="D270" s="7" t="s">
        <v>404</v>
      </c>
    </row>
    <row r="271" spans="1:4">
      <c r="A271" s="7" t="s">
        <v>432</v>
      </c>
      <c r="B271" s="7" t="s">
        <v>406</v>
      </c>
      <c r="C271" s="8">
        <v>4.5</v>
      </c>
      <c r="D271" s="7" t="s">
        <v>404</v>
      </c>
    </row>
    <row r="272" spans="1:4">
      <c r="A272" s="7" t="s">
        <v>433</v>
      </c>
      <c r="B272" s="7" t="s">
        <v>406</v>
      </c>
      <c r="C272" s="8">
        <v>4.5</v>
      </c>
      <c r="D272" s="7" t="s">
        <v>404</v>
      </c>
    </row>
    <row r="273" spans="1:4">
      <c r="A273" s="7" t="s">
        <v>434</v>
      </c>
      <c r="B273" s="7" t="s">
        <v>406</v>
      </c>
      <c r="C273" s="8">
        <v>4.5</v>
      </c>
      <c r="D273" s="7" t="s">
        <v>404</v>
      </c>
    </row>
    <row r="274" spans="1:4">
      <c r="A274" s="7" t="s">
        <v>435</v>
      </c>
      <c r="B274" s="7" t="s">
        <v>406</v>
      </c>
      <c r="C274" s="8">
        <v>4.5</v>
      </c>
      <c r="D274" s="7" t="s">
        <v>404</v>
      </c>
    </row>
    <row r="275" spans="1:4">
      <c r="A275" s="7" t="s">
        <v>436</v>
      </c>
      <c r="B275" s="7" t="s">
        <v>406</v>
      </c>
      <c r="C275" s="8">
        <v>4.5</v>
      </c>
      <c r="D275" s="7" t="s">
        <v>404</v>
      </c>
    </row>
    <row r="276" spans="1:4">
      <c r="A276" s="7" t="s">
        <v>439</v>
      </c>
      <c r="B276" s="7" t="s">
        <v>406</v>
      </c>
      <c r="C276" s="8">
        <v>4.5</v>
      </c>
      <c r="D276" s="7" t="s">
        <v>404</v>
      </c>
    </row>
    <row r="277" spans="1:4">
      <c r="A277" s="7" t="s">
        <v>440</v>
      </c>
      <c r="B277" s="7" t="s">
        <v>406</v>
      </c>
      <c r="C277" s="8">
        <v>4.5</v>
      </c>
      <c r="D277" s="7" t="s">
        <v>404</v>
      </c>
    </row>
    <row r="278" spans="1:4">
      <c r="A278" s="7" t="s">
        <v>441</v>
      </c>
      <c r="B278" s="7" t="s">
        <v>406</v>
      </c>
      <c r="C278" s="8">
        <v>4.5</v>
      </c>
      <c r="D278" s="7" t="s">
        <v>404</v>
      </c>
    </row>
    <row r="279" spans="1:4">
      <c r="A279" s="7" t="s">
        <v>442</v>
      </c>
      <c r="B279" s="7" t="s">
        <v>406</v>
      </c>
      <c r="C279" s="8">
        <v>4.5</v>
      </c>
      <c r="D279" s="7" t="s">
        <v>404</v>
      </c>
    </row>
    <row r="280" spans="1:4">
      <c r="A280" s="7" t="s">
        <v>443</v>
      </c>
      <c r="B280" s="7" t="s">
        <v>406</v>
      </c>
      <c r="C280" s="8">
        <v>4.5</v>
      </c>
      <c r="D280" s="7" t="s">
        <v>404</v>
      </c>
    </row>
    <row r="281" spans="1:4">
      <c r="A281" s="7" t="s">
        <v>444</v>
      </c>
      <c r="B281" s="7" t="s">
        <v>406</v>
      </c>
      <c r="C281" s="8">
        <v>4.5</v>
      </c>
      <c r="D281" s="7" t="s">
        <v>404</v>
      </c>
    </row>
    <row r="282" spans="1:4">
      <c r="A282" s="7" t="s">
        <v>447</v>
      </c>
      <c r="B282" s="7" t="s">
        <v>406</v>
      </c>
      <c r="C282" s="8">
        <v>4.5</v>
      </c>
      <c r="D282" s="7" t="s">
        <v>404</v>
      </c>
    </row>
    <row r="283" spans="1:4">
      <c r="A283" s="7" t="s">
        <v>448</v>
      </c>
      <c r="B283" s="7" t="s">
        <v>406</v>
      </c>
      <c r="C283" s="8">
        <v>4.5</v>
      </c>
      <c r="D283" s="7" t="s">
        <v>404</v>
      </c>
    </row>
    <row r="284" spans="1:4">
      <c r="A284" s="7" t="s">
        <v>449</v>
      </c>
      <c r="B284" s="7" t="s">
        <v>406</v>
      </c>
      <c r="C284" s="8">
        <v>4.5</v>
      </c>
      <c r="D284" s="7" t="s">
        <v>404</v>
      </c>
    </row>
    <row r="285" spans="1:4">
      <c r="A285" s="7" t="s">
        <v>450</v>
      </c>
      <c r="B285" s="7" t="s">
        <v>406</v>
      </c>
      <c r="C285" s="8">
        <v>4.5</v>
      </c>
      <c r="D285" s="7" t="s">
        <v>404</v>
      </c>
    </row>
    <row r="286" spans="1:4">
      <c r="A286" s="7" t="s">
        <v>451</v>
      </c>
      <c r="B286" s="7" t="s">
        <v>406</v>
      </c>
      <c r="C286" s="8">
        <v>4.5</v>
      </c>
      <c r="D286" s="7" t="s">
        <v>404</v>
      </c>
    </row>
    <row r="287" spans="1:4">
      <c r="A287" s="7" t="s">
        <v>453</v>
      </c>
      <c r="B287" s="7" t="s">
        <v>406</v>
      </c>
      <c r="C287" s="8">
        <v>4.5</v>
      </c>
      <c r="D287" s="7" t="s">
        <v>404</v>
      </c>
    </row>
    <row r="288" spans="1:4">
      <c r="A288" s="7" t="s">
        <v>454</v>
      </c>
      <c r="B288" s="7" t="s">
        <v>406</v>
      </c>
      <c r="C288" s="8">
        <v>4.5</v>
      </c>
      <c r="D288" s="7" t="s">
        <v>404</v>
      </c>
    </row>
    <row r="289" spans="1:4">
      <c r="A289" s="7" t="s">
        <v>458</v>
      </c>
      <c r="B289" s="7" t="s">
        <v>406</v>
      </c>
      <c r="C289" s="8">
        <v>4.5</v>
      </c>
      <c r="D289" s="7" t="s">
        <v>404</v>
      </c>
    </row>
    <row r="290" spans="1:4">
      <c r="A290" s="7" t="s">
        <v>466</v>
      </c>
      <c r="B290" s="7" t="s">
        <v>406</v>
      </c>
      <c r="C290" s="8">
        <v>4.5</v>
      </c>
      <c r="D290" s="7" t="s">
        <v>404</v>
      </c>
    </row>
    <row r="291" spans="1:4">
      <c r="A291" s="7" t="s">
        <v>472</v>
      </c>
      <c r="B291" s="7" t="s">
        <v>406</v>
      </c>
      <c r="C291" s="8">
        <v>4.5</v>
      </c>
      <c r="D291" s="7" t="s">
        <v>404</v>
      </c>
    </row>
    <row r="292" spans="1:4">
      <c r="A292" s="7" t="s">
        <v>473</v>
      </c>
      <c r="B292" s="7" t="s">
        <v>406</v>
      </c>
      <c r="C292" s="8">
        <v>4.5</v>
      </c>
      <c r="D292" s="7" t="s">
        <v>404</v>
      </c>
    </row>
    <row r="293" spans="1:4">
      <c r="A293" s="7" t="s">
        <v>474</v>
      </c>
      <c r="B293" s="7" t="s">
        <v>406</v>
      </c>
      <c r="C293" s="8">
        <v>4.5</v>
      </c>
      <c r="D293" s="7" t="s">
        <v>404</v>
      </c>
    </row>
    <row r="294" spans="1:4">
      <c r="A294" s="7" t="s">
        <v>475</v>
      </c>
      <c r="B294" s="7" t="s">
        <v>406</v>
      </c>
      <c r="C294" s="8">
        <v>4.5</v>
      </c>
      <c r="D294" s="7" t="s">
        <v>404</v>
      </c>
    </row>
    <row r="295" spans="1:4">
      <c r="A295" s="7" t="s">
        <v>476</v>
      </c>
      <c r="B295" s="7" t="s">
        <v>406</v>
      </c>
      <c r="C295" s="8">
        <v>4.5</v>
      </c>
      <c r="D295" s="7" t="s">
        <v>404</v>
      </c>
    </row>
    <row r="296" spans="1:4">
      <c r="A296" s="7" t="s">
        <v>481</v>
      </c>
      <c r="B296" s="7" t="s">
        <v>406</v>
      </c>
      <c r="C296" s="8">
        <v>4.5</v>
      </c>
      <c r="D296" s="7" t="s">
        <v>404</v>
      </c>
    </row>
    <row r="297" spans="1:4">
      <c r="A297" s="7" t="s">
        <v>445</v>
      </c>
      <c r="B297" s="7" t="s">
        <v>446</v>
      </c>
      <c r="C297" s="8">
        <v>6</v>
      </c>
      <c r="D297" s="7" t="s">
        <v>404</v>
      </c>
    </row>
    <row r="298" spans="1:4">
      <c r="A298" s="7" t="s">
        <v>455</v>
      </c>
      <c r="B298" s="7" t="s">
        <v>446</v>
      </c>
      <c r="C298" s="8">
        <v>6</v>
      </c>
      <c r="D298" s="7" t="s">
        <v>404</v>
      </c>
    </row>
    <row r="299" spans="1:4">
      <c r="A299" s="7" t="s">
        <v>480</v>
      </c>
      <c r="B299" s="7" t="s">
        <v>446</v>
      </c>
      <c r="C299" s="8">
        <v>6</v>
      </c>
      <c r="D299" s="7" t="s">
        <v>404</v>
      </c>
    </row>
    <row r="300" spans="1:4">
      <c r="A300" s="7" t="s">
        <v>414</v>
      </c>
      <c r="B300" s="7" t="s">
        <v>415</v>
      </c>
      <c r="C300" s="8">
        <v>6</v>
      </c>
      <c r="D300" s="7" t="s">
        <v>404</v>
      </c>
    </row>
    <row r="301" spans="1:4">
      <c r="A301" s="7" t="s">
        <v>417</v>
      </c>
      <c r="B301" s="7" t="s">
        <v>415</v>
      </c>
      <c r="C301" s="8">
        <v>6</v>
      </c>
      <c r="D301" s="7" t="s">
        <v>404</v>
      </c>
    </row>
    <row r="302" spans="1:4">
      <c r="A302" s="7" t="s">
        <v>421</v>
      </c>
      <c r="B302" s="7" t="s">
        <v>415</v>
      </c>
      <c r="C302" s="8">
        <v>6</v>
      </c>
      <c r="D302" s="7" t="s">
        <v>404</v>
      </c>
    </row>
    <row r="303" spans="1:4">
      <c r="A303" s="7" t="s">
        <v>468</v>
      </c>
      <c r="B303" s="7" t="s">
        <v>415</v>
      </c>
      <c r="C303" s="8">
        <v>6</v>
      </c>
      <c r="D303" s="7" t="s">
        <v>404</v>
      </c>
    </row>
    <row r="304" spans="1:4">
      <c r="A304" s="7" t="s">
        <v>469</v>
      </c>
      <c r="B304" s="7" t="s">
        <v>415</v>
      </c>
      <c r="C304" s="8">
        <v>6</v>
      </c>
      <c r="D304" s="7" t="s">
        <v>404</v>
      </c>
    </row>
    <row r="305" spans="1:4">
      <c r="A305" s="7" t="s">
        <v>477</v>
      </c>
      <c r="B305" s="7" t="s">
        <v>415</v>
      </c>
      <c r="C305" s="8">
        <v>6</v>
      </c>
      <c r="D305" s="7" t="s">
        <v>404</v>
      </c>
    </row>
    <row r="306" spans="1:4">
      <c r="A306" s="7" t="s">
        <v>478</v>
      </c>
      <c r="B306" s="7" t="s">
        <v>415</v>
      </c>
      <c r="C306" s="8">
        <v>6</v>
      </c>
      <c r="D306" s="7" t="s">
        <v>404</v>
      </c>
    </row>
    <row r="307" spans="1:4">
      <c r="A307" s="7" t="s">
        <v>422</v>
      </c>
      <c r="B307" s="7" t="s">
        <v>423</v>
      </c>
      <c r="C307" s="8">
        <v>4</v>
      </c>
      <c r="D307" s="7" t="s">
        <v>404</v>
      </c>
    </row>
    <row r="308" spans="1:4">
      <c r="A308" s="7" t="s">
        <v>437</v>
      </c>
      <c r="B308" s="7" t="s">
        <v>423</v>
      </c>
      <c r="C308" s="8">
        <v>4</v>
      </c>
      <c r="D308" s="7" t="s">
        <v>404</v>
      </c>
    </row>
    <row r="309" spans="1:4">
      <c r="A309" s="7" t="s">
        <v>438</v>
      </c>
      <c r="B309" s="7" t="s">
        <v>423</v>
      </c>
      <c r="C309" s="8">
        <v>4</v>
      </c>
      <c r="D309" s="7" t="s">
        <v>404</v>
      </c>
    </row>
    <row r="310" spans="1:4">
      <c r="A310" s="7" t="s">
        <v>456</v>
      </c>
      <c r="B310" s="7" t="s">
        <v>423</v>
      </c>
      <c r="C310" s="8">
        <v>4</v>
      </c>
      <c r="D310" s="7" t="s">
        <v>404</v>
      </c>
    </row>
    <row r="311" spans="1:4">
      <c r="A311" s="7" t="s">
        <v>457</v>
      </c>
      <c r="B311" s="7" t="s">
        <v>423</v>
      </c>
      <c r="C311" s="8">
        <v>4</v>
      </c>
      <c r="D311" s="7" t="s">
        <v>404</v>
      </c>
    </row>
    <row r="312" spans="1:4">
      <c r="A312" s="7" t="s">
        <v>459</v>
      </c>
      <c r="B312" s="7" t="s">
        <v>423</v>
      </c>
      <c r="C312" s="8">
        <v>4</v>
      </c>
      <c r="D312" s="7" t="s">
        <v>404</v>
      </c>
    </row>
    <row r="313" spans="1:4">
      <c r="A313" s="7" t="s">
        <v>460</v>
      </c>
      <c r="B313" s="7" t="s">
        <v>423</v>
      </c>
      <c r="C313" s="8">
        <v>4</v>
      </c>
      <c r="D313" s="7" t="s">
        <v>404</v>
      </c>
    </row>
    <row r="314" spans="1:4">
      <c r="A314" s="7" t="s">
        <v>462</v>
      </c>
      <c r="B314" s="7" t="s">
        <v>423</v>
      </c>
      <c r="C314" s="8">
        <v>4</v>
      </c>
      <c r="D314" s="7" t="s">
        <v>404</v>
      </c>
    </row>
    <row r="315" spans="1:4">
      <c r="A315" s="7" t="s">
        <v>470</v>
      </c>
      <c r="B315" s="7" t="s">
        <v>423</v>
      </c>
      <c r="C315" s="8">
        <v>4</v>
      </c>
      <c r="D315" s="7" t="s">
        <v>404</v>
      </c>
    </row>
    <row r="316" spans="1:4">
      <c r="A316" s="7" t="s">
        <v>479</v>
      </c>
      <c r="B316" s="7" t="s">
        <v>423</v>
      </c>
      <c r="C316" s="8">
        <v>4</v>
      </c>
      <c r="D316" s="7" t="s">
        <v>404</v>
      </c>
    </row>
    <row r="317" spans="1:4">
      <c r="A317" s="7" t="s">
        <v>426</v>
      </c>
      <c r="B317" s="7" t="s">
        <v>427</v>
      </c>
      <c r="C317" s="8">
        <v>4</v>
      </c>
      <c r="D317" s="7" t="s">
        <v>404</v>
      </c>
    </row>
    <row r="318" spans="1:4">
      <c r="A318" s="7" t="s">
        <v>583</v>
      </c>
      <c r="B318" s="7" t="s">
        <v>584</v>
      </c>
      <c r="C318" s="8">
        <v>4</v>
      </c>
      <c r="D318" s="7" t="s">
        <v>484</v>
      </c>
    </row>
    <row r="319" spans="1:4">
      <c r="A319" s="7" t="s">
        <v>592</v>
      </c>
      <c r="B319" s="7" t="s">
        <v>584</v>
      </c>
      <c r="C319" s="8">
        <v>4</v>
      </c>
      <c r="D319" s="7" t="s">
        <v>484</v>
      </c>
    </row>
    <row r="320" spans="1:4">
      <c r="A320" s="7" t="s">
        <v>487</v>
      </c>
      <c r="B320" s="7" t="s">
        <v>488</v>
      </c>
      <c r="C320" s="8">
        <v>6</v>
      </c>
      <c r="D320" s="7" t="s">
        <v>484</v>
      </c>
    </row>
    <row r="321" spans="1:4">
      <c r="A321" s="7" t="s">
        <v>617</v>
      </c>
      <c r="B321" s="7" t="s">
        <v>488</v>
      </c>
      <c r="C321" s="8">
        <v>6</v>
      </c>
      <c r="D321" s="7" t="s">
        <v>484</v>
      </c>
    </row>
    <row r="322" spans="1:4">
      <c r="A322" s="7" t="s">
        <v>482</v>
      </c>
      <c r="B322" s="7" t="s">
        <v>483</v>
      </c>
      <c r="C322" s="8">
        <v>6</v>
      </c>
      <c r="D322" s="7" t="s">
        <v>484</v>
      </c>
    </row>
    <row r="323" spans="1:4">
      <c r="A323" s="7" t="s">
        <v>504</v>
      </c>
      <c r="B323" s="7" t="s">
        <v>483</v>
      </c>
      <c r="C323" s="8">
        <v>6</v>
      </c>
      <c r="D323" s="7" t="s">
        <v>484</v>
      </c>
    </row>
    <row r="324" spans="1:4">
      <c r="A324" s="7" t="s">
        <v>505</v>
      </c>
      <c r="B324" s="7" t="s">
        <v>483</v>
      </c>
      <c r="C324" s="8">
        <v>6</v>
      </c>
      <c r="D324" s="7" t="s">
        <v>484</v>
      </c>
    </row>
    <row r="325" spans="1:4">
      <c r="A325" s="7" t="s">
        <v>509</v>
      </c>
      <c r="B325" s="7" t="s">
        <v>483</v>
      </c>
      <c r="C325" s="8">
        <v>6</v>
      </c>
      <c r="D325" s="7" t="s">
        <v>484</v>
      </c>
    </row>
    <row r="326" spans="1:4">
      <c r="A326" s="7" t="s">
        <v>510</v>
      </c>
      <c r="B326" s="7" t="s">
        <v>483</v>
      </c>
      <c r="C326" s="8">
        <v>6</v>
      </c>
      <c r="D326" s="7" t="s">
        <v>484</v>
      </c>
    </row>
    <row r="327" spans="1:4">
      <c r="A327" s="7" t="s">
        <v>511</v>
      </c>
      <c r="B327" s="7" t="s">
        <v>483</v>
      </c>
      <c r="C327" s="8">
        <v>6</v>
      </c>
      <c r="D327" s="7" t="s">
        <v>484</v>
      </c>
    </row>
    <row r="328" spans="1:4">
      <c r="A328" s="7" t="s">
        <v>512</v>
      </c>
      <c r="B328" s="7" t="s">
        <v>483</v>
      </c>
      <c r="C328" s="8">
        <v>6</v>
      </c>
      <c r="D328" s="7" t="s">
        <v>484</v>
      </c>
    </row>
    <row r="329" spans="1:4">
      <c r="A329" s="7" t="s">
        <v>515</v>
      </c>
      <c r="B329" s="7" t="s">
        <v>483</v>
      </c>
      <c r="C329" s="8">
        <v>6</v>
      </c>
      <c r="D329" s="7" t="s">
        <v>484</v>
      </c>
    </row>
    <row r="330" spans="1:4">
      <c r="A330" s="7" t="s">
        <v>520</v>
      </c>
      <c r="B330" s="7" t="s">
        <v>483</v>
      </c>
      <c r="C330" s="8">
        <v>6</v>
      </c>
      <c r="D330" s="7" t="s">
        <v>484</v>
      </c>
    </row>
    <row r="331" spans="1:4">
      <c r="A331" s="7" t="s">
        <v>521</v>
      </c>
      <c r="B331" s="7" t="s">
        <v>483</v>
      </c>
      <c r="C331" s="8">
        <v>6</v>
      </c>
      <c r="D331" s="7" t="s">
        <v>484</v>
      </c>
    </row>
    <row r="332" spans="1:4">
      <c r="A332" s="7" t="s">
        <v>522</v>
      </c>
      <c r="B332" s="7" t="s">
        <v>483</v>
      </c>
      <c r="C332" s="8">
        <v>6</v>
      </c>
      <c r="D332" s="7" t="s">
        <v>484</v>
      </c>
    </row>
    <row r="333" spans="1:4">
      <c r="A333" s="7" t="s">
        <v>523</v>
      </c>
      <c r="B333" s="7" t="s">
        <v>483</v>
      </c>
      <c r="C333" s="8">
        <v>6</v>
      </c>
      <c r="D333" s="7" t="s">
        <v>484</v>
      </c>
    </row>
    <row r="334" spans="1:4">
      <c r="A334" s="7" t="s">
        <v>526</v>
      </c>
      <c r="B334" s="7" t="s">
        <v>483</v>
      </c>
      <c r="C334" s="8">
        <v>6</v>
      </c>
      <c r="D334" s="7" t="s">
        <v>484</v>
      </c>
    </row>
    <row r="335" spans="1:4">
      <c r="A335" s="7" t="s">
        <v>528</v>
      </c>
      <c r="B335" s="7" t="s">
        <v>483</v>
      </c>
      <c r="C335" s="8">
        <v>6</v>
      </c>
      <c r="D335" s="7" t="s">
        <v>484</v>
      </c>
    </row>
    <row r="336" spans="1:4">
      <c r="A336" s="7" t="s">
        <v>529</v>
      </c>
      <c r="B336" s="7" t="s">
        <v>483</v>
      </c>
      <c r="C336" s="8">
        <v>6</v>
      </c>
      <c r="D336" s="7" t="s">
        <v>484</v>
      </c>
    </row>
    <row r="337" spans="1:4">
      <c r="A337" s="7" t="s">
        <v>530</v>
      </c>
      <c r="B337" s="7" t="s">
        <v>483</v>
      </c>
      <c r="C337" s="8">
        <v>6</v>
      </c>
      <c r="D337" s="7" t="s">
        <v>484</v>
      </c>
    </row>
    <row r="338" spans="1:4">
      <c r="A338" s="7" t="s">
        <v>533</v>
      </c>
      <c r="B338" s="7" t="s">
        <v>483</v>
      </c>
      <c r="C338" s="8">
        <v>6</v>
      </c>
      <c r="D338" s="7" t="s">
        <v>484</v>
      </c>
    </row>
    <row r="339" spans="1:4">
      <c r="A339" s="7" t="s">
        <v>534</v>
      </c>
      <c r="B339" s="7" t="s">
        <v>483</v>
      </c>
      <c r="C339" s="8">
        <v>6</v>
      </c>
      <c r="D339" s="7" t="s">
        <v>484</v>
      </c>
    </row>
    <row r="340" spans="1:4">
      <c r="A340" s="7" t="s">
        <v>536</v>
      </c>
      <c r="B340" s="7" t="s">
        <v>483</v>
      </c>
      <c r="C340" s="8">
        <v>6</v>
      </c>
      <c r="D340" s="7" t="s">
        <v>484</v>
      </c>
    </row>
    <row r="341" spans="1:4">
      <c r="A341" s="7" t="s">
        <v>537</v>
      </c>
      <c r="B341" s="7" t="s">
        <v>483</v>
      </c>
      <c r="C341" s="8">
        <v>6</v>
      </c>
      <c r="D341" s="7" t="s">
        <v>484</v>
      </c>
    </row>
    <row r="342" spans="1:4">
      <c r="A342" s="7" t="s">
        <v>539</v>
      </c>
      <c r="B342" s="7" t="s">
        <v>483</v>
      </c>
      <c r="C342" s="8">
        <v>6</v>
      </c>
      <c r="D342" s="7" t="s">
        <v>484</v>
      </c>
    </row>
    <row r="343" spans="1:4">
      <c r="A343" s="7" t="s">
        <v>541</v>
      </c>
      <c r="B343" s="7" t="s">
        <v>483</v>
      </c>
      <c r="C343" s="8">
        <v>6</v>
      </c>
      <c r="D343" s="7" t="s">
        <v>484</v>
      </c>
    </row>
    <row r="344" spans="1:4">
      <c r="A344" s="7" t="s">
        <v>542</v>
      </c>
      <c r="B344" s="7" t="s">
        <v>483</v>
      </c>
      <c r="C344" s="8">
        <v>6</v>
      </c>
      <c r="D344" s="7" t="s">
        <v>484</v>
      </c>
    </row>
    <row r="345" spans="1:4">
      <c r="A345" s="7" t="s">
        <v>544</v>
      </c>
      <c r="B345" s="7" t="s">
        <v>483</v>
      </c>
      <c r="C345" s="8">
        <v>6</v>
      </c>
      <c r="D345" s="7" t="s">
        <v>484</v>
      </c>
    </row>
    <row r="346" spans="1:4">
      <c r="A346" s="7" t="s">
        <v>548</v>
      </c>
      <c r="B346" s="7" t="s">
        <v>483</v>
      </c>
      <c r="C346" s="8">
        <v>6</v>
      </c>
      <c r="D346" s="7" t="s">
        <v>484</v>
      </c>
    </row>
    <row r="347" spans="1:4">
      <c r="A347" s="7" t="s">
        <v>549</v>
      </c>
      <c r="B347" s="7" t="s">
        <v>483</v>
      </c>
      <c r="C347" s="8">
        <v>6</v>
      </c>
      <c r="D347" s="7" t="s">
        <v>484</v>
      </c>
    </row>
    <row r="348" spans="1:4">
      <c r="A348" s="7" t="s">
        <v>551</v>
      </c>
      <c r="B348" s="7" t="s">
        <v>483</v>
      </c>
      <c r="C348" s="8">
        <v>6</v>
      </c>
      <c r="D348" s="7" t="s">
        <v>484</v>
      </c>
    </row>
    <row r="349" spans="1:4">
      <c r="A349" s="7" t="s">
        <v>555</v>
      </c>
      <c r="B349" s="7" t="s">
        <v>483</v>
      </c>
      <c r="C349" s="8">
        <v>6</v>
      </c>
      <c r="D349" s="7" t="s">
        <v>484</v>
      </c>
    </row>
    <row r="350" spans="1:4">
      <c r="A350" s="7" t="s">
        <v>588</v>
      </c>
      <c r="B350" s="7" t="s">
        <v>483</v>
      </c>
      <c r="C350" s="8">
        <v>6</v>
      </c>
      <c r="D350" s="7" t="s">
        <v>484</v>
      </c>
    </row>
    <row r="351" spans="1:4">
      <c r="A351" s="7" t="s">
        <v>589</v>
      </c>
      <c r="B351" s="7" t="s">
        <v>483</v>
      </c>
      <c r="C351" s="8">
        <v>6</v>
      </c>
      <c r="D351" s="7" t="s">
        <v>484</v>
      </c>
    </row>
    <row r="352" spans="1:4">
      <c r="A352" s="7" t="s">
        <v>611</v>
      </c>
      <c r="B352" s="7" t="s">
        <v>483</v>
      </c>
      <c r="C352" s="8">
        <v>6</v>
      </c>
      <c r="D352" s="7" t="s">
        <v>484</v>
      </c>
    </row>
    <row r="353" spans="1:4">
      <c r="A353" s="7" t="s">
        <v>619</v>
      </c>
      <c r="B353" s="7" t="s">
        <v>483</v>
      </c>
      <c r="C353" s="8">
        <v>6</v>
      </c>
      <c r="D353" s="7" t="s">
        <v>484</v>
      </c>
    </row>
    <row r="354" spans="1:4">
      <c r="A354" s="7" t="s">
        <v>624</v>
      </c>
      <c r="B354" s="7" t="s">
        <v>483</v>
      </c>
      <c r="C354" s="8">
        <v>6</v>
      </c>
      <c r="D354" s="7" t="s">
        <v>484</v>
      </c>
    </row>
    <row r="355" spans="1:4">
      <c r="A355" s="7" t="s">
        <v>628</v>
      </c>
      <c r="B355" s="7" t="s">
        <v>483</v>
      </c>
      <c r="C355" s="8">
        <v>6</v>
      </c>
      <c r="D355" s="7" t="s">
        <v>484</v>
      </c>
    </row>
    <row r="356" spans="1:4">
      <c r="A356" s="7" t="s">
        <v>641</v>
      </c>
      <c r="B356" s="7" t="s">
        <v>483</v>
      </c>
      <c r="C356" s="8">
        <v>6</v>
      </c>
      <c r="D356" s="7" t="s">
        <v>484</v>
      </c>
    </row>
    <row r="357" spans="1:4">
      <c r="A357" s="7" t="s">
        <v>495</v>
      </c>
      <c r="B357" s="7" t="s">
        <v>496</v>
      </c>
      <c r="C357" s="8">
        <v>6</v>
      </c>
      <c r="D357" s="7" t="s">
        <v>484</v>
      </c>
    </row>
    <row r="358" spans="1:4">
      <c r="A358" s="7" t="s">
        <v>499</v>
      </c>
      <c r="B358" s="7" t="s">
        <v>496</v>
      </c>
      <c r="C358" s="8">
        <v>6</v>
      </c>
      <c r="D358" s="7" t="s">
        <v>484</v>
      </c>
    </row>
    <row r="359" spans="1:4">
      <c r="A359" s="7" t="s">
        <v>524</v>
      </c>
      <c r="B359" s="7" t="s">
        <v>496</v>
      </c>
      <c r="C359" s="8">
        <v>6</v>
      </c>
      <c r="D359" s="7" t="s">
        <v>484</v>
      </c>
    </row>
    <row r="360" spans="1:4">
      <c r="A360" s="7" t="s">
        <v>616</v>
      </c>
      <c r="B360" s="7" t="s">
        <v>496</v>
      </c>
      <c r="C360" s="8">
        <v>6</v>
      </c>
      <c r="D360" s="7" t="s">
        <v>484</v>
      </c>
    </row>
    <row r="361" spans="1:4">
      <c r="A361" s="7" t="s">
        <v>625</v>
      </c>
      <c r="B361" s="7" t="s">
        <v>496</v>
      </c>
      <c r="C361" s="8">
        <v>6</v>
      </c>
      <c r="D361" s="7" t="s">
        <v>484</v>
      </c>
    </row>
    <row r="362" spans="1:4">
      <c r="A362" s="7" t="s">
        <v>638</v>
      </c>
      <c r="B362" s="7" t="s">
        <v>496</v>
      </c>
      <c r="C362" s="8">
        <v>6</v>
      </c>
      <c r="D362" s="7" t="s">
        <v>484</v>
      </c>
    </row>
    <row r="363" spans="1:4">
      <c r="A363" s="7" t="s">
        <v>560</v>
      </c>
      <c r="B363" s="7" t="s">
        <v>561</v>
      </c>
      <c r="C363" s="8">
        <v>4</v>
      </c>
      <c r="D363" s="7" t="s">
        <v>484</v>
      </c>
    </row>
    <row r="364" spans="1:4">
      <c r="A364" s="7" t="s">
        <v>513</v>
      </c>
      <c r="B364" s="7" t="s">
        <v>514</v>
      </c>
      <c r="C364" s="8">
        <v>4</v>
      </c>
      <c r="D364" s="7" t="s">
        <v>484</v>
      </c>
    </row>
    <row r="365" spans="1:4">
      <c r="A365" s="7" t="s">
        <v>532</v>
      </c>
      <c r="B365" s="7" t="s">
        <v>514</v>
      </c>
      <c r="C365" s="8">
        <v>4</v>
      </c>
      <c r="D365" s="7" t="s">
        <v>484</v>
      </c>
    </row>
    <row r="366" spans="1:4">
      <c r="A366" s="7" t="s">
        <v>545</v>
      </c>
      <c r="B366" s="7" t="s">
        <v>514</v>
      </c>
      <c r="C366" s="8">
        <v>4</v>
      </c>
      <c r="D366" s="7" t="s">
        <v>484</v>
      </c>
    </row>
    <row r="367" spans="1:4">
      <c r="A367" s="7" t="s">
        <v>550</v>
      </c>
      <c r="B367" s="7" t="s">
        <v>514</v>
      </c>
      <c r="C367" s="8">
        <v>4</v>
      </c>
      <c r="D367" s="7" t="s">
        <v>484</v>
      </c>
    </row>
    <row r="368" spans="1:4">
      <c r="A368" s="7" t="s">
        <v>553</v>
      </c>
      <c r="B368" s="7" t="s">
        <v>514</v>
      </c>
      <c r="C368" s="8">
        <v>4</v>
      </c>
      <c r="D368" s="7" t="s">
        <v>484</v>
      </c>
    </row>
    <row r="369" spans="1:4">
      <c r="A369" s="7" t="s">
        <v>570</v>
      </c>
      <c r="B369" s="7" t="s">
        <v>514</v>
      </c>
      <c r="C369" s="8">
        <v>4</v>
      </c>
      <c r="D369" s="7" t="s">
        <v>484</v>
      </c>
    </row>
    <row r="370" spans="1:4">
      <c r="A370" s="7" t="s">
        <v>576</v>
      </c>
      <c r="B370" s="7" t="s">
        <v>514</v>
      </c>
      <c r="C370" s="8">
        <v>4</v>
      </c>
      <c r="D370" s="7" t="s">
        <v>484</v>
      </c>
    </row>
    <row r="371" spans="1:4">
      <c r="A371" s="7" t="s">
        <v>579</v>
      </c>
      <c r="B371" s="7" t="s">
        <v>514</v>
      </c>
      <c r="C371" s="8">
        <v>4</v>
      </c>
      <c r="D371" s="7" t="s">
        <v>484</v>
      </c>
    </row>
    <row r="372" spans="1:4">
      <c r="A372" s="7" t="s">
        <v>597</v>
      </c>
      <c r="B372" s="7" t="s">
        <v>514</v>
      </c>
      <c r="C372" s="8">
        <v>4</v>
      </c>
      <c r="D372" s="7" t="s">
        <v>484</v>
      </c>
    </row>
    <row r="373" spans="1:4">
      <c r="A373" s="7" t="s">
        <v>601</v>
      </c>
      <c r="B373" s="7" t="s">
        <v>514</v>
      </c>
      <c r="C373" s="8">
        <v>4</v>
      </c>
      <c r="D373" s="7" t="s">
        <v>484</v>
      </c>
    </row>
    <row r="374" spans="1:4">
      <c r="A374" s="7" t="s">
        <v>609</v>
      </c>
      <c r="B374" s="7" t="s">
        <v>514</v>
      </c>
      <c r="C374" s="8">
        <v>4</v>
      </c>
      <c r="D374" s="7" t="s">
        <v>484</v>
      </c>
    </row>
    <row r="375" spans="1:4">
      <c r="A375" s="7" t="s">
        <v>630</v>
      </c>
      <c r="B375" s="7" t="s">
        <v>514</v>
      </c>
      <c r="C375" s="8">
        <v>4</v>
      </c>
      <c r="D375" s="7" t="s">
        <v>484</v>
      </c>
    </row>
    <row r="376" spans="1:4">
      <c r="A376" s="7" t="s">
        <v>516</v>
      </c>
      <c r="B376" s="7" t="s">
        <v>517</v>
      </c>
      <c r="C376" s="8">
        <v>4</v>
      </c>
      <c r="D376" s="7" t="s">
        <v>484</v>
      </c>
    </row>
    <row r="377" spans="1:4">
      <c r="A377" s="7" t="s">
        <v>554</v>
      </c>
      <c r="B377" s="7" t="s">
        <v>517</v>
      </c>
      <c r="C377" s="8">
        <v>4</v>
      </c>
      <c r="D377" s="7" t="s">
        <v>484</v>
      </c>
    </row>
    <row r="378" spans="1:4">
      <c r="A378" s="7" t="s">
        <v>567</v>
      </c>
      <c r="B378" s="7" t="s">
        <v>517</v>
      </c>
      <c r="C378" s="8">
        <v>4</v>
      </c>
      <c r="D378" s="7" t="s">
        <v>484</v>
      </c>
    </row>
    <row r="379" spans="1:4">
      <c r="A379" s="7" t="s">
        <v>568</v>
      </c>
      <c r="B379" s="7" t="s">
        <v>517</v>
      </c>
      <c r="C379" s="8">
        <v>4</v>
      </c>
      <c r="D379" s="7" t="s">
        <v>484</v>
      </c>
    </row>
    <row r="380" spans="1:4">
      <c r="A380" s="7" t="s">
        <v>591</v>
      </c>
      <c r="B380" s="7" t="s">
        <v>517</v>
      </c>
      <c r="C380" s="8">
        <v>4</v>
      </c>
      <c r="D380" s="7" t="s">
        <v>484</v>
      </c>
    </row>
    <row r="381" spans="1:4">
      <c r="A381" s="7" t="s">
        <v>602</v>
      </c>
      <c r="B381" s="7" t="s">
        <v>517</v>
      </c>
      <c r="C381" s="8">
        <v>4</v>
      </c>
      <c r="D381" s="7" t="s">
        <v>484</v>
      </c>
    </row>
    <row r="382" spans="1:4">
      <c r="A382" s="7" t="s">
        <v>618</v>
      </c>
      <c r="B382" s="7" t="s">
        <v>517</v>
      </c>
      <c r="C382" s="8">
        <v>4</v>
      </c>
      <c r="D382" s="7" t="s">
        <v>484</v>
      </c>
    </row>
    <row r="383" spans="1:4">
      <c r="A383" s="7" t="s">
        <v>640</v>
      </c>
      <c r="B383" s="7" t="s">
        <v>517</v>
      </c>
      <c r="C383" s="8">
        <v>4</v>
      </c>
      <c r="D383" s="7" t="s">
        <v>484</v>
      </c>
    </row>
    <row r="384" spans="1:4">
      <c r="A384" s="7" t="s">
        <v>564</v>
      </c>
      <c r="B384" s="7" t="s">
        <v>565</v>
      </c>
      <c r="C384" s="8">
        <v>6</v>
      </c>
      <c r="D384" s="7" t="s">
        <v>484</v>
      </c>
    </row>
    <row r="385" spans="1:4">
      <c r="A385" s="7" t="s">
        <v>605</v>
      </c>
      <c r="B385" s="7" t="s">
        <v>565</v>
      </c>
      <c r="C385" s="8">
        <v>6</v>
      </c>
      <c r="D385" s="7" t="s">
        <v>484</v>
      </c>
    </row>
    <row r="386" spans="1:4">
      <c r="A386" s="7" t="s">
        <v>610</v>
      </c>
      <c r="B386" s="7" t="s">
        <v>565</v>
      </c>
      <c r="C386" s="8">
        <v>6</v>
      </c>
      <c r="D386" s="7" t="s">
        <v>484</v>
      </c>
    </row>
    <row r="387" spans="1:4">
      <c r="A387" s="7" t="s">
        <v>497</v>
      </c>
      <c r="B387" s="7" t="s">
        <v>498</v>
      </c>
      <c r="C387" s="8">
        <v>4</v>
      </c>
      <c r="D387" s="7" t="s">
        <v>484</v>
      </c>
    </row>
    <row r="388" spans="1:4">
      <c r="A388" s="7" t="s">
        <v>507</v>
      </c>
      <c r="B388" s="7" t="s">
        <v>508</v>
      </c>
      <c r="C388" s="8">
        <v>4</v>
      </c>
      <c r="D388" s="7" t="s">
        <v>484</v>
      </c>
    </row>
    <row r="389" spans="1:4">
      <c r="A389" s="7" t="s">
        <v>577</v>
      </c>
      <c r="B389" s="7" t="s">
        <v>508</v>
      </c>
      <c r="C389" s="8">
        <v>4</v>
      </c>
      <c r="D389" s="7" t="s">
        <v>484</v>
      </c>
    </row>
    <row r="390" spans="1:4">
      <c r="A390" s="7" t="s">
        <v>578</v>
      </c>
      <c r="B390" s="7" t="s">
        <v>508</v>
      </c>
      <c r="C390" s="8">
        <v>4</v>
      </c>
      <c r="D390" s="7" t="s">
        <v>484</v>
      </c>
    </row>
    <row r="391" spans="1:4">
      <c r="A391" s="7" t="s">
        <v>585</v>
      </c>
      <c r="B391" s="7" t="s">
        <v>508</v>
      </c>
      <c r="C391" s="8">
        <v>4</v>
      </c>
      <c r="D391" s="7" t="s">
        <v>484</v>
      </c>
    </row>
    <row r="392" spans="1:4">
      <c r="A392" s="7" t="s">
        <v>587</v>
      </c>
      <c r="B392" s="7" t="s">
        <v>508</v>
      </c>
      <c r="C392" s="8">
        <v>4</v>
      </c>
      <c r="D392" s="7" t="s">
        <v>484</v>
      </c>
    </row>
    <row r="393" spans="1:4">
      <c r="A393" s="7" t="s">
        <v>622</v>
      </c>
      <c r="B393" s="7" t="s">
        <v>508</v>
      </c>
      <c r="C393" s="8">
        <v>4</v>
      </c>
      <c r="D393" s="7" t="s">
        <v>484</v>
      </c>
    </row>
    <row r="394" spans="1:4">
      <c r="A394" s="7" t="s">
        <v>558</v>
      </c>
      <c r="B394" s="7" t="s">
        <v>559</v>
      </c>
      <c r="C394" s="8">
        <v>4</v>
      </c>
      <c r="D394" s="7" t="s">
        <v>484</v>
      </c>
    </row>
    <row r="395" spans="1:4">
      <c r="A395" s="7" t="s">
        <v>562</v>
      </c>
      <c r="B395" s="7" t="s">
        <v>559</v>
      </c>
      <c r="C395" s="8">
        <v>4</v>
      </c>
      <c r="D395" s="7" t="s">
        <v>484</v>
      </c>
    </row>
    <row r="396" spans="1:4">
      <c r="A396" s="7" t="s">
        <v>563</v>
      </c>
      <c r="B396" s="7" t="s">
        <v>559</v>
      </c>
      <c r="C396" s="8">
        <v>4</v>
      </c>
      <c r="D396" s="7" t="s">
        <v>484</v>
      </c>
    </row>
    <row r="397" spans="1:4">
      <c r="A397" s="7" t="s">
        <v>620</v>
      </c>
      <c r="B397" s="7" t="s">
        <v>559</v>
      </c>
      <c r="C397" s="8">
        <v>4</v>
      </c>
      <c r="D397" s="7" t="s">
        <v>484</v>
      </c>
    </row>
    <row r="398" spans="1:4">
      <c r="A398" s="7" t="s">
        <v>593</v>
      </c>
      <c r="B398" s="7" t="s">
        <v>594</v>
      </c>
      <c r="C398" s="8">
        <v>6</v>
      </c>
      <c r="D398" s="7" t="s">
        <v>484</v>
      </c>
    </row>
    <row r="399" spans="1:4">
      <c r="A399" s="7" t="s">
        <v>596</v>
      </c>
      <c r="B399" s="7" t="s">
        <v>594</v>
      </c>
      <c r="C399" s="8">
        <v>6</v>
      </c>
      <c r="D399" s="7" t="s">
        <v>484</v>
      </c>
    </row>
    <row r="400" spans="1:4">
      <c r="A400" s="7" t="s">
        <v>603</v>
      </c>
      <c r="B400" s="7" t="s">
        <v>594</v>
      </c>
      <c r="C400" s="8">
        <v>6</v>
      </c>
      <c r="D400" s="7" t="s">
        <v>484</v>
      </c>
    </row>
    <row r="401" spans="1:4">
      <c r="A401" s="7" t="s">
        <v>604</v>
      </c>
      <c r="B401" s="7" t="s">
        <v>594</v>
      </c>
      <c r="C401" s="8">
        <v>6</v>
      </c>
      <c r="D401" s="7" t="s">
        <v>484</v>
      </c>
    </row>
    <row r="402" spans="1:4">
      <c r="A402" s="7" t="s">
        <v>607</v>
      </c>
      <c r="B402" s="7" t="s">
        <v>594</v>
      </c>
      <c r="C402" s="8">
        <v>6</v>
      </c>
      <c r="D402" s="7" t="s">
        <v>484</v>
      </c>
    </row>
    <row r="403" spans="1:4">
      <c r="A403" s="7" t="s">
        <v>626</v>
      </c>
      <c r="B403" s="7" t="s">
        <v>594</v>
      </c>
      <c r="C403" s="8">
        <v>6</v>
      </c>
      <c r="D403" s="7" t="s">
        <v>484</v>
      </c>
    </row>
    <row r="404" spans="1:4">
      <c r="A404" s="7" t="s">
        <v>491</v>
      </c>
      <c r="B404" s="7" t="s">
        <v>492</v>
      </c>
      <c r="C404" s="8">
        <v>5</v>
      </c>
      <c r="D404" s="7" t="s">
        <v>484</v>
      </c>
    </row>
    <row r="405" spans="1:4">
      <c r="A405" s="7" t="s">
        <v>493</v>
      </c>
      <c r="B405" s="7" t="s">
        <v>492</v>
      </c>
      <c r="C405" s="8">
        <v>5</v>
      </c>
      <c r="D405" s="7" t="s">
        <v>484</v>
      </c>
    </row>
    <row r="406" spans="1:4">
      <c r="A406" s="7" t="s">
        <v>494</v>
      </c>
      <c r="B406" s="7" t="s">
        <v>492</v>
      </c>
      <c r="C406" s="8">
        <v>5</v>
      </c>
      <c r="D406" s="7" t="s">
        <v>484</v>
      </c>
    </row>
    <row r="407" spans="1:4">
      <c r="A407" s="7" t="s">
        <v>501</v>
      </c>
      <c r="B407" s="7" t="s">
        <v>492</v>
      </c>
      <c r="C407" s="8">
        <v>5</v>
      </c>
      <c r="D407" s="7" t="s">
        <v>484</v>
      </c>
    </row>
    <row r="408" spans="1:4">
      <c r="A408" s="7" t="s">
        <v>503</v>
      </c>
      <c r="B408" s="7" t="s">
        <v>492</v>
      </c>
      <c r="C408" s="8">
        <v>5</v>
      </c>
      <c r="D408" s="7" t="s">
        <v>484</v>
      </c>
    </row>
    <row r="409" spans="1:4">
      <c r="A409" s="7" t="s">
        <v>506</v>
      </c>
      <c r="B409" s="7" t="s">
        <v>492</v>
      </c>
      <c r="C409" s="8">
        <v>5</v>
      </c>
      <c r="D409" s="7" t="s">
        <v>484</v>
      </c>
    </row>
    <row r="410" spans="1:4">
      <c r="A410" s="7" t="s">
        <v>527</v>
      </c>
      <c r="B410" s="7" t="s">
        <v>492</v>
      </c>
      <c r="C410" s="8">
        <v>5</v>
      </c>
      <c r="D410" s="7" t="s">
        <v>484</v>
      </c>
    </row>
    <row r="411" spans="1:4">
      <c r="A411" s="7" t="s">
        <v>543</v>
      </c>
      <c r="B411" s="7" t="s">
        <v>492</v>
      </c>
      <c r="C411" s="8">
        <v>5</v>
      </c>
      <c r="D411" s="7" t="s">
        <v>484</v>
      </c>
    </row>
    <row r="412" spans="1:4">
      <c r="A412" s="7" t="s">
        <v>546</v>
      </c>
      <c r="B412" s="7" t="s">
        <v>492</v>
      </c>
      <c r="C412" s="8">
        <v>5</v>
      </c>
      <c r="D412" s="7" t="s">
        <v>484</v>
      </c>
    </row>
    <row r="413" spans="1:4">
      <c r="A413" s="7" t="s">
        <v>571</v>
      </c>
      <c r="B413" s="7" t="s">
        <v>492</v>
      </c>
      <c r="C413" s="8">
        <v>5</v>
      </c>
      <c r="D413" s="7" t="s">
        <v>484</v>
      </c>
    </row>
    <row r="414" spans="1:4">
      <c r="A414" s="7" t="s">
        <v>572</v>
      </c>
      <c r="B414" s="7" t="s">
        <v>492</v>
      </c>
      <c r="C414" s="8">
        <v>5</v>
      </c>
      <c r="D414" s="7" t="s">
        <v>484</v>
      </c>
    </row>
    <row r="415" spans="1:4">
      <c r="A415" s="7" t="s">
        <v>573</v>
      </c>
      <c r="B415" s="7" t="s">
        <v>492</v>
      </c>
      <c r="C415" s="8">
        <v>5</v>
      </c>
      <c r="D415" s="7" t="s">
        <v>484</v>
      </c>
    </row>
    <row r="416" spans="1:4">
      <c r="A416" s="7" t="s">
        <v>574</v>
      </c>
      <c r="B416" s="7" t="s">
        <v>492</v>
      </c>
      <c r="C416" s="8">
        <v>5</v>
      </c>
      <c r="D416" s="7" t="s">
        <v>484</v>
      </c>
    </row>
    <row r="417" spans="1:4">
      <c r="A417" s="7" t="s">
        <v>575</v>
      </c>
      <c r="B417" s="7" t="s">
        <v>492</v>
      </c>
      <c r="C417" s="8">
        <v>5</v>
      </c>
      <c r="D417" s="7" t="s">
        <v>484</v>
      </c>
    </row>
    <row r="418" spans="1:4">
      <c r="A418" s="7" t="s">
        <v>586</v>
      </c>
      <c r="B418" s="7" t="s">
        <v>492</v>
      </c>
      <c r="C418" s="8">
        <v>5</v>
      </c>
      <c r="D418" s="7" t="s">
        <v>484</v>
      </c>
    </row>
    <row r="419" spans="1:4">
      <c r="A419" s="7" t="s">
        <v>600</v>
      </c>
      <c r="B419" s="7" t="s">
        <v>492</v>
      </c>
      <c r="C419" s="8">
        <v>5</v>
      </c>
      <c r="D419" s="7" t="s">
        <v>484</v>
      </c>
    </row>
    <row r="420" spans="1:4">
      <c r="A420" s="7" t="s">
        <v>608</v>
      </c>
      <c r="B420" s="7" t="s">
        <v>492</v>
      </c>
      <c r="C420" s="8">
        <v>5</v>
      </c>
      <c r="D420" s="7" t="s">
        <v>484</v>
      </c>
    </row>
    <row r="421" spans="1:4">
      <c r="A421" s="7" t="s">
        <v>485</v>
      </c>
      <c r="B421" s="7" t="s">
        <v>486</v>
      </c>
      <c r="C421" s="8">
        <v>5</v>
      </c>
      <c r="D421" s="7" t="s">
        <v>484</v>
      </c>
    </row>
    <row r="422" spans="1:4">
      <c r="A422" s="7" t="s">
        <v>566</v>
      </c>
      <c r="B422" s="7" t="s">
        <v>486</v>
      </c>
      <c r="C422" s="8">
        <v>5</v>
      </c>
      <c r="D422" s="7" t="s">
        <v>484</v>
      </c>
    </row>
    <row r="423" spans="1:4">
      <c r="A423" s="7" t="s">
        <v>639</v>
      </c>
      <c r="B423" s="7" t="s">
        <v>486</v>
      </c>
      <c r="C423" s="8">
        <v>5</v>
      </c>
      <c r="D423" s="7" t="s">
        <v>484</v>
      </c>
    </row>
    <row r="424" spans="1:4">
      <c r="A424" s="7" t="s">
        <v>614</v>
      </c>
      <c r="B424" s="7" t="s">
        <v>615</v>
      </c>
      <c r="C424" s="8">
        <v>4</v>
      </c>
      <c r="D424" s="7" t="s">
        <v>484</v>
      </c>
    </row>
    <row r="425" spans="1:4">
      <c r="A425" s="7" t="s">
        <v>632</v>
      </c>
      <c r="B425" s="7" t="s">
        <v>615</v>
      </c>
      <c r="C425" s="8">
        <v>4</v>
      </c>
      <c r="D425" s="7" t="s">
        <v>484</v>
      </c>
    </row>
    <row r="426" spans="1:4">
      <c r="A426" s="7" t="s">
        <v>635</v>
      </c>
      <c r="B426" s="7" t="s">
        <v>615</v>
      </c>
      <c r="C426" s="8">
        <v>4</v>
      </c>
      <c r="D426" s="7" t="s">
        <v>484</v>
      </c>
    </row>
    <row r="427" spans="1:4">
      <c r="A427" s="7" t="s">
        <v>636</v>
      </c>
      <c r="B427" s="7" t="s">
        <v>615</v>
      </c>
      <c r="C427" s="8">
        <v>4</v>
      </c>
      <c r="D427" s="7" t="s">
        <v>484</v>
      </c>
    </row>
    <row r="428" spans="1:4">
      <c r="A428" s="7" t="s">
        <v>637</v>
      </c>
      <c r="B428" s="7" t="s">
        <v>615</v>
      </c>
      <c r="C428" s="8">
        <v>4</v>
      </c>
      <c r="D428" s="7" t="s">
        <v>484</v>
      </c>
    </row>
    <row r="429" spans="1:4">
      <c r="A429" s="7" t="s">
        <v>598</v>
      </c>
      <c r="B429" s="7" t="s">
        <v>599</v>
      </c>
      <c r="C429" s="8">
        <v>4</v>
      </c>
      <c r="D429" s="7" t="s">
        <v>484</v>
      </c>
    </row>
    <row r="430" spans="1:4">
      <c r="A430" s="7" t="s">
        <v>621</v>
      </c>
      <c r="B430" s="7" t="s">
        <v>599</v>
      </c>
      <c r="C430" s="8">
        <v>4</v>
      </c>
      <c r="D430" s="7" t="s">
        <v>484</v>
      </c>
    </row>
    <row r="431" spans="1:4">
      <c r="A431" s="7" t="s">
        <v>633</v>
      </c>
      <c r="B431" s="7" t="s">
        <v>599</v>
      </c>
      <c r="C431" s="8">
        <v>4</v>
      </c>
      <c r="D431" s="7" t="s">
        <v>484</v>
      </c>
    </row>
    <row r="432" spans="1:4">
      <c r="A432" s="7" t="s">
        <v>634</v>
      </c>
      <c r="B432" s="7" t="s">
        <v>599</v>
      </c>
      <c r="C432" s="8">
        <v>4</v>
      </c>
      <c r="D432" s="7" t="s">
        <v>484</v>
      </c>
    </row>
    <row r="433" spans="1:4">
      <c r="A433" s="7" t="s">
        <v>580</v>
      </c>
      <c r="B433" s="7" t="s">
        <v>581</v>
      </c>
      <c r="C433" s="8">
        <v>4</v>
      </c>
      <c r="D433" s="7" t="s">
        <v>484</v>
      </c>
    </row>
    <row r="434" spans="1:4">
      <c r="A434" s="7" t="s">
        <v>582</v>
      </c>
      <c r="B434" s="7" t="s">
        <v>581</v>
      </c>
      <c r="C434" s="8">
        <v>4</v>
      </c>
      <c r="D434" s="7" t="s">
        <v>484</v>
      </c>
    </row>
    <row r="435" spans="1:4">
      <c r="A435" s="7" t="s">
        <v>489</v>
      </c>
      <c r="B435" s="7" t="s">
        <v>490</v>
      </c>
      <c r="C435" s="8">
        <v>6</v>
      </c>
      <c r="D435" s="7" t="s">
        <v>484</v>
      </c>
    </row>
    <row r="436" spans="1:4">
      <c r="A436" s="7" t="s">
        <v>500</v>
      </c>
      <c r="B436" s="7" t="s">
        <v>490</v>
      </c>
      <c r="C436" s="8">
        <v>6</v>
      </c>
      <c r="D436" s="7" t="s">
        <v>484</v>
      </c>
    </row>
    <row r="437" spans="1:4">
      <c r="A437" s="7" t="s">
        <v>502</v>
      </c>
      <c r="B437" s="7" t="s">
        <v>490</v>
      </c>
      <c r="C437" s="8">
        <v>6</v>
      </c>
      <c r="D437" s="7" t="s">
        <v>484</v>
      </c>
    </row>
    <row r="438" spans="1:4">
      <c r="A438" s="7" t="s">
        <v>518</v>
      </c>
      <c r="B438" s="7" t="s">
        <v>490</v>
      </c>
      <c r="C438" s="8">
        <v>6</v>
      </c>
      <c r="D438" s="7" t="s">
        <v>484</v>
      </c>
    </row>
    <row r="439" spans="1:4">
      <c r="A439" s="7" t="s">
        <v>519</v>
      </c>
      <c r="B439" s="7" t="s">
        <v>490</v>
      </c>
      <c r="C439" s="8">
        <v>6</v>
      </c>
      <c r="D439" s="7" t="s">
        <v>484</v>
      </c>
    </row>
    <row r="440" spans="1:4">
      <c r="A440" s="7" t="s">
        <v>525</v>
      </c>
      <c r="B440" s="7" t="s">
        <v>490</v>
      </c>
      <c r="C440" s="8">
        <v>6</v>
      </c>
      <c r="D440" s="7" t="s">
        <v>484</v>
      </c>
    </row>
    <row r="441" spans="1:4">
      <c r="A441" s="7" t="s">
        <v>531</v>
      </c>
      <c r="B441" s="7" t="s">
        <v>490</v>
      </c>
      <c r="C441" s="8">
        <v>6</v>
      </c>
      <c r="D441" s="7" t="s">
        <v>484</v>
      </c>
    </row>
    <row r="442" spans="1:4">
      <c r="A442" s="7" t="s">
        <v>535</v>
      </c>
      <c r="B442" s="7" t="s">
        <v>490</v>
      </c>
      <c r="C442" s="8">
        <v>6</v>
      </c>
      <c r="D442" s="7" t="s">
        <v>484</v>
      </c>
    </row>
    <row r="443" spans="1:4">
      <c r="A443" s="7" t="s">
        <v>538</v>
      </c>
      <c r="B443" s="7" t="s">
        <v>490</v>
      </c>
      <c r="C443" s="8">
        <v>6</v>
      </c>
      <c r="D443" s="7" t="s">
        <v>484</v>
      </c>
    </row>
    <row r="444" spans="1:4">
      <c r="A444" s="7" t="s">
        <v>540</v>
      </c>
      <c r="B444" s="7" t="s">
        <v>490</v>
      </c>
      <c r="C444" s="8">
        <v>6</v>
      </c>
      <c r="D444" s="7" t="s">
        <v>484</v>
      </c>
    </row>
    <row r="445" spans="1:4">
      <c r="A445" s="7" t="s">
        <v>547</v>
      </c>
      <c r="B445" s="7" t="s">
        <v>490</v>
      </c>
      <c r="C445" s="8">
        <v>6</v>
      </c>
      <c r="D445" s="7" t="s">
        <v>484</v>
      </c>
    </row>
    <row r="446" spans="1:4">
      <c r="A446" s="7" t="s">
        <v>552</v>
      </c>
      <c r="B446" s="7" t="s">
        <v>490</v>
      </c>
      <c r="C446" s="8">
        <v>6</v>
      </c>
      <c r="D446" s="7" t="s">
        <v>484</v>
      </c>
    </row>
    <row r="447" spans="1:4">
      <c r="A447" s="7" t="s">
        <v>556</v>
      </c>
      <c r="B447" s="7" t="s">
        <v>490</v>
      </c>
      <c r="C447" s="8">
        <v>6</v>
      </c>
      <c r="D447" s="7" t="s">
        <v>484</v>
      </c>
    </row>
    <row r="448" spans="1:4">
      <c r="A448" s="7" t="s">
        <v>557</v>
      </c>
      <c r="B448" s="7" t="s">
        <v>490</v>
      </c>
      <c r="C448" s="8">
        <v>6</v>
      </c>
      <c r="D448" s="7" t="s">
        <v>484</v>
      </c>
    </row>
    <row r="449" spans="1:4">
      <c r="A449" s="7" t="s">
        <v>569</v>
      </c>
      <c r="B449" s="7" t="s">
        <v>490</v>
      </c>
      <c r="C449" s="8">
        <v>6</v>
      </c>
      <c r="D449" s="7" t="s">
        <v>484</v>
      </c>
    </row>
    <row r="450" spans="1:4">
      <c r="A450" s="7" t="s">
        <v>590</v>
      </c>
      <c r="B450" s="7" t="s">
        <v>490</v>
      </c>
      <c r="C450" s="8">
        <v>6</v>
      </c>
      <c r="D450" s="7" t="s">
        <v>484</v>
      </c>
    </row>
    <row r="451" spans="1:4">
      <c r="A451" s="7" t="s">
        <v>595</v>
      </c>
      <c r="B451" s="7" t="s">
        <v>490</v>
      </c>
      <c r="C451" s="8">
        <v>6</v>
      </c>
      <c r="D451" s="7" t="s">
        <v>484</v>
      </c>
    </row>
    <row r="452" spans="1:4">
      <c r="A452" s="7" t="s">
        <v>606</v>
      </c>
      <c r="B452" s="7" t="s">
        <v>490</v>
      </c>
      <c r="C452" s="8">
        <v>6</v>
      </c>
      <c r="D452" s="7" t="s">
        <v>484</v>
      </c>
    </row>
    <row r="453" spans="1:4">
      <c r="A453" s="7" t="s">
        <v>612</v>
      </c>
      <c r="B453" s="7" t="s">
        <v>490</v>
      </c>
      <c r="C453" s="8">
        <v>6</v>
      </c>
      <c r="D453" s="7" t="s">
        <v>484</v>
      </c>
    </row>
    <row r="454" spans="1:4">
      <c r="A454" s="7" t="s">
        <v>613</v>
      </c>
      <c r="B454" s="7" t="s">
        <v>490</v>
      </c>
      <c r="C454" s="8">
        <v>6</v>
      </c>
      <c r="D454" s="7" t="s">
        <v>484</v>
      </c>
    </row>
    <row r="455" spans="1:4">
      <c r="A455" s="7" t="s">
        <v>623</v>
      </c>
      <c r="B455" s="7" t="s">
        <v>490</v>
      </c>
      <c r="C455" s="8">
        <v>6</v>
      </c>
      <c r="D455" s="7" t="s">
        <v>484</v>
      </c>
    </row>
    <row r="456" spans="1:4">
      <c r="A456" s="7" t="s">
        <v>627</v>
      </c>
      <c r="B456" s="7" t="s">
        <v>490</v>
      </c>
      <c r="C456" s="8">
        <v>6</v>
      </c>
      <c r="D456" s="7" t="s">
        <v>484</v>
      </c>
    </row>
    <row r="457" spans="1:4">
      <c r="A457" s="7" t="s">
        <v>629</v>
      </c>
      <c r="B457" s="7" t="s">
        <v>490</v>
      </c>
      <c r="C457" s="8">
        <v>6</v>
      </c>
      <c r="D457" s="7" t="s">
        <v>484</v>
      </c>
    </row>
    <row r="458" spans="1:4">
      <c r="A458" s="7" t="s">
        <v>631</v>
      </c>
      <c r="B458" s="7" t="s">
        <v>490</v>
      </c>
      <c r="C458" s="8">
        <v>6</v>
      </c>
      <c r="D458" s="7" t="s">
        <v>484</v>
      </c>
    </row>
    <row r="459" spans="1:4">
      <c r="A459" s="7" t="s">
        <v>750</v>
      </c>
      <c r="B459" s="7" t="s">
        <v>751</v>
      </c>
      <c r="C459" s="8">
        <v>6.5</v>
      </c>
      <c r="D459" s="7" t="s">
        <v>642</v>
      </c>
    </row>
    <row r="460" spans="1:4">
      <c r="A460" s="7" t="s">
        <v>680</v>
      </c>
      <c r="B460" s="7" t="s">
        <v>681</v>
      </c>
      <c r="C460" s="8">
        <v>4</v>
      </c>
      <c r="D460" s="7" t="s">
        <v>642</v>
      </c>
    </row>
    <row r="461" spans="1:4">
      <c r="A461" s="7" t="s">
        <v>682</v>
      </c>
      <c r="B461" s="7" t="s">
        <v>681</v>
      </c>
      <c r="C461" s="8">
        <v>4</v>
      </c>
      <c r="D461" s="7" t="s">
        <v>642</v>
      </c>
    </row>
    <row r="462" spans="1:4">
      <c r="A462" s="7" t="s">
        <v>697</v>
      </c>
      <c r="B462" s="7" t="s">
        <v>681</v>
      </c>
      <c r="C462" s="8">
        <v>4</v>
      </c>
      <c r="D462" s="7" t="s">
        <v>642</v>
      </c>
    </row>
    <row r="463" spans="1:4">
      <c r="A463" s="7" t="s">
        <v>718</v>
      </c>
      <c r="B463" s="7" t="s">
        <v>681</v>
      </c>
      <c r="C463" s="8">
        <v>4</v>
      </c>
      <c r="D463" s="7" t="s">
        <v>642</v>
      </c>
    </row>
    <row r="464" spans="1:4">
      <c r="A464" s="7" t="s">
        <v>729</v>
      </c>
      <c r="B464" s="7" t="s">
        <v>730</v>
      </c>
      <c r="C464" s="8">
        <v>6.5</v>
      </c>
      <c r="D464" s="7" t="s">
        <v>642</v>
      </c>
    </row>
    <row r="465" spans="1:4">
      <c r="A465" s="7" t="s">
        <v>647</v>
      </c>
      <c r="B465" s="7" t="s">
        <v>648</v>
      </c>
      <c r="C465" s="8">
        <v>6</v>
      </c>
      <c r="D465" s="7" t="s">
        <v>642</v>
      </c>
    </row>
    <row r="466" spans="1:4">
      <c r="A466" s="7" t="s">
        <v>656</v>
      </c>
      <c r="B466" s="7" t="s">
        <v>648</v>
      </c>
      <c r="C466" s="8">
        <v>6</v>
      </c>
      <c r="D466" s="7" t="s">
        <v>642</v>
      </c>
    </row>
    <row r="467" spans="1:4">
      <c r="A467" s="7" t="s">
        <v>664</v>
      </c>
      <c r="B467" s="7" t="s">
        <v>648</v>
      </c>
      <c r="C467" s="8">
        <v>6</v>
      </c>
      <c r="D467" s="7" t="s">
        <v>642</v>
      </c>
    </row>
    <row r="468" spans="1:4">
      <c r="A468" s="7" t="s">
        <v>671</v>
      </c>
      <c r="B468" s="7" t="s">
        <v>648</v>
      </c>
      <c r="C468" s="8">
        <v>6</v>
      </c>
      <c r="D468" s="7" t="s">
        <v>642</v>
      </c>
    </row>
    <row r="469" spans="1:4">
      <c r="A469" s="7" t="s">
        <v>678</v>
      </c>
      <c r="B469" s="7" t="s">
        <v>648</v>
      </c>
      <c r="C469" s="8">
        <v>6</v>
      </c>
      <c r="D469" s="7" t="s">
        <v>642</v>
      </c>
    </row>
    <row r="470" spans="1:4">
      <c r="A470" s="7" t="s">
        <v>683</v>
      </c>
      <c r="B470" s="7" t="s">
        <v>648</v>
      </c>
      <c r="C470" s="8">
        <v>6</v>
      </c>
      <c r="D470" s="7" t="s">
        <v>642</v>
      </c>
    </row>
    <row r="471" spans="1:4">
      <c r="A471" s="7" t="s">
        <v>696</v>
      </c>
      <c r="B471" s="7" t="s">
        <v>648</v>
      </c>
      <c r="C471" s="8">
        <v>6</v>
      </c>
      <c r="D471" s="7" t="s">
        <v>642</v>
      </c>
    </row>
    <row r="472" spans="1:4">
      <c r="A472" s="7" t="s">
        <v>703</v>
      </c>
      <c r="B472" s="7" t="s">
        <v>648</v>
      </c>
      <c r="C472" s="8">
        <v>6</v>
      </c>
      <c r="D472" s="7" t="s">
        <v>642</v>
      </c>
    </row>
    <row r="473" spans="1:4">
      <c r="A473" s="7" t="s">
        <v>722</v>
      </c>
      <c r="B473" s="7" t="s">
        <v>648</v>
      </c>
      <c r="C473" s="8">
        <v>6</v>
      </c>
      <c r="D473" s="7" t="s">
        <v>642</v>
      </c>
    </row>
    <row r="474" spans="1:4">
      <c r="A474" s="7" t="s">
        <v>725</v>
      </c>
      <c r="B474" s="7" t="s">
        <v>648</v>
      </c>
      <c r="C474" s="8">
        <v>6</v>
      </c>
      <c r="D474" s="7" t="s">
        <v>642</v>
      </c>
    </row>
    <row r="475" spans="1:4">
      <c r="A475" s="7" t="s">
        <v>728</v>
      </c>
      <c r="B475" s="7" t="s">
        <v>648</v>
      </c>
      <c r="C475" s="8">
        <v>6</v>
      </c>
      <c r="D475" s="7" t="s">
        <v>642</v>
      </c>
    </row>
    <row r="476" spans="1:4">
      <c r="A476" s="7" t="s">
        <v>745</v>
      </c>
      <c r="B476" s="7" t="s">
        <v>648</v>
      </c>
      <c r="C476" s="8">
        <v>6</v>
      </c>
      <c r="D476" s="7" t="s">
        <v>642</v>
      </c>
    </row>
    <row r="477" spans="1:4">
      <c r="A477" s="7" t="s">
        <v>752</v>
      </c>
      <c r="B477" s="7" t="s">
        <v>648</v>
      </c>
      <c r="C477" s="8">
        <v>6</v>
      </c>
      <c r="D477" s="7" t="s">
        <v>642</v>
      </c>
    </row>
    <row r="478" spans="1:4">
      <c r="A478" s="7" t="s">
        <v>690</v>
      </c>
      <c r="B478" s="7" t="s">
        <v>691</v>
      </c>
      <c r="C478" s="8">
        <v>6.5</v>
      </c>
      <c r="D478" s="7" t="s">
        <v>642</v>
      </c>
    </row>
    <row r="479" spans="1:4">
      <c r="A479" s="7" t="s">
        <v>693</v>
      </c>
      <c r="B479" s="7" t="s">
        <v>691</v>
      </c>
      <c r="C479" s="8">
        <v>6.5</v>
      </c>
      <c r="D479" s="7" t="s">
        <v>642</v>
      </c>
    </row>
    <row r="480" spans="1:4">
      <c r="A480" s="7" t="s">
        <v>741</v>
      </c>
      <c r="B480" s="7" t="s">
        <v>691</v>
      </c>
      <c r="C480" s="8">
        <v>6.5</v>
      </c>
      <c r="D480" s="7" t="s">
        <v>642</v>
      </c>
    </row>
    <row r="481" spans="1:4">
      <c r="A481" s="7" t="s">
        <v>742</v>
      </c>
      <c r="B481" s="7" t="s">
        <v>691</v>
      </c>
      <c r="C481" s="8">
        <v>6.5</v>
      </c>
      <c r="D481" s="7" t="s">
        <v>642</v>
      </c>
    </row>
    <row r="482" spans="1:4">
      <c r="A482" s="7" t="s">
        <v>694</v>
      </c>
      <c r="B482" s="7" t="s">
        <v>695</v>
      </c>
      <c r="C482" s="8">
        <v>4</v>
      </c>
      <c r="D482" s="7" t="s">
        <v>642</v>
      </c>
    </row>
    <row r="483" spans="1:4">
      <c r="A483" s="7" t="s">
        <v>708</v>
      </c>
      <c r="B483" s="7" t="s">
        <v>695</v>
      </c>
      <c r="C483" s="8">
        <v>4</v>
      </c>
      <c r="D483" s="7" t="s">
        <v>642</v>
      </c>
    </row>
    <row r="484" spans="1:4">
      <c r="A484" s="7" t="s">
        <v>716</v>
      </c>
      <c r="B484" s="7" t="s">
        <v>695</v>
      </c>
      <c r="C484" s="8">
        <v>4</v>
      </c>
      <c r="D484" s="7" t="s">
        <v>642</v>
      </c>
    </row>
    <row r="485" spans="1:4">
      <c r="A485" s="7" t="s">
        <v>717</v>
      </c>
      <c r="B485" s="7" t="s">
        <v>695</v>
      </c>
      <c r="C485" s="8">
        <v>4</v>
      </c>
      <c r="D485" s="7" t="s">
        <v>642</v>
      </c>
    </row>
    <row r="486" spans="1:4">
      <c r="A486" s="7" t="s">
        <v>748</v>
      </c>
      <c r="B486" s="7" t="s">
        <v>695</v>
      </c>
      <c r="C486" s="8">
        <v>4</v>
      </c>
      <c r="D486" s="7" t="s">
        <v>642</v>
      </c>
    </row>
    <row r="487" spans="1:4">
      <c r="A487" s="7" t="s">
        <v>732</v>
      </c>
      <c r="B487" s="7" t="s">
        <v>733</v>
      </c>
      <c r="C487" s="8">
        <v>4.5</v>
      </c>
      <c r="D487" s="7" t="s">
        <v>642</v>
      </c>
    </row>
    <row r="488" spans="1:4">
      <c r="A488" s="7" t="s">
        <v>755</v>
      </c>
      <c r="B488" s="7" t="s">
        <v>733</v>
      </c>
      <c r="C488" s="8">
        <v>4.5</v>
      </c>
      <c r="D488" s="7" t="s">
        <v>642</v>
      </c>
    </row>
    <row r="489" spans="1:4">
      <c r="A489" s="7" t="s">
        <v>643</v>
      </c>
      <c r="B489" s="7" t="s">
        <v>644</v>
      </c>
      <c r="C489" s="8">
        <v>4.5</v>
      </c>
      <c r="D489" s="7" t="s">
        <v>642</v>
      </c>
    </row>
    <row r="490" spans="1:4">
      <c r="A490" s="7" t="s">
        <v>649</v>
      </c>
      <c r="B490" s="7" t="s">
        <v>644</v>
      </c>
      <c r="C490" s="8">
        <v>4.5</v>
      </c>
      <c r="D490" s="7" t="s">
        <v>642</v>
      </c>
    </row>
    <row r="491" spans="1:4">
      <c r="A491" s="7" t="s">
        <v>753</v>
      </c>
      <c r="B491" s="7" t="s">
        <v>644</v>
      </c>
      <c r="C491" s="8">
        <v>4.5</v>
      </c>
      <c r="D491" s="7" t="s">
        <v>642</v>
      </c>
    </row>
    <row r="492" spans="1:4">
      <c r="A492" s="7" t="s">
        <v>754</v>
      </c>
      <c r="B492" s="7" t="s">
        <v>644</v>
      </c>
      <c r="C492" s="8">
        <v>4.5</v>
      </c>
      <c r="D492" s="7" t="s">
        <v>642</v>
      </c>
    </row>
    <row r="493" spans="1:4">
      <c r="A493" s="7" t="s">
        <v>756</v>
      </c>
      <c r="B493" s="7" t="s">
        <v>644</v>
      </c>
      <c r="C493" s="8">
        <v>4.5</v>
      </c>
      <c r="D493" s="7" t="s">
        <v>642</v>
      </c>
    </row>
    <row r="494" spans="1:4">
      <c r="A494" s="7" t="s">
        <v>651</v>
      </c>
      <c r="B494" s="7" t="s">
        <v>652</v>
      </c>
      <c r="C494" s="8">
        <v>4</v>
      </c>
      <c r="D494" s="7" t="s">
        <v>642</v>
      </c>
    </row>
    <row r="495" spans="1:4">
      <c r="A495" s="7" t="s">
        <v>653</v>
      </c>
      <c r="B495" s="7" t="s">
        <v>652</v>
      </c>
      <c r="C495" s="8">
        <v>4</v>
      </c>
      <c r="D495" s="7" t="s">
        <v>642</v>
      </c>
    </row>
    <row r="496" spans="1:4">
      <c r="A496" s="7" t="s">
        <v>655</v>
      </c>
      <c r="B496" s="7" t="s">
        <v>652</v>
      </c>
      <c r="C496" s="8">
        <v>4</v>
      </c>
      <c r="D496" s="7" t="s">
        <v>642</v>
      </c>
    </row>
    <row r="497" spans="1:4">
      <c r="A497" s="7" t="s">
        <v>657</v>
      </c>
      <c r="B497" s="7" t="s">
        <v>652</v>
      </c>
      <c r="C497" s="8">
        <v>4</v>
      </c>
      <c r="D497" s="7" t="s">
        <v>642</v>
      </c>
    </row>
    <row r="498" spans="1:4">
      <c r="A498" s="7" t="s">
        <v>658</v>
      </c>
      <c r="B498" s="7" t="s">
        <v>652</v>
      </c>
      <c r="C498" s="8">
        <v>4</v>
      </c>
      <c r="D498" s="7" t="s">
        <v>642</v>
      </c>
    </row>
    <row r="499" spans="1:4">
      <c r="A499" s="7" t="s">
        <v>660</v>
      </c>
      <c r="B499" s="7" t="s">
        <v>652</v>
      </c>
      <c r="C499" s="8">
        <v>4</v>
      </c>
      <c r="D499" s="7" t="s">
        <v>642</v>
      </c>
    </row>
    <row r="500" spans="1:4">
      <c r="A500" s="7" t="s">
        <v>661</v>
      </c>
      <c r="B500" s="7" t="s">
        <v>652</v>
      </c>
      <c r="C500" s="8">
        <v>4</v>
      </c>
      <c r="D500" s="7" t="s">
        <v>642</v>
      </c>
    </row>
    <row r="501" spans="1:4">
      <c r="A501" s="7" t="s">
        <v>662</v>
      </c>
      <c r="B501" s="7" t="s">
        <v>652</v>
      </c>
      <c r="C501" s="8">
        <v>4</v>
      </c>
      <c r="D501" s="7" t="s">
        <v>642</v>
      </c>
    </row>
    <row r="502" spans="1:4">
      <c r="A502" s="7" t="s">
        <v>672</v>
      </c>
      <c r="B502" s="7" t="s">
        <v>652</v>
      </c>
      <c r="C502" s="8">
        <v>4</v>
      </c>
      <c r="D502" s="7" t="s">
        <v>642</v>
      </c>
    </row>
    <row r="503" spans="1:4">
      <c r="A503" s="7" t="s">
        <v>673</v>
      </c>
      <c r="B503" s="7" t="s">
        <v>652</v>
      </c>
      <c r="C503" s="8">
        <v>4</v>
      </c>
      <c r="D503" s="7" t="s">
        <v>642</v>
      </c>
    </row>
    <row r="504" spans="1:4">
      <c r="A504" s="7" t="s">
        <v>675</v>
      </c>
      <c r="B504" s="7" t="s">
        <v>652</v>
      </c>
      <c r="C504" s="8">
        <v>4</v>
      </c>
      <c r="D504" s="7" t="s">
        <v>642</v>
      </c>
    </row>
    <row r="505" spans="1:4">
      <c r="A505" s="7" t="s">
        <v>676</v>
      </c>
      <c r="B505" s="7" t="s">
        <v>652</v>
      </c>
      <c r="C505" s="8">
        <v>4</v>
      </c>
      <c r="D505" s="7" t="s">
        <v>642</v>
      </c>
    </row>
    <row r="506" spans="1:4">
      <c r="A506" s="7" t="s">
        <v>677</v>
      </c>
      <c r="B506" s="7" t="s">
        <v>652</v>
      </c>
      <c r="C506" s="8">
        <v>4</v>
      </c>
      <c r="D506" s="7" t="s">
        <v>642</v>
      </c>
    </row>
    <row r="507" spans="1:4">
      <c r="A507" s="7" t="s">
        <v>684</v>
      </c>
      <c r="B507" s="7" t="s">
        <v>652</v>
      </c>
      <c r="C507" s="8">
        <v>4</v>
      </c>
      <c r="D507" s="7" t="s">
        <v>642</v>
      </c>
    </row>
    <row r="508" spans="1:4">
      <c r="A508" s="7" t="s">
        <v>687</v>
      </c>
      <c r="B508" s="7" t="s">
        <v>652</v>
      </c>
      <c r="C508" s="8">
        <v>4</v>
      </c>
      <c r="D508" s="7" t="s">
        <v>642</v>
      </c>
    </row>
    <row r="509" spans="1:4">
      <c r="A509" s="7" t="s">
        <v>689</v>
      </c>
      <c r="B509" s="7" t="s">
        <v>652</v>
      </c>
      <c r="C509" s="8">
        <v>4</v>
      </c>
      <c r="D509" s="7" t="s">
        <v>642</v>
      </c>
    </row>
    <row r="510" spans="1:4">
      <c r="A510" s="7" t="s">
        <v>724</v>
      </c>
      <c r="B510" s="7" t="s">
        <v>652</v>
      </c>
      <c r="C510" s="8">
        <v>4</v>
      </c>
      <c r="D510" s="7" t="s">
        <v>642</v>
      </c>
    </row>
    <row r="511" spans="1:4">
      <c r="A511" s="7" t="s">
        <v>726</v>
      </c>
      <c r="B511" s="7" t="s">
        <v>652</v>
      </c>
      <c r="C511" s="8">
        <v>4</v>
      </c>
      <c r="D511" s="7" t="s">
        <v>642</v>
      </c>
    </row>
    <row r="512" spans="1:4">
      <c r="A512" s="7" t="s">
        <v>727</v>
      </c>
      <c r="B512" s="7" t="s">
        <v>652</v>
      </c>
      <c r="C512" s="8">
        <v>4</v>
      </c>
      <c r="D512" s="7" t="s">
        <v>642</v>
      </c>
    </row>
    <row r="513" spans="1:4">
      <c r="A513" s="7" t="s">
        <v>731</v>
      </c>
      <c r="B513" s="7" t="s">
        <v>652</v>
      </c>
      <c r="C513" s="8">
        <v>4</v>
      </c>
      <c r="D513" s="7" t="s">
        <v>642</v>
      </c>
    </row>
    <row r="514" spans="1:4">
      <c r="A514" s="7" t="s">
        <v>739</v>
      </c>
      <c r="B514" s="7" t="s">
        <v>652</v>
      </c>
      <c r="C514" s="8">
        <v>4</v>
      </c>
      <c r="D514" s="7" t="s">
        <v>642</v>
      </c>
    </row>
    <row r="515" spans="1:4">
      <c r="A515" s="7" t="s">
        <v>744</v>
      </c>
      <c r="B515" s="7" t="s">
        <v>652</v>
      </c>
      <c r="C515" s="8">
        <v>4</v>
      </c>
      <c r="D515" s="7" t="s">
        <v>642</v>
      </c>
    </row>
    <row r="516" spans="1:4">
      <c r="A516" s="7" t="s">
        <v>645</v>
      </c>
      <c r="B516" s="7" t="s">
        <v>646</v>
      </c>
      <c r="C516" s="8">
        <v>4.5</v>
      </c>
      <c r="D516" s="7" t="s">
        <v>642</v>
      </c>
    </row>
    <row r="517" spans="1:4">
      <c r="A517" s="7" t="s">
        <v>650</v>
      </c>
      <c r="B517" s="7" t="s">
        <v>646</v>
      </c>
      <c r="C517" s="8">
        <v>4.5</v>
      </c>
      <c r="D517" s="7" t="s">
        <v>642</v>
      </c>
    </row>
    <row r="518" spans="1:4">
      <c r="A518" s="7" t="s">
        <v>654</v>
      </c>
      <c r="B518" s="7" t="s">
        <v>646</v>
      </c>
      <c r="C518" s="8">
        <v>4.5</v>
      </c>
      <c r="D518" s="7" t="s">
        <v>642</v>
      </c>
    </row>
    <row r="519" spans="1:4">
      <c r="A519" s="7" t="s">
        <v>659</v>
      </c>
      <c r="B519" s="7" t="s">
        <v>646</v>
      </c>
      <c r="C519" s="8">
        <v>4.5</v>
      </c>
      <c r="D519" s="7" t="s">
        <v>642</v>
      </c>
    </row>
    <row r="520" spans="1:4">
      <c r="A520" s="7" t="s">
        <v>663</v>
      </c>
      <c r="B520" s="7" t="s">
        <v>646</v>
      </c>
      <c r="C520" s="8">
        <v>4.5</v>
      </c>
      <c r="D520" s="7" t="s">
        <v>642</v>
      </c>
    </row>
    <row r="521" spans="1:4">
      <c r="A521" s="7" t="s">
        <v>667</v>
      </c>
      <c r="B521" s="7" t="s">
        <v>646</v>
      </c>
      <c r="C521" s="8">
        <v>4.5</v>
      </c>
      <c r="D521" s="7" t="s">
        <v>642</v>
      </c>
    </row>
    <row r="522" spans="1:4">
      <c r="A522" s="7" t="s">
        <v>668</v>
      </c>
      <c r="B522" s="7" t="s">
        <v>646</v>
      </c>
      <c r="C522" s="8">
        <v>4.5</v>
      </c>
      <c r="D522" s="7" t="s">
        <v>642</v>
      </c>
    </row>
    <row r="523" spans="1:4">
      <c r="A523" s="7" t="s">
        <v>669</v>
      </c>
      <c r="B523" s="7" t="s">
        <v>646</v>
      </c>
      <c r="C523" s="8">
        <v>4.5</v>
      </c>
      <c r="D523" s="7" t="s">
        <v>642</v>
      </c>
    </row>
    <row r="524" spans="1:4">
      <c r="A524" s="7" t="s">
        <v>679</v>
      </c>
      <c r="B524" s="7" t="s">
        <v>646</v>
      </c>
      <c r="C524" s="8">
        <v>4.5</v>
      </c>
      <c r="D524" s="7" t="s">
        <v>642</v>
      </c>
    </row>
    <row r="525" spans="1:4">
      <c r="A525" s="7" t="s">
        <v>685</v>
      </c>
      <c r="B525" s="7" t="s">
        <v>646</v>
      </c>
      <c r="C525" s="8">
        <v>4.5</v>
      </c>
      <c r="D525" s="7" t="s">
        <v>642</v>
      </c>
    </row>
    <row r="526" spans="1:4">
      <c r="A526" s="7" t="s">
        <v>686</v>
      </c>
      <c r="B526" s="7" t="s">
        <v>646</v>
      </c>
      <c r="C526" s="8">
        <v>4.5</v>
      </c>
      <c r="D526" s="7" t="s">
        <v>642</v>
      </c>
    </row>
    <row r="527" spans="1:4">
      <c r="A527" s="7" t="s">
        <v>692</v>
      </c>
      <c r="B527" s="7" t="s">
        <v>646</v>
      </c>
      <c r="C527" s="8">
        <v>4.5</v>
      </c>
      <c r="D527" s="7" t="s">
        <v>642</v>
      </c>
    </row>
    <row r="528" spans="1:4">
      <c r="A528" s="7" t="s">
        <v>700</v>
      </c>
      <c r="B528" s="7" t="s">
        <v>646</v>
      </c>
      <c r="C528" s="8">
        <v>4.5</v>
      </c>
      <c r="D528" s="7" t="s">
        <v>642</v>
      </c>
    </row>
    <row r="529" spans="1:4">
      <c r="A529" s="7" t="s">
        <v>701</v>
      </c>
      <c r="B529" s="7" t="s">
        <v>646</v>
      </c>
      <c r="C529" s="8">
        <v>4.5</v>
      </c>
      <c r="D529" s="7" t="s">
        <v>642</v>
      </c>
    </row>
    <row r="530" spans="1:4">
      <c r="A530" s="7" t="s">
        <v>702</v>
      </c>
      <c r="B530" s="7" t="s">
        <v>646</v>
      </c>
      <c r="C530" s="8">
        <v>4.5</v>
      </c>
      <c r="D530" s="7" t="s">
        <v>642</v>
      </c>
    </row>
    <row r="531" spans="1:4">
      <c r="A531" s="7" t="s">
        <v>705</v>
      </c>
      <c r="B531" s="7" t="s">
        <v>646</v>
      </c>
      <c r="C531" s="8">
        <v>4.5</v>
      </c>
      <c r="D531" s="7" t="s">
        <v>642</v>
      </c>
    </row>
    <row r="532" spans="1:4">
      <c r="A532" s="7" t="s">
        <v>707</v>
      </c>
      <c r="B532" s="7" t="s">
        <v>646</v>
      </c>
      <c r="C532" s="8">
        <v>4.5</v>
      </c>
      <c r="D532" s="7" t="s">
        <v>642</v>
      </c>
    </row>
    <row r="533" spans="1:4">
      <c r="A533" s="7" t="s">
        <v>709</v>
      </c>
      <c r="B533" s="7" t="s">
        <v>646</v>
      </c>
      <c r="C533" s="8">
        <v>4.5</v>
      </c>
      <c r="D533" s="7" t="s">
        <v>642</v>
      </c>
    </row>
    <row r="534" spans="1:4">
      <c r="A534" s="7" t="s">
        <v>710</v>
      </c>
      <c r="B534" s="7" t="s">
        <v>646</v>
      </c>
      <c r="C534" s="8">
        <v>4.5</v>
      </c>
      <c r="D534" s="7" t="s">
        <v>642</v>
      </c>
    </row>
    <row r="535" spans="1:4">
      <c r="A535" s="7" t="s">
        <v>711</v>
      </c>
      <c r="B535" s="7" t="s">
        <v>646</v>
      </c>
      <c r="C535" s="8">
        <v>4.5</v>
      </c>
      <c r="D535" s="7" t="s">
        <v>642</v>
      </c>
    </row>
    <row r="536" spans="1:4">
      <c r="A536" s="7" t="s">
        <v>712</v>
      </c>
      <c r="B536" s="7" t="s">
        <v>646</v>
      </c>
      <c r="C536" s="8">
        <v>4.5</v>
      </c>
      <c r="D536" s="7" t="s">
        <v>642</v>
      </c>
    </row>
    <row r="537" spans="1:4">
      <c r="A537" s="7" t="s">
        <v>713</v>
      </c>
      <c r="B537" s="7" t="s">
        <v>646</v>
      </c>
      <c r="C537" s="8">
        <v>4.5</v>
      </c>
      <c r="D537" s="7" t="s">
        <v>642</v>
      </c>
    </row>
    <row r="538" spans="1:4">
      <c r="A538" s="7" t="s">
        <v>714</v>
      </c>
      <c r="B538" s="7" t="s">
        <v>646</v>
      </c>
      <c r="C538" s="8">
        <v>4.5</v>
      </c>
      <c r="D538" s="7" t="s">
        <v>642</v>
      </c>
    </row>
    <row r="539" spans="1:4">
      <c r="A539" s="7" t="s">
        <v>715</v>
      </c>
      <c r="B539" s="7" t="s">
        <v>646</v>
      </c>
      <c r="C539" s="8">
        <v>4.5</v>
      </c>
      <c r="D539" s="7" t="s">
        <v>642</v>
      </c>
    </row>
    <row r="540" spans="1:4">
      <c r="A540" s="7" t="s">
        <v>721</v>
      </c>
      <c r="B540" s="7" t="s">
        <v>646</v>
      </c>
      <c r="C540" s="8">
        <v>4.5</v>
      </c>
      <c r="D540" s="7" t="s">
        <v>642</v>
      </c>
    </row>
    <row r="541" spans="1:4">
      <c r="A541" s="7" t="s">
        <v>723</v>
      </c>
      <c r="B541" s="7" t="s">
        <v>646</v>
      </c>
      <c r="C541" s="8">
        <v>4.5</v>
      </c>
      <c r="D541" s="7" t="s">
        <v>642</v>
      </c>
    </row>
    <row r="542" spans="1:4">
      <c r="A542" s="7" t="s">
        <v>746</v>
      </c>
      <c r="B542" s="7" t="s">
        <v>646</v>
      </c>
      <c r="C542" s="8">
        <v>4.5</v>
      </c>
      <c r="D542" s="7" t="s">
        <v>642</v>
      </c>
    </row>
    <row r="543" spans="1:4">
      <c r="A543" s="7" t="s">
        <v>747</v>
      </c>
      <c r="B543" s="7" t="s">
        <v>646</v>
      </c>
      <c r="C543" s="8">
        <v>4.5</v>
      </c>
      <c r="D543" s="7" t="s">
        <v>642</v>
      </c>
    </row>
    <row r="544" spans="1:4">
      <c r="A544" s="7" t="s">
        <v>757</v>
      </c>
      <c r="B544" s="7" t="s">
        <v>646</v>
      </c>
      <c r="C544" s="8">
        <v>4.5</v>
      </c>
      <c r="D544" s="7" t="s">
        <v>642</v>
      </c>
    </row>
    <row r="545" spans="1:4">
      <c r="A545" s="7" t="s">
        <v>665</v>
      </c>
      <c r="B545" s="7" t="s">
        <v>666</v>
      </c>
      <c r="C545" s="8">
        <v>6</v>
      </c>
      <c r="D545" s="7" t="s">
        <v>642</v>
      </c>
    </row>
    <row r="546" spans="1:4">
      <c r="A546" s="7" t="s">
        <v>670</v>
      </c>
      <c r="B546" s="7" t="s">
        <v>666</v>
      </c>
      <c r="C546" s="8">
        <v>6</v>
      </c>
      <c r="D546" s="7" t="s">
        <v>642</v>
      </c>
    </row>
    <row r="547" spans="1:4">
      <c r="A547" s="7" t="s">
        <v>674</v>
      </c>
      <c r="B547" s="7" t="s">
        <v>666</v>
      </c>
      <c r="C547" s="8">
        <v>6</v>
      </c>
      <c r="D547" s="7" t="s">
        <v>642</v>
      </c>
    </row>
    <row r="548" spans="1:4">
      <c r="A548" s="7" t="s">
        <v>688</v>
      </c>
      <c r="B548" s="7" t="s">
        <v>666</v>
      </c>
      <c r="C548" s="8">
        <v>6</v>
      </c>
      <c r="D548" s="7" t="s">
        <v>642</v>
      </c>
    </row>
    <row r="549" spans="1:4">
      <c r="A549" s="7" t="s">
        <v>706</v>
      </c>
      <c r="B549" s="7" t="s">
        <v>666</v>
      </c>
      <c r="C549" s="8">
        <v>6</v>
      </c>
      <c r="D549" s="7" t="s">
        <v>642</v>
      </c>
    </row>
    <row r="550" spans="1:4">
      <c r="A550" s="7" t="s">
        <v>719</v>
      </c>
      <c r="B550" s="7" t="s">
        <v>720</v>
      </c>
      <c r="C550" s="8">
        <v>6.5</v>
      </c>
      <c r="D550" s="7" t="s">
        <v>642</v>
      </c>
    </row>
    <row r="551" spans="1:4">
      <c r="A551" s="7" t="s">
        <v>743</v>
      </c>
      <c r="B551" s="7" t="s">
        <v>720</v>
      </c>
      <c r="C551" s="8">
        <v>6.5</v>
      </c>
      <c r="D551" s="7" t="s">
        <v>642</v>
      </c>
    </row>
    <row r="552" spans="1:4">
      <c r="A552" s="7" t="s">
        <v>749</v>
      </c>
      <c r="B552" s="7" t="s">
        <v>720</v>
      </c>
      <c r="C552" s="8">
        <v>6.5</v>
      </c>
      <c r="D552" s="7" t="s">
        <v>642</v>
      </c>
    </row>
    <row r="553" spans="1:4">
      <c r="A553" s="7" t="s">
        <v>698</v>
      </c>
      <c r="B553" s="7" t="s">
        <v>699</v>
      </c>
      <c r="C553" s="8">
        <v>5</v>
      </c>
      <c r="D553" s="7" t="s">
        <v>642</v>
      </c>
    </row>
    <row r="554" spans="1:4">
      <c r="A554" s="7" t="s">
        <v>704</v>
      </c>
      <c r="B554" s="7" t="s">
        <v>699</v>
      </c>
      <c r="C554" s="8">
        <v>5</v>
      </c>
      <c r="D554" s="7" t="s">
        <v>642</v>
      </c>
    </row>
    <row r="555" spans="1:4">
      <c r="A555" s="7" t="s">
        <v>734</v>
      </c>
      <c r="B555" s="7" t="s">
        <v>735</v>
      </c>
      <c r="C555" s="8">
        <v>5.5</v>
      </c>
      <c r="D555" s="7" t="s">
        <v>642</v>
      </c>
    </row>
    <row r="556" spans="1:4">
      <c r="A556" s="7" t="s">
        <v>736</v>
      </c>
      <c r="B556" s="7" t="s">
        <v>735</v>
      </c>
      <c r="C556" s="8">
        <v>5.5</v>
      </c>
      <c r="D556" s="7" t="s">
        <v>642</v>
      </c>
    </row>
    <row r="557" spans="1:4">
      <c r="A557" s="7" t="s">
        <v>737</v>
      </c>
      <c r="B557" s="7" t="s">
        <v>735</v>
      </c>
      <c r="C557" s="8">
        <v>5.5</v>
      </c>
      <c r="D557" s="7" t="s">
        <v>642</v>
      </c>
    </row>
    <row r="558" spans="1:4">
      <c r="A558" s="7" t="s">
        <v>738</v>
      </c>
      <c r="B558" s="7" t="s">
        <v>735</v>
      </c>
      <c r="C558" s="8">
        <v>5.5</v>
      </c>
      <c r="D558" s="7" t="s">
        <v>642</v>
      </c>
    </row>
    <row r="559" spans="1:4">
      <c r="A559" s="7" t="s">
        <v>740</v>
      </c>
      <c r="B559" s="7" t="s">
        <v>735</v>
      </c>
      <c r="C559" s="8">
        <v>5.5</v>
      </c>
      <c r="D559" s="7" t="s">
        <v>642</v>
      </c>
    </row>
    <row r="560" spans="1:4">
      <c r="A560" s="7" t="s">
        <v>1031</v>
      </c>
      <c r="B560" s="7" t="s">
        <v>1032</v>
      </c>
      <c r="C560" s="8">
        <v>4</v>
      </c>
      <c r="D560" s="7" t="s">
        <v>760</v>
      </c>
    </row>
    <row r="561" spans="1:4">
      <c r="A561" s="7" t="s">
        <v>1134</v>
      </c>
      <c r="B561" s="7" t="s">
        <v>1032</v>
      </c>
      <c r="C561" s="8">
        <v>4</v>
      </c>
      <c r="D561" s="7" t="s">
        <v>760</v>
      </c>
    </row>
    <row r="562" spans="1:4">
      <c r="A562" s="7" t="s">
        <v>1147</v>
      </c>
      <c r="B562" s="7" t="s">
        <v>1032</v>
      </c>
      <c r="C562" s="8">
        <v>4</v>
      </c>
      <c r="D562" s="7" t="s">
        <v>760</v>
      </c>
    </row>
    <row r="563" spans="1:4">
      <c r="A563" s="7" t="s">
        <v>1152</v>
      </c>
      <c r="B563" s="7" t="s">
        <v>1032</v>
      </c>
      <c r="C563" s="8">
        <v>4</v>
      </c>
      <c r="D563" s="7" t="s">
        <v>760</v>
      </c>
    </row>
    <row r="564" spans="1:4">
      <c r="A564" s="7" t="s">
        <v>1154</v>
      </c>
      <c r="B564" s="7" t="s">
        <v>1032</v>
      </c>
      <c r="C564" s="8">
        <v>4</v>
      </c>
      <c r="D564" s="7" t="s">
        <v>760</v>
      </c>
    </row>
    <row r="565" spans="1:4">
      <c r="A565" s="7" t="s">
        <v>991</v>
      </c>
      <c r="B565" s="7" t="s">
        <v>992</v>
      </c>
      <c r="C565" s="8">
        <v>4</v>
      </c>
      <c r="D565" s="7" t="s">
        <v>760</v>
      </c>
    </row>
    <row r="566" spans="1:4">
      <c r="A566" s="7" t="s">
        <v>1108</v>
      </c>
      <c r="B566" s="7" t="s">
        <v>1109</v>
      </c>
      <c r="C566" s="8">
        <v>4</v>
      </c>
      <c r="D566" s="7" t="s">
        <v>760</v>
      </c>
    </row>
    <row r="567" spans="1:4">
      <c r="A567" s="7" t="s">
        <v>813</v>
      </c>
      <c r="B567" s="7" t="s">
        <v>814</v>
      </c>
      <c r="C567" s="8">
        <v>4</v>
      </c>
      <c r="D567" s="7" t="s">
        <v>760</v>
      </c>
    </row>
    <row r="568" spans="1:4">
      <c r="A568" s="7" t="s">
        <v>830</v>
      </c>
      <c r="B568" s="7" t="s">
        <v>814</v>
      </c>
      <c r="C568" s="8">
        <v>4</v>
      </c>
      <c r="D568" s="7" t="s">
        <v>760</v>
      </c>
    </row>
    <row r="569" spans="1:4">
      <c r="A569" s="7" t="s">
        <v>840</v>
      </c>
      <c r="B569" s="7" t="s">
        <v>814</v>
      </c>
      <c r="C569" s="8">
        <v>4</v>
      </c>
      <c r="D569" s="7" t="s">
        <v>760</v>
      </c>
    </row>
    <row r="570" spans="1:4">
      <c r="A570" s="7" t="s">
        <v>844</v>
      </c>
      <c r="B570" s="7" t="s">
        <v>814</v>
      </c>
      <c r="C570" s="8">
        <v>4</v>
      </c>
      <c r="D570" s="7" t="s">
        <v>760</v>
      </c>
    </row>
    <row r="571" spans="1:4">
      <c r="A571" s="7" t="s">
        <v>852</v>
      </c>
      <c r="B571" s="7" t="s">
        <v>814</v>
      </c>
      <c r="C571" s="8">
        <v>4</v>
      </c>
      <c r="D571" s="7" t="s">
        <v>760</v>
      </c>
    </row>
    <row r="572" spans="1:4">
      <c r="A572" s="7" t="s">
        <v>861</v>
      </c>
      <c r="B572" s="7" t="s">
        <v>814</v>
      </c>
      <c r="C572" s="8">
        <v>4</v>
      </c>
      <c r="D572" s="7" t="s">
        <v>760</v>
      </c>
    </row>
    <row r="573" spans="1:4">
      <c r="A573" s="7" t="s">
        <v>880</v>
      </c>
      <c r="B573" s="7" t="s">
        <v>814</v>
      </c>
      <c r="C573" s="8">
        <v>4</v>
      </c>
      <c r="D573" s="7" t="s">
        <v>760</v>
      </c>
    </row>
    <row r="574" spans="1:4">
      <c r="A574" s="7" t="s">
        <v>885</v>
      </c>
      <c r="B574" s="7" t="s">
        <v>814</v>
      </c>
      <c r="C574" s="8">
        <v>4</v>
      </c>
      <c r="D574" s="7" t="s">
        <v>760</v>
      </c>
    </row>
    <row r="575" spans="1:4">
      <c r="A575" s="7" t="s">
        <v>888</v>
      </c>
      <c r="B575" s="7" t="s">
        <v>814</v>
      </c>
      <c r="C575" s="8">
        <v>4</v>
      </c>
      <c r="D575" s="7" t="s">
        <v>760</v>
      </c>
    </row>
    <row r="576" spans="1:4">
      <c r="A576" s="7" t="s">
        <v>890</v>
      </c>
      <c r="B576" s="7" t="s">
        <v>814</v>
      </c>
      <c r="C576" s="8">
        <v>4</v>
      </c>
      <c r="D576" s="7" t="s">
        <v>760</v>
      </c>
    </row>
    <row r="577" spans="1:4">
      <c r="A577" s="7" t="s">
        <v>897</v>
      </c>
      <c r="B577" s="7" t="s">
        <v>814</v>
      </c>
      <c r="C577" s="8">
        <v>4</v>
      </c>
      <c r="D577" s="7" t="s">
        <v>760</v>
      </c>
    </row>
    <row r="578" spans="1:4">
      <c r="A578" s="7" t="s">
        <v>899</v>
      </c>
      <c r="B578" s="7" t="s">
        <v>814</v>
      </c>
      <c r="C578" s="8">
        <v>4</v>
      </c>
      <c r="D578" s="7" t="s">
        <v>760</v>
      </c>
    </row>
    <row r="579" spans="1:4">
      <c r="A579" s="7" t="s">
        <v>902</v>
      </c>
      <c r="B579" s="7" t="s">
        <v>814</v>
      </c>
      <c r="C579" s="8">
        <v>4</v>
      </c>
      <c r="D579" s="7" t="s">
        <v>760</v>
      </c>
    </row>
    <row r="580" spans="1:4">
      <c r="A580" s="7" t="s">
        <v>903</v>
      </c>
      <c r="B580" s="7" t="s">
        <v>814</v>
      </c>
      <c r="C580" s="8">
        <v>4</v>
      </c>
      <c r="D580" s="7" t="s">
        <v>760</v>
      </c>
    </row>
    <row r="581" spans="1:4">
      <c r="A581" s="7" t="s">
        <v>921</v>
      </c>
      <c r="B581" s="7" t="s">
        <v>814</v>
      </c>
      <c r="C581" s="8">
        <v>4</v>
      </c>
      <c r="D581" s="7" t="s">
        <v>760</v>
      </c>
    </row>
    <row r="582" spans="1:4">
      <c r="A582" s="7" t="s">
        <v>923</v>
      </c>
      <c r="B582" s="7" t="s">
        <v>814</v>
      </c>
      <c r="C582" s="8">
        <v>4</v>
      </c>
      <c r="D582" s="7" t="s">
        <v>760</v>
      </c>
    </row>
    <row r="583" spans="1:4">
      <c r="A583" s="7" t="s">
        <v>931</v>
      </c>
      <c r="B583" s="7" t="s">
        <v>814</v>
      </c>
      <c r="C583" s="8">
        <v>4</v>
      </c>
      <c r="D583" s="7" t="s">
        <v>760</v>
      </c>
    </row>
    <row r="584" spans="1:4">
      <c r="A584" s="7" t="s">
        <v>934</v>
      </c>
      <c r="B584" s="7" t="s">
        <v>814</v>
      </c>
      <c r="C584" s="8">
        <v>4</v>
      </c>
      <c r="D584" s="7" t="s">
        <v>760</v>
      </c>
    </row>
    <row r="585" spans="1:4">
      <c r="A585" s="7" t="s">
        <v>946</v>
      </c>
      <c r="B585" s="7" t="s">
        <v>814</v>
      </c>
      <c r="C585" s="8">
        <v>4</v>
      </c>
      <c r="D585" s="7" t="s">
        <v>760</v>
      </c>
    </row>
    <row r="586" spans="1:4">
      <c r="A586" s="7" t="s">
        <v>948</v>
      </c>
      <c r="B586" s="7" t="s">
        <v>814</v>
      </c>
      <c r="C586" s="8">
        <v>4</v>
      </c>
      <c r="D586" s="7" t="s">
        <v>760</v>
      </c>
    </row>
    <row r="587" spans="1:4">
      <c r="A587" s="7" t="s">
        <v>954</v>
      </c>
      <c r="B587" s="7" t="s">
        <v>814</v>
      </c>
      <c r="C587" s="8">
        <v>4</v>
      </c>
      <c r="D587" s="7" t="s">
        <v>760</v>
      </c>
    </row>
    <row r="588" spans="1:4">
      <c r="A588" s="7" t="s">
        <v>961</v>
      </c>
      <c r="B588" s="7" t="s">
        <v>814</v>
      </c>
      <c r="C588" s="8">
        <v>4</v>
      </c>
      <c r="D588" s="7" t="s">
        <v>760</v>
      </c>
    </row>
    <row r="589" spans="1:4">
      <c r="A589" s="7" t="s">
        <v>966</v>
      </c>
      <c r="B589" s="7" t="s">
        <v>814</v>
      </c>
      <c r="C589" s="8">
        <v>4</v>
      </c>
      <c r="D589" s="7" t="s">
        <v>760</v>
      </c>
    </row>
    <row r="590" spans="1:4">
      <c r="A590" s="7" t="s">
        <v>967</v>
      </c>
      <c r="B590" s="7" t="s">
        <v>814</v>
      </c>
      <c r="C590" s="8">
        <v>4</v>
      </c>
      <c r="D590" s="7" t="s">
        <v>760</v>
      </c>
    </row>
    <row r="591" spans="1:4">
      <c r="A591" s="7" t="s">
        <v>994</v>
      </c>
      <c r="B591" s="7" t="s">
        <v>814</v>
      </c>
      <c r="C591" s="8">
        <v>4</v>
      </c>
      <c r="D591" s="7" t="s">
        <v>760</v>
      </c>
    </row>
    <row r="592" spans="1:4">
      <c r="A592" s="7" t="s">
        <v>995</v>
      </c>
      <c r="B592" s="7" t="s">
        <v>814</v>
      </c>
      <c r="C592" s="8">
        <v>4</v>
      </c>
      <c r="D592" s="7" t="s">
        <v>760</v>
      </c>
    </row>
    <row r="593" spans="1:4">
      <c r="A593" s="7" t="s">
        <v>999</v>
      </c>
      <c r="B593" s="7" t="s">
        <v>814</v>
      </c>
      <c r="C593" s="8">
        <v>4</v>
      </c>
      <c r="D593" s="7" t="s">
        <v>760</v>
      </c>
    </row>
    <row r="594" spans="1:4">
      <c r="A594" s="7" t="s">
        <v>1013</v>
      </c>
      <c r="B594" s="7" t="s">
        <v>814</v>
      </c>
      <c r="C594" s="8">
        <v>4</v>
      </c>
      <c r="D594" s="7" t="s">
        <v>760</v>
      </c>
    </row>
    <row r="595" spans="1:4">
      <c r="A595" s="7" t="s">
        <v>1014</v>
      </c>
      <c r="B595" s="7" t="s">
        <v>814</v>
      </c>
      <c r="C595" s="8">
        <v>4</v>
      </c>
      <c r="D595" s="7" t="s">
        <v>760</v>
      </c>
    </row>
    <row r="596" spans="1:4">
      <c r="A596" s="7" t="s">
        <v>1022</v>
      </c>
      <c r="B596" s="7" t="s">
        <v>814</v>
      </c>
      <c r="C596" s="8">
        <v>4</v>
      </c>
      <c r="D596" s="7" t="s">
        <v>760</v>
      </c>
    </row>
    <row r="597" spans="1:4">
      <c r="A597" s="7" t="s">
        <v>1027</v>
      </c>
      <c r="B597" s="7" t="s">
        <v>814</v>
      </c>
      <c r="C597" s="8">
        <v>4</v>
      </c>
      <c r="D597" s="7" t="s">
        <v>760</v>
      </c>
    </row>
    <row r="598" spans="1:4">
      <c r="A598" s="7" t="s">
        <v>1028</v>
      </c>
      <c r="B598" s="7" t="s">
        <v>814</v>
      </c>
      <c r="C598" s="8">
        <v>4</v>
      </c>
      <c r="D598" s="7" t="s">
        <v>760</v>
      </c>
    </row>
    <row r="599" spans="1:4">
      <c r="A599" s="7" t="s">
        <v>1043</v>
      </c>
      <c r="B599" s="7" t="s">
        <v>814</v>
      </c>
      <c r="C599" s="8">
        <v>4</v>
      </c>
      <c r="D599" s="7" t="s">
        <v>760</v>
      </c>
    </row>
    <row r="600" spans="1:4">
      <c r="A600" s="7" t="s">
        <v>1047</v>
      </c>
      <c r="B600" s="7" t="s">
        <v>814</v>
      </c>
      <c r="C600" s="8">
        <v>4</v>
      </c>
      <c r="D600" s="7" t="s">
        <v>760</v>
      </c>
    </row>
    <row r="601" spans="1:4">
      <c r="A601" s="7" t="s">
        <v>1048</v>
      </c>
      <c r="B601" s="7" t="s">
        <v>814</v>
      </c>
      <c r="C601" s="8">
        <v>4</v>
      </c>
      <c r="D601" s="7" t="s">
        <v>760</v>
      </c>
    </row>
    <row r="602" spans="1:4">
      <c r="A602" s="7" t="s">
        <v>1051</v>
      </c>
      <c r="B602" s="7" t="s">
        <v>814</v>
      </c>
      <c r="C602" s="8">
        <v>4</v>
      </c>
      <c r="D602" s="7" t="s">
        <v>760</v>
      </c>
    </row>
    <row r="603" spans="1:4">
      <c r="A603" s="7" t="s">
        <v>1068</v>
      </c>
      <c r="B603" s="7" t="s">
        <v>814</v>
      </c>
      <c r="C603" s="8">
        <v>4</v>
      </c>
      <c r="D603" s="7" t="s">
        <v>760</v>
      </c>
    </row>
    <row r="604" spans="1:4">
      <c r="A604" s="7" t="s">
        <v>1091</v>
      </c>
      <c r="B604" s="7" t="s">
        <v>814</v>
      </c>
      <c r="C604" s="8">
        <v>4</v>
      </c>
      <c r="D604" s="7" t="s">
        <v>760</v>
      </c>
    </row>
    <row r="605" spans="1:4">
      <c r="A605" s="7" t="s">
        <v>1102</v>
      </c>
      <c r="B605" s="7" t="s">
        <v>814</v>
      </c>
      <c r="C605" s="8">
        <v>4</v>
      </c>
      <c r="D605" s="7" t="s">
        <v>760</v>
      </c>
    </row>
    <row r="606" spans="1:4">
      <c r="A606" s="7" t="s">
        <v>1104</v>
      </c>
      <c r="B606" s="7" t="s">
        <v>814</v>
      </c>
      <c r="C606" s="8">
        <v>4</v>
      </c>
      <c r="D606" s="7" t="s">
        <v>760</v>
      </c>
    </row>
    <row r="607" spans="1:4">
      <c r="A607" s="7" t="s">
        <v>1135</v>
      </c>
      <c r="B607" s="7" t="s">
        <v>814</v>
      </c>
      <c r="C607" s="8">
        <v>4</v>
      </c>
      <c r="D607" s="7" t="s">
        <v>760</v>
      </c>
    </row>
    <row r="608" spans="1:4">
      <c r="A608" s="7" t="s">
        <v>1136</v>
      </c>
      <c r="B608" s="7" t="s">
        <v>814</v>
      </c>
      <c r="C608" s="8">
        <v>4</v>
      </c>
      <c r="D608" s="7" t="s">
        <v>760</v>
      </c>
    </row>
    <row r="609" spans="1:4">
      <c r="A609" s="7" t="s">
        <v>1141</v>
      </c>
      <c r="B609" s="7" t="s">
        <v>814</v>
      </c>
      <c r="C609" s="8">
        <v>4</v>
      </c>
      <c r="D609" s="7" t="s">
        <v>760</v>
      </c>
    </row>
    <row r="610" spans="1:4">
      <c r="A610" s="7" t="s">
        <v>799</v>
      </c>
      <c r="B610" s="7" t="s">
        <v>800</v>
      </c>
      <c r="C610" s="8">
        <v>4</v>
      </c>
      <c r="D610" s="7" t="s">
        <v>760</v>
      </c>
    </row>
    <row r="611" spans="1:4">
      <c r="A611" s="7" t="s">
        <v>824</v>
      </c>
      <c r="B611" s="7" t="s">
        <v>825</v>
      </c>
      <c r="C611" s="8">
        <v>6</v>
      </c>
      <c r="D611" s="7" t="s">
        <v>760</v>
      </c>
    </row>
    <row r="612" spans="1:4">
      <c r="A612" s="7" t="s">
        <v>904</v>
      </c>
      <c r="B612" s="7" t="s">
        <v>825</v>
      </c>
      <c r="C612" s="8">
        <v>6</v>
      </c>
      <c r="D612" s="7" t="s">
        <v>760</v>
      </c>
    </row>
    <row r="613" spans="1:4">
      <c r="A613" s="7" t="s">
        <v>905</v>
      </c>
      <c r="B613" s="7" t="s">
        <v>825</v>
      </c>
      <c r="C613" s="8">
        <v>6</v>
      </c>
      <c r="D613" s="7" t="s">
        <v>760</v>
      </c>
    </row>
    <row r="614" spans="1:4">
      <c r="A614" s="7" t="s">
        <v>932</v>
      </c>
      <c r="B614" s="7" t="s">
        <v>825</v>
      </c>
      <c r="C614" s="8">
        <v>6</v>
      </c>
      <c r="D614" s="7" t="s">
        <v>760</v>
      </c>
    </row>
    <row r="615" spans="1:4">
      <c r="A615" s="7" t="s">
        <v>986</v>
      </c>
      <c r="B615" s="7" t="s">
        <v>825</v>
      </c>
      <c r="C615" s="8">
        <v>6</v>
      </c>
      <c r="D615" s="7" t="s">
        <v>760</v>
      </c>
    </row>
    <row r="616" spans="1:4">
      <c r="A616" s="7" t="s">
        <v>1005</v>
      </c>
      <c r="B616" s="7" t="s">
        <v>825</v>
      </c>
      <c r="C616" s="8">
        <v>6</v>
      </c>
      <c r="D616" s="7" t="s">
        <v>760</v>
      </c>
    </row>
    <row r="617" spans="1:4">
      <c r="A617" s="7" t="s">
        <v>1006</v>
      </c>
      <c r="B617" s="7" t="s">
        <v>825</v>
      </c>
      <c r="C617" s="8">
        <v>6</v>
      </c>
      <c r="D617" s="7" t="s">
        <v>760</v>
      </c>
    </row>
    <row r="618" spans="1:4">
      <c r="A618" s="7" t="s">
        <v>1016</v>
      </c>
      <c r="B618" s="7" t="s">
        <v>825</v>
      </c>
      <c r="C618" s="8">
        <v>6</v>
      </c>
      <c r="D618" s="7" t="s">
        <v>760</v>
      </c>
    </row>
    <row r="619" spans="1:4">
      <c r="A619" s="7" t="s">
        <v>1132</v>
      </c>
      <c r="B619" s="7" t="s">
        <v>825</v>
      </c>
      <c r="C619" s="8">
        <v>6</v>
      </c>
      <c r="D619" s="7" t="s">
        <v>760</v>
      </c>
    </row>
    <row r="620" spans="1:4">
      <c r="A620" s="7" t="s">
        <v>906</v>
      </c>
      <c r="B620" s="7" t="s">
        <v>907</v>
      </c>
      <c r="C620" s="8">
        <v>6</v>
      </c>
      <c r="D620" s="7" t="s">
        <v>760</v>
      </c>
    </row>
    <row r="621" spans="1:4">
      <c r="A621" s="7" t="s">
        <v>1069</v>
      </c>
      <c r="B621" s="7" t="s">
        <v>907</v>
      </c>
      <c r="C621" s="8">
        <v>6</v>
      </c>
      <c r="D621" s="7" t="s">
        <v>760</v>
      </c>
    </row>
    <row r="622" spans="1:4">
      <c r="A622" s="7" t="s">
        <v>1080</v>
      </c>
      <c r="B622" s="7" t="s">
        <v>907</v>
      </c>
      <c r="C622" s="8">
        <v>6</v>
      </c>
      <c r="D622" s="7" t="s">
        <v>760</v>
      </c>
    </row>
    <row r="623" spans="1:4">
      <c r="A623" s="7" t="s">
        <v>787</v>
      </c>
      <c r="B623" s="7" t="s">
        <v>788</v>
      </c>
      <c r="C623" s="8">
        <v>6</v>
      </c>
      <c r="D623" s="7" t="s">
        <v>760</v>
      </c>
    </row>
    <row r="624" spans="1:4">
      <c r="A624" s="7" t="s">
        <v>807</v>
      </c>
      <c r="B624" s="7" t="s">
        <v>788</v>
      </c>
      <c r="C624" s="8">
        <v>6</v>
      </c>
      <c r="D624" s="7" t="s">
        <v>760</v>
      </c>
    </row>
    <row r="625" spans="1:4">
      <c r="A625" s="7" t="s">
        <v>808</v>
      </c>
      <c r="B625" s="7" t="s">
        <v>788</v>
      </c>
      <c r="C625" s="8">
        <v>6</v>
      </c>
      <c r="D625" s="7" t="s">
        <v>760</v>
      </c>
    </row>
    <row r="626" spans="1:4">
      <c r="A626" s="7" t="s">
        <v>871</v>
      </c>
      <c r="B626" s="7" t="s">
        <v>788</v>
      </c>
      <c r="C626" s="8">
        <v>6</v>
      </c>
      <c r="D626" s="7" t="s">
        <v>760</v>
      </c>
    </row>
    <row r="627" spans="1:4">
      <c r="A627" s="7" t="s">
        <v>962</v>
      </c>
      <c r="B627" s="7" t="s">
        <v>788</v>
      </c>
      <c r="C627" s="8">
        <v>6</v>
      </c>
      <c r="D627" s="7" t="s">
        <v>760</v>
      </c>
    </row>
    <row r="628" spans="1:4">
      <c r="A628" s="7" t="s">
        <v>964</v>
      </c>
      <c r="B628" s="7" t="s">
        <v>788</v>
      </c>
      <c r="C628" s="8">
        <v>6</v>
      </c>
      <c r="D628" s="7" t="s">
        <v>760</v>
      </c>
    </row>
    <row r="629" spans="1:4">
      <c r="A629" s="7" t="s">
        <v>1073</v>
      </c>
      <c r="B629" s="7" t="s">
        <v>788</v>
      </c>
      <c r="C629" s="8">
        <v>6</v>
      </c>
      <c r="D629" s="7" t="s">
        <v>760</v>
      </c>
    </row>
    <row r="630" spans="1:4">
      <c r="A630" s="7" t="s">
        <v>822</v>
      </c>
      <c r="B630" s="7" t="s">
        <v>823</v>
      </c>
      <c r="C630" s="8">
        <v>6</v>
      </c>
      <c r="D630" s="7" t="s">
        <v>760</v>
      </c>
    </row>
    <row r="631" spans="1:4">
      <c r="A631" s="7" t="s">
        <v>1033</v>
      </c>
      <c r="B631" s="7" t="s">
        <v>823</v>
      </c>
      <c r="C631" s="8">
        <v>6</v>
      </c>
      <c r="D631" s="7" t="s">
        <v>760</v>
      </c>
    </row>
    <row r="632" spans="1:4">
      <c r="A632" s="7" t="s">
        <v>785</v>
      </c>
      <c r="B632" s="7" t="s">
        <v>786</v>
      </c>
      <c r="C632" s="8">
        <v>5</v>
      </c>
      <c r="D632" s="7" t="s">
        <v>760</v>
      </c>
    </row>
    <row r="633" spans="1:4">
      <c r="A633" s="7" t="s">
        <v>777</v>
      </c>
      <c r="B633" s="7" t="s">
        <v>778</v>
      </c>
      <c r="C633" s="8">
        <v>6</v>
      </c>
      <c r="D633" s="7" t="s">
        <v>760</v>
      </c>
    </row>
    <row r="634" spans="1:4">
      <c r="A634" s="7" t="s">
        <v>790</v>
      </c>
      <c r="B634" s="7" t="s">
        <v>778</v>
      </c>
      <c r="C634" s="8">
        <v>6</v>
      </c>
      <c r="D634" s="7" t="s">
        <v>760</v>
      </c>
    </row>
    <row r="635" spans="1:4">
      <c r="A635" s="7" t="s">
        <v>836</v>
      </c>
      <c r="B635" s="7" t="s">
        <v>778</v>
      </c>
      <c r="C635" s="8">
        <v>6</v>
      </c>
      <c r="D635" s="7" t="s">
        <v>760</v>
      </c>
    </row>
    <row r="636" spans="1:4">
      <c r="A636" s="7" t="s">
        <v>1126</v>
      </c>
      <c r="B636" s="7" t="s">
        <v>778</v>
      </c>
      <c r="C636" s="8">
        <v>6</v>
      </c>
      <c r="D636" s="7" t="s">
        <v>760</v>
      </c>
    </row>
    <row r="637" spans="1:4">
      <c r="A637" s="7" t="s">
        <v>845</v>
      </c>
      <c r="B637" s="7" t="s">
        <v>846</v>
      </c>
      <c r="C637" s="8">
        <v>6</v>
      </c>
      <c r="D637" s="7" t="s">
        <v>760</v>
      </c>
    </row>
    <row r="638" spans="1:4">
      <c r="A638" s="7" t="s">
        <v>1042</v>
      </c>
      <c r="B638" s="7" t="s">
        <v>846</v>
      </c>
      <c r="C638" s="8">
        <v>6</v>
      </c>
      <c r="D638" s="7" t="s">
        <v>760</v>
      </c>
    </row>
    <row r="639" spans="1:4">
      <c r="A639" s="7" t="s">
        <v>1054</v>
      </c>
      <c r="B639" s="7" t="s">
        <v>846</v>
      </c>
      <c r="C639" s="8">
        <v>6</v>
      </c>
      <c r="D639" s="7" t="s">
        <v>760</v>
      </c>
    </row>
    <row r="640" spans="1:4">
      <c r="A640" s="7" t="s">
        <v>1060</v>
      </c>
      <c r="B640" s="7" t="s">
        <v>846</v>
      </c>
      <c r="C640" s="8">
        <v>6</v>
      </c>
      <c r="D640" s="7" t="s">
        <v>760</v>
      </c>
    </row>
    <row r="641" spans="1:4">
      <c r="A641" s="7" t="s">
        <v>1061</v>
      </c>
      <c r="B641" s="7" t="s">
        <v>846</v>
      </c>
      <c r="C641" s="8">
        <v>6</v>
      </c>
      <c r="D641" s="7" t="s">
        <v>760</v>
      </c>
    </row>
    <row r="642" spans="1:4">
      <c r="A642" s="7" t="s">
        <v>1076</v>
      </c>
      <c r="B642" s="7" t="s">
        <v>1077</v>
      </c>
      <c r="C642" s="8">
        <v>6</v>
      </c>
      <c r="D642" s="7" t="s">
        <v>760</v>
      </c>
    </row>
    <row r="643" spans="1:4">
      <c r="A643" s="7" t="s">
        <v>1024</v>
      </c>
      <c r="B643" s="7" t="s">
        <v>1025</v>
      </c>
      <c r="C643" s="8">
        <v>6</v>
      </c>
      <c r="D643" s="7" t="s">
        <v>760</v>
      </c>
    </row>
    <row r="644" spans="1:4">
      <c r="A644" s="7" t="s">
        <v>1040</v>
      </c>
      <c r="B644" s="7" t="s">
        <v>1025</v>
      </c>
      <c r="C644" s="8">
        <v>6</v>
      </c>
      <c r="D644" s="7" t="s">
        <v>760</v>
      </c>
    </row>
    <row r="645" spans="1:4">
      <c r="A645" s="7" t="s">
        <v>886</v>
      </c>
      <c r="B645" s="7" t="s">
        <v>887</v>
      </c>
      <c r="C645" s="8">
        <v>6</v>
      </c>
      <c r="D645" s="7" t="s">
        <v>760</v>
      </c>
    </row>
    <row r="646" spans="1:4">
      <c r="A646" s="7" t="s">
        <v>1041</v>
      </c>
      <c r="B646" s="7" t="s">
        <v>887</v>
      </c>
      <c r="C646" s="8">
        <v>6</v>
      </c>
      <c r="D646" s="7" t="s">
        <v>760</v>
      </c>
    </row>
    <row r="647" spans="1:4">
      <c r="A647" s="7" t="s">
        <v>791</v>
      </c>
      <c r="B647" s="7" t="s">
        <v>792</v>
      </c>
      <c r="C647" s="8">
        <v>6</v>
      </c>
      <c r="D647" s="7" t="s">
        <v>760</v>
      </c>
    </row>
    <row r="648" spans="1:4">
      <c r="A648" s="7" t="s">
        <v>958</v>
      </c>
      <c r="B648" s="7" t="s">
        <v>792</v>
      </c>
      <c r="C648" s="8">
        <v>6</v>
      </c>
      <c r="D648" s="7" t="s">
        <v>760</v>
      </c>
    </row>
    <row r="649" spans="1:4">
      <c r="A649" s="7" t="s">
        <v>970</v>
      </c>
      <c r="B649" s="7" t="s">
        <v>792</v>
      </c>
      <c r="C649" s="8">
        <v>6</v>
      </c>
      <c r="D649" s="7" t="s">
        <v>760</v>
      </c>
    </row>
    <row r="650" spans="1:4">
      <c r="A650" s="7" t="s">
        <v>973</v>
      </c>
      <c r="B650" s="7" t="s">
        <v>792</v>
      </c>
      <c r="C650" s="8">
        <v>6</v>
      </c>
      <c r="D650" s="7" t="s">
        <v>760</v>
      </c>
    </row>
    <row r="651" spans="1:4">
      <c r="A651" s="7" t="s">
        <v>1059</v>
      </c>
      <c r="B651" s="7" t="s">
        <v>792</v>
      </c>
      <c r="C651" s="8">
        <v>6</v>
      </c>
      <c r="D651" s="7" t="s">
        <v>760</v>
      </c>
    </row>
    <row r="652" spans="1:4">
      <c r="A652" s="7" t="s">
        <v>1081</v>
      </c>
      <c r="B652" s="7" t="s">
        <v>792</v>
      </c>
      <c r="C652" s="8">
        <v>6</v>
      </c>
      <c r="D652" s="7" t="s">
        <v>760</v>
      </c>
    </row>
    <row r="653" spans="1:4">
      <c r="A653" s="7" t="s">
        <v>1155</v>
      </c>
      <c r="B653" s="7" t="s">
        <v>792</v>
      </c>
      <c r="C653" s="8">
        <v>6</v>
      </c>
      <c r="D653" s="7" t="s">
        <v>760</v>
      </c>
    </row>
    <row r="654" spans="1:4">
      <c r="A654" s="7" t="s">
        <v>1162</v>
      </c>
      <c r="B654" s="7" t="s">
        <v>792</v>
      </c>
      <c r="C654" s="8">
        <v>6</v>
      </c>
      <c r="D654" s="7" t="s">
        <v>760</v>
      </c>
    </row>
    <row r="655" spans="1:4">
      <c r="A655" s="7" t="s">
        <v>1165</v>
      </c>
      <c r="B655" s="7" t="s">
        <v>792</v>
      </c>
      <c r="C655" s="8">
        <v>6</v>
      </c>
      <c r="D655" s="7" t="s">
        <v>760</v>
      </c>
    </row>
    <row r="656" spans="1:4">
      <c r="A656" s="7" t="s">
        <v>1166</v>
      </c>
      <c r="B656" s="7" t="s">
        <v>792</v>
      </c>
      <c r="C656" s="8">
        <v>6</v>
      </c>
      <c r="D656" s="7" t="s">
        <v>760</v>
      </c>
    </row>
    <row r="657" spans="1:4">
      <c r="A657" s="7" t="s">
        <v>858</v>
      </c>
      <c r="B657" s="7" t="s">
        <v>859</v>
      </c>
      <c r="C657" s="8">
        <v>4</v>
      </c>
      <c r="D657" s="7" t="s">
        <v>760</v>
      </c>
    </row>
    <row r="658" spans="1:4">
      <c r="A658" s="7" t="s">
        <v>866</v>
      </c>
      <c r="B658" s="7" t="s">
        <v>859</v>
      </c>
      <c r="C658" s="8">
        <v>4</v>
      </c>
      <c r="D658" s="7" t="s">
        <v>760</v>
      </c>
    </row>
    <row r="659" spans="1:4">
      <c r="A659" s="7" t="s">
        <v>918</v>
      </c>
      <c r="B659" s="7" t="s">
        <v>859</v>
      </c>
      <c r="C659" s="8">
        <v>4</v>
      </c>
      <c r="D659" s="7" t="s">
        <v>760</v>
      </c>
    </row>
    <row r="660" spans="1:4">
      <c r="A660" s="7" t="s">
        <v>1107</v>
      </c>
      <c r="B660" s="7" t="s">
        <v>859</v>
      </c>
      <c r="C660" s="8">
        <v>4</v>
      </c>
      <c r="D660" s="7" t="s">
        <v>760</v>
      </c>
    </row>
    <row r="661" spans="1:4">
      <c r="A661" s="7" t="s">
        <v>929</v>
      </c>
      <c r="B661" s="7" t="s">
        <v>930</v>
      </c>
      <c r="C661" s="8">
        <v>5</v>
      </c>
      <c r="D661" s="7" t="s">
        <v>760</v>
      </c>
    </row>
    <row r="662" spans="1:4">
      <c r="A662" s="7" t="s">
        <v>944</v>
      </c>
      <c r="B662" s="7" t="s">
        <v>930</v>
      </c>
      <c r="C662" s="8">
        <v>5</v>
      </c>
      <c r="D662" s="7" t="s">
        <v>760</v>
      </c>
    </row>
    <row r="663" spans="1:4">
      <c r="A663" s="7" t="s">
        <v>968</v>
      </c>
      <c r="B663" s="7" t="s">
        <v>930</v>
      </c>
      <c r="C663" s="8">
        <v>5</v>
      </c>
      <c r="D663" s="7" t="s">
        <v>760</v>
      </c>
    </row>
    <row r="664" spans="1:4">
      <c r="A664" s="7" t="s">
        <v>1153</v>
      </c>
      <c r="B664" s="7" t="s">
        <v>930</v>
      </c>
      <c r="C664" s="8">
        <v>5</v>
      </c>
      <c r="D664" s="7" t="s">
        <v>760</v>
      </c>
    </row>
    <row r="665" spans="1:4">
      <c r="A665" s="7" t="s">
        <v>811</v>
      </c>
      <c r="B665" s="7" t="s">
        <v>812</v>
      </c>
      <c r="C665" s="8">
        <v>6</v>
      </c>
      <c r="D665" s="7" t="s">
        <v>760</v>
      </c>
    </row>
    <row r="666" spans="1:4">
      <c r="A666" s="7" t="s">
        <v>818</v>
      </c>
      <c r="B666" s="7" t="s">
        <v>812</v>
      </c>
      <c r="C666" s="8">
        <v>6</v>
      </c>
      <c r="D666" s="7" t="s">
        <v>760</v>
      </c>
    </row>
    <row r="667" spans="1:4">
      <c r="A667" s="7" t="s">
        <v>819</v>
      </c>
      <c r="B667" s="7" t="s">
        <v>812</v>
      </c>
      <c r="C667" s="8">
        <v>6</v>
      </c>
      <c r="D667" s="7" t="s">
        <v>760</v>
      </c>
    </row>
    <row r="668" spans="1:4">
      <c r="A668" s="7" t="s">
        <v>848</v>
      </c>
      <c r="B668" s="7" t="s">
        <v>812</v>
      </c>
      <c r="C668" s="8">
        <v>6</v>
      </c>
      <c r="D668" s="7" t="s">
        <v>760</v>
      </c>
    </row>
    <row r="669" spans="1:4">
      <c r="A669" s="7" t="s">
        <v>892</v>
      </c>
      <c r="B669" s="7" t="s">
        <v>812</v>
      </c>
      <c r="C669" s="8">
        <v>6</v>
      </c>
      <c r="D669" s="7" t="s">
        <v>760</v>
      </c>
    </row>
    <row r="670" spans="1:4">
      <c r="A670" s="7" t="s">
        <v>1168</v>
      </c>
      <c r="B670" s="7" t="s">
        <v>812</v>
      </c>
      <c r="C670" s="8">
        <v>6</v>
      </c>
      <c r="D670" s="7" t="s">
        <v>760</v>
      </c>
    </row>
    <row r="671" spans="1:4">
      <c r="A671" s="7" t="s">
        <v>877</v>
      </c>
      <c r="B671" s="7" t="s">
        <v>878</v>
      </c>
      <c r="C671" s="8">
        <v>5</v>
      </c>
      <c r="D671" s="7" t="s">
        <v>760</v>
      </c>
    </row>
    <row r="672" spans="1:4">
      <c r="A672" s="7" t="s">
        <v>922</v>
      </c>
      <c r="B672" s="7" t="s">
        <v>878</v>
      </c>
      <c r="C672" s="8">
        <v>5</v>
      </c>
      <c r="D672" s="7" t="s">
        <v>760</v>
      </c>
    </row>
    <row r="673" spans="1:4">
      <c r="A673" s="7" t="s">
        <v>959</v>
      </c>
      <c r="B673" s="7" t="s">
        <v>878</v>
      </c>
      <c r="C673" s="8">
        <v>5</v>
      </c>
      <c r="D673" s="7" t="s">
        <v>760</v>
      </c>
    </row>
    <row r="674" spans="1:4">
      <c r="A674" s="7" t="s">
        <v>975</v>
      </c>
      <c r="B674" s="7" t="s">
        <v>878</v>
      </c>
      <c r="C674" s="8">
        <v>5</v>
      </c>
      <c r="D674" s="7" t="s">
        <v>760</v>
      </c>
    </row>
    <row r="675" spans="1:4">
      <c r="A675" s="7" t="s">
        <v>985</v>
      </c>
      <c r="B675" s="7" t="s">
        <v>878</v>
      </c>
      <c r="C675" s="8">
        <v>5</v>
      </c>
      <c r="D675" s="7" t="s">
        <v>760</v>
      </c>
    </row>
    <row r="676" spans="1:4">
      <c r="A676" s="7" t="s">
        <v>987</v>
      </c>
      <c r="B676" s="7" t="s">
        <v>878</v>
      </c>
      <c r="C676" s="8">
        <v>5</v>
      </c>
      <c r="D676" s="7" t="s">
        <v>760</v>
      </c>
    </row>
    <row r="677" spans="1:4">
      <c r="A677" s="7" t="s">
        <v>988</v>
      </c>
      <c r="B677" s="7" t="s">
        <v>878</v>
      </c>
      <c r="C677" s="8">
        <v>5</v>
      </c>
      <c r="D677" s="7" t="s">
        <v>760</v>
      </c>
    </row>
    <row r="678" spans="1:4">
      <c r="A678" s="7" t="s">
        <v>1144</v>
      </c>
      <c r="B678" s="7" t="s">
        <v>878</v>
      </c>
      <c r="C678" s="8">
        <v>5</v>
      </c>
      <c r="D678" s="7" t="s">
        <v>760</v>
      </c>
    </row>
    <row r="679" spans="1:4">
      <c r="A679" s="7" t="s">
        <v>758</v>
      </c>
      <c r="B679" s="7" t="s">
        <v>759</v>
      </c>
      <c r="C679" s="8">
        <v>6</v>
      </c>
      <c r="D679" s="7" t="s">
        <v>760</v>
      </c>
    </row>
    <row r="680" spans="1:4">
      <c r="A680" s="7" t="s">
        <v>869</v>
      </c>
      <c r="B680" s="7" t="s">
        <v>759</v>
      </c>
      <c r="C680" s="8">
        <v>6</v>
      </c>
      <c r="D680" s="7" t="s">
        <v>760</v>
      </c>
    </row>
    <row r="681" spans="1:4">
      <c r="A681" s="7" t="s">
        <v>942</v>
      </c>
      <c r="B681" s="7" t="s">
        <v>759</v>
      </c>
      <c r="C681" s="8">
        <v>6</v>
      </c>
      <c r="D681" s="7" t="s">
        <v>760</v>
      </c>
    </row>
    <row r="682" spans="1:4">
      <c r="A682" s="7" t="s">
        <v>972</v>
      </c>
      <c r="B682" s="7" t="s">
        <v>759</v>
      </c>
      <c r="C682" s="8">
        <v>6</v>
      </c>
      <c r="D682" s="7" t="s">
        <v>760</v>
      </c>
    </row>
    <row r="683" spans="1:4">
      <c r="A683" s="7" t="s">
        <v>974</v>
      </c>
      <c r="B683" s="7" t="s">
        <v>759</v>
      </c>
      <c r="C683" s="8">
        <v>6</v>
      </c>
      <c r="D683" s="7" t="s">
        <v>760</v>
      </c>
    </row>
    <row r="684" spans="1:4">
      <c r="A684" s="7" t="s">
        <v>977</v>
      </c>
      <c r="B684" s="7" t="s">
        <v>759</v>
      </c>
      <c r="C684" s="8">
        <v>6</v>
      </c>
      <c r="D684" s="7" t="s">
        <v>760</v>
      </c>
    </row>
    <row r="685" spans="1:4">
      <c r="A685" s="7" t="s">
        <v>1110</v>
      </c>
      <c r="B685" s="7" t="s">
        <v>759</v>
      </c>
      <c r="C685" s="8">
        <v>6</v>
      </c>
      <c r="D685" s="7" t="s">
        <v>760</v>
      </c>
    </row>
    <row r="686" spans="1:4">
      <c r="A686" s="7" t="s">
        <v>1167</v>
      </c>
      <c r="B686" s="7" t="s">
        <v>759</v>
      </c>
      <c r="C686" s="8">
        <v>6</v>
      </c>
      <c r="D686" s="7" t="s">
        <v>760</v>
      </c>
    </row>
    <row r="687" spans="1:4">
      <c r="A687" s="7" t="s">
        <v>856</v>
      </c>
      <c r="B687" s="7" t="s">
        <v>857</v>
      </c>
      <c r="C687" s="8">
        <v>6</v>
      </c>
      <c r="D687" s="7" t="s">
        <v>760</v>
      </c>
    </row>
    <row r="688" spans="1:4">
      <c r="A688" s="7" t="s">
        <v>875</v>
      </c>
      <c r="B688" s="7" t="s">
        <v>857</v>
      </c>
      <c r="C688" s="8">
        <v>6</v>
      </c>
      <c r="D688" s="7" t="s">
        <v>760</v>
      </c>
    </row>
    <row r="689" spans="1:4">
      <c r="A689" s="7" t="s">
        <v>947</v>
      </c>
      <c r="B689" s="7" t="s">
        <v>857</v>
      </c>
      <c r="C689" s="8">
        <v>6</v>
      </c>
      <c r="D689" s="7" t="s">
        <v>760</v>
      </c>
    </row>
    <row r="690" spans="1:4">
      <c r="A690" s="7" t="s">
        <v>1018</v>
      </c>
      <c r="B690" s="7" t="s">
        <v>857</v>
      </c>
      <c r="C690" s="8">
        <v>6</v>
      </c>
      <c r="D690" s="7" t="s">
        <v>760</v>
      </c>
    </row>
    <row r="691" spans="1:4">
      <c r="A691" s="7" t="s">
        <v>1071</v>
      </c>
      <c r="B691" s="7" t="s">
        <v>857</v>
      </c>
      <c r="C691" s="8">
        <v>6</v>
      </c>
      <c r="D691" s="7" t="s">
        <v>760</v>
      </c>
    </row>
    <row r="692" spans="1:4">
      <c r="A692" s="7" t="s">
        <v>1079</v>
      </c>
      <c r="B692" s="7" t="s">
        <v>857</v>
      </c>
      <c r="C692" s="8">
        <v>6</v>
      </c>
      <c r="D692" s="7" t="s">
        <v>760</v>
      </c>
    </row>
    <row r="693" spans="1:4">
      <c r="A693" s="7" t="s">
        <v>1082</v>
      </c>
      <c r="B693" s="7" t="s">
        <v>857</v>
      </c>
      <c r="C693" s="8">
        <v>6</v>
      </c>
      <c r="D693" s="7" t="s">
        <v>760</v>
      </c>
    </row>
    <row r="694" spans="1:4">
      <c r="A694" s="7" t="s">
        <v>1127</v>
      </c>
      <c r="B694" s="7" t="s">
        <v>857</v>
      </c>
      <c r="C694" s="8">
        <v>6</v>
      </c>
      <c r="D694" s="7" t="s">
        <v>760</v>
      </c>
    </row>
    <row r="695" spans="1:4">
      <c r="A695" s="7" t="s">
        <v>1145</v>
      </c>
      <c r="B695" s="7" t="s">
        <v>857</v>
      </c>
      <c r="C695" s="8">
        <v>6</v>
      </c>
      <c r="D695" s="7" t="s">
        <v>760</v>
      </c>
    </row>
    <row r="696" spans="1:4">
      <c r="A696" s="7" t="s">
        <v>765</v>
      </c>
      <c r="B696" s="7" t="s">
        <v>766</v>
      </c>
      <c r="C696" s="8">
        <v>6</v>
      </c>
      <c r="D696" s="7" t="s">
        <v>760</v>
      </c>
    </row>
    <row r="697" spans="1:4">
      <c r="A697" s="7" t="s">
        <v>851</v>
      </c>
      <c r="B697" s="7" t="s">
        <v>766</v>
      </c>
      <c r="C697" s="8">
        <v>6</v>
      </c>
      <c r="D697" s="7" t="s">
        <v>760</v>
      </c>
    </row>
    <row r="698" spans="1:4">
      <c r="A698" s="7" t="s">
        <v>893</v>
      </c>
      <c r="B698" s="7" t="s">
        <v>766</v>
      </c>
      <c r="C698" s="8">
        <v>6</v>
      </c>
      <c r="D698" s="7" t="s">
        <v>760</v>
      </c>
    </row>
    <row r="699" spans="1:4">
      <c r="A699" s="7" t="s">
        <v>919</v>
      </c>
      <c r="B699" s="7" t="s">
        <v>766</v>
      </c>
      <c r="C699" s="8">
        <v>6</v>
      </c>
      <c r="D699" s="7" t="s">
        <v>760</v>
      </c>
    </row>
    <row r="700" spans="1:4">
      <c r="A700" s="7" t="s">
        <v>939</v>
      </c>
      <c r="B700" s="7" t="s">
        <v>766</v>
      </c>
      <c r="C700" s="8">
        <v>6</v>
      </c>
      <c r="D700" s="7" t="s">
        <v>760</v>
      </c>
    </row>
    <row r="701" spans="1:4">
      <c r="A701" s="7" t="s">
        <v>953</v>
      </c>
      <c r="B701" s="7" t="s">
        <v>766</v>
      </c>
      <c r="C701" s="8">
        <v>6</v>
      </c>
      <c r="D701" s="7" t="s">
        <v>760</v>
      </c>
    </row>
    <row r="702" spans="1:4">
      <c r="A702" s="7" t="s">
        <v>989</v>
      </c>
      <c r="B702" s="7" t="s">
        <v>766</v>
      </c>
      <c r="C702" s="8">
        <v>6</v>
      </c>
      <c r="D702" s="7" t="s">
        <v>760</v>
      </c>
    </row>
    <row r="703" spans="1:4">
      <c r="A703" s="7" t="s">
        <v>1021</v>
      </c>
      <c r="B703" s="7" t="s">
        <v>766</v>
      </c>
      <c r="C703" s="8">
        <v>6</v>
      </c>
      <c r="D703" s="7" t="s">
        <v>760</v>
      </c>
    </row>
    <row r="704" spans="1:4">
      <c r="A704" s="7" t="s">
        <v>1029</v>
      </c>
      <c r="B704" s="7" t="s">
        <v>766</v>
      </c>
      <c r="C704" s="8">
        <v>6</v>
      </c>
      <c r="D704" s="7" t="s">
        <v>760</v>
      </c>
    </row>
    <row r="705" spans="1:4">
      <c r="A705" s="7" t="s">
        <v>1062</v>
      </c>
      <c r="B705" s="7" t="s">
        <v>766</v>
      </c>
      <c r="C705" s="8">
        <v>6</v>
      </c>
      <c r="D705" s="7" t="s">
        <v>760</v>
      </c>
    </row>
    <row r="706" spans="1:4">
      <c r="A706" s="7" t="s">
        <v>1065</v>
      </c>
      <c r="B706" s="7" t="s">
        <v>766</v>
      </c>
      <c r="C706" s="8">
        <v>6</v>
      </c>
      <c r="D706" s="7" t="s">
        <v>760</v>
      </c>
    </row>
    <row r="707" spans="1:4">
      <c r="A707" s="7" t="s">
        <v>1101</v>
      </c>
      <c r="B707" s="7" t="s">
        <v>766</v>
      </c>
      <c r="C707" s="8">
        <v>6</v>
      </c>
      <c r="D707" s="7" t="s">
        <v>760</v>
      </c>
    </row>
    <row r="708" spans="1:4">
      <c r="A708" s="7" t="s">
        <v>1103</v>
      </c>
      <c r="B708" s="7" t="s">
        <v>766</v>
      </c>
      <c r="C708" s="8">
        <v>6</v>
      </c>
      <c r="D708" s="7" t="s">
        <v>760</v>
      </c>
    </row>
    <row r="709" spans="1:4">
      <c r="A709" s="7" t="s">
        <v>1105</v>
      </c>
      <c r="B709" s="7" t="s">
        <v>766</v>
      </c>
      <c r="C709" s="8">
        <v>6</v>
      </c>
      <c r="D709" s="7" t="s">
        <v>760</v>
      </c>
    </row>
    <row r="710" spans="1:4">
      <c r="A710" s="7" t="s">
        <v>1113</v>
      </c>
      <c r="B710" s="7" t="s">
        <v>766</v>
      </c>
      <c r="C710" s="8">
        <v>6</v>
      </c>
      <c r="D710" s="7" t="s">
        <v>760</v>
      </c>
    </row>
    <row r="711" spans="1:4">
      <c r="A711" s="7" t="s">
        <v>1119</v>
      </c>
      <c r="B711" s="7" t="s">
        <v>766</v>
      </c>
      <c r="C711" s="8">
        <v>6</v>
      </c>
      <c r="D711" s="7" t="s">
        <v>760</v>
      </c>
    </row>
    <row r="712" spans="1:4">
      <c r="A712" s="7" t="s">
        <v>1124</v>
      </c>
      <c r="B712" s="7" t="s">
        <v>766</v>
      </c>
      <c r="C712" s="8">
        <v>6</v>
      </c>
      <c r="D712" s="7" t="s">
        <v>760</v>
      </c>
    </row>
    <row r="713" spans="1:4">
      <c r="A713" s="7" t="s">
        <v>1143</v>
      </c>
      <c r="B713" s="7" t="s">
        <v>766</v>
      </c>
      <c r="C713" s="8">
        <v>6</v>
      </c>
      <c r="D713" s="7" t="s">
        <v>760</v>
      </c>
    </row>
    <row r="714" spans="1:4">
      <c r="A714" s="7" t="s">
        <v>1150</v>
      </c>
      <c r="B714" s="7" t="s">
        <v>766</v>
      </c>
      <c r="C714" s="8">
        <v>6</v>
      </c>
      <c r="D714" s="7" t="s">
        <v>760</v>
      </c>
    </row>
    <row r="715" spans="1:4">
      <c r="A715" s="7" t="s">
        <v>1163</v>
      </c>
      <c r="B715" s="7" t="s">
        <v>766</v>
      </c>
      <c r="C715" s="8">
        <v>6</v>
      </c>
      <c r="D715" s="7" t="s">
        <v>760</v>
      </c>
    </row>
    <row r="716" spans="1:4">
      <c r="A716" s="7" t="s">
        <v>1169</v>
      </c>
      <c r="B716" s="7" t="s">
        <v>766</v>
      </c>
      <c r="C716" s="8">
        <v>6</v>
      </c>
      <c r="D716" s="7" t="s">
        <v>760</v>
      </c>
    </row>
    <row r="717" spans="1:4">
      <c r="A717" s="7" t="s">
        <v>837</v>
      </c>
      <c r="B717" s="7" t="s">
        <v>838</v>
      </c>
      <c r="C717" s="8">
        <v>5</v>
      </c>
      <c r="D717" s="7" t="s">
        <v>760</v>
      </c>
    </row>
    <row r="718" spans="1:4">
      <c r="A718" s="7" t="s">
        <v>842</v>
      </c>
      <c r="B718" s="7" t="s">
        <v>838</v>
      </c>
      <c r="C718" s="8">
        <v>5</v>
      </c>
      <c r="D718" s="7" t="s">
        <v>760</v>
      </c>
    </row>
    <row r="719" spans="1:4">
      <c r="A719" s="7" t="s">
        <v>855</v>
      </c>
      <c r="B719" s="7" t="s">
        <v>838</v>
      </c>
      <c r="C719" s="8">
        <v>5</v>
      </c>
      <c r="D719" s="7" t="s">
        <v>760</v>
      </c>
    </row>
    <row r="720" spans="1:4">
      <c r="A720" s="7" t="s">
        <v>936</v>
      </c>
      <c r="B720" s="7" t="s">
        <v>838</v>
      </c>
      <c r="C720" s="8">
        <v>5</v>
      </c>
      <c r="D720" s="7" t="s">
        <v>760</v>
      </c>
    </row>
    <row r="721" spans="1:4">
      <c r="A721" s="7" t="s">
        <v>945</v>
      </c>
      <c r="B721" s="7" t="s">
        <v>838</v>
      </c>
      <c r="C721" s="8">
        <v>5</v>
      </c>
      <c r="D721" s="7" t="s">
        <v>760</v>
      </c>
    </row>
    <row r="722" spans="1:4">
      <c r="A722" s="7" t="s">
        <v>1015</v>
      </c>
      <c r="B722" s="7" t="s">
        <v>838</v>
      </c>
      <c r="C722" s="8">
        <v>5</v>
      </c>
      <c r="D722" s="7" t="s">
        <v>760</v>
      </c>
    </row>
    <row r="723" spans="1:4">
      <c r="A723" s="7" t="s">
        <v>1111</v>
      </c>
      <c r="B723" s="7" t="s">
        <v>838</v>
      </c>
      <c r="C723" s="8">
        <v>5</v>
      </c>
      <c r="D723" s="7" t="s">
        <v>760</v>
      </c>
    </row>
    <row r="724" spans="1:4">
      <c r="A724" s="7" t="s">
        <v>1112</v>
      </c>
      <c r="B724" s="7" t="s">
        <v>838</v>
      </c>
      <c r="C724" s="8">
        <v>5</v>
      </c>
      <c r="D724" s="7" t="s">
        <v>760</v>
      </c>
    </row>
    <row r="725" spans="1:4">
      <c r="A725" s="7" t="s">
        <v>1130</v>
      </c>
      <c r="B725" s="7" t="s">
        <v>838</v>
      </c>
      <c r="C725" s="8">
        <v>5</v>
      </c>
      <c r="D725" s="7" t="s">
        <v>760</v>
      </c>
    </row>
    <row r="726" spans="1:4">
      <c r="A726" s="7" t="s">
        <v>783</v>
      </c>
      <c r="B726" s="7" t="s">
        <v>784</v>
      </c>
      <c r="C726" s="8">
        <v>6</v>
      </c>
      <c r="D726" s="7" t="s">
        <v>760</v>
      </c>
    </row>
    <row r="727" spans="1:4">
      <c r="A727" s="7" t="s">
        <v>843</v>
      </c>
      <c r="B727" s="7" t="s">
        <v>784</v>
      </c>
      <c r="C727" s="8">
        <v>6</v>
      </c>
      <c r="D727" s="7" t="s">
        <v>760</v>
      </c>
    </row>
    <row r="728" spans="1:4">
      <c r="A728" s="7" t="s">
        <v>913</v>
      </c>
      <c r="B728" s="7" t="s">
        <v>784</v>
      </c>
      <c r="C728" s="8">
        <v>6</v>
      </c>
      <c r="D728" s="7" t="s">
        <v>760</v>
      </c>
    </row>
    <row r="729" spans="1:4">
      <c r="A729" s="7" t="s">
        <v>924</v>
      </c>
      <c r="B729" s="7" t="s">
        <v>784</v>
      </c>
      <c r="C729" s="8">
        <v>6</v>
      </c>
      <c r="D729" s="7" t="s">
        <v>760</v>
      </c>
    </row>
    <row r="730" spans="1:4">
      <c r="A730" s="7" t="s">
        <v>925</v>
      </c>
      <c r="B730" s="7" t="s">
        <v>784</v>
      </c>
      <c r="C730" s="8">
        <v>6</v>
      </c>
      <c r="D730" s="7" t="s">
        <v>760</v>
      </c>
    </row>
    <row r="731" spans="1:4">
      <c r="A731" s="7" t="s">
        <v>935</v>
      </c>
      <c r="B731" s="7" t="s">
        <v>784</v>
      </c>
      <c r="C731" s="8">
        <v>6</v>
      </c>
      <c r="D731" s="7" t="s">
        <v>760</v>
      </c>
    </row>
    <row r="732" spans="1:4">
      <c r="A732" s="7" t="s">
        <v>990</v>
      </c>
      <c r="B732" s="7" t="s">
        <v>784</v>
      </c>
      <c r="C732" s="8">
        <v>6</v>
      </c>
      <c r="D732" s="7" t="s">
        <v>760</v>
      </c>
    </row>
    <row r="733" spans="1:4">
      <c r="A733" s="7" t="s">
        <v>1039</v>
      </c>
      <c r="B733" s="7" t="s">
        <v>784</v>
      </c>
      <c r="C733" s="8">
        <v>6</v>
      </c>
      <c r="D733" s="7" t="s">
        <v>760</v>
      </c>
    </row>
    <row r="734" spans="1:4">
      <c r="A734" s="7" t="s">
        <v>1157</v>
      </c>
      <c r="B734" s="7" t="s">
        <v>784</v>
      </c>
      <c r="C734" s="8">
        <v>6</v>
      </c>
      <c r="D734" s="7" t="s">
        <v>760</v>
      </c>
    </row>
    <row r="735" spans="1:4">
      <c r="A735" s="7" t="s">
        <v>1120</v>
      </c>
      <c r="B735" s="7" t="s">
        <v>1121</v>
      </c>
      <c r="C735" s="8">
        <v>5</v>
      </c>
      <c r="D735" s="7" t="s">
        <v>760</v>
      </c>
    </row>
    <row r="736" spans="1:4">
      <c r="A736" s="7" t="s">
        <v>1122</v>
      </c>
      <c r="B736" s="7" t="s">
        <v>1121</v>
      </c>
      <c r="C736" s="8">
        <v>5</v>
      </c>
      <c r="D736" s="7" t="s">
        <v>760</v>
      </c>
    </row>
    <row r="737" spans="1:4">
      <c r="A737" s="7" t="s">
        <v>796</v>
      </c>
      <c r="B737" s="7" t="s">
        <v>797</v>
      </c>
      <c r="C737" s="8">
        <v>5</v>
      </c>
      <c r="D737" s="7" t="s">
        <v>760</v>
      </c>
    </row>
    <row r="738" spans="1:4">
      <c r="A738" s="7" t="s">
        <v>804</v>
      </c>
      <c r="B738" s="7" t="s">
        <v>797</v>
      </c>
      <c r="C738" s="8">
        <v>5</v>
      </c>
      <c r="D738" s="7" t="s">
        <v>760</v>
      </c>
    </row>
    <row r="739" spans="1:4">
      <c r="A739" s="7" t="s">
        <v>817</v>
      </c>
      <c r="B739" s="7" t="s">
        <v>797</v>
      </c>
      <c r="C739" s="8">
        <v>5</v>
      </c>
      <c r="D739" s="7" t="s">
        <v>760</v>
      </c>
    </row>
    <row r="740" spans="1:4">
      <c r="A740" s="7" t="s">
        <v>835</v>
      </c>
      <c r="B740" s="7" t="s">
        <v>797</v>
      </c>
      <c r="C740" s="8">
        <v>5</v>
      </c>
      <c r="D740" s="7" t="s">
        <v>760</v>
      </c>
    </row>
    <row r="741" spans="1:4">
      <c r="A741" s="7" t="s">
        <v>853</v>
      </c>
      <c r="B741" s="7" t="s">
        <v>797</v>
      </c>
      <c r="C741" s="8">
        <v>5</v>
      </c>
      <c r="D741" s="7" t="s">
        <v>760</v>
      </c>
    </row>
    <row r="742" spans="1:4">
      <c r="A742" s="7" t="s">
        <v>863</v>
      </c>
      <c r="B742" s="7" t="s">
        <v>797</v>
      </c>
      <c r="C742" s="8">
        <v>5</v>
      </c>
      <c r="D742" s="7" t="s">
        <v>760</v>
      </c>
    </row>
    <row r="743" spans="1:4">
      <c r="A743" s="7" t="s">
        <v>872</v>
      </c>
      <c r="B743" s="7" t="s">
        <v>797</v>
      </c>
      <c r="C743" s="8">
        <v>5</v>
      </c>
      <c r="D743" s="7" t="s">
        <v>760</v>
      </c>
    </row>
    <row r="744" spans="1:4">
      <c r="A744" s="7" t="s">
        <v>879</v>
      </c>
      <c r="B744" s="7" t="s">
        <v>797</v>
      </c>
      <c r="C744" s="8">
        <v>5</v>
      </c>
      <c r="D744" s="7" t="s">
        <v>760</v>
      </c>
    </row>
    <row r="745" spans="1:4">
      <c r="A745" s="7" t="s">
        <v>908</v>
      </c>
      <c r="B745" s="7" t="s">
        <v>797</v>
      </c>
      <c r="C745" s="8">
        <v>5</v>
      </c>
      <c r="D745" s="7" t="s">
        <v>760</v>
      </c>
    </row>
    <row r="746" spans="1:4">
      <c r="A746" s="7" t="s">
        <v>937</v>
      </c>
      <c r="B746" s="7" t="s">
        <v>797</v>
      </c>
      <c r="C746" s="8">
        <v>5</v>
      </c>
      <c r="D746" s="7" t="s">
        <v>760</v>
      </c>
    </row>
    <row r="747" spans="1:4">
      <c r="A747" s="7" t="s">
        <v>976</v>
      </c>
      <c r="B747" s="7" t="s">
        <v>797</v>
      </c>
      <c r="C747" s="8">
        <v>5</v>
      </c>
      <c r="D747" s="7" t="s">
        <v>760</v>
      </c>
    </row>
    <row r="748" spans="1:4">
      <c r="A748" s="7" t="s">
        <v>981</v>
      </c>
      <c r="B748" s="7" t="s">
        <v>797</v>
      </c>
      <c r="C748" s="8">
        <v>5</v>
      </c>
      <c r="D748" s="7" t="s">
        <v>760</v>
      </c>
    </row>
    <row r="749" spans="1:4">
      <c r="A749" s="7" t="s">
        <v>1053</v>
      </c>
      <c r="B749" s="7" t="s">
        <v>797</v>
      </c>
      <c r="C749" s="8">
        <v>5</v>
      </c>
      <c r="D749" s="7" t="s">
        <v>760</v>
      </c>
    </row>
    <row r="750" spans="1:4">
      <c r="A750" s="7" t="s">
        <v>1055</v>
      </c>
      <c r="B750" s="7" t="s">
        <v>797</v>
      </c>
      <c r="C750" s="8">
        <v>5</v>
      </c>
      <c r="D750" s="7" t="s">
        <v>760</v>
      </c>
    </row>
    <row r="751" spans="1:4">
      <c r="A751" s="7" t="s">
        <v>1057</v>
      </c>
      <c r="B751" s="7" t="s">
        <v>797</v>
      </c>
      <c r="C751" s="8">
        <v>5</v>
      </c>
      <c r="D751" s="7" t="s">
        <v>760</v>
      </c>
    </row>
    <row r="752" spans="1:4">
      <c r="A752" s="7" t="s">
        <v>1075</v>
      </c>
      <c r="B752" s="7" t="s">
        <v>797</v>
      </c>
      <c r="C752" s="8">
        <v>5</v>
      </c>
      <c r="D752" s="7" t="s">
        <v>760</v>
      </c>
    </row>
    <row r="753" spans="1:4">
      <c r="A753" s="7" t="s">
        <v>1090</v>
      </c>
      <c r="B753" s="7" t="s">
        <v>797</v>
      </c>
      <c r="C753" s="8">
        <v>5</v>
      </c>
      <c r="D753" s="7" t="s">
        <v>760</v>
      </c>
    </row>
    <row r="754" spans="1:4">
      <c r="A754" s="7" t="s">
        <v>767</v>
      </c>
      <c r="B754" s="7" t="s">
        <v>768</v>
      </c>
      <c r="C754" s="8">
        <v>8</v>
      </c>
      <c r="D754" s="7" t="s">
        <v>760</v>
      </c>
    </row>
    <row r="755" spans="1:4">
      <c r="A755" s="7" t="s">
        <v>1034</v>
      </c>
      <c r="B755" s="7" t="s">
        <v>1035</v>
      </c>
      <c r="C755" s="8">
        <v>8</v>
      </c>
      <c r="D755" s="7" t="s">
        <v>760</v>
      </c>
    </row>
    <row r="756" spans="1:4">
      <c r="A756" s="7" t="s">
        <v>1133</v>
      </c>
      <c r="B756" s="7" t="s">
        <v>1035</v>
      </c>
      <c r="C756" s="8">
        <v>8</v>
      </c>
      <c r="D756" s="7" t="s">
        <v>760</v>
      </c>
    </row>
    <row r="757" spans="1:4">
      <c r="A757" s="7" t="s">
        <v>1019</v>
      </c>
      <c r="B757" s="7" t="s">
        <v>1020</v>
      </c>
      <c r="C757" s="8">
        <v>8</v>
      </c>
      <c r="D757" s="7" t="s">
        <v>760</v>
      </c>
    </row>
    <row r="758" spans="1:4">
      <c r="A758" s="7" t="s">
        <v>1116</v>
      </c>
      <c r="B758" s="7" t="s">
        <v>1117</v>
      </c>
      <c r="C758" s="8">
        <v>8</v>
      </c>
      <c r="D758" s="7" t="s">
        <v>760</v>
      </c>
    </row>
    <row r="759" spans="1:4">
      <c r="A759" s="7" t="s">
        <v>1114</v>
      </c>
      <c r="B759" s="7" t="s">
        <v>1115</v>
      </c>
      <c r="C759" s="8">
        <v>7</v>
      </c>
      <c r="D759" s="7" t="s">
        <v>760</v>
      </c>
    </row>
    <row r="760" spans="1:4">
      <c r="A760" s="7" t="s">
        <v>983</v>
      </c>
      <c r="B760" s="7" t="s">
        <v>984</v>
      </c>
      <c r="C760" s="8">
        <v>6</v>
      </c>
      <c r="D760" s="7" t="s">
        <v>760</v>
      </c>
    </row>
    <row r="761" spans="1:4">
      <c r="A761" s="7" t="s">
        <v>997</v>
      </c>
      <c r="B761" s="7" t="s">
        <v>984</v>
      </c>
      <c r="C761" s="8">
        <v>6</v>
      </c>
      <c r="D761" s="7" t="s">
        <v>760</v>
      </c>
    </row>
    <row r="762" spans="1:4">
      <c r="A762" s="7" t="s">
        <v>1000</v>
      </c>
      <c r="B762" s="7" t="s">
        <v>984</v>
      </c>
      <c r="C762" s="8">
        <v>6</v>
      </c>
      <c r="D762" s="7" t="s">
        <v>760</v>
      </c>
    </row>
    <row r="763" spans="1:4">
      <c r="A763" s="7" t="s">
        <v>1010</v>
      </c>
      <c r="B763" s="7" t="s">
        <v>984</v>
      </c>
      <c r="C763" s="8">
        <v>6</v>
      </c>
      <c r="D763" s="7" t="s">
        <v>760</v>
      </c>
    </row>
    <row r="764" spans="1:4">
      <c r="A764" s="7" t="s">
        <v>1078</v>
      </c>
      <c r="B764" s="7" t="s">
        <v>984</v>
      </c>
      <c r="C764" s="8">
        <v>6</v>
      </c>
      <c r="D764" s="7" t="s">
        <v>760</v>
      </c>
    </row>
    <row r="765" spans="1:4">
      <c r="A765" s="7" t="s">
        <v>1097</v>
      </c>
      <c r="B765" s="7" t="s">
        <v>984</v>
      </c>
      <c r="C765" s="8">
        <v>6</v>
      </c>
      <c r="D765" s="7" t="s">
        <v>760</v>
      </c>
    </row>
    <row r="766" spans="1:4">
      <c r="A766" s="7" t="s">
        <v>1128</v>
      </c>
      <c r="B766" s="7" t="s">
        <v>984</v>
      </c>
      <c r="C766" s="8">
        <v>6</v>
      </c>
      <c r="D766" s="7" t="s">
        <v>760</v>
      </c>
    </row>
    <row r="767" spans="1:4">
      <c r="A767" s="7" t="s">
        <v>1129</v>
      </c>
      <c r="B767" s="7" t="s">
        <v>984</v>
      </c>
      <c r="C767" s="8">
        <v>6</v>
      </c>
      <c r="D767" s="7" t="s">
        <v>760</v>
      </c>
    </row>
    <row r="768" spans="1:4">
      <c r="A768" s="7" t="s">
        <v>1137</v>
      </c>
      <c r="B768" s="7" t="s">
        <v>984</v>
      </c>
      <c r="C768" s="8">
        <v>6</v>
      </c>
      <c r="D768" s="7" t="s">
        <v>760</v>
      </c>
    </row>
    <row r="769" spans="1:4">
      <c r="A769" s="7" t="s">
        <v>978</v>
      </c>
      <c r="B769" s="7" t="s">
        <v>979</v>
      </c>
      <c r="C769" s="8">
        <v>6</v>
      </c>
      <c r="D769" s="7" t="s">
        <v>760</v>
      </c>
    </row>
    <row r="770" spans="1:4">
      <c r="A770" s="7" t="s">
        <v>1011</v>
      </c>
      <c r="B770" s="7" t="s">
        <v>979</v>
      </c>
      <c r="C770" s="8">
        <v>6</v>
      </c>
      <c r="D770" s="7" t="s">
        <v>760</v>
      </c>
    </row>
    <row r="771" spans="1:4">
      <c r="A771" s="7" t="s">
        <v>1037</v>
      </c>
      <c r="B771" s="7" t="s">
        <v>979</v>
      </c>
      <c r="C771" s="8">
        <v>6</v>
      </c>
      <c r="D771" s="7" t="s">
        <v>760</v>
      </c>
    </row>
    <row r="772" spans="1:4">
      <c r="A772" s="7" t="s">
        <v>1044</v>
      </c>
      <c r="B772" s="7" t="s">
        <v>979</v>
      </c>
      <c r="C772" s="8">
        <v>6</v>
      </c>
      <c r="D772" s="7" t="s">
        <v>760</v>
      </c>
    </row>
    <row r="773" spans="1:4">
      <c r="A773" s="7" t="s">
        <v>1045</v>
      </c>
      <c r="B773" s="7" t="s">
        <v>979</v>
      </c>
      <c r="C773" s="8">
        <v>6</v>
      </c>
      <c r="D773" s="7" t="s">
        <v>760</v>
      </c>
    </row>
    <row r="774" spans="1:4">
      <c r="A774" s="7" t="s">
        <v>1106</v>
      </c>
      <c r="B774" s="7" t="s">
        <v>979</v>
      </c>
      <c r="C774" s="8">
        <v>6</v>
      </c>
      <c r="D774" s="7" t="s">
        <v>760</v>
      </c>
    </row>
    <row r="775" spans="1:4">
      <c r="A775" s="7" t="s">
        <v>1131</v>
      </c>
      <c r="B775" s="7" t="s">
        <v>979</v>
      </c>
      <c r="C775" s="8">
        <v>6</v>
      </c>
      <c r="D775" s="7" t="s">
        <v>760</v>
      </c>
    </row>
    <row r="776" spans="1:4">
      <c r="A776" s="7" t="s">
        <v>867</v>
      </c>
      <c r="B776" s="7" t="s">
        <v>868</v>
      </c>
      <c r="C776" s="8">
        <v>6</v>
      </c>
      <c r="D776" s="7" t="s">
        <v>760</v>
      </c>
    </row>
    <row r="777" spans="1:4">
      <c r="A777" s="7" t="s">
        <v>920</v>
      </c>
      <c r="B777" s="7" t="s">
        <v>868</v>
      </c>
      <c r="C777" s="8">
        <v>6</v>
      </c>
      <c r="D777" s="7" t="s">
        <v>760</v>
      </c>
    </row>
    <row r="778" spans="1:4">
      <c r="A778" s="7" t="s">
        <v>928</v>
      </c>
      <c r="B778" s="7" t="s">
        <v>868</v>
      </c>
      <c r="C778" s="8">
        <v>6</v>
      </c>
      <c r="D778" s="7" t="s">
        <v>760</v>
      </c>
    </row>
    <row r="779" spans="1:4">
      <c r="A779" s="7" t="s">
        <v>1067</v>
      </c>
      <c r="B779" s="7" t="s">
        <v>868</v>
      </c>
      <c r="C779" s="8">
        <v>6</v>
      </c>
      <c r="D779" s="7" t="s">
        <v>760</v>
      </c>
    </row>
    <row r="780" spans="1:4">
      <c r="A780" s="7" t="s">
        <v>1089</v>
      </c>
      <c r="B780" s="7" t="s">
        <v>868</v>
      </c>
      <c r="C780" s="8">
        <v>6</v>
      </c>
      <c r="D780" s="7" t="s">
        <v>760</v>
      </c>
    </row>
    <row r="781" spans="1:4">
      <c r="A781" s="7" t="s">
        <v>815</v>
      </c>
      <c r="B781" s="7" t="s">
        <v>816</v>
      </c>
      <c r="C781" s="8">
        <v>6</v>
      </c>
      <c r="D781" s="7" t="s">
        <v>760</v>
      </c>
    </row>
    <row r="782" spans="1:4">
      <c r="A782" s="7" t="s">
        <v>1017</v>
      </c>
      <c r="B782" s="7" t="s">
        <v>816</v>
      </c>
      <c r="C782" s="8">
        <v>6</v>
      </c>
      <c r="D782" s="7" t="s">
        <v>760</v>
      </c>
    </row>
    <row r="783" spans="1:4">
      <c r="A783" s="7" t="s">
        <v>1046</v>
      </c>
      <c r="B783" s="7" t="s">
        <v>816</v>
      </c>
      <c r="C783" s="8">
        <v>6</v>
      </c>
      <c r="D783" s="7" t="s">
        <v>760</v>
      </c>
    </row>
    <row r="784" spans="1:4">
      <c r="A784" s="7" t="s">
        <v>1086</v>
      </c>
      <c r="B784" s="7" t="s">
        <v>816</v>
      </c>
      <c r="C784" s="8">
        <v>6</v>
      </c>
      <c r="D784" s="7" t="s">
        <v>760</v>
      </c>
    </row>
    <row r="785" spans="1:4">
      <c r="A785" s="7" t="s">
        <v>773</v>
      </c>
      <c r="B785" s="7" t="s">
        <v>774</v>
      </c>
      <c r="C785" s="8">
        <v>6</v>
      </c>
      <c r="D785" s="7" t="s">
        <v>760</v>
      </c>
    </row>
    <row r="786" spans="1:4">
      <c r="A786" s="7" t="s">
        <v>793</v>
      </c>
      <c r="B786" s="7" t="s">
        <v>774</v>
      </c>
      <c r="C786" s="8">
        <v>6</v>
      </c>
      <c r="D786" s="7" t="s">
        <v>760</v>
      </c>
    </row>
    <row r="787" spans="1:4">
      <c r="A787" s="7" t="s">
        <v>801</v>
      </c>
      <c r="B787" s="7" t="s">
        <v>774</v>
      </c>
      <c r="C787" s="8">
        <v>6</v>
      </c>
      <c r="D787" s="7" t="s">
        <v>760</v>
      </c>
    </row>
    <row r="788" spans="1:4">
      <c r="A788" s="7" t="s">
        <v>809</v>
      </c>
      <c r="B788" s="7" t="s">
        <v>774</v>
      </c>
      <c r="C788" s="8">
        <v>6</v>
      </c>
      <c r="D788" s="7" t="s">
        <v>760</v>
      </c>
    </row>
    <row r="789" spans="1:4">
      <c r="A789" s="7" t="s">
        <v>820</v>
      </c>
      <c r="B789" s="7" t="s">
        <v>774</v>
      </c>
      <c r="C789" s="8">
        <v>6</v>
      </c>
      <c r="D789" s="7" t="s">
        <v>760</v>
      </c>
    </row>
    <row r="790" spans="1:4">
      <c r="A790" s="7" t="s">
        <v>831</v>
      </c>
      <c r="B790" s="7" t="s">
        <v>774</v>
      </c>
      <c r="C790" s="8">
        <v>6</v>
      </c>
      <c r="D790" s="7" t="s">
        <v>760</v>
      </c>
    </row>
    <row r="791" spans="1:4">
      <c r="A791" s="7" t="s">
        <v>854</v>
      </c>
      <c r="B791" s="7" t="s">
        <v>774</v>
      </c>
      <c r="C791" s="8">
        <v>6</v>
      </c>
      <c r="D791" s="7" t="s">
        <v>760</v>
      </c>
    </row>
    <row r="792" spans="1:4">
      <c r="A792" s="7" t="s">
        <v>889</v>
      </c>
      <c r="B792" s="7" t="s">
        <v>774</v>
      </c>
      <c r="C792" s="8">
        <v>6</v>
      </c>
      <c r="D792" s="7" t="s">
        <v>760</v>
      </c>
    </row>
    <row r="793" spans="1:4">
      <c r="A793" s="7" t="s">
        <v>891</v>
      </c>
      <c r="B793" s="7" t="s">
        <v>774</v>
      </c>
      <c r="C793" s="8">
        <v>6</v>
      </c>
      <c r="D793" s="7" t="s">
        <v>760</v>
      </c>
    </row>
    <row r="794" spans="1:4">
      <c r="A794" s="7" t="s">
        <v>896</v>
      </c>
      <c r="B794" s="7" t="s">
        <v>774</v>
      </c>
      <c r="C794" s="8">
        <v>6</v>
      </c>
      <c r="D794" s="7" t="s">
        <v>760</v>
      </c>
    </row>
    <row r="795" spans="1:4">
      <c r="A795" s="7" t="s">
        <v>933</v>
      </c>
      <c r="B795" s="7" t="s">
        <v>774</v>
      </c>
      <c r="C795" s="8">
        <v>6</v>
      </c>
      <c r="D795" s="7" t="s">
        <v>760</v>
      </c>
    </row>
    <row r="796" spans="1:4">
      <c r="A796" s="7" t="s">
        <v>955</v>
      </c>
      <c r="B796" s="7" t="s">
        <v>774</v>
      </c>
      <c r="C796" s="8">
        <v>6</v>
      </c>
      <c r="D796" s="7" t="s">
        <v>760</v>
      </c>
    </row>
    <row r="797" spans="1:4">
      <c r="A797" s="7" t="s">
        <v>998</v>
      </c>
      <c r="B797" s="7" t="s">
        <v>774</v>
      </c>
      <c r="C797" s="8">
        <v>6</v>
      </c>
      <c r="D797" s="7" t="s">
        <v>760</v>
      </c>
    </row>
    <row r="798" spans="1:4">
      <c r="A798" s="7" t="s">
        <v>1030</v>
      </c>
      <c r="B798" s="7" t="s">
        <v>774</v>
      </c>
      <c r="C798" s="8">
        <v>6</v>
      </c>
      <c r="D798" s="7" t="s">
        <v>760</v>
      </c>
    </row>
    <row r="799" spans="1:4">
      <c r="A799" s="7" t="s">
        <v>1052</v>
      </c>
      <c r="B799" s="7" t="s">
        <v>774</v>
      </c>
      <c r="C799" s="8">
        <v>6</v>
      </c>
      <c r="D799" s="7" t="s">
        <v>760</v>
      </c>
    </row>
    <row r="800" spans="1:4">
      <c r="A800" s="7" t="s">
        <v>1056</v>
      </c>
      <c r="B800" s="7" t="s">
        <v>774</v>
      </c>
      <c r="C800" s="8">
        <v>6</v>
      </c>
      <c r="D800" s="7" t="s">
        <v>760</v>
      </c>
    </row>
    <row r="801" spans="1:4">
      <c r="A801" s="7" t="s">
        <v>1058</v>
      </c>
      <c r="B801" s="7" t="s">
        <v>774</v>
      </c>
      <c r="C801" s="8">
        <v>6</v>
      </c>
      <c r="D801" s="7" t="s">
        <v>760</v>
      </c>
    </row>
    <row r="802" spans="1:4">
      <c r="A802" s="7" t="s">
        <v>1072</v>
      </c>
      <c r="B802" s="7" t="s">
        <v>774</v>
      </c>
      <c r="C802" s="8">
        <v>6</v>
      </c>
      <c r="D802" s="7" t="s">
        <v>760</v>
      </c>
    </row>
    <row r="803" spans="1:4">
      <c r="A803" s="7" t="s">
        <v>1095</v>
      </c>
      <c r="B803" s="7" t="s">
        <v>774</v>
      </c>
      <c r="C803" s="8">
        <v>6</v>
      </c>
      <c r="D803" s="7" t="s">
        <v>760</v>
      </c>
    </row>
    <row r="804" spans="1:4">
      <c r="A804" s="7" t="s">
        <v>1125</v>
      </c>
      <c r="B804" s="7" t="s">
        <v>774</v>
      </c>
      <c r="C804" s="8">
        <v>6</v>
      </c>
      <c r="D804" s="7" t="s">
        <v>760</v>
      </c>
    </row>
    <row r="805" spans="1:4">
      <c r="A805" s="7" t="s">
        <v>1146</v>
      </c>
      <c r="B805" s="7" t="s">
        <v>774</v>
      </c>
      <c r="C805" s="8">
        <v>6</v>
      </c>
      <c r="D805" s="7" t="s">
        <v>760</v>
      </c>
    </row>
    <row r="806" spans="1:4">
      <c r="A806" s="7" t="s">
        <v>1156</v>
      </c>
      <c r="B806" s="7" t="s">
        <v>774</v>
      </c>
      <c r="C806" s="8">
        <v>6</v>
      </c>
      <c r="D806" s="7" t="s">
        <v>760</v>
      </c>
    </row>
    <row r="807" spans="1:4">
      <c r="A807" s="7" t="s">
        <v>1007</v>
      </c>
      <c r="B807" s="7" t="s">
        <v>1008</v>
      </c>
      <c r="C807" s="8">
        <v>6</v>
      </c>
      <c r="D807" s="7" t="s">
        <v>760</v>
      </c>
    </row>
    <row r="808" spans="1:4">
      <c r="A808" s="7" t="s">
        <v>1140</v>
      </c>
      <c r="B808" s="7" t="s">
        <v>1008</v>
      </c>
      <c r="C808" s="8">
        <v>6</v>
      </c>
      <c r="D808" s="7" t="s">
        <v>760</v>
      </c>
    </row>
    <row r="809" spans="1:4">
      <c r="A809" s="7" t="s">
        <v>881</v>
      </c>
      <c r="B809" s="7" t="s">
        <v>882</v>
      </c>
      <c r="C809" s="8">
        <v>6</v>
      </c>
      <c r="D809" s="7" t="s">
        <v>760</v>
      </c>
    </row>
    <row r="810" spans="1:4">
      <c r="A810" s="7" t="s">
        <v>1083</v>
      </c>
      <c r="B810" s="7" t="s">
        <v>882</v>
      </c>
      <c r="C810" s="8">
        <v>6</v>
      </c>
      <c r="D810" s="7" t="s">
        <v>760</v>
      </c>
    </row>
    <row r="811" spans="1:4">
      <c r="A811" s="7" t="s">
        <v>769</v>
      </c>
      <c r="B811" s="7" t="s">
        <v>770</v>
      </c>
      <c r="C811" s="8">
        <v>6</v>
      </c>
      <c r="D811" s="7" t="s">
        <v>760</v>
      </c>
    </row>
    <row r="812" spans="1:4">
      <c r="A812" s="7" t="s">
        <v>789</v>
      </c>
      <c r="B812" s="7" t="s">
        <v>770</v>
      </c>
      <c r="C812" s="8">
        <v>6</v>
      </c>
      <c r="D812" s="7" t="s">
        <v>760</v>
      </c>
    </row>
    <row r="813" spans="1:4">
      <c r="A813" s="7" t="s">
        <v>810</v>
      </c>
      <c r="B813" s="7" t="s">
        <v>770</v>
      </c>
      <c r="C813" s="8">
        <v>6</v>
      </c>
      <c r="D813" s="7" t="s">
        <v>760</v>
      </c>
    </row>
    <row r="814" spans="1:4">
      <c r="A814" s="7" t="s">
        <v>1142</v>
      </c>
      <c r="B814" s="7" t="s">
        <v>770</v>
      </c>
      <c r="C814" s="8">
        <v>6</v>
      </c>
      <c r="D814" s="7" t="s">
        <v>760</v>
      </c>
    </row>
    <row r="815" spans="1:4">
      <c r="A815" s="7" t="s">
        <v>771</v>
      </c>
      <c r="B815" s="7" t="s">
        <v>772</v>
      </c>
      <c r="C815" s="8">
        <v>5</v>
      </c>
      <c r="D815" s="7" t="s">
        <v>760</v>
      </c>
    </row>
    <row r="816" spans="1:4">
      <c r="A816" s="7" t="s">
        <v>821</v>
      </c>
      <c r="B816" s="7" t="s">
        <v>772</v>
      </c>
      <c r="C816" s="8">
        <v>5</v>
      </c>
      <c r="D816" s="7" t="s">
        <v>760</v>
      </c>
    </row>
    <row r="817" spans="1:4">
      <c r="A817" s="7" t="s">
        <v>827</v>
      </c>
      <c r="B817" s="7" t="s">
        <v>772</v>
      </c>
      <c r="C817" s="8">
        <v>5</v>
      </c>
      <c r="D817" s="7" t="s">
        <v>760</v>
      </c>
    </row>
    <row r="818" spans="1:4">
      <c r="A818" s="7" t="s">
        <v>870</v>
      </c>
      <c r="B818" s="7" t="s">
        <v>772</v>
      </c>
      <c r="C818" s="8">
        <v>5</v>
      </c>
      <c r="D818" s="7" t="s">
        <v>760</v>
      </c>
    </row>
    <row r="819" spans="1:4">
      <c r="A819" s="7" t="s">
        <v>912</v>
      </c>
      <c r="B819" s="7" t="s">
        <v>772</v>
      </c>
      <c r="C819" s="8">
        <v>5</v>
      </c>
      <c r="D819" s="7" t="s">
        <v>760</v>
      </c>
    </row>
    <row r="820" spans="1:4">
      <c r="A820" s="7" t="s">
        <v>980</v>
      </c>
      <c r="B820" s="7" t="s">
        <v>772</v>
      </c>
      <c r="C820" s="8">
        <v>5</v>
      </c>
      <c r="D820" s="7" t="s">
        <v>760</v>
      </c>
    </row>
    <row r="821" spans="1:4">
      <c r="A821" s="7" t="s">
        <v>1001</v>
      </c>
      <c r="B821" s="7" t="s">
        <v>772</v>
      </c>
      <c r="C821" s="8">
        <v>5</v>
      </c>
      <c r="D821" s="7" t="s">
        <v>760</v>
      </c>
    </row>
    <row r="822" spans="1:4">
      <c r="A822" s="7" t="s">
        <v>1004</v>
      </c>
      <c r="B822" s="7" t="s">
        <v>772</v>
      </c>
      <c r="C822" s="8">
        <v>5</v>
      </c>
      <c r="D822" s="7" t="s">
        <v>760</v>
      </c>
    </row>
    <row r="823" spans="1:4">
      <c r="A823" s="7" t="s">
        <v>1038</v>
      </c>
      <c r="B823" s="7" t="s">
        <v>772</v>
      </c>
      <c r="C823" s="8">
        <v>5</v>
      </c>
      <c r="D823" s="7" t="s">
        <v>760</v>
      </c>
    </row>
    <row r="824" spans="1:4">
      <c r="A824" s="7" t="s">
        <v>1070</v>
      </c>
      <c r="B824" s="7" t="s">
        <v>772</v>
      </c>
      <c r="C824" s="8">
        <v>5</v>
      </c>
      <c r="D824" s="7" t="s">
        <v>760</v>
      </c>
    </row>
    <row r="825" spans="1:4">
      <c r="A825" s="7" t="s">
        <v>910</v>
      </c>
      <c r="B825" s="7" t="s">
        <v>911</v>
      </c>
      <c r="C825" s="8">
        <v>6</v>
      </c>
      <c r="D825" s="7" t="s">
        <v>760</v>
      </c>
    </row>
    <row r="826" spans="1:4">
      <c r="A826" s="7" t="s">
        <v>1002</v>
      </c>
      <c r="B826" s="7" t="s">
        <v>911</v>
      </c>
      <c r="C826" s="8">
        <v>6</v>
      </c>
      <c r="D826" s="7" t="s">
        <v>760</v>
      </c>
    </row>
    <row r="827" spans="1:4">
      <c r="A827" s="7" t="s">
        <v>1003</v>
      </c>
      <c r="B827" s="7" t="s">
        <v>911</v>
      </c>
      <c r="C827" s="8">
        <v>6</v>
      </c>
      <c r="D827" s="7" t="s">
        <v>760</v>
      </c>
    </row>
    <row r="828" spans="1:4">
      <c r="A828" s="7" t="s">
        <v>1049</v>
      </c>
      <c r="B828" s="7" t="s">
        <v>911</v>
      </c>
      <c r="C828" s="8">
        <v>6</v>
      </c>
      <c r="D828" s="7" t="s">
        <v>760</v>
      </c>
    </row>
    <row r="829" spans="1:4">
      <c r="A829" s="7" t="s">
        <v>1093</v>
      </c>
      <c r="B829" s="7" t="s">
        <v>911</v>
      </c>
      <c r="C829" s="8">
        <v>6</v>
      </c>
      <c r="D829" s="7" t="s">
        <v>760</v>
      </c>
    </row>
    <row r="830" spans="1:4">
      <c r="A830" s="7" t="s">
        <v>1094</v>
      </c>
      <c r="B830" s="7" t="s">
        <v>911</v>
      </c>
      <c r="C830" s="8">
        <v>6</v>
      </c>
      <c r="D830" s="7" t="s">
        <v>760</v>
      </c>
    </row>
    <row r="831" spans="1:4">
      <c r="A831" s="7" t="s">
        <v>1098</v>
      </c>
      <c r="B831" s="7" t="s">
        <v>911</v>
      </c>
      <c r="C831" s="8">
        <v>6</v>
      </c>
      <c r="D831" s="7" t="s">
        <v>760</v>
      </c>
    </row>
    <row r="832" spans="1:4">
      <c r="A832" s="7" t="s">
        <v>1099</v>
      </c>
      <c r="B832" s="7" t="s">
        <v>911</v>
      </c>
      <c r="C832" s="8">
        <v>6</v>
      </c>
      <c r="D832" s="7" t="s">
        <v>760</v>
      </c>
    </row>
    <row r="833" spans="1:4">
      <c r="A833" s="7" t="s">
        <v>1100</v>
      </c>
      <c r="B833" s="7" t="s">
        <v>911</v>
      </c>
      <c r="C833" s="8">
        <v>6</v>
      </c>
      <c r="D833" s="7" t="s">
        <v>760</v>
      </c>
    </row>
    <row r="834" spans="1:4">
      <c r="A834" s="7" t="s">
        <v>1161</v>
      </c>
      <c r="B834" s="7" t="s">
        <v>911</v>
      </c>
      <c r="C834" s="8">
        <v>6</v>
      </c>
      <c r="D834" s="7" t="s">
        <v>760</v>
      </c>
    </row>
    <row r="835" spans="1:4">
      <c r="A835" s="7" t="s">
        <v>794</v>
      </c>
      <c r="B835" s="7" t="s">
        <v>795</v>
      </c>
      <c r="C835" s="8">
        <v>6</v>
      </c>
      <c r="D835" s="7" t="s">
        <v>760</v>
      </c>
    </row>
    <row r="836" spans="1:4">
      <c r="A836" s="7" t="s">
        <v>802</v>
      </c>
      <c r="B836" s="7" t="s">
        <v>795</v>
      </c>
      <c r="C836" s="8">
        <v>6</v>
      </c>
      <c r="D836" s="7" t="s">
        <v>760</v>
      </c>
    </row>
    <row r="837" spans="1:4">
      <c r="A837" s="7" t="s">
        <v>1123</v>
      </c>
      <c r="B837" s="7" t="s">
        <v>795</v>
      </c>
      <c r="C837" s="8">
        <v>6</v>
      </c>
      <c r="D837" s="7" t="s">
        <v>760</v>
      </c>
    </row>
    <row r="838" spans="1:4">
      <c r="A838" s="7" t="s">
        <v>1158</v>
      </c>
      <c r="B838" s="7" t="s">
        <v>795</v>
      </c>
      <c r="C838" s="8">
        <v>6</v>
      </c>
      <c r="D838" s="7" t="s">
        <v>760</v>
      </c>
    </row>
    <row r="839" spans="1:4">
      <c r="A839" s="7" t="s">
        <v>951</v>
      </c>
      <c r="B839" s="7" t="s">
        <v>952</v>
      </c>
      <c r="C839" s="8">
        <v>8</v>
      </c>
      <c r="D839" s="7" t="s">
        <v>760</v>
      </c>
    </row>
    <row r="840" spans="1:4">
      <c r="A840" s="7" t="s">
        <v>963</v>
      </c>
      <c r="B840" s="7" t="s">
        <v>952</v>
      </c>
      <c r="C840" s="8">
        <v>8</v>
      </c>
      <c r="D840" s="7" t="s">
        <v>760</v>
      </c>
    </row>
    <row r="841" spans="1:4">
      <c r="A841" s="7" t="s">
        <v>965</v>
      </c>
      <c r="B841" s="7" t="s">
        <v>952</v>
      </c>
      <c r="C841" s="8">
        <v>8</v>
      </c>
      <c r="D841" s="7" t="s">
        <v>760</v>
      </c>
    </row>
    <row r="842" spans="1:4">
      <c r="A842" s="7" t="s">
        <v>1023</v>
      </c>
      <c r="B842" s="7" t="s">
        <v>952</v>
      </c>
      <c r="C842" s="8">
        <v>8</v>
      </c>
      <c r="D842" s="7" t="s">
        <v>760</v>
      </c>
    </row>
    <row r="843" spans="1:4">
      <c r="A843" s="7" t="s">
        <v>1050</v>
      </c>
      <c r="B843" s="7" t="s">
        <v>952</v>
      </c>
      <c r="C843" s="8">
        <v>8</v>
      </c>
      <c r="D843" s="7" t="s">
        <v>760</v>
      </c>
    </row>
    <row r="844" spans="1:4">
      <c r="A844" s="7" t="s">
        <v>805</v>
      </c>
      <c r="B844" s="7" t="s">
        <v>806</v>
      </c>
      <c r="C844" s="8">
        <v>8</v>
      </c>
      <c r="D844" s="7" t="s">
        <v>760</v>
      </c>
    </row>
    <row r="845" spans="1:4">
      <c r="A845" s="7" t="s">
        <v>1064</v>
      </c>
      <c r="B845" s="7" t="s">
        <v>806</v>
      </c>
      <c r="C845" s="8">
        <v>8</v>
      </c>
      <c r="D845" s="7" t="s">
        <v>760</v>
      </c>
    </row>
    <row r="846" spans="1:4">
      <c r="A846" s="7" t="s">
        <v>1118</v>
      </c>
      <c r="B846" s="7" t="s">
        <v>806</v>
      </c>
      <c r="C846" s="8">
        <v>8</v>
      </c>
      <c r="D846" s="7" t="s">
        <v>760</v>
      </c>
    </row>
    <row r="847" spans="1:4">
      <c r="A847" s="7" t="s">
        <v>781</v>
      </c>
      <c r="B847" s="7" t="s">
        <v>782</v>
      </c>
      <c r="C847" s="8">
        <v>5</v>
      </c>
      <c r="D847" s="7" t="s">
        <v>760</v>
      </c>
    </row>
    <row r="848" spans="1:4">
      <c r="A848" s="7" t="s">
        <v>803</v>
      </c>
      <c r="B848" s="7" t="s">
        <v>782</v>
      </c>
      <c r="C848" s="8">
        <v>5</v>
      </c>
      <c r="D848" s="7" t="s">
        <v>760</v>
      </c>
    </row>
    <row r="849" spans="1:4">
      <c r="A849" s="7" t="s">
        <v>956</v>
      </c>
      <c r="B849" s="7" t="s">
        <v>782</v>
      </c>
      <c r="C849" s="8">
        <v>5</v>
      </c>
      <c r="D849" s="7" t="s">
        <v>760</v>
      </c>
    </row>
    <row r="850" spans="1:4">
      <c r="A850" s="7" t="s">
        <v>996</v>
      </c>
      <c r="B850" s="7" t="s">
        <v>782</v>
      </c>
      <c r="C850" s="8">
        <v>5</v>
      </c>
      <c r="D850" s="7" t="s">
        <v>760</v>
      </c>
    </row>
    <row r="851" spans="1:4">
      <c r="A851" s="7" t="s">
        <v>1159</v>
      </c>
      <c r="B851" s="7" t="s">
        <v>782</v>
      </c>
      <c r="C851" s="8">
        <v>5</v>
      </c>
      <c r="D851" s="7" t="s">
        <v>760</v>
      </c>
    </row>
    <row r="852" spans="1:4">
      <c r="A852" s="7" t="s">
        <v>833</v>
      </c>
      <c r="B852" s="7" t="s">
        <v>834</v>
      </c>
      <c r="C852" s="8">
        <v>5</v>
      </c>
      <c r="D852" s="7" t="s">
        <v>760</v>
      </c>
    </row>
    <row r="853" spans="1:4">
      <c r="A853" s="7" t="s">
        <v>862</v>
      </c>
      <c r="B853" s="7" t="s">
        <v>834</v>
      </c>
      <c r="C853" s="8">
        <v>5</v>
      </c>
      <c r="D853" s="7" t="s">
        <v>760</v>
      </c>
    </row>
    <row r="854" spans="1:4">
      <c r="A854" s="7" t="s">
        <v>864</v>
      </c>
      <c r="B854" s="7" t="s">
        <v>834</v>
      </c>
      <c r="C854" s="8">
        <v>5</v>
      </c>
      <c r="D854" s="7" t="s">
        <v>760</v>
      </c>
    </row>
    <row r="855" spans="1:4">
      <c r="A855" s="7" t="s">
        <v>915</v>
      </c>
      <c r="B855" s="7" t="s">
        <v>834</v>
      </c>
      <c r="C855" s="8">
        <v>5</v>
      </c>
      <c r="D855" s="7" t="s">
        <v>760</v>
      </c>
    </row>
    <row r="856" spans="1:4">
      <c r="A856" s="7" t="s">
        <v>917</v>
      </c>
      <c r="B856" s="7" t="s">
        <v>834</v>
      </c>
      <c r="C856" s="8">
        <v>5</v>
      </c>
      <c r="D856" s="7" t="s">
        <v>760</v>
      </c>
    </row>
    <row r="857" spans="1:4">
      <c r="A857" s="7" t="s">
        <v>927</v>
      </c>
      <c r="B857" s="7" t="s">
        <v>834</v>
      </c>
      <c r="C857" s="8">
        <v>5</v>
      </c>
      <c r="D857" s="7" t="s">
        <v>760</v>
      </c>
    </row>
    <row r="858" spans="1:4">
      <c r="A858" s="7" t="s">
        <v>957</v>
      </c>
      <c r="B858" s="7" t="s">
        <v>834</v>
      </c>
      <c r="C858" s="8">
        <v>5</v>
      </c>
      <c r="D858" s="7" t="s">
        <v>760</v>
      </c>
    </row>
    <row r="859" spans="1:4">
      <c r="A859" s="7" t="s">
        <v>849</v>
      </c>
      <c r="B859" s="7" t="s">
        <v>850</v>
      </c>
      <c r="C859" s="8">
        <v>5</v>
      </c>
      <c r="D859" s="7" t="s">
        <v>760</v>
      </c>
    </row>
    <row r="860" spans="1:4">
      <c r="A860" s="7" t="s">
        <v>940</v>
      </c>
      <c r="B860" s="7" t="s">
        <v>850</v>
      </c>
      <c r="C860" s="8">
        <v>5</v>
      </c>
      <c r="D860" s="7" t="s">
        <v>760</v>
      </c>
    </row>
    <row r="861" spans="1:4">
      <c r="A861" s="7" t="s">
        <v>941</v>
      </c>
      <c r="B861" s="7" t="s">
        <v>850</v>
      </c>
      <c r="C861" s="8">
        <v>5</v>
      </c>
      <c r="D861" s="7" t="s">
        <v>760</v>
      </c>
    </row>
    <row r="862" spans="1:4">
      <c r="A862" s="7" t="s">
        <v>969</v>
      </c>
      <c r="B862" s="7" t="s">
        <v>850</v>
      </c>
      <c r="C862" s="8">
        <v>5</v>
      </c>
      <c r="D862" s="7" t="s">
        <v>760</v>
      </c>
    </row>
    <row r="863" spans="1:4">
      <c r="A863" s="7" t="s">
        <v>1026</v>
      </c>
      <c r="B863" s="7" t="s">
        <v>850</v>
      </c>
      <c r="C863" s="8">
        <v>5</v>
      </c>
      <c r="D863" s="7" t="s">
        <v>760</v>
      </c>
    </row>
    <row r="864" spans="1:4">
      <c r="A864" s="7" t="s">
        <v>1087</v>
      </c>
      <c r="B864" s="7" t="s">
        <v>850</v>
      </c>
      <c r="C864" s="8">
        <v>5</v>
      </c>
      <c r="D864" s="7" t="s">
        <v>760</v>
      </c>
    </row>
    <row r="865" spans="1:4">
      <c r="A865" s="7" t="s">
        <v>1151</v>
      </c>
      <c r="B865" s="7" t="s">
        <v>850</v>
      </c>
      <c r="C865" s="8">
        <v>5</v>
      </c>
      <c r="D865" s="7" t="s">
        <v>760</v>
      </c>
    </row>
    <row r="866" spans="1:4">
      <c r="A866" s="7" t="s">
        <v>1164</v>
      </c>
      <c r="B866" s="7" t="s">
        <v>850</v>
      </c>
      <c r="C866" s="8">
        <v>5</v>
      </c>
      <c r="D866" s="7" t="s">
        <v>760</v>
      </c>
    </row>
    <row r="867" spans="1:4">
      <c r="A867" s="7" t="s">
        <v>900</v>
      </c>
      <c r="B867" s="7" t="s">
        <v>901</v>
      </c>
      <c r="C867" s="8">
        <v>6</v>
      </c>
      <c r="D867" s="7" t="s">
        <v>760</v>
      </c>
    </row>
    <row r="868" spans="1:4">
      <c r="A868" s="7" t="s">
        <v>950</v>
      </c>
      <c r="B868" s="7" t="s">
        <v>901</v>
      </c>
      <c r="C868" s="8">
        <v>6</v>
      </c>
      <c r="D868" s="7" t="s">
        <v>760</v>
      </c>
    </row>
    <row r="869" spans="1:4">
      <c r="A869" s="7" t="s">
        <v>1063</v>
      </c>
      <c r="B869" s="7" t="s">
        <v>901</v>
      </c>
      <c r="C869" s="8">
        <v>6</v>
      </c>
      <c r="D869" s="7" t="s">
        <v>760</v>
      </c>
    </row>
    <row r="870" spans="1:4">
      <c r="A870" s="7" t="s">
        <v>1092</v>
      </c>
      <c r="B870" s="7" t="s">
        <v>901</v>
      </c>
      <c r="C870" s="8">
        <v>6</v>
      </c>
      <c r="D870" s="7" t="s">
        <v>760</v>
      </c>
    </row>
    <row r="871" spans="1:4">
      <c r="A871" s="7" t="s">
        <v>1096</v>
      </c>
      <c r="B871" s="7" t="s">
        <v>901</v>
      </c>
      <c r="C871" s="8">
        <v>6</v>
      </c>
      <c r="D871" s="7" t="s">
        <v>760</v>
      </c>
    </row>
    <row r="872" spans="1:4">
      <c r="A872" s="7" t="s">
        <v>775</v>
      </c>
      <c r="B872" s="7" t="s">
        <v>776</v>
      </c>
      <c r="C872" s="8">
        <v>6</v>
      </c>
      <c r="D872" s="7" t="s">
        <v>760</v>
      </c>
    </row>
    <row r="873" spans="1:4">
      <c r="A873" s="7" t="s">
        <v>798</v>
      </c>
      <c r="B873" s="7" t="s">
        <v>776</v>
      </c>
      <c r="C873" s="8">
        <v>6</v>
      </c>
      <c r="D873" s="7" t="s">
        <v>760</v>
      </c>
    </row>
    <row r="874" spans="1:4">
      <c r="A874" s="7" t="s">
        <v>826</v>
      </c>
      <c r="B874" s="7" t="s">
        <v>776</v>
      </c>
      <c r="C874" s="8">
        <v>6</v>
      </c>
      <c r="D874" s="7" t="s">
        <v>760</v>
      </c>
    </row>
    <row r="875" spans="1:4">
      <c r="A875" s="7" t="s">
        <v>847</v>
      </c>
      <c r="B875" s="7" t="s">
        <v>776</v>
      </c>
      <c r="C875" s="8">
        <v>6</v>
      </c>
      <c r="D875" s="7" t="s">
        <v>760</v>
      </c>
    </row>
    <row r="876" spans="1:4">
      <c r="A876" s="7" t="s">
        <v>865</v>
      </c>
      <c r="B876" s="7" t="s">
        <v>776</v>
      </c>
      <c r="C876" s="8">
        <v>6</v>
      </c>
      <c r="D876" s="7" t="s">
        <v>760</v>
      </c>
    </row>
    <row r="877" spans="1:4">
      <c r="A877" s="7" t="s">
        <v>873</v>
      </c>
      <c r="B877" s="7" t="s">
        <v>776</v>
      </c>
      <c r="C877" s="8">
        <v>6</v>
      </c>
      <c r="D877" s="7" t="s">
        <v>760</v>
      </c>
    </row>
    <row r="878" spans="1:4">
      <c r="A878" s="7" t="s">
        <v>883</v>
      </c>
      <c r="B878" s="7" t="s">
        <v>776</v>
      </c>
      <c r="C878" s="8">
        <v>6</v>
      </c>
      <c r="D878" s="7" t="s">
        <v>760</v>
      </c>
    </row>
    <row r="879" spans="1:4">
      <c r="A879" s="7" t="s">
        <v>898</v>
      </c>
      <c r="B879" s="7" t="s">
        <v>776</v>
      </c>
      <c r="C879" s="8">
        <v>6</v>
      </c>
      <c r="D879" s="7" t="s">
        <v>760</v>
      </c>
    </row>
    <row r="880" spans="1:4">
      <c r="A880" s="7" t="s">
        <v>909</v>
      </c>
      <c r="B880" s="7" t="s">
        <v>776</v>
      </c>
      <c r="C880" s="8">
        <v>6</v>
      </c>
      <c r="D880" s="7" t="s">
        <v>760</v>
      </c>
    </row>
    <row r="881" spans="1:4">
      <c r="A881" s="7" t="s">
        <v>943</v>
      </c>
      <c r="B881" s="7" t="s">
        <v>776</v>
      </c>
      <c r="C881" s="8">
        <v>6</v>
      </c>
      <c r="D881" s="7" t="s">
        <v>760</v>
      </c>
    </row>
    <row r="882" spans="1:4">
      <c r="A882" s="7" t="s">
        <v>949</v>
      </c>
      <c r="B882" s="7" t="s">
        <v>776</v>
      </c>
      <c r="C882" s="8">
        <v>6</v>
      </c>
      <c r="D882" s="7" t="s">
        <v>760</v>
      </c>
    </row>
    <row r="883" spans="1:4">
      <c r="A883" s="7" t="s">
        <v>1009</v>
      </c>
      <c r="B883" s="7" t="s">
        <v>776</v>
      </c>
      <c r="C883" s="8">
        <v>6</v>
      </c>
      <c r="D883" s="7" t="s">
        <v>760</v>
      </c>
    </row>
    <row r="884" spans="1:4">
      <c r="A884" s="7" t="s">
        <v>1036</v>
      </c>
      <c r="B884" s="7" t="s">
        <v>776</v>
      </c>
      <c r="C884" s="8">
        <v>6</v>
      </c>
      <c r="D884" s="7" t="s">
        <v>760</v>
      </c>
    </row>
    <row r="885" spans="1:4">
      <c r="A885" s="7" t="s">
        <v>1074</v>
      </c>
      <c r="B885" s="7" t="s">
        <v>776</v>
      </c>
      <c r="C885" s="8">
        <v>6</v>
      </c>
      <c r="D885" s="7" t="s">
        <v>760</v>
      </c>
    </row>
    <row r="886" spans="1:4">
      <c r="A886" s="7" t="s">
        <v>1088</v>
      </c>
      <c r="B886" s="7" t="s">
        <v>776</v>
      </c>
      <c r="C886" s="8">
        <v>6</v>
      </c>
      <c r="D886" s="7" t="s">
        <v>760</v>
      </c>
    </row>
    <row r="887" spans="1:4">
      <c r="A887" s="7" t="s">
        <v>894</v>
      </c>
      <c r="B887" s="7" t="s">
        <v>895</v>
      </c>
      <c r="C887" s="8">
        <v>6</v>
      </c>
      <c r="D887" s="7" t="s">
        <v>760</v>
      </c>
    </row>
    <row r="888" spans="1:4">
      <c r="A888" s="7" t="s">
        <v>1160</v>
      </c>
      <c r="B888" s="7" t="s">
        <v>895</v>
      </c>
      <c r="C888" s="8">
        <v>6</v>
      </c>
      <c r="D888" s="7" t="s">
        <v>760</v>
      </c>
    </row>
    <row r="889" spans="1:4">
      <c r="A889" s="7" t="s">
        <v>763</v>
      </c>
      <c r="B889" s="7" t="s">
        <v>764</v>
      </c>
      <c r="C889" s="8">
        <v>6</v>
      </c>
      <c r="D889" s="7" t="s">
        <v>760</v>
      </c>
    </row>
    <row r="890" spans="1:4">
      <c r="A890" s="7" t="s">
        <v>832</v>
      </c>
      <c r="B890" s="7" t="s">
        <v>764</v>
      </c>
      <c r="C890" s="8">
        <v>6</v>
      </c>
      <c r="D890" s="7" t="s">
        <v>760</v>
      </c>
    </row>
    <row r="891" spans="1:4">
      <c r="A891" s="7" t="s">
        <v>874</v>
      </c>
      <c r="B891" s="7" t="s">
        <v>764</v>
      </c>
      <c r="C891" s="8">
        <v>6</v>
      </c>
      <c r="D891" s="7" t="s">
        <v>760</v>
      </c>
    </row>
    <row r="892" spans="1:4">
      <c r="A892" s="7" t="s">
        <v>914</v>
      </c>
      <c r="B892" s="7" t="s">
        <v>764</v>
      </c>
      <c r="C892" s="8">
        <v>6</v>
      </c>
      <c r="D892" s="7" t="s">
        <v>760</v>
      </c>
    </row>
    <row r="893" spans="1:4">
      <c r="A893" s="7" t="s">
        <v>938</v>
      </c>
      <c r="B893" s="7" t="s">
        <v>764</v>
      </c>
      <c r="C893" s="8">
        <v>6</v>
      </c>
      <c r="D893" s="7" t="s">
        <v>760</v>
      </c>
    </row>
    <row r="894" spans="1:4">
      <c r="A894" s="7" t="s">
        <v>993</v>
      </c>
      <c r="B894" s="7" t="s">
        <v>764</v>
      </c>
      <c r="C894" s="8">
        <v>6</v>
      </c>
      <c r="D894" s="7" t="s">
        <v>760</v>
      </c>
    </row>
    <row r="895" spans="1:4">
      <c r="A895" s="7" t="s">
        <v>1012</v>
      </c>
      <c r="B895" s="7" t="s">
        <v>764</v>
      </c>
      <c r="C895" s="8">
        <v>6</v>
      </c>
      <c r="D895" s="7" t="s">
        <v>760</v>
      </c>
    </row>
    <row r="896" spans="1:4">
      <c r="A896" s="7" t="s">
        <v>1066</v>
      </c>
      <c r="B896" s="7" t="s">
        <v>764</v>
      </c>
      <c r="C896" s="8">
        <v>6</v>
      </c>
      <c r="D896" s="7" t="s">
        <v>760</v>
      </c>
    </row>
    <row r="897" spans="1:4">
      <c r="A897" s="7" t="s">
        <v>761</v>
      </c>
      <c r="B897" s="7" t="s">
        <v>762</v>
      </c>
      <c r="C897" s="8">
        <v>6</v>
      </c>
      <c r="D897" s="7" t="s">
        <v>760</v>
      </c>
    </row>
    <row r="898" spans="1:4">
      <c r="A898" s="7" t="s">
        <v>876</v>
      </c>
      <c r="B898" s="7" t="s">
        <v>762</v>
      </c>
      <c r="C898" s="8">
        <v>6</v>
      </c>
      <c r="D898" s="7" t="s">
        <v>760</v>
      </c>
    </row>
    <row r="899" spans="1:4">
      <c r="A899" s="7" t="s">
        <v>884</v>
      </c>
      <c r="B899" s="7" t="s">
        <v>762</v>
      </c>
      <c r="C899" s="8">
        <v>6</v>
      </c>
      <c r="D899" s="7" t="s">
        <v>760</v>
      </c>
    </row>
    <row r="900" spans="1:4">
      <c r="A900" s="7" t="s">
        <v>916</v>
      </c>
      <c r="B900" s="7" t="s">
        <v>762</v>
      </c>
      <c r="C900" s="8">
        <v>6</v>
      </c>
      <c r="D900" s="7" t="s">
        <v>760</v>
      </c>
    </row>
    <row r="901" spans="1:4">
      <c r="A901" s="7" t="s">
        <v>926</v>
      </c>
      <c r="B901" s="7" t="s">
        <v>762</v>
      </c>
      <c r="C901" s="8">
        <v>6</v>
      </c>
      <c r="D901" s="7" t="s">
        <v>760</v>
      </c>
    </row>
    <row r="902" spans="1:4">
      <c r="A902" s="7" t="s">
        <v>1138</v>
      </c>
      <c r="B902" s="7" t="s">
        <v>762</v>
      </c>
      <c r="C902" s="8">
        <v>6</v>
      </c>
      <c r="D902" s="7" t="s">
        <v>760</v>
      </c>
    </row>
    <row r="903" spans="1:4">
      <c r="A903" s="7" t="s">
        <v>1139</v>
      </c>
      <c r="B903" s="7" t="s">
        <v>762</v>
      </c>
      <c r="C903" s="8">
        <v>6</v>
      </c>
      <c r="D903" s="7" t="s">
        <v>760</v>
      </c>
    </row>
    <row r="904" spans="1:4">
      <c r="A904" s="7" t="s">
        <v>1084</v>
      </c>
      <c r="B904" s="7" t="s">
        <v>1085</v>
      </c>
      <c r="C904" s="8">
        <v>6</v>
      </c>
      <c r="D904" s="7" t="s">
        <v>760</v>
      </c>
    </row>
    <row r="905" spans="1:4">
      <c r="A905" s="7" t="s">
        <v>828</v>
      </c>
      <c r="B905" s="7" t="s">
        <v>829</v>
      </c>
      <c r="C905" s="8">
        <v>5</v>
      </c>
      <c r="D905" s="7" t="s">
        <v>760</v>
      </c>
    </row>
    <row r="906" spans="1:4">
      <c r="A906" s="7" t="s">
        <v>839</v>
      </c>
      <c r="B906" s="7" t="s">
        <v>829</v>
      </c>
      <c r="C906" s="8">
        <v>5</v>
      </c>
      <c r="D906" s="7" t="s">
        <v>760</v>
      </c>
    </row>
    <row r="907" spans="1:4">
      <c r="A907" s="7" t="s">
        <v>860</v>
      </c>
      <c r="B907" s="7" t="s">
        <v>829</v>
      </c>
      <c r="C907" s="8">
        <v>5</v>
      </c>
      <c r="D907" s="7" t="s">
        <v>760</v>
      </c>
    </row>
    <row r="908" spans="1:4">
      <c r="A908" s="7" t="s">
        <v>1148</v>
      </c>
      <c r="B908" s="7" t="s">
        <v>1149</v>
      </c>
      <c r="C908" s="8">
        <v>5</v>
      </c>
      <c r="D908" s="7" t="s">
        <v>760</v>
      </c>
    </row>
    <row r="909" spans="1:4">
      <c r="A909" s="7" t="s">
        <v>779</v>
      </c>
      <c r="B909" s="7" t="s">
        <v>780</v>
      </c>
      <c r="C909" s="8">
        <v>5</v>
      </c>
      <c r="D909" s="7" t="s">
        <v>760</v>
      </c>
    </row>
    <row r="910" spans="1:4">
      <c r="A910" s="7" t="s">
        <v>841</v>
      </c>
      <c r="B910" s="7" t="s">
        <v>780</v>
      </c>
      <c r="C910" s="8">
        <v>5</v>
      </c>
      <c r="D910" s="7" t="s">
        <v>760</v>
      </c>
    </row>
    <row r="911" spans="1:4">
      <c r="A911" s="7" t="s">
        <v>960</v>
      </c>
      <c r="B911" s="7" t="s">
        <v>780</v>
      </c>
      <c r="C911" s="8">
        <v>5</v>
      </c>
      <c r="D911" s="7" t="s">
        <v>760</v>
      </c>
    </row>
    <row r="912" spans="1:4">
      <c r="A912" s="7" t="s">
        <v>971</v>
      </c>
      <c r="B912" s="7" t="s">
        <v>780</v>
      </c>
      <c r="C912" s="8">
        <v>5</v>
      </c>
      <c r="D912" s="7" t="s">
        <v>760</v>
      </c>
    </row>
    <row r="913" spans="1:4">
      <c r="A913" s="7" t="s">
        <v>982</v>
      </c>
      <c r="B913" s="7" t="s">
        <v>780</v>
      </c>
      <c r="C913" s="8">
        <v>5</v>
      </c>
      <c r="D913" s="7" t="s">
        <v>760</v>
      </c>
    </row>
    <row r="914" spans="1:4">
      <c r="A914" s="7" t="s">
        <v>1180</v>
      </c>
      <c r="B914" s="7" t="s">
        <v>1181</v>
      </c>
      <c r="C914" s="8">
        <v>4</v>
      </c>
      <c r="D914" s="7" t="s">
        <v>1172</v>
      </c>
    </row>
    <row r="915" spans="1:4">
      <c r="A915" s="7" t="s">
        <v>1183</v>
      </c>
      <c r="B915" s="7" t="s">
        <v>1181</v>
      </c>
      <c r="C915" s="8">
        <v>4</v>
      </c>
      <c r="D915" s="7" t="s">
        <v>1172</v>
      </c>
    </row>
    <row r="916" spans="1:4">
      <c r="A916" s="7" t="s">
        <v>1185</v>
      </c>
      <c r="B916" s="7" t="s">
        <v>1181</v>
      </c>
      <c r="C916" s="8">
        <v>4</v>
      </c>
      <c r="D916" s="7" t="s">
        <v>1172</v>
      </c>
    </row>
    <row r="917" spans="1:4">
      <c r="A917" s="7" t="s">
        <v>1190</v>
      </c>
      <c r="B917" s="7" t="s">
        <v>1181</v>
      </c>
      <c r="C917" s="8">
        <v>4</v>
      </c>
      <c r="D917" s="7" t="s">
        <v>1172</v>
      </c>
    </row>
    <row r="918" spans="1:4">
      <c r="A918" s="7" t="s">
        <v>1193</v>
      </c>
      <c r="B918" s="7" t="s">
        <v>1181</v>
      </c>
      <c r="C918" s="8">
        <v>4</v>
      </c>
      <c r="D918" s="7" t="s">
        <v>1172</v>
      </c>
    </row>
    <row r="919" spans="1:4">
      <c r="A919" s="7" t="s">
        <v>1194</v>
      </c>
      <c r="B919" s="7" t="s">
        <v>1181</v>
      </c>
      <c r="C919" s="8">
        <v>4</v>
      </c>
      <c r="D919" s="7" t="s">
        <v>1172</v>
      </c>
    </row>
    <row r="920" spans="1:4">
      <c r="A920" s="7" t="s">
        <v>1195</v>
      </c>
      <c r="B920" s="7" t="s">
        <v>1181</v>
      </c>
      <c r="C920" s="8">
        <v>4</v>
      </c>
      <c r="D920" s="7" t="s">
        <v>1172</v>
      </c>
    </row>
    <row r="921" spans="1:4">
      <c r="A921" s="7" t="s">
        <v>1198</v>
      </c>
      <c r="B921" s="7" t="s">
        <v>1181</v>
      </c>
      <c r="C921" s="8">
        <v>4</v>
      </c>
      <c r="D921" s="7" t="s">
        <v>1172</v>
      </c>
    </row>
    <row r="922" spans="1:4">
      <c r="A922" s="7" t="s">
        <v>1206</v>
      </c>
      <c r="B922" s="7" t="s">
        <v>1181</v>
      </c>
      <c r="C922" s="8">
        <v>4</v>
      </c>
      <c r="D922" s="7" t="s">
        <v>1172</v>
      </c>
    </row>
    <row r="923" spans="1:4">
      <c r="A923" s="7" t="s">
        <v>1220</v>
      </c>
      <c r="B923" s="7" t="s">
        <v>1181</v>
      </c>
      <c r="C923" s="8">
        <v>4</v>
      </c>
      <c r="D923" s="7" t="s">
        <v>1172</v>
      </c>
    </row>
    <row r="924" spans="1:4">
      <c r="A924" s="7" t="s">
        <v>1222</v>
      </c>
      <c r="B924" s="7" t="s">
        <v>1181</v>
      </c>
      <c r="C924" s="8">
        <v>4</v>
      </c>
      <c r="D924" s="7" t="s">
        <v>1172</v>
      </c>
    </row>
    <row r="925" spans="1:4">
      <c r="A925" s="7" t="s">
        <v>1196</v>
      </c>
      <c r="B925" s="7" t="s">
        <v>1197</v>
      </c>
      <c r="C925" s="8">
        <v>4.5</v>
      </c>
      <c r="D925" s="7" t="s">
        <v>1172</v>
      </c>
    </row>
    <row r="926" spans="1:4">
      <c r="A926" s="7" t="s">
        <v>1200</v>
      </c>
      <c r="B926" s="7" t="s">
        <v>1197</v>
      </c>
      <c r="C926" s="8">
        <v>4.5</v>
      </c>
      <c r="D926" s="7" t="s">
        <v>1172</v>
      </c>
    </row>
    <row r="927" spans="1:4">
      <c r="A927" s="7" t="s">
        <v>1207</v>
      </c>
      <c r="B927" s="7" t="s">
        <v>1197</v>
      </c>
      <c r="C927" s="8">
        <v>4.5</v>
      </c>
      <c r="D927" s="7" t="s">
        <v>1172</v>
      </c>
    </row>
    <row r="928" spans="1:4">
      <c r="A928" s="7" t="s">
        <v>1173</v>
      </c>
      <c r="B928" s="7" t="s">
        <v>1174</v>
      </c>
      <c r="C928" s="8">
        <v>4.5</v>
      </c>
      <c r="D928" s="7" t="s">
        <v>1172</v>
      </c>
    </row>
    <row r="929" spans="1:4">
      <c r="A929" s="7" t="s">
        <v>1203</v>
      </c>
      <c r="B929" s="7" t="s">
        <v>1174</v>
      </c>
      <c r="C929" s="8">
        <v>4.5</v>
      </c>
      <c r="D929" s="7" t="s">
        <v>1172</v>
      </c>
    </row>
    <row r="930" spans="1:4">
      <c r="A930" s="7" t="s">
        <v>1215</v>
      </c>
      <c r="B930" s="7" t="s">
        <v>1174</v>
      </c>
      <c r="C930" s="8">
        <v>4.5</v>
      </c>
      <c r="D930" s="7" t="s">
        <v>1172</v>
      </c>
    </row>
    <row r="931" spans="1:4">
      <c r="A931" s="7" t="s">
        <v>1217</v>
      </c>
      <c r="B931" s="7" t="s">
        <v>1174</v>
      </c>
      <c r="C931" s="8">
        <v>4.5</v>
      </c>
      <c r="D931" s="7" t="s">
        <v>1172</v>
      </c>
    </row>
    <row r="932" spans="1:4">
      <c r="A932" s="7" t="s">
        <v>1219</v>
      </c>
      <c r="B932" s="7" t="s">
        <v>1174</v>
      </c>
      <c r="C932" s="8">
        <v>4.5</v>
      </c>
      <c r="D932" s="7" t="s">
        <v>1172</v>
      </c>
    </row>
    <row r="933" spans="1:4">
      <c r="A933" s="7" t="s">
        <v>1221</v>
      </c>
      <c r="B933" s="7" t="s">
        <v>1174</v>
      </c>
      <c r="C933" s="8">
        <v>4.5</v>
      </c>
      <c r="D933" s="7" t="s">
        <v>1172</v>
      </c>
    </row>
    <row r="934" spans="1:4">
      <c r="A934" s="7" t="s">
        <v>1224</v>
      </c>
      <c r="B934" s="7" t="s">
        <v>1225</v>
      </c>
      <c r="C934" s="8">
        <v>4</v>
      </c>
      <c r="D934" s="7" t="s">
        <v>1172</v>
      </c>
    </row>
    <row r="935" spans="1:4">
      <c r="A935" s="7" t="s">
        <v>1226</v>
      </c>
      <c r="B935" s="7" t="s">
        <v>1227</v>
      </c>
      <c r="C935" s="8">
        <v>4.5</v>
      </c>
      <c r="D935" s="7" t="s">
        <v>1172</v>
      </c>
    </row>
    <row r="936" spans="1:4">
      <c r="A936" s="7" t="s">
        <v>1209</v>
      </c>
      <c r="B936" s="7" t="s">
        <v>1210</v>
      </c>
      <c r="C936" s="8">
        <v>4</v>
      </c>
      <c r="D936" s="7" t="s">
        <v>1172</v>
      </c>
    </row>
    <row r="937" spans="1:4">
      <c r="A937" s="7" t="s">
        <v>1204</v>
      </c>
      <c r="B937" s="7" t="s">
        <v>1205</v>
      </c>
      <c r="C937" s="8">
        <v>4.5</v>
      </c>
      <c r="D937" s="7" t="s">
        <v>1172</v>
      </c>
    </row>
    <row r="938" spans="1:4">
      <c r="A938" s="7" t="s">
        <v>1211</v>
      </c>
      <c r="B938" s="7" t="s">
        <v>1205</v>
      </c>
      <c r="C938" s="8">
        <v>4.5</v>
      </c>
      <c r="D938" s="7" t="s">
        <v>1172</v>
      </c>
    </row>
    <row r="939" spans="1:4">
      <c r="A939" s="7" t="s">
        <v>1223</v>
      </c>
      <c r="B939" s="7" t="s">
        <v>1205</v>
      </c>
      <c r="C939" s="8">
        <v>4.5</v>
      </c>
      <c r="D939" s="7" t="s">
        <v>1172</v>
      </c>
    </row>
    <row r="940" spans="1:4">
      <c r="A940" s="7" t="s">
        <v>1188</v>
      </c>
      <c r="B940" s="7" t="s">
        <v>1189</v>
      </c>
      <c r="C940" s="8">
        <v>6.5</v>
      </c>
      <c r="D940" s="7" t="s">
        <v>1172</v>
      </c>
    </row>
    <row r="941" spans="1:4">
      <c r="A941" s="7" t="s">
        <v>1208</v>
      </c>
      <c r="B941" s="7" t="s">
        <v>1189</v>
      </c>
      <c r="C941" s="8">
        <v>6.5</v>
      </c>
      <c r="D941" s="7" t="s">
        <v>1172</v>
      </c>
    </row>
    <row r="942" spans="1:4">
      <c r="A942" s="7" t="s">
        <v>1218</v>
      </c>
      <c r="B942" s="7" t="s">
        <v>1189</v>
      </c>
      <c r="C942" s="8">
        <v>6.5</v>
      </c>
      <c r="D942" s="7" t="s">
        <v>1172</v>
      </c>
    </row>
    <row r="943" spans="1:4">
      <c r="A943" s="7" t="s">
        <v>1170</v>
      </c>
      <c r="B943" s="7" t="s">
        <v>1171</v>
      </c>
      <c r="C943" s="8">
        <v>6</v>
      </c>
      <c r="D943" s="7" t="s">
        <v>1172</v>
      </c>
    </row>
    <row r="944" spans="1:4">
      <c r="A944" s="7" t="s">
        <v>1175</v>
      </c>
      <c r="B944" s="7" t="s">
        <v>1171</v>
      </c>
      <c r="C944" s="8">
        <v>6</v>
      </c>
      <c r="D944" s="7" t="s">
        <v>1172</v>
      </c>
    </row>
    <row r="945" spans="1:4">
      <c r="A945" s="7" t="s">
        <v>1176</v>
      </c>
      <c r="B945" s="7" t="s">
        <v>1171</v>
      </c>
      <c r="C945" s="8">
        <v>6</v>
      </c>
      <c r="D945" s="7" t="s">
        <v>1172</v>
      </c>
    </row>
    <row r="946" spans="1:4">
      <c r="A946" s="7" t="s">
        <v>1177</v>
      </c>
      <c r="B946" s="7" t="s">
        <v>1171</v>
      </c>
      <c r="C946" s="8">
        <v>6</v>
      </c>
      <c r="D946" s="7" t="s">
        <v>1172</v>
      </c>
    </row>
    <row r="947" spans="1:4">
      <c r="A947" s="7" t="s">
        <v>1178</v>
      </c>
      <c r="B947" s="7" t="s">
        <v>1171</v>
      </c>
      <c r="C947" s="8">
        <v>6</v>
      </c>
      <c r="D947" s="7" t="s">
        <v>1172</v>
      </c>
    </row>
    <row r="948" spans="1:4">
      <c r="A948" s="7" t="s">
        <v>1179</v>
      </c>
      <c r="B948" s="7" t="s">
        <v>1171</v>
      </c>
      <c r="C948" s="8">
        <v>6</v>
      </c>
      <c r="D948" s="7" t="s">
        <v>1172</v>
      </c>
    </row>
    <row r="949" spans="1:4">
      <c r="A949" s="7" t="s">
        <v>1182</v>
      </c>
      <c r="B949" s="7" t="s">
        <v>1171</v>
      </c>
      <c r="C949" s="8">
        <v>6</v>
      </c>
      <c r="D949" s="7" t="s">
        <v>1172</v>
      </c>
    </row>
    <row r="950" spans="1:4">
      <c r="A950" s="7" t="s">
        <v>1184</v>
      </c>
      <c r="B950" s="7" t="s">
        <v>1171</v>
      </c>
      <c r="C950" s="8">
        <v>6</v>
      </c>
      <c r="D950" s="7" t="s">
        <v>1172</v>
      </c>
    </row>
    <row r="951" spans="1:4">
      <c r="A951" s="7" t="s">
        <v>1186</v>
      </c>
      <c r="B951" s="7" t="s">
        <v>1171</v>
      </c>
      <c r="C951" s="8">
        <v>6</v>
      </c>
      <c r="D951" s="7" t="s">
        <v>1172</v>
      </c>
    </row>
    <row r="952" spans="1:4">
      <c r="A952" s="7" t="s">
        <v>1187</v>
      </c>
      <c r="B952" s="7" t="s">
        <v>1171</v>
      </c>
      <c r="C952" s="8">
        <v>6</v>
      </c>
      <c r="D952" s="7" t="s">
        <v>1172</v>
      </c>
    </row>
    <row r="953" spans="1:4">
      <c r="A953" s="7" t="s">
        <v>1191</v>
      </c>
      <c r="B953" s="7" t="s">
        <v>1171</v>
      </c>
      <c r="C953" s="8">
        <v>6</v>
      </c>
      <c r="D953" s="7" t="s">
        <v>1172</v>
      </c>
    </row>
    <row r="954" spans="1:4">
      <c r="A954" s="7" t="s">
        <v>1192</v>
      </c>
      <c r="B954" s="7" t="s">
        <v>1171</v>
      </c>
      <c r="C954" s="8">
        <v>6</v>
      </c>
      <c r="D954" s="7" t="s">
        <v>1172</v>
      </c>
    </row>
    <row r="955" spans="1:4">
      <c r="A955" s="7" t="s">
        <v>1199</v>
      </c>
      <c r="B955" s="7" t="s">
        <v>1171</v>
      </c>
      <c r="C955" s="8">
        <v>6</v>
      </c>
      <c r="D955" s="7" t="s">
        <v>1172</v>
      </c>
    </row>
    <row r="956" spans="1:4">
      <c r="A956" s="7" t="s">
        <v>1201</v>
      </c>
      <c r="B956" s="7" t="s">
        <v>1171</v>
      </c>
      <c r="C956" s="8">
        <v>6</v>
      </c>
      <c r="D956" s="7" t="s">
        <v>1172</v>
      </c>
    </row>
    <row r="957" spans="1:4">
      <c r="A957" s="7" t="s">
        <v>1202</v>
      </c>
      <c r="B957" s="7" t="s">
        <v>1171</v>
      </c>
      <c r="C957" s="8">
        <v>6</v>
      </c>
      <c r="D957" s="7" t="s">
        <v>1172</v>
      </c>
    </row>
    <row r="958" spans="1:4">
      <c r="A958" s="7" t="s">
        <v>1212</v>
      </c>
      <c r="B958" s="7" t="s">
        <v>1171</v>
      </c>
      <c r="C958" s="8">
        <v>6</v>
      </c>
      <c r="D958" s="7" t="s">
        <v>1172</v>
      </c>
    </row>
    <row r="959" spans="1:4">
      <c r="A959" s="7" t="s">
        <v>1216</v>
      </c>
      <c r="B959" s="7" t="s">
        <v>1171</v>
      </c>
      <c r="C959" s="8">
        <v>6</v>
      </c>
      <c r="D959" s="7" t="s">
        <v>1172</v>
      </c>
    </row>
    <row r="960" spans="1:4">
      <c r="A960" s="7" t="s">
        <v>1213</v>
      </c>
      <c r="B960" s="7" t="s">
        <v>1214</v>
      </c>
      <c r="C960" s="8">
        <v>6</v>
      </c>
      <c r="D960" s="7" t="s">
        <v>1172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Calculations</vt:lpstr>
      <vt:lpstr>REBASE_withrefm.109</vt:lpstr>
      <vt:lpstr>A_or_T</vt:lpstr>
      <vt:lpstr>fold_coverage</vt:lpstr>
      <vt:lpstr>G_or_C</vt:lpstr>
      <vt:lpstr>megabases_genome</vt:lpstr>
      <vt:lpstr>million_reads_per_lane</vt:lpstr>
      <vt:lpstr>plexity</vt:lpstr>
      <vt:lpstr>Calculations!Print_Area</vt:lpstr>
      <vt:lpstr>proportion_AT</vt:lpstr>
      <vt:lpstr>proportion_GC</vt:lpstr>
    </vt:vector>
  </TitlesOfParts>
  <Company>Plant &amp; Food Research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Hilario</cp:lastModifiedBy>
  <cp:lastPrinted>2012-07-24T01:41:36Z</cp:lastPrinted>
  <dcterms:created xsi:type="dcterms:W3CDTF">2012-01-19T03:57:20Z</dcterms:created>
  <dcterms:modified xsi:type="dcterms:W3CDTF">2017-11-27T03:15:50Z</dcterms:modified>
</cp:coreProperties>
</file>