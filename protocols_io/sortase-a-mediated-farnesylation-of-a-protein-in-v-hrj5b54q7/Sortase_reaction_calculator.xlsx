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stschirpke/Downloads/"/>
    </mc:Choice>
  </mc:AlternateContent>
  <xr:revisionPtr revIDLastSave="0" documentId="13_ncr:1_{43D4C0B7-0045-AC46-AB64-BE2A2272C0BF}" xr6:coauthVersionLast="47" xr6:coauthVersionMax="47" xr10:uidLastSave="{00000000-0000-0000-0000-000000000000}"/>
  <bookViews>
    <workbookView xWindow="3840" yWindow="500" windowWidth="27760" windowHeight="17500" xr2:uid="{00000000-000D-0000-FFFF-FFFF00000000}"/>
  </bookViews>
  <sheets>
    <sheet name="prenylation calculator" sheetId="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8" l="1"/>
  <c r="C15" i="8" s="1"/>
  <c r="B11" i="8"/>
  <c r="C21" i="8" s="1"/>
  <c r="C17" i="8" l="1"/>
  <c r="B24" i="8" s="1"/>
  <c r="C20" i="8"/>
  <c r="C25" i="8"/>
  <c r="C22" i="8"/>
  <c r="C26" i="8" l="1"/>
  <c r="C27" i="8" s="1"/>
</calcChain>
</file>

<file path=xl/sharedStrings.xml><?xml version="1.0" encoding="utf-8"?>
<sst xmlns="http://schemas.openxmlformats.org/spreadsheetml/2006/main" count="32" uniqueCount="31">
  <si>
    <t>Stocks &amp; parameters</t>
  </si>
  <si>
    <t>DTT [mM]</t>
  </si>
  <si>
    <t>Brij58 [%]</t>
  </si>
  <si>
    <t>Pipetting scheme</t>
  </si>
  <si>
    <t>Ratio</t>
  </si>
  <si>
    <t>Volume [uL]</t>
  </si>
  <si>
    <t xml:space="preserve">Conc. </t>
  </si>
  <si>
    <t>Sortase A [uM]</t>
  </si>
  <si>
    <t>CaCl2 in SEC buffer [mM]</t>
  </si>
  <si>
    <t>triglycine cysteamine farnesyl [uM]</t>
  </si>
  <si>
    <t>Sortase A</t>
  </si>
  <si>
    <t>triglycine cysteamine farnesyl</t>
  </si>
  <si>
    <t>POI</t>
  </si>
  <si>
    <t>POI [uM]</t>
  </si>
  <si>
    <t>final conc [mM]</t>
  </si>
  <si>
    <t>DTT</t>
  </si>
  <si>
    <t>Brij58</t>
  </si>
  <si>
    <t>Legend:</t>
  </si>
  <si>
    <t>protein of interest</t>
  </si>
  <si>
    <t>Change these values to adjust the ratio's of the reaction components.</t>
  </si>
  <si>
    <t>Change these values to adjust the total conc. of CaCl2, DTT, and Brij58 in the reaction.</t>
  </si>
  <si>
    <t>SEC buffer</t>
  </si>
  <si>
    <t>intermediate DMSO [%]</t>
  </si>
  <si>
    <t xml:space="preserve">Change this value to adjust the final conc. of DMSO in the reaction. The value of the final DMSO conc. (this number) always need to be larger than the intermediate DMSO conc., otherwise this calculator does not work. </t>
  </si>
  <si>
    <t>final DMSO [%]</t>
  </si>
  <si>
    <t>final volume [uL]</t>
  </si>
  <si>
    <t>Enter the starting concentrations.</t>
  </si>
  <si>
    <t>Adjust the POI volume to scale the overall reaction volume up or down. The final volume is 2,25 times the POI volume.</t>
  </si>
  <si>
    <t>POI volume [uL]</t>
  </si>
  <si>
    <t>Final volume [uL]</t>
  </si>
  <si>
    <t>CaCl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</si>
</sst>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b/>
      <sz val="12"/>
      <color theme="1"/>
      <name val="Calibri"/>
      <family val="2"/>
      <scheme val="minor"/>
    </font>
    <font>
      <i/>
      <sz val="12"/>
      <color theme="1"/>
      <name val="Calibri"/>
      <family val="2"/>
      <scheme val="minor"/>
    </font>
  </fonts>
  <fills count="9">
    <fill>
      <patternFill patternType="none"/>
    </fill>
    <fill>
      <patternFill patternType="gray125"/>
    </fill>
    <fill>
      <patternFill patternType="solid">
        <fgColor theme="2"/>
        <bgColor indexed="64"/>
      </patternFill>
    </fill>
    <fill>
      <patternFill patternType="solid">
        <fgColor theme="5"/>
        <bgColor indexed="64"/>
      </patternFill>
    </fill>
    <fill>
      <patternFill patternType="solid">
        <fgColor theme="7"/>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E7FFFF"/>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39">
    <xf numFmtId="0" fontId="0" fillId="0" borderId="0" xfId="0"/>
    <xf numFmtId="0" fontId="1" fillId="0" borderId="0" xfId="0" applyFont="1"/>
    <xf numFmtId="0" fontId="1" fillId="0" borderId="0" xfId="0" applyFont="1" applyAlignment="1">
      <alignment horizontal="right"/>
    </xf>
    <xf numFmtId="0" fontId="0" fillId="0" borderId="0" xfId="0" applyAlignment="1">
      <alignment horizontal="right"/>
    </xf>
    <xf numFmtId="0" fontId="0" fillId="0" borderId="1" xfId="0" applyBorder="1"/>
    <xf numFmtId="0" fontId="1" fillId="0" borderId="1" xfId="0" applyFont="1" applyBorder="1"/>
    <xf numFmtId="164" fontId="0" fillId="0" borderId="1" xfId="0" applyNumberFormat="1" applyBorder="1"/>
    <xf numFmtId="0" fontId="1" fillId="2" borderId="2" xfId="0" applyFont="1" applyFill="1" applyBorder="1"/>
    <xf numFmtId="0" fontId="0" fillId="0" borderId="4" xfId="0" applyBorder="1"/>
    <xf numFmtId="0" fontId="1" fillId="0" borderId="4" xfId="0" applyFont="1" applyBorder="1" applyAlignment="1">
      <alignment horizontal="right"/>
    </xf>
    <xf numFmtId="0" fontId="0" fillId="2" borderId="3" xfId="0" applyFill="1" applyBorder="1" applyAlignment="1">
      <alignment horizontal="right"/>
    </xf>
    <xf numFmtId="2" fontId="0" fillId="0" borderId="1" xfId="0" applyNumberFormat="1" applyBorder="1"/>
    <xf numFmtId="0" fontId="2" fillId="0" borderId="0" xfId="0" applyFont="1"/>
    <xf numFmtId="0" fontId="0" fillId="4" borderId="1" xfId="0" applyFill="1" applyBorder="1"/>
    <xf numFmtId="0" fontId="0" fillId="5" borderId="1" xfId="0" applyFill="1" applyBorder="1"/>
    <xf numFmtId="0" fontId="0" fillId="3" borderId="1" xfId="0" applyFill="1" applyBorder="1" applyAlignment="1">
      <alignment horizontal="right"/>
    </xf>
    <xf numFmtId="0" fontId="0" fillId="6" borderId="1" xfId="0" applyFill="1" applyBorder="1"/>
    <xf numFmtId="9" fontId="0" fillId="0" borderId="1" xfId="0" applyNumberFormat="1" applyBorder="1"/>
    <xf numFmtId="0" fontId="1" fillId="8" borderId="5" xfId="0" applyFont="1" applyFill="1" applyBorder="1"/>
    <xf numFmtId="0" fontId="0" fillId="8" borderId="6" xfId="0" applyFill="1" applyBorder="1"/>
    <xf numFmtId="0" fontId="0" fillId="8" borderId="7" xfId="0" applyFill="1" applyBorder="1"/>
    <xf numFmtId="0" fontId="0" fillId="8" borderId="8" xfId="0" applyFill="1" applyBorder="1" applyAlignment="1">
      <alignment wrapText="1"/>
    </xf>
    <xf numFmtId="0" fontId="0" fillId="4" borderId="7" xfId="0" applyFill="1" applyBorder="1"/>
    <xf numFmtId="0" fontId="0" fillId="3" borderId="7" xfId="0" applyFill="1" applyBorder="1"/>
    <xf numFmtId="0" fontId="0" fillId="5" borderId="7" xfId="0" applyFill="1" applyBorder="1"/>
    <xf numFmtId="0" fontId="0" fillId="6" borderId="7" xfId="0" applyFill="1" applyBorder="1"/>
    <xf numFmtId="0" fontId="0" fillId="7" borderId="9" xfId="0" applyFill="1" applyBorder="1"/>
    <xf numFmtId="0" fontId="0" fillId="8" borderId="10" xfId="0" applyFill="1" applyBorder="1" applyAlignment="1">
      <alignment wrapText="1"/>
    </xf>
    <xf numFmtId="0" fontId="1" fillId="2" borderId="9" xfId="0" applyFont="1" applyFill="1" applyBorder="1"/>
    <xf numFmtId="0" fontId="0" fillId="2" borderId="11" xfId="0" applyFill="1" applyBorder="1"/>
    <xf numFmtId="0" fontId="1" fillId="0" borderId="0" xfId="0" applyFont="1" applyBorder="1"/>
    <xf numFmtId="0" fontId="0" fillId="0" borderId="0" xfId="0" applyBorder="1" applyAlignment="1">
      <alignment horizontal="right"/>
    </xf>
    <xf numFmtId="164" fontId="1" fillId="0" borderId="1" xfId="0" applyNumberFormat="1" applyFont="1" applyBorder="1"/>
    <xf numFmtId="9" fontId="0" fillId="7" borderId="1" xfId="0" applyNumberFormat="1" applyFill="1" applyBorder="1"/>
    <xf numFmtId="0" fontId="1" fillId="0" borderId="1" xfId="0" applyFont="1" applyBorder="1" applyAlignment="1">
      <alignment horizontal="right"/>
    </xf>
    <xf numFmtId="0" fontId="1" fillId="0" borderId="0" xfId="0" applyFont="1" applyBorder="1" applyAlignment="1">
      <alignment horizontal="right"/>
    </xf>
    <xf numFmtId="164" fontId="0" fillId="0" borderId="0" xfId="0" applyNumberFormat="1" applyBorder="1"/>
    <xf numFmtId="2" fontId="0" fillId="0" borderId="0" xfId="0" applyNumberFormat="1" applyBorder="1"/>
    <xf numFmtId="164" fontId="1" fillId="0" borderId="0" xfId="0" applyNumberFormat="1" applyFont="1" applyBorder="1"/>
  </cellXfs>
  <cellStyles count="1">
    <cellStyle name="Normal" xfId="0" builtinId="0"/>
  </cellStyles>
  <dxfs count="0"/>
  <tableStyles count="0" defaultTableStyle="TableStyleMedium2" defaultPivotStyle="PivotStyleLight16"/>
  <colors>
    <mruColors>
      <color rgb="FFE7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24DC-5EA5-4114-8F1B-357A274E91F6}">
  <dimension ref="A1:H27"/>
  <sheetViews>
    <sheetView tabSelected="1" zoomScaleNormal="100" workbookViewId="0">
      <selection activeCell="F13" sqref="F13"/>
    </sheetView>
  </sheetViews>
  <sheetFormatPr baseColWidth="10" defaultColWidth="10.6640625" defaultRowHeight="16" x14ac:dyDescent="0.2"/>
  <cols>
    <col min="1" max="1" width="31.33203125" customWidth="1"/>
    <col min="2" max="2" width="14.33203125" customWidth="1"/>
    <col min="3" max="3" width="23.1640625" customWidth="1"/>
    <col min="4" max="4" width="2.1640625" customWidth="1"/>
    <col min="5" max="5" width="7.83203125" customWidth="1"/>
    <col min="6" max="6" width="74.5" customWidth="1"/>
  </cols>
  <sheetData>
    <row r="1" spans="1:8" x14ac:dyDescent="0.2">
      <c r="A1" s="7" t="s">
        <v>0</v>
      </c>
      <c r="B1" s="10"/>
      <c r="E1" s="18" t="s">
        <v>17</v>
      </c>
      <c r="F1" s="19"/>
    </row>
    <row r="2" spans="1:8" ht="17" x14ac:dyDescent="0.2">
      <c r="A2" s="8"/>
      <c r="B2" s="9" t="s">
        <v>6</v>
      </c>
      <c r="E2" s="20" t="s">
        <v>12</v>
      </c>
      <c r="F2" s="21" t="s">
        <v>18</v>
      </c>
      <c r="G2" s="1"/>
      <c r="H2" s="2"/>
    </row>
    <row r="3" spans="1:8" ht="17" x14ac:dyDescent="0.2">
      <c r="A3" s="5" t="s">
        <v>7</v>
      </c>
      <c r="B3" s="13">
        <v>320</v>
      </c>
      <c r="E3" s="22"/>
      <c r="F3" s="21" t="s">
        <v>26</v>
      </c>
      <c r="G3" s="1"/>
    </row>
    <row r="4" spans="1:8" ht="34" x14ac:dyDescent="0.2">
      <c r="A4" s="5" t="s">
        <v>13</v>
      </c>
      <c r="B4" s="13">
        <v>94</v>
      </c>
      <c r="E4" s="23"/>
      <c r="F4" s="21" t="s">
        <v>27</v>
      </c>
      <c r="G4" s="1"/>
    </row>
    <row r="5" spans="1:8" ht="34" x14ac:dyDescent="0.2">
      <c r="A5" s="5" t="s">
        <v>9</v>
      </c>
      <c r="B5" s="4">
        <v>20000</v>
      </c>
      <c r="C5" s="12"/>
      <c r="D5" s="12"/>
      <c r="E5" s="24"/>
      <c r="F5" s="21" t="s">
        <v>19</v>
      </c>
      <c r="G5" s="1"/>
    </row>
    <row r="6" spans="1:8" ht="34" x14ac:dyDescent="0.2">
      <c r="A6" s="5" t="s">
        <v>8</v>
      </c>
      <c r="B6" s="4">
        <v>100</v>
      </c>
      <c r="C6" s="12"/>
      <c r="D6" s="12"/>
      <c r="E6" s="25"/>
      <c r="F6" s="21" t="s">
        <v>20</v>
      </c>
      <c r="H6" s="1"/>
    </row>
    <row r="7" spans="1:8" ht="68" x14ac:dyDescent="0.2">
      <c r="A7" s="5" t="s">
        <v>1</v>
      </c>
      <c r="B7" s="4">
        <v>1000</v>
      </c>
      <c r="E7" s="26"/>
      <c r="F7" s="27" t="s">
        <v>23</v>
      </c>
      <c r="H7" s="1"/>
    </row>
    <row r="8" spans="1:8" x14ac:dyDescent="0.2">
      <c r="A8" s="5" t="s">
        <v>2</v>
      </c>
      <c r="B8" s="4">
        <v>10</v>
      </c>
      <c r="H8" s="1"/>
    </row>
    <row r="9" spans="1:8" x14ac:dyDescent="0.2">
      <c r="A9" s="5"/>
      <c r="B9" s="4"/>
      <c r="H9" s="1"/>
    </row>
    <row r="10" spans="1:8" x14ac:dyDescent="0.2">
      <c r="A10" s="5" t="s">
        <v>28</v>
      </c>
      <c r="B10" s="15">
        <v>250</v>
      </c>
      <c r="C10" s="3"/>
      <c r="D10" s="3"/>
    </row>
    <row r="11" spans="1:8" x14ac:dyDescent="0.2">
      <c r="A11" s="5" t="s">
        <v>29</v>
      </c>
      <c r="B11" s="34">
        <f>2.25*B10</f>
        <v>562.5</v>
      </c>
      <c r="C11" s="3"/>
      <c r="D11" s="3"/>
    </row>
    <row r="12" spans="1:8" x14ac:dyDescent="0.2">
      <c r="A12" s="30"/>
      <c r="B12" s="31"/>
      <c r="C12" s="31"/>
      <c r="D12" s="31"/>
    </row>
    <row r="13" spans="1:8" x14ac:dyDescent="0.2">
      <c r="A13" s="28" t="s">
        <v>3</v>
      </c>
      <c r="B13" s="29"/>
      <c r="C13" s="29"/>
      <c r="D13" s="31"/>
    </row>
    <row r="14" spans="1:8" x14ac:dyDescent="0.2">
      <c r="A14" s="4"/>
      <c r="B14" s="34" t="s">
        <v>4</v>
      </c>
      <c r="C14" s="34" t="s">
        <v>5</v>
      </c>
      <c r="D14" s="35"/>
    </row>
    <row r="15" spans="1:8" x14ac:dyDescent="0.2">
      <c r="A15" s="5" t="s">
        <v>10</v>
      </c>
      <c r="B15" s="14">
        <v>2</v>
      </c>
      <c r="C15" s="6">
        <f>(B4*C16*B15/B16)/B3</f>
        <v>1.46875</v>
      </c>
      <c r="D15" s="36"/>
    </row>
    <row r="16" spans="1:8" x14ac:dyDescent="0.2">
      <c r="A16" s="5" t="s">
        <v>12</v>
      </c>
      <c r="B16" s="14">
        <v>100</v>
      </c>
      <c r="C16" s="6">
        <f>B10</f>
        <v>250</v>
      </c>
      <c r="D16" s="36"/>
    </row>
    <row r="17" spans="1:4" x14ac:dyDescent="0.2">
      <c r="A17" s="5" t="s">
        <v>11</v>
      </c>
      <c r="B17" s="14">
        <v>10000</v>
      </c>
      <c r="C17" s="6">
        <f>(B4*C16*B17/B16)/B5</f>
        <v>117.5</v>
      </c>
      <c r="D17" s="36"/>
    </row>
    <row r="18" spans="1:4" x14ac:dyDescent="0.2">
      <c r="A18" s="5"/>
      <c r="B18" s="4"/>
      <c r="C18" s="6"/>
      <c r="D18" s="36"/>
    </row>
    <row r="19" spans="1:4" x14ac:dyDescent="0.2">
      <c r="A19" s="5"/>
      <c r="B19" s="34" t="s">
        <v>14</v>
      </c>
      <c r="C19" s="6"/>
      <c r="D19" s="36"/>
    </row>
    <row r="20" spans="1:4" x14ac:dyDescent="0.2">
      <c r="A20" s="5" t="s">
        <v>30</v>
      </c>
      <c r="B20" s="16">
        <v>20</v>
      </c>
      <c r="C20" s="6">
        <f>$B$20*$B$11/$B$6</f>
        <v>112.5</v>
      </c>
      <c r="D20" s="36"/>
    </row>
    <row r="21" spans="1:4" x14ac:dyDescent="0.2">
      <c r="A21" s="5" t="s">
        <v>15</v>
      </c>
      <c r="B21" s="16">
        <v>2</v>
      </c>
      <c r="C21" s="6">
        <f>$B$21*$B$11/$B$7</f>
        <v>1.125</v>
      </c>
      <c r="D21" s="36"/>
    </row>
    <row r="22" spans="1:4" x14ac:dyDescent="0.2">
      <c r="A22" s="5" t="s">
        <v>16</v>
      </c>
      <c r="B22" s="16">
        <v>1</v>
      </c>
      <c r="C22" s="6">
        <f>$B$22*$B$27/$B$8</f>
        <v>0</v>
      </c>
      <c r="D22" s="36"/>
    </row>
    <row r="23" spans="1:4" x14ac:dyDescent="0.2">
      <c r="A23" s="5"/>
      <c r="B23" s="34"/>
      <c r="C23" s="6"/>
      <c r="D23" s="36"/>
    </row>
    <row r="24" spans="1:4" x14ac:dyDescent="0.2">
      <c r="A24" s="5" t="s">
        <v>22</v>
      </c>
      <c r="B24" s="17">
        <f>C17/$B$11</f>
        <v>0.2088888888888889</v>
      </c>
      <c r="C24" s="11"/>
      <c r="D24" s="37"/>
    </row>
    <row r="25" spans="1:4" x14ac:dyDescent="0.2">
      <c r="A25" s="5" t="s">
        <v>24</v>
      </c>
      <c r="B25" s="33">
        <v>0.22</v>
      </c>
      <c r="C25" s="6">
        <f>$B$11*B25-$B$11*B24</f>
        <v>6.2499999999999858</v>
      </c>
      <c r="D25" s="36"/>
    </row>
    <row r="26" spans="1:4" x14ac:dyDescent="0.2">
      <c r="A26" s="5" t="s">
        <v>21</v>
      </c>
      <c r="B26" s="4"/>
      <c r="C26" s="6">
        <f>$B$11-SUM(C15:C22,C25)</f>
        <v>73.65625</v>
      </c>
      <c r="D26" s="36"/>
    </row>
    <row r="27" spans="1:4" x14ac:dyDescent="0.2">
      <c r="A27" s="5" t="s">
        <v>25</v>
      </c>
      <c r="B27" s="4"/>
      <c r="C27" s="32">
        <f>SUM(C15:C22,C25:C26)</f>
        <v>562.5</v>
      </c>
      <c r="D27" s="38"/>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prenylation calculator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Sophie Tschirpke</cp:lastModifiedBy>
  <cp:revision/>
  <dcterms:created xsi:type="dcterms:W3CDTF">2020-11-09T13:35:45Z</dcterms:created>
  <dcterms:modified xsi:type="dcterms:W3CDTF">2026-02-11T17:34:08Z</dcterms:modified>
  <cp:category/>
  <cp:contentStatus/>
</cp:coreProperties>
</file>