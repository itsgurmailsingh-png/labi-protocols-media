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f3b52f820382287/Počítač/MBMG ^M posudky/"/>
    </mc:Choice>
  </mc:AlternateContent>
  <xr:revisionPtr revIDLastSave="0" documentId="8_{2AFEC540-8CF6-40EE-B6F4-6B1FDFDADA3F}" xr6:coauthVersionLast="47" xr6:coauthVersionMax="47" xr10:uidLastSave="{00000000-0000-0000-0000-000000000000}"/>
  <bookViews>
    <workbookView xWindow="760" yWindow="760" windowWidth="19200" windowHeight="11170" xr2:uid="{A55C41B2-BB02-4EF1-9A6F-D8E84D441F15}"/>
  </bookViews>
  <sheets>
    <sheet name="Venn diagram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H2" i="3" s="1"/>
  <c r="E14" i="3"/>
  <c r="H14" i="3" s="1"/>
  <c r="E3" i="3"/>
  <c r="H3" i="3" s="1"/>
  <c r="E19" i="3"/>
  <c r="F19" i="3" s="1"/>
  <c r="E58" i="3"/>
  <c r="F58" i="3" s="1"/>
  <c r="E15" i="3"/>
  <c r="G15" i="3" s="1"/>
  <c r="E4" i="3"/>
  <c r="H4" i="3" s="1"/>
  <c r="E5" i="3"/>
  <c r="F5" i="3" s="1"/>
  <c r="E16" i="3"/>
  <c r="F16" i="3" s="1"/>
  <c r="E6" i="3"/>
  <c r="G6" i="3" s="1"/>
  <c r="E36" i="3"/>
  <c r="H36" i="3" s="1"/>
  <c r="E29" i="3"/>
  <c r="F29" i="3" s="1"/>
  <c r="E30" i="3"/>
  <c r="F30" i="3" s="1"/>
  <c r="E20" i="3"/>
  <c r="G20" i="3" s="1"/>
  <c r="E17" i="3"/>
  <c r="H17" i="3" s="1"/>
  <c r="E37" i="3"/>
  <c r="F37" i="3" s="1"/>
  <c r="E31" i="3"/>
  <c r="F31" i="3" s="1"/>
  <c r="E7" i="3"/>
  <c r="G7" i="3" s="1"/>
  <c r="E25" i="3"/>
  <c r="H25" i="3" s="1"/>
  <c r="E47" i="3"/>
  <c r="F47" i="3" s="1"/>
  <c r="E38" i="3"/>
  <c r="F38" i="3" s="1"/>
  <c r="E26" i="3"/>
  <c r="G26" i="3" s="1"/>
  <c r="E21" i="3"/>
  <c r="H21" i="3" s="1"/>
  <c r="E18" i="3"/>
  <c r="F18" i="3" s="1"/>
  <c r="E8" i="3"/>
  <c r="F8" i="3" s="1"/>
  <c r="E9" i="3"/>
  <c r="G9" i="3" s="1"/>
  <c r="E10" i="3"/>
  <c r="H10" i="3" s="1"/>
  <c r="E39" i="3"/>
  <c r="F39" i="3" s="1"/>
  <c r="E11" i="3"/>
  <c r="F11" i="3" s="1"/>
  <c r="E32" i="3"/>
  <c r="G32" i="3" s="1"/>
  <c r="E55" i="3"/>
  <c r="H55" i="3" s="1"/>
  <c r="E48" i="3"/>
  <c r="F48" i="3" s="1"/>
  <c r="E33" i="3"/>
  <c r="F33" i="3" s="1"/>
  <c r="E56" i="3"/>
  <c r="G56" i="3" s="1"/>
  <c r="E49" i="3"/>
  <c r="H49" i="3" s="1"/>
  <c r="E42" i="3"/>
  <c r="F42" i="3" s="1"/>
  <c r="E40" i="3"/>
  <c r="F40" i="3" s="1"/>
  <c r="E50" i="3"/>
  <c r="G50" i="3" s="1"/>
  <c r="E43" i="3"/>
  <c r="H43" i="3" s="1"/>
  <c r="E44" i="3"/>
  <c r="F44" i="3" s="1"/>
  <c r="E12" i="3"/>
  <c r="F12" i="3" s="1"/>
  <c r="E51" i="3"/>
  <c r="G51" i="3" s="1"/>
  <c r="E34" i="3"/>
  <c r="H34" i="3" s="1"/>
  <c r="E27" i="3"/>
  <c r="F27" i="3" s="1"/>
  <c r="E22" i="3"/>
  <c r="F22" i="3" s="1"/>
  <c r="E53" i="3"/>
  <c r="G53" i="3" s="1"/>
  <c r="E23" i="3"/>
  <c r="H23" i="3" s="1"/>
  <c r="E24" i="3"/>
  <c r="F24" i="3" s="1"/>
  <c r="E45" i="3"/>
  <c r="F45" i="3" s="1"/>
  <c r="E41" i="3"/>
  <c r="G41" i="3" s="1"/>
  <c r="E52" i="3"/>
  <c r="H52" i="3" s="1"/>
  <c r="E54" i="3"/>
  <c r="F54" i="3" s="1"/>
  <c r="E46" i="3"/>
  <c r="F46" i="3" s="1"/>
  <c r="E57" i="3"/>
  <c r="G57" i="3" s="1"/>
  <c r="E28" i="3"/>
  <c r="H28" i="3" s="1"/>
  <c r="E35" i="3"/>
  <c r="F35" i="3" s="1"/>
  <c r="E13" i="3"/>
  <c r="F13" i="3" s="1"/>
  <c r="G13" i="3" l="1"/>
  <c r="G45" i="3"/>
  <c r="G12" i="3"/>
  <c r="G33" i="3"/>
  <c r="G8" i="3"/>
  <c r="G31" i="3"/>
  <c r="G16" i="3"/>
  <c r="G2" i="3"/>
  <c r="H41" i="3"/>
  <c r="H51" i="3"/>
  <c r="H56" i="3"/>
  <c r="H9" i="3"/>
  <c r="H7" i="3"/>
  <c r="H6" i="3"/>
  <c r="G35" i="3"/>
  <c r="G24" i="3"/>
  <c r="G44" i="3"/>
  <c r="G48" i="3"/>
  <c r="G18" i="3"/>
  <c r="G37" i="3"/>
  <c r="G5" i="3"/>
  <c r="H13" i="3"/>
  <c r="H45" i="3"/>
  <c r="H12" i="3"/>
  <c r="H33" i="3"/>
  <c r="H8" i="3"/>
  <c r="H31" i="3"/>
  <c r="H16" i="3"/>
  <c r="G46" i="3"/>
  <c r="G22" i="3"/>
  <c r="G40" i="3"/>
  <c r="G11" i="3"/>
  <c r="G38" i="3"/>
  <c r="G30" i="3"/>
  <c r="G58" i="3"/>
  <c r="H57" i="3"/>
  <c r="H53" i="3"/>
  <c r="H50" i="3"/>
  <c r="H32" i="3"/>
  <c r="H26" i="3"/>
  <c r="H20" i="3"/>
  <c r="H15" i="3"/>
  <c r="G54" i="3"/>
  <c r="G27" i="3"/>
  <c r="G42" i="3"/>
  <c r="G39" i="3"/>
  <c r="G47" i="3"/>
  <c r="G29" i="3"/>
  <c r="G19" i="3"/>
  <c r="H46" i="3"/>
  <c r="H22" i="3"/>
  <c r="H40" i="3"/>
  <c r="H11" i="3"/>
  <c r="H38" i="3"/>
  <c r="H30" i="3"/>
  <c r="H58" i="3"/>
  <c r="F2" i="3"/>
  <c r="G28" i="3"/>
  <c r="G52" i="3"/>
  <c r="G23" i="3"/>
  <c r="G34" i="3"/>
  <c r="G43" i="3"/>
  <c r="G49" i="3"/>
  <c r="G55" i="3"/>
  <c r="G10" i="3"/>
  <c r="G21" i="3"/>
  <c r="G25" i="3"/>
  <c r="G17" i="3"/>
  <c r="G36" i="3"/>
  <c r="G4" i="3"/>
  <c r="G3" i="3"/>
  <c r="H35" i="3"/>
  <c r="H54" i="3"/>
  <c r="H24" i="3"/>
  <c r="H27" i="3"/>
  <c r="H44" i="3"/>
  <c r="H42" i="3"/>
  <c r="H48" i="3"/>
  <c r="H39" i="3"/>
  <c r="H18" i="3"/>
  <c r="H47" i="3"/>
  <c r="H37" i="3"/>
  <c r="H29" i="3"/>
  <c r="H5" i="3"/>
  <c r="H19" i="3"/>
  <c r="F10" i="3"/>
  <c r="F21" i="3"/>
  <c r="F25" i="3"/>
  <c r="F17" i="3"/>
  <c r="F36" i="3"/>
  <c r="F4" i="3"/>
  <c r="F3" i="3"/>
  <c r="F28" i="3"/>
  <c r="F52" i="3"/>
  <c r="F23" i="3"/>
  <c r="F34" i="3"/>
  <c r="F43" i="3"/>
  <c r="F49" i="3"/>
  <c r="F55" i="3"/>
  <c r="F9" i="3"/>
  <c r="F26" i="3"/>
  <c r="F7" i="3"/>
  <c r="F20" i="3"/>
  <c r="F6" i="3"/>
  <c r="F15" i="3"/>
  <c r="F14" i="3"/>
  <c r="F57" i="3"/>
  <c r="F41" i="3"/>
  <c r="F53" i="3"/>
  <c r="F51" i="3"/>
  <c r="F50" i="3"/>
  <c r="F56" i="3"/>
  <c r="F32" i="3"/>
  <c r="G14" i="3"/>
</calcChain>
</file>

<file path=xl/sharedStrings.xml><?xml version="1.0" encoding="utf-8"?>
<sst xmlns="http://schemas.openxmlformats.org/spreadsheetml/2006/main" count="65" uniqueCount="64">
  <si>
    <t>LOCALITY CODE</t>
  </si>
  <si>
    <t>SHARED</t>
  </si>
  <si>
    <t>100%</t>
  </si>
  <si>
    <t>SHARED (%)</t>
  </si>
  <si>
    <t>H001_2008</t>
  </si>
  <si>
    <t>H001_2017</t>
  </si>
  <si>
    <t>M002_2008</t>
  </si>
  <si>
    <t>M002_2011</t>
  </si>
  <si>
    <t>M002_2014</t>
  </si>
  <si>
    <t>M002_2021</t>
  </si>
  <si>
    <t>P006_2011</t>
  </si>
  <si>
    <t>P006_2012</t>
  </si>
  <si>
    <t>P006_2013</t>
  </si>
  <si>
    <t>P006_2015</t>
  </si>
  <si>
    <t>V011_2019</t>
  </si>
  <si>
    <t>B003_2017</t>
  </si>
  <si>
    <t>H001_2009</t>
  </si>
  <si>
    <t>M002_2007</t>
  </si>
  <si>
    <t>M002_2012</t>
  </si>
  <si>
    <t>M002_2018</t>
  </si>
  <si>
    <t>P006_2010</t>
  </si>
  <si>
    <t>H001_2019</t>
  </si>
  <si>
    <t>M002_2017</t>
  </si>
  <si>
    <t>P006_2009</t>
  </si>
  <si>
    <t>V013_2017</t>
  </si>
  <si>
    <t>V030_2017</t>
  </si>
  <si>
    <t>V037_2014</t>
  </si>
  <si>
    <t>M009_2013</t>
  </si>
  <si>
    <t>P006_2008</t>
  </si>
  <si>
    <t>V013_2009</t>
  </si>
  <si>
    <t>V420_2018</t>
  </si>
  <si>
    <t>M002_2015</t>
  </si>
  <si>
    <t>M002_2016</t>
  </si>
  <si>
    <t>M002_2020</t>
  </si>
  <si>
    <t>P006_2016</t>
  </si>
  <si>
    <t>R017_2009</t>
  </si>
  <si>
    <t>V013_2008</t>
  </si>
  <si>
    <t>V420_2022</t>
  </si>
  <si>
    <t>M002_2019</t>
  </si>
  <si>
    <t>N033_2017</t>
  </si>
  <si>
    <t>P006_2014</t>
  </si>
  <si>
    <t>V011_2008</t>
  </si>
  <si>
    <t>V090_2009</t>
  </si>
  <si>
    <t>S014_2022</t>
  </si>
  <si>
    <t>V011_2013</t>
  </si>
  <si>
    <t>V011_2017</t>
  </si>
  <si>
    <t>V090_2008</t>
  </si>
  <si>
    <t>V106_2009</t>
  </si>
  <si>
    <t>M009_2017</t>
  </si>
  <si>
    <t>R017_2008</t>
  </si>
  <si>
    <t>S014_2019</t>
  </si>
  <si>
    <t>V011_2009</t>
  </si>
  <si>
    <t>V011_2022</t>
  </si>
  <si>
    <t>V090_2018</t>
  </si>
  <si>
    <t>V030_2008</t>
  </si>
  <si>
    <t>V106_2008</t>
  </si>
  <si>
    <t>P038_2018</t>
  </si>
  <si>
    <t>R017_2019</t>
  </si>
  <si>
    <t>V106_2016</t>
  </si>
  <si>
    <t>H016_2022</t>
  </si>
  <si>
    <t>DNA METABARCODING ONLY</t>
  </si>
  <si>
    <t>MORPHOLOGY ONLY</t>
  </si>
  <si>
    <t>DNA METABARCODING ONLY (%)</t>
  </si>
  <si>
    <t>MORPHOLOGY ONLY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</si>
</sst>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2" fontId="1" fillId="0" borderId="2" xfId="0" applyNumberFormat="1" applyFont="1" applyBorder="1"/>
    <xf numFmtId="2" fontId="1" fillId="0" borderId="0" xfId="0" applyNumberFormat="1" applyFont="1"/>
    <xf numFmtId="2" fontId="1" fillId="0" borderId="3" xfId="0" applyNumberFormat="1" applyFont="1" applyBorder="1"/>
    <xf numFmtId="2" fontId="1" fillId="0" borderId="4" xfId="0" applyNumberFormat="1" applyFont="1" applyBorder="1"/>
    <xf numFmtId="2" fontId="1" fillId="0" borderId="5" xfId="0" applyNumberFormat="1" applyFont="1" applyBorder="1"/>
    <xf numFmtId="2" fontId="1" fillId="0" borderId="6" xfId="0" applyNumberFormat="1" applyFont="1" applyBorder="1"/>
    <xf numFmtId="0" fontId="0" fillId="0" borderId="0" xfId="0" applyAlignment="1">
      <alignment vertical="top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/>
    </xf>
    <xf numFmtId="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</cellXfs>
  <cellStyles count="1">
    <cellStyle name="Normálna" xfId="0" builtinId="0"/>
  </cellStyles>
  <dxfs count="1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2" formatCode="0.0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2" formatCode="0.0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general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FFC060-DF24-480B-9065-EEF1AB5F9816}" name="Tabuľka1" displayName="Tabuľka1" ref="A1:H58" totalsRowShown="0" headerRowDxfId="10" dataDxfId="8" headerRowBorderDxfId="9">
  <autoFilter ref="A1:H58" xr:uid="{2BFFC060-DF24-480B-9065-EEF1AB5F9816}"/>
  <sortState xmlns:xlrd2="http://schemas.microsoft.com/office/spreadsheetml/2017/richdata2" ref="A2:H58">
    <sortCondition ref="C1:C58"/>
  </sortState>
  <tableColumns count="8">
    <tableColumn id="1" xr3:uid="{FB8A0AE4-24A5-4453-B96F-B612C1962F17}" name="LOCALITY CODE" dataDxfId="7"/>
    <tableColumn id="2" xr3:uid="{58691FF3-22DC-46CB-BAD8-02C594FEAFD6}" name="DNA METABARCODING ONLY" dataDxfId="6"/>
    <tableColumn id="3" xr3:uid="{105012B6-1BC9-46A0-8E0F-8E850A2618F6}" name="SHARED" dataDxfId="5"/>
    <tableColumn id="4" xr3:uid="{144FB71B-ABA7-4830-9E4E-B3B6B10D3505}" name="MORPHOLOGY ONLY" dataDxfId="4"/>
    <tableColumn id="5" xr3:uid="{ED392201-B0D5-4289-8D6F-B6B48A86E30D}" name="100%" dataDxfId="3">
      <calculatedColumnFormula>B2+C2+D2</calculatedColumnFormula>
    </tableColumn>
    <tableColumn id="6" xr3:uid="{4CEFCDF9-5678-4402-8AF2-AC76C2F8EAA2}" name="DNA METABARCODING ONLY (%)" dataDxfId="2">
      <calculatedColumnFormula>(B2*100)/E2</calculatedColumnFormula>
    </tableColumn>
    <tableColumn id="7" xr3:uid="{E69ABE90-3C2E-465B-94EA-B517446EE0AF}" name="SHARED (%)" dataDxfId="1">
      <calculatedColumnFormula>(C2*100)/E2</calculatedColumnFormula>
    </tableColumn>
    <tableColumn id="8" xr3:uid="{F4C26ADB-8B0D-4402-B8B0-6243F12E9DAF}" name="MORPHOLOGY ONLY (%)" dataDxfId="0">
      <calculatedColumnFormula>(D2*100)/E2</calculatedColumnFormula>
    </tableColumn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66EC9-BDF2-4B57-9990-FA5C28237D54}">
  <dimension ref="A1:H58"/>
  <sheetViews>
    <sheetView tabSelected="1" workbookViewId="0">
      <selection activeCell="J6" sqref="J6"/>
    </sheetView>
  </sheetViews>
  <sheetFormatPr defaultRowHeight="14.5" x14ac:dyDescent="0.35"/>
  <cols>
    <col min="1" max="1" width="11.54296875" customWidth="1"/>
    <col min="2" max="2" width="21.08984375" customWidth="1"/>
    <col min="3" max="3" width="10.81640625" customWidth="1"/>
    <col min="4" max="4" width="14" customWidth="1"/>
    <col min="5" max="5" width="8.7265625" customWidth="1"/>
    <col min="6" max="6" width="20.453125" customWidth="1"/>
    <col min="7" max="7" width="12.54296875" customWidth="1"/>
    <col min="8" max="8" width="17.7265625" customWidth="1"/>
    <col min="9" max="9" width="17.81640625" customWidth="1"/>
  </cols>
  <sheetData>
    <row r="1" spans="1:8" s="15" customFormat="1" ht="30" customHeight="1" thickBot="1" x14ac:dyDescent="0.4">
      <c r="A1" s="19" t="s">
        <v>0</v>
      </c>
      <c r="B1" s="16" t="s">
        <v>60</v>
      </c>
      <c r="C1" s="17" t="s">
        <v>1</v>
      </c>
      <c r="D1" s="20" t="s">
        <v>61</v>
      </c>
      <c r="E1" s="18" t="s">
        <v>2</v>
      </c>
      <c r="F1" s="16" t="s">
        <v>62</v>
      </c>
      <c r="G1" s="17" t="s">
        <v>3</v>
      </c>
      <c r="H1" s="20" t="s">
        <v>63</v>
      </c>
    </row>
    <row r="2" spans="1:8" x14ac:dyDescent="0.35">
      <c r="A2" s="7" t="s">
        <v>4</v>
      </c>
      <c r="B2" s="1">
        <v>59</v>
      </c>
      <c r="C2" s="2">
        <v>2</v>
      </c>
      <c r="D2" s="3">
        <v>8</v>
      </c>
      <c r="E2" s="7">
        <f t="shared" ref="E2:E33" si="0">B2+C2+D2</f>
        <v>69</v>
      </c>
      <c r="F2" s="9">
        <f t="shared" ref="F2:F33" si="1">(B2*100)/E2</f>
        <v>85.507246376811594</v>
      </c>
      <c r="G2" s="10">
        <f t="shared" ref="G2:G33" si="2">(C2*100)/E2</f>
        <v>2.8985507246376812</v>
      </c>
      <c r="H2" s="11">
        <f t="shared" ref="H2:H33" si="3">(D2*100)/E2</f>
        <v>11.594202898550725</v>
      </c>
    </row>
    <row r="3" spans="1:8" x14ac:dyDescent="0.35">
      <c r="A3" s="7" t="s">
        <v>5</v>
      </c>
      <c r="B3" s="1">
        <v>56</v>
      </c>
      <c r="C3" s="2">
        <v>5</v>
      </c>
      <c r="D3" s="3">
        <v>24</v>
      </c>
      <c r="E3" s="7">
        <f t="shared" si="0"/>
        <v>85</v>
      </c>
      <c r="F3" s="9">
        <f t="shared" si="1"/>
        <v>65.882352941176464</v>
      </c>
      <c r="G3" s="10">
        <f t="shared" si="2"/>
        <v>5.882352941176471</v>
      </c>
      <c r="H3" s="11">
        <f t="shared" si="3"/>
        <v>28.235294117647058</v>
      </c>
    </row>
    <row r="4" spans="1:8" x14ac:dyDescent="0.35">
      <c r="A4" s="7" t="s">
        <v>6</v>
      </c>
      <c r="B4" s="1">
        <v>77</v>
      </c>
      <c r="C4" s="2">
        <v>5</v>
      </c>
      <c r="D4" s="3">
        <v>7</v>
      </c>
      <c r="E4" s="7">
        <f t="shared" si="0"/>
        <v>89</v>
      </c>
      <c r="F4" s="9">
        <f t="shared" si="1"/>
        <v>86.516853932584269</v>
      </c>
      <c r="G4" s="10">
        <f t="shared" si="2"/>
        <v>5.617977528089888</v>
      </c>
      <c r="H4" s="11">
        <f t="shared" si="3"/>
        <v>7.8651685393258424</v>
      </c>
    </row>
    <row r="5" spans="1:8" x14ac:dyDescent="0.35">
      <c r="A5" s="7" t="s">
        <v>7</v>
      </c>
      <c r="B5" s="1">
        <v>77</v>
      </c>
      <c r="C5" s="2">
        <v>5</v>
      </c>
      <c r="D5" s="3">
        <v>14</v>
      </c>
      <c r="E5" s="7">
        <f t="shared" si="0"/>
        <v>96</v>
      </c>
      <c r="F5" s="9">
        <f t="shared" si="1"/>
        <v>80.208333333333329</v>
      </c>
      <c r="G5" s="10">
        <f t="shared" si="2"/>
        <v>5.208333333333333</v>
      </c>
      <c r="H5" s="11">
        <f t="shared" si="3"/>
        <v>14.583333333333334</v>
      </c>
    </row>
    <row r="6" spans="1:8" x14ac:dyDescent="0.35">
      <c r="A6" s="7" t="s">
        <v>8</v>
      </c>
      <c r="B6" s="1">
        <v>77</v>
      </c>
      <c r="C6" s="2">
        <v>5</v>
      </c>
      <c r="D6" s="3">
        <v>14</v>
      </c>
      <c r="E6" s="7">
        <f t="shared" si="0"/>
        <v>96</v>
      </c>
      <c r="F6" s="9">
        <f t="shared" si="1"/>
        <v>80.208333333333329</v>
      </c>
      <c r="G6" s="10">
        <f t="shared" si="2"/>
        <v>5.208333333333333</v>
      </c>
      <c r="H6" s="11">
        <f t="shared" si="3"/>
        <v>14.583333333333334</v>
      </c>
    </row>
    <row r="7" spans="1:8" x14ac:dyDescent="0.35">
      <c r="A7" s="7" t="s">
        <v>9</v>
      </c>
      <c r="B7" s="1">
        <v>76</v>
      </c>
      <c r="C7" s="2">
        <v>6</v>
      </c>
      <c r="D7" s="3">
        <v>15</v>
      </c>
      <c r="E7" s="7">
        <f t="shared" si="0"/>
        <v>97</v>
      </c>
      <c r="F7" s="9">
        <f t="shared" si="1"/>
        <v>78.350515463917532</v>
      </c>
      <c r="G7" s="10">
        <f t="shared" si="2"/>
        <v>6.1855670103092786</v>
      </c>
      <c r="H7" s="11">
        <f t="shared" si="3"/>
        <v>15.463917525773196</v>
      </c>
    </row>
    <row r="8" spans="1:8" x14ac:dyDescent="0.35">
      <c r="A8" s="7" t="s">
        <v>10</v>
      </c>
      <c r="B8" s="1">
        <v>79</v>
      </c>
      <c r="C8" s="2">
        <v>6</v>
      </c>
      <c r="D8" s="3">
        <v>21</v>
      </c>
      <c r="E8" s="7">
        <f t="shared" si="0"/>
        <v>106</v>
      </c>
      <c r="F8" s="9">
        <f t="shared" si="1"/>
        <v>74.528301886792448</v>
      </c>
      <c r="G8" s="10">
        <f t="shared" si="2"/>
        <v>5.6603773584905657</v>
      </c>
      <c r="H8" s="11">
        <f t="shared" si="3"/>
        <v>19.811320754716981</v>
      </c>
    </row>
    <row r="9" spans="1:8" x14ac:dyDescent="0.35">
      <c r="A9" s="7" t="s">
        <v>11</v>
      </c>
      <c r="B9" s="1">
        <v>79</v>
      </c>
      <c r="C9" s="2">
        <v>6</v>
      </c>
      <c r="D9" s="3">
        <v>16</v>
      </c>
      <c r="E9" s="7">
        <f t="shared" si="0"/>
        <v>101</v>
      </c>
      <c r="F9" s="9">
        <f t="shared" si="1"/>
        <v>78.21782178217822</v>
      </c>
      <c r="G9" s="10">
        <f t="shared" si="2"/>
        <v>5.9405940594059405</v>
      </c>
      <c r="H9" s="11">
        <f t="shared" si="3"/>
        <v>15.841584158415841</v>
      </c>
    </row>
    <row r="10" spans="1:8" x14ac:dyDescent="0.35">
      <c r="A10" s="7" t="s">
        <v>12</v>
      </c>
      <c r="B10" s="1">
        <v>79</v>
      </c>
      <c r="C10" s="2">
        <v>6</v>
      </c>
      <c r="D10" s="3">
        <v>15</v>
      </c>
      <c r="E10" s="7">
        <f t="shared" si="0"/>
        <v>100</v>
      </c>
      <c r="F10" s="9">
        <f t="shared" si="1"/>
        <v>79</v>
      </c>
      <c r="G10" s="10">
        <f t="shared" si="2"/>
        <v>6</v>
      </c>
      <c r="H10" s="11">
        <f t="shared" si="3"/>
        <v>15</v>
      </c>
    </row>
    <row r="11" spans="1:8" x14ac:dyDescent="0.35">
      <c r="A11" s="7" t="s">
        <v>13</v>
      </c>
      <c r="B11" s="1">
        <v>79</v>
      </c>
      <c r="C11" s="2">
        <v>6</v>
      </c>
      <c r="D11" s="3">
        <v>21</v>
      </c>
      <c r="E11" s="7">
        <f t="shared" si="0"/>
        <v>106</v>
      </c>
      <c r="F11" s="9">
        <f t="shared" si="1"/>
        <v>74.528301886792448</v>
      </c>
      <c r="G11" s="10">
        <f t="shared" si="2"/>
        <v>5.6603773584905657</v>
      </c>
      <c r="H11" s="11">
        <f t="shared" si="3"/>
        <v>19.811320754716981</v>
      </c>
    </row>
    <row r="12" spans="1:8" x14ac:dyDescent="0.35">
      <c r="A12" s="7" t="s">
        <v>14</v>
      </c>
      <c r="B12" s="1">
        <v>70</v>
      </c>
      <c r="C12" s="2">
        <v>6</v>
      </c>
      <c r="D12" s="3">
        <v>19</v>
      </c>
      <c r="E12" s="7">
        <f t="shared" si="0"/>
        <v>95</v>
      </c>
      <c r="F12" s="9">
        <f t="shared" si="1"/>
        <v>73.684210526315795</v>
      </c>
      <c r="G12" s="10">
        <f t="shared" si="2"/>
        <v>6.3157894736842106</v>
      </c>
      <c r="H12" s="11">
        <f t="shared" si="3"/>
        <v>20</v>
      </c>
    </row>
    <row r="13" spans="1:8" x14ac:dyDescent="0.35">
      <c r="A13" s="7" t="s">
        <v>15</v>
      </c>
      <c r="B13" s="1">
        <v>66</v>
      </c>
      <c r="C13" s="2">
        <v>7</v>
      </c>
      <c r="D13" s="3">
        <v>17</v>
      </c>
      <c r="E13" s="7">
        <f t="shared" si="0"/>
        <v>90</v>
      </c>
      <c r="F13" s="9">
        <f t="shared" si="1"/>
        <v>73.333333333333329</v>
      </c>
      <c r="G13" s="10">
        <f t="shared" si="2"/>
        <v>7.7777777777777777</v>
      </c>
      <c r="H13" s="11">
        <f t="shared" si="3"/>
        <v>18.888888888888889</v>
      </c>
    </row>
    <row r="14" spans="1:8" x14ac:dyDescent="0.35">
      <c r="A14" s="7" t="s">
        <v>16</v>
      </c>
      <c r="B14" s="1">
        <v>54</v>
      </c>
      <c r="C14" s="2">
        <v>7</v>
      </c>
      <c r="D14" s="3">
        <v>14</v>
      </c>
      <c r="E14" s="7">
        <f t="shared" si="0"/>
        <v>75</v>
      </c>
      <c r="F14" s="9">
        <f t="shared" si="1"/>
        <v>72</v>
      </c>
      <c r="G14" s="10">
        <f t="shared" si="2"/>
        <v>9.3333333333333339</v>
      </c>
      <c r="H14" s="11">
        <f t="shared" si="3"/>
        <v>18.666666666666668</v>
      </c>
    </row>
    <row r="15" spans="1:8" x14ac:dyDescent="0.35">
      <c r="A15" s="7" t="s">
        <v>17</v>
      </c>
      <c r="B15" s="1">
        <v>75</v>
      </c>
      <c r="C15" s="2">
        <v>7</v>
      </c>
      <c r="D15" s="3">
        <v>23</v>
      </c>
      <c r="E15" s="7">
        <f t="shared" si="0"/>
        <v>105</v>
      </c>
      <c r="F15" s="9">
        <f t="shared" si="1"/>
        <v>71.428571428571431</v>
      </c>
      <c r="G15" s="10">
        <f t="shared" si="2"/>
        <v>6.666666666666667</v>
      </c>
      <c r="H15" s="11">
        <f t="shared" si="3"/>
        <v>21.904761904761905</v>
      </c>
    </row>
    <row r="16" spans="1:8" x14ac:dyDescent="0.35">
      <c r="A16" s="7" t="s">
        <v>18</v>
      </c>
      <c r="B16" s="1">
        <v>75</v>
      </c>
      <c r="C16" s="2">
        <v>7</v>
      </c>
      <c r="D16" s="3">
        <v>20</v>
      </c>
      <c r="E16" s="7">
        <f t="shared" si="0"/>
        <v>102</v>
      </c>
      <c r="F16" s="9">
        <f t="shared" si="1"/>
        <v>73.529411764705884</v>
      </c>
      <c r="G16" s="10">
        <f t="shared" si="2"/>
        <v>6.8627450980392153</v>
      </c>
      <c r="H16" s="11">
        <f t="shared" si="3"/>
        <v>19.607843137254903</v>
      </c>
    </row>
    <row r="17" spans="1:8" x14ac:dyDescent="0.35">
      <c r="A17" s="7" t="s">
        <v>19</v>
      </c>
      <c r="B17" s="1">
        <v>75</v>
      </c>
      <c r="C17" s="2">
        <v>7</v>
      </c>
      <c r="D17" s="3">
        <v>17</v>
      </c>
      <c r="E17" s="7">
        <f t="shared" si="0"/>
        <v>99</v>
      </c>
      <c r="F17" s="9">
        <f t="shared" si="1"/>
        <v>75.757575757575751</v>
      </c>
      <c r="G17" s="10">
        <f t="shared" si="2"/>
        <v>7.0707070707070709</v>
      </c>
      <c r="H17" s="11">
        <f t="shared" si="3"/>
        <v>17.171717171717173</v>
      </c>
    </row>
    <row r="18" spans="1:8" x14ac:dyDescent="0.35">
      <c r="A18" s="7" t="s">
        <v>20</v>
      </c>
      <c r="B18" s="1">
        <v>78</v>
      </c>
      <c r="C18" s="2">
        <v>7</v>
      </c>
      <c r="D18" s="3">
        <v>16</v>
      </c>
      <c r="E18" s="7">
        <f t="shared" si="0"/>
        <v>101</v>
      </c>
      <c r="F18" s="9">
        <f t="shared" si="1"/>
        <v>77.227722772277232</v>
      </c>
      <c r="G18" s="10">
        <f t="shared" si="2"/>
        <v>6.9306930693069306</v>
      </c>
      <c r="H18" s="11">
        <f t="shared" si="3"/>
        <v>15.841584158415841</v>
      </c>
    </row>
    <row r="19" spans="1:8" x14ac:dyDescent="0.35">
      <c r="A19" s="7" t="s">
        <v>21</v>
      </c>
      <c r="B19" s="1">
        <v>53</v>
      </c>
      <c r="C19" s="2">
        <v>8</v>
      </c>
      <c r="D19" s="3">
        <v>27</v>
      </c>
      <c r="E19" s="7">
        <f t="shared" si="0"/>
        <v>88</v>
      </c>
      <c r="F19" s="9">
        <f t="shared" si="1"/>
        <v>60.227272727272727</v>
      </c>
      <c r="G19" s="10">
        <f t="shared" si="2"/>
        <v>9.0909090909090917</v>
      </c>
      <c r="H19" s="11">
        <f t="shared" si="3"/>
        <v>30.681818181818183</v>
      </c>
    </row>
    <row r="20" spans="1:8" x14ac:dyDescent="0.35">
      <c r="A20" s="7" t="s">
        <v>22</v>
      </c>
      <c r="B20" s="1">
        <v>74</v>
      </c>
      <c r="C20" s="2">
        <v>8</v>
      </c>
      <c r="D20" s="3">
        <v>15</v>
      </c>
      <c r="E20" s="7">
        <f t="shared" si="0"/>
        <v>97</v>
      </c>
      <c r="F20" s="9">
        <f t="shared" si="1"/>
        <v>76.288659793814432</v>
      </c>
      <c r="G20" s="10">
        <f t="shared" si="2"/>
        <v>8.2474226804123703</v>
      </c>
      <c r="H20" s="11">
        <f t="shared" si="3"/>
        <v>15.463917525773196</v>
      </c>
    </row>
    <row r="21" spans="1:8" x14ac:dyDescent="0.35">
      <c r="A21" s="7" t="s">
        <v>23</v>
      </c>
      <c r="B21" s="1">
        <v>77</v>
      </c>
      <c r="C21" s="2">
        <v>8</v>
      </c>
      <c r="D21" s="3">
        <v>22</v>
      </c>
      <c r="E21" s="7">
        <f t="shared" si="0"/>
        <v>107</v>
      </c>
      <c r="F21" s="9">
        <f t="shared" si="1"/>
        <v>71.962616822429908</v>
      </c>
      <c r="G21" s="10">
        <f t="shared" si="2"/>
        <v>7.4766355140186915</v>
      </c>
      <c r="H21" s="11">
        <f t="shared" si="3"/>
        <v>20.560747663551403</v>
      </c>
    </row>
    <row r="22" spans="1:8" x14ac:dyDescent="0.35">
      <c r="A22" s="7" t="s">
        <v>24</v>
      </c>
      <c r="B22" s="1">
        <v>64</v>
      </c>
      <c r="C22" s="2">
        <v>8</v>
      </c>
      <c r="D22" s="3">
        <v>16</v>
      </c>
      <c r="E22" s="7">
        <f t="shared" si="0"/>
        <v>88</v>
      </c>
      <c r="F22" s="9">
        <f t="shared" si="1"/>
        <v>72.727272727272734</v>
      </c>
      <c r="G22" s="10">
        <f t="shared" si="2"/>
        <v>9.0909090909090917</v>
      </c>
      <c r="H22" s="11">
        <f t="shared" si="3"/>
        <v>18.181818181818183</v>
      </c>
    </row>
    <row r="23" spans="1:8" x14ac:dyDescent="0.35">
      <c r="A23" s="7" t="s">
        <v>25</v>
      </c>
      <c r="B23" s="1">
        <v>62</v>
      </c>
      <c r="C23" s="2">
        <v>8</v>
      </c>
      <c r="D23" s="3">
        <v>17</v>
      </c>
      <c r="E23" s="7">
        <f t="shared" si="0"/>
        <v>87</v>
      </c>
      <c r="F23" s="9">
        <f t="shared" si="1"/>
        <v>71.264367816091948</v>
      </c>
      <c r="G23" s="10">
        <f t="shared" si="2"/>
        <v>9.1954022988505741</v>
      </c>
      <c r="H23" s="11">
        <f t="shared" si="3"/>
        <v>19.540229885057471</v>
      </c>
    </row>
    <row r="24" spans="1:8" x14ac:dyDescent="0.35">
      <c r="A24" s="7" t="s">
        <v>26</v>
      </c>
      <c r="B24" s="1">
        <v>55</v>
      </c>
      <c r="C24" s="2">
        <v>8</v>
      </c>
      <c r="D24" s="3">
        <v>20</v>
      </c>
      <c r="E24" s="7">
        <f t="shared" si="0"/>
        <v>83</v>
      </c>
      <c r="F24" s="9">
        <f t="shared" si="1"/>
        <v>66.265060240963862</v>
      </c>
      <c r="G24" s="10">
        <f t="shared" si="2"/>
        <v>9.6385542168674707</v>
      </c>
      <c r="H24" s="11">
        <f t="shared" si="3"/>
        <v>24.096385542168676</v>
      </c>
    </row>
    <row r="25" spans="1:8" x14ac:dyDescent="0.35">
      <c r="A25" s="7" t="s">
        <v>27</v>
      </c>
      <c r="B25" s="1">
        <v>54</v>
      </c>
      <c r="C25" s="2">
        <v>9</v>
      </c>
      <c r="D25" s="3">
        <v>7</v>
      </c>
      <c r="E25" s="7">
        <f t="shared" si="0"/>
        <v>70</v>
      </c>
      <c r="F25" s="9">
        <f t="shared" si="1"/>
        <v>77.142857142857139</v>
      </c>
      <c r="G25" s="10">
        <f t="shared" si="2"/>
        <v>12.857142857142858</v>
      </c>
      <c r="H25" s="11">
        <f t="shared" si="3"/>
        <v>10</v>
      </c>
    </row>
    <row r="26" spans="1:8" x14ac:dyDescent="0.35">
      <c r="A26" s="7" t="s">
        <v>28</v>
      </c>
      <c r="B26" s="1">
        <v>76</v>
      </c>
      <c r="C26" s="2">
        <v>9</v>
      </c>
      <c r="D26" s="3">
        <v>19</v>
      </c>
      <c r="E26" s="7">
        <f t="shared" si="0"/>
        <v>104</v>
      </c>
      <c r="F26" s="9">
        <f t="shared" si="1"/>
        <v>73.07692307692308</v>
      </c>
      <c r="G26" s="10">
        <f t="shared" si="2"/>
        <v>8.6538461538461533</v>
      </c>
      <c r="H26" s="11">
        <f t="shared" si="3"/>
        <v>18.26923076923077</v>
      </c>
    </row>
    <row r="27" spans="1:8" x14ac:dyDescent="0.35">
      <c r="A27" s="7" t="s">
        <v>29</v>
      </c>
      <c r="B27" s="1">
        <v>63</v>
      </c>
      <c r="C27" s="2">
        <v>9</v>
      </c>
      <c r="D27" s="3">
        <v>16</v>
      </c>
      <c r="E27" s="7">
        <f t="shared" si="0"/>
        <v>88</v>
      </c>
      <c r="F27" s="9">
        <f t="shared" si="1"/>
        <v>71.590909090909093</v>
      </c>
      <c r="G27" s="10">
        <f t="shared" si="2"/>
        <v>10.227272727272727</v>
      </c>
      <c r="H27" s="11">
        <f t="shared" si="3"/>
        <v>18.181818181818183</v>
      </c>
    </row>
    <row r="28" spans="1:8" x14ac:dyDescent="0.35">
      <c r="A28" s="7" t="s">
        <v>30</v>
      </c>
      <c r="B28" s="1">
        <v>36</v>
      </c>
      <c r="C28" s="2">
        <v>9</v>
      </c>
      <c r="D28" s="3">
        <v>28</v>
      </c>
      <c r="E28" s="7">
        <f t="shared" si="0"/>
        <v>73</v>
      </c>
      <c r="F28" s="9">
        <f t="shared" si="1"/>
        <v>49.315068493150683</v>
      </c>
      <c r="G28" s="10">
        <f t="shared" si="2"/>
        <v>12.328767123287671</v>
      </c>
      <c r="H28" s="11">
        <f t="shared" si="3"/>
        <v>38.356164383561641</v>
      </c>
    </row>
    <row r="29" spans="1:8" x14ac:dyDescent="0.35">
      <c r="A29" s="7" t="s">
        <v>31</v>
      </c>
      <c r="B29" s="1">
        <v>72</v>
      </c>
      <c r="C29" s="2">
        <v>10</v>
      </c>
      <c r="D29" s="3">
        <v>15</v>
      </c>
      <c r="E29" s="7">
        <f t="shared" si="0"/>
        <v>97</v>
      </c>
      <c r="F29" s="9">
        <f t="shared" si="1"/>
        <v>74.226804123711347</v>
      </c>
      <c r="G29" s="10">
        <f t="shared" si="2"/>
        <v>10.309278350515465</v>
      </c>
      <c r="H29" s="11">
        <f t="shared" si="3"/>
        <v>15.463917525773196</v>
      </c>
    </row>
    <row r="30" spans="1:8" x14ac:dyDescent="0.35">
      <c r="A30" s="7" t="s">
        <v>32</v>
      </c>
      <c r="B30" s="1">
        <v>72</v>
      </c>
      <c r="C30" s="2">
        <v>10</v>
      </c>
      <c r="D30" s="3">
        <v>15</v>
      </c>
      <c r="E30" s="7">
        <f t="shared" si="0"/>
        <v>97</v>
      </c>
      <c r="F30" s="9">
        <f t="shared" si="1"/>
        <v>74.226804123711347</v>
      </c>
      <c r="G30" s="10">
        <f t="shared" si="2"/>
        <v>10.309278350515465</v>
      </c>
      <c r="H30" s="11">
        <f t="shared" si="3"/>
        <v>15.463917525773196</v>
      </c>
    </row>
    <row r="31" spans="1:8" x14ac:dyDescent="0.35">
      <c r="A31" s="7" t="s">
        <v>33</v>
      </c>
      <c r="B31" s="1">
        <v>72</v>
      </c>
      <c r="C31" s="2">
        <v>10</v>
      </c>
      <c r="D31" s="3">
        <v>8</v>
      </c>
      <c r="E31" s="7">
        <f t="shared" si="0"/>
        <v>90</v>
      </c>
      <c r="F31" s="9">
        <f t="shared" si="1"/>
        <v>80</v>
      </c>
      <c r="G31" s="10">
        <f t="shared" si="2"/>
        <v>11.111111111111111</v>
      </c>
      <c r="H31" s="11">
        <f t="shared" si="3"/>
        <v>8.8888888888888893</v>
      </c>
    </row>
    <row r="32" spans="1:8" x14ac:dyDescent="0.35">
      <c r="A32" s="7" t="s">
        <v>34</v>
      </c>
      <c r="B32" s="1">
        <v>75</v>
      </c>
      <c r="C32" s="2">
        <v>10</v>
      </c>
      <c r="D32" s="3">
        <v>23</v>
      </c>
      <c r="E32" s="7">
        <f t="shared" si="0"/>
        <v>108</v>
      </c>
      <c r="F32" s="9">
        <f t="shared" si="1"/>
        <v>69.444444444444443</v>
      </c>
      <c r="G32" s="10">
        <f t="shared" si="2"/>
        <v>9.2592592592592595</v>
      </c>
      <c r="H32" s="11">
        <f t="shared" si="3"/>
        <v>21.296296296296298</v>
      </c>
    </row>
    <row r="33" spans="1:8" x14ac:dyDescent="0.35">
      <c r="A33" s="7" t="s">
        <v>35</v>
      </c>
      <c r="B33" s="1">
        <v>84</v>
      </c>
      <c r="C33" s="2">
        <v>10</v>
      </c>
      <c r="D33" s="3">
        <v>14</v>
      </c>
      <c r="E33" s="7">
        <f t="shared" si="0"/>
        <v>108</v>
      </c>
      <c r="F33" s="9">
        <f t="shared" si="1"/>
        <v>77.777777777777771</v>
      </c>
      <c r="G33" s="10">
        <f t="shared" si="2"/>
        <v>9.2592592592592595</v>
      </c>
      <c r="H33" s="11">
        <f t="shared" si="3"/>
        <v>12.962962962962964</v>
      </c>
    </row>
    <row r="34" spans="1:8" x14ac:dyDescent="0.35">
      <c r="A34" s="7" t="s">
        <v>36</v>
      </c>
      <c r="B34" s="1">
        <v>62</v>
      </c>
      <c r="C34" s="2">
        <v>10</v>
      </c>
      <c r="D34" s="3">
        <v>19</v>
      </c>
      <c r="E34" s="7">
        <f t="shared" ref="E34:E58" si="4">B34+C34+D34</f>
        <v>91</v>
      </c>
      <c r="F34" s="9">
        <f t="shared" ref="F34:F58" si="5">(B34*100)/E34</f>
        <v>68.131868131868131</v>
      </c>
      <c r="G34" s="10">
        <f t="shared" ref="G34:G58" si="6">(C34*100)/E34</f>
        <v>10.989010989010989</v>
      </c>
      <c r="H34" s="11">
        <f t="shared" ref="H34:H58" si="7">(D34*100)/E34</f>
        <v>20.87912087912088</v>
      </c>
    </row>
    <row r="35" spans="1:8" x14ac:dyDescent="0.35">
      <c r="A35" s="7" t="s">
        <v>37</v>
      </c>
      <c r="B35" s="1">
        <v>35</v>
      </c>
      <c r="C35" s="2">
        <v>10</v>
      </c>
      <c r="D35" s="3">
        <v>31</v>
      </c>
      <c r="E35" s="7">
        <f t="shared" si="4"/>
        <v>76</v>
      </c>
      <c r="F35" s="9">
        <f t="shared" si="5"/>
        <v>46.05263157894737</v>
      </c>
      <c r="G35" s="10">
        <f t="shared" si="6"/>
        <v>13.157894736842104</v>
      </c>
      <c r="H35" s="11">
        <f t="shared" si="7"/>
        <v>40.789473684210527</v>
      </c>
    </row>
    <row r="36" spans="1:8" x14ac:dyDescent="0.35">
      <c r="A36" s="7" t="s">
        <v>8</v>
      </c>
      <c r="B36" s="1">
        <v>71</v>
      </c>
      <c r="C36" s="2">
        <v>11</v>
      </c>
      <c r="D36" s="3">
        <v>7</v>
      </c>
      <c r="E36" s="7">
        <f t="shared" si="4"/>
        <v>89</v>
      </c>
      <c r="F36" s="9">
        <f t="shared" si="5"/>
        <v>79.775280898876403</v>
      </c>
      <c r="G36" s="10">
        <f t="shared" si="6"/>
        <v>12.359550561797754</v>
      </c>
      <c r="H36" s="11">
        <f t="shared" si="7"/>
        <v>7.8651685393258424</v>
      </c>
    </row>
    <row r="37" spans="1:8" x14ac:dyDescent="0.35">
      <c r="A37" s="7" t="s">
        <v>38</v>
      </c>
      <c r="B37" s="1">
        <v>71</v>
      </c>
      <c r="C37" s="2">
        <v>11</v>
      </c>
      <c r="D37" s="3">
        <v>13</v>
      </c>
      <c r="E37" s="7">
        <f t="shared" si="4"/>
        <v>95</v>
      </c>
      <c r="F37" s="9">
        <f t="shared" si="5"/>
        <v>74.736842105263165</v>
      </c>
      <c r="G37" s="10">
        <f t="shared" si="6"/>
        <v>11.578947368421053</v>
      </c>
      <c r="H37" s="11">
        <f t="shared" si="7"/>
        <v>13.684210526315789</v>
      </c>
    </row>
    <row r="38" spans="1:8" x14ac:dyDescent="0.35">
      <c r="A38" s="7" t="s">
        <v>39</v>
      </c>
      <c r="B38" s="1">
        <v>41</v>
      </c>
      <c r="C38" s="2">
        <v>11</v>
      </c>
      <c r="D38" s="3">
        <v>21</v>
      </c>
      <c r="E38" s="7">
        <f t="shared" si="4"/>
        <v>73</v>
      </c>
      <c r="F38" s="9">
        <f t="shared" si="5"/>
        <v>56.164383561643838</v>
      </c>
      <c r="G38" s="10">
        <f t="shared" si="6"/>
        <v>15.068493150684931</v>
      </c>
      <c r="H38" s="11">
        <f t="shared" si="7"/>
        <v>28.767123287671232</v>
      </c>
    </row>
    <row r="39" spans="1:8" x14ac:dyDescent="0.35">
      <c r="A39" s="7" t="s">
        <v>40</v>
      </c>
      <c r="B39" s="1">
        <v>74</v>
      </c>
      <c r="C39" s="2">
        <v>11</v>
      </c>
      <c r="D39" s="3">
        <v>27</v>
      </c>
      <c r="E39" s="7">
        <f t="shared" si="4"/>
        <v>112</v>
      </c>
      <c r="F39" s="9">
        <f t="shared" si="5"/>
        <v>66.071428571428569</v>
      </c>
      <c r="G39" s="10">
        <f t="shared" si="6"/>
        <v>9.8214285714285712</v>
      </c>
      <c r="H39" s="11">
        <f t="shared" si="7"/>
        <v>24.107142857142858</v>
      </c>
    </row>
    <row r="40" spans="1:8" x14ac:dyDescent="0.35">
      <c r="A40" s="7" t="s">
        <v>41</v>
      </c>
      <c r="B40" s="1">
        <v>65</v>
      </c>
      <c r="C40" s="2">
        <v>11</v>
      </c>
      <c r="D40" s="3">
        <v>14</v>
      </c>
      <c r="E40" s="7">
        <f t="shared" si="4"/>
        <v>90</v>
      </c>
      <c r="F40" s="9">
        <f t="shared" si="5"/>
        <v>72.222222222222229</v>
      </c>
      <c r="G40" s="10">
        <f t="shared" si="6"/>
        <v>12.222222222222221</v>
      </c>
      <c r="H40" s="11">
        <f t="shared" si="7"/>
        <v>15.555555555555555</v>
      </c>
    </row>
    <row r="41" spans="1:8" x14ac:dyDescent="0.35">
      <c r="A41" s="7" t="s">
        <v>42</v>
      </c>
      <c r="B41" s="1">
        <v>79</v>
      </c>
      <c r="C41" s="2">
        <v>11</v>
      </c>
      <c r="D41" s="3">
        <v>18</v>
      </c>
      <c r="E41" s="7">
        <f t="shared" si="4"/>
        <v>108</v>
      </c>
      <c r="F41" s="9">
        <f t="shared" si="5"/>
        <v>73.148148148148152</v>
      </c>
      <c r="G41" s="10">
        <f t="shared" si="6"/>
        <v>10.185185185185185</v>
      </c>
      <c r="H41" s="11">
        <f t="shared" si="7"/>
        <v>16.666666666666668</v>
      </c>
    </row>
    <row r="42" spans="1:8" x14ac:dyDescent="0.35">
      <c r="A42" s="7" t="s">
        <v>43</v>
      </c>
      <c r="B42" s="1">
        <v>52</v>
      </c>
      <c r="C42" s="2">
        <v>12</v>
      </c>
      <c r="D42" s="3">
        <v>15</v>
      </c>
      <c r="E42" s="7">
        <f t="shared" si="4"/>
        <v>79</v>
      </c>
      <c r="F42" s="9">
        <f t="shared" si="5"/>
        <v>65.822784810126578</v>
      </c>
      <c r="G42" s="10">
        <f t="shared" si="6"/>
        <v>15.189873417721518</v>
      </c>
      <c r="H42" s="11">
        <f t="shared" si="7"/>
        <v>18.9873417721519</v>
      </c>
    </row>
    <row r="43" spans="1:8" x14ac:dyDescent="0.35">
      <c r="A43" s="7" t="s">
        <v>44</v>
      </c>
      <c r="B43" s="1">
        <v>64</v>
      </c>
      <c r="C43" s="2">
        <v>12</v>
      </c>
      <c r="D43" s="3">
        <v>16</v>
      </c>
      <c r="E43" s="7">
        <f t="shared" si="4"/>
        <v>92</v>
      </c>
      <c r="F43" s="9">
        <f t="shared" si="5"/>
        <v>69.565217391304344</v>
      </c>
      <c r="G43" s="10">
        <f t="shared" si="6"/>
        <v>13.043478260869565</v>
      </c>
      <c r="H43" s="11">
        <f t="shared" si="7"/>
        <v>17.391304347826086</v>
      </c>
    </row>
    <row r="44" spans="1:8" x14ac:dyDescent="0.35">
      <c r="A44" s="7" t="s">
        <v>45</v>
      </c>
      <c r="B44" s="1">
        <v>64</v>
      </c>
      <c r="C44" s="2">
        <v>12</v>
      </c>
      <c r="D44" s="3">
        <v>15</v>
      </c>
      <c r="E44" s="7">
        <f t="shared" si="4"/>
        <v>91</v>
      </c>
      <c r="F44" s="9">
        <f t="shared" si="5"/>
        <v>70.329670329670336</v>
      </c>
      <c r="G44" s="10">
        <f t="shared" si="6"/>
        <v>13.186813186813186</v>
      </c>
      <c r="H44" s="11">
        <f t="shared" si="7"/>
        <v>16.483516483516482</v>
      </c>
    </row>
    <row r="45" spans="1:8" x14ac:dyDescent="0.35">
      <c r="A45" s="7" t="s">
        <v>46</v>
      </c>
      <c r="B45" s="1">
        <v>78</v>
      </c>
      <c r="C45" s="2">
        <v>12</v>
      </c>
      <c r="D45" s="3">
        <v>21</v>
      </c>
      <c r="E45" s="7">
        <f t="shared" si="4"/>
        <v>111</v>
      </c>
      <c r="F45" s="9">
        <f t="shared" si="5"/>
        <v>70.270270270270274</v>
      </c>
      <c r="G45" s="10">
        <f t="shared" si="6"/>
        <v>10.810810810810811</v>
      </c>
      <c r="H45" s="11">
        <f t="shared" si="7"/>
        <v>18.918918918918919</v>
      </c>
    </row>
    <row r="46" spans="1:8" x14ac:dyDescent="0.35">
      <c r="A46" s="7" t="s">
        <v>47</v>
      </c>
      <c r="B46" s="1">
        <v>81</v>
      </c>
      <c r="C46" s="2">
        <v>12</v>
      </c>
      <c r="D46" s="3">
        <v>16</v>
      </c>
      <c r="E46" s="7">
        <f t="shared" si="4"/>
        <v>109</v>
      </c>
      <c r="F46" s="9">
        <f t="shared" si="5"/>
        <v>74.311926605504581</v>
      </c>
      <c r="G46" s="10">
        <f t="shared" si="6"/>
        <v>11.009174311926605</v>
      </c>
      <c r="H46" s="11">
        <f t="shared" si="7"/>
        <v>14.678899082568808</v>
      </c>
    </row>
    <row r="47" spans="1:8" x14ac:dyDescent="0.35">
      <c r="A47" s="7" t="s">
        <v>48</v>
      </c>
      <c r="B47" s="1">
        <v>50</v>
      </c>
      <c r="C47" s="2">
        <v>13</v>
      </c>
      <c r="D47" s="3">
        <v>17</v>
      </c>
      <c r="E47" s="7">
        <f t="shared" si="4"/>
        <v>80</v>
      </c>
      <c r="F47" s="9">
        <f t="shared" si="5"/>
        <v>62.5</v>
      </c>
      <c r="G47" s="10">
        <f t="shared" si="6"/>
        <v>16.25</v>
      </c>
      <c r="H47" s="11">
        <f t="shared" si="7"/>
        <v>21.25</v>
      </c>
    </row>
    <row r="48" spans="1:8" x14ac:dyDescent="0.35">
      <c r="A48" s="7" t="s">
        <v>49</v>
      </c>
      <c r="B48" s="1">
        <v>81</v>
      </c>
      <c r="C48" s="2">
        <v>13</v>
      </c>
      <c r="D48" s="3">
        <v>16</v>
      </c>
      <c r="E48" s="7">
        <f t="shared" si="4"/>
        <v>110</v>
      </c>
      <c r="F48" s="9">
        <f t="shared" si="5"/>
        <v>73.63636363636364</v>
      </c>
      <c r="G48" s="10">
        <f t="shared" si="6"/>
        <v>11.818181818181818</v>
      </c>
      <c r="H48" s="11">
        <f t="shared" si="7"/>
        <v>14.545454545454545</v>
      </c>
    </row>
    <row r="49" spans="1:8" x14ac:dyDescent="0.35">
      <c r="A49" s="7" t="s">
        <v>50</v>
      </c>
      <c r="B49" s="1">
        <v>51</v>
      </c>
      <c r="C49" s="2">
        <v>13</v>
      </c>
      <c r="D49" s="3">
        <v>14</v>
      </c>
      <c r="E49" s="7">
        <f t="shared" si="4"/>
        <v>78</v>
      </c>
      <c r="F49" s="9">
        <f t="shared" si="5"/>
        <v>65.384615384615387</v>
      </c>
      <c r="G49" s="10">
        <f t="shared" si="6"/>
        <v>16.666666666666668</v>
      </c>
      <c r="H49" s="11">
        <f t="shared" si="7"/>
        <v>17.948717948717949</v>
      </c>
    </row>
    <row r="50" spans="1:8" x14ac:dyDescent="0.35">
      <c r="A50" s="7" t="s">
        <v>51</v>
      </c>
      <c r="B50" s="1">
        <v>63</v>
      </c>
      <c r="C50" s="2">
        <v>13</v>
      </c>
      <c r="D50" s="3">
        <v>13</v>
      </c>
      <c r="E50" s="7">
        <f t="shared" si="4"/>
        <v>89</v>
      </c>
      <c r="F50" s="9">
        <f t="shared" si="5"/>
        <v>70.786516853932582</v>
      </c>
      <c r="G50" s="10">
        <f t="shared" si="6"/>
        <v>14.606741573033707</v>
      </c>
      <c r="H50" s="11">
        <f t="shared" si="7"/>
        <v>14.606741573033707</v>
      </c>
    </row>
    <row r="51" spans="1:8" x14ac:dyDescent="0.35">
      <c r="A51" s="7" t="s">
        <v>52</v>
      </c>
      <c r="B51" s="1">
        <v>63</v>
      </c>
      <c r="C51" s="2">
        <v>13</v>
      </c>
      <c r="D51" s="3">
        <v>21</v>
      </c>
      <c r="E51" s="7">
        <f t="shared" si="4"/>
        <v>97</v>
      </c>
      <c r="F51" s="9">
        <f t="shared" si="5"/>
        <v>64.948453608247419</v>
      </c>
      <c r="G51" s="10">
        <f t="shared" si="6"/>
        <v>13.402061855670103</v>
      </c>
      <c r="H51" s="11">
        <f t="shared" si="7"/>
        <v>21.649484536082475</v>
      </c>
    </row>
    <row r="52" spans="1:8" x14ac:dyDescent="0.35">
      <c r="A52" s="7" t="s">
        <v>53</v>
      </c>
      <c r="B52" s="1">
        <v>77</v>
      </c>
      <c r="C52" s="2">
        <v>13</v>
      </c>
      <c r="D52" s="3">
        <v>25</v>
      </c>
      <c r="E52" s="7">
        <f t="shared" si="4"/>
        <v>115</v>
      </c>
      <c r="F52" s="9">
        <f t="shared" si="5"/>
        <v>66.956521739130437</v>
      </c>
      <c r="G52" s="10">
        <f t="shared" si="6"/>
        <v>11.304347826086957</v>
      </c>
      <c r="H52" s="11">
        <f t="shared" si="7"/>
        <v>21.739130434782609</v>
      </c>
    </row>
    <row r="53" spans="1:8" x14ac:dyDescent="0.35">
      <c r="A53" s="7" t="s">
        <v>54</v>
      </c>
      <c r="B53" s="1">
        <v>56</v>
      </c>
      <c r="C53" s="2">
        <v>14</v>
      </c>
      <c r="D53" s="3">
        <v>19</v>
      </c>
      <c r="E53" s="7">
        <f t="shared" si="4"/>
        <v>89</v>
      </c>
      <c r="F53" s="9">
        <f t="shared" si="5"/>
        <v>62.921348314606739</v>
      </c>
      <c r="G53" s="10">
        <f t="shared" si="6"/>
        <v>15.730337078651685</v>
      </c>
      <c r="H53" s="11">
        <f t="shared" si="7"/>
        <v>21.348314606741575</v>
      </c>
    </row>
    <row r="54" spans="1:8" x14ac:dyDescent="0.35">
      <c r="A54" s="7" t="s">
        <v>55</v>
      </c>
      <c r="B54" s="1">
        <v>79</v>
      </c>
      <c r="C54" s="2">
        <v>14</v>
      </c>
      <c r="D54" s="3">
        <v>17</v>
      </c>
      <c r="E54" s="7">
        <f t="shared" si="4"/>
        <v>110</v>
      </c>
      <c r="F54" s="9">
        <f t="shared" si="5"/>
        <v>71.818181818181813</v>
      </c>
      <c r="G54" s="10">
        <f t="shared" si="6"/>
        <v>12.727272727272727</v>
      </c>
      <c r="H54" s="11">
        <f t="shared" si="7"/>
        <v>15.454545454545455</v>
      </c>
    </row>
    <row r="55" spans="1:8" x14ac:dyDescent="0.35">
      <c r="A55" s="7" t="s">
        <v>56</v>
      </c>
      <c r="B55" s="1">
        <v>50</v>
      </c>
      <c r="C55" s="2">
        <v>15</v>
      </c>
      <c r="D55" s="3">
        <v>16</v>
      </c>
      <c r="E55" s="7">
        <f t="shared" si="4"/>
        <v>81</v>
      </c>
      <c r="F55" s="9">
        <f t="shared" si="5"/>
        <v>61.728395061728392</v>
      </c>
      <c r="G55" s="10">
        <f t="shared" si="6"/>
        <v>18.518518518518519</v>
      </c>
      <c r="H55" s="11">
        <f t="shared" si="7"/>
        <v>19.753086419753085</v>
      </c>
    </row>
    <row r="56" spans="1:8" x14ac:dyDescent="0.35">
      <c r="A56" s="7" t="s">
        <v>57</v>
      </c>
      <c r="B56" s="1">
        <v>78</v>
      </c>
      <c r="C56" s="2">
        <v>16</v>
      </c>
      <c r="D56" s="3">
        <v>21</v>
      </c>
      <c r="E56" s="7">
        <f t="shared" si="4"/>
        <v>115</v>
      </c>
      <c r="F56" s="9">
        <f t="shared" si="5"/>
        <v>67.826086956521735</v>
      </c>
      <c r="G56" s="10">
        <f t="shared" si="6"/>
        <v>13.913043478260869</v>
      </c>
      <c r="H56" s="11">
        <f t="shared" si="7"/>
        <v>18.260869565217391</v>
      </c>
    </row>
    <row r="57" spans="1:8" x14ac:dyDescent="0.35">
      <c r="A57" s="7" t="s">
        <v>58</v>
      </c>
      <c r="B57" s="1">
        <v>77</v>
      </c>
      <c r="C57" s="2">
        <v>16</v>
      </c>
      <c r="D57" s="3">
        <v>23</v>
      </c>
      <c r="E57" s="7">
        <f t="shared" si="4"/>
        <v>116</v>
      </c>
      <c r="F57" s="9">
        <f t="shared" si="5"/>
        <v>66.379310344827587</v>
      </c>
      <c r="G57" s="10">
        <f t="shared" si="6"/>
        <v>13.793103448275861</v>
      </c>
      <c r="H57" s="11">
        <f t="shared" si="7"/>
        <v>19.827586206896552</v>
      </c>
    </row>
    <row r="58" spans="1:8" ht="15" thickBot="1" x14ac:dyDescent="0.4">
      <c r="A58" s="8" t="s">
        <v>59</v>
      </c>
      <c r="B58" s="4">
        <v>53</v>
      </c>
      <c r="C58" s="5">
        <v>19</v>
      </c>
      <c r="D58" s="6">
        <v>16</v>
      </c>
      <c r="E58" s="8">
        <f t="shared" si="4"/>
        <v>88</v>
      </c>
      <c r="F58" s="12">
        <f t="shared" si="5"/>
        <v>60.227272727272727</v>
      </c>
      <c r="G58" s="13">
        <f t="shared" si="6"/>
        <v>21.59090909090909</v>
      </c>
      <c r="H58" s="14">
        <f t="shared" si="7"/>
        <v>18.181818181818183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BA2AD5C3387244E842F49B75E7CABBF" ma:contentTypeVersion="4" ma:contentTypeDescription="Umožňuje vytvoriť nový dokument." ma:contentTypeScope="" ma:versionID="7630fbbcd206475dd23331d6f58bde02">
  <xsd:schema xmlns:xsd="http://www.w3.org/2001/XMLSchema" xmlns:xs="http://www.w3.org/2001/XMLSchema" xmlns:p="http://schemas.microsoft.com/office/2006/metadata/properties" xmlns:ns2="aafb24bc-277b-4dc5-846f-d91af4b3741a" targetNamespace="http://schemas.microsoft.com/office/2006/metadata/properties" ma:root="true" ma:fieldsID="0b7c14a9e3b58bfded21c898f4f47615" ns2:_="">
    <xsd:import namespace="aafb24bc-277b-4dc5-846f-d91af4b374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fb24bc-277b-4dc5-846f-d91af4b374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78F86B-635B-4054-BD68-45033E25E5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fb24bc-277b-4dc5-846f-d91af4b374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DC99CB-0A18-40DB-8CD5-86CB8F6C4E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233185-C6B9-40E3-8E7E-FD53BBDF90D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Venn diagrams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Šamulková Michaela</dc:creator>
  <cp:keywords/>
  <dc:description/>
  <cp:lastModifiedBy>Article Authors</cp:lastModifiedBy>
  <cp:revision/>
  <dcterms:created xsi:type="dcterms:W3CDTF">2024-10-01T13:14:35Z</dcterms:created>
  <dcterms:modified xsi:type="dcterms:W3CDTF">2025-08-10T11:55:14Z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0x010100EBA2AD5C3387244E842F49B75E7CABBF</vt:lpwstr>
  </property>
</Properties>
</file>