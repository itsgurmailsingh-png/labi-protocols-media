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ultry farms" sheetId="1" r:id="rId4"/>
    <sheet state="visible" name="Data collection" sheetId="2" r:id="rId5"/>
    <sheet state="visible" name="WOAH data" sheetId="3" r:id="rId6"/>
    <sheet state="visible" name="Genbank" sheetId="4" r:id="rId7"/>
    <sheet state="visible" name="ELISA Ms" sheetId="5" r:id="rId8"/>
    <sheet state="visible" name="ELISA Mg" sheetId="6" r:id="rId9"/>
    <sheet state="visible" name="ELISA CAV" sheetId="7" r:id="rId10"/>
    <sheet state="visible" name="ELISA ORT" sheetId="8" r:id="rId11"/>
    <sheet state="visible" name="Questionaire" sheetId="9" r:id="rId12"/>
  </sheets>
  <definedNames>
    <definedName hidden="1" localSheetId="2" name="_xlnm._FilterDatabase">'WOAH data'!$A$1:$K$29</definedName>
    <definedName hidden="1" localSheetId="8" name="_xlnm._FilterDatabase">Questionaire!$A$1:$X$17</definedName>
  </definedNames>
  <calcPr/>
  <extLst>
    <ext uri="GoogleSheetsCustomDataVersion2">
      <go:sheetsCustomData xmlns:go="http://customooxmlschemas.google.com/" r:id="rId13" roundtripDataChecksum="LynlnfX4TWiNkBg6daPYVQ7mQDN1fs0QOrOfw78kpwE="/>
    </ext>
  </extLst>
</workbook>
</file>

<file path=xl/sharedStrings.xml><?xml version="1.0" encoding="utf-8"?>
<sst xmlns="http://schemas.openxmlformats.org/spreadsheetml/2006/main" count="1229" uniqueCount="423">
  <si>
    <t>Poultry farm</t>
  </si>
  <si>
    <t>Production direction</t>
  </si>
  <si>
    <t>Region</t>
  </si>
  <si>
    <t>Priirtyshskaya Broiler Poultry Farm LLP</t>
  </si>
  <si>
    <t>Broiler</t>
  </si>
  <si>
    <t>Abai region</t>
  </si>
  <si>
    <t>Vostok Broiler LLP</t>
  </si>
  <si>
    <t>SEMEI QUS LLP</t>
  </si>
  <si>
    <t>Commercial layer</t>
  </si>
  <si>
    <t>Breeding Farm "Astana-kus" LLP</t>
  </si>
  <si>
    <t>Breeder</t>
  </si>
  <si>
    <t>Akmola region</t>
  </si>
  <si>
    <t>Izhevskiy Production Cooperative</t>
  </si>
  <si>
    <t>Breeder + Broiler</t>
  </si>
  <si>
    <t>Makinskaya Poultry Farm LLP, part of the Aitas KZ holding</t>
  </si>
  <si>
    <t>CAPITAL PROJECTS LTD LLP, part of the Shanyrak Management Company LLP</t>
  </si>
  <si>
    <t>Akdala Agro LLP</t>
  </si>
  <si>
    <t>Astrakhan poultry farm APP, LLP</t>
  </si>
  <si>
    <t>BLIC TERMINAL LLP</t>
  </si>
  <si>
    <t>TSELINOGRAD POULTRY FARM LLP, part of the Shanyrak Management Company LLP</t>
  </si>
  <si>
    <t>Kazger-kus LLP</t>
  </si>
  <si>
    <t>AgroInvest-2015 LLP</t>
  </si>
  <si>
    <t>Aqkol Kus LLP</t>
  </si>
  <si>
    <t>Jardin Farms LLP</t>
  </si>
  <si>
    <t>Akkus-Aktobe LLP</t>
  </si>
  <si>
    <t>Aktobe region</t>
  </si>
  <si>
    <t>ADM INVESTMENT LLP</t>
  </si>
  <si>
    <t>Nauryz Agro LTD  LLP, part of the Aitas KZ holding</t>
  </si>
  <si>
    <t>Almaty region</t>
  </si>
  <si>
    <t>ALATAU-QUS JSC</t>
  </si>
  <si>
    <t xml:space="preserve">ALEL AGRO JSC </t>
  </si>
  <si>
    <t>Prima Qus" LLP</t>
  </si>
  <si>
    <t>OTAN Green Food LLP</t>
  </si>
  <si>
    <t>QazAkKus LLP</t>
  </si>
  <si>
    <t>NURLY-KUS LLP</t>
  </si>
  <si>
    <t>ALSAD KAZAKHSTAN LTD</t>
  </si>
  <si>
    <t>Sary-Bulak Company LLP</t>
  </si>
  <si>
    <t>Qazaqhstan Qustary</t>
  </si>
  <si>
    <t>Almaly kus, LLP</t>
  </si>
  <si>
    <t>Atyrau region</t>
  </si>
  <si>
    <t>Atyrau-Sauda</t>
  </si>
  <si>
    <t>Plemptitsa LLP</t>
  </si>
  <si>
    <t>East Kazakhstan region</t>
  </si>
  <si>
    <t>Ust-Kamenogorsk Poultry Farm JSC, part of the Aitas KZ holding</t>
  </si>
  <si>
    <t>Koger LTD LLP</t>
  </si>
  <si>
    <t>Jetisu region</t>
  </si>
  <si>
    <t xml:space="preserve">Lomann-Zhetisu LLP </t>
  </si>
  <si>
    <t>A-Altyn LLP</t>
  </si>
  <si>
    <t>Karagandy region</t>
  </si>
  <si>
    <t>Aknar PF LLP</t>
  </si>
  <si>
    <t>Ushtobe Qus LLP, part of the Shanyrak Management Company LLP</t>
  </si>
  <si>
    <t>KARAGANDY-QUS LLP</t>
  </si>
  <si>
    <t>Maikuduk poultry farm LLP</t>
  </si>
  <si>
    <t>Agrofirm Kurma LLP</t>
  </si>
  <si>
    <t>Aktau agro LLP</t>
  </si>
  <si>
    <t>Mangystau region</t>
  </si>
  <si>
    <t>Petropavlovsk broiler farm LLP</t>
  </si>
  <si>
    <t>North Kazakhstan region</t>
  </si>
  <si>
    <t>Zhana Kus PTF LLP</t>
  </si>
  <si>
    <t>Bishkulskaya poultry farm LLP</t>
  </si>
  <si>
    <t>YAKORSKAYA POULTRY FARM, TOO</t>
  </si>
  <si>
    <t>PTF Yesilskaya LLP</t>
  </si>
  <si>
    <t>Firm Alekri LLP</t>
  </si>
  <si>
    <t>Adele Kus LLP</t>
  </si>
  <si>
    <t>Uralskaya poultry farm</t>
  </si>
  <si>
    <t xml:space="preserve">Ptichy Dvor LLP </t>
  </si>
  <si>
    <t>PK "PAVLODAR QUS" LLP</t>
  </si>
  <si>
    <t>Pavlodar region</t>
  </si>
  <si>
    <t>Sharbakty-Kus LLP</t>
  </si>
  <si>
    <t>Turkey PVL LLP</t>
  </si>
  <si>
    <t>Turkey</t>
  </si>
  <si>
    <t>Kyzylzhar-Kus LLP</t>
  </si>
  <si>
    <t>Rinna LLP</t>
  </si>
  <si>
    <t>Qostanai region</t>
  </si>
  <si>
    <t>Broiler poultry farm Zhas Kanat</t>
  </si>
  <si>
    <t>Arkalyq Qus LLP, part of the Shanyrak Management Company LLP</t>
  </si>
  <si>
    <t>Zhas-Kanat 2006 LLP</t>
  </si>
  <si>
    <t>Sever Ptitsa JSC</t>
  </si>
  <si>
    <t>Shymkent Kus LLP</t>
  </si>
  <si>
    <t>Turkistan region</t>
  </si>
  <si>
    <t>Tassai qus LLP</t>
  </si>
  <si>
    <t>Bes Qara LLP</t>
  </si>
  <si>
    <t>Ordabasy qus LLP</t>
  </si>
  <si>
    <t>Aymar Kus LLP</t>
  </si>
  <si>
    <t>Plempticetorg LLP, part of the Shanyrak Management Company LLP</t>
  </si>
  <si>
    <t>Ulytau region</t>
  </si>
  <si>
    <t>Zhayyk meat LLP</t>
  </si>
  <si>
    <t>West Kazakhstan region</t>
  </si>
  <si>
    <t>Akas Agrofirm LLP</t>
  </si>
  <si>
    <t>Aulie-Ata-Fenix LLP</t>
  </si>
  <si>
    <t>Zhambyl region</t>
  </si>
  <si>
    <t>Almaty poultry farm Sunkar LLP</t>
  </si>
  <si>
    <t>Аса DAMU LLP</t>
  </si>
  <si>
    <t>Zhambyl Qus LLP</t>
  </si>
  <si>
    <t>Karmakshy Kus LLP</t>
  </si>
  <si>
    <t>Kyzylorda region</t>
  </si>
  <si>
    <t xml:space="preserve">Collection of official data </t>
  </si>
  <si>
    <t xml:space="preserve">Creation of reliable database </t>
  </si>
  <si>
    <t>The practical realities</t>
  </si>
  <si>
    <t>Уплаченная цена (доллары США)</t>
  </si>
  <si>
    <t>Прибыль за прошедший период</t>
  </si>
  <si>
    <t>Прибыль, %</t>
  </si>
  <si>
    <t>–</t>
  </si>
  <si>
    <t>country</t>
  </si>
  <si>
    <t>Administrative division</t>
  </si>
  <si>
    <t>EPIDEMIOLOGICAL UNIT</t>
  </si>
  <si>
    <t>species</t>
  </si>
  <si>
    <t>Susceptible</t>
  </si>
  <si>
    <t>Animals with positive results</t>
  </si>
  <si>
    <t>deaths</t>
  </si>
  <si>
    <t>killed and dissposed</t>
  </si>
  <si>
    <t>disease</t>
  </si>
  <si>
    <t>subType</t>
  </si>
  <si>
    <t>eventStartDate</t>
  </si>
  <si>
    <t>Data source</t>
  </si>
  <si>
    <t>Kazakhstan</t>
  </si>
  <si>
    <t>Mangghystau, Aktau, Karakol lake</t>
  </si>
  <si>
    <t>Body of water</t>
  </si>
  <si>
    <t>Mute Swan (WILD)</t>
  </si>
  <si>
    <t>Influenza A viruses of high pathogenicity (Inf. with) (non-poultry including wild birds) (2017-)</t>
  </si>
  <si>
    <t>H5 (N untyped)</t>
  </si>
  <si>
    <t>12/28/2023</t>
  </si>
  <si>
    <t>wild</t>
  </si>
  <si>
    <t>Pending</t>
  </si>
  <si>
    <t>12/20/2022</t>
  </si>
  <si>
    <t>Atyrau, Caspian sea</t>
  </si>
  <si>
    <t>6/19/2022</t>
  </si>
  <si>
    <t>North Kazakhstan, Bulaevskiy, village of lebyazhye</t>
  </si>
  <si>
    <t>backyard</t>
  </si>
  <si>
    <t>birds (domestic) poultry</t>
  </si>
  <si>
    <t>High pathogenicity avian influenza viruses (poultry) (Inf. with)</t>
  </si>
  <si>
    <t>9/22/2021</t>
  </si>
  <si>
    <t>Aktobe, mugalzharskiy, Sabyndykol villlage</t>
  </si>
  <si>
    <t>9/25/2021</t>
  </si>
  <si>
    <t>Aqmola, Tselinogradskiy, Zhalqyzkudyk village</t>
  </si>
  <si>
    <t>Aqmola, Arshalynskiy, mikhailovka village</t>
  </si>
  <si>
    <t>9/28/2021</t>
  </si>
  <si>
    <t>Pavlodar, Kachirskiy, Village of Berezovka</t>
  </si>
  <si>
    <t>North Kazakhstan, Kyzylzharskiy, Petropavlovsk city</t>
  </si>
  <si>
    <t>other</t>
  </si>
  <si>
    <t>Anatidae (unidentified) (WILD), Corvidae (unidentified) (WILD)</t>
  </si>
  <si>
    <t>North Kazakhstan, Timiryazevskiy, Belogradovka</t>
  </si>
  <si>
    <t>9/14/20</t>
  </si>
  <si>
    <t>North Kazakhstan, Tselinniy, Chernobayevka</t>
  </si>
  <si>
    <t>village</t>
  </si>
  <si>
    <t>North Kazakhstan, Shal Akyna, Suskhorabovka</t>
  </si>
  <si>
    <t>9/13/20</t>
  </si>
  <si>
    <t>North Kazakhstan, Kyzylzharskiy, Yakor</t>
  </si>
  <si>
    <t>North Kazakhstan, Taiynshinskiy, Chkalovo</t>
  </si>
  <si>
    <t>North Kazakhstan, Zhambylskiy, Novorybinka</t>
  </si>
  <si>
    <t>North Kazakhstan, Bulaevskiy, Chistovskoe</t>
  </si>
  <si>
    <t>Qostanay, Altynsarinskiy, Priozernoe</t>
  </si>
  <si>
    <t>9/17/20</t>
  </si>
  <si>
    <t>Aqmola, Akkol'skiy, Akkol</t>
  </si>
  <si>
    <t>9/22/20</t>
  </si>
  <si>
    <t>Pavlodar, Bayanaul'skiy, Bayanaul</t>
  </si>
  <si>
    <t>9/25/20</t>
  </si>
  <si>
    <t>Almaty, Karasayskiy, Merei</t>
  </si>
  <si>
    <t>farm</t>
  </si>
  <si>
    <t>10/26/20</t>
  </si>
  <si>
    <t>Karagandinskaya, Rodnikov</t>
  </si>
  <si>
    <t>Newcastle disease virus (Inf. with) </t>
  </si>
  <si>
    <t>Paramyxovirus type 1 (PMV-1)</t>
  </si>
  <si>
    <t>North Kazakhstan, Yeletsky</t>
  </si>
  <si>
    <t>6/15/2018</t>
  </si>
  <si>
    <t>Mangghystau, Aktau</t>
  </si>
  <si>
    <t>Anatidae (unidentified) (WILD)</t>
  </si>
  <si>
    <t>H5N8</t>
  </si>
  <si>
    <t>1/16/2017</t>
  </si>
  <si>
    <t>Atyrauskaya, State Nature Reserve Akzhayik</t>
  </si>
  <si>
    <t>not applicable</t>
  </si>
  <si>
    <t>Dalmatian pelican (WILD)</t>
  </si>
  <si>
    <t>H5N1</t>
  </si>
  <si>
    <t>East Kazakhstan, Makanchi</t>
  </si>
  <si>
    <t>Newcastle disease virus (Inf. with)</t>
  </si>
  <si>
    <t>4/19/13</t>
  </si>
  <si>
    <t>Mangghystau, Cape Peschannyi</t>
  </si>
  <si>
    <t>wildlife </t>
  </si>
  <si>
    <t>Pavlodarskaya, Golubovka</t>
  </si>
  <si>
    <t>H5N2</t>
  </si>
  <si>
    <t>7/22/05</t>
  </si>
  <si>
    <t>Disease</t>
  </si>
  <si>
    <t>Source of Data</t>
  </si>
  <si>
    <t>Year</t>
  </si>
  <si>
    <t>Additional Information</t>
  </si>
  <si>
    <t>Bird</t>
  </si>
  <si>
    <t xml:space="preserve">Submitted </t>
  </si>
  <si>
    <t xml:space="preserve">Newcastle disease </t>
  </si>
  <si>
    <t>Aticle</t>
  </si>
  <si>
    <t>Almaty</t>
  </si>
  <si>
    <t>FJ385767</t>
  </si>
  <si>
    <t>chicken</t>
  </si>
  <si>
    <t>Institute of Microbiology and Virology</t>
  </si>
  <si>
    <t>APMV-1/chicken/Almaty/24/98</t>
  </si>
  <si>
    <t>FJ385770</t>
  </si>
  <si>
    <t>APMV-1/chicken/Almaty/42/98</t>
  </si>
  <si>
    <t>FJ385768</t>
  </si>
  <si>
    <t>APMV-1/chicken/Almaty/32/98</t>
  </si>
  <si>
    <t>FJ385769</t>
  </si>
  <si>
    <t>APMV-1/chicken/Almaty/37/98</t>
  </si>
  <si>
    <t>Astana</t>
  </si>
  <si>
    <t>FJ385771</t>
  </si>
  <si>
    <t>APMV-1/chicken/Astana/53/98</t>
  </si>
  <si>
    <t>FJ434381</t>
  </si>
  <si>
    <t xml:space="preserve"> APMV-1/chicken/Almaty/55/00</t>
  </si>
  <si>
    <t>FJ434382</t>
  </si>
  <si>
    <t>APMV-1/chicken/Almaty/61/00</t>
  </si>
  <si>
    <t>FJ434383</t>
  </si>
  <si>
    <t>APMV-1/chicken/Almaty/64/00</t>
  </si>
  <si>
    <t>FJ434384</t>
  </si>
  <si>
    <t>APMV-1/chicken/Almaty/68/00</t>
  </si>
  <si>
    <t>Jetisu</t>
  </si>
  <si>
    <t>FJ434385</t>
  </si>
  <si>
    <t>APMV-1/chicken/Konyr/101/01</t>
  </si>
  <si>
    <t>FJ434386</t>
  </si>
  <si>
    <t>APMV-1/chicken/Konyr/125/01</t>
  </si>
  <si>
    <t>FJ434387</t>
  </si>
  <si>
    <t>APMV-1/chicken/Konyr/126/01</t>
  </si>
  <si>
    <t>FJ434388</t>
  </si>
  <si>
    <t>APMV-1/chicken/Konyr/127/01</t>
  </si>
  <si>
    <t>FJ434389</t>
  </si>
  <si>
    <t>APMV-1/chicken/Konyr/128/01</t>
  </si>
  <si>
    <t>FJ434390</t>
  </si>
  <si>
    <t xml:space="preserve">APMV-1/chicken/Taldykorgan/341/03 </t>
  </si>
  <si>
    <t>FJ434391</t>
  </si>
  <si>
    <t>APMV-1/chicken/Taldykorgan/342/03</t>
  </si>
  <si>
    <t>FJ434392</t>
  </si>
  <si>
    <t>APMV-1/chicken/Taldykorgan/343/03</t>
  </si>
  <si>
    <t>FJ434393</t>
  </si>
  <si>
    <t xml:space="preserve">APMV-1/chicken/Taldykorgan/344/03 </t>
  </si>
  <si>
    <t>FJ434394</t>
  </si>
  <si>
    <t>APMV-1/chicken/Taldykorgan/346/03</t>
  </si>
  <si>
    <t>FJ434395</t>
  </si>
  <si>
    <t>APMV-1/chicken/Almaty/540/04</t>
  </si>
  <si>
    <t>FJ434396</t>
  </si>
  <si>
    <t>APMV-1/chicken/Almaty/541/04</t>
  </si>
  <si>
    <t>FJ434397</t>
  </si>
  <si>
    <t>APMV-1/chicken/Almaty/543/04</t>
  </si>
  <si>
    <t>FJ434398</t>
  </si>
  <si>
    <t>APMV-1/chicken/Almaty/545/04</t>
  </si>
  <si>
    <t>KT719396</t>
  </si>
  <si>
    <t>Ministry of Education and Science, Research, Institute for Biological Safety Problems</t>
  </si>
  <si>
    <t>chicken/KZ/Almaty/11/2010</t>
  </si>
  <si>
    <t>North Kazakhstan</t>
  </si>
  <si>
    <t> KT719397</t>
  </si>
  <si>
    <t>chicken/KZ/SKO/12/2012</t>
  </si>
  <si>
    <t>Zhambyl</t>
  </si>
  <si>
    <t>KT719398</t>
  </si>
  <si>
    <t xml:space="preserve">chicken/KZ/Korday/05/2013 </t>
  </si>
  <si>
    <t>KT719399</t>
  </si>
  <si>
    <t>chicken/KZ/Almaty/07/2013</t>
  </si>
  <si>
    <t>Avian infectious bronchitis</t>
  </si>
  <si>
    <t>HQ840499 [18]</t>
  </si>
  <si>
    <t>Federal Centre for Animal Health (FGI ARRIAH)</t>
  </si>
  <si>
    <t>KZ/14/2007 S1</t>
  </si>
  <si>
    <t>Avian Influenza H11N9</t>
  </si>
  <si>
    <t>Genbank</t>
  </si>
  <si>
    <t>GU953274.1</t>
  </si>
  <si>
    <t>turkey</t>
  </si>
  <si>
    <t>A/turkey/Almaty/535/2004(H11N9)</t>
  </si>
  <si>
    <t>GU953272.1</t>
  </si>
  <si>
    <t>GU953271.1</t>
  </si>
  <si>
    <t>GU953273.1</t>
  </si>
  <si>
    <t xml:space="preserve"> HQ541747.1</t>
  </si>
  <si>
    <t>HQ541748.1</t>
  </si>
  <si>
    <t>HQ541749.1</t>
  </si>
  <si>
    <t>HQ541750.1</t>
  </si>
  <si>
    <t>Avian Influenza H5N8</t>
  </si>
  <si>
    <t>OP740959.1</t>
  </si>
  <si>
    <t>Research and Production Center for Microbiology and Virology</t>
  </si>
  <si>
    <t>A/Aviafauna/Kazakhstan/HA/2020(H5N8)</t>
  </si>
  <si>
    <t>OP740958.1</t>
  </si>
  <si>
    <t>OP740957.1</t>
  </si>
  <si>
    <t>OP740956.1</t>
  </si>
  <si>
    <t>OP740955.1</t>
  </si>
  <si>
    <t>OP740954.1</t>
  </si>
  <si>
    <t>OP740953.1</t>
  </si>
  <si>
    <t>OP740952.1</t>
  </si>
  <si>
    <t>OP740951.1</t>
  </si>
  <si>
    <t>ON943052.1</t>
  </si>
  <si>
    <t>Kazakh National Agrarian Research
            University</t>
  </si>
  <si>
    <t>A/chicken/Kazakhstan/23/2020(H5N8)</t>
  </si>
  <si>
    <t>ON943051.1</t>
  </si>
  <si>
    <t>ON943053.1</t>
  </si>
  <si>
    <t>ON943054.1</t>
  </si>
  <si>
    <t>ON943055.1</t>
  </si>
  <si>
    <t>ON943056.1</t>
  </si>
  <si>
    <t>ON943057.1</t>
  </si>
  <si>
    <t>ON943058.1</t>
  </si>
  <si>
    <t>Avian Influenza H5N1</t>
  </si>
  <si>
    <t>MN700651.1</t>
  </si>
  <si>
    <t>Molecular biology and genetics ingeneering, Research Institute for Biological Safety Problems, B.Momyshuly</t>
  </si>
  <si>
    <t>A/chicken/North Kazakhstan/5/2005(H5N1)</t>
  </si>
  <si>
    <t xml:space="preserve">Qaragandy </t>
  </si>
  <si>
    <t>MN880476.1</t>
  </si>
  <si>
    <t>A/chicken/Karaganda/4/2005(H5N1)</t>
  </si>
  <si>
    <t>Pavlodar</t>
  </si>
  <si>
    <t>EU213068.1</t>
  </si>
  <si>
    <t>domestic goose</t>
  </si>
  <si>
    <t>A/domestic goose/Pavlodar/1/2005(H5N1)</t>
  </si>
  <si>
    <t> EU213070.2</t>
  </si>
  <si>
    <t>EU213069.1</t>
  </si>
  <si>
    <t> EU213051.1</t>
  </si>
  <si>
    <t>EU213050.1</t>
  </si>
  <si>
    <t> EU213049.1</t>
  </si>
  <si>
    <t>EU213048.1</t>
  </si>
  <si>
    <t>EU190482.1</t>
  </si>
  <si>
    <t>FJ390030.1</t>
  </si>
  <si>
    <t>A/chicken/Astana/6/2005(H5N1</t>
  </si>
  <si>
    <t> FJ390032.1</t>
  </si>
  <si>
    <t>FJ390029.1</t>
  </si>
  <si>
    <t> FJ390028.1</t>
  </si>
  <si>
    <t>FJ390031.2</t>
  </si>
  <si>
    <t>Mycoplasma sinovia</t>
  </si>
  <si>
    <t>Date of sampling</t>
  </si>
  <si>
    <t>Egg supplier</t>
  </si>
  <si>
    <t>Location of farm, region</t>
  </si>
  <si>
    <t>Age, days</t>
  </si>
  <si>
    <t>Sample size</t>
  </si>
  <si>
    <t>Mean titer</t>
  </si>
  <si>
    <t>Positive</t>
  </si>
  <si>
    <t>Negative</t>
  </si>
  <si>
    <t>CV, %</t>
  </si>
  <si>
    <t>min titer</t>
  </si>
  <si>
    <t xml:space="preserve"> max titer</t>
  </si>
  <si>
    <t>Positivity, %</t>
  </si>
  <si>
    <t>Uzbekistan</t>
  </si>
  <si>
    <t>47,1</t>
  </si>
  <si>
    <t>Mycoplasma gallisepticum</t>
  </si>
  <si>
    <t>Titers, sample</t>
  </si>
  <si>
    <t>Type</t>
  </si>
  <si>
    <t>house</t>
  </si>
  <si>
    <t>age, days</t>
  </si>
  <si>
    <t>date</t>
  </si>
  <si>
    <t>sample number</t>
  </si>
  <si>
    <t>negative</t>
  </si>
  <si>
    <t>positive</t>
  </si>
  <si>
    <t>Average titer</t>
  </si>
  <si>
    <t>min</t>
  </si>
  <si>
    <t>max</t>
  </si>
  <si>
    <t>positivity, %</t>
  </si>
  <si>
    <t>pullet</t>
  </si>
  <si>
    <t>8,9,10</t>
  </si>
  <si>
    <t>1,2,3</t>
  </si>
  <si>
    <t>breeder</t>
  </si>
  <si>
    <t>Time</t>
  </si>
  <si>
    <t>Type of production</t>
  </si>
  <si>
    <t>Location, region</t>
  </si>
  <si>
    <t xml:space="preserve"> Permanent population. Approximate number of head present at one time at all production sites</t>
  </si>
  <si>
    <t>During the last year (01/01/2023 through 12/31/2023), have any of the following poultry diseases occurred at your facility? (Select all that apply)</t>
  </si>
  <si>
    <t>NDV</t>
  </si>
  <si>
    <t>IBV</t>
  </si>
  <si>
    <t>LPAI H9</t>
  </si>
  <si>
    <t>HPAI H9</t>
  </si>
  <si>
    <t>IBD</t>
  </si>
  <si>
    <t>MG-MS</t>
  </si>
  <si>
    <t>FadV</t>
  </si>
  <si>
    <t>Reo</t>
  </si>
  <si>
    <t>ILT</t>
  </si>
  <si>
    <t>CAV</t>
  </si>
  <si>
    <t>EDS</t>
  </si>
  <si>
    <t>aMPV</t>
  </si>
  <si>
    <t>Coccidiosis</t>
  </si>
  <si>
    <t>Other bacterial infectious (Salmonella spp., E.coli, Pseudomonas spp., Clostridium spp., и т.д.)</t>
  </si>
  <si>
    <t>Do you monitor infectious diseases?</t>
  </si>
  <si>
    <t>If "Yes", which monitoring method(s) do you prefer for diagnosing infectious diseases?</t>
  </si>
  <si>
    <t>Is there regular vaccination of the bird flock?</t>
  </si>
  <si>
    <t>If "Yes," against which diseases?</t>
  </si>
  <si>
    <t xml:space="preserve">Which vaccine manufacturers do you prefer? </t>
  </si>
  <si>
    <t>Broiler breeder</t>
  </si>
  <si>
    <t xml:space="preserve">600 000 - 700 000 </t>
  </si>
  <si>
    <t>Other bacterial infections (Salmonella spp., E.coli, Pseudomonas spp., Clostridium spp., и т.д.)</t>
  </si>
  <si>
    <t>Yes</t>
  </si>
  <si>
    <t>Necropsy, ELISA,HI, PCR, Microbiological</t>
  </si>
  <si>
    <t>yes</t>
  </si>
  <si>
    <t>NDV, AI, IBV, MD, IBD, Mycoplasmosis</t>
  </si>
  <si>
    <t>Boehringer Ingelheim, MSD Animal Health, ELANCO</t>
  </si>
  <si>
    <t xml:space="preserve">Broiler  </t>
  </si>
  <si>
    <t>Aqmola</t>
  </si>
  <si>
    <t>1 000 000 and more</t>
  </si>
  <si>
    <t>femoral head necrosis and dyschondroplasia</t>
  </si>
  <si>
    <t>NDV, IBV, IBD</t>
  </si>
  <si>
    <t>MSD Animal Health</t>
  </si>
  <si>
    <t>900 000 - 1 000 000</t>
  </si>
  <si>
    <t>Newcastle disease</t>
  </si>
  <si>
    <t>MSD Animal Health, Ceva Sante Animal, HIPRA, ARRIAH</t>
  </si>
  <si>
    <t>Broiler +Broiler breeder</t>
  </si>
  <si>
    <t>Newcastle disease, Infectious bronchitis of chickens, Low pathogenic avian influenza (H9), High pathogenic avian influenza (H5), Mycoplasmosis (MG-MS), Adenovirus infection, Coccidiosis, Other bacterial infections (Salmonella spp., E.coli, Pseudomonas spp., Clostridium spp., etc.).</t>
  </si>
  <si>
    <t>Boehringer Ingelheim, MSD Animal Health, Ceva Sante Animal, HIPRA</t>
  </si>
  <si>
    <t xml:space="preserve">less than 100 000 </t>
  </si>
  <si>
    <t>There was no disease</t>
  </si>
  <si>
    <t>no</t>
  </si>
  <si>
    <t>NDV, AI, IBV, IBD</t>
  </si>
  <si>
    <t xml:space="preserve">I don’t know </t>
  </si>
  <si>
    <t>Qaragandy</t>
  </si>
  <si>
    <t xml:space="preserve">400 000 - 500 000 </t>
  </si>
  <si>
    <t>ELISA, HI</t>
  </si>
  <si>
    <t>NDV, AI, IBV, MD, IBD</t>
  </si>
  <si>
    <t>ARRIAH</t>
  </si>
  <si>
    <t>East Kazakhstan</t>
  </si>
  <si>
    <t>more than 2 500 000</t>
  </si>
  <si>
    <t>NDV, IBV,IBD</t>
  </si>
  <si>
    <t>Newcastle disease, Infectious bronchitis of chickens, Low pathogenic avian influenza (H9), Mycoplasmosis (MG-MS), Adenovirus infection, Reovirus infection, Infectious anemia of chickens, Metapneumovirus infection, Coccidiosis, Other bacterial infections (Salmonella spp., E.coli, Pseudomonas spp., Clostridium spp., etc.).</t>
  </si>
  <si>
    <t>Ceva Sante Animal</t>
  </si>
  <si>
    <t>Qostanai</t>
  </si>
  <si>
    <t xml:space="preserve">200 000 - 300 000 </t>
  </si>
  <si>
    <t>Necropsy, ELISA, HI</t>
  </si>
  <si>
    <t xml:space="preserve">Adenovirus infection, Other bacterial infections (Salmonella spp., E.coli, Pseudomonas spp., Clostridium spp., etc.), Viral transmissive proventriculitis </t>
  </si>
  <si>
    <t>Necropsy, ELISA,HI, PCR</t>
  </si>
  <si>
    <t>MSD Animal Health, HIPRA</t>
  </si>
  <si>
    <t>Mycoplasmosis (MG-MS), Ornithobacteriosis</t>
  </si>
  <si>
    <t>Necropsy, Microbiological</t>
  </si>
  <si>
    <t>NDV, AI, Mycoplasmosis</t>
  </si>
  <si>
    <t>HIPRA, Stavropol Biopharm</t>
  </si>
  <si>
    <t xml:space="preserve">800 000 - 900 000 </t>
  </si>
  <si>
    <t>Newcastle disease, Low pathogenic avian influenza (H9)</t>
  </si>
  <si>
    <t>Necropsy, ELISA,HI</t>
  </si>
  <si>
    <t>Boehringer Ingelheim, Ceva Sante Animal, HIPRA, ELANCO, ARRIAH, AVIVAС</t>
  </si>
  <si>
    <t>Boehringer Ingelheim</t>
  </si>
  <si>
    <t>Boehringer Ingelheim, Ceva Sante Animal, HIPRA</t>
  </si>
  <si>
    <t>Boehringer Ingelheim, MSD Animal Health, Ceva Sante Animal, HIPRA, ELANCO, ARRIAH</t>
  </si>
  <si>
    <t>Coccidiosis, yolk peritonitis.</t>
  </si>
  <si>
    <t>Boehringer Ingelheim, MSD Animal Health, Ceva Sante Animal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</si>
</sst>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Т-43F]\ #,##0.00"/>
    <numFmt numFmtId="165" formatCode="0.0"/>
    <numFmt numFmtId="166" formatCode="m/d/yyyy\ h:mm:ss"/>
  </numFmts>
  <fonts count="14">
    <font>
      <sz val="10.0"/>
      <color rgb="FF000000"/>
      <name val="Avenir"/>
      <scheme val="minor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Avenir"/>
    </font>
    <font>
      <b/>
      <sz val="16.0"/>
      <color rgb="FF000000"/>
      <name val="Times New Roman"/>
    </font>
    <font>
      <b/>
      <sz val="14.0"/>
      <color rgb="FF000000"/>
      <name val="Times New Roman"/>
    </font>
    <font>
      <sz val="12.0"/>
      <color rgb="FF000000"/>
      <name val="Times New Roman"/>
    </font>
    <font>
      <sz val="14.0"/>
      <color rgb="FF444444"/>
      <name val="Arial"/>
    </font>
    <font>
      <b/>
      <sz val="12.0"/>
      <color rgb="FF000000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venir"/>
    </font>
    <font>
      <b/>
      <sz val="10.0"/>
      <color rgb="FF000000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BEF"/>
        <bgColor rgb="FFFFFBEF"/>
      </patternFill>
    </fill>
    <fill>
      <patternFill patternType="solid">
        <fgColor rgb="FFE6E2DF"/>
        <bgColor rgb="FFE6E2DF"/>
      </patternFill>
    </fill>
  </fills>
  <borders count="17">
    <border/>
    <border>
      <left/>
      <right/>
      <top/>
      <bottom/>
    </border>
    <border>
      <left style="thin">
        <color rgb="FFB3AFAA"/>
      </left>
      <right style="thin">
        <color rgb="FFB3AFAA"/>
      </right>
      <top style="thin">
        <color rgb="FFB3AFAA"/>
      </top>
      <bottom style="thin">
        <color rgb="FF9A958E"/>
      </bottom>
    </border>
    <border>
      <left/>
      <right style="thin">
        <color rgb="FFB3AFAA"/>
      </right>
      <top style="thin">
        <color rgb="FFB3AFAA"/>
      </top>
      <bottom style="thin">
        <color rgb="FF9A958E"/>
      </bottom>
    </border>
    <border>
      <left style="thin">
        <color rgb="FFB3AFAA"/>
      </left>
      <right style="thin">
        <color rgb="FFCCCAC6"/>
      </right>
      <top style="thin">
        <color rgb="FF9A958E"/>
      </top>
      <bottom style="thin">
        <color rgb="FFB3AFAA"/>
      </bottom>
    </border>
    <border>
      <left style="thin">
        <color rgb="FFCCCAC6"/>
      </left>
      <right style="thin">
        <color rgb="FFCCCAC6"/>
      </right>
      <top style="thin">
        <color rgb="FF9A958E"/>
      </top>
      <bottom style="thin">
        <color rgb="FFB3AFAA"/>
      </bottom>
    </border>
    <border>
      <left style="thin">
        <color rgb="FFCCCAC6"/>
      </left>
      <right style="thin">
        <color rgb="FFB3AFAA"/>
      </right>
      <top style="thin">
        <color rgb="FF9A958E"/>
      </top>
      <bottom style="thin">
        <color rgb="FFB3AFAA"/>
      </bottom>
    </border>
    <border>
      <left style="thin">
        <color rgb="FFB3AFAA"/>
      </left>
      <right style="thin">
        <color rgb="FFB3AFAA"/>
      </right>
      <top style="thin">
        <color rgb="FF9A958E"/>
      </top>
      <bottom style="thin">
        <color rgb="FFB3AF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shrinkToFit="0" vertical="top" wrapText="1"/>
    </xf>
    <xf borderId="2" fillId="3" fontId="4" numFmtId="49" xfId="0" applyAlignment="1" applyBorder="1" applyFill="1" applyFont="1" applyNumberFormat="1">
      <alignment horizontal="center" shrinkToFit="0" vertical="top" wrapText="1"/>
    </xf>
    <xf borderId="3" fillId="3" fontId="4" numFmtId="49" xfId="0" applyAlignment="1" applyBorder="1" applyFont="1" applyNumberFormat="1">
      <alignment horizontal="center" readingOrder="1" shrinkToFit="0" vertical="top" wrapText="1"/>
    </xf>
    <xf borderId="2" fillId="3" fontId="3" numFmtId="49" xfId="0" applyAlignment="1" applyBorder="1" applyFont="1" applyNumberForma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5" fillId="2" fontId="3" numFmtId="0" xfId="0" applyAlignment="1" applyBorder="1" applyFont="1">
      <alignment shrinkToFit="0" vertical="top" wrapText="1"/>
    </xf>
    <xf borderId="6" fillId="2" fontId="3" numFmtId="0" xfId="0" applyAlignment="1" applyBorder="1" applyFont="1">
      <alignment horizontal="center" shrinkToFit="0" vertical="top" wrapText="1"/>
    </xf>
    <xf borderId="7" fillId="2" fontId="3" numFmtId="164" xfId="0" applyAlignment="1" applyBorder="1" applyFont="1" applyNumberFormat="1">
      <alignment shrinkToFit="0" vertical="top" wrapText="1"/>
    </xf>
    <xf borderId="7" fillId="2" fontId="3" numFmtId="49" xfId="0" applyAlignment="1" applyBorder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14" xfId="0" applyAlignment="1" applyFont="1" applyNumberForma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8" fillId="0" fontId="8" numFmtId="0" xfId="0" applyAlignment="1" applyBorder="1" applyFont="1">
      <alignment horizontal="center" shrinkToFit="0" vertical="bottom" wrapText="1"/>
    </xf>
    <xf borderId="9" fillId="0" fontId="9" numFmtId="0" xfId="0" applyAlignment="1" applyBorder="1" applyFont="1">
      <alignment shrinkToFit="0" vertical="top" wrapText="1"/>
    </xf>
    <xf borderId="10" fillId="0" fontId="9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shrinkToFit="0" vertical="bottom" wrapText="1"/>
    </xf>
    <xf borderId="12" fillId="0" fontId="8" numFmtId="0" xfId="0" applyAlignment="1" applyBorder="1" applyFont="1">
      <alignment shrinkToFit="0" vertical="bottom" wrapText="1"/>
    </xf>
    <xf borderId="12" fillId="0" fontId="8" numFmtId="0" xfId="0" applyAlignment="1" applyBorder="1" applyFont="1">
      <alignment horizontal="center" shrinkToFit="0" vertical="bottom" wrapText="1"/>
    </xf>
    <xf borderId="11" fillId="0" fontId="6" numFmtId="14" xfId="0" applyAlignment="1" applyBorder="1" applyFont="1" applyNumberFormat="1">
      <alignment horizontal="center" shrinkToFit="0" vertical="bottom" wrapText="1"/>
    </xf>
    <xf borderId="12" fillId="0" fontId="6" numFmtId="0" xfId="0" applyAlignment="1" applyBorder="1" applyFont="1">
      <alignment horizontal="center" shrinkToFit="0" vertical="bottom" wrapText="1"/>
    </xf>
    <xf borderId="12" fillId="0" fontId="6" numFmtId="1" xfId="0" applyAlignment="1" applyBorder="1" applyFont="1" applyNumberFormat="1">
      <alignment horizontal="center" shrinkToFit="0" vertical="bottom" wrapText="1"/>
    </xf>
    <xf borderId="12" fillId="0" fontId="6" numFmtId="0" xfId="0" applyAlignment="1" applyBorder="1" applyFont="1">
      <alignment shrinkToFit="0" vertical="bottom" wrapText="0"/>
    </xf>
    <xf borderId="12" fillId="0" fontId="6" numFmtId="1" xfId="0" applyAlignment="1" applyBorder="1" applyFont="1" applyNumberFormat="1">
      <alignment shrinkToFit="0" vertical="bottom" wrapText="0"/>
    </xf>
    <xf borderId="11" fillId="0" fontId="6" numFmtId="14" xfId="0" applyAlignment="1" applyBorder="1" applyFont="1" applyNumberFormat="1">
      <alignment horizontal="center" shrinkToFit="0" vertical="bottom" wrapText="0"/>
    </xf>
    <xf borderId="8" fillId="0" fontId="10" numFmtId="0" xfId="0" applyAlignment="1" applyBorder="1" applyFont="1">
      <alignment horizontal="center" shrinkToFit="0" vertical="bottom" wrapText="1"/>
    </xf>
    <xf borderId="13" fillId="0" fontId="10" numFmtId="0" xfId="0" applyAlignment="1" applyBorder="1" applyFont="1">
      <alignment shrinkToFit="0" vertical="bottom" wrapText="1"/>
    </xf>
    <xf borderId="13" fillId="0" fontId="10" numFmtId="0" xfId="0" applyAlignment="1" applyBorder="1" applyFont="1">
      <alignment horizontal="center" shrinkToFit="0" vertical="bottom" wrapText="1"/>
    </xf>
    <xf borderId="13" fillId="0" fontId="11" numFmtId="14" xfId="0" applyAlignment="1" applyBorder="1" applyFont="1" applyNumberFormat="1">
      <alignment shrinkToFit="0" vertical="bottom" wrapText="1"/>
    </xf>
    <xf borderId="12" fillId="0" fontId="11" numFmtId="0" xfId="0" applyAlignment="1" applyBorder="1" applyFont="1">
      <alignment horizontal="center" shrinkToFit="0" vertical="bottom" wrapText="1"/>
    </xf>
    <xf borderId="13" fillId="0" fontId="11" numFmtId="0" xfId="0" applyAlignment="1" applyBorder="1" applyFont="1">
      <alignment shrinkToFit="0" vertical="bottom" wrapText="1"/>
    </xf>
    <xf borderId="13" fillId="0" fontId="11" numFmtId="0" xfId="0" applyAlignment="1" applyBorder="1" applyFont="1">
      <alignment horizontal="center" shrinkToFit="0" vertical="bottom" wrapText="1"/>
    </xf>
    <xf borderId="13" fillId="0" fontId="12" numFmtId="1" xfId="0" applyAlignment="1" applyBorder="1" applyFont="1" applyNumberFormat="1">
      <alignment shrinkToFit="0" vertical="top" wrapText="1"/>
    </xf>
    <xf borderId="8" fillId="0" fontId="3" numFmtId="0" xfId="0" applyAlignment="1" applyBorder="1" applyFont="1">
      <alignment horizontal="left" shrinkToFit="0" vertical="top" wrapText="1"/>
    </xf>
    <xf borderId="14" fillId="0" fontId="10" numFmtId="0" xfId="0" applyAlignment="1" applyBorder="1" applyFont="1">
      <alignment horizontal="center" shrinkToFit="0" vertical="bottom" wrapText="1"/>
    </xf>
    <xf borderId="15" fillId="0" fontId="10" numFmtId="0" xfId="0" applyAlignment="1" applyBorder="1" applyFont="1">
      <alignment horizontal="center" shrinkToFit="0" vertical="bottom" wrapText="0"/>
    </xf>
    <xf borderId="15" fillId="0" fontId="10" numFmtId="0" xfId="0" applyAlignment="1" applyBorder="1" applyFont="1">
      <alignment horizontal="center" shrinkToFit="0" vertical="bottom" wrapText="1"/>
    </xf>
    <xf borderId="15" fillId="0" fontId="10" numFmtId="0" xfId="0" applyAlignment="1" applyBorder="1" applyFont="1">
      <alignment shrinkToFit="0" vertical="bottom" wrapText="0"/>
    </xf>
    <xf borderId="15" fillId="0" fontId="11" numFmtId="0" xfId="0" applyAlignment="1" applyBorder="1" applyFont="1">
      <alignment horizontal="center" shrinkToFit="0" vertical="bottom" wrapText="1"/>
    </xf>
    <xf borderId="10" fillId="0" fontId="11" numFmtId="1" xfId="0" applyAlignment="1" applyBorder="1" applyFont="1" applyNumberFormat="1">
      <alignment horizontal="right" shrinkToFit="0" vertical="bottom" wrapText="0"/>
    </xf>
    <xf borderId="10" fillId="0" fontId="11" numFmtId="0" xfId="0" applyAlignment="1" applyBorder="1" applyFont="1">
      <alignment shrinkToFit="0" vertical="bottom" wrapText="0"/>
    </xf>
    <xf borderId="10" fillId="0" fontId="11" numFmtId="14" xfId="0" applyAlignment="1" applyBorder="1" applyFont="1" applyNumberFormat="1">
      <alignment shrinkToFit="0" vertical="bottom" wrapText="0"/>
    </xf>
    <xf borderId="10" fillId="0" fontId="11" numFmtId="1" xfId="0" applyAlignment="1" applyBorder="1" applyFont="1" applyNumberFormat="1">
      <alignment shrinkToFit="0" vertical="bottom" wrapText="0"/>
    </xf>
    <xf borderId="11" fillId="0" fontId="11" numFmtId="0" xfId="0" applyAlignment="1" applyBorder="1" applyFont="1">
      <alignment shrinkToFit="0" vertical="bottom" wrapText="1"/>
    </xf>
    <xf borderId="12" fillId="0" fontId="11" numFmtId="165" xfId="0" applyAlignment="1" applyBorder="1" applyFont="1" applyNumberFormat="1">
      <alignment horizontal="right" shrinkToFit="0" vertical="bottom" wrapText="0"/>
    </xf>
    <xf borderId="12" fillId="0" fontId="11" numFmtId="0" xfId="0" applyAlignment="1" applyBorder="1" applyFont="1">
      <alignment shrinkToFit="0" vertical="bottom" wrapText="0"/>
    </xf>
    <xf borderId="12" fillId="0" fontId="11" numFmtId="14" xfId="0" applyAlignment="1" applyBorder="1" applyFont="1" applyNumberFormat="1">
      <alignment shrinkToFit="0" vertical="bottom" wrapText="0"/>
    </xf>
    <xf borderId="12" fillId="0" fontId="11" numFmtId="1" xfId="0" applyAlignment="1" applyBorder="1" applyFont="1" applyNumberFormat="1">
      <alignment shrinkToFit="0" vertical="bottom" wrapText="0"/>
    </xf>
    <xf borderId="12" fillId="0" fontId="11" numFmtId="1" xfId="0" applyAlignment="1" applyBorder="1" applyFont="1" applyNumberFormat="1">
      <alignment horizontal="right" shrinkToFit="0" vertical="bottom" wrapText="0"/>
    </xf>
    <xf borderId="12" fillId="0" fontId="11" numFmtId="0" xfId="0" applyAlignment="1" applyBorder="1" applyFont="1">
      <alignment horizontal="right" shrinkToFit="0" vertical="center" wrapText="1"/>
    </xf>
    <xf borderId="16" fillId="0" fontId="11" numFmtId="1" xfId="0" applyAlignment="1" applyBorder="1" applyFont="1" applyNumberFormat="1">
      <alignment horizontal="right" shrinkToFit="0" vertical="bottom" wrapText="0"/>
    </xf>
    <xf borderId="16" fillId="0" fontId="11" numFmtId="0" xfId="0" applyAlignment="1" applyBorder="1" applyFont="1">
      <alignment shrinkToFit="0" vertical="bottom" wrapText="0"/>
    </xf>
    <xf borderId="16" fillId="0" fontId="11" numFmtId="14" xfId="0" applyAlignment="1" applyBorder="1" applyFont="1" applyNumberFormat="1">
      <alignment shrinkToFit="0" vertical="bottom" wrapText="0"/>
    </xf>
    <xf borderId="16" fillId="0" fontId="11" numFmtId="1" xfId="0" applyAlignment="1" applyBorder="1" applyFont="1" applyNumberFormat="1">
      <alignment shrinkToFit="0" vertical="bottom" wrapText="0"/>
    </xf>
    <xf borderId="14" fillId="0" fontId="10" numFmtId="0" xfId="0" applyAlignment="1" applyBorder="1" applyFont="1">
      <alignment shrinkToFit="0" vertical="bottom" wrapText="1"/>
    </xf>
    <xf borderId="14" fillId="0" fontId="10" numFmtId="0" xfId="0" applyAlignment="1" applyBorder="1" applyFont="1">
      <alignment shrinkToFit="0" vertical="bottom" wrapText="0"/>
    </xf>
    <xf borderId="14" fillId="0" fontId="10" numFmtId="1" xfId="0" applyAlignment="1" applyBorder="1" applyFont="1" applyNumberFormat="1">
      <alignment shrinkToFit="0" vertical="bottom" wrapText="1"/>
    </xf>
    <xf borderId="15" fillId="0" fontId="10" numFmtId="0" xfId="0" applyAlignment="1" applyBorder="1" applyFont="1">
      <alignment shrinkToFit="0" vertical="bottom" wrapText="1"/>
    </xf>
    <xf borderId="13" fillId="0" fontId="11" numFmtId="1" xfId="0" applyAlignment="1" applyBorder="1" applyFont="1" applyNumberFormat="1">
      <alignment horizontal="right" shrinkToFit="0" vertical="bottom" wrapText="0"/>
    </xf>
    <xf borderId="13" fillId="0" fontId="11" numFmtId="0" xfId="0" applyAlignment="1" applyBorder="1" applyFont="1">
      <alignment shrinkToFit="0" vertical="bottom" wrapText="0"/>
    </xf>
    <xf borderId="13" fillId="0" fontId="11" numFmtId="14" xfId="0" applyAlignment="1" applyBorder="1" applyFont="1" applyNumberFormat="1">
      <alignment shrinkToFit="0" vertical="bottom" wrapText="0"/>
    </xf>
    <xf borderId="13" fillId="0" fontId="11" numFmtId="1" xfId="0" applyAlignment="1" applyBorder="1" applyFont="1" applyNumberFormat="1">
      <alignment shrinkToFit="0" vertical="bottom" wrapText="0"/>
    </xf>
    <xf borderId="13" fillId="0" fontId="11" numFmtId="0" xfId="0" applyAlignment="1" applyBorder="1" applyFont="1">
      <alignment horizontal="right" shrinkToFit="0" vertical="center" wrapText="1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0"/>
    </xf>
    <xf borderId="0" fillId="0" fontId="11" numFmtId="166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</xdr:row>
      <xdr:rowOff>47625</xdr:rowOff>
    </xdr:from>
    <xdr:ext cx="1695450" cy="1171575"/>
    <xdr:sp>
      <xdr:nvSpPr>
        <xdr:cNvPr id="3" name="Shape 3"/>
        <xdr:cNvSpPr/>
      </xdr:nvSpPr>
      <xdr:spPr>
        <a:xfrm>
          <a:off x="4503038" y="3198975"/>
          <a:ext cx="1685925" cy="1162050"/>
        </a:xfrm>
        <a:prstGeom prst="rect">
          <a:avLst/>
        </a:prstGeom>
        <a:solidFill>
          <a:srgbClr val="B2E095"/>
        </a:solidFill>
        <a:ln>
          <a:noFill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DATA COLLECTION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2005-2023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WOAH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20 OUTBREAKS</a:t>
          </a:r>
          <a:endParaRPr sz="1400"/>
        </a:p>
      </xdr:txBody>
    </xdr:sp>
    <xdr:clientData fLocksWithSheet="0"/>
  </xdr:oneCellAnchor>
  <xdr:oneCellAnchor>
    <xdr:from>
      <xdr:col>1</xdr:col>
      <xdr:colOff>200025</xdr:colOff>
      <xdr:row>2</xdr:row>
      <xdr:rowOff>1666875</xdr:rowOff>
    </xdr:from>
    <xdr:ext cx="2066925" cy="1152525"/>
    <xdr:sp>
      <xdr:nvSpPr>
        <xdr:cNvPr id="4" name="Shape 4"/>
        <xdr:cNvSpPr/>
      </xdr:nvSpPr>
      <xdr:spPr>
        <a:xfrm>
          <a:off x="4326825" y="3213263"/>
          <a:ext cx="2038350" cy="113347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Data from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7 governmental laboratories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(PCR, ELISA, HI, virus sequencing and isolation)</a:t>
          </a:r>
          <a:endParaRPr sz="1400"/>
        </a:p>
      </xdr:txBody>
    </xdr:sp>
    <xdr:clientData fLocksWithSheet="0"/>
  </xdr:oneCellAnchor>
  <xdr:oneCellAnchor>
    <xdr:from>
      <xdr:col>2</xdr:col>
      <xdr:colOff>504825</xdr:colOff>
      <xdr:row>2</xdr:row>
      <xdr:rowOff>142875</xdr:rowOff>
    </xdr:from>
    <xdr:ext cx="2019300" cy="1038225"/>
    <xdr:sp>
      <xdr:nvSpPr>
        <xdr:cNvPr id="5" name="Shape 5"/>
        <xdr:cNvSpPr/>
      </xdr:nvSpPr>
      <xdr:spPr>
        <a:xfrm>
          <a:off x="4341113" y="3265650"/>
          <a:ext cx="2009775" cy="1028700"/>
        </a:xfrm>
        <a:prstGeom prst="rect">
          <a:avLst/>
        </a:prstGeom>
        <a:solidFill>
          <a:srgbClr val="B2E095"/>
        </a:solidFill>
        <a:ln>
          <a:noFill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DATA COLLECTION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1998-2015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LITERATURE REVIEW</a:t>
          </a:r>
          <a:endParaRPr sz="1400"/>
        </a:p>
      </xdr:txBody>
    </xdr:sp>
    <xdr:clientData fLocksWithSheet="0"/>
  </xdr:oneCellAnchor>
  <xdr:oneCellAnchor>
    <xdr:from>
      <xdr:col>2</xdr:col>
      <xdr:colOff>3038475</xdr:colOff>
      <xdr:row>2</xdr:row>
      <xdr:rowOff>161925</xdr:rowOff>
    </xdr:from>
    <xdr:ext cx="1828800" cy="895350"/>
    <xdr:sp>
      <xdr:nvSpPr>
        <xdr:cNvPr id="6" name="Shape 6"/>
        <xdr:cNvSpPr/>
      </xdr:nvSpPr>
      <xdr:spPr>
        <a:xfrm>
          <a:off x="4445888" y="3346613"/>
          <a:ext cx="1800225" cy="86677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Scientific databases, journals and relevent publications, Genbank (</a:t>
          </a: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NDV, AMPV, IBDV, IBV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)</a:t>
          </a:r>
          <a:endParaRPr sz="1400"/>
        </a:p>
      </xdr:txBody>
    </xdr:sp>
    <xdr:clientData fLocksWithSheet="0"/>
  </xdr:oneCellAnchor>
  <xdr:oneCellAnchor>
    <xdr:from>
      <xdr:col>2</xdr:col>
      <xdr:colOff>638175</xdr:colOff>
      <xdr:row>2</xdr:row>
      <xdr:rowOff>1543050</xdr:rowOff>
    </xdr:from>
    <xdr:ext cx="3648075" cy="704850"/>
    <xdr:sp>
      <xdr:nvSpPr>
        <xdr:cNvPr id="7" name="Shape 7"/>
        <xdr:cNvSpPr/>
      </xdr:nvSpPr>
      <xdr:spPr>
        <a:xfrm>
          <a:off x="3526725" y="3432338"/>
          <a:ext cx="3638550" cy="695325"/>
        </a:xfrm>
        <a:prstGeom prst="rect">
          <a:avLst/>
        </a:prstGeom>
        <a:solidFill>
          <a:srgbClr val="B2E095"/>
        </a:solidFill>
        <a:ln>
          <a:noFill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DATA COLLECTION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2021-2022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SELF LABORATORY RESEARCH</a:t>
          </a:r>
          <a:endParaRPr b="1" i="0" sz="1200" u="none" cap="none" strike="noStrike">
            <a:solidFill>
              <a:srgbClr val="4A4A4A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1323975</xdr:colOff>
      <xdr:row>2</xdr:row>
      <xdr:rowOff>1266825</xdr:rowOff>
    </xdr:from>
    <xdr:ext cx="285750" cy="238125"/>
    <xdr:sp>
      <xdr:nvSpPr>
        <xdr:cNvPr id="8" name="Shape 8"/>
        <xdr:cNvSpPr/>
      </xdr:nvSpPr>
      <xdr:spPr>
        <a:xfrm>
          <a:off x="5207888" y="3665700"/>
          <a:ext cx="276225" cy="228600"/>
        </a:xfrm>
        <a:custGeom>
          <a:rect b="b" l="l" r="r" t="t"/>
          <a:pathLst>
            <a:path extrusionOk="0" h="21600" w="21599">
              <a:moveTo>
                <a:pt x="8909" y="0"/>
              </a:moveTo>
              <a:cubicBezTo>
                <a:pt x="8827" y="0"/>
                <a:pt x="8758" y="68"/>
                <a:pt x="8758" y="151"/>
              </a:cubicBezTo>
              <a:lnTo>
                <a:pt x="8758" y="8694"/>
              </a:lnTo>
              <a:cubicBezTo>
                <a:pt x="8758" y="8730"/>
                <a:pt x="8730" y="8759"/>
                <a:pt x="8693" y="8759"/>
              </a:cubicBezTo>
              <a:lnTo>
                <a:pt x="151" y="8759"/>
              </a:lnTo>
              <a:cubicBezTo>
                <a:pt x="68" y="8759"/>
                <a:pt x="0" y="8826"/>
                <a:pt x="0" y="8910"/>
              </a:cubicBezTo>
              <a:lnTo>
                <a:pt x="0" y="12690"/>
              </a:lnTo>
              <a:cubicBezTo>
                <a:pt x="0" y="12773"/>
                <a:pt x="68" y="12841"/>
                <a:pt x="151" y="12841"/>
              </a:cubicBezTo>
              <a:lnTo>
                <a:pt x="8693" y="12841"/>
              </a:lnTo>
              <a:cubicBezTo>
                <a:pt x="8730" y="12841"/>
                <a:pt x="8758" y="12870"/>
                <a:pt x="8758" y="12906"/>
              </a:cubicBezTo>
              <a:lnTo>
                <a:pt x="8758" y="21449"/>
              </a:lnTo>
              <a:cubicBezTo>
                <a:pt x="8758" y="21532"/>
                <a:pt x="8826" y="21600"/>
                <a:pt x="8909" y="21600"/>
              </a:cubicBezTo>
              <a:lnTo>
                <a:pt x="12690" y="21600"/>
              </a:lnTo>
              <a:cubicBezTo>
                <a:pt x="12773" y="21600"/>
                <a:pt x="12841" y="21532"/>
                <a:pt x="12841" y="21449"/>
              </a:cubicBezTo>
              <a:lnTo>
                <a:pt x="12841" y="12906"/>
              </a:lnTo>
              <a:cubicBezTo>
                <a:pt x="12841" y="12870"/>
                <a:pt x="12870" y="12841"/>
                <a:pt x="12906" y="12841"/>
              </a:cubicBezTo>
              <a:lnTo>
                <a:pt x="21449" y="12841"/>
              </a:lnTo>
              <a:cubicBezTo>
                <a:pt x="21531" y="12841"/>
                <a:pt x="21600" y="12773"/>
                <a:pt x="21599" y="12690"/>
              </a:cubicBezTo>
              <a:lnTo>
                <a:pt x="21599" y="8910"/>
              </a:lnTo>
              <a:cubicBezTo>
                <a:pt x="21599" y="8827"/>
                <a:pt x="21532" y="8759"/>
                <a:pt x="21449" y="8759"/>
              </a:cubicBezTo>
              <a:lnTo>
                <a:pt x="12906" y="8759"/>
              </a:lnTo>
              <a:cubicBezTo>
                <a:pt x="12870" y="8759"/>
                <a:pt x="12841" y="8730"/>
                <a:pt x="12841" y="8694"/>
              </a:cubicBezTo>
              <a:lnTo>
                <a:pt x="12841" y="151"/>
              </a:lnTo>
              <a:cubicBezTo>
                <a:pt x="12841" y="68"/>
                <a:pt x="12773" y="0"/>
                <a:pt x="12690" y="0"/>
              </a:cubicBezTo>
              <a:lnTo>
                <a:pt x="8909" y="0"/>
              </a:lnTo>
              <a:close/>
            </a:path>
          </a:pathLst>
        </a:custGeom>
        <a:solidFill>
          <a:srgbClr val="4B4A4B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2295525</xdr:colOff>
      <xdr:row>2</xdr:row>
      <xdr:rowOff>1133475</xdr:rowOff>
    </xdr:from>
    <xdr:ext cx="323850" cy="1057275"/>
    <xdr:grpSp>
      <xdr:nvGrpSpPr>
        <xdr:cNvPr id="2" name="Shape 2"/>
        <xdr:cNvGrpSpPr/>
      </xdr:nvGrpSpPr>
      <xdr:grpSpPr>
        <a:xfrm>
          <a:off x="5193600" y="3260888"/>
          <a:ext cx="304800" cy="1038225"/>
          <a:chOff x="5193600" y="3260888"/>
          <a:chExt cx="304800" cy="1038225"/>
        </a:xfrm>
      </xdr:grpSpPr>
      <xdr:cxnSp>
        <xdr:nvCxnSpPr>
          <xdr:cNvPr id="9" name="Shape 9"/>
          <xdr:cNvCxnSpPr/>
        </xdr:nvCxnSpPr>
        <xdr:spPr>
          <a:xfrm flipH="1" rot="10800000">
            <a:off x="5193600" y="3260888"/>
            <a:ext cx="304800" cy="1038225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2571750</xdr:colOff>
      <xdr:row>2</xdr:row>
      <xdr:rowOff>600075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10" name="Shape 10"/>
          <xdr:cNvCxnSpPr/>
        </xdr:nvCxnSpPr>
        <xdr:spPr>
          <a:xfrm>
            <a:off x="5117400" y="3780000"/>
            <a:ext cx="457200" cy="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2981325</xdr:colOff>
      <xdr:row>2</xdr:row>
      <xdr:rowOff>2257425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1" name="Shape 11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2</xdr:row>
      <xdr:rowOff>2609850</xdr:rowOff>
    </xdr:from>
    <xdr:ext cx="1647825" cy="1981200"/>
    <xdr:sp>
      <xdr:nvSpPr>
        <xdr:cNvPr id="12" name="Shape 12"/>
        <xdr:cNvSpPr/>
      </xdr:nvSpPr>
      <xdr:spPr>
        <a:xfrm>
          <a:off x="4536375" y="2803688"/>
          <a:ext cx="1619250" cy="195262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IBD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 broiler farms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Fabric's bursa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RT-qPCR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Sequencing 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2</xdr:row>
      <xdr:rowOff>57150</xdr:rowOff>
    </xdr:from>
    <xdr:ext cx="2019300" cy="1066800"/>
    <xdr:sp>
      <xdr:nvSpPr>
        <xdr:cNvPr id="13" name="Shape 13"/>
        <xdr:cNvSpPr/>
      </xdr:nvSpPr>
      <xdr:spPr>
        <a:xfrm>
          <a:off x="4341113" y="3251363"/>
          <a:ext cx="2009775" cy="1057275"/>
        </a:xfrm>
        <a:prstGeom prst="rect">
          <a:avLst/>
        </a:prstGeom>
        <a:solidFill>
          <a:srgbClr val="B2E095"/>
        </a:solidFill>
        <a:ln>
          <a:noFill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DATA COLLECTION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FEB-MAR, 2024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4A4A4A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4A4A4A"/>
              </a:solidFill>
              <a:latin typeface="Times New Roman"/>
              <a:ea typeface="Times New Roman"/>
              <a:cs typeface="Times New Roman"/>
              <a:sym typeface="Times New Roman"/>
            </a:rPr>
            <a:t>QUESTIONNAIRE SURVEY</a:t>
          </a:r>
          <a:endParaRPr sz="1400"/>
        </a:p>
      </xdr:txBody>
    </xdr:sp>
    <xdr:clientData fLocksWithSheet="0"/>
  </xdr:oneCellAnchor>
  <xdr:oneCellAnchor>
    <xdr:from>
      <xdr:col>3</xdr:col>
      <xdr:colOff>2438400</xdr:colOff>
      <xdr:row>2</xdr:row>
      <xdr:rowOff>323850</xdr:rowOff>
    </xdr:from>
    <xdr:ext cx="2219325" cy="800100"/>
    <xdr:sp>
      <xdr:nvSpPr>
        <xdr:cNvPr id="14" name="Shape 14"/>
        <xdr:cNvSpPr/>
      </xdr:nvSpPr>
      <xdr:spPr>
        <a:xfrm>
          <a:off x="4250625" y="3394238"/>
          <a:ext cx="2190750" cy="77152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The Google Forms platform</a:t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Title: «Assessment of the current epizootic situation in the country»</a:t>
          </a:r>
          <a:endParaRPr sz="1400"/>
        </a:p>
      </xdr:txBody>
    </xdr:sp>
    <xdr:clientData fLocksWithSheet="0"/>
  </xdr:oneCellAnchor>
  <xdr:oneCellAnchor>
    <xdr:from>
      <xdr:col>3</xdr:col>
      <xdr:colOff>1743075</xdr:colOff>
      <xdr:row>2</xdr:row>
      <xdr:rowOff>1152525</xdr:rowOff>
    </xdr:from>
    <xdr:ext cx="809625" cy="476250"/>
    <xdr:sp>
      <xdr:nvSpPr>
        <xdr:cNvPr id="15" name="Shape 15"/>
        <xdr:cNvSpPr/>
      </xdr:nvSpPr>
      <xdr:spPr>
        <a:xfrm>
          <a:off x="4945950" y="3546638"/>
          <a:ext cx="800100" cy="466725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0" y="9691"/>
              </a:lnTo>
              <a:lnTo>
                <a:pt x="21600" y="9691"/>
              </a:lnTo>
              <a:lnTo>
                <a:pt x="21600" y="21600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miter lim="400000"/>
          <a:headEnd len="sm" w="sm" type="none"/>
          <a:tailEnd len="med" w="med" type="triangl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2533650</xdr:colOff>
      <xdr:row>2</xdr:row>
      <xdr:rowOff>1133475</xdr:rowOff>
    </xdr:from>
    <xdr:ext cx="847725" cy="238125"/>
    <xdr:sp>
      <xdr:nvSpPr>
        <xdr:cNvPr id="16" name="Shape 16"/>
        <xdr:cNvSpPr/>
      </xdr:nvSpPr>
      <xdr:spPr>
        <a:xfrm>
          <a:off x="4926900" y="3665700"/>
          <a:ext cx="838200" cy="228600"/>
        </a:xfrm>
        <a:custGeom>
          <a:rect b="b" l="l" r="r" t="t"/>
          <a:pathLst>
            <a:path extrusionOk="0" h="21600" w="21600">
              <a:moveTo>
                <a:pt x="21600" y="0"/>
              </a:moveTo>
              <a:lnTo>
                <a:pt x="21600" y="21600"/>
              </a:lnTo>
              <a:lnTo>
                <a:pt x="0" y="21600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1943100</xdr:colOff>
      <xdr:row>2</xdr:row>
      <xdr:rowOff>2628900</xdr:rowOff>
    </xdr:from>
    <xdr:ext cx="2857500" cy="2000250"/>
    <xdr:sp>
      <xdr:nvSpPr>
        <xdr:cNvPr id="17" name="Shape 17"/>
        <xdr:cNvSpPr/>
      </xdr:nvSpPr>
      <xdr:spPr>
        <a:xfrm>
          <a:off x="3931538" y="2794163"/>
          <a:ext cx="2828925" cy="197167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NDV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</a:t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№1 (eyeball, trachea)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№2 (trachea, lung, cecal tonilis, broiler fabric's bursa, proventiculus)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№3 (intestine, cecal tonilis)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RT-qPCR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Sequencing</a:t>
          </a: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</xdr:col>
      <xdr:colOff>5038725</xdr:colOff>
      <xdr:row>2</xdr:row>
      <xdr:rowOff>152400</xdr:rowOff>
    </xdr:from>
    <xdr:ext cx="3724275" cy="5143500"/>
    <xdr:sp>
      <xdr:nvSpPr>
        <xdr:cNvPr id="18" name="Shape 18"/>
        <xdr:cNvSpPr/>
      </xdr:nvSpPr>
      <xdr:spPr>
        <a:xfrm>
          <a:off x="3493388" y="1398750"/>
          <a:ext cx="3705225" cy="4762500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Serology 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</a:t>
          </a: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S</a:t>
          </a: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(MDA) - 222 blood serum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(slaughter age) - 20 blood serum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ELISA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t/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</a:t>
          </a: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G</a:t>
          </a: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 (MDA) - 216 serum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b="1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ELISA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t/>
          </a:r>
          <a:endParaRPr b="1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CAV: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breeder farm - 842 blood serum (pullets and broiler breeders)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ELISA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t/>
          </a:r>
          <a:endParaRPr b="1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ORT: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breeder farm - 572 blood serum (pullets and broiler breeders)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ELISA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LPAI H9: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broiler farm (slaughter age) - 87 blood serum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⇣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HI</a:t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t/>
          </a:r>
          <a:endParaRPr b="0" i="0" sz="1200" u="none" cap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1143000</xdr:colOff>
      <xdr:row>2</xdr:row>
      <xdr:rowOff>2257425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9" name="Shape 19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4352925</xdr:colOff>
      <xdr:row>2</xdr:row>
      <xdr:rowOff>1895475</xdr:rowOff>
    </xdr:from>
    <xdr:ext cx="657225" cy="38100"/>
    <xdr:grpSp>
      <xdr:nvGrpSpPr>
        <xdr:cNvPr id="2" name="Shape 2"/>
        <xdr:cNvGrpSpPr/>
      </xdr:nvGrpSpPr>
      <xdr:grpSpPr>
        <a:xfrm>
          <a:off x="5017388" y="3780000"/>
          <a:ext cx="657225" cy="0"/>
          <a:chOff x="5017388" y="3780000"/>
          <a:chExt cx="657225" cy="0"/>
        </a:xfrm>
      </xdr:grpSpPr>
      <xdr:cxnSp>
        <xdr:nvCxnSpPr>
          <xdr:cNvPr id="20" name="Shape 20"/>
          <xdr:cNvCxnSpPr/>
        </xdr:nvCxnSpPr>
        <xdr:spPr>
          <a:xfrm>
            <a:off x="5017388" y="3780000"/>
            <a:ext cx="657225" cy="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962025</xdr:colOff>
      <xdr:row>2</xdr:row>
      <xdr:rowOff>1266825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9" name="Shape 19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9001125</xdr:colOff>
      <xdr:row>2</xdr:row>
      <xdr:rowOff>2076450</xdr:rowOff>
    </xdr:from>
    <xdr:ext cx="485775" cy="390525"/>
    <xdr:sp>
      <xdr:nvSpPr>
        <xdr:cNvPr id="21" name="Shape 21"/>
        <xdr:cNvSpPr/>
      </xdr:nvSpPr>
      <xdr:spPr>
        <a:xfrm>
          <a:off x="5107875" y="3589500"/>
          <a:ext cx="476250" cy="381000"/>
        </a:xfrm>
        <a:prstGeom prst="rightArrow">
          <a:avLst>
            <a:gd fmla="val 50000" name="adj1"/>
            <a:gd fmla="val 50000" name="adj2"/>
          </a:avLst>
        </a:prstGeom>
        <a:solidFill>
          <a:srgbClr val="4B4A4B"/>
        </a:solidFill>
        <a:ln>
          <a:noFill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i="0" sz="1400" u="none" cap="none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1276350</xdr:colOff>
      <xdr:row>2</xdr:row>
      <xdr:rowOff>1666875</xdr:rowOff>
    </xdr:from>
    <xdr:ext cx="2600325" cy="1095375"/>
    <xdr:sp>
      <xdr:nvSpPr>
        <xdr:cNvPr id="22" name="Shape 22"/>
        <xdr:cNvSpPr/>
      </xdr:nvSpPr>
      <xdr:spPr>
        <a:xfrm>
          <a:off x="4055363" y="3241838"/>
          <a:ext cx="2581275" cy="107632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1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Question types: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closed-ended, semi-open, binary, hierarchical, and open-ended queries</a:t>
          </a:r>
          <a:endParaRPr sz="1400"/>
        </a:p>
      </xdr:txBody>
    </xdr:sp>
    <xdr:clientData fLocksWithSheet="0"/>
  </xdr:oneCellAnchor>
  <xdr:oneCellAnchor>
    <xdr:from>
      <xdr:col>3</xdr:col>
      <xdr:colOff>2543175</xdr:colOff>
      <xdr:row>2</xdr:row>
      <xdr:rowOff>2781300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9" name="Shape 19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4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1257300</xdr:colOff>
      <xdr:row>2</xdr:row>
      <xdr:rowOff>3181350</xdr:rowOff>
    </xdr:from>
    <xdr:ext cx="2600325" cy="476250"/>
    <xdr:sp>
      <xdr:nvSpPr>
        <xdr:cNvPr id="23" name="Shape 23"/>
        <xdr:cNvSpPr/>
      </xdr:nvSpPr>
      <xdr:spPr>
        <a:xfrm>
          <a:off x="4055363" y="3556163"/>
          <a:ext cx="2581275" cy="447675"/>
        </a:xfrm>
        <a:prstGeom prst="rect">
          <a:avLst/>
        </a:prstGeom>
        <a:noFill/>
        <a:ln cap="flat" cmpd="sng" w="25400">
          <a:solidFill>
            <a:srgbClr val="7F8081"/>
          </a:solidFill>
          <a:prstDash val="solid"/>
          <a:miter lim="400000"/>
          <a:headEnd len="sm" w="sm" type="none"/>
          <a:tailEnd len="sm" w="sm" type="none"/>
        </a:ln>
      </xdr:spPr>
      <xdr:txBody>
        <a:bodyPr anchorCtr="0" anchor="ctr" bIns="50800" lIns="50800" spcFirstLastPara="1" rIns="50800" wrap="square" tIns="508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Veterinary specialists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3BBE0"/>
      </a:accent1>
      <a:accent2>
        <a:srgbClr val="6DCFB9"/>
      </a:accent2>
      <a:accent3>
        <a:srgbClr val="90BF72"/>
      </a:accent3>
      <a:accent4>
        <a:srgbClr val="F2C34A"/>
      </a:accent4>
      <a:accent5>
        <a:srgbClr val="FF4741"/>
      </a:accent5>
      <a:accent6>
        <a:srgbClr val="FF8700"/>
      </a:accent6>
      <a:hlink>
        <a:srgbClr val="0000FF"/>
      </a:hlink>
      <a:folHlink>
        <a:srgbClr val="0000FF"/>
      </a:folHlink>
    </a:clrScheme>
    <a:fontScheme name="Sheets">
      <a:majorFont>
        <a:latin typeface="Avenir"/>
        <a:ea typeface="Avenir"/>
        <a:cs typeface="Avenir"/>
      </a:majorFont>
      <a:minorFont>
        <a:latin typeface="Avenir"/>
        <a:ea typeface="Avenir"/>
        <a:cs typeface="Aveni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43"/>
    <col customWidth="1" min="2" max="2" width="19.43"/>
    <col customWidth="1" min="3" max="3" width="20.43"/>
    <col customWidth="1" min="4" max="26" width="10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8</v>
      </c>
      <c r="C4" s="2" t="s">
        <v>5</v>
      </c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11</v>
      </c>
    </row>
    <row r="7">
      <c r="A7" s="2" t="s">
        <v>14</v>
      </c>
      <c r="B7" s="2" t="s">
        <v>4</v>
      </c>
      <c r="C7" s="2" t="s">
        <v>11</v>
      </c>
    </row>
    <row r="8">
      <c r="A8" s="2" t="s">
        <v>15</v>
      </c>
      <c r="B8" s="2" t="s">
        <v>4</v>
      </c>
      <c r="C8" s="2" t="s">
        <v>11</v>
      </c>
    </row>
    <row r="9">
      <c r="A9" s="2" t="s">
        <v>16</v>
      </c>
      <c r="B9" s="2" t="s">
        <v>4</v>
      </c>
      <c r="C9" s="2" t="s">
        <v>11</v>
      </c>
    </row>
    <row r="10">
      <c r="A10" s="2" t="s">
        <v>17</v>
      </c>
      <c r="B10" s="2" t="s">
        <v>4</v>
      </c>
      <c r="C10" s="2" t="s">
        <v>11</v>
      </c>
    </row>
    <row r="11">
      <c r="A11" s="2" t="s">
        <v>18</v>
      </c>
      <c r="B11" s="2" t="s">
        <v>4</v>
      </c>
      <c r="C11" s="2" t="s">
        <v>11</v>
      </c>
    </row>
    <row r="12">
      <c r="A12" s="2" t="s">
        <v>19</v>
      </c>
      <c r="B12" s="2" t="s">
        <v>8</v>
      </c>
      <c r="C12" s="2" t="s">
        <v>11</v>
      </c>
    </row>
    <row r="13">
      <c r="A13" s="2" t="s">
        <v>20</v>
      </c>
      <c r="B13" s="2" t="s">
        <v>8</v>
      </c>
      <c r="C13" s="2" t="s">
        <v>11</v>
      </c>
    </row>
    <row r="14">
      <c r="A14" s="2" t="s">
        <v>21</v>
      </c>
      <c r="B14" s="2" t="s">
        <v>8</v>
      </c>
      <c r="C14" s="2" t="s">
        <v>11</v>
      </c>
    </row>
    <row r="15">
      <c r="A15" s="2" t="s">
        <v>22</v>
      </c>
      <c r="B15" s="2" t="s">
        <v>8</v>
      </c>
      <c r="C15" s="2" t="s">
        <v>11</v>
      </c>
    </row>
    <row r="16">
      <c r="A16" s="2" t="s">
        <v>23</v>
      </c>
      <c r="B16" s="2" t="s">
        <v>8</v>
      </c>
      <c r="C16" s="2" t="s">
        <v>11</v>
      </c>
    </row>
    <row r="17">
      <c r="A17" s="2" t="s">
        <v>24</v>
      </c>
      <c r="B17" s="2" t="s">
        <v>4</v>
      </c>
      <c r="C17" s="2" t="s">
        <v>25</v>
      </c>
    </row>
    <row r="18">
      <c r="A18" s="2" t="s">
        <v>26</v>
      </c>
      <c r="B18" s="2" t="s">
        <v>8</v>
      </c>
      <c r="C18" s="2" t="s">
        <v>25</v>
      </c>
    </row>
    <row r="19">
      <c r="A19" s="2" t="s">
        <v>27</v>
      </c>
      <c r="B19" s="2" t="s">
        <v>13</v>
      </c>
      <c r="C19" s="2" t="s">
        <v>28</v>
      </c>
    </row>
    <row r="20">
      <c r="A20" s="2" t="s">
        <v>29</v>
      </c>
      <c r="B20" s="2" t="s">
        <v>13</v>
      </c>
      <c r="C20" s="2" t="s">
        <v>28</v>
      </c>
    </row>
    <row r="21" ht="15.75" customHeight="1">
      <c r="A21" s="2" t="s">
        <v>30</v>
      </c>
      <c r="B21" s="2" t="s">
        <v>4</v>
      </c>
      <c r="C21" s="2" t="s">
        <v>28</v>
      </c>
    </row>
    <row r="22" ht="15.75" customHeight="1">
      <c r="A22" s="2" t="s">
        <v>31</v>
      </c>
      <c r="B22" s="2" t="s">
        <v>4</v>
      </c>
      <c r="C22" s="2" t="s">
        <v>28</v>
      </c>
    </row>
    <row r="23" ht="15.75" customHeight="1">
      <c r="A23" s="2" t="s">
        <v>32</v>
      </c>
      <c r="B23" s="2" t="s">
        <v>4</v>
      </c>
      <c r="C23" s="2" t="s">
        <v>28</v>
      </c>
    </row>
    <row r="24" ht="15.75" customHeight="1">
      <c r="A24" s="2" t="s">
        <v>33</v>
      </c>
      <c r="B24" s="2" t="s">
        <v>4</v>
      </c>
      <c r="C24" s="2" t="s">
        <v>28</v>
      </c>
    </row>
    <row r="25" ht="15.75" customHeight="1">
      <c r="A25" s="2" t="s">
        <v>34</v>
      </c>
      <c r="B25" s="2" t="s">
        <v>4</v>
      </c>
      <c r="C25" s="2" t="s">
        <v>28</v>
      </c>
    </row>
    <row r="26" ht="15.75" customHeight="1">
      <c r="A26" s="2" t="s">
        <v>35</v>
      </c>
      <c r="B26" s="2" t="s">
        <v>8</v>
      </c>
      <c r="C26" s="2" t="s">
        <v>28</v>
      </c>
    </row>
    <row r="27" ht="15.75" customHeight="1">
      <c r="A27" s="2" t="s">
        <v>36</v>
      </c>
      <c r="B27" s="2" t="s">
        <v>8</v>
      </c>
      <c r="C27" s="2" t="s">
        <v>28</v>
      </c>
    </row>
    <row r="28" ht="15.75" customHeight="1">
      <c r="A28" s="2" t="s">
        <v>37</v>
      </c>
      <c r="B28" s="2" t="s">
        <v>8</v>
      </c>
      <c r="C28" s="2" t="s">
        <v>28</v>
      </c>
    </row>
    <row r="29" ht="15.75" customHeight="1">
      <c r="A29" s="2" t="s">
        <v>38</v>
      </c>
      <c r="B29" s="2" t="s">
        <v>8</v>
      </c>
      <c r="C29" s="2" t="s">
        <v>39</v>
      </c>
    </row>
    <row r="30" ht="15.75" customHeight="1">
      <c r="A30" s="2" t="s">
        <v>40</v>
      </c>
      <c r="B30" s="2" t="s">
        <v>8</v>
      </c>
      <c r="C30" s="2" t="s">
        <v>39</v>
      </c>
    </row>
    <row r="31" ht="15.75" customHeight="1">
      <c r="A31" s="2" t="s">
        <v>41</v>
      </c>
      <c r="B31" s="2" t="s">
        <v>10</v>
      </c>
      <c r="C31" s="2" t="s">
        <v>42</v>
      </c>
    </row>
    <row r="32" ht="15.75" customHeight="1">
      <c r="A32" s="2" t="s">
        <v>43</v>
      </c>
      <c r="B32" s="2" t="s">
        <v>4</v>
      </c>
      <c r="C32" s="2" t="s">
        <v>42</v>
      </c>
    </row>
    <row r="33" ht="15.75" customHeight="1">
      <c r="A33" s="2" t="s">
        <v>44</v>
      </c>
      <c r="B33" s="2" t="s">
        <v>8</v>
      </c>
      <c r="C33" s="2" t="s">
        <v>45</v>
      </c>
    </row>
    <row r="34" ht="15.75" customHeight="1">
      <c r="A34" s="2" t="s">
        <v>46</v>
      </c>
      <c r="B34" s="2" t="s">
        <v>10</v>
      </c>
      <c r="C34" s="2" t="s">
        <v>45</v>
      </c>
    </row>
    <row r="35" ht="15.75" customHeight="1">
      <c r="A35" s="2" t="s">
        <v>47</v>
      </c>
      <c r="B35" s="2" t="s">
        <v>10</v>
      </c>
      <c r="C35" s="2" t="s">
        <v>48</v>
      </c>
    </row>
    <row r="36" ht="15.75" customHeight="1">
      <c r="A36" s="2" t="s">
        <v>49</v>
      </c>
      <c r="B36" s="2" t="s">
        <v>4</v>
      </c>
      <c r="C36" s="2" t="s">
        <v>48</v>
      </c>
    </row>
    <row r="37" ht="15.75" customHeight="1">
      <c r="A37" s="2" t="s">
        <v>50</v>
      </c>
      <c r="B37" s="2" t="s">
        <v>8</v>
      </c>
      <c r="C37" s="2" t="s">
        <v>48</v>
      </c>
    </row>
    <row r="38" ht="15.75" customHeight="1">
      <c r="A38" s="2" t="s">
        <v>51</v>
      </c>
      <c r="B38" s="2" t="s">
        <v>8</v>
      </c>
      <c r="C38" s="2" t="s">
        <v>48</v>
      </c>
    </row>
    <row r="39" ht="15.75" customHeight="1">
      <c r="A39" s="2" t="s">
        <v>52</v>
      </c>
      <c r="B39" s="2" t="s">
        <v>8</v>
      </c>
      <c r="C39" s="2" t="s">
        <v>48</v>
      </c>
    </row>
    <row r="40" ht="15.75" customHeight="1">
      <c r="A40" s="2" t="s">
        <v>53</v>
      </c>
      <c r="B40" s="2" t="s">
        <v>8</v>
      </c>
      <c r="C40" s="2" t="s">
        <v>48</v>
      </c>
    </row>
    <row r="41" ht="15.75" customHeight="1">
      <c r="A41" s="2" t="s">
        <v>54</v>
      </c>
      <c r="B41" s="2" t="s">
        <v>4</v>
      </c>
      <c r="C41" s="2" t="s">
        <v>55</v>
      </c>
    </row>
    <row r="42" ht="15.75" customHeight="1">
      <c r="A42" s="2" t="s">
        <v>56</v>
      </c>
      <c r="B42" s="2" t="s">
        <v>4</v>
      </c>
      <c r="C42" s="2" t="s">
        <v>57</v>
      </c>
    </row>
    <row r="43" ht="15.75" customHeight="1">
      <c r="A43" s="2" t="s">
        <v>58</v>
      </c>
      <c r="B43" s="2" t="s">
        <v>4</v>
      </c>
      <c r="C43" s="2" t="s">
        <v>57</v>
      </c>
    </row>
    <row r="44" ht="15.75" customHeight="1">
      <c r="A44" s="2" t="s">
        <v>59</v>
      </c>
      <c r="B44" s="2" t="s">
        <v>8</v>
      </c>
      <c r="C44" s="2" t="s">
        <v>57</v>
      </c>
    </row>
    <row r="45" ht="15.75" customHeight="1">
      <c r="A45" s="2" t="s">
        <v>60</v>
      </c>
      <c r="B45" s="2" t="s">
        <v>8</v>
      </c>
      <c r="C45" s="2" t="s">
        <v>57</v>
      </c>
    </row>
    <row r="46" ht="15.75" customHeight="1">
      <c r="A46" s="2" t="s">
        <v>61</v>
      </c>
      <c r="B46" s="2" t="s">
        <v>8</v>
      </c>
      <c r="C46" s="2" t="s">
        <v>57</v>
      </c>
    </row>
    <row r="47" ht="15.75" customHeight="1">
      <c r="A47" s="2" t="s">
        <v>62</v>
      </c>
      <c r="B47" s="2" t="s">
        <v>8</v>
      </c>
      <c r="C47" s="2" t="s">
        <v>57</v>
      </c>
    </row>
    <row r="48" ht="15.75" customHeight="1">
      <c r="A48" s="2" t="s">
        <v>63</v>
      </c>
      <c r="B48" s="2" t="s">
        <v>8</v>
      </c>
      <c r="C48" s="2" t="s">
        <v>57</v>
      </c>
    </row>
    <row r="49" ht="15.75" customHeight="1">
      <c r="A49" s="2" t="s">
        <v>64</v>
      </c>
      <c r="B49" s="2" t="s">
        <v>8</v>
      </c>
      <c r="C49" s="2" t="s">
        <v>57</v>
      </c>
    </row>
    <row r="50" ht="15.75" customHeight="1">
      <c r="A50" s="2" t="s">
        <v>65</v>
      </c>
      <c r="B50" s="2" t="s">
        <v>8</v>
      </c>
      <c r="C50" s="2" t="s">
        <v>57</v>
      </c>
    </row>
    <row r="51" ht="15.75" customHeight="1">
      <c r="A51" s="2" t="s">
        <v>66</v>
      </c>
      <c r="B51" s="2" t="s">
        <v>8</v>
      </c>
      <c r="C51" s="2" t="s">
        <v>67</v>
      </c>
    </row>
    <row r="52" ht="15.75" customHeight="1">
      <c r="A52" s="2" t="s">
        <v>68</v>
      </c>
      <c r="B52" s="2" t="s">
        <v>8</v>
      </c>
      <c r="C52" s="2" t="s">
        <v>67</v>
      </c>
    </row>
    <row r="53" ht="15.75" customHeight="1">
      <c r="A53" s="2" t="s">
        <v>69</v>
      </c>
      <c r="B53" s="2" t="s">
        <v>70</v>
      </c>
      <c r="C53" s="2" t="s">
        <v>67</v>
      </c>
    </row>
    <row r="54" ht="15.75" customHeight="1">
      <c r="A54" s="2" t="s">
        <v>71</v>
      </c>
      <c r="B54" s="2" t="s">
        <v>4</v>
      </c>
      <c r="C54" s="2" t="s">
        <v>67</v>
      </c>
    </row>
    <row r="55" ht="15.75" customHeight="1">
      <c r="A55" s="2" t="s">
        <v>72</v>
      </c>
      <c r="B55" s="2" t="s">
        <v>4</v>
      </c>
      <c r="C55" s="2" t="s">
        <v>73</v>
      </c>
    </row>
    <row r="56" ht="15.75" customHeight="1">
      <c r="A56" s="2" t="s">
        <v>74</v>
      </c>
      <c r="B56" s="2" t="s">
        <v>4</v>
      </c>
      <c r="C56" s="2" t="s">
        <v>73</v>
      </c>
    </row>
    <row r="57" ht="15.75" customHeight="1">
      <c r="A57" s="2" t="s">
        <v>75</v>
      </c>
      <c r="B57" s="2" t="s">
        <v>8</v>
      </c>
      <c r="C57" s="2" t="s">
        <v>73</v>
      </c>
    </row>
    <row r="58" ht="15.75" customHeight="1">
      <c r="A58" s="2" t="s">
        <v>76</v>
      </c>
      <c r="B58" s="2" t="s">
        <v>8</v>
      </c>
      <c r="C58" s="2" t="s">
        <v>73</v>
      </c>
    </row>
    <row r="59" ht="15.75" customHeight="1">
      <c r="A59" s="2" t="s">
        <v>77</v>
      </c>
      <c r="B59" s="2" t="s">
        <v>8</v>
      </c>
      <c r="C59" s="2" t="s">
        <v>73</v>
      </c>
    </row>
    <row r="60" ht="15.75" customHeight="1">
      <c r="A60" s="2" t="s">
        <v>78</v>
      </c>
      <c r="B60" s="2" t="s">
        <v>8</v>
      </c>
      <c r="C60" s="2" t="s">
        <v>79</v>
      </c>
    </row>
    <row r="61" ht="15.75" customHeight="1">
      <c r="A61" s="2" t="s">
        <v>80</v>
      </c>
      <c r="B61" s="2" t="s">
        <v>8</v>
      </c>
      <c r="C61" s="2" t="s">
        <v>79</v>
      </c>
    </row>
    <row r="62" ht="15.75" customHeight="1">
      <c r="A62" s="2" t="s">
        <v>81</v>
      </c>
      <c r="B62" s="2" t="s">
        <v>8</v>
      </c>
      <c r="C62" s="2" t="s">
        <v>79</v>
      </c>
    </row>
    <row r="63" ht="15.75" customHeight="1">
      <c r="A63" s="2" t="s">
        <v>82</v>
      </c>
      <c r="B63" s="2" t="s">
        <v>70</v>
      </c>
      <c r="C63" s="2" t="s">
        <v>79</v>
      </c>
    </row>
    <row r="64" ht="15.75" customHeight="1">
      <c r="A64" s="2" t="s">
        <v>83</v>
      </c>
      <c r="B64" s="2" t="s">
        <v>8</v>
      </c>
      <c r="C64" s="2" t="s">
        <v>79</v>
      </c>
    </row>
    <row r="65" ht="15.75" customHeight="1">
      <c r="A65" s="2" t="s">
        <v>84</v>
      </c>
      <c r="B65" s="2" t="s">
        <v>10</v>
      </c>
      <c r="C65" s="2" t="s">
        <v>85</v>
      </c>
    </row>
    <row r="66" ht="15.75" customHeight="1">
      <c r="A66" s="2" t="s">
        <v>86</v>
      </c>
      <c r="B66" s="2" t="s">
        <v>4</v>
      </c>
      <c r="C66" s="2" t="s">
        <v>87</v>
      </c>
    </row>
    <row r="67" ht="15.75" customHeight="1">
      <c r="A67" s="2" t="s">
        <v>88</v>
      </c>
      <c r="B67" s="2" t="s">
        <v>8</v>
      </c>
      <c r="C67" s="2" t="s">
        <v>87</v>
      </c>
    </row>
    <row r="68" ht="15.75" customHeight="1">
      <c r="A68" s="2" t="s">
        <v>89</v>
      </c>
      <c r="B68" s="2" t="s">
        <v>4</v>
      </c>
      <c r="C68" s="3" t="s">
        <v>90</v>
      </c>
    </row>
    <row r="69" ht="15.75" customHeight="1">
      <c r="A69" s="2" t="s">
        <v>91</v>
      </c>
      <c r="B69" s="2" t="s">
        <v>8</v>
      </c>
      <c r="C69" s="2" t="s">
        <v>90</v>
      </c>
    </row>
    <row r="70" ht="15.75" customHeight="1">
      <c r="A70" s="2" t="s">
        <v>92</v>
      </c>
      <c r="B70" s="2" t="s">
        <v>8</v>
      </c>
      <c r="C70" s="2" t="s">
        <v>90</v>
      </c>
    </row>
    <row r="71" ht="15.75" customHeight="1">
      <c r="A71" s="2" t="s">
        <v>93</v>
      </c>
      <c r="B71" s="2" t="s">
        <v>8</v>
      </c>
      <c r="C71" s="2" t="s">
        <v>90</v>
      </c>
    </row>
    <row r="72" ht="15.75" customHeight="1">
      <c r="A72" s="2" t="s">
        <v>94</v>
      </c>
      <c r="B72" s="2" t="s">
        <v>4</v>
      </c>
      <c r="C72" s="2" t="s">
        <v>95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31.86"/>
    <col customWidth="1" min="3" max="3" width="126.29"/>
    <col customWidth="1" min="4" max="4" width="62.71"/>
    <col customWidth="1" hidden="1" min="5" max="7" width="11.71"/>
    <col customWidth="1" min="8" max="26" width="11.71"/>
  </cols>
  <sheetData>
    <row r="1" ht="50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4"/>
      <c r="B2" s="5" t="s">
        <v>96</v>
      </c>
      <c r="C2" s="5" t="s">
        <v>97</v>
      </c>
      <c r="D2" s="6" t="s">
        <v>98</v>
      </c>
      <c r="E2" s="7" t="s">
        <v>99</v>
      </c>
      <c r="F2" s="7" t="s">
        <v>100</v>
      </c>
      <c r="G2" s="7" t="s">
        <v>101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09.5" customHeight="1">
      <c r="A3" s="4"/>
      <c r="B3" s="8"/>
      <c r="C3" s="9"/>
      <c r="D3" s="10"/>
      <c r="E3" s="11">
        <v>0.0021505377</v>
      </c>
      <c r="F3" s="12" t="s">
        <v>102</v>
      </c>
      <c r="G3" s="12" t="str">
        <f>IFERROR((#REF!-#REF!)/#REF!,"–")</f>
        <v>–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25" footer="0.0" header="0.0" left="0.416667" right="0.416667" top="0.2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14"/>
    <col customWidth="1" min="3" max="3" width="20.29"/>
    <col customWidth="1" min="4" max="4" width="20.43"/>
    <col customWidth="1" min="5" max="5" width="13.43"/>
    <col customWidth="1" min="6" max="8" width="10.86"/>
    <col customWidth="1" min="9" max="9" width="23.86"/>
    <col customWidth="1" min="10" max="10" width="14.43"/>
    <col customWidth="1" min="11" max="11" width="20.43"/>
    <col customWidth="1" min="12" max="12" width="10.86"/>
    <col customWidth="1" min="13" max="26" width="10.71"/>
  </cols>
  <sheetData>
    <row r="1" ht="15.75" customHeight="1">
      <c r="A1" s="13" t="s">
        <v>103</v>
      </c>
      <c r="B1" s="13" t="s">
        <v>104</v>
      </c>
      <c r="C1" s="13" t="s">
        <v>105</v>
      </c>
      <c r="D1" s="13" t="s">
        <v>106</v>
      </c>
      <c r="E1" s="13" t="s">
        <v>107</v>
      </c>
      <c r="F1" s="13" t="s">
        <v>108</v>
      </c>
      <c r="G1" s="13" t="s">
        <v>109</v>
      </c>
      <c r="H1" s="13" t="s">
        <v>110</v>
      </c>
      <c r="I1" s="13" t="s">
        <v>111</v>
      </c>
      <c r="J1" s="13" t="s">
        <v>112</v>
      </c>
      <c r="K1" s="14" t="s">
        <v>113</v>
      </c>
      <c r="L1" s="13" t="s">
        <v>114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5" t="s">
        <v>115</v>
      </c>
      <c r="B2" s="15" t="s">
        <v>116</v>
      </c>
      <c r="C2" s="15" t="s">
        <v>117</v>
      </c>
      <c r="D2" s="15" t="s">
        <v>118</v>
      </c>
      <c r="E2" s="15"/>
      <c r="F2" s="15">
        <v>227.0</v>
      </c>
      <c r="G2" s="15">
        <v>227.0</v>
      </c>
      <c r="H2" s="15"/>
      <c r="I2" s="15" t="s">
        <v>119</v>
      </c>
      <c r="J2" s="15" t="s">
        <v>120</v>
      </c>
      <c r="K2" s="16" t="s">
        <v>121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5" t="s">
        <v>115</v>
      </c>
      <c r="B3" s="15" t="s">
        <v>116</v>
      </c>
      <c r="C3" s="15" t="s">
        <v>117</v>
      </c>
      <c r="D3" s="15" t="s">
        <v>122</v>
      </c>
      <c r="E3" s="15"/>
      <c r="F3" s="15">
        <v>2.0</v>
      </c>
      <c r="G3" s="15">
        <v>2.0</v>
      </c>
      <c r="H3" s="15"/>
      <c r="I3" s="15" t="s">
        <v>119</v>
      </c>
      <c r="J3" s="15" t="s">
        <v>123</v>
      </c>
      <c r="K3" s="16" t="s">
        <v>124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5" t="s">
        <v>115</v>
      </c>
      <c r="B4" s="15" t="s">
        <v>125</v>
      </c>
      <c r="C4" s="15" t="s">
        <v>117</v>
      </c>
      <c r="D4" s="15" t="s">
        <v>122</v>
      </c>
      <c r="E4" s="15"/>
      <c r="F4" s="15">
        <v>2.0</v>
      </c>
      <c r="G4" s="15">
        <v>2.0</v>
      </c>
      <c r="H4" s="15"/>
      <c r="I4" s="15" t="s">
        <v>119</v>
      </c>
      <c r="J4" s="15" t="s">
        <v>120</v>
      </c>
      <c r="K4" s="16" t="s">
        <v>126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 t="s">
        <v>115</v>
      </c>
      <c r="B5" s="15" t="s">
        <v>127</v>
      </c>
      <c r="C5" s="15" t="s">
        <v>128</v>
      </c>
      <c r="D5" s="15" t="s">
        <v>129</v>
      </c>
      <c r="E5" s="15">
        <v>3499.0</v>
      </c>
      <c r="F5" s="15">
        <v>1371.0</v>
      </c>
      <c r="G5" s="15">
        <v>1371.0</v>
      </c>
      <c r="H5" s="15">
        <v>2128.0</v>
      </c>
      <c r="I5" s="15" t="s">
        <v>130</v>
      </c>
      <c r="J5" s="15" t="s">
        <v>120</v>
      </c>
      <c r="K5" s="16" t="s">
        <v>131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5" t="s">
        <v>115</v>
      </c>
      <c r="B6" s="15" t="s">
        <v>132</v>
      </c>
      <c r="C6" s="15" t="s">
        <v>128</v>
      </c>
      <c r="D6" s="15" t="s">
        <v>129</v>
      </c>
      <c r="E6" s="15">
        <v>1052.0</v>
      </c>
      <c r="F6" s="15">
        <v>376.0</v>
      </c>
      <c r="G6" s="15">
        <v>376.0</v>
      </c>
      <c r="H6" s="15">
        <v>676.0</v>
      </c>
      <c r="I6" s="15" t="s">
        <v>130</v>
      </c>
      <c r="J6" s="15" t="s">
        <v>120</v>
      </c>
      <c r="K6" s="16" t="s">
        <v>133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5" t="s">
        <v>115</v>
      </c>
      <c r="B7" s="15" t="s">
        <v>134</v>
      </c>
      <c r="C7" s="15" t="s">
        <v>128</v>
      </c>
      <c r="D7" s="15" t="s">
        <v>129</v>
      </c>
      <c r="E7" s="15">
        <v>337.0</v>
      </c>
      <c r="F7" s="15">
        <v>285.0</v>
      </c>
      <c r="G7" s="15">
        <v>285.0</v>
      </c>
      <c r="H7" s="15">
        <v>52.0</v>
      </c>
      <c r="I7" s="15" t="s">
        <v>130</v>
      </c>
      <c r="J7" s="15" t="s">
        <v>120</v>
      </c>
      <c r="K7" s="16" t="s">
        <v>133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5" t="s">
        <v>115</v>
      </c>
      <c r="B8" s="15" t="s">
        <v>135</v>
      </c>
      <c r="C8" s="15" t="s">
        <v>128</v>
      </c>
      <c r="D8" s="15" t="s">
        <v>129</v>
      </c>
      <c r="E8" s="15">
        <v>160.0</v>
      </c>
      <c r="F8" s="15">
        <v>76.0</v>
      </c>
      <c r="G8" s="15">
        <v>76.0</v>
      </c>
      <c r="H8" s="15">
        <v>84.0</v>
      </c>
      <c r="I8" s="15" t="s">
        <v>130</v>
      </c>
      <c r="J8" s="15" t="s">
        <v>120</v>
      </c>
      <c r="K8" s="16" t="s">
        <v>136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5" t="s">
        <v>115</v>
      </c>
      <c r="B9" s="15" t="s">
        <v>137</v>
      </c>
      <c r="C9" s="15" t="s">
        <v>128</v>
      </c>
      <c r="D9" s="15" t="s">
        <v>129</v>
      </c>
      <c r="E9" s="15">
        <v>260.0</v>
      </c>
      <c r="F9" s="15">
        <v>102.0</v>
      </c>
      <c r="G9" s="15">
        <v>102.0</v>
      </c>
      <c r="H9" s="15">
        <v>158.0</v>
      </c>
      <c r="I9" s="15" t="s">
        <v>130</v>
      </c>
      <c r="J9" s="15" t="s">
        <v>120</v>
      </c>
      <c r="K9" s="17">
        <v>44473.0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 t="s">
        <v>115</v>
      </c>
      <c r="B10" s="15" t="s">
        <v>138</v>
      </c>
      <c r="C10" s="15" t="s">
        <v>139</v>
      </c>
      <c r="D10" s="15" t="s">
        <v>140</v>
      </c>
      <c r="E10" s="15">
        <v>88.0</v>
      </c>
      <c r="F10" s="15">
        <v>88.0</v>
      </c>
      <c r="G10" s="15">
        <v>88.0</v>
      </c>
      <c r="H10" s="15"/>
      <c r="I10" s="15" t="s">
        <v>119</v>
      </c>
      <c r="J10" s="15" t="s">
        <v>120</v>
      </c>
      <c r="K10" s="17">
        <v>44079.0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5" t="s">
        <v>115</v>
      </c>
      <c r="B11" s="15" t="s">
        <v>141</v>
      </c>
      <c r="C11" s="15" t="s">
        <v>128</v>
      </c>
      <c r="D11" s="15" t="s">
        <v>129</v>
      </c>
      <c r="E11" s="15">
        <v>4126.0</v>
      </c>
      <c r="F11" s="15">
        <v>97.0</v>
      </c>
      <c r="G11" s="15">
        <v>97.0</v>
      </c>
      <c r="H11" s="15">
        <v>330.0</v>
      </c>
      <c r="I11" s="15" t="s">
        <v>130</v>
      </c>
      <c r="J11" s="15" t="s">
        <v>120</v>
      </c>
      <c r="K11" s="16" t="s">
        <v>142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5" t="s">
        <v>115</v>
      </c>
      <c r="B12" s="15" t="s">
        <v>143</v>
      </c>
      <c r="C12" s="15" t="s">
        <v>144</v>
      </c>
      <c r="D12" s="15" t="s">
        <v>129</v>
      </c>
      <c r="E12" s="15">
        <v>22949.0</v>
      </c>
      <c r="F12" s="15">
        <v>126.0</v>
      </c>
      <c r="G12" s="15">
        <v>126.0</v>
      </c>
      <c r="H12" s="15">
        <v>37.0</v>
      </c>
      <c r="I12" s="15" t="s">
        <v>130</v>
      </c>
      <c r="J12" s="15" t="s">
        <v>120</v>
      </c>
      <c r="K12" s="16" t="s">
        <v>142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 t="s">
        <v>115</v>
      </c>
      <c r="B13" s="15" t="s">
        <v>145</v>
      </c>
      <c r="C13" s="15" t="s">
        <v>144</v>
      </c>
      <c r="D13" s="15" t="s">
        <v>129</v>
      </c>
      <c r="E13" s="15">
        <v>17549.0</v>
      </c>
      <c r="F13" s="15">
        <v>355.0</v>
      </c>
      <c r="G13" s="15">
        <v>355.0</v>
      </c>
      <c r="H13" s="15">
        <v>2303.0</v>
      </c>
      <c r="I13" s="15" t="s">
        <v>130</v>
      </c>
      <c r="J13" s="15" t="s">
        <v>120</v>
      </c>
      <c r="K13" s="16" t="s">
        <v>146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 t="s">
        <v>115</v>
      </c>
      <c r="B14" s="15" t="s">
        <v>147</v>
      </c>
      <c r="C14" s="15" t="s">
        <v>144</v>
      </c>
      <c r="D14" s="15" t="s">
        <v>129</v>
      </c>
      <c r="E14" s="15">
        <v>6562.0</v>
      </c>
      <c r="F14" s="15">
        <v>581.0</v>
      </c>
      <c r="G14" s="15">
        <v>581.0</v>
      </c>
      <c r="H14" s="15">
        <v>5981.0</v>
      </c>
      <c r="I14" s="15" t="s">
        <v>130</v>
      </c>
      <c r="J14" s="15" t="s">
        <v>120</v>
      </c>
      <c r="K14" s="17">
        <v>44144.0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 t="s">
        <v>115</v>
      </c>
      <c r="B15" s="15" t="s">
        <v>148</v>
      </c>
      <c r="C15" s="15" t="s">
        <v>144</v>
      </c>
      <c r="D15" s="15" t="s">
        <v>129</v>
      </c>
      <c r="E15" s="15">
        <v>13472.0</v>
      </c>
      <c r="F15" s="15">
        <v>30.0</v>
      </c>
      <c r="G15" s="15">
        <v>30.0</v>
      </c>
      <c r="H15" s="15">
        <v>260.0</v>
      </c>
      <c r="I15" s="15" t="s">
        <v>130</v>
      </c>
      <c r="J15" s="15" t="s">
        <v>120</v>
      </c>
      <c r="K15" s="16" t="s">
        <v>146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 t="s">
        <v>115</v>
      </c>
      <c r="B16" s="15" t="s">
        <v>149</v>
      </c>
      <c r="C16" s="15" t="s">
        <v>144</v>
      </c>
      <c r="D16" s="15" t="s">
        <v>129</v>
      </c>
      <c r="E16" s="15">
        <v>580.0</v>
      </c>
      <c r="F16" s="15">
        <v>235.0</v>
      </c>
      <c r="G16" s="15">
        <v>235.0</v>
      </c>
      <c r="H16" s="15"/>
      <c r="I16" s="15" t="s">
        <v>130</v>
      </c>
      <c r="J16" s="15" t="s">
        <v>120</v>
      </c>
      <c r="K16" s="17">
        <v>44174.0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 t="s">
        <v>115</v>
      </c>
      <c r="B17" s="15" t="s">
        <v>150</v>
      </c>
      <c r="C17" s="15" t="s">
        <v>144</v>
      </c>
      <c r="D17" s="15" t="s">
        <v>129</v>
      </c>
      <c r="E17" s="15">
        <v>2556.0</v>
      </c>
      <c r="F17" s="15">
        <v>339.0</v>
      </c>
      <c r="G17" s="15">
        <v>339.0</v>
      </c>
      <c r="H17" s="15">
        <v>819.0</v>
      </c>
      <c r="I17" s="15" t="s">
        <v>130</v>
      </c>
      <c r="J17" s="15" t="s">
        <v>120</v>
      </c>
      <c r="K17" s="17">
        <v>44174.0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 t="s">
        <v>115</v>
      </c>
      <c r="B18" s="15" t="s">
        <v>151</v>
      </c>
      <c r="C18" s="15" t="s">
        <v>128</v>
      </c>
      <c r="D18" s="15" t="s">
        <v>129</v>
      </c>
      <c r="E18" s="15">
        <v>58.0</v>
      </c>
      <c r="F18" s="15">
        <v>58.0</v>
      </c>
      <c r="G18" s="15">
        <v>58.0</v>
      </c>
      <c r="H18" s="15"/>
      <c r="I18" s="15" t="s">
        <v>130</v>
      </c>
      <c r="J18" s="15" t="s">
        <v>120</v>
      </c>
      <c r="K18" s="16" t="s">
        <v>152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 t="s">
        <v>115</v>
      </c>
      <c r="B19" s="15" t="s">
        <v>153</v>
      </c>
      <c r="C19" s="15" t="s">
        <v>128</v>
      </c>
      <c r="D19" s="15" t="s">
        <v>129</v>
      </c>
      <c r="E19" s="15">
        <v>85.0</v>
      </c>
      <c r="F19" s="15">
        <v>2.0</v>
      </c>
      <c r="G19" s="15">
        <v>2.0</v>
      </c>
      <c r="H19" s="15">
        <v>83.0</v>
      </c>
      <c r="I19" s="15" t="s">
        <v>130</v>
      </c>
      <c r="J19" s="15" t="s">
        <v>120</v>
      </c>
      <c r="K19" s="16" t="s">
        <v>154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 t="s">
        <v>115</v>
      </c>
      <c r="B20" s="15" t="s">
        <v>155</v>
      </c>
      <c r="C20" s="15" t="s">
        <v>128</v>
      </c>
      <c r="D20" s="15" t="s">
        <v>129</v>
      </c>
      <c r="E20" s="15">
        <v>48.0</v>
      </c>
      <c r="F20" s="15">
        <v>48.0</v>
      </c>
      <c r="G20" s="15">
        <v>48.0</v>
      </c>
      <c r="H20" s="15"/>
      <c r="I20" s="15" t="s">
        <v>130</v>
      </c>
      <c r="J20" s="15" t="s">
        <v>120</v>
      </c>
      <c r="K20" s="16" t="s">
        <v>156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 t="s">
        <v>115</v>
      </c>
      <c r="B21" s="15" t="s">
        <v>157</v>
      </c>
      <c r="C21" s="15" t="s">
        <v>158</v>
      </c>
      <c r="D21" s="15" t="s">
        <v>129</v>
      </c>
      <c r="E21" s="15">
        <v>602784.0</v>
      </c>
      <c r="F21" s="15">
        <v>67957.0</v>
      </c>
      <c r="G21" s="15">
        <v>67957.0</v>
      </c>
      <c r="H21" s="15">
        <v>534827.0</v>
      </c>
      <c r="I21" s="15" t="s">
        <v>130</v>
      </c>
      <c r="J21" s="15" t="s">
        <v>120</v>
      </c>
      <c r="K21" s="16" t="s">
        <v>159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 t="s">
        <v>115</v>
      </c>
      <c r="B22" s="15" t="s">
        <v>160</v>
      </c>
      <c r="C22" s="15" t="s">
        <v>128</v>
      </c>
      <c r="D22" s="15" t="s">
        <v>129</v>
      </c>
      <c r="E22" s="15">
        <v>260.0</v>
      </c>
      <c r="F22" s="15">
        <v>1.0</v>
      </c>
      <c r="G22" s="15"/>
      <c r="H22" s="15">
        <v>260.0</v>
      </c>
      <c r="I22" s="15" t="s">
        <v>161</v>
      </c>
      <c r="J22" s="15" t="s">
        <v>162</v>
      </c>
      <c r="K22" s="17">
        <v>43621.0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 t="s">
        <v>115</v>
      </c>
      <c r="B23" s="15" t="s">
        <v>163</v>
      </c>
      <c r="C23" s="15" t="s">
        <v>144</v>
      </c>
      <c r="D23" s="15" t="s">
        <v>129</v>
      </c>
      <c r="E23" s="15">
        <v>467.0</v>
      </c>
      <c r="F23" s="15">
        <v>5.0</v>
      </c>
      <c r="G23" s="15"/>
      <c r="H23" s="15">
        <v>467.0</v>
      </c>
      <c r="I23" s="15" t="s">
        <v>161</v>
      </c>
      <c r="J23" s="15" t="s">
        <v>162</v>
      </c>
      <c r="K23" s="16" t="s">
        <v>164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 t="s">
        <v>115</v>
      </c>
      <c r="B24" s="15" t="s">
        <v>165</v>
      </c>
      <c r="C24" s="15" t="s">
        <v>139</v>
      </c>
      <c r="D24" s="15" t="s">
        <v>166</v>
      </c>
      <c r="E24" s="15"/>
      <c r="F24" s="15">
        <v>2.0</v>
      </c>
      <c r="G24" s="15">
        <v>2.0</v>
      </c>
      <c r="H24" s="15"/>
      <c r="I24" s="15" t="s">
        <v>119</v>
      </c>
      <c r="J24" s="15" t="s">
        <v>167</v>
      </c>
      <c r="K24" s="16" t="s">
        <v>168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 t="s">
        <v>115</v>
      </c>
      <c r="B25" s="15" t="s">
        <v>169</v>
      </c>
      <c r="C25" s="15" t="s">
        <v>170</v>
      </c>
      <c r="D25" s="15" t="s">
        <v>171</v>
      </c>
      <c r="E25" s="15"/>
      <c r="F25" s="15">
        <v>2.0</v>
      </c>
      <c r="G25" s="15">
        <v>2.0</v>
      </c>
      <c r="H25" s="15"/>
      <c r="I25" s="15" t="s">
        <v>130</v>
      </c>
      <c r="J25" s="15" t="s">
        <v>172</v>
      </c>
      <c r="K25" s="17">
        <v>42136.0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 t="s">
        <v>115</v>
      </c>
      <c r="B26" s="15" t="s">
        <v>173</v>
      </c>
      <c r="C26" s="15" t="s">
        <v>144</v>
      </c>
      <c r="D26" s="15" t="s">
        <v>129</v>
      </c>
      <c r="E26" s="15"/>
      <c r="F26" s="15">
        <v>31.0</v>
      </c>
      <c r="G26" s="15">
        <v>31.0</v>
      </c>
      <c r="H26" s="15">
        <v>48.0</v>
      </c>
      <c r="I26" s="15" t="s">
        <v>174</v>
      </c>
      <c r="J26" s="15" t="s">
        <v>162</v>
      </c>
      <c r="K26" s="16" t="s">
        <v>175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 t="s">
        <v>115</v>
      </c>
      <c r="B27" s="15" t="s">
        <v>176</v>
      </c>
      <c r="C27" s="15" t="s">
        <v>170</v>
      </c>
      <c r="D27" s="15" t="s">
        <v>177</v>
      </c>
      <c r="E27" s="15"/>
      <c r="F27" s="15">
        <v>3.0</v>
      </c>
      <c r="G27" s="15">
        <v>3.0</v>
      </c>
      <c r="H27" s="15"/>
      <c r="I27" s="15" t="s">
        <v>130</v>
      </c>
      <c r="J27" s="15" t="s">
        <v>172</v>
      </c>
      <c r="K27" s="17">
        <v>38993.0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 t="s">
        <v>115</v>
      </c>
      <c r="B28" s="15" t="s">
        <v>178</v>
      </c>
      <c r="C28" s="15" t="s">
        <v>158</v>
      </c>
      <c r="D28" s="15" t="s">
        <v>129</v>
      </c>
      <c r="E28" s="15">
        <v>2800.0</v>
      </c>
      <c r="F28" s="15">
        <v>400.0</v>
      </c>
      <c r="G28" s="15">
        <v>400.0</v>
      </c>
      <c r="H28" s="15">
        <v>2400.0</v>
      </c>
      <c r="I28" s="15" t="s">
        <v>130</v>
      </c>
      <c r="J28" s="15" t="s">
        <v>179</v>
      </c>
      <c r="K28" s="16" t="s">
        <v>180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6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6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6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6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6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6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6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6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6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6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6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6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6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6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6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6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6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6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6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6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6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6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6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6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6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6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6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6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6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6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6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6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6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6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6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6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6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6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6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6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6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6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6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6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6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6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6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6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6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6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6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6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6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6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6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6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6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6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6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6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6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6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6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6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6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6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6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6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6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6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6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6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6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6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6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6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6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6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6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6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6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6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6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6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6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6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6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6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6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6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6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6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6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6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6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6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6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6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6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6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6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6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6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6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6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6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6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6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6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6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6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6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6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6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6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6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6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6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6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6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6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6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6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6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6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6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6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6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6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6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6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6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6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6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6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6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6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6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6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6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6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6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6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6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6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6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6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6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6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6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6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6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6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6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6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6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6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6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6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6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6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6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6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6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6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6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6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6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6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6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6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6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6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6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6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6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6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6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6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6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6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6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6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6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6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6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6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6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6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6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6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6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6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6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6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6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6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6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6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6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6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6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6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6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6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6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6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6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6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6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6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6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6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6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6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6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6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6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6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6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6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6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6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6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6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6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6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6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6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6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6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6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6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6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6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6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6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6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6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6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6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6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6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6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6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6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6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6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6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6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6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6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6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6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6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6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6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6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6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6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6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6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6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6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6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6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6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6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6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6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6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6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6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6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6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6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6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6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6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6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6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6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6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6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6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6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6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6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6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6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6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6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6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6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6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6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6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6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6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6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6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6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6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6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6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6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6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6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6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6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6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6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6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6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6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6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6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6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6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6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6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6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6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6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6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6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6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6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6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6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6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6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6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6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6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6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6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6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6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6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6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6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6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6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6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6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6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6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6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6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6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6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6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6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6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6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6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6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6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6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6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6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6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6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6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6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6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6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6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6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6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6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6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6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6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6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6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6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6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6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6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6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6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6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6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6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6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6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6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6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6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6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6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6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6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6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6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6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6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6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6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6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6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6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6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6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6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6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6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6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6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6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6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6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6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6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6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6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6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6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6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6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6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6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6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6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6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6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6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6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6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6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6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6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6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6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6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6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6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6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6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6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6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6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6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6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6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6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6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6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6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6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6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6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6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6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6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6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6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6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6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6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6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6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6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6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6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6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6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6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6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6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6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6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6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6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6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6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6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6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6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6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6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6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6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6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6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6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6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6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6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6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6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6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6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6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6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6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6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6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6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6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6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6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6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6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6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6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6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6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6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6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6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6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6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6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6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6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6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6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6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6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6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6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6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6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6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6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6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6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6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6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6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6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6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6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6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6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6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6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6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6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6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6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6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6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6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6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6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6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6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6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6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6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6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6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6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6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6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6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6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6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6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6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6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6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6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6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6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6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6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6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6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6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6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6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6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6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6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6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6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6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6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6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6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6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6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6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6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6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6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6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6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6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6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6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6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6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6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6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6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6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6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6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6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6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6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6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6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6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6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6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6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6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6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6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6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6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6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6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6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6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6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6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6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6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6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6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6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6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6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6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6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6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6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6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6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6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6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6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6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6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6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6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6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6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6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6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6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6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6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6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6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6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6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6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6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6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6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6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6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6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6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6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6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6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6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6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6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6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6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6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6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6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6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6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6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6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6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6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6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6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6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6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6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6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6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6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6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6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6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6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6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6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6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6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6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6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6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6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6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6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6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6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6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6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6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6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6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6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6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6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6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6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6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6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6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6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6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6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6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6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6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6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6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6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6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6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6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6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6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6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6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6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6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6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6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6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6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6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6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6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6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6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6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6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6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6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6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6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6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6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6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6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6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6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6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6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6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6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6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6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6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6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6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6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6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6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6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6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6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6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6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6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6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6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6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6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6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6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6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6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6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6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6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6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6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6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6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6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6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6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A$1:$K$29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86"/>
    <col customWidth="1" min="3" max="3" width="10.86"/>
    <col customWidth="1" min="4" max="4" width="13.0"/>
    <col customWidth="1" min="5" max="5" width="16.0"/>
    <col customWidth="1" min="6" max="6" width="10.86"/>
    <col customWidth="1" min="7" max="7" width="29.86"/>
    <col customWidth="1" min="8" max="8" width="27.86"/>
    <col customWidth="1" min="9" max="26" width="10.71"/>
  </cols>
  <sheetData>
    <row r="1" ht="15.75" customHeight="1">
      <c r="A1" s="15" t="s">
        <v>181</v>
      </c>
      <c r="B1" s="15" t="s">
        <v>182</v>
      </c>
      <c r="C1" s="15" t="s">
        <v>183</v>
      </c>
      <c r="D1" s="15" t="s">
        <v>2</v>
      </c>
      <c r="E1" s="15" t="s">
        <v>184</v>
      </c>
      <c r="F1" s="15" t="s">
        <v>185</v>
      </c>
      <c r="G1" s="15" t="s">
        <v>186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5" t="s">
        <v>187</v>
      </c>
      <c r="B2" s="15" t="s">
        <v>188</v>
      </c>
      <c r="C2" s="15">
        <v>1998.0</v>
      </c>
      <c r="D2" s="15" t="s">
        <v>189</v>
      </c>
      <c r="E2" s="15" t="s">
        <v>190</v>
      </c>
      <c r="F2" s="15" t="s">
        <v>191</v>
      </c>
      <c r="G2" s="15" t="s">
        <v>192</v>
      </c>
      <c r="H2" s="15" t="s">
        <v>193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5" t="s">
        <v>187</v>
      </c>
      <c r="B3" s="15" t="s">
        <v>188</v>
      </c>
      <c r="C3" s="15">
        <v>1998.0</v>
      </c>
      <c r="D3" s="15" t="s">
        <v>189</v>
      </c>
      <c r="E3" s="15" t="s">
        <v>194</v>
      </c>
      <c r="F3" s="15" t="s">
        <v>191</v>
      </c>
      <c r="G3" s="15" t="s">
        <v>192</v>
      </c>
      <c r="H3" s="15" t="s">
        <v>195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5" t="s">
        <v>187</v>
      </c>
      <c r="B4" s="15" t="s">
        <v>188</v>
      </c>
      <c r="C4" s="15">
        <v>1998.0</v>
      </c>
      <c r="D4" s="15" t="s">
        <v>189</v>
      </c>
      <c r="E4" s="15" t="s">
        <v>196</v>
      </c>
      <c r="F4" s="15" t="s">
        <v>191</v>
      </c>
      <c r="G4" s="15" t="s">
        <v>192</v>
      </c>
      <c r="H4" s="15" t="s">
        <v>197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 t="s">
        <v>187</v>
      </c>
      <c r="B5" s="15" t="s">
        <v>188</v>
      </c>
      <c r="C5" s="15">
        <v>1998.0</v>
      </c>
      <c r="D5" s="15" t="s">
        <v>189</v>
      </c>
      <c r="E5" s="15" t="s">
        <v>198</v>
      </c>
      <c r="F5" s="15" t="s">
        <v>191</v>
      </c>
      <c r="G5" s="15" t="s">
        <v>192</v>
      </c>
      <c r="H5" s="15" t="s">
        <v>199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5" t="s">
        <v>187</v>
      </c>
      <c r="B6" s="15" t="s">
        <v>188</v>
      </c>
      <c r="C6" s="15">
        <v>1998.0</v>
      </c>
      <c r="D6" s="15" t="s">
        <v>200</v>
      </c>
      <c r="E6" s="15" t="s">
        <v>201</v>
      </c>
      <c r="F6" s="15" t="s">
        <v>191</v>
      </c>
      <c r="G6" s="15" t="s">
        <v>192</v>
      </c>
      <c r="H6" s="15" t="s">
        <v>202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5" t="s">
        <v>187</v>
      </c>
      <c r="B7" s="15" t="s">
        <v>188</v>
      </c>
      <c r="C7" s="15">
        <v>2000.0</v>
      </c>
      <c r="D7" s="15" t="s">
        <v>189</v>
      </c>
      <c r="E7" s="15" t="s">
        <v>203</v>
      </c>
      <c r="F7" s="15" t="s">
        <v>191</v>
      </c>
      <c r="G7" s="15" t="s">
        <v>192</v>
      </c>
      <c r="H7" s="15" t="s">
        <v>204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5" t="s">
        <v>187</v>
      </c>
      <c r="B8" s="15" t="s">
        <v>188</v>
      </c>
      <c r="C8" s="15">
        <v>2000.0</v>
      </c>
      <c r="D8" s="15" t="s">
        <v>189</v>
      </c>
      <c r="E8" s="15" t="s">
        <v>205</v>
      </c>
      <c r="F8" s="15" t="s">
        <v>191</v>
      </c>
      <c r="G8" s="15" t="s">
        <v>192</v>
      </c>
      <c r="H8" s="15" t="s">
        <v>206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5" t="s">
        <v>187</v>
      </c>
      <c r="B9" s="15" t="s">
        <v>188</v>
      </c>
      <c r="C9" s="15">
        <v>2000.0</v>
      </c>
      <c r="D9" s="15" t="s">
        <v>189</v>
      </c>
      <c r="E9" s="15" t="s">
        <v>207</v>
      </c>
      <c r="F9" s="15" t="s">
        <v>191</v>
      </c>
      <c r="G9" s="15" t="s">
        <v>192</v>
      </c>
      <c r="H9" s="15" t="s">
        <v>208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 t="s">
        <v>187</v>
      </c>
      <c r="B10" s="15" t="s">
        <v>188</v>
      </c>
      <c r="C10" s="15">
        <v>2000.0</v>
      </c>
      <c r="D10" s="15" t="s">
        <v>189</v>
      </c>
      <c r="E10" s="15" t="s">
        <v>209</v>
      </c>
      <c r="F10" s="15" t="s">
        <v>191</v>
      </c>
      <c r="G10" s="15" t="s">
        <v>192</v>
      </c>
      <c r="H10" s="15" t="s">
        <v>210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5" t="s">
        <v>187</v>
      </c>
      <c r="B11" s="15" t="s">
        <v>188</v>
      </c>
      <c r="C11" s="15">
        <v>2001.0</v>
      </c>
      <c r="D11" s="15" t="s">
        <v>211</v>
      </c>
      <c r="E11" s="15" t="s">
        <v>212</v>
      </c>
      <c r="F11" s="15" t="s">
        <v>191</v>
      </c>
      <c r="G11" s="15" t="s">
        <v>192</v>
      </c>
      <c r="H11" s="15" t="s">
        <v>213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5" t="s">
        <v>187</v>
      </c>
      <c r="B12" s="15" t="s">
        <v>188</v>
      </c>
      <c r="C12" s="15">
        <v>2001.0</v>
      </c>
      <c r="D12" s="15" t="s">
        <v>211</v>
      </c>
      <c r="E12" s="15" t="s">
        <v>214</v>
      </c>
      <c r="F12" s="15" t="s">
        <v>191</v>
      </c>
      <c r="G12" s="15" t="s">
        <v>192</v>
      </c>
      <c r="H12" s="15" t="s">
        <v>215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 t="s">
        <v>187</v>
      </c>
      <c r="B13" s="15" t="s">
        <v>188</v>
      </c>
      <c r="C13" s="15">
        <v>2001.0</v>
      </c>
      <c r="D13" s="15" t="s">
        <v>211</v>
      </c>
      <c r="E13" s="15" t="s">
        <v>216</v>
      </c>
      <c r="F13" s="15" t="s">
        <v>191</v>
      </c>
      <c r="G13" s="15" t="s">
        <v>192</v>
      </c>
      <c r="H13" s="15" t="s">
        <v>217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 t="s">
        <v>187</v>
      </c>
      <c r="B14" s="15" t="s">
        <v>188</v>
      </c>
      <c r="C14" s="15">
        <v>2001.0</v>
      </c>
      <c r="D14" s="15" t="s">
        <v>211</v>
      </c>
      <c r="E14" s="15" t="s">
        <v>218</v>
      </c>
      <c r="F14" s="15" t="s">
        <v>191</v>
      </c>
      <c r="G14" s="15" t="s">
        <v>192</v>
      </c>
      <c r="H14" s="15" t="s">
        <v>219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 t="s">
        <v>187</v>
      </c>
      <c r="B15" s="15" t="s">
        <v>188</v>
      </c>
      <c r="C15" s="15">
        <v>2001.0</v>
      </c>
      <c r="D15" s="15" t="s">
        <v>211</v>
      </c>
      <c r="E15" s="15" t="s">
        <v>220</v>
      </c>
      <c r="F15" s="15" t="s">
        <v>191</v>
      </c>
      <c r="G15" s="15" t="s">
        <v>192</v>
      </c>
      <c r="H15" s="15" t="s">
        <v>221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 t="s">
        <v>187</v>
      </c>
      <c r="B16" s="15" t="s">
        <v>188</v>
      </c>
      <c r="C16" s="15">
        <v>2003.0</v>
      </c>
      <c r="D16" s="15" t="s">
        <v>211</v>
      </c>
      <c r="E16" s="15" t="s">
        <v>222</v>
      </c>
      <c r="F16" s="15" t="s">
        <v>191</v>
      </c>
      <c r="G16" s="15" t="s">
        <v>192</v>
      </c>
      <c r="H16" s="15" t="s">
        <v>223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 t="s">
        <v>187</v>
      </c>
      <c r="B17" s="15" t="s">
        <v>188</v>
      </c>
      <c r="C17" s="15">
        <v>2003.0</v>
      </c>
      <c r="D17" s="15" t="s">
        <v>211</v>
      </c>
      <c r="E17" s="15" t="s">
        <v>224</v>
      </c>
      <c r="F17" s="15" t="s">
        <v>191</v>
      </c>
      <c r="G17" s="15" t="s">
        <v>192</v>
      </c>
      <c r="H17" s="15" t="s">
        <v>225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 t="s">
        <v>187</v>
      </c>
      <c r="B18" s="15" t="s">
        <v>188</v>
      </c>
      <c r="C18" s="15">
        <v>2003.0</v>
      </c>
      <c r="D18" s="15" t="s">
        <v>211</v>
      </c>
      <c r="E18" s="15" t="s">
        <v>226</v>
      </c>
      <c r="F18" s="15" t="s">
        <v>191</v>
      </c>
      <c r="G18" s="15" t="s">
        <v>192</v>
      </c>
      <c r="H18" s="15" t="s">
        <v>227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5" t="s">
        <v>187</v>
      </c>
      <c r="B19" s="15" t="s">
        <v>188</v>
      </c>
      <c r="C19" s="15">
        <v>2003.0</v>
      </c>
      <c r="D19" s="15" t="s">
        <v>211</v>
      </c>
      <c r="E19" s="15" t="s">
        <v>228</v>
      </c>
      <c r="F19" s="15" t="s">
        <v>191</v>
      </c>
      <c r="G19" s="15" t="s">
        <v>192</v>
      </c>
      <c r="H19" s="15" t="s">
        <v>229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 t="s">
        <v>187</v>
      </c>
      <c r="B20" s="15" t="s">
        <v>188</v>
      </c>
      <c r="C20" s="15">
        <v>2003.0</v>
      </c>
      <c r="D20" s="15" t="s">
        <v>211</v>
      </c>
      <c r="E20" s="15" t="s">
        <v>230</v>
      </c>
      <c r="F20" s="15" t="s">
        <v>191</v>
      </c>
      <c r="G20" s="15" t="s">
        <v>192</v>
      </c>
      <c r="H20" s="15" t="s">
        <v>231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 t="s">
        <v>187</v>
      </c>
      <c r="B21" s="15" t="s">
        <v>188</v>
      </c>
      <c r="C21" s="15">
        <v>2004.0</v>
      </c>
      <c r="D21" s="15" t="s">
        <v>189</v>
      </c>
      <c r="E21" s="15" t="s">
        <v>232</v>
      </c>
      <c r="F21" s="15" t="s">
        <v>191</v>
      </c>
      <c r="G21" s="15" t="s">
        <v>192</v>
      </c>
      <c r="H21" s="15" t="s">
        <v>233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 t="s">
        <v>187</v>
      </c>
      <c r="B22" s="15" t="s">
        <v>188</v>
      </c>
      <c r="C22" s="15">
        <v>2004.0</v>
      </c>
      <c r="D22" s="15" t="s">
        <v>189</v>
      </c>
      <c r="E22" s="15" t="s">
        <v>234</v>
      </c>
      <c r="F22" s="15" t="s">
        <v>191</v>
      </c>
      <c r="G22" s="15" t="s">
        <v>192</v>
      </c>
      <c r="H22" s="15" t="s">
        <v>235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 t="s">
        <v>187</v>
      </c>
      <c r="B23" s="15" t="s">
        <v>188</v>
      </c>
      <c r="C23" s="15">
        <v>2004.0</v>
      </c>
      <c r="D23" s="15" t="s">
        <v>189</v>
      </c>
      <c r="E23" s="15" t="s">
        <v>236</v>
      </c>
      <c r="F23" s="15" t="s">
        <v>191</v>
      </c>
      <c r="G23" s="15" t="s">
        <v>192</v>
      </c>
      <c r="H23" s="15" t="s">
        <v>237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 t="s">
        <v>187</v>
      </c>
      <c r="B24" s="15" t="s">
        <v>188</v>
      </c>
      <c r="C24" s="15">
        <v>2004.0</v>
      </c>
      <c r="D24" s="15" t="s">
        <v>189</v>
      </c>
      <c r="E24" s="15" t="s">
        <v>238</v>
      </c>
      <c r="F24" s="15" t="s">
        <v>191</v>
      </c>
      <c r="G24" s="15" t="s">
        <v>192</v>
      </c>
      <c r="H24" s="15" t="s">
        <v>239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 t="s">
        <v>187</v>
      </c>
      <c r="B25" s="15" t="s">
        <v>188</v>
      </c>
      <c r="C25" s="15">
        <v>2010.0</v>
      </c>
      <c r="D25" s="15" t="s">
        <v>189</v>
      </c>
      <c r="E25" s="15" t="s">
        <v>240</v>
      </c>
      <c r="F25" s="15" t="s">
        <v>191</v>
      </c>
      <c r="G25" s="15" t="s">
        <v>241</v>
      </c>
      <c r="H25" s="15" t="s">
        <v>242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 t="s">
        <v>187</v>
      </c>
      <c r="B26" s="15" t="s">
        <v>188</v>
      </c>
      <c r="C26" s="15">
        <v>2012.0</v>
      </c>
      <c r="D26" s="15" t="s">
        <v>243</v>
      </c>
      <c r="E26" s="15" t="s">
        <v>244</v>
      </c>
      <c r="F26" s="15" t="s">
        <v>191</v>
      </c>
      <c r="G26" s="15" t="s">
        <v>241</v>
      </c>
      <c r="H26" s="15" t="s">
        <v>245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 t="s">
        <v>187</v>
      </c>
      <c r="B27" s="15" t="s">
        <v>188</v>
      </c>
      <c r="C27" s="15">
        <v>2013.0</v>
      </c>
      <c r="D27" s="15" t="s">
        <v>246</v>
      </c>
      <c r="E27" s="15" t="s">
        <v>247</v>
      </c>
      <c r="F27" s="15" t="s">
        <v>191</v>
      </c>
      <c r="G27" s="15" t="s">
        <v>241</v>
      </c>
      <c r="H27" s="15" t="s">
        <v>248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 t="s">
        <v>187</v>
      </c>
      <c r="B28" s="15" t="s">
        <v>188</v>
      </c>
      <c r="C28" s="15">
        <v>2013.0</v>
      </c>
      <c r="D28" s="15" t="s">
        <v>189</v>
      </c>
      <c r="E28" s="15" t="s">
        <v>249</v>
      </c>
      <c r="F28" s="15" t="s">
        <v>191</v>
      </c>
      <c r="G28" s="15" t="s">
        <v>241</v>
      </c>
      <c r="H28" s="15" t="s">
        <v>250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 t="s">
        <v>251</v>
      </c>
      <c r="B29" s="15" t="s">
        <v>188</v>
      </c>
      <c r="C29" s="15">
        <v>2007.0</v>
      </c>
      <c r="D29" s="15" t="s">
        <v>115</v>
      </c>
      <c r="E29" s="15" t="s">
        <v>252</v>
      </c>
      <c r="F29" s="15" t="s">
        <v>191</v>
      </c>
      <c r="G29" s="15" t="s">
        <v>253</v>
      </c>
      <c r="H29" s="15" t="s">
        <v>254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 t="s">
        <v>255</v>
      </c>
      <c r="B30" s="15" t="s">
        <v>256</v>
      </c>
      <c r="C30" s="15">
        <v>2004.0</v>
      </c>
      <c r="D30" s="15" t="s">
        <v>189</v>
      </c>
      <c r="E30" s="15" t="s">
        <v>257</v>
      </c>
      <c r="F30" s="15" t="s">
        <v>258</v>
      </c>
      <c r="G30" s="15" t="s">
        <v>192</v>
      </c>
      <c r="H30" s="15" t="s">
        <v>259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 t="s">
        <v>255</v>
      </c>
      <c r="B31" s="15" t="s">
        <v>256</v>
      </c>
      <c r="C31" s="15">
        <v>2004.0</v>
      </c>
      <c r="D31" s="15" t="s">
        <v>189</v>
      </c>
      <c r="E31" s="15" t="s">
        <v>260</v>
      </c>
      <c r="F31" s="15" t="s">
        <v>258</v>
      </c>
      <c r="G31" s="15" t="s">
        <v>192</v>
      </c>
      <c r="H31" s="15" t="s">
        <v>259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 t="s">
        <v>255</v>
      </c>
      <c r="B32" s="15" t="s">
        <v>256</v>
      </c>
      <c r="C32" s="15">
        <v>2004.0</v>
      </c>
      <c r="D32" s="15" t="s">
        <v>189</v>
      </c>
      <c r="E32" s="15" t="s">
        <v>261</v>
      </c>
      <c r="F32" s="15" t="s">
        <v>258</v>
      </c>
      <c r="G32" s="15" t="s">
        <v>192</v>
      </c>
      <c r="H32" s="15" t="s">
        <v>259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 t="s">
        <v>255</v>
      </c>
      <c r="B33" s="15" t="s">
        <v>256</v>
      </c>
      <c r="C33" s="15">
        <v>2004.0</v>
      </c>
      <c r="D33" s="15" t="s">
        <v>189</v>
      </c>
      <c r="E33" s="15" t="s">
        <v>262</v>
      </c>
      <c r="F33" s="15" t="s">
        <v>258</v>
      </c>
      <c r="G33" s="15" t="s">
        <v>192</v>
      </c>
      <c r="H33" s="15" t="s">
        <v>259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 t="s">
        <v>255</v>
      </c>
      <c r="B34" s="15" t="s">
        <v>256</v>
      </c>
      <c r="C34" s="15">
        <v>2004.0</v>
      </c>
      <c r="D34" s="15" t="s">
        <v>189</v>
      </c>
      <c r="E34" s="15" t="s">
        <v>263</v>
      </c>
      <c r="F34" s="15" t="s">
        <v>258</v>
      </c>
      <c r="G34" s="15" t="s">
        <v>192</v>
      </c>
      <c r="H34" s="15" t="s">
        <v>259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 t="s">
        <v>255</v>
      </c>
      <c r="B35" s="15" t="s">
        <v>256</v>
      </c>
      <c r="C35" s="15">
        <v>2004.0</v>
      </c>
      <c r="D35" s="15" t="s">
        <v>189</v>
      </c>
      <c r="E35" s="15" t="s">
        <v>264</v>
      </c>
      <c r="F35" s="15" t="s">
        <v>258</v>
      </c>
      <c r="G35" s="15" t="s">
        <v>192</v>
      </c>
      <c r="H35" s="15" t="s">
        <v>259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 t="s">
        <v>255</v>
      </c>
      <c r="B36" s="15" t="s">
        <v>256</v>
      </c>
      <c r="C36" s="15">
        <v>2004.0</v>
      </c>
      <c r="D36" s="15" t="s">
        <v>189</v>
      </c>
      <c r="E36" s="15" t="s">
        <v>265</v>
      </c>
      <c r="F36" s="15" t="s">
        <v>258</v>
      </c>
      <c r="G36" s="15" t="s">
        <v>192</v>
      </c>
      <c r="H36" s="15" t="s">
        <v>259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 t="s">
        <v>255</v>
      </c>
      <c r="B37" s="15" t="s">
        <v>256</v>
      </c>
      <c r="C37" s="15">
        <v>2005.0</v>
      </c>
      <c r="D37" s="15" t="s">
        <v>189</v>
      </c>
      <c r="E37" s="15" t="s">
        <v>266</v>
      </c>
      <c r="F37" s="15" t="s">
        <v>258</v>
      </c>
      <c r="G37" s="15" t="s">
        <v>192</v>
      </c>
      <c r="H37" s="15" t="s">
        <v>259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 t="s">
        <v>267</v>
      </c>
      <c r="B38" s="15" t="s">
        <v>256</v>
      </c>
      <c r="C38" s="15">
        <v>2020.0</v>
      </c>
      <c r="D38" s="15" t="s">
        <v>243</v>
      </c>
      <c r="E38" s="15" t="s">
        <v>268</v>
      </c>
      <c r="F38" s="15" t="s">
        <v>191</v>
      </c>
      <c r="G38" s="15" t="s">
        <v>269</v>
      </c>
      <c r="H38" s="15" t="s">
        <v>270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 t="s">
        <v>267</v>
      </c>
      <c r="B39" s="15" t="s">
        <v>256</v>
      </c>
      <c r="C39" s="15">
        <v>2020.0</v>
      </c>
      <c r="D39" s="15" t="s">
        <v>243</v>
      </c>
      <c r="E39" s="15" t="s">
        <v>271</v>
      </c>
      <c r="F39" s="15" t="s">
        <v>191</v>
      </c>
      <c r="G39" s="15" t="s">
        <v>269</v>
      </c>
      <c r="H39" s="15" t="s">
        <v>270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 t="s">
        <v>267</v>
      </c>
      <c r="B40" s="15" t="s">
        <v>256</v>
      </c>
      <c r="C40" s="15">
        <v>2020.0</v>
      </c>
      <c r="D40" s="15" t="s">
        <v>243</v>
      </c>
      <c r="E40" s="15" t="s">
        <v>272</v>
      </c>
      <c r="F40" s="15" t="s">
        <v>191</v>
      </c>
      <c r="G40" s="15" t="s">
        <v>269</v>
      </c>
      <c r="H40" s="15" t="s">
        <v>270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 t="s">
        <v>267</v>
      </c>
      <c r="B41" s="15" t="s">
        <v>256</v>
      </c>
      <c r="C41" s="15">
        <v>2020.0</v>
      </c>
      <c r="D41" s="15" t="s">
        <v>243</v>
      </c>
      <c r="E41" s="15" t="s">
        <v>273</v>
      </c>
      <c r="F41" s="15" t="s">
        <v>191</v>
      </c>
      <c r="G41" s="15" t="s">
        <v>269</v>
      </c>
      <c r="H41" s="15" t="s">
        <v>270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 t="s">
        <v>267</v>
      </c>
      <c r="B42" s="15" t="s">
        <v>256</v>
      </c>
      <c r="C42" s="15">
        <v>2020.0</v>
      </c>
      <c r="D42" s="15" t="s">
        <v>243</v>
      </c>
      <c r="E42" s="15" t="s">
        <v>274</v>
      </c>
      <c r="F42" s="15" t="s">
        <v>191</v>
      </c>
      <c r="G42" s="15" t="s">
        <v>269</v>
      </c>
      <c r="H42" s="15" t="s">
        <v>270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 t="s">
        <v>267</v>
      </c>
      <c r="B43" s="15" t="s">
        <v>256</v>
      </c>
      <c r="C43" s="15">
        <v>2020.0</v>
      </c>
      <c r="D43" s="15" t="s">
        <v>243</v>
      </c>
      <c r="E43" s="18" t="s">
        <v>275</v>
      </c>
      <c r="F43" s="15" t="s">
        <v>191</v>
      </c>
      <c r="G43" s="15" t="s">
        <v>269</v>
      </c>
      <c r="H43" s="15" t="s">
        <v>270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 t="s">
        <v>267</v>
      </c>
      <c r="B44" s="15" t="s">
        <v>256</v>
      </c>
      <c r="C44" s="15">
        <v>2020.0</v>
      </c>
      <c r="D44" s="15" t="s">
        <v>243</v>
      </c>
      <c r="E44" s="15" t="s">
        <v>276</v>
      </c>
      <c r="F44" s="15" t="s">
        <v>191</v>
      </c>
      <c r="G44" s="15" t="s">
        <v>269</v>
      </c>
      <c r="H44" s="15" t="s">
        <v>270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 t="s">
        <v>267</v>
      </c>
      <c r="B45" s="15" t="s">
        <v>256</v>
      </c>
      <c r="C45" s="15">
        <v>2020.0</v>
      </c>
      <c r="D45" s="15" t="s">
        <v>243</v>
      </c>
      <c r="E45" s="15" t="s">
        <v>277</v>
      </c>
      <c r="F45" s="15" t="s">
        <v>191</v>
      </c>
      <c r="G45" s="15" t="s">
        <v>269</v>
      </c>
      <c r="H45" s="15" t="s">
        <v>270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 t="s">
        <v>267</v>
      </c>
      <c r="B46" s="15" t="s">
        <v>256</v>
      </c>
      <c r="C46" s="15">
        <v>2020.0</v>
      </c>
      <c r="D46" s="15" t="s">
        <v>243</v>
      </c>
      <c r="E46" s="15" t="s">
        <v>278</v>
      </c>
      <c r="F46" s="15" t="s">
        <v>191</v>
      </c>
      <c r="G46" s="15" t="s">
        <v>269</v>
      </c>
      <c r="H46" s="15" t="s">
        <v>270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 t="s">
        <v>267</v>
      </c>
      <c r="B47" s="15" t="s">
        <v>256</v>
      </c>
      <c r="C47" s="15">
        <v>2020.0</v>
      </c>
      <c r="D47" s="15" t="s">
        <v>189</v>
      </c>
      <c r="E47" s="15" t="s">
        <v>279</v>
      </c>
      <c r="F47" s="15" t="s">
        <v>191</v>
      </c>
      <c r="G47" s="15" t="s">
        <v>280</v>
      </c>
      <c r="H47" s="15" t="s">
        <v>281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 t="s">
        <v>267</v>
      </c>
      <c r="B48" s="15" t="s">
        <v>256</v>
      </c>
      <c r="C48" s="15">
        <v>2020.0</v>
      </c>
      <c r="D48" s="15" t="s">
        <v>115</v>
      </c>
      <c r="E48" s="15" t="s">
        <v>282</v>
      </c>
      <c r="F48" s="15" t="s">
        <v>191</v>
      </c>
      <c r="G48" s="15" t="s">
        <v>280</v>
      </c>
      <c r="H48" s="15" t="s">
        <v>281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 t="s">
        <v>267</v>
      </c>
      <c r="B49" s="15" t="s">
        <v>256</v>
      </c>
      <c r="C49" s="15">
        <v>2020.0</v>
      </c>
      <c r="D49" s="15" t="s">
        <v>115</v>
      </c>
      <c r="E49" s="18" t="s">
        <v>283</v>
      </c>
      <c r="F49" s="15" t="s">
        <v>191</v>
      </c>
      <c r="G49" s="15" t="s">
        <v>280</v>
      </c>
      <c r="H49" s="15" t="s">
        <v>281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 t="s">
        <v>267</v>
      </c>
      <c r="B50" s="15" t="s">
        <v>256</v>
      </c>
      <c r="C50" s="15">
        <v>2020.0</v>
      </c>
      <c r="D50" s="15" t="s">
        <v>115</v>
      </c>
      <c r="E50" s="18" t="s">
        <v>284</v>
      </c>
      <c r="F50" s="15" t="s">
        <v>191</v>
      </c>
      <c r="G50" s="15" t="s">
        <v>280</v>
      </c>
      <c r="H50" s="15" t="s">
        <v>281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 t="s">
        <v>267</v>
      </c>
      <c r="B51" s="15" t="s">
        <v>256</v>
      </c>
      <c r="C51" s="15">
        <v>2020.0</v>
      </c>
      <c r="D51" s="15" t="s">
        <v>115</v>
      </c>
      <c r="E51" s="18" t="s">
        <v>285</v>
      </c>
      <c r="F51" s="15" t="s">
        <v>191</v>
      </c>
      <c r="G51" s="15" t="s">
        <v>280</v>
      </c>
      <c r="H51" s="15" t="s">
        <v>281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 t="s">
        <v>267</v>
      </c>
      <c r="B52" s="15" t="s">
        <v>256</v>
      </c>
      <c r="C52" s="15">
        <v>2020.0</v>
      </c>
      <c r="D52" s="15" t="s">
        <v>115</v>
      </c>
      <c r="E52" s="18" t="s">
        <v>286</v>
      </c>
      <c r="F52" s="15" t="s">
        <v>191</v>
      </c>
      <c r="G52" s="15" t="s">
        <v>280</v>
      </c>
      <c r="H52" s="15" t="s">
        <v>281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 t="s">
        <v>267</v>
      </c>
      <c r="B53" s="15" t="s">
        <v>256</v>
      </c>
      <c r="C53" s="15">
        <v>2020.0</v>
      </c>
      <c r="D53" s="15" t="s">
        <v>115</v>
      </c>
      <c r="E53" s="18" t="s">
        <v>287</v>
      </c>
      <c r="F53" s="15" t="s">
        <v>191</v>
      </c>
      <c r="G53" s="15" t="s">
        <v>280</v>
      </c>
      <c r="H53" s="15" t="s">
        <v>281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 t="s">
        <v>267</v>
      </c>
      <c r="B54" s="15" t="s">
        <v>256</v>
      </c>
      <c r="C54" s="15">
        <v>2020.0</v>
      </c>
      <c r="D54" s="15" t="s">
        <v>115</v>
      </c>
      <c r="E54" s="18" t="s">
        <v>288</v>
      </c>
      <c r="F54" s="15" t="s">
        <v>191</v>
      </c>
      <c r="G54" s="15" t="s">
        <v>280</v>
      </c>
      <c r="H54" s="15" t="s">
        <v>281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 t="s">
        <v>289</v>
      </c>
      <c r="B55" s="15" t="s">
        <v>256</v>
      </c>
      <c r="C55" s="15">
        <v>2005.0</v>
      </c>
      <c r="D55" s="15" t="s">
        <v>115</v>
      </c>
      <c r="E55" s="18" t="s">
        <v>290</v>
      </c>
      <c r="F55" s="15" t="s">
        <v>191</v>
      </c>
      <c r="G55" s="15" t="s">
        <v>291</v>
      </c>
      <c r="H55" s="15" t="s">
        <v>292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 t="s">
        <v>289</v>
      </c>
      <c r="B56" s="15" t="s">
        <v>256</v>
      </c>
      <c r="C56" s="15">
        <v>2005.0</v>
      </c>
      <c r="D56" s="15" t="s">
        <v>293</v>
      </c>
      <c r="E56" s="18" t="s">
        <v>294</v>
      </c>
      <c r="F56" s="15" t="s">
        <v>191</v>
      </c>
      <c r="G56" s="15" t="s">
        <v>291</v>
      </c>
      <c r="H56" s="15" t="s">
        <v>295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 t="s">
        <v>289</v>
      </c>
      <c r="B57" s="15" t="s">
        <v>256</v>
      </c>
      <c r="C57" s="15">
        <v>2005.0</v>
      </c>
      <c r="D57" s="15" t="s">
        <v>296</v>
      </c>
      <c r="E57" s="15" t="s">
        <v>297</v>
      </c>
      <c r="F57" s="15" t="s">
        <v>298</v>
      </c>
      <c r="G57" s="15" t="s">
        <v>241</v>
      </c>
      <c r="H57" s="15" t="s">
        <v>299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 t="s">
        <v>289</v>
      </c>
      <c r="B58" s="15" t="s">
        <v>256</v>
      </c>
      <c r="C58" s="15">
        <v>2005.0</v>
      </c>
      <c r="D58" s="15" t="s">
        <v>296</v>
      </c>
      <c r="E58" s="18" t="s">
        <v>300</v>
      </c>
      <c r="F58" s="15" t="s">
        <v>298</v>
      </c>
      <c r="G58" s="15" t="s">
        <v>241</v>
      </c>
      <c r="H58" s="15" t="s">
        <v>299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 t="s">
        <v>289</v>
      </c>
      <c r="B59" s="15" t="s">
        <v>256</v>
      </c>
      <c r="C59" s="15">
        <v>2005.0</v>
      </c>
      <c r="D59" s="15" t="s">
        <v>296</v>
      </c>
      <c r="E59" s="18" t="s">
        <v>301</v>
      </c>
      <c r="F59" s="15" t="s">
        <v>298</v>
      </c>
      <c r="G59" s="15" t="s">
        <v>241</v>
      </c>
      <c r="H59" s="15" t="s">
        <v>299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 t="s">
        <v>289</v>
      </c>
      <c r="B60" s="15" t="s">
        <v>256</v>
      </c>
      <c r="C60" s="15">
        <v>2005.0</v>
      </c>
      <c r="D60" s="15" t="s">
        <v>296</v>
      </c>
      <c r="E60" s="18" t="s">
        <v>302</v>
      </c>
      <c r="F60" s="15" t="s">
        <v>298</v>
      </c>
      <c r="G60" s="15" t="s">
        <v>241</v>
      </c>
      <c r="H60" s="15" t="s">
        <v>299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 t="s">
        <v>289</v>
      </c>
      <c r="B61" s="15" t="s">
        <v>256</v>
      </c>
      <c r="C61" s="15">
        <v>2005.0</v>
      </c>
      <c r="D61" s="15" t="s">
        <v>296</v>
      </c>
      <c r="E61" s="18" t="s">
        <v>303</v>
      </c>
      <c r="F61" s="15" t="s">
        <v>298</v>
      </c>
      <c r="G61" s="15" t="s">
        <v>241</v>
      </c>
      <c r="H61" s="15" t="s">
        <v>299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 t="s">
        <v>289</v>
      </c>
      <c r="B62" s="15" t="s">
        <v>256</v>
      </c>
      <c r="C62" s="15">
        <v>2005.0</v>
      </c>
      <c r="D62" s="15" t="s">
        <v>296</v>
      </c>
      <c r="E62" s="18" t="s">
        <v>304</v>
      </c>
      <c r="F62" s="15" t="s">
        <v>298</v>
      </c>
      <c r="G62" s="15" t="s">
        <v>241</v>
      </c>
      <c r="H62" s="15" t="s">
        <v>299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 t="s">
        <v>289</v>
      </c>
      <c r="B63" s="15" t="s">
        <v>256</v>
      </c>
      <c r="C63" s="15">
        <v>2005.0</v>
      </c>
      <c r="D63" s="15" t="s">
        <v>296</v>
      </c>
      <c r="E63" s="18" t="s">
        <v>305</v>
      </c>
      <c r="F63" s="15" t="s">
        <v>298</v>
      </c>
      <c r="G63" s="15" t="s">
        <v>241</v>
      </c>
      <c r="H63" s="15" t="s">
        <v>299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 t="s">
        <v>289</v>
      </c>
      <c r="B64" s="15" t="s">
        <v>256</v>
      </c>
      <c r="C64" s="15">
        <v>2005.0</v>
      </c>
      <c r="D64" s="15" t="s">
        <v>296</v>
      </c>
      <c r="E64" s="18" t="s">
        <v>306</v>
      </c>
      <c r="F64" s="15" t="s">
        <v>298</v>
      </c>
      <c r="G64" s="15" t="s">
        <v>241</v>
      </c>
      <c r="H64" s="15" t="s">
        <v>299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 t="s">
        <v>289</v>
      </c>
      <c r="B65" s="15" t="s">
        <v>256</v>
      </c>
      <c r="C65" s="15">
        <v>2005.0</v>
      </c>
      <c r="D65" s="15" t="s">
        <v>200</v>
      </c>
      <c r="E65" s="18" t="s">
        <v>307</v>
      </c>
      <c r="F65" s="15" t="s">
        <v>191</v>
      </c>
      <c r="G65" s="15" t="s">
        <v>241</v>
      </c>
      <c r="H65" s="15" t="s">
        <v>308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 t="s">
        <v>289</v>
      </c>
      <c r="B66" s="15" t="s">
        <v>256</v>
      </c>
      <c r="C66" s="15">
        <v>2005.0</v>
      </c>
      <c r="D66" s="15" t="s">
        <v>200</v>
      </c>
      <c r="E66" s="18" t="s">
        <v>309</v>
      </c>
      <c r="F66" s="15" t="s">
        <v>191</v>
      </c>
      <c r="G66" s="15" t="s">
        <v>241</v>
      </c>
      <c r="H66" s="15" t="s">
        <v>308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 t="s">
        <v>289</v>
      </c>
      <c r="B67" s="15" t="s">
        <v>256</v>
      </c>
      <c r="C67" s="15">
        <v>2005.0</v>
      </c>
      <c r="D67" s="15" t="s">
        <v>200</v>
      </c>
      <c r="E67" s="18" t="s">
        <v>310</v>
      </c>
      <c r="F67" s="15" t="s">
        <v>191</v>
      </c>
      <c r="G67" s="15" t="s">
        <v>241</v>
      </c>
      <c r="H67" s="15" t="s">
        <v>308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 t="s">
        <v>289</v>
      </c>
      <c r="B68" s="15" t="s">
        <v>256</v>
      </c>
      <c r="C68" s="15">
        <v>2005.0</v>
      </c>
      <c r="D68" s="15" t="s">
        <v>200</v>
      </c>
      <c r="E68" s="18" t="s">
        <v>311</v>
      </c>
      <c r="F68" s="15" t="s">
        <v>191</v>
      </c>
      <c r="G68" s="15" t="s">
        <v>241</v>
      </c>
      <c r="H68" s="15" t="s">
        <v>308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 t="s">
        <v>289</v>
      </c>
      <c r="B69" s="15" t="s">
        <v>256</v>
      </c>
      <c r="C69" s="15">
        <v>2005.0</v>
      </c>
      <c r="D69" s="15" t="s">
        <v>200</v>
      </c>
      <c r="E69" s="18" t="s">
        <v>312</v>
      </c>
      <c r="F69" s="15" t="s">
        <v>191</v>
      </c>
      <c r="G69" s="15" t="s">
        <v>241</v>
      </c>
      <c r="H69" s="15" t="s">
        <v>308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>
      <c r="A1" s="19" t="s">
        <v>313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>
      <c r="A2" s="22" t="s">
        <v>314</v>
      </c>
      <c r="B2" s="23" t="s">
        <v>315</v>
      </c>
      <c r="C2" s="23" t="s">
        <v>316</v>
      </c>
      <c r="D2" s="23" t="s">
        <v>317</v>
      </c>
      <c r="E2" s="23" t="s">
        <v>318</v>
      </c>
      <c r="F2" s="24" t="s">
        <v>319</v>
      </c>
      <c r="G2" s="24" t="s">
        <v>320</v>
      </c>
      <c r="H2" s="24" t="s">
        <v>321</v>
      </c>
      <c r="I2" s="24" t="s">
        <v>322</v>
      </c>
      <c r="J2" s="24" t="s">
        <v>323</v>
      </c>
      <c r="K2" s="24" t="s">
        <v>324</v>
      </c>
      <c r="L2" s="24" t="s">
        <v>325</v>
      </c>
    </row>
    <row r="3">
      <c r="A3" s="25">
        <v>44651.0</v>
      </c>
      <c r="B3" s="26" t="s">
        <v>326</v>
      </c>
      <c r="C3" s="26" t="s">
        <v>189</v>
      </c>
      <c r="D3" s="27">
        <v>1.0</v>
      </c>
      <c r="E3" s="26">
        <v>18.0</v>
      </c>
      <c r="F3" s="26">
        <v>1252.0</v>
      </c>
      <c r="G3" s="26">
        <v>9.0</v>
      </c>
      <c r="H3" s="26">
        <v>9.0</v>
      </c>
      <c r="I3" s="26">
        <v>119.0</v>
      </c>
      <c r="J3" s="28">
        <v>5.0</v>
      </c>
      <c r="K3" s="28">
        <v>4742.0</v>
      </c>
      <c r="L3" s="29">
        <v>50.0</v>
      </c>
    </row>
    <row r="4">
      <c r="A4" s="25">
        <v>44652.0</v>
      </c>
      <c r="B4" s="26" t="s">
        <v>326</v>
      </c>
      <c r="C4" s="26" t="s">
        <v>189</v>
      </c>
      <c r="D4" s="27">
        <v>1.0</v>
      </c>
      <c r="E4" s="26">
        <v>18.0</v>
      </c>
      <c r="F4" s="26">
        <v>909.0</v>
      </c>
      <c r="G4" s="26">
        <v>8.0</v>
      </c>
      <c r="H4" s="26">
        <v>10.0</v>
      </c>
      <c r="I4" s="26">
        <v>105.0</v>
      </c>
      <c r="J4" s="28">
        <v>2.0</v>
      </c>
      <c r="K4" s="28">
        <v>3784.0</v>
      </c>
      <c r="L4" s="29">
        <v>44.0</v>
      </c>
    </row>
    <row r="5">
      <c r="A5" s="25">
        <v>44655.0</v>
      </c>
      <c r="B5" s="26" t="s">
        <v>326</v>
      </c>
      <c r="C5" s="26" t="s">
        <v>189</v>
      </c>
      <c r="D5" s="27">
        <v>1.0</v>
      </c>
      <c r="E5" s="26">
        <v>18.0</v>
      </c>
      <c r="F5" s="26">
        <v>2461.0</v>
      </c>
      <c r="G5" s="26">
        <v>15.0</v>
      </c>
      <c r="H5" s="26">
        <v>3.0</v>
      </c>
      <c r="I5" s="26">
        <v>100.0</v>
      </c>
      <c r="J5" s="28">
        <v>75.0</v>
      </c>
      <c r="K5" s="28">
        <v>8163.0</v>
      </c>
      <c r="L5" s="29">
        <v>83.0</v>
      </c>
    </row>
    <row r="6">
      <c r="A6" s="25">
        <v>44658.0</v>
      </c>
      <c r="B6" s="26" t="s">
        <v>326</v>
      </c>
      <c r="C6" s="26" t="s">
        <v>189</v>
      </c>
      <c r="D6" s="27">
        <v>1.0</v>
      </c>
      <c r="E6" s="26">
        <v>18.0</v>
      </c>
      <c r="F6" s="26">
        <v>1674.0</v>
      </c>
      <c r="G6" s="26">
        <v>14.0</v>
      </c>
      <c r="H6" s="26">
        <v>4.0</v>
      </c>
      <c r="I6" s="26">
        <v>82.0</v>
      </c>
      <c r="J6" s="28">
        <v>404.0</v>
      </c>
      <c r="K6" s="28">
        <v>5149.0</v>
      </c>
      <c r="L6" s="29">
        <v>78.0</v>
      </c>
    </row>
    <row r="7">
      <c r="A7" s="25">
        <v>44659.0</v>
      </c>
      <c r="B7" s="26" t="s">
        <v>326</v>
      </c>
      <c r="C7" s="26" t="s">
        <v>189</v>
      </c>
      <c r="D7" s="27">
        <v>1.0</v>
      </c>
      <c r="E7" s="26">
        <v>18.0</v>
      </c>
      <c r="F7" s="26">
        <v>1162.0</v>
      </c>
      <c r="G7" s="26">
        <v>11.0</v>
      </c>
      <c r="H7" s="26">
        <v>7.0</v>
      </c>
      <c r="I7" s="26">
        <v>92.0</v>
      </c>
      <c r="J7" s="28">
        <v>167.0</v>
      </c>
      <c r="K7" s="28">
        <v>4079.0</v>
      </c>
      <c r="L7" s="29">
        <v>61.0</v>
      </c>
    </row>
    <row r="8">
      <c r="A8" s="25">
        <v>44662.0</v>
      </c>
      <c r="B8" s="26" t="s">
        <v>70</v>
      </c>
      <c r="C8" s="26" t="s">
        <v>189</v>
      </c>
      <c r="D8" s="26">
        <v>1.0</v>
      </c>
      <c r="E8" s="26">
        <v>18.0</v>
      </c>
      <c r="F8" s="26">
        <v>21.0</v>
      </c>
      <c r="G8" s="26">
        <v>0.0</v>
      </c>
      <c r="H8" s="26">
        <v>18.0</v>
      </c>
      <c r="I8" s="26">
        <v>243.0</v>
      </c>
      <c r="J8" s="28">
        <v>2.0</v>
      </c>
      <c r="K8" s="28">
        <v>228.0</v>
      </c>
      <c r="L8" s="29">
        <v>0.0</v>
      </c>
    </row>
    <row r="9">
      <c r="A9" s="25">
        <v>44663.0</v>
      </c>
      <c r="B9" s="26" t="s">
        <v>70</v>
      </c>
      <c r="C9" s="26" t="s">
        <v>189</v>
      </c>
      <c r="D9" s="26">
        <v>1.0</v>
      </c>
      <c r="E9" s="26">
        <v>18.0</v>
      </c>
      <c r="F9" s="26">
        <v>9.0</v>
      </c>
      <c r="G9" s="26">
        <v>0.0</v>
      </c>
      <c r="H9" s="26">
        <v>18.0</v>
      </c>
      <c r="I9" s="26">
        <v>67.0</v>
      </c>
      <c r="J9" s="28">
        <v>1.0</v>
      </c>
      <c r="K9" s="28">
        <v>20.0</v>
      </c>
      <c r="L9" s="29">
        <v>0.0</v>
      </c>
    </row>
    <row r="10">
      <c r="A10" s="25">
        <v>44666.0</v>
      </c>
      <c r="B10" s="26" t="s">
        <v>326</v>
      </c>
      <c r="C10" s="26" t="s">
        <v>189</v>
      </c>
      <c r="D10" s="27">
        <v>1.0</v>
      </c>
      <c r="E10" s="26">
        <v>18.0</v>
      </c>
      <c r="F10" s="26">
        <v>1286.0</v>
      </c>
      <c r="G10" s="26">
        <v>12.0</v>
      </c>
      <c r="H10" s="26">
        <v>6.0</v>
      </c>
      <c r="I10" s="26">
        <v>102.0</v>
      </c>
      <c r="J10" s="28">
        <v>101.0</v>
      </c>
      <c r="K10" s="28">
        <v>4472.0</v>
      </c>
      <c r="L10" s="29">
        <v>67.0</v>
      </c>
    </row>
    <row r="11">
      <c r="A11" s="25">
        <v>44667.0</v>
      </c>
      <c r="B11" s="26" t="s">
        <v>326</v>
      </c>
      <c r="C11" s="26" t="s">
        <v>189</v>
      </c>
      <c r="D11" s="27">
        <v>1.0</v>
      </c>
      <c r="E11" s="26">
        <v>18.0</v>
      </c>
      <c r="F11" s="26">
        <v>1137.0</v>
      </c>
      <c r="G11" s="26">
        <v>12.0</v>
      </c>
      <c r="H11" s="26">
        <v>6.0</v>
      </c>
      <c r="I11" s="26">
        <v>81.0</v>
      </c>
      <c r="J11" s="28">
        <v>201.0</v>
      </c>
      <c r="K11" s="28">
        <v>3436.0</v>
      </c>
      <c r="L11" s="29">
        <v>67.0</v>
      </c>
    </row>
    <row r="12">
      <c r="A12" s="25">
        <v>44670.0</v>
      </c>
      <c r="B12" s="26" t="s">
        <v>326</v>
      </c>
      <c r="C12" s="26" t="s">
        <v>189</v>
      </c>
      <c r="D12" s="27">
        <v>1.0</v>
      </c>
      <c r="E12" s="26">
        <v>18.0</v>
      </c>
      <c r="F12" s="26">
        <v>1463.0</v>
      </c>
      <c r="G12" s="26">
        <v>11.0</v>
      </c>
      <c r="H12" s="26">
        <v>7.0</v>
      </c>
      <c r="I12" s="26">
        <v>164.0</v>
      </c>
      <c r="J12" s="28">
        <v>188.0</v>
      </c>
      <c r="K12" s="28">
        <v>10697.0</v>
      </c>
      <c r="L12" s="29">
        <v>61.0</v>
      </c>
    </row>
    <row r="13">
      <c r="A13" s="25">
        <v>44723.0</v>
      </c>
      <c r="B13" s="26" t="s">
        <v>326</v>
      </c>
      <c r="C13" s="26" t="s">
        <v>246</v>
      </c>
      <c r="D13" s="27">
        <v>40.0</v>
      </c>
      <c r="E13" s="26">
        <v>20.0</v>
      </c>
      <c r="F13" s="26">
        <v>1775.0</v>
      </c>
      <c r="G13" s="26">
        <v>14.0</v>
      </c>
      <c r="H13" s="26">
        <v>6.0</v>
      </c>
      <c r="I13" s="26" t="s">
        <v>327</v>
      </c>
      <c r="J13" s="28">
        <v>615.0</v>
      </c>
      <c r="K13" s="28">
        <v>3583.0</v>
      </c>
      <c r="L13" s="29">
        <v>70.0</v>
      </c>
    </row>
    <row r="14">
      <c r="A14" s="30">
        <v>44729.0</v>
      </c>
      <c r="B14" s="26" t="s">
        <v>326</v>
      </c>
      <c r="C14" s="26" t="s">
        <v>189</v>
      </c>
      <c r="D14" s="27">
        <v>1.0</v>
      </c>
      <c r="E14" s="26">
        <v>21.0</v>
      </c>
      <c r="F14" s="26">
        <v>623.0</v>
      </c>
      <c r="G14" s="26">
        <v>6.0</v>
      </c>
      <c r="H14" s="26">
        <v>15.0</v>
      </c>
      <c r="I14" s="26">
        <v>132.0</v>
      </c>
      <c r="J14" s="28">
        <v>1.0</v>
      </c>
      <c r="K14" s="28">
        <v>3679.0</v>
      </c>
      <c r="L14" s="29">
        <v>29.0</v>
      </c>
    </row>
    <row r="15">
      <c r="A15" s="30">
        <v>44729.0</v>
      </c>
      <c r="B15" s="26" t="s">
        <v>326</v>
      </c>
      <c r="C15" s="26" t="s">
        <v>189</v>
      </c>
      <c r="D15" s="27">
        <v>1.0</v>
      </c>
      <c r="E15" s="26">
        <v>21.0</v>
      </c>
      <c r="F15" s="26">
        <v>457.0</v>
      </c>
      <c r="G15" s="26">
        <v>6.0</v>
      </c>
      <c r="H15" s="26">
        <v>15.0</v>
      </c>
      <c r="I15" s="26">
        <v>85.0</v>
      </c>
      <c r="J15" s="28">
        <v>52.0</v>
      </c>
      <c r="K15" s="28">
        <v>1656.0</v>
      </c>
      <c r="L15" s="29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14"/>
    <col customWidth="1" min="4" max="4" width="9.43"/>
    <col customWidth="1" min="5" max="11" width="10.71"/>
    <col customWidth="1" min="12" max="12" width="11.71"/>
    <col customWidth="1" min="13" max="26" width="10.71"/>
  </cols>
  <sheetData>
    <row r="1" ht="15.75" customHeight="1">
      <c r="A1" s="31" t="s">
        <v>328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>
      <c r="A2" s="32" t="s">
        <v>314</v>
      </c>
      <c r="B2" s="32" t="s">
        <v>315</v>
      </c>
      <c r="C2" s="32" t="s">
        <v>316</v>
      </c>
      <c r="D2" s="32" t="s">
        <v>317</v>
      </c>
      <c r="E2" s="32" t="s">
        <v>318</v>
      </c>
      <c r="F2" s="33" t="s">
        <v>319</v>
      </c>
      <c r="G2" s="33" t="s">
        <v>320</v>
      </c>
      <c r="H2" s="33" t="s">
        <v>321</v>
      </c>
      <c r="I2" s="33" t="s">
        <v>322</v>
      </c>
      <c r="J2" s="33" t="s">
        <v>323</v>
      </c>
      <c r="K2" s="33" t="s">
        <v>324</v>
      </c>
      <c r="L2" s="33" t="s">
        <v>325</v>
      </c>
    </row>
    <row r="3">
      <c r="A3" s="34">
        <v>44651.0</v>
      </c>
      <c r="B3" s="35" t="s">
        <v>326</v>
      </c>
      <c r="C3" s="35" t="s">
        <v>189</v>
      </c>
      <c r="D3" s="36">
        <v>1.0</v>
      </c>
      <c r="E3" s="37">
        <v>18.0</v>
      </c>
      <c r="F3" s="36">
        <v>93.0</v>
      </c>
      <c r="G3" s="36">
        <v>1.0</v>
      </c>
      <c r="H3" s="36">
        <v>17.0</v>
      </c>
      <c r="I3" s="36">
        <v>292.0</v>
      </c>
      <c r="J3" s="36">
        <v>1.0</v>
      </c>
      <c r="K3" s="36">
        <v>1175.0</v>
      </c>
      <c r="L3" s="38">
        <f t="shared" ref="L3:L14" si="1">G3/E3*100</f>
        <v>5.555555556</v>
      </c>
    </row>
    <row r="4">
      <c r="A4" s="34">
        <v>44652.0</v>
      </c>
      <c r="B4" s="35" t="s">
        <v>326</v>
      </c>
      <c r="C4" s="35" t="s">
        <v>189</v>
      </c>
      <c r="D4" s="36">
        <v>1.0</v>
      </c>
      <c r="E4" s="37">
        <v>18.0</v>
      </c>
      <c r="F4" s="36">
        <v>761.0</v>
      </c>
      <c r="G4" s="36">
        <v>5.0</v>
      </c>
      <c r="H4" s="36">
        <v>13.0</v>
      </c>
      <c r="I4" s="36">
        <v>175.0</v>
      </c>
      <c r="J4" s="36">
        <v>9.0</v>
      </c>
      <c r="K4" s="36">
        <v>4029.0</v>
      </c>
      <c r="L4" s="38">
        <f t="shared" si="1"/>
        <v>27.77777778</v>
      </c>
    </row>
    <row r="5">
      <c r="A5" s="34">
        <v>44655.0</v>
      </c>
      <c r="B5" s="35" t="s">
        <v>326</v>
      </c>
      <c r="C5" s="35" t="s">
        <v>189</v>
      </c>
      <c r="D5" s="36">
        <v>1.0</v>
      </c>
      <c r="E5" s="37">
        <v>18.0</v>
      </c>
      <c r="F5" s="36">
        <v>918.0</v>
      </c>
      <c r="G5" s="36">
        <v>8.0</v>
      </c>
      <c r="H5" s="36">
        <v>10.0</v>
      </c>
      <c r="I5" s="36">
        <v>123.0</v>
      </c>
      <c r="J5" s="36">
        <v>162.0</v>
      </c>
      <c r="K5" s="36">
        <v>5076.0</v>
      </c>
      <c r="L5" s="38">
        <f t="shared" si="1"/>
        <v>44.44444444</v>
      </c>
    </row>
    <row r="6">
      <c r="A6" s="34">
        <v>44658.0</v>
      </c>
      <c r="B6" s="35" t="s">
        <v>326</v>
      </c>
      <c r="C6" s="35" t="s">
        <v>189</v>
      </c>
      <c r="D6" s="36">
        <v>1.0</v>
      </c>
      <c r="E6" s="37">
        <v>18.0</v>
      </c>
      <c r="F6" s="36">
        <v>541.0</v>
      </c>
      <c r="G6" s="36">
        <v>4.0</v>
      </c>
      <c r="H6" s="36">
        <v>14.0</v>
      </c>
      <c r="I6" s="36">
        <v>142.0</v>
      </c>
      <c r="J6" s="36">
        <v>28.0</v>
      </c>
      <c r="K6" s="36">
        <v>3343.0</v>
      </c>
      <c r="L6" s="38">
        <f t="shared" si="1"/>
        <v>22.22222222</v>
      </c>
    </row>
    <row r="7">
      <c r="A7" s="34">
        <v>44659.0</v>
      </c>
      <c r="B7" s="35" t="s">
        <v>326</v>
      </c>
      <c r="C7" s="35" t="s">
        <v>189</v>
      </c>
      <c r="D7" s="36">
        <v>1.0</v>
      </c>
      <c r="E7" s="37">
        <v>18.0</v>
      </c>
      <c r="F7" s="36">
        <v>830.0</v>
      </c>
      <c r="G7" s="36">
        <v>7.0</v>
      </c>
      <c r="H7" s="36">
        <v>11.0</v>
      </c>
      <c r="I7" s="36">
        <v>137.0</v>
      </c>
      <c r="J7" s="36">
        <v>68.0</v>
      </c>
      <c r="K7" s="36">
        <v>4852.0</v>
      </c>
      <c r="L7" s="38">
        <f t="shared" si="1"/>
        <v>38.88888889</v>
      </c>
    </row>
    <row r="8">
      <c r="A8" s="34">
        <v>44662.0</v>
      </c>
      <c r="B8" s="35" t="s">
        <v>70</v>
      </c>
      <c r="C8" s="35" t="s">
        <v>189</v>
      </c>
      <c r="D8" s="36">
        <v>1.0</v>
      </c>
      <c r="E8" s="37">
        <v>18.0</v>
      </c>
      <c r="F8" s="36">
        <v>8.0</v>
      </c>
      <c r="G8" s="36">
        <v>0.0</v>
      </c>
      <c r="H8" s="36">
        <v>18.0</v>
      </c>
      <c r="I8" s="36">
        <v>75.0</v>
      </c>
      <c r="J8" s="36">
        <v>1.0</v>
      </c>
      <c r="K8" s="36">
        <v>20.0</v>
      </c>
      <c r="L8" s="38">
        <f t="shared" si="1"/>
        <v>0</v>
      </c>
    </row>
    <row r="9">
      <c r="A9" s="34">
        <v>44663.0</v>
      </c>
      <c r="B9" s="35" t="s">
        <v>70</v>
      </c>
      <c r="C9" s="35" t="s">
        <v>189</v>
      </c>
      <c r="D9" s="36">
        <v>1.0</v>
      </c>
      <c r="E9" s="37">
        <v>18.0</v>
      </c>
      <c r="F9" s="36">
        <v>9.0</v>
      </c>
      <c r="G9" s="36">
        <v>0.0</v>
      </c>
      <c r="H9" s="36">
        <v>18.0</v>
      </c>
      <c r="I9" s="36">
        <v>89.0</v>
      </c>
      <c r="J9" s="36">
        <v>9.0</v>
      </c>
      <c r="K9" s="36">
        <v>32.0</v>
      </c>
      <c r="L9" s="38">
        <f t="shared" si="1"/>
        <v>0</v>
      </c>
    </row>
    <row r="10">
      <c r="A10" s="34">
        <v>44666.0</v>
      </c>
      <c r="B10" s="35" t="s">
        <v>326</v>
      </c>
      <c r="C10" s="35" t="s">
        <v>189</v>
      </c>
      <c r="D10" s="36">
        <v>1.0</v>
      </c>
      <c r="E10" s="37">
        <v>18.0</v>
      </c>
      <c r="F10" s="36">
        <v>880.0</v>
      </c>
      <c r="G10" s="36">
        <v>7.0</v>
      </c>
      <c r="H10" s="36">
        <v>11.0</v>
      </c>
      <c r="I10" s="36">
        <v>133.0</v>
      </c>
      <c r="J10" s="36">
        <v>9.0</v>
      </c>
      <c r="K10" s="36">
        <v>4248.0</v>
      </c>
      <c r="L10" s="38">
        <f t="shared" si="1"/>
        <v>38.88888889</v>
      </c>
    </row>
    <row r="11">
      <c r="A11" s="34">
        <v>44667.0</v>
      </c>
      <c r="B11" s="35" t="s">
        <v>326</v>
      </c>
      <c r="C11" s="35" t="s">
        <v>189</v>
      </c>
      <c r="D11" s="36">
        <v>1.0</v>
      </c>
      <c r="E11" s="37">
        <v>18.0</v>
      </c>
      <c r="F11" s="36">
        <v>974.0</v>
      </c>
      <c r="G11" s="36">
        <v>8.0</v>
      </c>
      <c r="H11" s="36">
        <v>10.0</v>
      </c>
      <c r="I11" s="36">
        <v>129.0</v>
      </c>
      <c r="J11" s="36">
        <v>1.0</v>
      </c>
      <c r="K11" s="36">
        <v>3943.0</v>
      </c>
      <c r="L11" s="38">
        <f t="shared" si="1"/>
        <v>44.44444444</v>
      </c>
    </row>
    <row r="12">
      <c r="A12" s="34">
        <v>44670.0</v>
      </c>
      <c r="B12" s="35" t="s">
        <v>326</v>
      </c>
      <c r="C12" s="35" t="s">
        <v>189</v>
      </c>
      <c r="D12" s="36">
        <v>1.0</v>
      </c>
      <c r="E12" s="37">
        <v>18.0</v>
      </c>
      <c r="F12" s="36">
        <v>2106.0</v>
      </c>
      <c r="G12" s="36">
        <v>9.0</v>
      </c>
      <c r="H12" s="36">
        <v>9.0</v>
      </c>
      <c r="I12" s="36">
        <v>141.0</v>
      </c>
      <c r="J12" s="36">
        <v>11.0</v>
      </c>
      <c r="K12" s="36">
        <v>8816.0</v>
      </c>
      <c r="L12" s="38">
        <f t="shared" si="1"/>
        <v>50</v>
      </c>
    </row>
    <row r="13">
      <c r="A13" s="34">
        <v>44671.0</v>
      </c>
      <c r="B13" s="35" t="s">
        <v>326</v>
      </c>
      <c r="C13" s="35" t="s">
        <v>189</v>
      </c>
      <c r="D13" s="36">
        <v>1.0</v>
      </c>
      <c r="E13" s="37">
        <v>18.0</v>
      </c>
      <c r="F13" s="36">
        <v>458.0</v>
      </c>
      <c r="G13" s="36">
        <v>6.0</v>
      </c>
      <c r="H13" s="36">
        <v>13.0</v>
      </c>
      <c r="I13" s="36">
        <v>106.0</v>
      </c>
      <c r="J13" s="36">
        <v>16.0</v>
      </c>
      <c r="K13" s="36">
        <v>1398.0</v>
      </c>
      <c r="L13" s="38">
        <f t="shared" si="1"/>
        <v>33.33333333</v>
      </c>
    </row>
    <row r="14">
      <c r="A14" s="34">
        <v>44674.0</v>
      </c>
      <c r="B14" s="35" t="s">
        <v>326</v>
      </c>
      <c r="C14" s="35" t="s">
        <v>189</v>
      </c>
      <c r="D14" s="36">
        <v>1.0</v>
      </c>
      <c r="E14" s="37">
        <v>17.0</v>
      </c>
      <c r="F14" s="36">
        <v>594.0</v>
      </c>
      <c r="G14" s="36">
        <v>4.0</v>
      </c>
      <c r="H14" s="36">
        <v>13.0</v>
      </c>
      <c r="I14" s="36">
        <v>168.0</v>
      </c>
      <c r="J14" s="36">
        <v>1.0</v>
      </c>
      <c r="K14" s="36">
        <v>3829.0</v>
      </c>
      <c r="L14" s="38">
        <f t="shared" si="1"/>
        <v>23.52941176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  <col customWidth="1" min="12" max="12" width="12.0"/>
    <col customWidth="1" min="13" max="62" width="10.71"/>
  </cols>
  <sheetData>
    <row r="1">
      <c r="M1" s="39" t="s">
        <v>329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1"/>
    </row>
    <row r="2">
      <c r="A2" s="40" t="s">
        <v>330</v>
      </c>
      <c r="B2" s="41" t="s">
        <v>331</v>
      </c>
      <c r="C2" s="41" t="s">
        <v>332</v>
      </c>
      <c r="D2" s="42" t="s">
        <v>333</v>
      </c>
      <c r="E2" s="42" t="s">
        <v>334</v>
      </c>
      <c r="F2" s="43" t="s">
        <v>335</v>
      </c>
      <c r="G2" s="43" t="s">
        <v>336</v>
      </c>
      <c r="H2" s="41" t="s">
        <v>322</v>
      </c>
      <c r="I2" s="42" t="s">
        <v>337</v>
      </c>
      <c r="J2" s="41" t="s">
        <v>338</v>
      </c>
      <c r="K2" s="41" t="s">
        <v>339</v>
      </c>
      <c r="L2" s="41" t="s">
        <v>340</v>
      </c>
      <c r="M2" s="44">
        <v>1.0</v>
      </c>
      <c r="N2" s="44">
        <v>2.0</v>
      </c>
      <c r="O2" s="44">
        <v>3.0</v>
      </c>
      <c r="P2" s="44">
        <v>4.0</v>
      </c>
      <c r="Q2" s="44">
        <v>5.0</v>
      </c>
      <c r="R2" s="44">
        <v>6.0</v>
      </c>
      <c r="S2" s="44">
        <v>7.0</v>
      </c>
      <c r="T2" s="44">
        <v>8.0</v>
      </c>
      <c r="U2" s="44">
        <v>9.0</v>
      </c>
      <c r="V2" s="44">
        <v>10.0</v>
      </c>
      <c r="W2" s="44">
        <v>11.0</v>
      </c>
      <c r="X2" s="44">
        <v>12.0</v>
      </c>
      <c r="Y2" s="44">
        <v>13.0</v>
      </c>
      <c r="Z2" s="44">
        <v>14.0</v>
      </c>
      <c r="AA2" s="44">
        <v>15.0</v>
      </c>
      <c r="AB2" s="44">
        <v>16.0</v>
      </c>
      <c r="AC2" s="44">
        <v>17.0</v>
      </c>
      <c r="AD2" s="44">
        <v>18.0</v>
      </c>
      <c r="AE2" s="44">
        <v>19.0</v>
      </c>
      <c r="AF2" s="44">
        <v>20.0</v>
      </c>
      <c r="AG2" s="44">
        <v>21.0</v>
      </c>
      <c r="AH2" s="44">
        <v>22.0</v>
      </c>
      <c r="AI2" s="44">
        <v>23.0</v>
      </c>
      <c r="AJ2" s="44">
        <v>24.0</v>
      </c>
      <c r="AK2" s="44">
        <v>25.0</v>
      </c>
      <c r="AL2" s="44">
        <v>26.0</v>
      </c>
      <c r="AM2" s="44">
        <v>27.0</v>
      </c>
      <c r="AN2" s="44">
        <v>28.0</v>
      </c>
      <c r="AO2" s="44">
        <v>29.0</v>
      </c>
      <c r="AP2" s="44">
        <v>30.0</v>
      </c>
      <c r="AQ2" s="44">
        <v>31.0</v>
      </c>
      <c r="AR2" s="44">
        <v>32.0</v>
      </c>
      <c r="AS2" s="44">
        <v>33.0</v>
      </c>
      <c r="AT2" s="44">
        <v>34.0</v>
      </c>
      <c r="AU2" s="44">
        <v>35.0</v>
      </c>
      <c r="AV2" s="44">
        <v>36.0</v>
      </c>
      <c r="AW2" s="44">
        <v>37.0</v>
      </c>
      <c r="AX2" s="44">
        <v>38.0</v>
      </c>
      <c r="AY2" s="44">
        <v>39.0</v>
      </c>
      <c r="AZ2" s="44">
        <v>40.0</v>
      </c>
      <c r="BA2" s="44">
        <v>41.0</v>
      </c>
      <c r="BB2" s="44">
        <v>42.0</v>
      </c>
      <c r="BC2" s="44">
        <v>43.0</v>
      </c>
      <c r="BD2" s="44">
        <v>44.0</v>
      </c>
      <c r="BE2" s="44">
        <v>45.0</v>
      </c>
      <c r="BF2" s="44">
        <v>46.0</v>
      </c>
      <c r="BG2" s="44">
        <v>47.0</v>
      </c>
      <c r="BH2" s="44">
        <v>48.0</v>
      </c>
      <c r="BI2" s="44">
        <v>49.0</v>
      </c>
      <c r="BJ2" s="44">
        <v>50.0</v>
      </c>
    </row>
    <row r="3">
      <c r="A3" s="36" t="s">
        <v>341</v>
      </c>
      <c r="B3" s="45" t="s">
        <v>342</v>
      </c>
      <c r="C3" s="46">
        <v>3.0</v>
      </c>
      <c r="D3" s="47">
        <v>44738.0</v>
      </c>
      <c r="E3" s="46">
        <v>42.0</v>
      </c>
      <c r="F3" s="48">
        <v>1.0</v>
      </c>
      <c r="G3" s="48">
        <v>41.0</v>
      </c>
      <c r="H3" s="46">
        <v>39.0</v>
      </c>
      <c r="I3" s="48">
        <v>4381.0</v>
      </c>
      <c r="J3" s="46">
        <v>493.0</v>
      </c>
      <c r="K3" s="46">
        <v>7068.0</v>
      </c>
      <c r="L3" s="48">
        <v>98.0</v>
      </c>
      <c r="M3" s="46">
        <v>5025.0</v>
      </c>
      <c r="N3" s="46">
        <v>3718.0</v>
      </c>
      <c r="O3" s="46">
        <v>3909.0</v>
      </c>
      <c r="P3" s="46">
        <v>3689.0</v>
      </c>
      <c r="Q3" s="46">
        <v>6959.0</v>
      </c>
      <c r="R3" s="46">
        <v>5732.0</v>
      </c>
      <c r="S3" s="46">
        <v>3938.0</v>
      </c>
      <c r="T3" s="46">
        <v>1367.0</v>
      </c>
      <c r="U3" s="46">
        <v>5806.0</v>
      </c>
      <c r="V3" s="46">
        <v>5649.0</v>
      </c>
      <c r="W3" s="46">
        <v>5441.0</v>
      </c>
      <c r="X3" s="46">
        <v>4835.0</v>
      </c>
      <c r="Y3" s="46">
        <v>6825.0</v>
      </c>
      <c r="Z3" s="46">
        <v>4007.0</v>
      </c>
      <c r="AA3" s="46">
        <v>1637.0</v>
      </c>
      <c r="AB3" s="46">
        <v>3996.0</v>
      </c>
      <c r="AC3" s="46">
        <v>6189.0</v>
      </c>
      <c r="AD3" s="46">
        <v>4595.0</v>
      </c>
      <c r="AE3" s="46">
        <v>5649.0</v>
      </c>
      <c r="AF3" s="46">
        <v>3851.0</v>
      </c>
      <c r="AG3" s="46">
        <v>5066.0</v>
      </c>
      <c r="AH3" s="46">
        <v>5685.0</v>
      </c>
      <c r="AI3" s="46">
        <v>3421.0</v>
      </c>
      <c r="AJ3" s="46">
        <v>4949.0</v>
      </c>
      <c r="AK3" s="46">
        <v>5543.0</v>
      </c>
      <c r="AL3" s="46">
        <v>5327.0</v>
      </c>
      <c r="AM3" s="46">
        <v>7068.0</v>
      </c>
      <c r="AN3" s="46">
        <v>4303.0</v>
      </c>
      <c r="AO3" s="46">
        <v>6722.0</v>
      </c>
      <c r="AP3" s="46">
        <v>4258.0</v>
      </c>
      <c r="AQ3" s="46">
        <v>6255.0</v>
      </c>
      <c r="AR3" s="46">
        <v>4357.0</v>
      </c>
      <c r="AS3" s="46">
        <v>3223.0</v>
      </c>
      <c r="AT3" s="46">
        <v>1050.0</v>
      </c>
      <c r="AU3" s="46">
        <v>6588.0</v>
      </c>
      <c r="AV3" s="46">
        <v>2377.0</v>
      </c>
      <c r="AW3" s="46">
        <v>3137.0</v>
      </c>
      <c r="AX3" s="46">
        <v>3403.0</v>
      </c>
      <c r="AY3" s="46">
        <v>1722.0</v>
      </c>
      <c r="AZ3" s="46">
        <v>1713.0</v>
      </c>
      <c r="BA3" s="46">
        <v>493.0</v>
      </c>
      <c r="BB3" s="46">
        <v>4542.0</v>
      </c>
      <c r="BC3" s="46"/>
      <c r="BD3" s="46"/>
      <c r="BE3" s="46"/>
      <c r="BF3" s="46"/>
      <c r="BG3" s="46"/>
      <c r="BH3" s="46"/>
      <c r="BI3" s="46"/>
      <c r="BJ3" s="46"/>
    </row>
    <row r="4">
      <c r="A4" s="49" t="s">
        <v>341</v>
      </c>
      <c r="B4" s="50">
        <v>6.7</v>
      </c>
      <c r="C4" s="51">
        <v>3.0</v>
      </c>
      <c r="D4" s="52">
        <v>44729.0</v>
      </c>
      <c r="E4" s="51">
        <v>45.0</v>
      </c>
      <c r="F4" s="53">
        <v>0.0</v>
      </c>
      <c r="G4" s="53">
        <v>45.0</v>
      </c>
      <c r="H4" s="51">
        <v>43.0</v>
      </c>
      <c r="I4" s="53">
        <v>4045.0</v>
      </c>
      <c r="J4" s="51">
        <v>900.0</v>
      </c>
      <c r="K4" s="51">
        <v>7801.0</v>
      </c>
      <c r="L4" s="53">
        <v>100.0</v>
      </c>
      <c r="M4" s="51">
        <v>3938.0</v>
      </c>
      <c r="N4" s="51">
        <v>5916.0</v>
      </c>
      <c r="O4" s="51">
        <v>1668.0</v>
      </c>
      <c r="P4" s="51">
        <v>3070.0</v>
      </c>
      <c r="Q4" s="51">
        <v>3129.0</v>
      </c>
      <c r="R4" s="51">
        <v>3421.0</v>
      </c>
      <c r="S4" s="51">
        <v>5302.0</v>
      </c>
      <c r="T4" s="51">
        <v>4995.0</v>
      </c>
      <c r="U4" s="51">
        <v>6544.0</v>
      </c>
      <c r="V4" s="51">
        <v>7267.0</v>
      </c>
      <c r="W4" s="51">
        <v>4579.0</v>
      </c>
      <c r="X4" s="51">
        <v>3745.0</v>
      </c>
      <c r="Y4" s="51">
        <v>2532.0</v>
      </c>
      <c r="Z4" s="51">
        <v>2261.0</v>
      </c>
      <c r="AA4" s="51">
        <v>4560.0</v>
      </c>
      <c r="AB4" s="51">
        <v>2278.0</v>
      </c>
      <c r="AC4" s="51">
        <v>4071.0</v>
      </c>
      <c r="AD4" s="51">
        <v>3366.0</v>
      </c>
      <c r="AE4" s="51">
        <v>4544.0</v>
      </c>
      <c r="AF4" s="51">
        <v>3526.0</v>
      </c>
      <c r="AG4" s="51">
        <v>3103.0</v>
      </c>
      <c r="AH4" s="51">
        <v>2471.0</v>
      </c>
      <c r="AI4" s="51">
        <v>4453.0</v>
      </c>
      <c r="AJ4" s="51">
        <v>1578.0</v>
      </c>
      <c r="AK4" s="51">
        <v>2932.0</v>
      </c>
      <c r="AL4" s="51">
        <v>6372.0</v>
      </c>
      <c r="AM4" s="51">
        <v>5888.0</v>
      </c>
      <c r="AN4" s="51">
        <v>3613.0</v>
      </c>
      <c r="AO4" s="51">
        <v>5586.0</v>
      </c>
      <c r="AP4" s="51">
        <v>5573.0</v>
      </c>
      <c r="AQ4" s="51">
        <v>1720.0</v>
      </c>
      <c r="AR4" s="51">
        <v>5787.0</v>
      </c>
      <c r="AS4" s="51">
        <v>3539.0</v>
      </c>
      <c r="AT4" s="51">
        <v>5351.0</v>
      </c>
      <c r="AU4" s="51">
        <v>7801.0</v>
      </c>
      <c r="AV4" s="51">
        <v>900.0</v>
      </c>
      <c r="AW4" s="51">
        <v>3959.0</v>
      </c>
      <c r="AX4" s="51">
        <v>1133.0</v>
      </c>
      <c r="AY4" s="51">
        <v>3142.0</v>
      </c>
      <c r="AZ4" s="51">
        <v>2102.0</v>
      </c>
      <c r="BA4" s="51">
        <v>6480.0</v>
      </c>
      <c r="BB4" s="51">
        <v>4244.0</v>
      </c>
      <c r="BC4" s="51">
        <v>7281.0</v>
      </c>
      <c r="BD4" s="51">
        <v>1960.0</v>
      </c>
      <c r="BE4" s="51">
        <v>4335.0</v>
      </c>
      <c r="BF4" s="51"/>
      <c r="BG4" s="51"/>
      <c r="BH4" s="51"/>
      <c r="BI4" s="51"/>
      <c r="BJ4" s="51"/>
    </row>
    <row r="5">
      <c r="A5" s="49" t="s">
        <v>341</v>
      </c>
      <c r="B5" s="54" t="s">
        <v>342</v>
      </c>
      <c r="C5" s="51">
        <v>6.0</v>
      </c>
      <c r="D5" s="52">
        <v>44741.0</v>
      </c>
      <c r="E5" s="51">
        <v>50.0</v>
      </c>
      <c r="F5" s="53">
        <v>3.0</v>
      </c>
      <c r="G5" s="53">
        <v>47.0</v>
      </c>
      <c r="H5" s="51">
        <v>54.0</v>
      </c>
      <c r="I5" s="53">
        <v>2212.0</v>
      </c>
      <c r="J5" s="51">
        <v>160.0</v>
      </c>
      <c r="K5" s="51">
        <v>5041.0</v>
      </c>
      <c r="L5" s="53">
        <v>94.0</v>
      </c>
      <c r="M5" s="51">
        <v>432.0</v>
      </c>
      <c r="N5" s="51">
        <v>2359.0</v>
      </c>
      <c r="O5" s="51">
        <v>928.0</v>
      </c>
      <c r="P5" s="51">
        <v>2863.0</v>
      </c>
      <c r="Q5" s="51">
        <v>3442.0</v>
      </c>
      <c r="R5" s="51">
        <v>3869.0</v>
      </c>
      <c r="S5" s="51">
        <v>3579.0</v>
      </c>
      <c r="T5" s="51">
        <v>2873.0</v>
      </c>
      <c r="U5" s="51">
        <v>2542.0</v>
      </c>
      <c r="V5" s="51">
        <v>1612.0</v>
      </c>
      <c r="W5" s="51">
        <v>1225.0</v>
      </c>
      <c r="X5" s="51">
        <v>4050.0</v>
      </c>
      <c r="Y5" s="51">
        <v>2208.0</v>
      </c>
      <c r="Z5" s="51">
        <v>742.0</v>
      </c>
      <c r="AA5" s="51">
        <v>1118.0</v>
      </c>
      <c r="AB5" s="51">
        <v>1561.0</v>
      </c>
      <c r="AC5" s="51">
        <v>1128.0</v>
      </c>
      <c r="AD5" s="51">
        <v>3896.0</v>
      </c>
      <c r="AE5" s="51">
        <v>2873.0</v>
      </c>
      <c r="AF5" s="51">
        <v>1703.0</v>
      </c>
      <c r="AG5" s="51">
        <v>755.0</v>
      </c>
      <c r="AH5" s="51">
        <v>2243.0</v>
      </c>
      <c r="AI5" s="51">
        <v>4276.0</v>
      </c>
      <c r="AJ5" s="51">
        <v>1187.0</v>
      </c>
      <c r="AK5" s="51">
        <v>924.0</v>
      </c>
      <c r="AL5" s="51">
        <v>1617.0</v>
      </c>
      <c r="AM5" s="51">
        <v>2685.0</v>
      </c>
      <c r="AN5" s="51">
        <v>2223.0</v>
      </c>
      <c r="AO5" s="51">
        <v>2243.0</v>
      </c>
      <c r="AP5" s="51">
        <v>3437.0</v>
      </c>
      <c r="AQ5" s="51">
        <v>1789.0</v>
      </c>
      <c r="AR5" s="51">
        <v>160.0</v>
      </c>
      <c r="AS5" s="51">
        <v>3589.0</v>
      </c>
      <c r="AT5" s="51">
        <v>2570.0</v>
      </c>
      <c r="AU5" s="51">
        <v>3098.0</v>
      </c>
      <c r="AV5" s="51">
        <v>1732.0</v>
      </c>
      <c r="AW5" s="51">
        <v>1128.0</v>
      </c>
      <c r="AX5" s="51">
        <v>938.0</v>
      </c>
      <c r="AY5" s="51">
        <v>1698.0</v>
      </c>
      <c r="AZ5" s="51">
        <v>1128.0</v>
      </c>
      <c r="BA5" s="51">
        <v>1794.0</v>
      </c>
      <c r="BB5" s="51">
        <v>1206.0</v>
      </c>
      <c r="BC5" s="51">
        <v>389.0</v>
      </c>
      <c r="BD5" s="51">
        <v>1814.0</v>
      </c>
      <c r="BE5" s="51">
        <v>2354.0</v>
      </c>
      <c r="BF5" s="51">
        <v>3610.0</v>
      </c>
      <c r="BG5" s="51">
        <v>2107.0</v>
      </c>
      <c r="BH5" s="51">
        <v>5041.0</v>
      </c>
      <c r="BI5" s="51">
        <v>3579.0</v>
      </c>
      <c r="BJ5" s="51">
        <v>4298.0</v>
      </c>
    </row>
    <row r="6">
      <c r="A6" s="49" t="s">
        <v>341</v>
      </c>
      <c r="B6" s="50">
        <v>6.7</v>
      </c>
      <c r="C6" s="51">
        <v>6.0</v>
      </c>
      <c r="D6" s="52">
        <v>44732.0</v>
      </c>
      <c r="E6" s="51">
        <v>45.0</v>
      </c>
      <c r="F6" s="53">
        <v>3.0</v>
      </c>
      <c r="G6" s="53">
        <v>42.0</v>
      </c>
      <c r="H6" s="51">
        <v>59.0</v>
      </c>
      <c r="I6" s="53">
        <v>2918.0</v>
      </c>
      <c r="J6" s="51">
        <v>363.0</v>
      </c>
      <c r="K6" s="51">
        <v>7612.0</v>
      </c>
      <c r="L6" s="53">
        <v>93.0</v>
      </c>
      <c r="M6" s="51">
        <v>452.0</v>
      </c>
      <c r="N6" s="51">
        <v>6908.0</v>
      </c>
      <c r="O6" s="51">
        <v>4622.0</v>
      </c>
      <c r="P6" s="51">
        <v>2940.0</v>
      </c>
      <c r="Q6" s="51">
        <v>3732.0</v>
      </c>
      <c r="R6" s="51">
        <v>1522.0</v>
      </c>
      <c r="S6" s="51">
        <v>2512.0</v>
      </c>
      <c r="T6" s="51">
        <v>6697.0</v>
      </c>
      <c r="U6" s="51">
        <v>649.0</v>
      </c>
      <c r="V6" s="51">
        <v>2479.0</v>
      </c>
      <c r="W6" s="51">
        <v>1933.0</v>
      </c>
      <c r="X6" s="51">
        <v>5765.0</v>
      </c>
      <c r="Y6" s="51">
        <v>1201.0</v>
      </c>
      <c r="Z6" s="51">
        <v>1276.0</v>
      </c>
      <c r="AA6" s="51">
        <v>4461.0</v>
      </c>
      <c r="AB6" s="51">
        <v>1617.0</v>
      </c>
      <c r="AC6" s="51">
        <v>2122.0</v>
      </c>
      <c r="AD6" s="51">
        <v>1190.0</v>
      </c>
      <c r="AE6" s="51">
        <v>3319.0</v>
      </c>
      <c r="AF6" s="51">
        <v>3476.0</v>
      </c>
      <c r="AG6" s="51">
        <v>2372.0</v>
      </c>
      <c r="AH6" s="51">
        <v>3163.0</v>
      </c>
      <c r="AI6" s="51">
        <v>767.0</v>
      </c>
      <c r="AJ6" s="51">
        <v>1809.0</v>
      </c>
      <c r="AK6" s="51">
        <v>4854.0</v>
      </c>
      <c r="AL6" s="51">
        <v>3455.0</v>
      </c>
      <c r="AM6" s="51">
        <v>2739.0</v>
      </c>
      <c r="AN6" s="51">
        <v>781.0</v>
      </c>
      <c r="AO6" s="51">
        <v>7612.0</v>
      </c>
      <c r="AP6" s="51">
        <v>2278.0</v>
      </c>
      <c r="AQ6" s="51">
        <v>2852.0</v>
      </c>
      <c r="AR6" s="51">
        <v>1727.0</v>
      </c>
      <c r="AS6" s="51">
        <v>1836.0</v>
      </c>
      <c r="AT6" s="51">
        <v>4370.0</v>
      </c>
      <c r="AU6" s="51">
        <v>363.0</v>
      </c>
      <c r="AV6" s="51">
        <v>2405.0</v>
      </c>
      <c r="AW6" s="51">
        <v>3395.0</v>
      </c>
      <c r="AX6" s="51">
        <v>2665.0</v>
      </c>
      <c r="AY6" s="51">
        <v>2739.0</v>
      </c>
      <c r="AZ6" s="51">
        <v>3429.0</v>
      </c>
      <c r="BA6" s="51">
        <v>4461.0</v>
      </c>
      <c r="BB6" s="51">
        <v>2122.0</v>
      </c>
      <c r="BC6" s="51">
        <v>1396.0</v>
      </c>
      <c r="BD6" s="51">
        <v>4504.0</v>
      </c>
      <c r="BE6" s="51">
        <v>4343.0</v>
      </c>
      <c r="BF6" s="51"/>
      <c r="BG6" s="51"/>
      <c r="BH6" s="51"/>
      <c r="BI6" s="51"/>
      <c r="BJ6" s="51"/>
    </row>
    <row r="7">
      <c r="A7" s="49" t="s">
        <v>341</v>
      </c>
      <c r="B7" s="54">
        <v>5.0</v>
      </c>
      <c r="C7" s="51">
        <v>7.0</v>
      </c>
      <c r="D7" s="52">
        <v>44756.0</v>
      </c>
      <c r="E7" s="51">
        <v>20.0</v>
      </c>
      <c r="F7" s="53">
        <v>0.0</v>
      </c>
      <c r="G7" s="53">
        <v>20.0</v>
      </c>
      <c r="H7" s="53">
        <v>13.0</v>
      </c>
      <c r="I7" s="53">
        <v>14799.0</v>
      </c>
      <c r="J7" s="51">
        <v>9387.0</v>
      </c>
      <c r="K7" s="51">
        <v>16731.0</v>
      </c>
      <c r="L7" s="53">
        <v>100.0</v>
      </c>
      <c r="M7" s="51">
        <v>14949.0</v>
      </c>
      <c r="N7" s="51">
        <v>14674.0</v>
      </c>
      <c r="O7" s="51">
        <v>14964.0</v>
      </c>
      <c r="P7" s="51">
        <v>9387.0</v>
      </c>
      <c r="Q7" s="51">
        <v>15429.0</v>
      </c>
      <c r="R7" s="51">
        <v>15447.0</v>
      </c>
      <c r="S7" s="51">
        <v>15396.0</v>
      </c>
      <c r="T7" s="51">
        <v>16731.0</v>
      </c>
      <c r="U7" s="51">
        <v>16004.0</v>
      </c>
      <c r="V7" s="51">
        <v>15273.0</v>
      </c>
      <c r="W7" s="51">
        <v>15330.0</v>
      </c>
      <c r="X7" s="51">
        <v>15976.0</v>
      </c>
      <c r="Y7" s="51">
        <v>15558.0</v>
      </c>
      <c r="Z7" s="51">
        <v>16040.0</v>
      </c>
      <c r="AA7" s="51">
        <v>10864.0</v>
      </c>
      <c r="AB7" s="51">
        <v>16034.0</v>
      </c>
      <c r="AC7" s="51">
        <v>15330.0</v>
      </c>
      <c r="AD7" s="51">
        <v>15687.0</v>
      </c>
      <c r="AE7" s="51">
        <v>15877.0</v>
      </c>
      <c r="AF7" s="51">
        <v>11027.0</v>
      </c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</row>
    <row r="8">
      <c r="A8" s="49" t="s">
        <v>341</v>
      </c>
      <c r="B8" s="54">
        <v>2.0</v>
      </c>
      <c r="C8" s="51">
        <v>14.0</v>
      </c>
      <c r="D8" s="52">
        <v>44756.0</v>
      </c>
      <c r="E8" s="51">
        <v>24.0</v>
      </c>
      <c r="F8" s="53">
        <v>0.0</v>
      </c>
      <c r="G8" s="53">
        <v>24.0</v>
      </c>
      <c r="H8" s="53">
        <v>5.0</v>
      </c>
      <c r="I8" s="53">
        <v>15782.0</v>
      </c>
      <c r="J8" s="51">
        <v>13583.0</v>
      </c>
      <c r="K8" s="51">
        <v>16638.0</v>
      </c>
      <c r="L8" s="53">
        <v>100.0</v>
      </c>
      <c r="M8" s="51">
        <v>15850.0</v>
      </c>
      <c r="N8" s="51">
        <v>16082.0</v>
      </c>
      <c r="O8" s="51">
        <v>15543.0</v>
      </c>
      <c r="P8" s="51">
        <v>15345.0</v>
      </c>
      <c r="Q8" s="51">
        <v>15989.0</v>
      </c>
      <c r="R8" s="51">
        <v>16260.0</v>
      </c>
      <c r="S8" s="51">
        <v>15871.0</v>
      </c>
      <c r="T8" s="51">
        <v>16432.0</v>
      </c>
      <c r="U8" s="51">
        <v>16577.0</v>
      </c>
      <c r="V8" s="51">
        <v>16638.0</v>
      </c>
      <c r="W8" s="51">
        <v>15351.0</v>
      </c>
      <c r="X8" s="51">
        <v>13583.0</v>
      </c>
      <c r="Y8" s="51">
        <v>16157.0</v>
      </c>
      <c r="Z8" s="51">
        <v>16411.0</v>
      </c>
      <c r="AA8" s="51">
        <v>16287.0</v>
      </c>
      <c r="AB8" s="51">
        <v>15639.0</v>
      </c>
      <c r="AC8" s="51">
        <v>14799.0</v>
      </c>
      <c r="AD8" s="51">
        <v>14393.0</v>
      </c>
      <c r="AE8" s="51">
        <v>15237.0</v>
      </c>
      <c r="AF8" s="51">
        <v>15931.0</v>
      </c>
      <c r="AG8" s="51">
        <v>16523.0</v>
      </c>
      <c r="AH8" s="51">
        <v>16254.0</v>
      </c>
      <c r="AI8" s="51">
        <v>15838.0</v>
      </c>
      <c r="AJ8" s="51">
        <v>15781.0</v>
      </c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</row>
    <row r="9">
      <c r="A9" s="49" t="s">
        <v>341</v>
      </c>
      <c r="B9" s="54">
        <v>4.0</v>
      </c>
      <c r="C9" s="51">
        <v>21.0</v>
      </c>
      <c r="D9" s="52">
        <v>44756.0</v>
      </c>
      <c r="E9" s="51">
        <v>23.0</v>
      </c>
      <c r="F9" s="53">
        <v>0.0</v>
      </c>
      <c r="G9" s="53">
        <v>23.0</v>
      </c>
      <c r="H9" s="53">
        <v>9.0</v>
      </c>
      <c r="I9" s="53">
        <v>15430.0</v>
      </c>
      <c r="J9" s="51">
        <v>10562.0</v>
      </c>
      <c r="K9" s="51">
        <v>17514.0</v>
      </c>
      <c r="L9" s="53">
        <v>100.0</v>
      </c>
      <c r="M9" s="51">
        <v>16151.0</v>
      </c>
      <c r="N9" s="51">
        <v>10562.0</v>
      </c>
      <c r="O9" s="51">
        <v>12757.0</v>
      </c>
      <c r="P9" s="51">
        <v>16571.0</v>
      </c>
      <c r="Q9" s="51">
        <v>14814.0</v>
      </c>
      <c r="R9" s="51">
        <v>16804.0</v>
      </c>
      <c r="S9" s="51">
        <v>15591.0</v>
      </c>
      <c r="T9" s="51">
        <v>15297.0</v>
      </c>
      <c r="U9" s="51">
        <v>16200.0</v>
      </c>
      <c r="V9" s="51">
        <v>16550.0</v>
      </c>
      <c r="W9" s="51">
        <v>16378.0</v>
      </c>
      <c r="X9" s="51">
        <v>16789.0</v>
      </c>
      <c r="Y9" s="51">
        <v>14889.0</v>
      </c>
      <c r="Z9" s="51">
        <v>17514.0</v>
      </c>
      <c r="AA9" s="51">
        <v>15522.0</v>
      </c>
      <c r="AB9" s="51">
        <v>14916.0</v>
      </c>
      <c r="AC9" s="51">
        <v>15558.0</v>
      </c>
      <c r="AD9" s="51">
        <v>15603.0</v>
      </c>
      <c r="AE9" s="51">
        <v>15426.0</v>
      </c>
      <c r="AF9" s="51">
        <v>14835.0</v>
      </c>
      <c r="AG9" s="51">
        <v>15555.0</v>
      </c>
      <c r="AH9" s="51">
        <v>15333.0</v>
      </c>
      <c r="AI9" s="51">
        <v>15276.0</v>
      </c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</row>
    <row r="10">
      <c r="A10" s="49" t="s">
        <v>341</v>
      </c>
      <c r="B10" s="54">
        <v>7.0</v>
      </c>
      <c r="C10" s="51">
        <v>40.0</v>
      </c>
      <c r="D10" s="52">
        <v>44766.0</v>
      </c>
      <c r="E10" s="51">
        <v>23.0</v>
      </c>
      <c r="F10" s="53">
        <v>22.0</v>
      </c>
      <c r="G10" s="53">
        <v>1.0</v>
      </c>
      <c r="H10" s="53">
        <v>205.0</v>
      </c>
      <c r="I10" s="53">
        <v>76.0</v>
      </c>
      <c r="J10" s="51">
        <v>1.0</v>
      </c>
      <c r="K10" s="51">
        <v>742.0</v>
      </c>
      <c r="L10" s="53">
        <v>4.0</v>
      </c>
      <c r="M10" s="51">
        <v>13.0</v>
      </c>
      <c r="N10" s="51">
        <v>1.0</v>
      </c>
      <c r="O10" s="51">
        <v>33.0</v>
      </c>
      <c r="P10" s="51">
        <v>87.0</v>
      </c>
      <c r="Q10" s="51">
        <v>26.0</v>
      </c>
      <c r="R10" s="51">
        <v>203.0</v>
      </c>
      <c r="S10" s="51">
        <v>742.0</v>
      </c>
      <c r="T10" s="51">
        <v>131.0</v>
      </c>
      <c r="U10" s="51">
        <v>1.0</v>
      </c>
      <c r="V10" s="51">
        <v>19.0</v>
      </c>
      <c r="W10" s="51">
        <v>19.0</v>
      </c>
      <c r="X10" s="51">
        <v>76.0</v>
      </c>
      <c r="Y10" s="51">
        <v>1.0</v>
      </c>
      <c r="Z10" s="51">
        <v>45.0</v>
      </c>
      <c r="AA10" s="51">
        <v>1.0</v>
      </c>
      <c r="AB10" s="51">
        <v>5.0</v>
      </c>
      <c r="AC10" s="51">
        <v>1.0</v>
      </c>
      <c r="AD10" s="51">
        <v>139.0</v>
      </c>
      <c r="AE10" s="51">
        <v>1.0</v>
      </c>
      <c r="AF10" s="51">
        <v>43.0</v>
      </c>
      <c r="AG10" s="51">
        <v>40.0</v>
      </c>
      <c r="AH10" s="51">
        <v>74.0</v>
      </c>
      <c r="AI10" s="51">
        <v>45.0</v>
      </c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</row>
    <row r="11">
      <c r="A11" s="49" t="s">
        <v>341</v>
      </c>
      <c r="B11" s="54">
        <v>6.0</v>
      </c>
      <c r="C11" s="51">
        <v>40.0</v>
      </c>
      <c r="D11" s="52">
        <v>44766.0</v>
      </c>
      <c r="E11" s="51">
        <v>23.0</v>
      </c>
      <c r="F11" s="53">
        <v>23.0</v>
      </c>
      <c r="G11" s="53">
        <v>0.0</v>
      </c>
      <c r="H11" s="53">
        <v>113.0</v>
      </c>
      <c r="I11" s="53">
        <v>61.0</v>
      </c>
      <c r="J11" s="51">
        <v>1.0</v>
      </c>
      <c r="K11" s="51">
        <v>308.0</v>
      </c>
      <c r="L11" s="53">
        <v>0.0</v>
      </c>
      <c r="M11" s="51">
        <v>16.0</v>
      </c>
      <c r="N11" s="51">
        <v>16.0</v>
      </c>
      <c r="O11" s="51">
        <v>52.0</v>
      </c>
      <c r="P11" s="51">
        <v>87.0</v>
      </c>
      <c r="Q11" s="51">
        <v>11.0</v>
      </c>
      <c r="R11" s="51">
        <v>67.0</v>
      </c>
      <c r="S11" s="51">
        <v>1.0</v>
      </c>
      <c r="T11" s="51">
        <v>1.0</v>
      </c>
      <c r="U11" s="51">
        <v>43.0</v>
      </c>
      <c r="V11" s="51">
        <v>45.0</v>
      </c>
      <c r="W11" s="51">
        <v>63.0</v>
      </c>
      <c r="X11" s="51">
        <v>1.0</v>
      </c>
      <c r="Y11" s="51">
        <v>91.0</v>
      </c>
      <c r="Z11" s="51">
        <v>70.0</v>
      </c>
      <c r="AA11" s="51">
        <v>49.0</v>
      </c>
      <c r="AB11" s="51">
        <v>49.0</v>
      </c>
      <c r="AC11" s="51">
        <v>308.0</v>
      </c>
      <c r="AD11" s="51">
        <v>1.0</v>
      </c>
      <c r="AE11" s="51">
        <v>43.0</v>
      </c>
      <c r="AF11" s="51">
        <v>176.0</v>
      </c>
      <c r="AG11" s="51">
        <v>1.0</v>
      </c>
      <c r="AH11" s="51">
        <v>127.0</v>
      </c>
      <c r="AI11" s="51">
        <v>87.0</v>
      </c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</row>
    <row r="12">
      <c r="A12" s="49" t="s">
        <v>341</v>
      </c>
      <c r="B12" s="54" t="s">
        <v>343</v>
      </c>
      <c r="C12" s="51">
        <v>52.0</v>
      </c>
      <c r="D12" s="52">
        <v>44729.0</v>
      </c>
      <c r="E12" s="51">
        <v>42.0</v>
      </c>
      <c r="F12" s="53">
        <v>26.0</v>
      </c>
      <c r="G12" s="53">
        <v>16.0</v>
      </c>
      <c r="H12" s="51">
        <v>118.0</v>
      </c>
      <c r="I12" s="53">
        <v>890.0</v>
      </c>
      <c r="J12" s="51">
        <v>1.0</v>
      </c>
      <c r="K12" s="51">
        <v>3521.0</v>
      </c>
      <c r="L12" s="53">
        <v>38.0</v>
      </c>
      <c r="M12" s="51">
        <v>3521.0</v>
      </c>
      <c r="N12" s="51">
        <v>2110.0</v>
      </c>
      <c r="O12" s="51">
        <v>199.0</v>
      </c>
      <c r="P12" s="51">
        <v>1299.0</v>
      </c>
      <c r="Q12" s="51">
        <v>203.0</v>
      </c>
      <c r="R12" s="51">
        <v>380.0</v>
      </c>
      <c r="S12" s="51">
        <v>21.0</v>
      </c>
      <c r="T12" s="51">
        <v>432.0</v>
      </c>
      <c r="U12" s="51">
        <v>348.0</v>
      </c>
      <c r="V12" s="51">
        <v>1826.0</v>
      </c>
      <c r="W12" s="51">
        <v>96.0</v>
      </c>
      <c r="X12" s="51">
        <v>133.0</v>
      </c>
      <c r="Y12" s="51">
        <v>2319.0</v>
      </c>
      <c r="Z12" s="51">
        <v>3332.0</v>
      </c>
      <c r="AA12" s="51">
        <v>83.0</v>
      </c>
      <c r="AB12" s="51">
        <v>279.0</v>
      </c>
      <c r="AC12" s="51">
        <v>229.0</v>
      </c>
      <c r="AD12" s="51">
        <v>33.0</v>
      </c>
      <c r="AE12" s="51">
        <v>1244.0</v>
      </c>
      <c r="AF12" s="51">
        <v>70.0</v>
      </c>
      <c r="AG12" s="51">
        <v>79.0</v>
      </c>
      <c r="AH12" s="51">
        <v>2357.0</v>
      </c>
      <c r="AI12" s="51">
        <v>820.0</v>
      </c>
      <c r="AJ12" s="51">
        <v>2045.0</v>
      </c>
      <c r="AK12" s="51">
        <v>2198.0</v>
      </c>
      <c r="AL12" s="51">
        <v>302.0</v>
      </c>
      <c r="AM12" s="51">
        <v>1083.0</v>
      </c>
      <c r="AN12" s="51">
        <v>1.0</v>
      </c>
      <c r="AO12" s="51">
        <v>63.0</v>
      </c>
      <c r="AP12" s="51">
        <v>33.0</v>
      </c>
      <c r="AQ12" s="51">
        <v>100.0</v>
      </c>
      <c r="AR12" s="51">
        <v>59.0</v>
      </c>
      <c r="AS12" s="51">
        <v>297.0</v>
      </c>
      <c r="AT12" s="51">
        <v>423.0</v>
      </c>
      <c r="AU12" s="51">
        <v>2278.0</v>
      </c>
      <c r="AV12" s="51">
        <v>2367.0</v>
      </c>
      <c r="AW12" s="51">
        <v>28.0</v>
      </c>
      <c r="AX12" s="51">
        <v>1311.0</v>
      </c>
      <c r="AY12" s="51">
        <v>47.0</v>
      </c>
      <c r="AZ12" s="51">
        <v>117.0</v>
      </c>
      <c r="BA12" s="51">
        <v>348.0</v>
      </c>
      <c r="BB12" s="51">
        <v>2876.0</v>
      </c>
      <c r="BC12" s="51"/>
      <c r="BD12" s="51"/>
      <c r="BE12" s="51"/>
      <c r="BF12" s="51"/>
      <c r="BG12" s="51"/>
      <c r="BH12" s="51"/>
      <c r="BI12" s="51"/>
      <c r="BJ12" s="51"/>
    </row>
    <row r="13">
      <c r="A13" s="49" t="s">
        <v>341</v>
      </c>
      <c r="B13" s="54">
        <v>4.0</v>
      </c>
      <c r="C13" s="51">
        <v>52.0</v>
      </c>
      <c r="D13" s="52">
        <v>44738.0</v>
      </c>
      <c r="E13" s="51">
        <v>24.0</v>
      </c>
      <c r="F13" s="53">
        <v>4.0</v>
      </c>
      <c r="G13" s="53">
        <v>20.0</v>
      </c>
      <c r="H13" s="51">
        <v>56.0</v>
      </c>
      <c r="I13" s="53">
        <v>1873.0</v>
      </c>
      <c r="J13" s="51">
        <v>168.0</v>
      </c>
      <c r="K13" s="51">
        <v>4303.0</v>
      </c>
      <c r="L13" s="53">
        <v>83.0</v>
      </c>
      <c r="M13" s="51">
        <v>2593.0</v>
      </c>
      <c r="N13" s="51">
        <v>1955.0</v>
      </c>
      <c r="O13" s="51">
        <v>1461.0</v>
      </c>
      <c r="P13" s="51">
        <v>1846.0</v>
      </c>
      <c r="Q13" s="51">
        <v>1663.0</v>
      </c>
      <c r="R13" s="51">
        <v>4303.0</v>
      </c>
      <c r="S13" s="51">
        <v>1461.0</v>
      </c>
      <c r="T13" s="51">
        <v>1536.0</v>
      </c>
      <c r="U13" s="51">
        <v>604.0</v>
      </c>
      <c r="V13" s="51">
        <v>1858.0</v>
      </c>
      <c r="W13" s="51">
        <v>168.0</v>
      </c>
      <c r="X13" s="51">
        <v>1943.0</v>
      </c>
      <c r="Y13" s="51">
        <v>611.0</v>
      </c>
      <c r="Z13" s="51">
        <v>2266.0</v>
      </c>
      <c r="AA13" s="51">
        <v>3046.0</v>
      </c>
      <c r="AB13" s="51">
        <v>1910.0</v>
      </c>
      <c r="AC13" s="51">
        <v>2732.0</v>
      </c>
      <c r="AD13" s="51">
        <v>194.0</v>
      </c>
      <c r="AE13" s="51">
        <v>2688.0</v>
      </c>
      <c r="AF13" s="51">
        <v>4239.0</v>
      </c>
      <c r="AG13" s="51">
        <v>1379.0</v>
      </c>
      <c r="AH13" s="51">
        <v>1393.0</v>
      </c>
      <c r="AI13" s="51">
        <v>1777.0</v>
      </c>
      <c r="AJ13" s="51">
        <v>1321.0</v>
      </c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</row>
    <row r="14">
      <c r="A14" s="49" t="s">
        <v>341</v>
      </c>
      <c r="B14" s="54">
        <v>5.0</v>
      </c>
      <c r="C14" s="51">
        <v>52.0</v>
      </c>
      <c r="D14" s="52">
        <v>44738.0</v>
      </c>
      <c r="E14" s="51">
        <v>24.0</v>
      </c>
      <c r="F14" s="53">
        <v>2.0</v>
      </c>
      <c r="G14" s="53">
        <v>22.0</v>
      </c>
      <c r="H14" s="51">
        <v>54.0</v>
      </c>
      <c r="I14" s="53">
        <v>2141.0</v>
      </c>
      <c r="J14" s="51">
        <v>172.0</v>
      </c>
      <c r="K14" s="51">
        <v>5166.0</v>
      </c>
      <c r="L14" s="53">
        <v>92.0</v>
      </c>
      <c r="M14" s="51">
        <v>3996.0</v>
      </c>
      <c r="N14" s="51">
        <v>1410.0</v>
      </c>
      <c r="O14" s="51">
        <v>3484.0</v>
      </c>
      <c r="P14" s="51">
        <v>3353.0</v>
      </c>
      <c r="Q14" s="51">
        <v>1992.0</v>
      </c>
      <c r="R14" s="51">
        <v>1568.0</v>
      </c>
      <c r="S14" s="51">
        <v>2349.0</v>
      </c>
      <c r="T14" s="51">
        <v>2030.0</v>
      </c>
      <c r="U14" s="51">
        <v>1863.0</v>
      </c>
      <c r="V14" s="51">
        <v>1928.0</v>
      </c>
      <c r="W14" s="51">
        <v>3374.0</v>
      </c>
      <c r="X14" s="51">
        <v>1585.0</v>
      </c>
      <c r="Y14" s="51">
        <v>194.0</v>
      </c>
      <c r="Z14" s="51">
        <v>172.0</v>
      </c>
      <c r="AA14" s="51">
        <v>2238.0</v>
      </c>
      <c r="AB14" s="51">
        <v>2271.0</v>
      </c>
      <c r="AC14" s="51">
        <v>1367.0</v>
      </c>
      <c r="AD14" s="51">
        <v>1754.0</v>
      </c>
      <c r="AE14" s="51">
        <v>5166.0</v>
      </c>
      <c r="AF14" s="51">
        <v>2117.0</v>
      </c>
      <c r="AG14" s="51">
        <v>2463.0</v>
      </c>
      <c r="AH14" s="51">
        <v>998.0</v>
      </c>
      <c r="AI14" s="51">
        <v>2760.0</v>
      </c>
      <c r="AJ14" s="51">
        <v>945.0</v>
      </c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</row>
    <row r="15">
      <c r="A15" s="49" t="s">
        <v>341</v>
      </c>
      <c r="B15" s="54">
        <v>4.0</v>
      </c>
      <c r="C15" s="51">
        <v>63.0</v>
      </c>
      <c r="D15" s="52">
        <v>44707.0</v>
      </c>
      <c r="E15" s="51">
        <v>23.0</v>
      </c>
      <c r="F15" s="53">
        <v>14.0</v>
      </c>
      <c r="G15" s="53">
        <v>9.0</v>
      </c>
      <c r="H15" s="53">
        <v>96.0</v>
      </c>
      <c r="I15" s="53">
        <v>1031.0</v>
      </c>
      <c r="J15" s="51">
        <v>110.0</v>
      </c>
      <c r="K15" s="51">
        <v>3800.0</v>
      </c>
      <c r="L15" s="53">
        <v>39.0</v>
      </c>
      <c r="M15" s="55">
        <v>3046.0</v>
      </c>
      <c r="N15" s="55">
        <v>110.0</v>
      </c>
      <c r="O15" s="55">
        <v>2496.0</v>
      </c>
      <c r="P15" s="55">
        <v>491.0</v>
      </c>
      <c r="Q15" s="55">
        <v>653.0</v>
      </c>
      <c r="R15" s="55">
        <v>712.0</v>
      </c>
      <c r="S15" s="55">
        <v>843.0</v>
      </c>
      <c r="T15" s="55">
        <v>151.0</v>
      </c>
      <c r="U15" s="55">
        <v>201.0</v>
      </c>
      <c r="V15" s="55">
        <v>147.0</v>
      </c>
      <c r="W15" s="55">
        <v>1287.0</v>
      </c>
      <c r="X15" s="55">
        <v>669.0</v>
      </c>
      <c r="Y15" s="55">
        <v>542.0</v>
      </c>
      <c r="Z15" s="55">
        <v>331.0</v>
      </c>
      <c r="AA15" s="55">
        <v>331.0</v>
      </c>
      <c r="AB15" s="55">
        <v>1447.0</v>
      </c>
      <c r="AC15" s="55">
        <v>1109.0</v>
      </c>
      <c r="AD15" s="55">
        <v>669.0</v>
      </c>
      <c r="AE15" s="55">
        <v>2022.0</v>
      </c>
      <c r="AF15" s="55">
        <v>676.0</v>
      </c>
      <c r="AG15" s="55">
        <v>283.0</v>
      </c>
      <c r="AH15" s="55">
        <v>3800.0</v>
      </c>
      <c r="AI15" s="55">
        <v>1693.0</v>
      </c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</row>
    <row r="16">
      <c r="A16" s="49" t="s">
        <v>341</v>
      </c>
      <c r="B16" s="54">
        <v>5.0</v>
      </c>
      <c r="C16" s="51">
        <v>63.0</v>
      </c>
      <c r="D16" s="52">
        <v>44707.0</v>
      </c>
      <c r="E16" s="51">
        <v>22.0</v>
      </c>
      <c r="F16" s="53">
        <v>9.0</v>
      </c>
      <c r="G16" s="53">
        <v>13.0</v>
      </c>
      <c r="H16" s="53">
        <v>88.0</v>
      </c>
      <c r="I16" s="53">
        <v>962.0</v>
      </c>
      <c r="J16" s="51">
        <v>139.0</v>
      </c>
      <c r="K16" s="51">
        <v>3500.0</v>
      </c>
      <c r="L16" s="53">
        <v>59.0</v>
      </c>
      <c r="M16" s="55">
        <v>304.0</v>
      </c>
      <c r="N16" s="55">
        <v>1059.0</v>
      </c>
      <c r="O16" s="55">
        <v>783.0</v>
      </c>
      <c r="P16" s="55">
        <v>870.0</v>
      </c>
      <c r="Q16" s="55">
        <v>1092.0</v>
      </c>
      <c r="R16" s="55">
        <v>3296.0</v>
      </c>
      <c r="S16" s="55">
        <v>582.0</v>
      </c>
      <c r="T16" s="55">
        <v>662.0</v>
      </c>
      <c r="U16" s="55">
        <v>139.0</v>
      </c>
      <c r="V16" s="55">
        <v>739.0</v>
      </c>
      <c r="W16" s="55">
        <v>588.0</v>
      </c>
      <c r="X16" s="55">
        <v>524.0</v>
      </c>
      <c r="Y16" s="55">
        <v>1637.0</v>
      </c>
      <c r="Z16" s="55">
        <v>252.0</v>
      </c>
      <c r="AA16" s="55">
        <v>620.0</v>
      </c>
      <c r="AB16" s="55">
        <v>755.0</v>
      </c>
      <c r="AC16" s="55">
        <v>739.0</v>
      </c>
      <c r="AD16" s="55">
        <v>642.0</v>
      </c>
      <c r="AE16" s="55">
        <v>776.0</v>
      </c>
      <c r="AF16" s="55">
        <v>3500.0</v>
      </c>
      <c r="AG16" s="55">
        <v>880.0</v>
      </c>
      <c r="AH16" s="55">
        <v>733.0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</row>
    <row r="17">
      <c r="A17" s="49" t="s">
        <v>341</v>
      </c>
      <c r="B17" s="54">
        <v>1.0</v>
      </c>
      <c r="C17" s="51">
        <v>70.0</v>
      </c>
      <c r="D17" s="52">
        <v>44711.0</v>
      </c>
      <c r="E17" s="51">
        <v>22.0</v>
      </c>
      <c r="F17" s="53">
        <v>0.0</v>
      </c>
      <c r="G17" s="53">
        <v>22.0</v>
      </c>
      <c r="H17" s="53">
        <v>44.0</v>
      </c>
      <c r="I17" s="53">
        <v>6558.0</v>
      </c>
      <c r="J17" s="51">
        <v>820.0</v>
      </c>
      <c r="K17" s="51">
        <v>13515.0</v>
      </c>
      <c r="L17" s="53">
        <v>100.0</v>
      </c>
      <c r="M17" s="55">
        <v>7680.0</v>
      </c>
      <c r="N17" s="55">
        <v>3340.0</v>
      </c>
      <c r="O17" s="55">
        <v>7536.0</v>
      </c>
      <c r="P17" s="55">
        <v>7576.0</v>
      </c>
      <c r="Q17" s="55">
        <v>6183.0</v>
      </c>
      <c r="R17" s="55">
        <v>7446.0</v>
      </c>
      <c r="S17" s="55">
        <v>5319.0</v>
      </c>
      <c r="T17" s="55">
        <v>13515.0</v>
      </c>
      <c r="U17" s="55">
        <v>8889.0</v>
      </c>
      <c r="V17" s="55">
        <v>11907.0</v>
      </c>
      <c r="W17" s="55">
        <v>7112.0</v>
      </c>
      <c r="X17" s="55">
        <v>2711.0</v>
      </c>
      <c r="Y17" s="55">
        <v>7652.0</v>
      </c>
      <c r="Z17" s="55">
        <v>7578.0</v>
      </c>
      <c r="AA17" s="55">
        <v>5447.0</v>
      </c>
      <c r="AB17" s="55">
        <v>3668.0</v>
      </c>
      <c r="AC17" s="55">
        <v>4779.0</v>
      </c>
      <c r="AD17" s="55">
        <v>6463.0</v>
      </c>
      <c r="AE17" s="55">
        <v>3319.0</v>
      </c>
      <c r="AF17" s="55">
        <v>820.0</v>
      </c>
      <c r="AG17" s="55">
        <v>7247.0</v>
      </c>
      <c r="AH17" s="55">
        <v>8092.0</v>
      </c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</row>
    <row r="18">
      <c r="A18" s="49" t="s">
        <v>341</v>
      </c>
      <c r="B18" s="54">
        <v>2.0</v>
      </c>
      <c r="C18" s="51">
        <v>70.0</v>
      </c>
      <c r="D18" s="52">
        <v>44711.0</v>
      </c>
      <c r="E18" s="51">
        <v>21.0</v>
      </c>
      <c r="F18" s="53">
        <v>0.0</v>
      </c>
      <c r="G18" s="53">
        <v>21.0</v>
      </c>
      <c r="H18" s="53">
        <v>56.0</v>
      </c>
      <c r="I18" s="53">
        <v>8448.0</v>
      </c>
      <c r="J18" s="51">
        <v>1319.0</v>
      </c>
      <c r="K18" s="51">
        <v>14919.0</v>
      </c>
      <c r="L18" s="53">
        <v>100.0</v>
      </c>
      <c r="M18" s="55">
        <v>4290.0</v>
      </c>
      <c r="N18" s="55">
        <v>3777.0</v>
      </c>
      <c r="O18" s="55">
        <v>14919.0</v>
      </c>
      <c r="P18" s="55">
        <v>4879.0</v>
      </c>
      <c r="Q18" s="55">
        <v>8618.0</v>
      </c>
      <c r="R18" s="55">
        <v>1858.0</v>
      </c>
      <c r="S18" s="55">
        <v>13557.0</v>
      </c>
      <c r="T18" s="55">
        <v>9295.0</v>
      </c>
      <c r="U18" s="55">
        <v>3808.0</v>
      </c>
      <c r="V18" s="55">
        <v>1319.0</v>
      </c>
      <c r="W18" s="55">
        <v>11963.0</v>
      </c>
      <c r="X18" s="55">
        <v>12575.0</v>
      </c>
      <c r="Y18" s="55">
        <v>13319.0</v>
      </c>
      <c r="Z18" s="55">
        <v>14178.0</v>
      </c>
      <c r="AA18" s="55">
        <v>3111.0</v>
      </c>
      <c r="AB18" s="55">
        <v>11208.0</v>
      </c>
      <c r="AC18" s="55">
        <v>2703.0</v>
      </c>
      <c r="AD18" s="55">
        <v>10745.0</v>
      </c>
      <c r="AE18" s="55">
        <v>13970.0</v>
      </c>
      <c r="AF18" s="55">
        <v>5229.0</v>
      </c>
      <c r="AG18" s="55">
        <v>12080.0</v>
      </c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</row>
    <row r="19">
      <c r="A19" s="49" t="s">
        <v>341</v>
      </c>
      <c r="B19" s="54">
        <v>3.0</v>
      </c>
      <c r="C19" s="51">
        <v>70.0</v>
      </c>
      <c r="D19" s="52">
        <v>44711.0</v>
      </c>
      <c r="E19" s="51">
        <v>24.0</v>
      </c>
      <c r="F19" s="53">
        <v>0.0</v>
      </c>
      <c r="G19" s="53">
        <v>24.0</v>
      </c>
      <c r="H19" s="53">
        <v>33.0</v>
      </c>
      <c r="I19" s="53">
        <v>11190.0</v>
      </c>
      <c r="J19" s="51">
        <v>4169.0</v>
      </c>
      <c r="K19" s="51">
        <v>15138.0</v>
      </c>
      <c r="L19" s="53">
        <v>100.0</v>
      </c>
      <c r="M19" s="55">
        <v>13340.0</v>
      </c>
      <c r="N19" s="55">
        <v>4860.0</v>
      </c>
      <c r="O19" s="55">
        <v>14226.0</v>
      </c>
      <c r="P19" s="55">
        <v>6230.0</v>
      </c>
      <c r="Q19" s="55">
        <v>14620.0</v>
      </c>
      <c r="R19" s="55">
        <v>14038.0</v>
      </c>
      <c r="S19" s="55">
        <v>12873.0</v>
      </c>
      <c r="T19" s="55">
        <v>12755.0</v>
      </c>
      <c r="U19" s="55">
        <v>7390.0</v>
      </c>
      <c r="V19" s="55">
        <v>14605.0</v>
      </c>
      <c r="W19" s="55">
        <v>8027.0</v>
      </c>
      <c r="X19" s="55">
        <v>4169.0</v>
      </c>
      <c r="Y19" s="55">
        <v>13622.0</v>
      </c>
      <c r="Z19" s="55">
        <v>12769.0</v>
      </c>
      <c r="AA19" s="55">
        <v>12710.0</v>
      </c>
      <c r="AB19" s="55">
        <v>13189.0</v>
      </c>
      <c r="AC19" s="55">
        <v>13162.0</v>
      </c>
      <c r="AD19" s="55">
        <v>11307.0</v>
      </c>
      <c r="AE19" s="55">
        <v>12604.0</v>
      </c>
      <c r="AF19" s="55">
        <v>15138.0</v>
      </c>
      <c r="AG19" s="55">
        <v>14327.0</v>
      </c>
      <c r="AH19" s="55">
        <v>5191.0</v>
      </c>
      <c r="AI19" s="55">
        <v>12719.0</v>
      </c>
      <c r="AJ19" s="55">
        <v>4698.0</v>
      </c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</row>
    <row r="20">
      <c r="A20" s="49" t="s">
        <v>341</v>
      </c>
      <c r="B20" s="54">
        <v>9.0</v>
      </c>
      <c r="C20" s="51">
        <v>98.0</v>
      </c>
      <c r="D20" s="52">
        <v>44767.0</v>
      </c>
      <c r="E20" s="51">
        <v>20.0</v>
      </c>
      <c r="F20" s="53">
        <v>0.0</v>
      </c>
      <c r="G20" s="53">
        <v>20.0</v>
      </c>
      <c r="H20" s="53">
        <v>38.0</v>
      </c>
      <c r="I20" s="53">
        <v>12760.0</v>
      </c>
      <c r="J20" s="51">
        <v>2726.0</v>
      </c>
      <c r="K20" s="51">
        <v>17195.0</v>
      </c>
      <c r="L20" s="53">
        <v>100.0</v>
      </c>
      <c r="M20" s="51">
        <v>2726.0</v>
      </c>
      <c r="N20" s="51">
        <v>16807.0</v>
      </c>
      <c r="O20" s="51">
        <v>15730.0</v>
      </c>
      <c r="P20" s="51">
        <v>15871.0</v>
      </c>
      <c r="Q20" s="51">
        <v>16296.0</v>
      </c>
      <c r="R20" s="51">
        <v>17110.0</v>
      </c>
      <c r="S20" s="51">
        <v>16692.0</v>
      </c>
      <c r="T20" s="51">
        <v>16683.0</v>
      </c>
      <c r="U20" s="51">
        <v>17195.0</v>
      </c>
      <c r="V20" s="51">
        <v>7683.0</v>
      </c>
      <c r="W20" s="51">
        <v>7894.0</v>
      </c>
      <c r="X20" s="51">
        <v>16194.0</v>
      </c>
      <c r="Y20" s="51">
        <v>14542.0</v>
      </c>
      <c r="Z20" s="51">
        <v>12958.0</v>
      </c>
      <c r="AA20" s="51">
        <v>6505.0</v>
      </c>
      <c r="AB20" s="51">
        <v>11039.0</v>
      </c>
      <c r="AC20" s="51">
        <v>16239.0</v>
      </c>
      <c r="AD20" s="51">
        <v>3819.0</v>
      </c>
      <c r="AE20" s="51">
        <v>15742.0</v>
      </c>
      <c r="AF20" s="51">
        <v>7483.0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</row>
    <row r="21" ht="15.75" customHeight="1">
      <c r="A21" s="49" t="s">
        <v>341</v>
      </c>
      <c r="B21" s="54">
        <v>10.0</v>
      </c>
      <c r="C21" s="51">
        <v>98.0</v>
      </c>
      <c r="D21" s="52">
        <v>44767.0</v>
      </c>
      <c r="E21" s="51">
        <v>23.0</v>
      </c>
      <c r="F21" s="53">
        <v>0.0</v>
      </c>
      <c r="G21" s="53">
        <v>23.0</v>
      </c>
      <c r="H21" s="53">
        <v>23.0</v>
      </c>
      <c r="I21" s="53">
        <v>14366.0</v>
      </c>
      <c r="J21" s="51">
        <v>4087.0</v>
      </c>
      <c r="K21" s="51">
        <v>17131.0</v>
      </c>
      <c r="L21" s="53">
        <v>100.0</v>
      </c>
      <c r="M21" s="51">
        <v>14569.0</v>
      </c>
      <c r="N21" s="51">
        <v>16426.0</v>
      </c>
      <c r="O21" s="51">
        <v>17040.0</v>
      </c>
      <c r="P21" s="51">
        <v>16366.0</v>
      </c>
      <c r="Q21" s="51">
        <v>9701.0</v>
      </c>
      <c r="R21" s="51">
        <v>11681.0</v>
      </c>
      <c r="S21" s="51">
        <v>15414.0</v>
      </c>
      <c r="T21" s="51">
        <v>15787.0</v>
      </c>
      <c r="U21" s="51">
        <v>17131.0</v>
      </c>
      <c r="V21" s="51">
        <v>16601.0</v>
      </c>
      <c r="W21" s="51">
        <v>11243.0</v>
      </c>
      <c r="X21" s="51">
        <v>14402.0</v>
      </c>
      <c r="Y21" s="51">
        <v>13982.0</v>
      </c>
      <c r="Z21" s="51">
        <v>16562.0</v>
      </c>
      <c r="AA21" s="51">
        <v>15537.0</v>
      </c>
      <c r="AB21" s="51">
        <v>15826.0</v>
      </c>
      <c r="AC21" s="51">
        <v>15883.0</v>
      </c>
      <c r="AD21" s="51">
        <v>15787.0</v>
      </c>
      <c r="AE21" s="51">
        <v>16227.0</v>
      </c>
      <c r="AF21" s="51">
        <v>16314.0</v>
      </c>
      <c r="AG21" s="51">
        <v>4087.0</v>
      </c>
      <c r="AH21" s="51">
        <v>16052.0</v>
      </c>
      <c r="AI21" s="51">
        <v>7804.0</v>
      </c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</row>
    <row r="22" ht="15.75" customHeight="1">
      <c r="A22" s="49" t="s">
        <v>341</v>
      </c>
      <c r="B22" s="54">
        <v>8.0</v>
      </c>
      <c r="C22" s="51">
        <v>98.0</v>
      </c>
      <c r="D22" s="52">
        <v>44767.0</v>
      </c>
      <c r="E22" s="51">
        <v>24.0</v>
      </c>
      <c r="F22" s="53">
        <v>0.0</v>
      </c>
      <c r="G22" s="53">
        <v>24.0</v>
      </c>
      <c r="H22" s="53">
        <v>16.0</v>
      </c>
      <c r="I22" s="53">
        <v>14772.0</v>
      </c>
      <c r="J22" s="51">
        <v>8652.0</v>
      </c>
      <c r="K22" s="51">
        <v>16931.0</v>
      </c>
      <c r="L22" s="53">
        <v>100.0</v>
      </c>
      <c r="M22" s="51">
        <v>16756.0</v>
      </c>
      <c r="N22" s="51">
        <v>15246.0</v>
      </c>
      <c r="O22" s="51">
        <v>15826.0</v>
      </c>
      <c r="P22" s="51">
        <v>14065.0</v>
      </c>
      <c r="Q22" s="51">
        <v>12145.0</v>
      </c>
      <c r="R22" s="51">
        <v>13142.0</v>
      </c>
      <c r="S22" s="51">
        <v>12260.0</v>
      </c>
      <c r="T22" s="51">
        <v>16109.0</v>
      </c>
      <c r="U22" s="51">
        <v>16638.0</v>
      </c>
      <c r="V22" s="51">
        <v>16224.0</v>
      </c>
      <c r="W22" s="51">
        <v>12645.0</v>
      </c>
      <c r="X22" s="51">
        <v>15838.0</v>
      </c>
      <c r="Y22" s="51">
        <v>8652.0</v>
      </c>
      <c r="Z22" s="51">
        <v>14324.0</v>
      </c>
      <c r="AA22" s="51">
        <v>16353.0</v>
      </c>
      <c r="AB22" s="51">
        <v>16471.0</v>
      </c>
      <c r="AC22" s="51">
        <v>16689.0</v>
      </c>
      <c r="AD22" s="51">
        <v>16411.0</v>
      </c>
      <c r="AE22" s="51">
        <v>8652.0</v>
      </c>
      <c r="AF22" s="51">
        <v>16550.0</v>
      </c>
      <c r="AG22" s="51">
        <v>16931.0</v>
      </c>
      <c r="AH22" s="51">
        <v>15934.0</v>
      </c>
      <c r="AI22" s="51">
        <v>16858.0</v>
      </c>
      <c r="AJ22" s="51">
        <v>13809.0</v>
      </c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</row>
    <row r="23" ht="15.75" customHeight="1">
      <c r="A23" s="49" t="s">
        <v>341</v>
      </c>
      <c r="B23" s="54">
        <v>7.0</v>
      </c>
      <c r="C23" s="51">
        <v>105.0</v>
      </c>
      <c r="D23" s="52">
        <v>44767.0</v>
      </c>
      <c r="E23" s="51">
        <v>23.0</v>
      </c>
      <c r="F23" s="53">
        <v>0.0</v>
      </c>
      <c r="G23" s="53">
        <v>23.0</v>
      </c>
      <c r="H23" s="53">
        <v>49.0</v>
      </c>
      <c r="I23" s="53">
        <v>11904.0</v>
      </c>
      <c r="J23" s="51">
        <v>1632.0</v>
      </c>
      <c r="K23" s="51">
        <v>16743.0</v>
      </c>
      <c r="L23" s="53">
        <v>100.0</v>
      </c>
      <c r="M23" s="51">
        <v>1767.0</v>
      </c>
      <c r="N23" s="51">
        <v>1632.0</v>
      </c>
      <c r="O23" s="51">
        <v>16019.0</v>
      </c>
      <c r="P23" s="51">
        <v>16659.0</v>
      </c>
      <c r="Q23" s="51">
        <v>16290.0</v>
      </c>
      <c r="R23" s="51">
        <v>16698.0</v>
      </c>
      <c r="S23" s="51">
        <v>16218.0</v>
      </c>
      <c r="T23" s="51">
        <v>16743.0</v>
      </c>
      <c r="U23" s="51">
        <v>6360.0</v>
      </c>
      <c r="V23" s="51">
        <v>15477.0</v>
      </c>
      <c r="W23" s="51">
        <v>4579.0</v>
      </c>
      <c r="X23" s="51">
        <v>14435.0</v>
      </c>
      <c r="Y23" s="51">
        <v>14414.0</v>
      </c>
      <c r="Z23" s="51">
        <v>16647.0</v>
      </c>
      <c r="AA23" s="51">
        <v>4394.0</v>
      </c>
      <c r="AB23" s="51">
        <v>16586.0</v>
      </c>
      <c r="AC23" s="51">
        <v>15979.0</v>
      </c>
      <c r="AD23" s="51">
        <v>7160.0</v>
      </c>
      <c r="AE23" s="51">
        <v>14728.0</v>
      </c>
      <c r="AF23" s="51">
        <v>4768.0</v>
      </c>
      <c r="AG23" s="51">
        <v>16381.0</v>
      </c>
      <c r="AH23" s="51">
        <v>3463.0</v>
      </c>
      <c r="AI23" s="51">
        <v>16393.0</v>
      </c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</row>
    <row r="24" ht="15.75" customHeight="1">
      <c r="A24" s="49" t="s">
        <v>341</v>
      </c>
      <c r="B24" s="54">
        <v>6.0</v>
      </c>
      <c r="C24" s="51">
        <v>105.0</v>
      </c>
      <c r="D24" s="52">
        <v>44767.0</v>
      </c>
      <c r="E24" s="51">
        <v>22.0</v>
      </c>
      <c r="F24" s="53">
        <v>0.0</v>
      </c>
      <c r="G24" s="53">
        <v>22.0</v>
      </c>
      <c r="H24" s="53">
        <v>28.0</v>
      </c>
      <c r="I24" s="53">
        <v>15243.0</v>
      </c>
      <c r="J24" s="51">
        <v>4319.0</v>
      </c>
      <c r="K24" s="51">
        <v>18971.0</v>
      </c>
      <c r="L24" s="53">
        <v>100.0</v>
      </c>
      <c r="M24" s="51">
        <v>17705.0</v>
      </c>
      <c r="N24" s="51">
        <v>17830.0</v>
      </c>
      <c r="O24" s="51">
        <v>18971.0</v>
      </c>
      <c r="P24" s="51">
        <v>4319.0</v>
      </c>
      <c r="Q24" s="51">
        <v>15252.0</v>
      </c>
      <c r="R24" s="51">
        <v>16671.0</v>
      </c>
      <c r="S24" s="51">
        <v>14991.0</v>
      </c>
      <c r="T24" s="51">
        <v>18577.0</v>
      </c>
      <c r="U24" s="51">
        <v>17532.0</v>
      </c>
      <c r="V24" s="51">
        <v>18558.0</v>
      </c>
      <c r="W24" s="51">
        <v>17152.0</v>
      </c>
      <c r="X24" s="51">
        <v>4870.0</v>
      </c>
      <c r="Y24" s="51">
        <v>18601.0</v>
      </c>
      <c r="Z24" s="51">
        <v>9580.0</v>
      </c>
      <c r="AA24" s="51">
        <v>17083.0</v>
      </c>
      <c r="AB24" s="51">
        <v>16980.0</v>
      </c>
      <c r="AC24" s="51">
        <v>15123.0</v>
      </c>
      <c r="AD24" s="51">
        <v>16780.0</v>
      </c>
      <c r="AE24" s="51">
        <v>9043.0</v>
      </c>
      <c r="AF24" s="51">
        <v>17077.0</v>
      </c>
      <c r="AG24" s="51">
        <v>16486.0</v>
      </c>
      <c r="AH24" s="51">
        <v>16166.0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</row>
    <row r="25" ht="15.75" customHeight="1">
      <c r="A25" s="49" t="s">
        <v>341</v>
      </c>
      <c r="B25" s="54">
        <v>3.0</v>
      </c>
      <c r="C25" s="51">
        <v>119.0</v>
      </c>
      <c r="D25" s="52">
        <v>44756.0</v>
      </c>
      <c r="E25" s="51">
        <v>20.0</v>
      </c>
      <c r="F25" s="53">
        <v>0.0</v>
      </c>
      <c r="G25" s="53">
        <v>20.0</v>
      </c>
      <c r="H25" s="53">
        <v>11.0</v>
      </c>
      <c r="I25" s="53">
        <v>15685.0</v>
      </c>
      <c r="J25" s="51">
        <v>8393.0</v>
      </c>
      <c r="K25" s="51">
        <v>17298.0</v>
      </c>
      <c r="L25" s="53">
        <v>100.0</v>
      </c>
      <c r="M25" s="51">
        <v>16544.0</v>
      </c>
      <c r="N25" s="51">
        <v>15811.0</v>
      </c>
      <c r="O25" s="51">
        <v>15339.0</v>
      </c>
      <c r="P25" s="51">
        <v>15312.0</v>
      </c>
      <c r="Q25" s="51">
        <v>16194.0</v>
      </c>
      <c r="R25" s="51">
        <v>16139.0</v>
      </c>
      <c r="S25" s="51">
        <v>16341.0</v>
      </c>
      <c r="T25" s="51">
        <v>15979.0</v>
      </c>
      <c r="U25" s="51">
        <v>15808.0</v>
      </c>
      <c r="V25" s="51">
        <v>16281.0</v>
      </c>
      <c r="W25" s="51">
        <v>16016.0</v>
      </c>
      <c r="X25" s="51">
        <v>15576.0</v>
      </c>
      <c r="Y25" s="51">
        <v>8393.0</v>
      </c>
      <c r="Z25" s="51">
        <v>16722.0</v>
      </c>
      <c r="AA25" s="51">
        <v>17298.0</v>
      </c>
      <c r="AB25" s="51">
        <v>15995.0</v>
      </c>
      <c r="AC25" s="51">
        <v>15796.0</v>
      </c>
      <c r="AD25" s="51">
        <v>16109.0</v>
      </c>
      <c r="AE25" s="51">
        <v>15612.0</v>
      </c>
      <c r="AF25" s="51">
        <v>16426.0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</row>
    <row r="26" ht="15.75" customHeight="1">
      <c r="A26" s="49" t="s">
        <v>341</v>
      </c>
      <c r="B26" s="54">
        <v>1.0</v>
      </c>
      <c r="C26" s="51">
        <v>119.0</v>
      </c>
      <c r="D26" s="52">
        <v>44756.0</v>
      </c>
      <c r="E26" s="51">
        <v>23.0</v>
      </c>
      <c r="F26" s="53">
        <v>0.0</v>
      </c>
      <c r="G26" s="53">
        <v>23.0</v>
      </c>
      <c r="H26" s="53">
        <v>3.0</v>
      </c>
      <c r="I26" s="53">
        <v>16184.0</v>
      </c>
      <c r="J26" s="51">
        <v>15228.0</v>
      </c>
      <c r="K26" s="51">
        <v>17283.0</v>
      </c>
      <c r="L26" s="53">
        <v>100.0</v>
      </c>
      <c r="M26" s="51">
        <v>15453.0</v>
      </c>
      <c r="N26" s="51">
        <v>15228.0</v>
      </c>
      <c r="O26" s="51">
        <v>15393.0</v>
      </c>
      <c r="P26" s="51">
        <v>16384.0</v>
      </c>
      <c r="Q26" s="51">
        <v>17283.0</v>
      </c>
      <c r="R26" s="51">
        <v>16595.0</v>
      </c>
      <c r="S26" s="51">
        <v>16426.0</v>
      </c>
      <c r="T26" s="51">
        <v>16064.0</v>
      </c>
      <c r="U26" s="51">
        <v>16474.0</v>
      </c>
      <c r="V26" s="51">
        <v>15330.0</v>
      </c>
      <c r="W26" s="51">
        <v>15844.0</v>
      </c>
      <c r="X26" s="51">
        <v>16508.0</v>
      </c>
      <c r="Y26" s="51">
        <v>15910.0</v>
      </c>
      <c r="Z26" s="51">
        <v>16420.0</v>
      </c>
      <c r="AA26" s="51">
        <v>16070.0</v>
      </c>
      <c r="AB26" s="51">
        <v>16097.0</v>
      </c>
      <c r="AC26" s="51">
        <v>16810.0</v>
      </c>
      <c r="AD26" s="51">
        <v>15672.0</v>
      </c>
      <c r="AE26" s="51">
        <v>15925.0</v>
      </c>
      <c r="AF26" s="51">
        <v>16296.0</v>
      </c>
      <c r="AG26" s="51">
        <v>17010.0</v>
      </c>
      <c r="AH26" s="51">
        <v>16913.0</v>
      </c>
      <c r="AI26" s="51">
        <v>16130.0</v>
      </c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</row>
    <row r="27" ht="15.75" customHeight="1">
      <c r="A27" s="49" t="s">
        <v>344</v>
      </c>
      <c r="B27" s="54">
        <v>5.0</v>
      </c>
      <c r="C27" s="51">
        <v>210.0</v>
      </c>
      <c r="D27" s="52">
        <v>44729.0</v>
      </c>
      <c r="E27" s="51">
        <v>24.0</v>
      </c>
      <c r="F27" s="53">
        <v>0.0</v>
      </c>
      <c r="G27" s="53">
        <v>24.0</v>
      </c>
      <c r="H27" s="53">
        <v>30.0</v>
      </c>
      <c r="I27" s="53">
        <v>12181.0</v>
      </c>
      <c r="J27" s="51">
        <v>3390.0</v>
      </c>
      <c r="K27" s="51">
        <v>16589.0</v>
      </c>
      <c r="L27" s="53">
        <v>100.0</v>
      </c>
      <c r="M27" s="51">
        <v>16529.0</v>
      </c>
      <c r="N27" s="51">
        <v>12757.0</v>
      </c>
      <c r="O27" s="51">
        <v>11295.0</v>
      </c>
      <c r="P27" s="51">
        <v>7807.0</v>
      </c>
      <c r="Q27" s="51">
        <v>6998.0</v>
      </c>
      <c r="R27" s="51">
        <v>12507.0</v>
      </c>
      <c r="S27" s="51">
        <v>14089.0</v>
      </c>
      <c r="T27" s="51">
        <v>15498.0</v>
      </c>
      <c r="U27" s="51">
        <v>12578.0</v>
      </c>
      <c r="V27" s="51">
        <v>9470.0</v>
      </c>
      <c r="W27" s="51">
        <v>10104.0</v>
      </c>
      <c r="X27" s="51">
        <v>9917.0</v>
      </c>
      <c r="Y27" s="51">
        <v>16589.0</v>
      </c>
      <c r="Z27" s="51">
        <v>16471.0</v>
      </c>
      <c r="AA27" s="51">
        <v>3390.0</v>
      </c>
      <c r="AB27" s="51">
        <v>14767.0</v>
      </c>
      <c r="AC27" s="51">
        <v>15844.0</v>
      </c>
      <c r="AD27" s="51">
        <v>8604.0</v>
      </c>
      <c r="AE27" s="51">
        <v>7351.0</v>
      </c>
      <c r="AF27" s="51">
        <v>9902.0</v>
      </c>
      <c r="AG27" s="51">
        <v>13973.0</v>
      </c>
      <c r="AH27" s="51">
        <v>15820.0</v>
      </c>
      <c r="AI27" s="51">
        <v>14994.0</v>
      </c>
      <c r="AJ27" s="51">
        <v>15099.0</v>
      </c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</row>
    <row r="28" ht="15.75" customHeight="1">
      <c r="A28" s="49" t="s">
        <v>344</v>
      </c>
      <c r="B28" s="54">
        <v>9.0</v>
      </c>
      <c r="C28" s="51">
        <v>210.0</v>
      </c>
      <c r="D28" s="52">
        <v>44765.0</v>
      </c>
      <c r="E28" s="51">
        <v>23.0</v>
      </c>
      <c r="F28" s="53">
        <v>0.0</v>
      </c>
      <c r="G28" s="53">
        <v>23.0</v>
      </c>
      <c r="H28" s="53">
        <v>28.0</v>
      </c>
      <c r="I28" s="53">
        <v>13176.0</v>
      </c>
      <c r="J28" s="51">
        <v>6098.0</v>
      </c>
      <c r="K28" s="51">
        <v>17195.0</v>
      </c>
      <c r="L28" s="53">
        <v>100.0</v>
      </c>
      <c r="M28" s="51">
        <v>16734.0</v>
      </c>
      <c r="N28" s="51">
        <v>12566.0</v>
      </c>
      <c r="O28" s="51">
        <v>16656.0</v>
      </c>
      <c r="P28" s="51">
        <v>9491.0</v>
      </c>
      <c r="Q28" s="51">
        <v>15147.0</v>
      </c>
      <c r="R28" s="51">
        <v>16417.0</v>
      </c>
      <c r="S28" s="51">
        <v>15174.0</v>
      </c>
      <c r="T28" s="51">
        <v>8789.0</v>
      </c>
      <c r="U28" s="51">
        <v>8672.0</v>
      </c>
      <c r="V28" s="51">
        <v>8251.0</v>
      </c>
      <c r="W28" s="51">
        <v>17028.0</v>
      </c>
      <c r="X28" s="51">
        <v>8135.0</v>
      </c>
      <c r="Y28" s="51">
        <v>16710.0</v>
      </c>
      <c r="Z28" s="51">
        <v>16417.0</v>
      </c>
      <c r="AA28" s="51">
        <v>11828.0</v>
      </c>
      <c r="AB28" s="51">
        <v>16121.0</v>
      </c>
      <c r="AC28" s="51">
        <v>7427.0</v>
      </c>
      <c r="AD28" s="51">
        <v>17195.0</v>
      </c>
      <c r="AE28" s="51">
        <v>16538.0</v>
      </c>
      <c r="AF28" s="51">
        <v>13604.0</v>
      </c>
      <c r="AG28" s="51">
        <v>12790.0</v>
      </c>
      <c r="AH28" s="51">
        <v>6098.0</v>
      </c>
      <c r="AI28" s="51">
        <v>15270.0</v>
      </c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</row>
    <row r="29" ht="15.75" customHeight="1">
      <c r="A29" s="49" t="s">
        <v>344</v>
      </c>
      <c r="B29" s="54">
        <v>4.0</v>
      </c>
      <c r="C29" s="51">
        <v>210.0</v>
      </c>
      <c r="D29" s="52">
        <v>44729.0</v>
      </c>
      <c r="E29" s="51">
        <v>24.0</v>
      </c>
      <c r="F29" s="53">
        <v>0.0</v>
      </c>
      <c r="G29" s="53">
        <v>24.0</v>
      </c>
      <c r="H29" s="51">
        <v>27.0</v>
      </c>
      <c r="I29" s="53">
        <v>13301.0</v>
      </c>
      <c r="J29" s="51">
        <v>6100.0</v>
      </c>
      <c r="K29" s="51">
        <v>16925.0</v>
      </c>
      <c r="L29" s="53">
        <v>100.0</v>
      </c>
      <c r="M29" s="51">
        <v>16471.0</v>
      </c>
      <c r="N29" s="51">
        <v>8840.0</v>
      </c>
      <c r="O29" s="51">
        <v>16465.0</v>
      </c>
      <c r="P29" s="51">
        <v>15537.0</v>
      </c>
      <c r="Q29" s="51">
        <v>16925.0</v>
      </c>
      <c r="R29" s="51">
        <v>12280.0</v>
      </c>
      <c r="S29" s="51">
        <v>16695.0</v>
      </c>
      <c r="T29" s="51">
        <v>8698.0</v>
      </c>
      <c r="U29" s="51">
        <v>15925.0</v>
      </c>
      <c r="V29" s="51">
        <v>6100.0</v>
      </c>
      <c r="W29" s="51">
        <v>15627.0</v>
      </c>
      <c r="X29" s="51">
        <v>15847.0</v>
      </c>
      <c r="Y29" s="51">
        <v>15754.0</v>
      </c>
      <c r="Z29" s="51">
        <v>9015.0</v>
      </c>
      <c r="AA29" s="51">
        <v>10136.0</v>
      </c>
      <c r="AB29" s="51">
        <v>11112.0</v>
      </c>
      <c r="AC29" s="51">
        <v>13355.0</v>
      </c>
      <c r="AD29" s="51">
        <v>15204.0</v>
      </c>
      <c r="AE29" s="51">
        <v>16248.0</v>
      </c>
      <c r="AF29" s="51">
        <v>10687.0</v>
      </c>
      <c r="AG29" s="51">
        <v>16867.0</v>
      </c>
      <c r="AH29" s="51">
        <v>16635.0</v>
      </c>
      <c r="AI29" s="51">
        <v>7003.0</v>
      </c>
      <c r="AJ29" s="51">
        <v>11799.0</v>
      </c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</row>
    <row r="30" ht="15.75" customHeight="1">
      <c r="A30" s="49" t="s">
        <v>344</v>
      </c>
      <c r="B30" s="56">
        <v>8.0</v>
      </c>
      <c r="C30" s="57">
        <v>210.0</v>
      </c>
      <c r="D30" s="58">
        <v>44765.0</v>
      </c>
      <c r="E30" s="57">
        <v>23.0</v>
      </c>
      <c r="F30" s="59">
        <v>0.0</v>
      </c>
      <c r="G30" s="59">
        <v>23.0</v>
      </c>
      <c r="H30" s="59">
        <v>26.0</v>
      </c>
      <c r="I30" s="59">
        <v>13979.0</v>
      </c>
      <c r="J30" s="57">
        <v>6109.0</v>
      </c>
      <c r="K30" s="57">
        <v>18482.0</v>
      </c>
      <c r="L30" s="53">
        <v>100.0</v>
      </c>
      <c r="M30" s="57">
        <v>14761.0</v>
      </c>
      <c r="N30" s="57">
        <v>14808.0</v>
      </c>
      <c r="O30" s="57">
        <v>8929.0</v>
      </c>
      <c r="P30" s="57">
        <v>8402.0</v>
      </c>
      <c r="Q30" s="57">
        <v>14647.0</v>
      </c>
      <c r="R30" s="57">
        <v>15351.0</v>
      </c>
      <c r="S30" s="57">
        <v>13225.0</v>
      </c>
      <c r="T30" s="57">
        <v>8558.0</v>
      </c>
      <c r="U30" s="57">
        <v>10553.0</v>
      </c>
      <c r="V30" s="57">
        <v>8666.0</v>
      </c>
      <c r="W30" s="57">
        <v>14716.0</v>
      </c>
      <c r="X30" s="57">
        <v>15919.0</v>
      </c>
      <c r="Y30" s="57">
        <v>13586.0</v>
      </c>
      <c r="Z30" s="57">
        <v>15108.0</v>
      </c>
      <c r="AA30" s="57">
        <v>16728.0</v>
      </c>
      <c r="AB30" s="57">
        <v>16810.0</v>
      </c>
      <c r="AC30" s="57">
        <v>17894.0</v>
      </c>
      <c r="AD30" s="57">
        <v>17425.0</v>
      </c>
      <c r="AE30" s="57">
        <v>18482.0</v>
      </c>
      <c r="AF30" s="57">
        <v>17811.0</v>
      </c>
      <c r="AG30" s="57">
        <v>16901.0</v>
      </c>
      <c r="AH30" s="57">
        <v>16130.0</v>
      </c>
      <c r="AI30" s="57">
        <v>6109.0</v>
      </c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</row>
    <row r="31" ht="15.75" customHeight="1">
      <c r="A31" s="49" t="s">
        <v>344</v>
      </c>
      <c r="B31" s="45">
        <v>10.0</v>
      </c>
      <c r="C31" s="46">
        <v>210.0</v>
      </c>
      <c r="D31" s="47">
        <v>44765.0</v>
      </c>
      <c r="E31" s="46">
        <v>22.0</v>
      </c>
      <c r="F31" s="48">
        <v>0.0</v>
      </c>
      <c r="G31" s="48">
        <v>22.0</v>
      </c>
      <c r="H31" s="48">
        <v>21.0</v>
      </c>
      <c r="I31" s="48">
        <v>14071.0</v>
      </c>
      <c r="J31" s="46">
        <v>8319.0</v>
      </c>
      <c r="K31" s="46">
        <v>17808.0</v>
      </c>
      <c r="L31" s="53">
        <v>100.0</v>
      </c>
      <c r="M31" s="46">
        <v>9957.0</v>
      </c>
      <c r="N31" s="46">
        <v>12719.0</v>
      </c>
      <c r="O31" s="46">
        <v>16474.0</v>
      </c>
      <c r="P31" s="46">
        <v>17647.0</v>
      </c>
      <c r="Q31" s="46">
        <v>15669.0</v>
      </c>
      <c r="R31" s="46">
        <v>16910.0</v>
      </c>
      <c r="S31" s="46">
        <v>16456.0</v>
      </c>
      <c r="T31" s="46">
        <v>17808.0</v>
      </c>
      <c r="U31" s="46">
        <v>15681.0</v>
      </c>
      <c r="V31" s="46">
        <v>16595.0</v>
      </c>
      <c r="W31" s="46">
        <v>15525.0</v>
      </c>
      <c r="X31" s="46">
        <v>13319.0</v>
      </c>
      <c r="Y31" s="46">
        <v>11790.0</v>
      </c>
      <c r="Z31" s="46">
        <v>11728.0</v>
      </c>
      <c r="AA31" s="46">
        <v>13195.0</v>
      </c>
      <c r="AB31" s="46">
        <v>9640.0</v>
      </c>
      <c r="AC31" s="46">
        <v>15669.0</v>
      </c>
      <c r="AD31" s="46">
        <v>8319.0</v>
      </c>
      <c r="AE31" s="46">
        <v>14017.0</v>
      </c>
      <c r="AF31" s="46">
        <v>13231.0</v>
      </c>
      <c r="AG31" s="46">
        <v>9445.0</v>
      </c>
      <c r="AH31" s="46">
        <v>17775.0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</row>
    <row r="32" ht="15.75" customHeight="1">
      <c r="A32" s="49" t="s">
        <v>344</v>
      </c>
      <c r="B32" s="54">
        <v>7.0</v>
      </c>
      <c r="C32" s="51">
        <v>217.0</v>
      </c>
      <c r="D32" s="52">
        <v>44765.0</v>
      </c>
      <c r="E32" s="51">
        <v>22.0</v>
      </c>
      <c r="F32" s="53">
        <v>0.0</v>
      </c>
      <c r="G32" s="53">
        <v>22.0</v>
      </c>
      <c r="H32" s="53">
        <v>31.0</v>
      </c>
      <c r="I32" s="53">
        <v>11870.0</v>
      </c>
      <c r="J32" s="51">
        <v>4628.0</v>
      </c>
      <c r="K32" s="51">
        <v>17083.0</v>
      </c>
      <c r="L32" s="53">
        <v>100.0</v>
      </c>
      <c r="M32" s="51">
        <v>11222.0</v>
      </c>
      <c r="N32" s="51">
        <v>10385.0</v>
      </c>
      <c r="O32" s="51">
        <v>17083.0</v>
      </c>
      <c r="P32" s="51">
        <v>4628.0</v>
      </c>
      <c r="Q32" s="51">
        <v>14480.0</v>
      </c>
      <c r="R32" s="51">
        <v>9324.0</v>
      </c>
      <c r="S32" s="51">
        <v>16441.0</v>
      </c>
      <c r="T32" s="51">
        <v>7460.0</v>
      </c>
      <c r="U32" s="51">
        <v>13539.0</v>
      </c>
      <c r="V32" s="51">
        <v>16266.0</v>
      </c>
      <c r="W32" s="51">
        <v>9396.0</v>
      </c>
      <c r="X32" s="51">
        <v>10757.0</v>
      </c>
      <c r="Y32" s="51">
        <v>16450.0</v>
      </c>
      <c r="Z32" s="51">
        <v>9608.0</v>
      </c>
      <c r="AA32" s="51">
        <v>8314.0</v>
      </c>
      <c r="AB32" s="51">
        <v>11690.0</v>
      </c>
      <c r="AC32" s="51">
        <v>14722.0</v>
      </c>
      <c r="AD32" s="51">
        <v>16335.0</v>
      </c>
      <c r="AE32" s="51">
        <v>15877.0</v>
      </c>
      <c r="AF32" s="51">
        <v>8217.0</v>
      </c>
      <c r="AG32" s="51">
        <v>11632.0</v>
      </c>
      <c r="AH32" s="51">
        <v>7309.0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</row>
    <row r="33" ht="15.75" customHeight="1">
      <c r="A33" s="49" t="s">
        <v>344</v>
      </c>
      <c r="B33" s="54">
        <v>6.0</v>
      </c>
      <c r="C33" s="51">
        <v>217.0</v>
      </c>
      <c r="D33" s="52">
        <v>44765.0</v>
      </c>
      <c r="E33" s="51">
        <v>22.0</v>
      </c>
      <c r="F33" s="53">
        <v>0.0</v>
      </c>
      <c r="G33" s="53">
        <v>22.0</v>
      </c>
      <c r="H33" s="53">
        <v>31.0</v>
      </c>
      <c r="I33" s="53">
        <v>12444.0</v>
      </c>
      <c r="J33" s="51">
        <v>5458.0</v>
      </c>
      <c r="K33" s="51">
        <v>18003.0</v>
      </c>
      <c r="L33" s="53">
        <v>100.0</v>
      </c>
      <c r="M33" s="51">
        <v>16245.0</v>
      </c>
      <c r="N33" s="51">
        <v>10385.0</v>
      </c>
      <c r="O33" s="51">
        <v>16163.0</v>
      </c>
      <c r="P33" s="51">
        <v>12926.0</v>
      </c>
      <c r="Q33" s="51">
        <v>17583.0</v>
      </c>
      <c r="R33" s="51">
        <v>14707.0</v>
      </c>
      <c r="S33" s="51">
        <v>12192.0</v>
      </c>
      <c r="T33" s="51">
        <v>5941.0</v>
      </c>
      <c r="U33" s="51">
        <v>13580.0</v>
      </c>
      <c r="V33" s="51">
        <v>10128.0</v>
      </c>
      <c r="W33" s="51">
        <v>14023.0</v>
      </c>
      <c r="X33" s="51">
        <v>13560.0</v>
      </c>
      <c r="Y33" s="51">
        <v>11441.0</v>
      </c>
      <c r="Z33" s="51">
        <v>17337.0</v>
      </c>
      <c r="AA33" s="51">
        <v>13854.0</v>
      </c>
      <c r="AB33" s="51">
        <v>10690.0</v>
      </c>
      <c r="AC33" s="51">
        <v>6239.0</v>
      </c>
      <c r="AD33" s="51">
        <v>5458.0</v>
      </c>
      <c r="AE33" s="51">
        <v>6998.0</v>
      </c>
      <c r="AF33" s="51">
        <v>18003.0</v>
      </c>
      <c r="AG33" s="51">
        <v>16683.0</v>
      </c>
      <c r="AH33" s="51">
        <v>9634.0</v>
      </c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</row>
    <row r="34" ht="15.75" customHeight="1">
      <c r="A34" s="49" t="s">
        <v>344</v>
      </c>
      <c r="B34" s="54">
        <v>15.0</v>
      </c>
      <c r="C34" s="51">
        <v>406.0</v>
      </c>
      <c r="D34" s="52">
        <v>44740.0</v>
      </c>
      <c r="E34" s="51">
        <v>18.0</v>
      </c>
      <c r="F34" s="53">
        <v>0.0</v>
      </c>
      <c r="G34" s="53">
        <v>18.0</v>
      </c>
      <c r="H34" s="53">
        <v>34.0</v>
      </c>
      <c r="I34" s="53">
        <v>5844.0</v>
      </c>
      <c r="J34" s="51">
        <v>3173.0</v>
      </c>
      <c r="K34" s="51">
        <v>10394.0</v>
      </c>
      <c r="L34" s="53">
        <v>100.0</v>
      </c>
      <c r="M34" s="51">
        <v>7404.0</v>
      </c>
      <c r="N34" s="51">
        <v>6638.0</v>
      </c>
      <c r="O34" s="51">
        <v>5581.0</v>
      </c>
      <c r="P34" s="51">
        <v>10208.0</v>
      </c>
      <c r="Q34" s="51">
        <v>5655.0</v>
      </c>
      <c r="R34" s="51">
        <v>3173.0</v>
      </c>
      <c r="S34" s="51">
        <v>3626.0</v>
      </c>
      <c r="T34" s="51">
        <v>7096.0</v>
      </c>
      <c r="U34" s="51">
        <v>5836.0</v>
      </c>
      <c r="V34" s="51">
        <v>5616.0</v>
      </c>
      <c r="W34" s="51">
        <v>4733.0</v>
      </c>
      <c r="X34" s="51">
        <v>10394.0</v>
      </c>
      <c r="Y34" s="51">
        <v>5671.0</v>
      </c>
      <c r="Z34" s="51">
        <v>5685.0</v>
      </c>
      <c r="AA34" s="51">
        <v>4127.0</v>
      </c>
      <c r="AB34" s="51">
        <v>5586.0</v>
      </c>
      <c r="AC34" s="51">
        <v>4509.0</v>
      </c>
      <c r="AD34" s="51">
        <v>3645.0</v>
      </c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</row>
    <row r="35" ht="15.75" customHeight="1">
      <c r="A35" s="49" t="s">
        <v>344</v>
      </c>
      <c r="B35" s="54">
        <v>15.0</v>
      </c>
      <c r="C35" s="51">
        <v>406.0</v>
      </c>
      <c r="D35" s="52">
        <v>44740.0</v>
      </c>
      <c r="E35" s="51">
        <v>12.0</v>
      </c>
      <c r="F35" s="53">
        <v>0.0</v>
      </c>
      <c r="G35" s="53">
        <v>12.0</v>
      </c>
      <c r="H35" s="53">
        <v>8.0</v>
      </c>
      <c r="I35" s="53">
        <v>8689.0</v>
      </c>
      <c r="J35" s="51">
        <v>7362.0</v>
      </c>
      <c r="K35" s="51">
        <v>9784.0</v>
      </c>
      <c r="L35" s="53">
        <v>100.0</v>
      </c>
      <c r="M35" s="51">
        <v>8880.0</v>
      </c>
      <c r="N35" s="51">
        <v>9373.0</v>
      </c>
      <c r="O35" s="51">
        <v>7711.0</v>
      </c>
      <c r="P35" s="51">
        <v>9224.0</v>
      </c>
      <c r="Q35" s="51">
        <v>8880.0</v>
      </c>
      <c r="R35" s="51">
        <v>8615.0</v>
      </c>
      <c r="S35" s="51">
        <v>8087.0</v>
      </c>
      <c r="T35" s="51">
        <v>9166.0</v>
      </c>
      <c r="U35" s="51">
        <v>8815.0</v>
      </c>
      <c r="V35" s="51">
        <v>9784.0</v>
      </c>
      <c r="W35" s="51">
        <v>8368.0</v>
      </c>
      <c r="X35" s="51">
        <v>7362.0</v>
      </c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BJ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  <col customWidth="1" min="12" max="12" width="12.0"/>
    <col customWidth="1" min="13" max="37" width="10.71"/>
  </cols>
  <sheetData>
    <row r="1">
      <c r="A1" s="60" t="s">
        <v>330</v>
      </c>
      <c r="B1" s="61" t="s">
        <v>331</v>
      </c>
      <c r="C1" s="61" t="s">
        <v>332</v>
      </c>
      <c r="D1" s="60" t="s">
        <v>333</v>
      </c>
      <c r="E1" s="62" t="s">
        <v>334</v>
      </c>
      <c r="F1" s="61" t="s">
        <v>335</v>
      </c>
      <c r="G1" s="61" t="s">
        <v>336</v>
      </c>
      <c r="H1" s="61" t="s">
        <v>322</v>
      </c>
      <c r="I1" s="63" t="s">
        <v>337</v>
      </c>
      <c r="J1" s="61" t="s">
        <v>338</v>
      </c>
      <c r="K1" s="61" t="s">
        <v>339</v>
      </c>
      <c r="L1" s="61" t="s">
        <v>340</v>
      </c>
      <c r="M1" s="40">
        <v>1.0</v>
      </c>
      <c r="N1" s="40">
        <v>2.0</v>
      </c>
      <c r="O1" s="40">
        <v>3.0</v>
      </c>
      <c r="P1" s="40">
        <v>4.0</v>
      </c>
      <c r="Q1" s="40">
        <v>5.0</v>
      </c>
      <c r="R1" s="40">
        <v>6.0</v>
      </c>
      <c r="S1" s="40">
        <v>7.0</v>
      </c>
      <c r="T1" s="40">
        <v>8.0</v>
      </c>
      <c r="U1" s="40">
        <v>9.0</v>
      </c>
      <c r="V1" s="40">
        <v>10.0</v>
      </c>
      <c r="W1" s="40">
        <v>11.0</v>
      </c>
      <c r="X1" s="40">
        <v>12.0</v>
      </c>
      <c r="Y1" s="40">
        <v>13.0</v>
      </c>
      <c r="Z1" s="40">
        <v>14.0</v>
      </c>
      <c r="AA1" s="40">
        <v>15.0</v>
      </c>
      <c r="AB1" s="40">
        <v>16.0</v>
      </c>
      <c r="AC1" s="40">
        <v>17.0</v>
      </c>
      <c r="AD1" s="40">
        <v>18.0</v>
      </c>
      <c r="AE1" s="40">
        <v>19.0</v>
      </c>
      <c r="AF1" s="40">
        <v>20.0</v>
      </c>
      <c r="AG1" s="40">
        <v>21.0</v>
      </c>
      <c r="AH1" s="40">
        <v>22.0</v>
      </c>
      <c r="AI1" s="40">
        <v>23.0</v>
      </c>
      <c r="AJ1" s="40">
        <v>24.0</v>
      </c>
      <c r="AK1" s="40">
        <v>25.0</v>
      </c>
    </row>
    <row r="2">
      <c r="A2" s="49" t="s">
        <v>341</v>
      </c>
      <c r="B2" s="64">
        <v>7.0</v>
      </c>
      <c r="C2" s="65">
        <v>40.0</v>
      </c>
      <c r="D2" s="66">
        <v>44766.0</v>
      </c>
      <c r="E2" s="67">
        <v>23.0</v>
      </c>
      <c r="F2" s="65">
        <v>9.0</v>
      </c>
      <c r="G2" s="65">
        <v>14.0</v>
      </c>
      <c r="H2" s="67">
        <v>97.0</v>
      </c>
      <c r="I2" s="67">
        <f t="shared" ref="I2:I27" si="1">AVERAGE(M2:AK2)</f>
        <v>4830.782609</v>
      </c>
      <c r="J2" s="65">
        <f t="shared" ref="J2:J27" si="2">MIN(M2:AK2)</f>
        <v>276</v>
      </c>
      <c r="K2" s="65">
        <f t="shared" ref="K2:K27" si="3">MAX(M2:AK2)</f>
        <v>12388</v>
      </c>
      <c r="L2" s="67">
        <f t="shared" ref="L2:L27" si="4">G2/E2*100</f>
        <v>60.86956522</v>
      </c>
      <c r="M2" s="68">
        <v>2878.0</v>
      </c>
      <c r="N2" s="68">
        <v>5207.0</v>
      </c>
      <c r="O2" s="68">
        <v>511.0</v>
      </c>
      <c r="P2" s="68">
        <v>365.0</v>
      </c>
      <c r="Q2" s="68">
        <v>1152.0</v>
      </c>
      <c r="R2" s="68">
        <v>6876.0</v>
      </c>
      <c r="S2" s="68">
        <v>11930.0</v>
      </c>
      <c r="T2" s="68">
        <v>1245.0</v>
      </c>
      <c r="U2" s="68">
        <v>2711.0</v>
      </c>
      <c r="V2" s="68">
        <v>12211.0</v>
      </c>
      <c r="W2" s="68">
        <v>12306.0</v>
      </c>
      <c r="X2" s="68">
        <v>536.0</v>
      </c>
      <c r="Y2" s="68">
        <v>286.0</v>
      </c>
      <c r="Z2" s="68">
        <v>11961.0</v>
      </c>
      <c r="AA2" s="68">
        <v>276.0</v>
      </c>
      <c r="AB2" s="68">
        <v>339.0</v>
      </c>
      <c r="AC2" s="68">
        <v>4642.0</v>
      </c>
      <c r="AD2" s="68">
        <v>12388.0</v>
      </c>
      <c r="AE2" s="68">
        <v>995.0</v>
      </c>
      <c r="AF2" s="68">
        <v>10555.0</v>
      </c>
      <c r="AG2" s="68">
        <v>2984.0</v>
      </c>
      <c r="AH2" s="68">
        <v>5498.0</v>
      </c>
      <c r="AI2" s="68">
        <v>3256.0</v>
      </c>
      <c r="AJ2" s="68"/>
      <c r="AK2" s="68"/>
    </row>
    <row r="3">
      <c r="A3" s="49" t="s">
        <v>341</v>
      </c>
      <c r="B3" s="64">
        <v>6.0</v>
      </c>
      <c r="C3" s="65">
        <v>40.0</v>
      </c>
      <c r="D3" s="66">
        <v>44766.0</v>
      </c>
      <c r="E3" s="67">
        <v>23.0</v>
      </c>
      <c r="F3" s="65">
        <v>10.0</v>
      </c>
      <c r="G3" s="65">
        <v>13.0</v>
      </c>
      <c r="H3" s="67">
        <v>100.0</v>
      </c>
      <c r="I3" s="67">
        <f t="shared" si="1"/>
        <v>4429.391304</v>
      </c>
      <c r="J3" s="65">
        <f t="shared" si="2"/>
        <v>119</v>
      </c>
      <c r="K3" s="65">
        <f t="shared" si="3"/>
        <v>12540</v>
      </c>
      <c r="L3" s="67">
        <f t="shared" si="4"/>
        <v>56.52173913</v>
      </c>
      <c r="M3" s="68">
        <v>733.0</v>
      </c>
      <c r="N3" s="68">
        <v>11200.0</v>
      </c>
      <c r="O3" s="68">
        <v>826.0</v>
      </c>
      <c r="P3" s="68">
        <v>5865.0</v>
      </c>
      <c r="Q3" s="68">
        <v>11140.0</v>
      </c>
      <c r="R3" s="68">
        <v>2096.0</v>
      </c>
      <c r="S3" s="68">
        <v>542.0</v>
      </c>
      <c r="T3" s="68">
        <v>150.0</v>
      </c>
      <c r="U3" s="68">
        <v>1832.0</v>
      </c>
      <c r="V3" s="68">
        <v>11279.0</v>
      </c>
      <c r="W3" s="68">
        <v>12540.0</v>
      </c>
      <c r="X3" s="68">
        <v>7676.0</v>
      </c>
      <c r="Y3" s="68">
        <v>5985.0</v>
      </c>
      <c r="Z3" s="68">
        <v>2140.0</v>
      </c>
      <c r="AA3" s="68">
        <v>1177.0</v>
      </c>
      <c r="AB3" s="68">
        <v>1207.0</v>
      </c>
      <c r="AC3" s="68">
        <v>1159.0</v>
      </c>
      <c r="AD3" s="68">
        <v>1375.0</v>
      </c>
      <c r="AE3" s="68">
        <v>5669.0</v>
      </c>
      <c r="AF3" s="68">
        <v>687.0</v>
      </c>
      <c r="AG3" s="68">
        <v>119.0</v>
      </c>
      <c r="AH3" s="68">
        <v>12268.0</v>
      </c>
      <c r="AI3" s="68">
        <v>4211.0</v>
      </c>
      <c r="AJ3" s="68"/>
      <c r="AK3" s="68"/>
    </row>
    <row r="4">
      <c r="A4" s="49" t="s">
        <v>341</v>
      </c>
      <c r="B4" s="64">
        <v>4.0</v>
      </c>
      <c r="C4" s="65">
        <v>63.0</v>
      </c>
      <c r="D4" s="66">
        <v>44707.0</v>
      </c>
      <c r="E4" s="67">
        <v>23.0</v>
      </c>
      <c r="F4" s="65">
        <v>0.0</v>
      </c>
      <c r="G4" s="65">
        <v>23.0</v>
      </c>
      <c r="H4" s="67">
        <v>29.0</v>
      </c>
      <c r="I4" s="67">
        <f t="shared" si="1"/>
        <v>15950.56522</v>
      </c>
      <c r="J4" s="65">
        <f t="shared" si="2"/>
        <v>4092</v>
      </c>
      <c r="K4" s="65">
        <f t="shared" si="3"/>
        <v>21591</v>
      </c>
      <c r="L4" s="67">
        <f t="shared" si="4"/>
        <v>100</v>
      </c>
      <c r="M4" s="68">
        <v>19735.0</v>
      </c>
      <c r="N4" s="68">
        <v>19789.0</v>
      </c>
      <c r="O4" s="68">
        <v>18262.0</v>
      </c>
      <c r="P4" s="68">
        <v>12737.0</v>
      </c>
      <c r="Q4" s="68">
        <v>14554.0</v>
      </c>
      <c r="R4" s="68">
        <v>16069.0</v>
      </c>
      <c r="S4" s="68">
        <v>18255.0</v>
      </c>
      <c r="T4" s="68">
        <v>10804.0</v>
      </c>
      <c r="U4" s="68">
        <v>15620.0</v>
      </c>
      <c r="V4" s="68">
        <v>6161.0</v>
      </c>
      <c r="W4" s="68">
        <v>19611.0</v>
      </c>
      <c r="X4" s="68">
        <v>20434.0</v>
      </c>
      <c r="Y4" s="68">
        <v>20348.0</v>
      </c>
      <c r="Z4" s="68">
        <v>21591.0</v>
      </c>
      <c r="AA4" s="68">
        <v>19581.0</v>
      </c>
      <c r="AB4" s="68">
        <v>10308.0</v>
      </c>
      <c r="AC4" s="68">
        <v>15599.0</v>
      </c>
      <c r="AD4" s="68">
        <v>14792.0</v>
      </c>
      <c r="AE4" s="68">
        <v>15879.0</v>
      </c>
      <c r="AF4" s="68">
        <v>18954.0</v>
      </c>
      <c r="AG4" s="68">
        <v>19114.0</v>
      </c>
      <c r="AH4" s="68">
        <v>4092.0</v>
      </c>
      <c r="AI4" s="68">
        <v>14574.0</v>
      </c>
      <c r="AJ4" s="68"/>
      <c r="AK4" s="68"/>
    </row>
    <row r="5">
      <c r="A5" s="49" t="s">
        <v>341</v>
      </c>
      <c r="B5" s="64">
        <v>5.0</v>
      </c>
      <c r="C5" s="65">
        <v>63.0</v>
      </c>
      <c r="D5" s="66">
        <v>44707.0</v>
      </c>
      <c r="E5" s="67">
        <v>22.0</v>
      </c>
      <c r="F5" s="65">
        <v>0.0</v>
      </c>
      <c r="G5" s="65">
        <v>22.0</v>
      </c>
      <c r="H5" s="67">
        <v>68.0</v>
      </c>
      <c r="I5" s="67">
        <f t="shared" si="1"/>
        <v>14528.90909</v>
      </c>
      <c r="J5" s="65">
        <f t="shared" si="2"/>
        <v>2532</v>
      </c>
      <c r="K5" s="65">
        <f t="shared" si="3"/>
        <v>32943</v>
      </c>
      <c r="L5" s="67">
        <f t="shared" si="4"/>
        <v>100</v>
      </c>
      <c r="M5" s="68">
        <v>9709.0</v>
      </c>
      <c r="N5" s="68">
        <v>15661.0</v>
      </c>
      <c r="O5" s="68">
        <v>6642.0</v>
      </c>
      <c r="P5" s="68">
        <v>26725.0</v>
      </c>
      <c r="Q5" s="68">
        <v>31318.0</v>
      </c>
      <c r="R5" s="68">
        <v>19091.0</v>
      </c>
      <c r="S5" s="68">
        <v>27263.0</v>
      </c>
      <c r="T5" s="68">
        <v>3253.0</v>
      </c>
      <c r="U5" s="68">
        <v>19557.0</v>
      </c>
      <c r="V5" s="68">
        <v>4754.0</v>
      </c>
      <c r="W5" s="68">
        <v>32943.0</v>
      </c>
      <c r="X5" s="68">
        <v>3565.0</v>
      </c>
      <c r="Y5" s="68">
        <v>10816.0</v>
      </c>
      <c r="Z5" s="68">
        <v>21519.0</v>
      </c>
      <c r="AA5" s="68">
        <v>8352.0</v>
      </c>
      <c r="AB5" s="68">
        <v>18158.0</v>
      </c>
      <c r="AC5" s="68">
        <v>3492.0</v>
      </c>
      <c r="AD5" s="68">
        <v>2532.0</v>
      </c>
      <c r="AE5" s="68">
        <v>3595.0</v>
      </c>
      <c r="AF5" s="68">
        <v>10726.0</v>
      </c>
      <c r="AG5" s="68">
        <v>14595.0</v>
      </c>
      <c r="AH5" s="68">
        <v>25370.0</v>
      </c>
      <c r="AI5" s="68"/>
      <c r="AJ5" s="68"/>
      <c r="AK5" s="68"/>
    </row>
    <row r="6">
      <c r="A6" s="49" t="s">
        <v>341</v>
      </c>
      <c r="B6" s="64">
        <v>1.0</v>
      </c>
      <c r="C6" s="65">
        <v>70.0</v>
      </c>
      <c r="D6" s="66">
        <v>44711.0</v>
      </c>
      <c r="E6" s="67">
        <v>22.0</v>
      </c>
      <c r="F6" s="65">
        <v>0.0</v>
      </c>
      <c r="G6" s="65">
        <v>22.0</v>
      </c>
      <c r="H6" s="67">
        <v>53.0</v>
      </c>
      <c r="I6" s="67">
        <f t="shared" si="1"/>
        <v>10538.81818</v>
      </c>
      <c r="J6" s="65">
        <f t="shared" si="2"/>
        <v>2751</v>
      </c>
      <c r="K6" s="65">
        <f t="shared" si="3"/>
        <v>21383</v>
      </c>
      <c r="L6" s="67">
        <f t="shared" si="4"/>
        <v>100</v>
      </c>
      <c r="M6" s="68">
        <v>13390.0</v>
      </c>
      <c r="N6" s="68">
        <v>5220.0</v>
      </c>
      <c r="O6" s="68">
        <v>12375.0</v>
      </c>
      <c r="P6" s="68">
        <v>9828.0</v>
      </c>
      <c r="Q6" s="68">
        <v>5883.0</v>
      </c>
      <c r="R6" s="68">
        <v>18255.0</v>
      </c>
      <c r="S6" s="68">
        <v>8669.0</v>
      </c>
      <c r="T6" s="68">
        <v>2751.0</v>
      </c>
      <c r="U6" s="68">
        <v>13247.0</v>
      </c>
      <c r="V6" s="68">
        <v>16345.0</v>
      </c>
      <c r="W6" s="68">
        <v>15425.0</v>
      </c>
      <c r="X6" s="68">
        <v>21383.0</v>
      </c>
      <c r="Y6" s="68">
        <v>18128.0</v>
      </c>
      <c r="Z6" s="68">
        <v>4420.0</v>
      </c>
      <c r="AA6" s="68">
        <v>12578.0</v>
      </c>
      <c r="AB6" s="68">
        <v>2771.0</v>
      </c>
      <c r="AC6" s="68">
        <v>5000.0</v>
      </c>
      <c r="AD6" s="68">
        <v>4100.0</v>
      </c>
      <c r="AE6" s="68">
        <v>7034.0</v>
      </c>
      <c r="AF6" s="68">
        <v>8087.0</v>
      </c>
      <c r="AG6" s="68">
        <v>11206.0</v>
      </c>
      <c r="AH6" s="68">
        <v>15759.0</v>
      </c>
      <c r="AI6" s="68"/>
      <c r="AJ6" s="68"/>
      <c r="AK6" s="68"/>
    </row>
    <row r="7">
      <c r="A7" s="49" t="s">
        <v>341</v>
      </c>
      <c r="B7" s="64">
        <v>2.0</v>
      </c>
      <c r="C7" s="65">
        <v>70.0</v>
      </c>
      <c r="D7" s="66">
        <v>44711.0</v>
      </c>
      <c r="E7" s="67">
        <v>21.0</v>
      </c>
      <c r="F7" s="65">
        <v>0.0</v>
      </c>
      <c r="G7" s="65">
        <v>21.0</v>
      </c>
      <c r="H7" s="67">
        <v>64.0</v>
      </c>
      <c r="I7" s="67">
        <f t="shared" si="1"/>
        <v>9177.095238</v>
      </c>
      <c r="J7" s="65">
        <f t="shared" si="2"/>
        <v>2267</v>
      </c>
      <c r="K7" s="65">
        <f t="shared" si="3"/>
        <v>21447</v>
      </c>
      <c r="L7" s="67">
        <f t="shared" si="4"/>
        <v>100</v>
      </c>
      <c r="M7" s="68">
        <v>7836.0</v>
      </c>
      <c r="N7" s="68">
        <v>10691.0</v>
      </c>
      <c r="O7" s="68">
        <v>21447.0</v>
      </c>
      <c r="P7" s="68">
        <v>12375.0</v>
      </c>
      <c r="Q7" s="68">
        <v>5842.0</v>
      </c>
      <c r="R7" s="68">
        <v>7914.0</v>
      </c>
      <c r="S7" s="68">
        <v>3115.0</v>
      </c>
      <c r="T7" s="68">
        <v>12230.0</v>
      </c>
      <c r="U7" s="68">
        <v>2267.0</v>
      </c>
      <c r="V7" s="68">
        <v>4658.0</v>
      </c>
      <c r="W7" s="68">
        <v>14976.0</v>
      </c>
      <c r="X7" s="68">
        <v>6171.0</v>
      </c>
      <c r="Y7" s="68">
        <v>20411.0</v>
      </c>
      <c r="Z7" s="68">
        <v>5387.0</v>
      </c>
      <c r="AA7" s="68">
        <v>16317.0</v>
      </c>
      <c r="AB7" s="68">
        <v>3673.0</v>
      </c>
      <c r="AC7" s="68">
        <v>3404.0</v>
      </c>
      <c r="AD7" s="68">
        <v>14901.0</v>
      </c>
      <c r="AE7" s="68">
        <v>2864.0</v>
      </c>
      <c r="AF7" s="68">
        <v>4010.0</v>
      </c>
      <c r="AG7" s="68">
        <v>12230.0</v>
      </c>
      <c r="AH7" s="68"/>
      <c r="AI7" s="68"/>
      <c r="AJ7" s="68"/>
      <c r="AK7" s="68"/>
    </row>
    <row r="8">
      <c r="A8" s="49" t="s">
        <v>341</v>
      </c>
      <c r="B8" s="64">
        <v>3.0</v>
      </c>
      <c r="C8" s="65">
        <v>70.0</v>
      </c>
      <c r="D8" s="66">
        <v>44711.0</v>
      </c>
      <c r="E8" s="67">
        <v>24.0</v>
      </c>
      <c r="F8" s="65">
        <v>0.0</v>
      </c>
      <c r="G8" s="65">
        <v>24.0</v>
      </c>
      <c r="H8" s="67">
        <v>54.0</v>
      </c>
      <c r="I8" s="67">
        <f t="shared" si="1"/>
        <v>8311.083333</v>
      </c>
      <c r="J8" s="65">
        <f t="shared" si="2"/>
        <v>1671</v>
      </c>
      <c r="K8" s="65">
        <f t="shared" si="3"/>
        <v>20200</v>
      </c>
      <c r="L8" s="67">
        <f t="shared" si="4"/>
        <v>100</v>
      </c>
      <c r="M8" s="68">
        <v>6204.0</v>
      </c>
      <c r="N8" s="68">
        <v>6935.0</v>
      </c>
      <c r="O8" s="68">
        <v>17721.0</v>
      </c>
      <c r="P8" s="68">
        <v>10596.0</v>
      </c>
      <c r="Q8" s="68">
        <v>8008.0</v>
      </c>
      <c r="R8" s="68">
        <v>10875.0</v>
      </c>
      <c r="S8" s="68">
        <v>6073.0</v>
      </c>
      <c r="T8" s="68">
        <v>5374.0</v>
      </c>
      <c r="U8" s="68">
        <v>1671.0</v>
      </c>
      <c r="V8" s="68">
        <v>7456.0</v>
      </c>
      <c r="W8" s="68">
        <v>5151.0</v>
      </c>
      <c r="X8" s="68">
        <v>12533.0</v>
      </c>
      <c r="Y8" s="68">
        <v>3161.0</v>
      </c>
      <c r="Z8" s="68">
        <v>4092.0</v>
      </c>
      <c r="AA8" s="68">
        <v>11553.0</v>
      </c>
      <c r="AB8" s="68">
        <v>4658.0</v>
      </c>
      <c r="AC8" s="68">
        <v>7717.0</v>
      </c>
      <c r="AD8" s="68">
        <v>4671.0</v>
      </c>
      <c r="AE8" s="68">
        <v>6077.0</v>
      </c>
      <c r="AF8" s="68">
        <v>11025.0</v>
      </c>
      <c r="AG8" s="68">
        <v>13240.0</v>
      </c>
      <c r="AH8" s="68">
        <v>7441.0</v>
      </c>
      <c r="AI8" s="68">
        <v>7034.0</v>
      </c>
      <c r="AJ8" s="68">
        <v>20200.0</v>
      </c>
      <c r="AK8" s="68"/>
    </row>
    <row r="9">
      <c r="A9" s="49" t="s">
        <v>341</v>
      </c>
      <c r="B9" s="64">
        <v>9.0</v>
      </c>
      <c r="C9" s="65">
        <f>14*7</f>
        <v>98</v>
      </c>
      <c r="D9" s="66">
        <v>44767.0</v>
      </c>
      <c r="E9" s="67">
        <v>20.0</v>
      </c>
      <c r="F9" s="65">
        <v>6.0</v>
      </c>
      <c r="G9" s="65">
        <v>14.0</v>
      </c>
      <c r="H9" s="67">
        <v>76.0</v>
      </c>
      <c r="I9" s="67">
        <f t="shared" si="1"/>
        <v>2445.5</v>
      </c>
      <c r="J9" s="65">
        <f t="shared" si="2"/>
        <v>84</v>
      </c>
      <c r="K9" s="65">
        <f t="shared" si="3"/>
        <v>8103</v>
      </c>
      <c r="L9" s="67">
        <f t="shared" si="4"/>
        <v>70</v>
      </c>
      <c r="M9" s="68">
        <v>1706.0</v>
      </c>
      <c r="N9" s="68">
        <v>1312.0</v>
      </c>
      <c r="O9" s="68">
        <v>4979.0</v>
      </c>
      <c r="P9" s="68">
        <v>3963.0</v>
      </c>
      <c r="Q9" s="68">
        <v>2008.0</v>
      </c>
      <c r="R9" s="68">
        <v>1655.0</v>
      </c>
      <c r="S9" s="68">
        <v>3042.0</v>
      </c>
      <c r="T9" s="68">
        <v>2529.0</v>
      </c>
      <c r="U9" s="68">
        <v>8103.0</v>
      </c>
      <c r="V9" s="68">
        <v>5299.0</v>
      </c>
      <c r="W9" s="68">
        <v>2239.0</v>
      </c>
      <c r="X9" s="68">
        <v>1594.0</v>
      </c>
      <c r="Y9" s="68">
        <v>1254.0</v>
      </c>
      <c r="Z9" s="68">
        <v>1573.0</v>
      </c>
      <c r="AA9" s="68">
        <v>834.0</v>
      </c>
      <c r="AB9" s="68">
        <v>2230.0</v>
      </c>
      <c r="AC9" s="68">
        <v>1125.0</v>
      </c>
      <c r="AD9" s="68">
        <v>1226.0</v>
      </c>
      <c r="AE9" s="68">
        <v>84.0</v>
      </c>
      <c r="AF9" s="68">
        <v>2155.0</v>
      </c>
      <c r="AG9" s="68"/>
      <c r="AH9" s="68"/>
      <c r="AI9" s="68"/>
      <c r="AJ9" s="68"/>
      <c r="AK9" s="68"/>
    </row>
    <row r="10">
      <c r="A10" s="49" t="s">
        <v>341</v>
      </c>
      <c r="B10" s="64">
        <v>10.0</v>
      </c>
      <c r="C10" s="65">
        <v>98.0</v>
      </c>
      <c r="D10" s="66">
        <v>44767.0</v>
      </c>
      <c r="E10" s="67">
        <v>23.0</v>
      </c>
      <c r="F10" s="65">
        <v>3.0</v>
      </c>
      <c r="G10" s="65">
        <v>20.0</v>
      </c>
      <c r="H10" s="67">
        <v>65.0</v>
      </c>
      <c r="I10" s="67">
        <f t="shared" si="1"/>
        <v>4951.565217</v>
      </c>
      <c r="J10" s="65">
        <f t="shared" si="2"/>
        <v>601</v>
      </c>
      <c r="K10" s="65">
        <f t="shared" si="3"/>
        <v>10443</v>
      </c>
      <c r="L10" s="67">
        <f t="shared" si="4"/>
        <v>86.95652174</v>
      </c>
      <c r="M10" s="68">
        <v>2288.0</v>
      </c>
      <c r="N10" s="68">
        <v>5116.0</v>
      </c>
      <c r="O10" s="68">
        <v>10443.0</v>
      </c>
      <c r="P10" s="68">
        <v>1269.0</v>
      </c>
      <c r="Q10" s="68">
        <v>3562.0</v>
      </c>
      <c r="R10" s="68">
        <v>2218.0</v>
      </c>
      <c r="S10" s="68">
        <v>9714.0</v>
      </c>
      <c r="T10" s="68">
        <v>7370.0</v>
      </c>
      <c r="U10" s="68">
        <v>9691.0</v>
      </c>
      <c r="V10" s="68">
        <v>735.0</v>
      </c>
      <c r="W10" s="68">
        <v>3357.0</v>
      </c>
      <c r="X10" s="68">
        <v>3310.0</v>
      </c>
      <c r="Y10" s="68">
        <v>1591.0</v>
      </c>
      <c r="Z10" s="68">
        <v>4049.0</v>
      </c>
      <c r="AA10" s="68">
        <v>9147.0</v>
      </c>
      <c r="AB10" s="68">
        <v>7604.0</v>
      </c>
      <c r="AC10" s="68">
        <v>6398.0</v>
      </c>
      <c r="AD10" s="68">
        <v>3719.0</v>
      </c>
      <c r="AE10" s="68">
        <v>10064.0</v>
      </c>
      <c r="AF10" s="68">
        <v>4750.0</v>
      </c>
      <c r="AG10" s="68">
        <v>2603.0</v>
      </c>
      <c r="AH10" s="68">
        <v>4287.0</v>
      </c>
      <c r="AI10" s="68">
        <v>601.0</v>
      </c>
      <c r="AJ10" s="68"/>
      <c r="AK10" s="68"/>
    </row>
    <row r="11">
      <c r="A11" s="49" t="s">
        <v>341</v>
      </c>
      <c r="B11" s="64">
        <v>8.0</v>
      </c>
      <c r="C11" s="65">
        <v>98.0</v>
      </c>
      <c r="D11" s="66">
        <v>44767.0</v>
      </c>
      <c r="E11" s="67">
        <v>24.0</v>
      </c>
      <c r="F11" s="65">
        <v>4.0</v>
      </c>
      <c r="G11" s="65">
        <v>20.0</v>
      </c>
      <c r="H11" s="67">
        <v>71.0</v>
      </c>
      <c r="I11" s="67">
        <f t="shared" si="1"/>
        <v>5087.625</v>
      </c>
      <c r="J11" s="65">
        <f t="shared" si="2"/>
        <v>993</v>
      </c>
      <c r="K11" s="65">
        <f t="shared" si="3"/>
        <v>11775</v>
      </c>
      <c r="L11" s="67">
        <f t="shared" si="4"/>
        <v>83.33333333</v>
      </c>
      <c r="M11" s="68">
        <v>4510.0</v>
      </c>
      <c r="N11" s="68">
        <v>4100.0</v>
      </c>
      <c r="O11" s="68">
        <v>2279.0</v>
      </c>
      <c r="P11" s="68">
        <v>2949.0</v>
      </c>
      <c r="Q11" s="68">
        <v>1360.0</v>
      </c>
      <c r="R11" s="68">
        <v>10058.0</v>
      </c>
      <c r="S11" s="68">
        <v>1316.0</v>
      </c>
      <c r="T11" s="68">
        <v>4275.0</v>
      </c>
      <c r="U11" s="68">
        <v>1326.0</v>
      </c>
      <c r="V11" s="68">
        <v>10151.0</v>
      </c>
      <c r="W11" s="68">
        <v>2513.0</v>
      </c>
      <c r="X11" s="68">
        <v>9409.0</v>
      </c>
      <c r="Y11" s="68">
        <v>11775.0</v>
      </c>
      <c r="Z11" s="68">
        <v>10691.0</v>
      </c>
      <c r="AA11" s="68">
        <v>9488.0</v>
      </c>
      <c r="AB11" s="68">
        <v>3400.0</v>
      </c>
      <c r="AC11" s="68">
        <v>1581.0</v>
      </c>
      <c r="AD11" s="68">
        <v>3451.0</v>
      </c>
      <c r="AE11" s="68">
        <v>4219.0</v>
      </c>
      <c r="AF11" s="68">
        <v>6906.0</v>
      </c>
      <c r="AG11" s="68">
        <v>3488.0</v>
      </c>
      <c r="AH11" s="68">
        <v>993.0</v>
      </c>
      <c r="AI11" s="68">
        <v>1939.0</v>
      </c>
      <c r="AJ11" s="68">
        <v>9926.0</v>
      </c>
      <c r="AK11" s="68"/>
    </row>
    <row r="12">
      <c r="A12" s="49" t="s">
        <v>341</v>
      </c>
      <c r="B12" s="64">
        <v>7.0</v>
      </c>
      <c r="C12" s="65">
        <f>15*7</f>
        <v>105</v>
      </c>
      <c r="D12" s="66">
        <v>44767.0</v>
      </c>
      <c r="E12" s="67">
        <v>23.0</v>
      </c>
      <c r="F12" s="65">
        <v>10.0</v>
      </c>
      <c r="G12" s="65">
        <v>13.0</v>
      </c>
      <c r="H12" s="67">
        <v>90.0</v>
      </c>
      <c r="I12" s="67">
        <f t="shared" si="1"/>
        <v>2832.913043</v>
      </c>
      <c r="J12" s="65">
        <f t="shared" si="2"/>
        <v>836</v>
      </c>
      <c r="K12" s="65">
        <f t="shared" si="3"/>
        <v>10099</v>
      </c>
      <c r="L12" s="67">
        <f t="shared" si="4"/>
        <v>56.52173913</v>
      </c>
      <c r="M12" s="68">
        <v>1511.0</v>
      </c>
      <c r="N12" s="68">
        <v>5883.0</v>
      </c>
      <c r="O12" s="68">
        <v>1493.0</v>
      </c>
      <c r="P12" s="68">
        <v>2565.0</v>
      </c>
      <c r="Q12" s="68">
        <v>4953.0</v>
      </c>
      <c r="R12" s="68">
        <v>1025.0</v>
      </c>
      <c r="S12" s="68">
        <v>1681.0</v>
      </c>
      <c r="T12" s="68">
        <v>1067.0</v>
      </c>
      <c r="U12" s="68">
        <v>1321.0</v>
      </c>
      <c r="V12" s="68">
        <v>6925.0</v>
      </c>
      <c r="W12" s="68">
        <v>1300.0</v>
      </c>
      <c r="X12" s="68">
        <v>2577.0</v>
      </c>
      <c r="Y12" s="68">
        <v>988.0</v>
      </c>
      <c r="Z12" s="68">
        <v>2754.0</v>
      </c>
      <c r="AA12" s="68">
        <v>2565.0</v>
      </c>
      <c r="AB12" s="68">
        <v>1405.0</v>
      </c>
      <c r="AC12" s="68">
        <v>7841.0</v>
      </c>
      <c r="AD12" s="68">
        <v>836.0</v>
      </c>
      <c r="AE12" s="68">
        <v>10099.0</v>
      </c>
      <c r="AF12" s="68">
        <v>1038.0</v>
      </c>
      <c r="AG12" s="68">
        <v>1111.0</v>
      </c>
      <c r="AH12" s="68">
        <v>1177.0</v>
      </c>
      <c r="AI12" s="68">
        <v>3042.0</v>
      </c>
      <c r="AJ12" s="68"/>
      <c r="AK12" s="68"/>
    </row>
    <row r="13">
      <c r="A13" s="49" t="s">
        <v>341</v>
      </c>
      <c r="B13" s="64">
        <v>6.0</v>
      </c>
      <c r="C13" s="65">
        <v>105.0</v>
      </c>
      <c r="D13" s="66">
        <v>44767.0</v>
      </c>
      <c r="E13" s="67">
        <v>22.0</v>
      </c>
      <c r="F13" s="65">
        <v>1.0</v>
      </c>
      <c r="G13" s="65">
        <v>21.0</v>
      </c>
      <c r="H13" s="67">
        <v>66.0</v>
      </c>
      <c r="I13" s="67">
        <f t="shared" si="1"/>
        <v>4517.5</v>
      </c>
      <c r="J13" s="65">
        <f t="shared" si="2"/>
        <v>1214</v>
      </c>
      <c r="K13" s="65">
        <f t="shared" si="3"/>
        <v>11230</v>
      </c>
      <c r="L13" s="67">
        <f t="shared" si="4"/>
        <v>95.45454545</v>
      </c>
      <c r="M13" s="68">
        <v>3840.0</v>
      </c>
      <c r="N13" s="68">
        <v>5387.0</v>
      </c>
      <c r="O13" s="68">
        <v>4396.0</v>
      </c>
      <c r="P13" s="68">
        <v>1442.0</v>
      </c>
      <c r="Q13" s="68">
        <v>2179.0</v>
      </c>
      <c r="R13" s="68">
        <v>4022.0</v>
      </c>
      <c r="S13" s="68">
        <v>1945.0</v>
      </c>
      <c r="T13" s="68">
        <v>1633.0</v>
      </c>
      <c r="U13" s="68">
        <v>11230.0</v>
      </c>
      <c r="V13" s="68">
        <v>7299.0</v>
      </c>
      <c r="W13" s="68">
        <v>2488.0</v>
      </c>
      <c r="X13" s="68">
        <v>1991.0</v>
      </c>
      <c r="Y13" s="68">
        <v>10744.0</v>
      </c>
      <c r="Z13" s="68">
        <v>6764.0</v>
      </c>
      <c r="AA13" s="68">
        <v>3576.0</v>
      </c>
      <c r="AB13" s="68">
        <v>1771.0</v>
      </c>
      <c r="AC13" s="68">
        <v>1214.0</v>
      </c>
      <c r="AD13" s="68">
        <v>4440.0</v>
      </c>
      <c r="AE13" s="68">
        <v>2462.0</v>
      </c>
      <c r="AF13" s="68">
        <v>4551.0</v>
      </c>
      <c r="AG13" s="68">
        <v>8029.0</v>
      </c>
      <c r="AH13" s="68">
        <v>7982.0</v>
      </c>
      <c r="AI13" s="68"/>
      <c r="AJ13" s="68"/>
      <c r="AK13" s="68"/>
    </row>
    <row r="14">
      <c r="A14" s="49" t="s">
        <v>341</v>
      </c>
      <c r="B14" s="64">
        <v>4.0</v>
      </c>
      <c r="C14" s="65">
        <v>112.0</v>
      </c>
      <c r="D14" s="66">
        <v>44756.0</v>
      </c>
      <c r="E14" s="67">
        <v>23.0</v>
      </c>
      <c r="F14" s="65">
        <v>0.0</v>
      </c>
      <c r="G14" s="65">
        <v>23.0</v>
      </c>
      <c r="H14" s="67">
        <v>53.0</v>
      </c>
      <c r="I14" s="67">
        <f t="shared" si="1"/>
        <v>7397.391304</v>
      </c>
      <c r="J14" s="65">
        <f t="shared" si="2"/>
        <v>1843</v>
      </c>
      <c r="K14" s="65">
        <f t="shared" si="3"/>
        <v>14853</v>
      </c>
      <c r="L14" s="67">
        <f t="shared" si="4"/>
        <v>100</v>
      </c>
      <c r="M14" s="68">
        <v>8745.0</v>
      </c>
      <c r="N14" s="68">
        <v>14853.0</v>
      </c>
      <c r="O14" s="68">
        <v>11602.0</v>
      </c>
      <c r="P14" s="68">
        <v>12017.0</v>
      </c>
      <c r="Q14" s="68">
        <v>9392.0</v>
      </c>
      <c r="R14" s="68">
        <v>8267.0</v>
      </c>
      <c r="S14" s="68">
        <v>2724.0</v>
      </c>
      <c r="T14" s="68">
        <v>4563.0</v>
      </c>
      <c r="U14" s="68">
        <v>4526.0</v>
      </c>
      <c r="V14" s="68">
        <v>1843.0</v>
      </c>
      <c r="W14" s="68">
        <v>3299.0</v>
      </c>
      <c r="X14" s="68">
        <v>2777.0</v>
      </c>
      <c r="Y14" s="68">
        <v>10145.0</v>
      </c>
      <c r="Z14" s="68">
        <v>6077.0</v>
      </c>
      <c r="AA14" s="68">
        <v>13279.0</v>
      </c>
      <c r="AB14" s="68">
        <v>3707.0</v>
      </c>
      <c r="AC14" s="68">
        <v>7104.0</v>
      </c>
      <c r="AD14" s="68">
        <v>9800.0</v>
      </c>
      <c r="AE14" s="68">
        <v>9618.0</v>
      </c>
      <c r="AF14" s="68">
        <v>2821.0</v>
      </c>
      <c r="AG14" s="68">
        <v>5299.0</v>
      </c>
      <c r="AH14" s="68">
        <v>4868.0</v>
      </c>
      <c r="AI14" s="68">
        <v>12814.0</v>
      </c>
      <c r="AJ14" s="68"/>
      <c r="AK14" s="68"/>
    </row>
    <row r="15">
      <c r="A15" s="49" t="s">
        <v>341</v>
      </c>
      <c r="B15" s="64">
        <v>5.0</v>
      </c>
      <c r="C15" s="65">
        <v>112.0</v>
      </c>
      <c r="D15" s="66">
        <v>44756.0</v>
      </c>
      <c r="E15" s="67">
        <v>20.0</v>
      </c>
      <c r="F15" s="65">
        <v>0.0</v>
      </c>
      <c r="G15" s="65">
        <v>20.0</v>
      </c>
      <c r="H15" s="67">
        <v>40.0</v>
      </c>
      <c r="I15" s="67">
        <f t="shared" si="1"/>
        <v>13800.5</v>
      </c>
      <c r="J15" s="65">
        <f t="shared" si="2"/>
        <v>4817</v>
      </c>
      <c r="K15" s="65">
        <f t="shared" si="3"/>
        <v>22619</v>
      </c>
      <c r="L15" s="67">
        <f t="shared" si="4"/>
        <v>100</v>
      </c>
      <c r="M15" s="68">
        <v>19274.0</v>
      </c>
      <c r="N15" s="68">
        <v>9544.0</v>
      </c>
      <c r="O15" s="68">
        <v>17743.0</v>
      </c>
      <c r="P15" s="68">
        <v>21969.0</v>
      </c>
      <c r="Q15" s="68">
        <v>6700.0</v>
      </c>
      <c r="R15" s="68">
        <v>13227.0</v>
      </c>
      <c r="S15" s="68">
        <v>9263.0</v>
      </c>
      <c r="T15" s="68">
        <v>10768.0</v>
      </c>
      <c r="U15" s="68">
        <v>13804.0</v>
      </c>
      <c r="V15" s="68">
        <v>15480.0</v>
      </c>
      <c r="W15" s="68">
        <v>15418.0</v>
      </c>
      <c r="X15" s="68">
        <v>7400.0</v>
      </c>
      <c r="Y15" s="68">
        <v>11794.0</v>
      </c>
      <c r="Z15" s="68">
        <v>10602.0</v>
      </c>
      <c r="AA15" s="68">
        <v>7542.0</v>
      </c>
      <c r="AB15" s="68">
        <v>22619.0</v>
      </c>
      <c r="AC15" s="68">
        <v>20434.0</v>
      </c>
      <c r="AD15" s="68">
        <v>4817.0</v>
      </c>
      <c r="AE15" s="68">
        <v>19773.0</v>
      </c>
      <c r="AF15" s="68">
        <v>17839.0</v>
      </c>
      <c r="AG15" s="68"/>
      <c r="AH15" s="68"/>
      <c r="AI15" s="68"/>
      <c r="AJ15" s="68"/>
      <c r="AK15" s="68"/>
    </row>
    <row r="16">
      <c r="A16" s="49" t="s">
        <v>341</v>
      </c>
      <c r="B16" s="64">
        <v>3.0</v>
      </c>
      <c r="C16" s="65">
        <f>17*7</f>
        <v>119</v>
      </c>
      <c r="D16" s="66">
        <v>44756.0</v>
      </c>
      <c r="E16" s="67">
        <v>20.0</v>
      </c>
      <c r="F16" s="65">
        <v>1.0</v>
      </c>
      <c r="G16" s="65">
        <v>19.0</v>
      </c>
      <c r="H16" s="67">
        <v>54.0</v>
      </c>
      <c r="I16" s="67">
        <f t="shared" si="1"/>
        <v>10253.55</v>
      </c>
      <c r="J16" s="65">
        <f t="shared" si="2"/>
        <v>1336</v>
      </c>
      <c r="K16" s="65">
        <f t="shared" si="3"/>
        <v>16168</v>
      </c>
      <c r="L16" s="67">
        <f t="shared" si="4"/>
        <v>95</v>
      </c>
      <c r="M16" s="68">
        <v>5588.0</v>
      </c>
      <c r="N16" s="68">
        <v>16168.0</v>
      </c>
      <c r="O16" s="68">
        <v>12030.0</v>
      </c>
      <c r="P16" s="68">
        <v>15543.0</v>
      </c>
      <c r="Q16" s="68">
        <v>3806.0</v>
      </c>
      <c r="R16" s="68">
        <v>1336.0</v>
      </c>
      <c r="S16" s="68">
        <v>15300.0</v>
      </c>
      <c r="T16" s="68">
        <v>14150.0</v>
      </c>
      <c r="U16" s="68">
        <v>16104.0</v>
      </c>
      <c r="V16" s="68">
        <v>15668.0</v>
      </c>
      <c r="W16" s="68">
        <v>2128.0</v>
      </c>
      <c r="X16" s="68">
        <v>14915.0</v>
      </c>
      <c r="Y16" s="68">
        <v>15432.0</v>
      </c>
      <c r="Z16" s="68">
        <v>12381.0</v>
      </c>
      <c r="AA16" s="68">
        <v>11942.0</v>
      </c>
      <c r="AB16" s="68">
        <v>6531.0</v>
      </c>
      <c r="AC16" s="68">
        <v>2936.0</v>
      </c>
      <c r="AD16" s="68">
        <v>5742.0</v>
      </c>
      <c r="AE16" s="68">
        <v>3221.0</v>
      </c>
      <c r="AF16" s="68">
        <v>14150.0</v>
      </c>
      <c r="AG16" s="68"/>
      <c r="AH16" s="68"/>
      <c r="AI16" s="68"/>
      <c r="AJ16" s="68"/>
      <c r="AK16" s="68"/>
    </row>
    <row r="17">
      <c r="A17" s="49" t="s">
        <v>341</v>
      </c>
      <c r="B17" s="64">
        <v>2.0</v>
      </c>
      <c r="C17" s="65">
        <v>119.0</v>
      </c>
      <c r="D17" s="66">
        <v>44756.0</v>
      </c>
      <c r="E17" s="67">
        <v>24.0</v>
      </c>
      <c r="F17" s="65">
        <v>0.0</v>
      </c>
      <c r="G17" s="65">
        <v>24.0</v>
      </c>
      <c r="H17" s="67">
        <v>38.0</v>
      </c>
      <c r="I17" s="67">
        <f t="shared" si="1"/>
        <v>10368.375</v>
      </c>
      <c r="J17" s="65">
        <f t="shared" si="2"/>
        <v>2929</v>
      </c>
      <c r="K17" s="65">
        <f t="shared" si="3"/>
        <v>15411</v>
      </c>
      <c r="L17" s="67">
        <f t="shared" si="4"/>
        <v>100</v>
      </c>
      <c r="M17" s="68">
        <v>5579.0</v>
      </c>
      <c r="N17" s="68">
        <v>11615.0</v>
      </c>
      <c r="O17" s="68">
        <v>13600.0</v>
      </c>
      <c r="P17" s="68">
        <v>13784.0</v>
      </c>
      <c r="Q17" s="68">
        <v>14224.0</v>
      </c>
      <c r="R17" s="68">
        <v>4136.0</v>
      </c>
      <c r="S17" s="68">
        <v>10995.0</v>
      </c>
      <c r="T17" s="68">
        <v>13475.0</v>
      </c>
      <c r="U17" s="68">
        <v>12236.0</v>
      </c>
      <c r="V17" s="68">
        <v>8789.0</v>
      </c>
      <c r="W17" s="68">
        <v>11986.0</v>
      </c>
      <c r="X17" s="68">
        <v>2929.0</v>
      </c>
      <c r="Y17" s="68">
        <v>5273.0</v>
      </c>
      <c r="Z17" s="68">
        <v>7727.0</v>
      </c>
      <c r="AA17" s="68">
        <v>9834.0</v>
      </c>
      <c r="AB17" s="68">
        <v>14703.0</v>
      </c>
      <c r="AC17" s="68">
        <v>14676.0</v>
      </c>
      <c r="AD17" s="68">
        <v>11529.0</v>
      </c>
      <c r="AE17" s="68">
        <v>13338.0</v>
      </c>
      <c r="AF17" s="68">
        <v>14097.0</v>
      </c>
      <c r="AG17" s="68">
        <v>7982.0</v>
      </c>
      <c r="AH17" s="68">
        <v>15411.0</v>
      </c>
      <c r="AI17" s="68">
        <v>7588.0</v>
      </c>
      <c r="AJ17" s="68">
        <v>3335.0</v>
      </c>
      <c r="AK17" s="68"/>
    </row>
    <row r="18">
      <c r="A18" s="49" t="s">
        <v>341</v>
      </c>
      <c r="B18" s="64">
        <v>1.0</v>
      </c>
      <c r="C18" s="65">
        <v>119.0</v>
      </c>
      <c r="D18" s="66">
        <v>44756.0</v>
      </c>
      <c r="E18" s="67">
        <v>23.0</v>
      </c>
      <c r="F18" s="65">
        <v>0.0</v>
      </c>
      <c r="G18" s="65">
        <v>23.0</v>
      </c>
      <c r="H18" s="67">
        <v>34.0</v>
      </c>
      <c r="I18" s="67">
        <f t="shared" si="1"/>
        <v>11660.91304</v>
      </c>
      <c r="J18" s="65">
        <f t="shared" si="2"/>
        <v>2994</v>
      </c>
      <c r="K18" s="65">
        <f t="shared" si="3"/>
        <v>17758</v>
      </c>
      <c r="L18" s="67">
        <f t="shared" si="4"/>
        <v>100</v>
      </c>
      <c r="M18" s="68">
        <v>7604.0</v>
      </c>
      <c r="N18" s="68">
        <v>13397.0</v>
      </c>
      <c r="O18" s="68">
        <v>13305.0</v>
      </c>
      <c r="P18" s="68">
        <v>17758.0</v>
      </c>
      <c r="Q18" s="68">
        <v>14976.0</v>
      </c>
      <c r="R18" s="68">
        <v>2994.0</v>
      </c>
      <c r="S18" s="68">
        <v>5334.0</v>
      </c>
      <c r="T18" s="68">
        <v>11449.0</v>
      </c>
      <c r="U18" s="68">
        <v>6696.0</v>
      </c>
      <c r="V18" s="68">
        <v>12042.0</v>
      </c>
      <c r="W18" s="68">
        <v>11158.0</v>
      </c>
      <c r="X18" s="68">
        <v>13097.0</v>
      </c>
      <c r="Y18" s="68">
        <v>14554.0</v>
      </c>
      <c r="Z18" s="68">
        <v>15362.0</v>
      </c>
      <c r="AA18" s="68">
        <v>5441.0</v>
      </c>
      <c r="AB18" s="68">
        <v>15599.0</v>
      </c>
      <c r="AC18" s="68">
        <v>7360.0</v>
      </c>
      <c r="AD18" s="68">
        <v>13541.0</v>
      </c>
      <c r="AE18" s="68">
        <v>14574.0</v>
      </c>
      <c r="AF18" s="68">
        <v>14473.0</v>
      </c>
      <c r="AG18" s="68">
        <v>10018.0</v>
      </c>
      <c r="AH18" s="68">
        <v>11407.0</v>
      </c>
      <c r="AI18" s="68">
        <v>16062.0</v>
      </c>
      <c r="AJ18" s="68"/>
      <c r="AK18" s="68"/>
    </row>
    <row r="19">
      <c r="A19" s="49" t="s">
        <v>344</v>
      </c>
      <c r="B19" s="64">
        <v>5.0</v>
      </c>
      <c r="C19" s="65">
        <v>210.0</v>
      </c>
      <c r="D19" s="66">
        <v>44744.0</v>
      </c>
      <c r="E19" s="67">
        <v>25.0</v>
      </c>
      <c r="F19" s="65">
        <v>0.0</v>
      </c>
      <c r="G19" s="65">
        <v>25.0</v>
      </c>
      <c r="H19" s="67">
        <v>57.0</v>
      </c>
      <c r="I19" s="67">
        <f t="shared" si="1"/>
        <v>9468.96</v>
      </c>
      <c r="J19" s="65">
        <f t="shared" si="2"/>
        <v>3321</v>
      </c>
      <c r="K19" s="65">
        <f t="shared" si="3"/>
        <v>20567</v>
      </c>
      <c r="L19" s="67">
        <f t="shared" si="4"/>
        <v>100</v>
      </c>
      <c r="M19" s="68">
        <v>3332.0</v>
      </c>
      <c r="N19" s="68">
        <v>19244.0</v>
      </c>
      <c r="O19" s="68">
        <v>7655.0</v>
      </c>
      <c r="P19" s="68">
        <v>9949.0</v>
      </c>
      <c r="Q19" s="68">
        <v>6565.0</v>
      </c>
      <c r="R19" s="68">
        <v>3636.0</v>
      </c>
      <c r="S19" s="68">
        <v>15640.0</v>
      </c>
      <c r="T19" s="68">
        <v>4966.0</v>
      </c>
      <c r="U19" s="68">
        <v>13344.0</v>
      </c>
      <c r="V19" s="68">
        <v>4343.0</v>
      </c>
      <c r="W19" s="68">
        <v>4255.0</v>
      </c>
      <c r="X19" s="68">
        <v>8299.0</v>
      </c>
      <c r="Y19" s="68">
        <v>3332.0</v>
      </c>
      <c r="Z19" s="68">
        <v>13778.0</v>
      </c>
      <c r="AA19" s="68">
        <v>14867.0</v>
      </c>
      <c r="AB19" s="68">
        <v>3321.0</v>
      </c>
      <c r="AC19" s="68">
        <v>16118.0</v>
      </c>
      <c r="AD19" s="68">
        <v>20567.0</v>
      </c>
      <c r="AE19" s="68">
        <v>8437.0</v>
      </c>
      <c r="AF19" s="68">
        <v>6227.0</v>
      </c>
      <c r="AG19" s="68">
        <v>14840.0</v>
      </c>
      <c r="AH19" s="68">
        <v>6474.0</v>
      </c>
      <c r="AI19" s="68">
        <v>8773.0</v>
      </c>
      <c r="AJ19" s="68">
        <v>3963.0</v>
      </c>
      <c r="AK19" s="68">
        <v>14799.0</v>
      </c>
    </row>
    <row r="20">
      <c r="A20" s="49" t="s">
        <v>344</v>
      </c>
      <c r="B20" s="64">
        <v>4.0</v>
      </c>
      <c r="C20" s="65">
        <v>210.0</v>
      </c>
      <c r="D20" s="66">
        <v>44729.0</v>
      </c>
      <c r="E20" s="67">
        <v>25.0</v>
      </c>
      <c r="F20" s="65">
        <v>0.0</v>
      </c>
      <c r="G20" s="65">
        <v>25.0</v>
      </c>
      <c r="H20" s="67">
        <v>51.0</v>
      </c>
      <c r="I20" s="67">
        <f t="shared" si="1"/>
        <v>8148.76</v>
      </c>
      <c r="J20" s="65">
        <f t="shared" si="2"/>
        <v>2453</v>
      </c>
      <c r="K20" s="65">
        <f t="shared" si="3"/>
        <v>17670</v>
      </c>
      <c r="L20" s="67">
        <f t="shared" si="4"/>
        <v>100</v>
      </c>
      <c r="M20" s="68">
        <v>7279.0</v>
      </c>
      <c r="N20" s="68">
        <v>12130.0</v>
      </c>
      <c r="O20" s="68">
        <v>10408.0</v>
      </c>
      <c r="P20" s="68">
        <v>3875.0</v>
      </c>
      <c r="Q20" s="68">
        <v>9949.0</v>
      </c>
      <c r="R20" s="68">
        <v>15787.0</v>
      </c>
      <c r="S20" s="68">
        <v>7229.0</v>
      </c>
      <c r="T20" s="68">
        <v>7234.0</v>
      </c>
      <c r="U20" s="68">
        <v>3171.0</v>
      </c>
      <c r="V20" s="68">
        <v>16538.0</v>
      </c>
      <c r="W20" s="68">
        <v>17670.0</v>
      </c>
      <c r="X20" s="68">
        <v>6676.0</v>
      </c>
      <c r="Y20" s="68">
        <v>11394.0</v>
      </c>
      <c r="Z20" s="68">
        <v>3825.0</v>
      </c>
      <c r="AA20" s="68">
        <v>10750.0</v>
      </c>
      <c r="AB20" s="68">
        <v>2453.0</v>
      </c>
      <c r="AC20" s="68">
        <v>7909.0</v>
      </c>
      <c r="AD20" s="68">
        <v>5911.0</v>
      </c>
      <c r="AE20" s="68">
        <v>6783.0</v>
      </c>
      <c r="AF20" s="68">
        <v>5751.0</v>
      </c>
      <c r="AG20" s="68">
        <v>4855.0</v>
      </c>
      <c r="AH20" s="68">
        <v>3178.0</v>
      </c>
      <c r="AI20" s="68">
        <v>9949.0</v>
      </c>
      <c r="AJ20" s="68">
        <v>4949.0</v>
      </c>
      <c r="AK20" s="68">
        <v>8066.0</v>
      </c>
    </row>
    <row r="21" ht="15.75" customHeight="1">
      <c r="A21" s="49" t="s">
        <v>344</v>
      </c>
      <c r="B21" s="64">
        <v>9.0</v>
      </c>
      <c r="C21" s="65">
        <v>210.0</v>
      </c>
      <c r="D21" s="66">
        <v>44765.0</v>
      </c>
      <c r="E21" s="67">
        <v>23.0</v>
      </c>
      <c r="F21" s="65">
        <v>0.0</v>
      </c>
      <c r="G21" s="65">
        <v>23.0</v>
      </c>
      <c r="H21" s="67">
        <v>33.0</v>
      </c>
      <c r="I21" s="67">
        <f t="shared" si="1"/>
        <v>6234.869565</v>
      </c>
      <c r="J21" s="65">
        <f t="shared" si="2"/>
        <v>1996</v>
      </c>
      <c r="K21" s="65">
        <f t="shared" si="3"/>
        <v>9966</v>
      </c>
      <c r="L21" s="67">
        <f t="shared" si="4"/>
        <v>100</v>
      </c>
      <c r="M21" s="68">
        <v>8416.0</v>
      </c>
      <c r="N21" s="68">
        <v>5874.0</v>
      </c>
      <c r="O21" s="68">
        <v>3426.0</v>
      </c>
      <c r="P21" s="68">
        <v>9765.0</v>
      </c>
      <c r="Q21" s="68">
        <v>5985.0</v>
      </c>
      <c r="R21" s="68">
        <v>6911.0</v>
      </c>
      <c r="S21" s="68">
        <v>1996.0</v>
      </c>
      <c r="T21" s="68">
        <v>4136.0</v>
      </c>
      <c r="U21" s="68">
        <v>5701.0</v>
      </c>
      <c r="V21" s="68">
        <v>3346.0</v>
      </c>
      <c r="W21" s="68">
        <v>8108.0</v>
      </c>
      <c r="X21" s="68">
        <v>6842.0</v>
      </c>
      <c r="Y21" s="68">
        <v>5534.0</v>
      </c>
      <c r="Z21" s="68">
        <v>8931.0</v>
      </c>
      <c r="AA21" s="68">
        <v>7380.0</v>
      </c>
      <c r="AB21" s="68">
        <v>5994.0</v>
      </c>
      <c r="AC21" s="68">
        <v>5651.0</v>
      </c>
      <c r="AD21" s="68">
        <v>7134.0</v>
      </c>
      <c r="AE21" s="68">
        <v>9966.0</v>
      </c>
      <c r="AF21" s="68">
        <v>4817.0</v>
      </c>
      <c r="AG21" s="68">
        <v>7344.0</v>
      </c>
      <c r="AH21" s="68">
        <v>3871.0</v>
      </c>
      <c r="AI21" s="68">
        <v>6274.0</v>
      </c>
      <c r="AJ21" s="68"/>
      <c r="AK21" s="68"/>
    </row>
    <row r="22" ht="15.75" customHeight="1">
      <c r="A22" s="49" t="s">
        <v>344</v>
      </c>
      <c r="B22" s="64">
        <v>10.0</v>
      </c>
      <c r="C22" s="65">
        <v>210.0</v>
      </c>
      <c r="D22" s="66">
        <v>44765.0</v>
      </c>
      <c r="E22" s="67">
        <v>22.0</v>
      </c>
      <c r="F22" s="65">
        <v>0.0</v>
      </c>
      <c r="G22" s="65">
        <v>22.0</v>
      </c>
      <c r="H22" s="67">
        <v>38.0</v>
      </c>
      <c r="I22" s="67">
        <f t="shared" si="1"/>
        <v>7761.545455</v>
      </c>
      <c r="J22" s="65">
        <f t="shared" si="2"/>
        <v>2400</v>
      </c>
      <c r="K22" s="65">
        <f t="shared" si="3"/>
        <v>12692</v>
      </c>
      <c r="L22" s="67">
        <f t="shared" si="4"/>
        <v>100</v>
      </c>
      <c r="M22" s="68">
        <v>10384.0</v>
      </c>
      <c r="N22" s="68">
        <v>8055.0</v>
      </c>
      <c r="O22" s="68">
        <v>8773.0</v>
      </c>
      <c r="P22" s="68">
        <v>8119.0</v>
      </c>
      <c r="Q22" s="68">
        <v>6604.0</v>
      </c>
      <c r="R22" s="68">
        <v>12692.0</v>
      </c>
      <c r="S22" s="68">
        <v>3558.0</v>
      </c>
      <c r="T22" s="68">
        <v>12192.0</v>
      </c>
      <c r="U22" s="68">
        <v>6813.0</v>
      </c>
      <c r="V22" s="68">
        <v>11073.0</v>
      </c>
      <c r="W22" s="68">
        <v>12287.0</v>
      </c>
      <c r="X22" s="68">
        <v>6407.0</v>
      </c>
      <c r="Y22" s="68">
        <v>5819.0</v>
      </c>
      <c r="Z22" s="68">
        <v>8745.0</v>
      </c>
      <c r="AA22" s="68">
        <v>7722.0</v>
      </c>
      <c r="AB22" s="68">
        <v>5013.0</v>
      </c>
      <c r="AC22" s="68">
        <v>4763.0</v>
      </c>
      <c r="AD22" s="68">
        <v>4379.0</v>
      </c>
      <c r="AE22" s="68">
        <v>6594.0</v>
      </c>
      <c r="AF22" s="68">
        <v>2400.0</v>
      </c>
      <c r="AG22" s="68">
        <v>11559.0</v>
      </c>
      <c r="AH22" s="68">
        <v>6803.0</v>
      </c>
      <c r="AI22" s="68"/>
      <c r="AJ22" s="68"/>
      <c r="AK22" s="68"/>
    </row>
    <row r="23" ht="15.75" customHeight="1">
      <c r="A23" s="49" t="s">
        <v>344</v>
      </c>
      <c r="B23" s="64">
        <v>8.0</v>
      </c>
      <c r="C23" s="65">
        <v>210.0</v>
      </c>
      <c r="D23" s="66">
        <v>44765.0</v>
      </c>
      <c r="E23" s="67">
        <v>23.0</v>
      </c>
      <c r="F23" s="65">
        <v>0.0</v>
      </c>
      <c r="G23" s="65">
        <v>23.0</v>
      </c>
      <c r="H23" s="67">
        <v>30.0</v>
      </c>
      <c r="I23" s="67">
        <f t="shared" si="1"/>
        <v>7287.521739</v>
      </c>
      <c r="J23" s="65">
        <f t="shared" si="2"/>
        <v>3794</v>
      </c>
      <c r="K23" s="65">
        <f t="shared" si="3"/>
        <v>10531</v>
      </c>
      <c r="L23" s="67">
        <f t="shared" si="4"/>
        <v>100</v>
      </c>
      <c r="M23" s="68">
        <v>7563.0</v>
      </c>
      <c r="N23" s="68">
        <v>7324.0</v>
      </c>
      <c r="O23" s="68">
        <v>5073.0</v>
      </c>
      <c r="P23" s="68">
        <v>4758.0</v>
      </c>
      <c r="Q23" s="68">
        <v>9709.0</v>
      </c>
      <c r="R23" s="68">
        <v>5251.0</v>
      </c>
      <c r="S23" s="68">
        <v>7635.0</v>
      </c>
      <c r="T23" s="68">
        <v>9230.0</v>
      </c>
      <c r="U23" s="68">
        <v>10531.0</v>
      </c>
      <c r="V23" s="68">
        <v>6322.0</v>
      </c>
      <c r="W23" s="68">
        <v>4733.0</v>
      </c>
      <c r="X23" s="68">
        <v>10203.0</v>
      </c>
      <c r="Y23" s="68">
        <v>7604.0</v>
      </c>
      <c r="Z23" s="68">
        <v>9135.0</v>
      </c>
      <c r="AA23" s="68">
        <v>8177.0</v>
      </c>
      <c r="AB23" s="68">
        <v>4179.0</v>
      </c>
      <c r="AC23" s="68">
        <v>3794.0</v>
      </c>
      <c r="AD23" s="68">
        <v>5957.0</v>
      </c>
      <c r="AE23" s="68">
        <v>4893.0</v>
      </c>
      <c r="AF23" s="68">
        <v>10076.0</v>
      </c>
      <c r="AG23" s="68">
        <v>10343.0</v>
      </c>
      <c r="AH23" s="68">
        <v>8198.0</v>
      </c>
      <c r="AI23" s="68">
        <v>6925.0</v>
      </c>
      <c r="AJ23" s="68"/>
      <c r="AK23" s="68"/>
    </row>
    <row r="24" ht="15.75" customHeight="1">
      <c r="A24" s="49" t="s">
        <v>344</v>
      </c>
      <c r="B24" s="64">
        <v>7.0</v>
      </c>
      <c r="C24" s="65">
        <v>217.0</v>
      </c>
      <c r="D24" s="66">
        <v>44765.0</v>
      </c>
      <c r="E24" s="67">
        <v>22.0</v>
      </c>
      <c r="F24" s="65">
        <v>0.0</v>
      </c>
      <c r="G24" s="65">
        <v>22.0</v>
      </c>
      <c r="H24" s="67">
        <v>33.0</v>
      </c>
      <c r="I24" s="67">
        <f t="shared" si="1"/>
        <v>6299.636364</v>
      </c>
      <c r="J24" s="65">
        <f t="shared" si="2"/>
        <v>3161</v>
      </c>
      <c r="K24" s="65">
        <f t="shared" si="3"/>
        <v>10965</v>
      </c>
      <c r="L24" s="67">
        <f t="shared" si="4"/>
        <v>100</v>
      </c>
      <c r="M24" s="68">
        <v>6642.0</v>
      </c>
      <c r="N24" s="68">
        <v>8800.0</v>
      </c>
      <c r="O24" s="68">
        <v>10203.0</v>
      </c>
      <c r="P24" s="68">
        <v>3772.0</v>
      </c>
      <c r="Q24" s="68">
        <v>7214.0</v>
      </c>
      <c r="R24" s="68">
        <v>5436.0</v>
      </c>
      <c r="S24" s="68">
        <v>5151.0</v>
      </c>
      <c r="T24" s="68">
        <v>8029.0</v>
      </c>
      <c r="U24" s="68">
        <v>5846.0</v>
      </c>
      <c r="V24" s="68">
        <v>3161.0</v>
      </c>
      <c r="W24" s="68">
        <v>6222.0</v>
      </c>
      <c r="X24" s="68">
        <v>6842.0</v>
      </c>
      <c r="Y24" s="68">
        <v>4514.0</v>
      </c>
      <c r="Z24" s="68">
        <v>3879.0</v>
      </c>
      <c r="AA24" s="68">
        <v>5164.0</v>
      </c>
      <c r="AB24" s="68">
        <v>5017.0</v>
      </c>
      <c r="AC24" s="68">
        <v>3798.0</v>
      </c>
      <c r="AD24" s="68">
        <v>10965.0</v>
      </c>
      <c r="AE24" s="68">
        <v>7624.0</v>
      </c>
      <c r="AF24" s="68">
        <v>5498.0</v>
      </c>
      <c r="AG24" s="68">
        <v>8076.0</v>
      </c>
      <c r="AH24" s="68">
        <v>6739.0</v>
      </c>
      <c r="AI24" s="68"/>
      <c r="AJ24" s="68"/>
      <c r="AK24" s="68"/>
    </row>
    <row r="25" ht="15.75" customHeight="1">
      <c r="A25" s="49" t="s">
        <v>344</v>
      </c>
      <c r="B25" s="64">
        <v>6.0</v>
      </c>
      <c r="C25" s="65">
        <v>217.0</v>
      </c>
      <c r="D25" s="66">
        <v>44765.0</v>
      </c>
      <c r="E25" s="67">
        <v>22.0</v>
      </c>
      <c r="F25" s="65">
        <v>0.0</v>
      </c>
      <c r="G25" s="65">
        <v>22.0</v>
      </c>
      <c r="H25" s="67">
        <v>22.0</v>
      </c>
      <c r="I25" s="67">
        <f t="shared" si="1"/>
        <v>8116.090909</v>
      </c>
      <c r="J25" s="65">
        <f t="shared" si="2"/>
        <v>4271</v>
      </c>
      <c r="K25" s="65">
        <f t="shared" si="3"/>
        <v>10320</v>
      </c>
      <c r="L25" s="67">
        <f t="shared" si="4"/>
        <v>100</v>
      </c>
      <c r="M25" s="68">
        <v>8822.0</v>
      </c>
      <c r="N25" s="68">
        <v>7568.0</v>
      </c>
      <c r="O25" s="68">
        <v>9510.0</v>
      </c>
      <c r="P25" s="68">
        <v>4271.0</v>
      </c>
      <c r="Q25" s="68">
        <v>5883.0</v>
      </c>
      <c r="R25" s="68">
        <v>5238.0</v>
      </c>
      <c r="S25" s="68">
        <v>9966.0</v>
      </c>
      <c r="T25" s="68">
        <v>9291.0</v>
      </c>
      <c r="U25" s="68">
        <v>7094.0</v>
      </c>
      <c r="V25" s="68">
        <v>9152.0</v>
      </c>
      <c r="W25" s="68">
        <v>10192.0</v>
      </c>
      <c r="X25" s="68">
        <v>9834.0</v>
      </c>
      <c r="Y25" s="68">
        <v>10320.0</v>
      </c>
      <c r="Z25" s="68">
        <v>6426.0</v>
      </c>
      <c r="AA25" s="68">
        <v>8150.0</v>
      </c>
      <c r="AB25" s="68">
        <v>8352.0</v>
      </c>
      <c r="AC25" s="68">
        <v>6662.0</v>
      </c>
      <c r="AD25" s="68">
        <v>9516.0</v>
      </c>
      <c r="AE25" s="68">
        <v>8309.0</v>
      </c>
      <c r="AF25" s="68">
        <v>9014.0</v>
      </c>
      <c r="AG25" s="68">
        <v>9174.0</v>
      </c>
      <c r="AH25" s="68">
        <v>5810.0</v>
      </c>
      <c r="AI25" s="68"/>
      <c r="AJ25" s="68"/>
      <c r="AK25" s="68"/>
    </row>
    <row r="26" ht="15.75" customHeight="1">
      <c r="A26" s="49" t="s">
        <v>344</v>
      </c>
      <c r="B26" s="64">
        <v>15.0</v>
      </c>
      <c r="C26" s="65">
        <f t="shared" ref="C26:C27" si="5">58*7</f>
        <v>406</v>
      </c>
      <c r="D26" s="66">
        <v>44740.0</v>
      </c>
      <c r="E26" s="67">
        <v>18.0</v>
      </c>
      <c r="F26" s="65">
        <v>0.0</v>
      </c>
      <c r="G26" s="65">
        <v>18.0</v>
      </c>
      <c r="H26" s="67">
        <v>12.0</v>
      </c>
      <c r="I26" s="67">
        <f t="shared" si="1"/>
        <v>20505.44444</v>
      </c>
      <c r="J26" s="65">
        <f t="shared" si="2"/>
        <v>16688</v>
      </c>
      <c r="K26" s="65">
        <f t="shared" si="3"/>
        <v>24441</v>
      </c>
      <c r="L26" s="67">
        <f t="shared" si="4"/>
        <v>100</v>
      </c>
      <c r="M26" s="68">
        <v>23187.0</v>
      </c>
      <c r="N26" s="68">
        <v>22042.0</v>
      </c>
      <c r="O26" s="68">
        <v>17824.0</v>
      </c>
      <c r="P26" s="68">
        <v>24441.0</v>
      </c>
      <c r="Q26" s="68">
        <v>21407.0</v>
      </c>
      <c r="R26" s="68">
        <v>17457.0</v>
      </c>
      <c r="S26" s="68">
        <v>18909.0</v>
      </c>
      <c r="T26" s="68">
        <v>16688.0</v>
      </c>
      <c r="U26" s="68">
        <v>21247.0</v>
      </c>
      <c r="V26" s="68">
        <v>20137.0</v>
      </c>
      <c r="W26" s="68">
        <v>24415.0</v>
      </c>
      <c r="X26" s="68">
        <v>22391.0</v>
      </c>
      <c r="Y26" s="68">
        <v>18758.0</v>
      </c>
      <c r="Z26" s="68">
        <v>17362.0</v>
      </c>
      <c r="AA26" s="68">
        <v>20591.0</v>
      </c>
      <c r="AB26" s="68">
        <v>19251.0</v>
      </c>
      <c r="AC26" s="68">
        <v>23602.0</v>
      </c>
      <c r="AD26" s="68">
        <v>19389.0</v>
      </c>
      <c r="AE26" s="68"/>
      <c r="AF26" s="68"/>
      <c r="AG26" s="68"/>
      <c r="AH26" s="68"/>
      <c r="AI26" s="68"/>
      <c r="AJ26" s="68"/>
      <c r="AK26" s="68"/>
    </row>
    <row r="27" ht="15.75" customHeight="1">
      <c r="A27" s="49" t="s">
        <v>344</v>
      </c>
      <c r="B27" s="64">
        <v>15.0</v>
      </c>
      <c r="C27" s="65">
        <f t="shared" si="5"/>
        <v>406</v>
      </c>
      <c r="D27" s="66">
        <v>44740.0</v>
      </c>
      <c r="E27" s="67">
        <v>12.0</v>
      </c>
      <c r="F27" s="65">
        <v>0.0</v>
      </c>
      <c r="G27" s="65">
        <v>12.0</v>
      </c>
      <c r="H27" s="67">
        <v>32.0</v>
      </c>
      <c r="I27" s="67">
        <f t="shared" si="1"/>
        <v>9970.75</v>
      </c>
      <c r="J27" s="65">
        <f t="shared" si="2"/>
        <v>5539</v>
      </c>
      <c r="K27" s="65">
        <f t="shared" si="3"/>
        <v>15265</v>
      </c>
      <c r="L27" s="67">
        <f t="shared" si="4"/>
        <v>100</v>
      </c>
      <c r="M27" s="68">
        <v>5888.0</v>
      </c>
      <c r="N27" s="68">
        <v>11340.0</v>
      </c>
      <c r="O27" s="68">
        <v>5539.0</v>
      </c>
      <c r="P27" s="68">
        <v>9158.0</v>
      </c>
      <c r="Q27" s="68">
        <v>7583.0</v>
      </c>
      <c r="R27" s="68">
        <v>6837.0</v>
      </c>
      <c r="S27" s="68">
        <v>9561.0</v>
      </c>
      <c r="T27" s="68">
        <v>11394.0</v>
      </c>
      <c r="U27" s="68">
        <v>9995.0</v>
      </c>
      <c r="V27" s="68">
        <v>12508.0</v>
      </c>
      <c r="W27" s="68">
        <v>14581.0</v>
      </c>
      <c r="X27" s="68">
        <v>15265.0</v>
      </c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2.0"/>
    <col customWidth="1" min="3" max="3" width="38.43"/>
    <col customWidth="1" min="4" max="4" width="50.0"/>
    <col customWidth="1" min="5" max="5" width="55.43"/>
    <col customWidth="1" min="6" max="20" width="18.86"/>
    <col customWidth="1" min="21" max="21" width="37.0"/>
    <col customWidth="1" min="22" max="22" width="18.86"/>
    <col customWidth="1" min="23" max="23" width="29.0"/>
    <col customWidth="1" min="24" max="24" width="21.71"/>
    <col customWidth="1" min="25" max="26" width="12.71"/>
  </cols>
  <sheetData>
    <row r="1">
      <c r="A1" s="69" t="s">
        <v>345</v>
      </c>
      <c r="B1" s="69" t="s">
        <v>346</v>
      </c>
      <c r="C1" s="69" t="s">
        <v>347</v>
      </c>
      <c r="D1" s="70" t="s">
        <v>348</v>
      </c>
      <c r="E1" s="70" t="s">
        <v>349</v>
      </c>
      <c r="F1" s="69" t="s">
        <v>350</v>
      </c>
      <c r="G1" s="69" t="s">
        <v>351</v>
      </c>
      <c r="H1" s="69" t="s">
        <v>352</v>
      </c>
      <c r="I1" s="69" t="s">
        <v>353</v>
      </c>
      <c r="J1" s="69" t="s">
        <v>354</v>
      </c>
      <c r="K1" s="69" t="s">
        <v>355</v>
      </c>
      <c r="L1" s="69" t="s">
        <v>356</v>
      </c>
      <c r="M1" s="69" t="s">
        <v>357</v>
      </c>
      <c r="N1" s="69" t="s">
        <v>358</v>
      </c>
      <c r="O1" s="69" t="s">
        <v>359</v>
      </c>
      <c r="P1" s="69" t="s">
        <v>360</v>
      </c>
      <c r="Q1" s="69" t="s">
        <v>361</v>
      </c>
      <c r="R1" s="69" t="s">
        <v>362</v>
      </c>
      <c r="S1" s="70" t="s">
        <v>363</v>
      </c>
      <c r="T1" s="70" t="s">
        <v>364</v>
      </c>
      <c r="U1" s="70" t="s">
        <v>365</v>
      </c>
      <c r="V1" s="70" t="s">
        <v>366</v>
      </c>
      <c r="W1" s="70" t="s">
        <v>367</v>
      </c>
      <c r="X1" s="70" t="s">
        <v>368</v>
      </c>
      <c r="Y1" s="71"/>
      <c r="Z1" s="71"/>
    </row>
    <row r="2">
      <c r="A2" s="72">
        <v>45351.38466069444</v>
      </c>
      <c r="B2" s="73" t="s">
        <v>369</v>
      </c>
      <c r="C2" s="73" t="s">
        <v>189</v>
      </c>
      <c r="D2" s="73" t="s">
        <v>370</v>
      </c>
      <c r="E2" s="74" t="s">
        <v>371</v>
      </c>
      <c r="F2" s="73">
        <v>1.0</v>
      </c>
      <c r="G2" s="73">
        <v>3.0</v>
      </c>
      <c r="H2" s="73">
        <v>1.0</v>
      </c>
      <c r="I2" s="73">
        <v>1.0</v>
      </c>
      <c r="J2" s="73">
        <v>1.0</v>
      </c>
      <c r="K2" s="73">
        <v>1.0</v>
      </c>
      <c r="L2" s="73">
        <v>5.0</v>
      </c>
      <c r="M2" s="73">
        <v>1.0</v>
      </c>
      <c r="N2" s="73">
        <v>1.0</v>
      </c>
      <c r="O2" s="73">
        <v>1.0</v>
      </c>
      <c r="P2" s="73">
        <v>1.0</v>
      </c>
      <c r="Q2" s="73">
        <v>1.0</v>
      </c>
      <c r="R2" s="73">
        <v>3.0</v>
      </c>
      <c r="S2" s="73">
        <v>5.0</v>
      </c>
      <c r="T2" s="73" t="s">
        <v>372</v>
      </c>
      <c r="U2" s="73" t="s">
        <v>373</v>
      </c>
      <c r="V2" s="73" t="s">
        <v>374</v>
      </c>
      <c r="W2" s="74" t="s">
        <v>375</v>
      </c>
      <c r="X2" s="74" t="s">
        <v>376</v>
      </c>
      <c r="Y2" s="75"/>
      <c r="Z2" s="75"/>
    </row>
    <row r="3">
      <c r="A3" s="72">
        <v>45351.387247094906</v>
      </c>
      <c r="B3" s="73" t="s">
        <v>377</v>
      </c>
      <c r="C3" s="73" t="s">
        <v>378</v>
      </c>
      <c r="D3" s="73" t="s">
        <v>379</v>
      </c>
      <c r="E3" s="74" t="s">
        <v>380</v>
      </c>
      <c r="F3" s="73">
        <v>1.0</v>
      </c>
      <c r="G3" s="73">
        <v>3.0</v>
      </c>
      <c r="H3" s="73">
        <v>1.0</v>
      </c>
      <c r="I3" s="73">
        <v>1.0</v>
      </c>
      <c r="J3" s="73">
        <v>1.0</v>
      </c>
      <c r="K3" s="73">
        <v>1.0</v>
      </c>
      <c r="L3" s="73">
        <v>3.0</v>
      </c>
      <c r="M3" s="73">
        <v>1.0</v>
      </c>
      <c r="N3" s="73">
        <v>1.0</v>
      </c>
      <c r="O3" s="73">
        <v>1.0</v>
      </c>
      <c r="P3" s="73">
        <v>1.0</v>
      </c>
      <c r="Q3" s="73">
        <v>5.0</v>
      </c>
      <c r="R3" s="73">
        <v>3.0</v>
      </c>
      <c r="S3" s="73">
        <v>3.0</v>
      </c>
      <c r="T3" s="73" t="s">
        <v>372</v>
      </c>
      <c r="U3" s="73" t="s">
        <v>373</v>
      </c>
      <c r="V3" s="73" t="s">
        <v>374</v>
      </c>
      <c r="W3" s="74" t="s">
        <v>381</v>
      </c>
      <c r="X3" s="74" t="s">
        <v>382</v>
      </c>
      <c r="Y3" s="75"/>
      <c r="Z3" s="75"/>
    </row>
    <row r="4">
      <c r="A4" s="72">
        <v>45351.472184722224</v>
      </c>
      <c r="B4" s="73" t="s">
        <v>377</v>
      </c>
      <c r="C4" s="73" t="s">
        <v>378</v>
      </c>
      <c r="D4" s="73" t="s">
        <v>383</v>
      </c>
      <c r="E4" s="74" t="s">
        <v>384</v>
      </c>
      <c r="F4" s="73">
        <v>10.0</v>
      </c>
      <c r="G4" s="73">
        <v>7.0</v>
      </c>
      <c r="H4" s="73">
        <v>8.0</v>
      </c>
      <c r="I4" s="73">
        <v>5.0</v>
      </c>
      <c r="J4" s="73">
        <v>7.0</v>
      </c>
      <c r="K4" s="73">
        <v>7.0</v>
      </c>
      <c r="L4" s="73">
        <v>5.0</v>
      </c>
      <c r="M4" s="73">
        <v>5.0</v>
      </c>
      <c r="N4" s="73">
        <v>3.0</v>
      </c>
      <c r="O4" s="73">
        <v>5.0</v>
      </c>
      <c r="P4" s="73">
        <v>3.0</v>
      </c>
      <c r="Q4" s="73">
        <v>6.0</v>
      </c>
      <c r="R4" s="73">
        <v>9.0</v>
      </c>
      <c r="S4" s="73">
        <v>10.0</v>
      </c>
      <c r="T4" s="73" t="s">
        <v>372</v>
      </c>
      <c r="U4" s="73" t="s">
        <v>373</v>
      </c>
      <c r="V4" s="73" t="s">
        <v>374</v>
      </c>
      <c r="W4" s="74" t="s">
        <v>375</v>
      </c>
      <c r="X4" s="74" t="s">
        <v>385</v>
      </c>
      <c r="Y4" s="75"/>
      <c r="Z4" s="75"/>
    </row>
    <row r="5">
      <c r="A5" s="72">
        <v>45351.49764721065</v>
      </c>
      <c r="B5" s="73" t="s">
        <v>386</v>
      </c>
      <c r="C5" s="73" t="s">
        <v>189</v>
      </c>
      <c r="D5" s="73" t="s">
        <v>379</v>
      </c>
      <c r="E5" s="74" t="s">
        <v>387</v>
      </c>
      <c r="F5" s="73">
        <v>10.0</v>
      </c>
      <c r="G5" s="73">
        <v>10.0</v>
      </c>
      <c r="H5" s="73">
        <v>10.0</v>
      </c>
      <c r="I5" s="73">
        <v>5.0</v>
      </c>
      <c r="J5" s="73">
        <v>5.0</v>
      </c>
      <c r="K5" s="73">
        <v>5.0</v>
      </c>
      <c r="L5" s="73">
        <v>10.0</v>
      </c>
      <c r="M5" s="73">
        <v>1.0</v>
      </c>
      <c r="N5" s="73">
        <v>1.0</v>
      </c>
      <c r="O5" s="73">
        <v>1.0</v>
      </c>
      <c r="P5" s="73">
        <v>1.0</v>
      </c>
      <c r="Q5" s="73">
        <v>1.0</v>
      </c>
      <c r="R5" s="73">
        <v>5.0</v>
      </c>
      <c r="S5" s="73">
        <v>10.0</v>
      </c>
      <c r="T5" s="73" t="s">
        <v>372</v>
      </c>
      <c r="U5" s="73" t="s">
        <v>373</v>
      </c>
      <c r="V5" s="73" t="s">
        <v>374</v>
      </c>
      <c r="W5" s="74" t="s">
        <v>375</v>
      </c>
      <c r="X5" s="74" t="s">
        <v>388</v>
      </c>
      <c r="Y5" s="75"/>
      <c r="Z5" s="75"/>
    </row>
    <row r="6">
      <c r="A6" s="72">
        <v>45351.56882321759</v>
      </c>
      <c r="B6" s="73" t="s">
        <v>8</v>
      </c>
      <c r="C6" s="73" t="s">
        <v>189</v>
      </c>
      <c r="D6" s="73" t="s">
        <v>389</v>
      </c>
      <c r="E6" s="74" t="s">
        <v>390</v>
      </c>
      <c r="F6" s="73">
        <v>1.0</v>
      </c>
      <c r="G6" s="73">
        <v>1.0</v>
      </c>
      <c r="H6" s="73">
        <v>1.0</v>
      </c>
      <c r="I6" s="73">
        <v>1.0</v>
      </c>
      <c r="J6" s="73">
        <v>1.0</v>
      </c>
      <c r="K6" s="73">
        <v>1.0</v>
      </c>
      <c r="L6" s="73">
        <v>1.0</v>
      </c>
      <c r="M6" s="73">
        <v>1.0</v>
      </c>
      <c r="N6" s="73">
        <v>1.0</v>
      </c>
      <c r="O6" s="73">
        <v>1.0</v>
      </c>
      <c r="P6" s="73">
        <v>1.0</v>
      </c>
      <c r="Q6" s="73">
        <v>1.0</v>
      </c>
      <c r="R6" s="73">
        <v>1.0</v>
      </c>
      <c r="S6" s="73">
        <v>1.0</v>
      </c>
      <c r="T6" s="73" t="s">
        <v>391</v>
      </c>
      <c r="U6" s="76"/>
      <c r="V6" s="73" t="s">
        <v>391</v>
      </c>
      <c r="W6" s="74" t="s">
        <v>392</v>
      </c>
      <c r="X6" s="74" t="s">
        <v>393</v>
      </c>
      <c r="Y6" s="75"/>
      <c r="Z6" s="75"/>
    </row>
    <row r="7">
      <c r="A7" s="72">
        <v>45351.62045555556</v>
      </c>
      <c r="B7" s="73" t="s">
        <v>8</v>
      </c>
      <c r="C7" s="73" t="s">
        <v>394</v>
      </c>
      <c r="D7" s="73" t="s">
        <v>395</v>
      </c>
      <c r="E7" s="74" t="s">
        <v>362</v>
      </c>
      <c r="F7" s="73">
        <v>1.0</v>
      </c>
      <c r="G7" s="73">
        <v>1.0</v>
      </c>
      <c r="H7" s="73">
        <v>1.0</v>
      </c>
      <c r="I7" s="73">
        <v>1.0</v>
      </c>
      <c r="J7" s="73">
        <v>1.0</v>
      </c>
      <c r="K7" s="73">
        <v>1.0</v>
      </c>
      <c r="L7" s="73">
        <v>1.0</v>
      </c>
      <c r="M7" s="73">
        <v>1.0</v>
      </c>
      <c r="N7" s="73">
        <v>1.0</v>
      </c>
      <c r="O7" s="73">
        <v>1.0</v>
      </c>
      <c r="P7" s="73">
        <v>1.0</v>
      </c>
      <c r="Q7" s="73">
        <v>1.0</v>
      </c>
      <c r="R7" s="73">
        <v>1.0</v>
      </c>
      <c r="S7" s="73">
        <v>1.0</v>
      </c>
      <c r="T7" s="73" t="s">
        <v>372</v>
      </c>
      <c r="U7" s="73" t="s">
        <v>396</v>
      </c>
      <c r="V7" s="73" t="s">
        <v>374</v>
      </c>
      <c r="W7" s="74" t="s">
        <v>397</v>
      </c>
      <c r="X7" s="74" t="s">
        <v>398</v>
      </c>
      <c r="Y7" s="75"/>
      <c r="Z7" s="75"/>
    </row>
    <row r="8">
      <c r="A8" s="72">
        <v>45351.71625479167</v>
      </c>
      <c r="B8" s="73" t="s">
        <v>377</v>
      </c>
      <c r="C8" s="73" t="s">
        <v>399</v>
      </c>
      <c r="D8" s="73" t="s">
        <v>400</v>
      </c>
      <c r="E8" s="74" t="s">
        <v>371</v>
      </c>
      <c r="F8" s="73">
        <v>1.0</v>
      </c>
      <c r="G8" s="73">
        <v>1.0</v>
      </c>
      <c r="H8" s="73">
        <v>1.0</v>
      </c>
      <c r="I8" s="73">
        <v>1.0</v>
      </c>
      <c r="J8" s="73">
        <v>1.0</v>
      </c>
      <c r="K8" s="73">
        <v>3.0</v>
      </c>
      <c r="L8" s="73">
        <v>1.0</v>
      </c>
      <c r="M8" s="73">
        <v>1.0</v>
      </c>
      <c r="N8" s="73">
        <v>1.0</v>
      </c>
      <c r="O8" s="73">
        <v>1.0</v>
      </c>
      <c r="P8" s="73">
        <v>1.0</v>
      </c>
      <c r="Q8" s="73">
        <v>1.0</v>
      </c>
      <c r="R8" s="73">
        <v>1.0</v>
      </c>
      <c r="S8" s="73">
        <v>5.0</v>
      </c>
      <c r="T8" s="73" t="s">
        <v>372</v>
      </c>
      <c r="U8" s="73" t="s">
        <v>373</v>
      </c>
      <c r="V8" s="73" t="s">
        <v>374</v>
      </c>
      <c r="W8" s="74" t="s">
        <v>401</v>
      </c>
      <c r="X8" s="74" t="s">
        <v>382</v>
      </c>
      <c r="Y8" s="75"/>
      <c r="Z8" s="75"/>
    </row>
    <row r="9">
      <c r="A9" s="72">
        <v>45352.47787210648</v>
      </c>
      <c r="B9" s="73" t="s">
        <v>377</v>
      </c>
      <c r="C9" s="73" t="s">
        <v>189</v>
      </c>
      <c r="D9" s="73" t="s">
        <v>379</v>
      </c>
      <c r="E9" s="74" t="s">
        <v>402</v>
      </c>
      <c r="F9" s="73">
        <v>10.0</v>
      </c>
      <c r="G9" s="73">
        <v>10.0</v>
      </c>
      <c r="H9" s="73">
        <v>10.0</v>
      </c>
      <c r="I9" s="73">
        <v>3.0</v>
      </c>
      <c r="J9" s="73">
        <v>8.0</v>
      </c>
      <c r="K9" s="73">
        <v>6.0</v>
      </c>
      <c r="L9" s="73">
        <v>7.0</v>
      </c>
      <c r="M9" s="73">
        <v>5.0</v>
      </c>
      <c r="N9" s="73">
        <v>3.0</v>
      </c>
      <c r="O9" s="73">
        <v>4.0</v>
      </c>
      <c r="P9" s="73">
        <v>4.0</v>
      </c>
      <c r="Q9" s="73">
        <v>10.0</v>
      </c>
      <c r="R9" s="73">
        <v>6.0</v>
      </c>
      <c r="S9" s="73">
        <v>10.0</v>
      </c>
      <c r="T9" s="73" t="s">
        <v>372</v>
      </c>
      <c r="U9" s="73" t="s">
        <v>373</v>
      </c>
      <c r="V9" s="73" t="s">
        <v>374</v>
      </c>
      <c r="W9" s="74" t="s">
        <v>397</v>
      </c>
      <c r="X9" s="74" t="s">
        <v>403</v>
      </c>
      <c r="Y9" s="75"/>
      <c r="Z9" s="75"/>
    </row>
    <row r="10">
      <c r="A10" s="72">
        <v>45357.53515134259</v>
      </c>
      <c r="B10" s="73" t="s">
        <v>377</v>
      </c>
      <c r="C10" s="73" t="s">
        <v>404</v>
      </c>
      <c r="D10" s="73" t="s">
        <v>405</v>
      </c>
      <c r="E10" s="74" t="s">
        <v>371</v>
      </c>
      <c r="F10" s="73">
        <v>1.0</v>
      </c>
      <c r="G10" s="73">
        <v>1.0</v>
      </c>
      <c r="H10" s="73">
        <v>1.0</v>
      </c>
      <c r="I10" s="73">
        <v>1.0</v>
      </c>
      <c r="J10" s="73">
        <v>1.0</v>
      </c>
      <c r="K10" s="73">
        <v>1.0</v>
      </c>
      <c r="L10" s="73">
        <v>1.0</v>
      </c>
      <c r="M10" s="73">
        <v>1.0</v>
      </c>
      <c r="N10" s="73">
        <v>1.0</v>
      </c>
      <c r="O10" s="73">
        <v>1.0</v>
      </c>
      <c r="P10" s="73">
        <v>1.0</v>
      </c>
      <c r="Q10" s="73">
        <v>1.0</v>
      </c>
      <c r="R10" s="73">
        <v>1.0</v>
      </c>
      <c r="S10" s="73">
        <v>3.0</v>
      </c>
      <c r="T10" s="73" t="s">
        <v>372</v>
      </c>
      <c r="U10" s="73" t="s">
        <v>406</v>
      </c>
      <c r="V10" s="73" t="s">
        <v>374</v>
      </c>
      <c r="W10" s="74" t="s">
        <v>381</v>
      </c>
      <c r="X10" s="74" t="s">
        <v>382</v>
      </c>
      <c r="Y10" s="75"/>
      <c r="Z10" s="75"/>
    </row>
    <row r="11">
      <c r="A11" s="72">
        <v>45357.56320164352</v>
      </c>
      <c r="B11" s="73" t="s">
        <v>377</v>
      </c>
      <c r="C11" s="73" t="s">
        <v>394</v>
      </c>
      <c r="D11" s="73" t="s">
        <v>395</v>
      </c>
      <c r="E11" s="74" t="s">
        <v>407</v>
      </c>
      <c r="F11" s="73">
        <v>3.0</v>
      </c>
      <c r="G11" s="73">
        <v>4.0</v>
      </c>
      <c r="H11" s="73">
        <v>1.0</v>
      </c>
      <c r="I11" s="73">
        <v>1.0</v>
      </c>
      <c r="J11" s="73">
        <v>1.0</v>
      </c>
      <c r="K11" s="73">
        <v>1.0</v>
      </c>
      <c r="L11" s="73">
        <v>3.0</v>
      </c>
      <c r="M11" s="73">
        <v>2.0</v>
      </c>
      <c r="N11" s="73">
        <v>1.0</v>
      </c>
      <c r="O11" s="73">
        <v>2.0</v>
      </c>
      <c r="P11" s="73">
        <v>1.0</v>
      </c>
      <c r="Q11" s="73">
        <v>1.0</v>
      </c>
      <c r="R11" s="73">
        <v>4.0</v>
      </c>
      <c r="S11" s="73">
        <v>4.0</v>
      </c>
      <c r="T11" s="73" t="s">
        <v>372</v>
      </c>
      <c r="U11" s="73" t="s">
        <v>408</v>
      </c>
      <c r="V11" s="73" t="s">
        <v>374</v>
      </c>
      <c r="W11" s="74" t="s">
        <v>381</v>
      </c>
      <c r="X11" s="74" t="s">
        <v>409</v>
      </c>
      <c r="Y11" s="75"/>
      <c r="Z11" s="75"/>
    </row>
    <row r="12">
      <c r="A12" s="72">
        <v>45357.706347280095</v>
      </c>
      <c r="B12" s="73" t="s">
        <v>70</v>
      </c>
      <c r="C12" s="73" t="s">
        <v>296</v>
      </c>
      <c r="D12" s="73">
        <v>80000.0</v>
      </c>
      <c r="E12" s="74" t="s">
        <v>410</v>
      </c>
      <c r="F12" s="73">
        <v>1.0</v>
      </c>
      <c r="G12" s="73">
        <v>1.0</v>
      </c>
      <c r="H12" s="73">
        <v>1.0</v>
      </c>
      <c r="I12" s="73">
        <v>1.0</v>
      </c>
      <c r="J12" s="73">
        <v>1.0</v>
      </c>
      <c r="K12" s="73">
        <v>2.0</v>
      </c>
      <c r="L12" s="73">
        <v>1.0</v>
      </c>
      <c r="M12" s="73">
        <v>1.0</v>
      </c>
      <c r="N12" s="73">
        <v>1.0</v>
      </c>
      <c r="O12" s="73">
        <v>1.0</v>
      </c>
      <c r="P12" s="73">
        <v>1.0</v>
      </c>
      <c r="Q12" s="73">
        <v>1.0</v>
      </c>
      <c r="R12" s="73">
        <v>1.0</v>
      </c>
      <c r="S12" s="73">
        <v>3.0</v>
      </c>
      <c r="T12" s="73" t="s">
        <v>372</v>
      </c>
      <c r="U12" s="73" t="s">
        <v>411</v>
      </c>
      <c r="V12" s="73" t="s">
        <v>374</v>
      </c>
      <c r="W12" s="74" t="s">
        <v>412</v>
      </c>
      <c r="X12" s="74" t="s">
        <v>413</v>
      </c>
      <c r="Y12" s="75"/>
      <c r="Z12" s="75"/>
    </row>
    <row r="13">
      <c r="A13" s="72">
        <v>45359.427819537035</v>
      </c>
      <c r="B13" s="73" t="s">
        <v>8</v>
      </c>
      <c r="C13" s="73" t="s">
        <v>404</v>
      </c>
      <c r="D13" s="73" t="s">
        <v>414</v>
      </c>
      <c r="E13" s="74" t="s">
        <v>415</v>
      </c>
      <c r="F13" s="73">
        <v>10.0</v>
      </c>
      <c r="G13" s="73">
        <v>7.0</v>
      </c>
      <c r="H13" s="73">
        <v>10.0</v>
      </c>
      <c r="I13" s="73">
        <v>1.0</v>
      </c>
      <c r="J13" s="73">
        <v>2.0</v>
      </c>
      <c r="K13" s="73">
        <v>1.0</v>
      </c>
      <c r="L13" s="73">
        <v>1.0</v>
      </c>
      <c r="M13" s="73">
        <v>1.0</v>
      </c>
      <c r="N13" s="73">
        <v>3.0</v>
      </c>
      <c r="O13" s="73">
        <v>1.0</v>
      </c>
      <c r="P13" s="73">
        <v>3.0</v>
      </c>
      <c r="Q13" s="73">
        <v>3.0</v>
      </c>
      <c r="R13" s="73">
        <v>3.0</v>
      </c>
      <c r="S13" s="73">
        <v>8.0</v>
      </c>
      <c r="T13" s="73" t="s">
        <v>372</v>
      </c>
      <c r="U13" s="73" t="s">
        <v>416</v>
      </c>
      <c r="V13" s="73" t="s">
        <v>374</v>
      </c>
      <c r="W13" s="74" t="s">
        <v>375</v>
      </c>
      <c r="X13" s="74" t="s">
        <v>417</v>
      </c>
      <c r="Y13" s="75"/>
      <c r="Z13" s="75"/>
    </row>
    <row r="14">
      <c r="A14" s="72">
        <v>45362.49583240741</v>
      </c>
      <c r="B14" s="73" t="s">
        <v>8</v>
      </c>
      <c r="C14" s="73" t="s">
        <v>243</v>
      </c>
      <c r="D14" s="73" t="s">
        <v>395</v>
      </c>
      <c r="E14" s="74" t="s">
        <v>390</v>
      </c>
      <c r="F14" s="73">
        <v>1.0</v>
      </c>
      <c r="G14" s="73">
        <v>1.0</v>
      </c>
      <c r="H14" s="73">
        <v>1.0</v>
      </c>
      <c r="I14" s="73">
        <v>1.0</v>
      </c>
      <c r="J14" s="73">
        <v>1.0</v>
      </c>
      <c r="K14" s="73">
        <v>2.0</v>
      </c>
      <c r="L14" s="73">
        <v>1.0</v>
      </c>
      <c r="M14" s="73">
        <v>1.0</v>
      </c>
      <c r="N14" s="73">
        <v>1.0</v>
      </c>
      <c r="O14" s="73">
        <v>1.0</v>
      </c>
      <c r="P14" s="73">
        <v>2.0</v>
      </c>
      <c r="Q14" s="73">
        <v>1.0</v>
      </c>
      <c r="R14" s="73">
        <v>1.0</v>
      </c>
      <c r="S14" s="73">
        <v>1.0</v>
      </c>
      <c r="T14" s="73" t="s">
        <v>372</v>
      </c>
      <c r="U14" s="73" t="s">
        <v>408</v>
      </c>
      <c r="V14" s="73" t="s">
        <v>374</v>
      </c>
      <c r="W14" s="74" t="s">
        <v>392</v>
      </c>
      <c r="X14" s="74" t="s">
        <v>418</v>
      </c>
      <c r="Y14" s="75"/>
      <c r="Z14" s="75"/>
    </row>
    <row r="15">
      <c r="A15" s="72">
        <v>45362.631807858794</v>
      </c>
      <c r="B15" s="73" t="s">
        <v>377</v>
      </c>
      <c r="C15" s="73" t="s">
        <v>404</v>
      </c>
      <c r="D15" s="73" t="s">
        <v>389</v>
      </c>
      <c r="E15" s="74" t="s">
        <v>362</v>
      </c>
      <c r="F15" s="73">
        <v>1.0</v>
      </c>
      <c r="G15" s="73">
        <v>1.0</v>
      </c>
      <c r="H15" s="73">
        <v>1.0</v>
      </c>
      <c r="I15" s="73">
        <v>1.0</v>
      </c>
      <c r="J15" s="73">
        <v>1.0</v>
      </c>
      <c r="K15" s="73">
        <v>1.0</v>
      </c>
      <c r="L15" s="73">
        <v>1.0</v>
      </c>
      <c r="M15" s="73">
        <v>1.0</v>
      </c>
      <c r="N15" s="73">
        <v>1.0</v>
      </c>
      <c r="O15" s="73">
        <v>1.0</v>
      </c>
      <c r="P15" s="73">
        <v>1.0</v>
      </c>
      <c r="Q15" s="73">
        <v>1.0</v>
      </c>
      <c r="R15" s="73">
        <v>3.0</v>
      </c>
      <c r="S15" s="73">
        <v>2.0</v>
      </c>
      <c r="T15" s="73" t="s">
        <v>372</v>
      </c>
      <c r="U15" s="73" t="s">
        <v>416</v>
      </c>
      <c r="V15" s="73" t="s">
        <v>374</v>
      </c>
      <c r="W15" s="74" t="s">
        <v>381</v>
      </c>
      <c r="X15" s="74" t="s">
        <v>419</v>
      </c>
      <c r="Y15" s="75"/>
      <c r="Z15" s="75"/>
    </row>
    <row r="16">
      <c r="A16" s="72">
        <v>45364.67805886574</v>
      </c>
      <c r="B16" s="73" t="s">
        <v>8</v>
      </c>
      <c r="C16" s="73" t="s">
        <v>378</v>
      </c>
      <c r="D16" s="73" t="s">
        <v>379</v>
      </c>
      <c r="E16" s="74" t="s">
        <v>390</v>
      </c>
      <c r="F16" s="73">
        <v>2.0</v>
      </c>
      <c r="G16" s="73">
        <v>3.0</v>
      </c>
      <c r="H16" s="73">
        <v>2.0</v>
      </c>
      <c r="I16" s="73">
        <v>1.0</v>
      </c>
      <c r="J16" s="73">
        <v>2.0</v>
      </c>
      <c r="K16" s="73">
        <v>4.0</v>
      </c>
      <c r="L16" s="73">
        <v>1.0</v>
      </c>
      <c r="M16" s="73">
        <v>1.0</v>
      </c>
      <c r="N16" s="73">
        <v>1.0</v>
      </c>
      <c r="O16" s="73">
        <v>1.0</v>
      </c>
      <c r="P16" s="73">
        <v>1.0</v>
      </c>
      <c r="Q16" s="73">
        <v>2.0</v>
      </c>
      <c r="R16" s="73">
        <v>2.0</v>
      </c>
      <c r="S16" s="73">
        <v>2.0</v>
      </c>
      <c r="T16" s="73" t="s">
        <v>372</v>
      </c>
      <c r="U16" s="73" t="s">
        <v>373</v>
      </c>
      <c r="V16" s="73" t="s">
        <v>374</v>
      </c>
      <c r="W16" s="74" t="s">
        <v>397</v>
      </c>
      <c r="X16" s="74" t="s">
        <v>420</v>
      </c>
      <c r="Y16" s="75"/>
      <c r="Z16" s="75"/>
    </row>
    <row r="17">
      <c r="A17" s="72">
        <v>45364.82242590278</v>
      </c>
      <c r="B17" s="73" t="s">
        <v>369</v>
      </c>
      <c r="C17" s="73" t="s">
        <v>399</v>
      </c>
      <c r="D17" s="73" t="s">
        <v>389</v>
      </c>
      <c r="E17" s="74" t="s">
        <v>421</v>
      </c>
      <c r="F17" s="73">
        <v>1.0</v>
      </c>
      <c r="G17" s="73">
        <v>1.0</v>
      </c>
      <c r="H17" s="73">
        <v>1.0</v>
      </c>
      <c r="I17" s="73">
        <v>1.0</v>
      </c>
      <c r="J17" s="73">
        <v>2.0</v>
      </c>
      <c r="K17" s="73">
        <v>2.0</v>
      </c>
      <c r="L17" s="73">
        <v>1.0</v>
      </c>
      <c r="M17" s="73">
        <v>2.0</v>
      </c>
      <c r="N17" s="73">
        <v>1.0</v>
      </c>
      <c r="O17" s="73">
        <v>1.0</v>
      </c>
      <c r="P17" s="73">
        <v>1.0</v>
      </c>
      <c r="Q17" s="73">
        <v>1.0</v>
      </c>
      <c r="R17" s="73">
        <v>4.0</v>
      </c>
      <c r="S17" s="73">
        <v>2.0</v>
      </c>
      <c r="T17" s="73" t="s">
        <v>372</v>
      </c>
      <c r="U17" s="73" t="s">
        <v>416</v>
      </c>
      <c r="V17" s="73" t="s">
        <v>374</v>
      </c>
      <c r="W17" s="74" t="s">
        <v>375</v>
      </c>
      <c r="X17" s="74" t="s">
        <v>422</v>
      </c>
      <c r="Y17" s="75"/>
      <c r="Z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7"/>
      <c r="Y18" s="75"/>
      <c r="Z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7"/>
      <c r="Y19" s="75"/>
      <c r="Z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7"/>
      <c r="Y20" s="75"/>
      <c r="Z20" s="75"/>
    </row>
    <row r="21" ht="15.7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7"/>
      <c r="Y21" s="75"/>
      <c r="Z21" s="75"/>
    </row>
    <row r="22" ht="15.7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7"/>
      <c r="Y22" s="75"/>
      <c r="Z22" s="75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7"/>
      <c r="Y23" s="75"/>
      <c r="Z23" s="75"/>
    </row>
    <row r="24" ht="15.7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7"/>
      <c r="Y24" s="75"/>
      <c r="Z24" s="75"/>
    </row>
    <row r="25" ht="15.7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7"/>
      <c r="Y25" s="75"/>
      <c r="Z25" s="75"/>
    </row>
    <row r="26" ht="15.7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7"/>
      <c r="Y26" s="75"/>
      <c r="Z26" s="75"/>
    </row>
    <row r="27" ht="15.7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7"/>
      <c r="Y27" s="75"/>
      <c r="Z27" s="75"/>
    </row>
    <row r="28" ht="15.7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7"/>
      <c r="Y28" s="75"/>
      <c r="Z28" s="75"/>
    </row>
    <row r="29" ht="15.7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7"/>
      <c r="Y29" s="75"/>
      <c r="Z29" s="75"/>
    </row>
    <row r="30" ht="15.7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7"/>
      <c r="Y30" s="75"/>
      <c r="Z30" s="75"/>
    </row>
    <row r="31" ht="15.75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7"/>
      <c r="Y31" s="75"/>
      <c r="Z31" s="75"/>
    </row>
    <row r="32" ht="15.7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7"/>
      <c r="Y32" s="75"/>
      <c r="Z32" s="75"/>
    </row>
    <row r="33" ht="15.7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7"/>
      <c r="Y33" s="75"/>
      <c r="Z33" s="75"/>
    </row>
    <row r="34" ht="15.75" customHeight="1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7"/>
      <c r="Y34" s="75"/>
      <c r="Z34" s="75"/>
    </row>
    <row r="35" ht="15.7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7"/>
      <c r="Y35" s="75"/>
      <c r="Z35" s="75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7"/>
      <c r="Y36" s="75"/>
      <c r="Z36" s="75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7"/>
      <c r="Y37" s="75"/>
      <c r="Z37" s="75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7"/>
      <c r="Y38" s="75"/>
      <c r="Z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7"/>
      <c r="Y39" s="75"/>
      <c r="Z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7"/>
      <c r="Y40" s="75"/>
      <c r="Z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7"/>
      <c r="Y41" s="75"/>
      <c r="Z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7"/>
      <c r="Y42" s="75"/>
      <c r="Z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7"/>
      <c r="Y43" s="75"/>
      <c r="Z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7"/>
      <c r="Y44" s="75"/>
      <c r="Z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7"/>
      <c r="Y45" s="75"/>
      <c r="Z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7"/>
      <c r="Y46" s="75"/>
      <c r="Z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7"/>
      <c r="Y47" s="75"/>
      <c r="Z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7"/>
      <c r="Y48" s="75"/>
      <c r="Z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7"/>
      <c r="Y49" s="75"/>
      <c r="Z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7"/>
      <c r="Y50" s="75"/>
      <c r="Z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7"/>
      <c r="Y51" s="75"/>
      <c r="Z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7"/>
      <c r="Y52" s="75"/>
      <c r="Z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7"/>
      <c r="Y53" s="75"/>
      <c r="Z53" s="75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7"/>
      <c r="Y54" s="75"/>
      <c r="Z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7"/>
      <c r="Y55" s="75"/>
      <c r="Z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7"/>
      <c r="Y56" s="75"/>
      <c r="Z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7"/>
      <c r="Y57" s="75"/>
      <c r="Z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7"/>
      <c r="Y58" s="75"/>
      <c r="Z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7"/>
      <c r="Y59" s="75"/>
      <c r="Z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7"/>
      <c r="Y60" s="75"/>
      <c r="Z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7"/>
      <c r="Y61" s="75"/>
      <c r="Z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7"/>
      <c r="Y62" s="75"/>
      <c r="Z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7"/>
      <c r="Y63" s="75"/>
      <c r="Z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7"/>
      <c r="Y64" s="75"/>
      <c r="Z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7"/>
      <c r="Y65" s="75"/>
      <c r="Z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7"/>
      <c r="Y66" s="75"/>
      <c r="Z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7"/>
      <c r="Y67" s="75"/>
      <c r="Z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7"/>
      <c r="Y68" s="75"/>
      <c r="Z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7"/>
      <c r="Y69" s="75"/>
      <c r="Z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7"/>
      <c r="Y70" s="75"/>
      <c r="Z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7"/>
      <c r="Y71" s="75"/>
      <c r="Z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7"/>
      <c r="Y72" s="75"/>
      <c r="Z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7"/>
      <c r="Y73" s="75"/>
      <c r="Z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7"/>
      <c r="Y74" s="75"/>
      <c r="Z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7"/>
      <c r="Y75" s="75"/>
      <c r="Z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7"/>
      <c r="Y76" s="75"/>
      <c r="Z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7"/>
      <c r="Y77" s="75"/>
      <c r="Z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7"/>
      <c r="Y78" s="75"/>
      <c r="Z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7"/>
      <c r="Y79" s="75"/>
      <c r="Z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7"/>
      <c r="Y80" s="75"/>
      <c r="Z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7"/>
      <c r="Y81" s="75"/>
      <c r="Z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7"/>
      <c r="Y82" s="75"/>
      <c r="Z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7"/>
      <c r="Y83" s="75"/>
      <c r="Z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7"/>
      <c r="Y84" s="75"/>
      <c r="Z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7"/>
      <c r="Y85" s="75"/>
      <c r="Z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7"/>
      <c r="Y86" s="75"/>
      <c r="Z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7"/>
      <c r="Y87" s="75"/>
      <c r="Z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7"/>
      <c r="Y88" s="75"/>
      <c r="Z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7"/>
      <c r="Y89" s="75"/>
      <c r="Z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7"/>
      <c r="Y90" s="75"/>
      <c r="Z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7"/>
      <c r="Y91" s="75"/>
      <c r="Z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7"/>
      <c r="Y92" s="75"/>
      <c r="Z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7"/>
      <c r="Y93" s="75"/>
      <c r="Z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7"/>
      <c r="Y94" s="75"/>
      <c r="Z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7"/>
      <c r="Y95" s="75"/>
      <c r="Z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7"/>
      <c r="Y96" s="75"/>
      <c r="Z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7"/>
      <c r="Y97" s="75"/>
      <c r="Z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7"/>
      <c r="Y98" s="75"/>
      <c r="Z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7"/>
      <c r="Y99" s="75"/>
      <c r="Z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7"/>
      <c r="Y100" s="75"/>
      <c r="Z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7"/>
      <c r="Y101" s="75"/>
      <c r="Z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7"/>
      <c r="Y102" s="75"/>
      <c r="Z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7"/>
      <c r="Y103" s="75"/>
      <c r="Z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7"/>
      <c r="Y104" s="75"/>
      <c r="Z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7"/>
      <c r="Y105" s="75"/>
      <c r="Z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7"/>
      <c r="Y106" s="75"/>
      <c r="Z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7"/>
      <c r="Y107" s="75"/>
      <c r="Z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7"/>
      <c r="Y108" s="75"/>
      <c r="Z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7"/>
      <c r="Y109" s="75"/>
      <c r="Z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7"/>
      <c r="Y110" s="75"/>
      <c r="Z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7"/>
      <c r="Y111" s="75"/>
      <c r="Z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7"/>
      <c r="Y112" s="75"/>
      <c r="Z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7"/>
      <c r="Y113" s="75"/>
      <c r="Z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7"/>
      <c r="Y114" s="75"/>
      <c r="Z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7"/>
      <c r="Y115" s="75"/>
      <c r="Z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7"/>
      <c r="Y116" s="75"/>
      <c r="Z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7"/>
      <c r="Y117" s="75"/>
      <c r="Z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7"/>
      <c r="Y118" s="75"/>
      <c r="Z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7"/>
      <c r="Y119" s="75"/>
      <c r="Z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7"/>
      <c r="Y120" s="75"/>
      <c r="Z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7"/>
      <c r="Y121" s="75"/>
      <c r="Z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7"/>
      <c r="Y122" s="75"/>
      <c r="Z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7"/>
      <c r="Y123" s="75"/>
      <c r="Z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7"/>
      <c r="Y124" s="75"/>
      <c r="Z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7"/>
      <c r="Y125" s="75"/>
      <c r="Z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7"/>
      <c r="Y126" s="75"/>
      <c r="Z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7"/>
      <c r="Y127" s="75"/>
      <c r="Z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7"/>
      <c r="Y128" s="75"/>
      <c r="Z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7"/>
      <c r="Y129" s="75"/>
      <c r="Z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7"/>
      <c r="Y130" s="75"/>
      <c r="Z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7"/>
      <c r="Y131" s="75"/>
      <c r="Z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7"/>
      <c r="Y132" s="75"/>
      <c r="Z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7"/>
      <c r="Y133" s="75"/>
      <c r="Z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7"/>
      <c r="Y134" s="75"/>
      <c r="Z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7"/>
      <c r="Y135" s="75"/>
      <c r="Z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7"/>
      <c r="Y136" s="75"/>
      <c r="Z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7"/>
      <c r="Y137" s="75"/>
      <c r="Z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7"/>
      <c r="Y138" s="75"/>
      <c r="Z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7"/>
      <c r="Y139" s="75"/>
      <c r="Z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7"/>
      <c r="Y140" s="75"/>
      <c r="Z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7"/>
      <c r="Y141" s="75"/>
      <c r="Z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7"/>
      <c r="Y142" s="75"/>
      <c r="Z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7"/>
      <c r="Y143" s="75"/>
      <c r="Z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7"/>
      <c r="Y144" s="75"/>
      <c r="Z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7"/>
      <c r="Y145" s="75"/>
      <c r="Z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7"/>
      <c r="Y146" s="75"/>
      <c r="Z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7"/>
      <c r="Y147" s="75"/>
      <c r="Z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7"/>
      <c r="Y148" s="75"/>
      <c r="Z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7"/>
      <c r="Y149" s="75"/>
      <c r="Z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7"/>
      <c r="Y150" s="75"/>
      <c r="Z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7"/>
      <c r="Y151" s="75"/>
      <c r="Z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7"/>
      <c r="Y152" s="75"/>
      <c r="Z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7"/>
      <c r="Y153" s="75"/>
      <c r="Z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7"/>
      <c r="Y154" s="75"/>
      <c r="Z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7"/>
      <c r="Y155" s="75"/>
      <c r="Z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7"/>
      <c r="Y156" s="75"/>
      <c r="Z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7"/>
      <c r="Y157" s="75"/>
      <c r="Z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7"/>
      <c r="Y158" s="75"/>
      <c r="Z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7"/>
      <c r="Y159" s="75"/>
      <c r="Z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7"/>
      <c r="Y160" s="75"/>
      <c r="Z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7"/>
      <c r="Y161" s="75"/>
      <c r="Z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7"/>
      <c r="Y162" s="75"/>
      <c r="Z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7"/>
      <c r="Y163" s="75"/>
      <c r="Z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7"/>
      <c r="Y164" s="75"/>
      <c r="Z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7"/>
      <c r="Y165" s="75"/>
      <c r="Z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7"/>
      <c r="Y166" s="75"/>
      <c r="Z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7"/>
      <c r="Y167" s="75"/>
      <c r="Z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7"/>
      <c r="Y168" s="75"/>
      <c r="Z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7"/>
      <c r="Y169" s="75"/>
      <c r="Z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7"/>
      <c r="Y170" s="75"/>
      <c r="Z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7"/>
      <c r="Y171" s="75"/>
      <c r="Z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7"/>
      <c r="Y172" s="75"/>
      <c r="Z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7"/>
      <c r="Y173" s="75"/>
      <c r="Z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7"/>
      <c r="Y174" s="75"/>
      <c r="Z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7"/>
      <c r="Y175" s="75"/>
      <c r="Z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7"/>
      <c r="Y176" s="75"/>
      <c r="Z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7"/>
      <c r="Y177" s="75"/>
      <c r="Z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7"/>
      <c r="Y178" s="75"/>
      <c r="Z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7"/>
      <c r="Y179" s="75"/>
      <c r="Z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7"/>
      <c r="Y180" s="75"/>
      <c r="Z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7"/>
      <c r="Y181" s="75"/>
      <c r="Z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7"/>
      <c r="Y182" s="75"/>
      <c r="Z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7"/>
      <c r="Y183" s="75"/>
      <c r="Z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7"/>
      <c r="Y184" s="75"/>
      <c r="Z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7"/>
      <c r="Y185" s="75"/>
      <c r="Z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7"/>
      <c r="Y186" s="75"/>
      <c r="Z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7"/>
      <c r="Y187" s="75"/>
      <c r="Z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7"/>
      <c r="Y188" s="75"/>
      <c r="Z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7"/>
      <c r="Y189" s="75"/>
      <c r="Z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7"/>
      <c r="Y190" s="75"/>
      <c r="Z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7"/>
      <c r="Y191" s="75"/>
      <c r="Z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7"/>
      <c r="Y192" s="75"/>
      <c r="Z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7"/>
      <c r="Y193" s="75"/>
      <c r="Z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7"/>
      <c r="Y194" s="75"/>
      <c r="Z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7"/>
      <c r="Y195" s="75"/>
      <c r="Z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7"/>
      <c r="Y196" s="75"/>
      <c r="Z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7"/>
      <c r="Y197" s="75"/>
      <c r="Z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7"/>
      <c r="Y198" s="75"/>
      <c r="Z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7"/>
      <c r="Y199" s="75"/>
      <c r="Z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7"/>
      <c r="Y200" s="75"/>
      <c r="Z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7"/>
      <c r="Y201" s="75"/>
      <c r="Z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7"/>
      <c r="Y202" s="75"/>
      <c r="Z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7"/>
      <c r="Y203" s="75"/>
      <c r="Z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7"/>
      <c r="Y204" s="75"/>
      <c r="Z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7"/>
      <c r="Y205" s="75"/>
      <c r="Z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7"/>
      <c r="Y206" s="75"/>
      <c r="Z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7"/>
      <c r="Y207" s="75"/>
      <c r="Z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7"/>
      <c r="Y208" s="75"/>
      <c r="Z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7"/>
      <c r="Y209" s="75"/>
      <c r="Z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7"/>
      <c r="Y210" s="75"/>
      <c r="Z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7"/>
      <c r="Y211" s="75"/>
      <c r="Z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7"/>
      <c r="Y212" s="75"/>
      <c r="Z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7"/>
      <c r="Y213" s="75"/>
      <c r="Z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7"/>
      <c r="Y214" s="75"/>
      <c r="Z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7"/>
      <c r="Y215" s="75"/>
      <c r="Z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7"/>
      <c r="Y216" s="75"/>
      <c r="Z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7"/>
      <c r="Y217" s="75"/>
      <c r="Z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7"/>
      <c r="Y218" s="75"/>
      <c r="Z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7"/>
      <c r="Y219" s="75"/>
      <c r="Z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7"/>
      <c r="Y220" s="75"/>
      <c r="Z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7"/>
      <c r="Y221" s="75"/>
      <c r="Z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7"/>
      <c r="Y222" s="75"/>
      <c r="Z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7"/>
      <c r="Y223" s="75"/>
      <c r="Z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7"/>
      <c r="Y224" s="75"/>
      <c r="Z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7"/>
      <c r="Y225" s="75"/>
      <c r="Z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7"/>
      <c r="Y226" s="75"/>
      <c r="Z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7"/>
      <c r="Y227" s="75"/>
      <c r="Z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7"/>
      <c r="Y228" s="75"/>
      <c r="Z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7"/>
      <c r="Y229" s="75"/>
      <c r="Z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7"/>
      <c r="Y230" s="75"/>
      <c r="Z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7"/>
      <c r="Y231" s="75"/>
      <c r="Z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7"/>
      <c r="Y232" s="75"/>
      <c r="Z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7"/>
      <c r="Y233" s="75"/>
      <c r="Z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7"/>
      <c r="Y234" s="75"/>
      <c r="Z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7"/>
      <c r="Y235" s="75"/>
      <c r="Z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7"/>
      <c r="Y236" s="75"/>
      <c r="Z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7"/>
      <c r="Y237" s="75"/>
      <c r="Z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7"/>
      <c r="Y238" s="75"/>
      <c r="Z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7"/>
      <c r="Y239" s="75"/>
      <c r="Z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7"/>
      <c r="Y240" s="75"/>
      <c r="Z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7"/>
      <c r="Y241" s="75"/>
      <c r="Z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7"/>
      <c r="Y242" s="75"/>
      <c r="Z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7"/>
      <c r="Y243" s="75"/>
      <c r="Z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7"/>
      <c r="Y244" s="75"/>
      <c r="Z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7"/>
      <c r="Y245" s="75"/>
      <c r="Z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7"/>
      <c r="Y246" s="75"/>
      <c r="Z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7"/>
      <c r="Y247" s="75"/>
      <c r="Z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7"/>
      <c r="Y248" s="75"/>
      <c r="Z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7"/>
      <c r="Y249" s="75"/>
      <c r="Z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7"/>
      <c r="Y250" s="75"/>
      <c r="Z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7"/>
      <c r="Y251" s="75"/>
      <c r="Z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7"/>
      <c r="Y252" s="75"/>
      <c r="Z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7"/>
      <c r="Y253" s="75"/>
      <c r="Z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7"/>
      <c r="Y254" s="75"/>
      <c r="Z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7"/>
      <c r="Y255" s="75"/>
      <c r="Z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7"/>
      <c r="Y256" s="75"/>
      <c r="Z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7"/>
      <c r="Y257" s="75"/>
      <c r="Z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7"/>
      <c r="Y258" s="75"/>
      <c r="Z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7"/>
      <c r="Y259" s="75"/>
      <c r="Z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7"/>
      <c r="Y260" s="75"/>
      <c r="Z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7"/>
      <c r="Y261" s="75"/>
      <c r="Z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7"/>
      <c r="Y262" s="75"/>
      <c r="Z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7"/>
      <c r="Y263" s="75"/>
      <c r="Z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7"/>
      <c r="Y264" s="75"/>
      <c r="Z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7"/>
      <c r="Y265" s="75"/>
      <c r="Z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7"/>
      <c r="Y266" s="75"/>
      <c r="Z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7"/>
      <c r="Y267" s="75"/>
      <c r="Z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7"/>
      <c r="Y268" s="75"/>
      <c r="Z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7"/>
      <c r="Y269" s="75"/>
      <c r="Z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7"/>
      <c r="Y270" s="75"/>
      <c r="Z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7"/>
      <c r="Y271" s="75"/>
      <c r="Z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7"/>
      <c r="Y272" s="75"/>
      <c r="Z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7"/>
      <c r="Y273" s="75"/>
      <c r="Z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7"/>
      <c r="Y274" s="75"/>
      <c r="Z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7"/>
      <c r="Y275" s="75"/>
      <c r="Z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7"/>
      <c r="Y276" s="75"/>
      <c r="Z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7"/>
      <c r="Y277" s="75"/>
      <c r="Z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7"/>
      <c r="Y278" s="75"/>
      <c r="Z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7"/>
      <c r="Y279" s="75"/>
      <c r="Z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7"/>
      <c r="Y280" s="75"/>
      <c r="Z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7"/>
      <c r="Y281" s="75"/>
      <c r="Z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7"/>
      <c r="Y282" s="75"/>
      <c r="Z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7"/>
      <c r="Y283" s="75"/>
      <c r="Z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7"/>
      <c r="Y284" s="75"/>
      <c r="Z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7"/>
      <c r="Y285" s="75"/>
      <c r="Z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7"/>
      <c r="Y286" s="75"/>
      <c r="Z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7"/>
      <c r="Y287" s="75"/>
      <c r="Z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7"/>
      <c r="Y288" s="75"/>
      <c r="Z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7"/>
      <c r="Y289" s="75"/>
      <c r="Z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7"/>
      <c r="Y290" s="75"/>
      <c r="Z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7"/>
      <c r="Y291" s="75"/>
      <c r="Z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7"/>
      <c r="Y292" s="75"/>
      <c r="Z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7"/>
      <c r="Y293" s="75"/>
      <c r="Z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7"/>
      <c r="Y294" s="75"/>
      <c r="Z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7"/>
      <c r="Y295" s="75"/>
      <c r="Z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7"/>
      <c r="Y296" s="75"/>
      <c r="Z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7"/>
      <c r="Y297" s="75"/>
      <c r="Z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7"/>
      <c r="Y298" s="75"/>
      <c r="Z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7"/>
      <c r="Y299" s="75"/>
      <c r="Z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7"/>
      <c r="Y300" s="75"/>
      <c r="Z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7"/>
      <c r="Y301" s="75"/>
      <c r="Z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7"/>
      <c r="Y302" s="75"/>
      <c r="Z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7"/>
      <c r="Y303" s="75"/>
      <c r="Z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7"/>
      <c r="Y304" s="75"/>
      <c r="Z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7"/>
      <c r="Y305" s="75"/>
      <c r="Z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7"/>
      <c r="Y306" s="75"/>
      <c r="Z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7"/>
      <c r="Y307" s="75"/>
      <c r="Z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7"/>
      <c r="Y308" s="75"/>
      <c r="Z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7"/>
      <c r="Y309" s="75"/>
      <c r="Z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7"/>
      <c r="Y310" s="75"/>
      <c r="Z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7"/>
      <c r="Y311" s="75"/>
      <c r="Z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7"/>
      <c r="Y312" s="75"/>
      <c r="Z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7"/>
      <c r="Y313" s="75"/>
      <c r="Z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7"/>
      <c r="Y314" s="75"/>
      <c r="Z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7"/>
      <c r="Y315" s="75"/>
      <c r="Z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7"/>
      <c r="Y316" s="75"/>
      <c r="Z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7"/>
      <c r="Y317" s="75"/>
      <c r="Z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7"/>
      <c r="Y318" s="75"/>
      <c r="Z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7"/>
      <c r="Y319" s="75"/>
      <c r="Z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7"/>
      <c r="Y320" s="75"/>
      <c r="Z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7"/>
      <c r="Y321" s="75"/>
      <c r="Z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7"/>
      <c r="Y322" s="75"/>
      <c r="Z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7"/>
      <c r="Y323" s="75"/>
      <c r="Z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7"/>
      <c r="Y324" s="75"/>
      <c r="Z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7"/>
      <c r="Y325" s="75"/>
      <c r="Z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7"/>
      <c r="Y326" s="75"/>
      <c r="Z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7"/>
      <c r="Y327" s="75"/>
      <c r="Z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7"/>
      <c r="Y328" s="75"/>
      <c r="Z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7"/>
      <c r="Y329" s="75"/>
      <c r="Z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7"/>
      <c r="Y330" s="75"/>
      <c r="Z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7"/>
      <c r="Y331" s="75"/>
      <c r="Z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7"/>
      <c r="Y332" s="75"/>
      <c r="Z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7"/>
      <c r="Y333" s="75"/>
      <c r="Z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7"/>
      <c r="Y334" s="75"/>
      <c r="Z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7"/>
      <c r="Y335" s="75"/>
      <c r="Z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7"/>
      <c r="Y336" s="75"/>
      <c r="Z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7"/>
      <c r="Y337" s="75"/>
      <c r="Z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7"/>
      <c r="Y338" s="75"/>
      <c r="Z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7"/>
      <c r="Y339" s="75"/>
      <c r="Z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7"/>
      <c r="Y340" s="75"/>
      <c r="Z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7"/>
      <c r="Y341" s="75"/>
      <c r="Z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7"/>
      <c r="Y342" s="75"/>
      <c r="Z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7"/>
      <c r="Y343" s="75"/>
      <c r="Z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7"/>
      <c r="Y344" s="75"/>
      <c r="Z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7"/>
      <c r="Y345" s="75"/>
      <c r="Z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7"/>
      <c r="Y346" s="75"/>
      <c r="Z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7"/>
      <c r="Y347" s="75"/>
      <c r="Z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7"/>
      <c r="Y348" s="75"/>
      <c r="Z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7"/>
      <c r="Y349" s="75"/>
      <c r="Z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7"/>
      <c r="Y350" s="75"/>
      <c r="Z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7"/>
      <c r="Y351" s="75"/>
      <c r="Z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7"/>
      <c r="Y352" s="75"/>
      <c r="Z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7"/>
      <c r="Y353" s="75"/>
      <c r="Z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7"/>
      <c r="Y354" s="75"/>
      <c r="Z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7"/>
      <c r="Y355" s="75"/>
      <c r="Z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7"/>
      <c r="Y356" s="75"/>
      <c r="Z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7"/>
      <c r="Y357" s="75"/>
      <c r="Z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7"/>
      <c r="Y358" s="75"/>
      <c r="Z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7"/>
      <c r="Y359" s="75"/>
      <c r="Z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7"/>
      <c r="Y360" s="75"/>
      <c r="Z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7"/>
      <c r="Y361" s="75"/>
      <c r="Z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7"/>
      <c r="Y362" s="75"/>
      <c r="Z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7"/>
      <c r="Y363" s="75"/>
      <c r="Z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7"/>
      <c r="Y364" s="75"/>
      <c r="Z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7"/>
      <c r="Y365" s="75"/>
      <c r="Z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7"/>
      <c r="Y366" s="75"/>
      <c r="Z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7"/>
      <c r="Y367" s="75"/>
      <c r="Z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7"/>
      <c r="Y368" s="75"/>
      <c r="Z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7"/>
      <c r="Y369" s="75"/>
      <c r="Z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7"/>
      <c r="Y370" s="75"/>
      <c r="Z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7"/>
      <c r="Y371" s="75"/>
      <c r="Z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7"/>
      <c r="Y372" s="75"/>
      <c r="Z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7"/>
      <c r="Y373" s="75"/>
      <c r="Z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7"/>
      <c r="Y374" s="75"/>
      <c r="Z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7"/>
      <c r="Y375" s="75"/>
      <c r="Z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7"/>
      <c r="Y376" s="75"/>
      <c r="Z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7"/>
      <c r="Y377" s="75"/>
      <c r="Z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7"/>
      <c r="Y378" s="75"/>
      <c r="Z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7"/>
      <c r="Y379" s="75"/>
      <c r="Z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7"/>
      <c r="Y380" s="75"/>
      <c r="Z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7"/>
      <c r="Y381" s="75"/>
      <c r="Z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7"/>
      <c r="Y382" s="75"/>
      <c r="Z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7"/>
      <c r="Y383" s="75"/>
      <c r="Z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7"/>
      <c r="Y384" s="75"/>
      <c r="Z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7"/>
      <c r="Y385" s="75"/>
      <c r="Z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7"/>
      <c r="Y386" s="75"/>
      <c r="Z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7"/>
      <c r="Y387" s="75"/>
      <c r="Z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7"/>
      <c r="Y388" s="75"/>
      <c r="Z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7"/>
      <c r="Y389" s="75"/>
      <c r="Z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7"/>
      <c r="Y390" s="75"/>
      <c r="Z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7"/>
      <c r="Y391" s="75"/>
      <c r="Z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7"/>
      <c r="Y392" s="75"/>
      <c r="Z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7"/>
      <c r="Y393" s="75"/>
      <c r="Z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7"/>
      <c r="Y394" s="75"/>
      <c r="Z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7"/>
      <c r="Y395" s="75"/>
      <c r="Z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7"/>
      <c r="Y396" s="75"/>
      <c r="Z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7"/>
      <c r="Y397" s="75"/>
      <c r="Z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7"/>
      <c r="Y398" s="75"/>
      <c r="Z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7"/>
      <c r="Y399" s="75"/>
      <c r="Z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7"/>
      <c r="Y400" s="75"/>
      <c r="Z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7"/>
      <c r="Y401" s="75"/>
      <c r="Z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7"/>
      <c r="Y402" s="75"/>
      <c r="Z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7"/>
      <c r="Y403" s="75"/>
      <c r="Z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7"/>
      <c r="Y404" s="75"/>
      <c r="Z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7"/>
      <c r="Y405" s="75"/>
      <c r="Z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7"/>
      <c r="Y406" s="75"/>
      <c r="Z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7"/>
      <c r="Y407" s="75"/>
      <c r="Z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7"/>
      <c r="Y408" s="75"/>
      <c r="Z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7"/>
      <c r="Y409" s="75"/>
      <c r="Z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7"/>
      <c r="Y410" s="75"/>
      <c r="Z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7"/>
      <c r="Y411" s="75"/>
      <c r="Z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7"/>
      <c r="Y412" s="75"/>
      <c r="Z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7"/>
      <c r="Y413" s="75"/>
      <c r="Z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7"/>
      <c r="Y414" s="75"/>
      <c r="Z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7"/>
      <c r="Y415" s="75"/>
      <c r="Z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7"/>
      <c r="Y416" s="75"/>
      <c r="Z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7"/>
      <c r="Y417" s="75"/>
      <c r="Z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7"/>
      <c r="Y418" s="75"/>
      <c r="Z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7"/>
      <c r="Y419" s="75"/>
      <c r="Z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7"/>
      <c r="Y420" s="75"/>
      <c r="Z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7"/>
      <c r="Y421" s="75"/>
      <c r="Z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7"/>
      <c r="Y422" s="75"/>
      <c r="Z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7"/>
      <c r="Y423" s="75"/>
      <c r="Z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7"/>
      <c r="Y424" s="75"/>
      <c r="Z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7"/>
      <c r="Y425" s="75"/>
      <c r="Z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7"/>
      <c r="Y426" s="75"/>
      <c r="Z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7"/>
      <c r="Y427" s="75"/>
      <c r="Z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7"/>
      <c r="Y428" s="75"/>
      <c r="Z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7"/>
      <c r="Y429" s="75"/>
      <c r="Z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7"/>
      <c r="Y430" s="75"/>
      <c r="Z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7"/>
      <c r="Y431" s="75"/>
      <c r="Z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7"/>
      <c r="Y432" s="75"/>
      <c r="Z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7"/>
      <c r="Y433" s="75"/>
      <c r="Z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7"/>
      <c r="Y434" s="75"/>
      <c r="Z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7"/>
      <c r="Y435" s="75"/>
      <c r="Z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7"/>
      <c r="Y436" s="75"/>
      <c r="Z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7"/>
      <c r="Y437" s="75"/>
      <c r="Z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7"/>
      <c r="Y438" s="75"/>
      <c r="Z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7"/>
      <c r="Y439" s="75"/>
      <c r="Z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7"/>
      <c r="Y440" s="75"/>
      <c r="Z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7"/>
      <c r="Y441" s="75"/>
      <c r="Z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7"/>
      <c r="Y442" s="75"/>
      <c r="Z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7"/>
      <c r="Y443" s="75"/>
      <c r="Z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7"/>
      <c r="Y444" s="75"/>
      <c r="Z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7"/>
      <c r="Y445" s="75"/>
      <c r="Z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7"/>
      <c r="Y446" s="75"/>
      <c r="Z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7"/>
      <c r="Y447" s="75"/>
      <c r="Z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7"/>
      <c r="Y448" s="75"/>
      <c r="Z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7"/>
      <c r="Y449" s="75"/>
      <c r="Z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7"/>
      <c r="Y450" s="75"/>
      <c r="Z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7"/>
      <c r="Y451" s="75"/>
      <c r="Z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7"/>
      <c r="Y452" s="75"/>
      <c r="Z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7"/>
      <c r="Y453" s="75"/>
      <c r="Z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7"/>
      <c r="Y454" s="75"/>
      <c r="Z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7"/>
      <c r="Y455" s="75"/>
      <c r="Z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7"/>
      <c r="Y456" s="75"/>
      <c r="Z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7"/>
      <c r="Y457" s="75"/>
      <c r="Z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7"/>
      <c r="Y458" s="75"/>
      <c r="Z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7"/>
      <c r="Y459" s="75"/>
      <c r="Z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7"/>
      <c r="Y460" s="75"/>
      <c r="Z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7"/>
      <c r="Y461" s="75"/>
      <c r="Z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7"/>
      <c r="Y462" s="75"/>
      <c r="Z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7"/>
      <c r="Y463" s="75"/>
      <c r="Z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7"/>
      <c r="Y464" s="75"/>
      <c r="Z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7"/>
      <c r="Y465" s="75"/>
      <c r="Z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7"/>
      <c r="Y466" s="75"/>
      <c r="Z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7"/>
      <c r="Y467" s="75"/>
      <c r="Z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7"/>
      <c r="Y468" s="75"/>
      <c r="Z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7"/>
      <c r="Y469" s="75"/>
      <c r="Z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7"/>
      <c r="Y470" s="75"/>
      <c r="Z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7"/>
      <c r="Y471" s="75"/>
      <c r="Z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7"/>
      <c r="Y472" s="75"/>
      <c r="Z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7"/>
      <c r="Y473" s="75"/>
      <c r="Z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7"/>
      <c r="Y474" s="75"/>
      <c r="Z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7"/>
      <c r="Y475" s="75"/>
      <c r="Z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7"/>
      <c r="Y476" s="75"/>
      <c r="Z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7"/>
      <c r="Y477" s="75"/>
      <c r="Z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7"/>
      <c r="Y478" s="75"/>
      <c r="Z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7"/>
      <c r="Y479" s="75"/>
      <c r="Z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7"/>
      <c r="Y480" s="75"/>
      <c r="Z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7"/>
      <c r="Y481" s="75"/>
      <c r="Z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7"/>
      <c r="Y482" s="75"/>
      <c r="Z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7"/>
      <c r="Y483" s="75"/>
      <c r="Z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7"/>
      <c r="Y484" s="75"/>
      <c r="Z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7"/>
      <c r="Y485" s="75"/>
      <c r="Z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7"/>
      <c r="Y486" s="75"/>
      <c r="Z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7"/>
      <c r="Y487" s="75"/>
      <c r="Z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7"/>
      <c r="Y488" s="75"/>
      <c r="Z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7"/>
      <c r="Y489" s="75"/>
      <c r="Z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7"/>
      <c r="Y490" s="75"/>
      <c r="Z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7"/>
      <c r="Y491" s="75"/>
      <c r="Z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7"/>
      <c r="Y492" s="75"/>
      <c r="Z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7"/>
      <c r="Y493" s="75"/>
      <c r="Z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7"/>
      <c r="Y494" s="75"/>
      <c r="Z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7"/>
      <c r="Y495" s="75"/>
      <c r="Z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7"/>
      <c r="Y496" s="75"/>
      <c r="Z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7"/>
      <c r="Y497" s="75"/>
      <c r="Z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7"/>
      <c r="Y498" s="75"/>
      <c r="Z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7"/>
      <c r="Y499" s="75"/>
      <c r="Z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7"/>
      <c r="Y500" s="75"/>
      <c r="Z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7"/>
      <c r="Y501" s="75"/>
      <c r="Z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7"/>
      <c r="Y502" s="75"/>
      <c r="Z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7"/>
      <c r="Y503" s="75"/>
      <c r="Z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7"/>
      <c r="Y504" s="75"/>
      <c r="Z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7"/>
      <c r="Y505" s="75"/>
      <c r="Z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7"/>
      <c r="Y506" s="75"/>
      <c r="Z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7"/>
      <c r="Y507" s="75"/>
      <c r="Z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7"/>
      <c r="Y508" s="75"/>
      <c r="Z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7"/>
      <c r="Y509" s="75"/>
      <c r="Z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7"/>
      <c r="Y510" s="75"/>
      <c r="Z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7"/>
      <c r="Y511" s="75"/>
      <c r="Z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7"/>
      <c r="Y512" s="75"/>
      <c r="Z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7"/>
      <c r="Y513" s="75"/>
      <c r="Z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7"/>
      <c r="Y514" s="75"/>
      <c r="Z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7"/>
      <c r="Y515" s="75"/>
      <c r="Z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7"/>
      <c r="Y516" s="75"/>
      <c r="Z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7"/>
      <c r="Y517" s="75"/>
      <c r="Z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7"/>
      <c r="Y518" s="75"/>
      <c r="Z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7"/>
      <c r="Y519" s="75"/>
      <c r="Z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7"/>
      <c r="Y520" s="75"/>
      <c r="Z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7"/>
      <c r="Y521" s="75"/>
      <c r="Z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7"/>
      <c r="Y522" s="75"/>
      <c r="Z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7"/>
      <c r="Y523" s="75"/>
      <c r="Z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7"/>
      <c r="Y524" s="75"/>
      <c r="Z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7"/>
      <c r="Y525" s="75"/>
      <c r="Z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7"/>
      <c r="Y526" s="75"/>
      <c r="Z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7"/>
      <c r="Y527" s="75"/>
      <c r="Z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7"/>
      <c r="Y528" s="75"/>
      <c r="Z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7"/>
      <c r="Y529" s="75"/>
      <c r="Z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7"/>
      <c r="Y530" s="75"/>
      <c r="Z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7"/>
      <c r="Y531" s="75"/>
      <c r="Z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7"/>
      <c r="Y532" s="75"/>
      <c r="Z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7"/>
      <c r="Y533" s="75"/>
      <c r="Z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7"/>
      <c r="Y534" s="75"/>
      <c r="Z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7"/>
      <c r="Y535" s="75"/>
      <c r="Z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7"/>
      <c r="Y536" s="75"/>
      <c r="Z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7"/>
      <c r="Y537" s="75"/>
      <c r="Z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7"/>
      <c r="Y538" s="75"/>
      <c r="Z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7"/>
      <c r="Y539" s="75"/>
      <c r="Z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7"/>
      <c r="Y540" s="75"/>
      <c r="Z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7"/>
      <c r="Y541" s="75"/>
      <c r="Z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7"/>
      <c r="Y542" s="75"/>
      <c r="Z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7"/>
      <c r="Y543" s="75"/>
      <c r="Z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7"/>
      <c r="Y544" s="75"/>
      <c r="Z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7"/>
      <c r="Y545" s="75"/>
      <c r="Z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7"/>
      <c r="Y546" s="75"/>
      <c r="Z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7"/>
      <c r="Y547" s="75"/>
      <c r="Z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7"/>
      <c r="Y548" s="75"/>
      <c r="Z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7"/>
      <c r="Y549" s="75"/>
      <c r="Z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7"/>
      <c r="Y550" s="75"/>
      <c r="Z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7"/>
      <c r="Y551" s="75"/>
      <c r="Z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7"/>
      <c r="Y552" s="75"/>
      <c r="Z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7"/>
      <c r="Y553" s="75"/>
      <c r="Z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7"/>
      <c r="Y554" s="75"/>
      <c r="Z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7"/>
      <c r="Y555" s="75"/>
      <c r="Z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7"/>
      <c r="Y556" s="75"/>
      <c r="Z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7"/>
      <c r="Y557" s="75"/>
      <c r="Z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7"/>
      <c r="Y558" s="75"/>
      <c r="Z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7"/>
      <c r="Y559" s="75"/>
      <c r="Z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7"/>
      <c r="Y560" s="75"/>
      <c r="Z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7"/>
      <c r="Y561" s="75"/>
      <c r="Z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7"/>
      <c r="Y562" s="75"/>
      <c r="Z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7"/>
      <c r="Y563" s="75"/>
      <c r="Z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7"/>
      <c r="Y564" s="75"/>
      <c r="Z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7"/>
      <c r="Y565" s="75"/>
      <c r="Z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7"/>
      <c r="Y566" s="75"/>
      <c r="Z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7"/>
      <c r="Y567" s="75"/>
      <c r="Z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7"/>
      <c r="Y568" s="75"/>
      <c r="Z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7"/>
      <c r="Y569" s="75"/>
      <c r="Z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7"/>
      <c r="Y570" s="75"/>
      <c r="Z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7"/>
      <c r="Y571" s="75"/>
      <c r="Z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7"/>
      <c r="Y572" s="75"/>
      <c r="Z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7"/>
      <c r="Y573" s="75"/>
      <c r="Z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7"/>
      <c r="Y574" s="75"/>
      <c r="Z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7"/>
      <c r="Y575" s="75"/>
      <c r="Z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7"/>
      <c r="Y576" s="75"/>
      <c r="Z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7"/>
      <c r="Y577" s="75"/>
      <c r="Z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7"/>
      <c r="Y578" s="75"/>
      <c r="Z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7"/>
      <c r="Y579" s="75"/>
      <c r="Z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7"/>
      <c r="Y580" s="75"/>
      <c r="Z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7"/>
      <c r="Y581" s="75"/>
      <c r="Z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7"/>
      <c r="Y582" s="75"/>
      <c r="Z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7"/>
      <c r="Y583" s="75"/>
      <c r="Z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7"/>
      <c r="Y584" s="75"/>
      <c r="Z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7"/>
      <c r="Y585" s="75"/>
      <c r="Z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7"/>
      <c r="Y586" s="75"/>
      <c r="Z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7"/>
      <c r="Y587" s="75"/>
      <c r="Z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7"/>
      <c r="Y588" s="75"/>
      <c r="Z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7"/>
      <c r="Y589" s="75"/>
      <c r="Z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7"/>
      <c r="Y590" s="75"/>
      <c r="Z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7"/>
      <c r="Y591" s="75"/>
      <c r="Z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7"/>
      <c r="Y592" s="75"/>
      <c r="Z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7"/>
      <c r="Y593" s="75"/>
      <c r="Z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7"/>
      <c r="Y594" s="75"/>
      <c r="Z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7"/>
      <c r="Y595" s="75"/>
      <c r="Z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7"/>
      <c r="Y596" s="75"/>
      <c r="Z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7"/>
      <c r="Y597" s="75"/>
      <c r="Z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7"/>
      <c r="Y598" s="75"/>
      <c r="Z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7"/>
      <c r="Y599" s="75"/>
      <c r="Z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7"/>
      <c r="Y600" s="75"/>
      <c r="Z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7"/>
      <c r="Y601" s="75"/>
      <c r="Z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7"/>
      <c r="Y602" s="75"/>
      <c r="Z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7"/>
      <c r="Y603" s="75"/>
      <c r="Z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7"/>
      <c r="Y604" s="75"/>
      <c r="Z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7"/>
      <c r="Y605" s="75"/>
      <c r="Z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7"/>
      <c r="Y606" s="75"/>
      <c r="Z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7"/>
      <c r="Y607" s="75"/>
      <c r="Z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7"/>
      <c r="Y608" s="75"/>
      <c r="Z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7"/>
      <c r="Y609" s="75"/>
      <c r="Z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7"/>
      <c r="Y610" s="75"/>
      <c r="Z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7"/>
      <c r="Y611" s="75"/>
      <c r="Z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7"/>
      <c r="Y612" s="75"/>
      <c r="Z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7"/>
      <c r="Y613" s="75"/>
      <c r="Z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7"/>
      <c r="Y614" s="75"/>
      <c r="Z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7"/>
      <c r="Y615" s="75"/>
      <c r="Z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7"/>
      <c r="Y616" s="75"/>
      <c r="Z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7"/>
      <c r="Y617" s="75"/>
      <c r="Z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7"/>
      <c r="Y618" s="75"/>
      <c r="Z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7"/>
      <c r="Y619" s="75"/>
      <c r="Z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7"/>
      <c r="Y620" s="75"/>
      <c r="Z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7"/>
      <c r="Y621" s="75"/>
      <c r="Z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7"/>
      <c r="Y622" s="75"/>
      <c r="Z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7"/>
      <c r="Y623" s="75"/>
      <c r="Z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7"/>
      <c r="Y624" s="75"/>
      <c r="Z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7"/>
      <c r="Y625" s="75"/>
      <c r="Z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7"/>
      <c r="Y626" s="75"/>
      <c r="Z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7"/>
      <c r="Y627" s="75"/>
      <c r="Z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7"/>
      <c r="Y628" s="75"/>
      <c r="Z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7"/>
      <c r="Y629" s="75"/>
      <c r="Z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7"/>
      <c r="Y630" s="75"/>
      <c r="Z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7"/>
      <c r="Y631" s="75"/>
      <c r="Z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7"/>
      <c r="Y632" s="75"/>
      <c r="Z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7"/>
      <c r="Y633" s="75"/>
      <c r="Z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7"/>
      <c r="Y634" s="75"/>
      <c r="Z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7"/>
      <c r="Y635" s="75"/>
      <c r="Z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7"/>
      <c r="Y636" s="75"/>
      <c r="Z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7"/>
      <c r="Y637" s="75"/>
      <c r="Z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7"/>
      <c r="Y638" s="75"/>
      <c r="Z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7"/>
      <c r="Y639" s="75"/>
      <c r="Z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7"/>
      <c r="Y640" s="75"/>
      <c r="Z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7"/>
      <c r="Y641" s="75"/>
      <c r="Z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7"/>
      <c r="Y642" s="75"/>
      <c r="Z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7"/>
      <c r="Y643" s="75"/>
      <c r="Z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7"/>
      <c r="Y644" s="75"/>
      <c r="Z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7"/>
      <c r="Y645" s="75"/>
      <c r="Z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7"/>
      <c r="Y646" s="75"/>
      <c r="Z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7"/>
      <c r="Y647" s="75"/>
      <c r="Z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7"/>
      <c r="Y648" s="75"/>
      <c r="Z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7"/>
      <c r="Y649" s="75"/>
      <c r="Z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7"/>
      <c r="Y650" s="75"/>
      <c r="Z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7"/>
      <c r="Y651" s="75"/>
      <c r="Z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7"/>
      <c r="Y652" s="75"/>
      <c r="Z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7"/>
      <c r="Y653" s="75"/>
      <c r="Z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7"/>
      <c r="Y654" s="75"/>
      <c r="Z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7"/>
      <c r="Y655" s="75"/>
      <c r="Z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7"/>
      <c r="Y656" s="75"/>
      <c r="Z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7"/>
      <c r="Y657" s="75"/>
      <c r="Z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7"/>
      <c r="Y658" s="75"/>
      <c r="Z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7"/>
      <c r="Y659" s="75"/>
      <c r="Z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7"/>
      <c r="Y660" s="75"/>
      <c r="Z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7"/>
      <c r="Y661" s="75"/>
      <c r="Z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7"/>
      <c r="Y662" s="75"/>
      <c r="Z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7"/>
      <c r="Y663" s="75"/>
      <c r="Z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7"/>
      <c r="Y664" s="75"/>
      <c r="Z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7"/>
      <c r="Y665" s="75"/>
      <c r="Z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7"/>
      <c r="Y666" s="75"/>
      <c r="Z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7"/>
      <c r="Y667" s="75"/>
      <c r="Z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7"/>
      <c r="Y668" s="75"/>
      <c r="Z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7"/>
      <c r="Y669" s="75"/>
      <c r="Z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7"/>
      <c r="Y670" s="75"/>
      <c r="Z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7"/>
      <c r="Y671" s="75"/>
      <c r="Z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7"/>
      <c r="Y672" s="75"/>
      <c r="Z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7"/>
      <c r="Y673" s="75"/>
      <c r="Z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7"/>
      <c r="Y674" s="75"/>
      <c r="Z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7"/>
      <c r="Y675" s="75"/>
      <c r="Z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7"/>
      <c r="Y676" s="75"/>
      <c r="Z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7"/>
      <c r="Y677" s="75"/>
      <c r="Z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7"/>
      <c r="Y678" s="75"/>
      <c r="Z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7"/>
      <c r="Y679" s="75"/>
      <c r="Z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7"/>
      <c r="Y680" s="75"/>
      <c r="Z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7"/>
      <c r="Y681" s="75"/>
      <c r="Z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7"/>
      <c r="Y682" s="75"/>
      <c r="Z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7"/>
      <c r="Y683" s="75"/>
      <c r="Z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7"/>
      <c r="Y684" s="75"/>
      <c r="Z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7"/>
      <c r="Y685" s="75"/>
      <c r="Z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7"/>
      <c r="Y686" s="75"/>
      <c r="Z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7"/>
      <c r="Y687" s="75"/>
      <c r="Z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7"/>
      <c r="Y688" s="75"/>
      <c r="Z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7"/>
      <c r="Y689" s="75"/>
      <c r="Z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7"/>
      <c r="Y690" s="75"/>
      <c r="Z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7"/>
      <c r="Y691" s="75"/>
      <c r="Z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7"/>
      <c r="Y692" s="75"/>
      <c r="Z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7"/>
      <c r="Y693" s="75"/>
      <c r="Z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7"/>
      <c r="Y694" s="75"/>
      <c r="Z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7"/>
      <c r="Y695" s="75"/>
      <c r="Z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7"/>
      <c r="Y696" s="75"/>
      <c r="Z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7"/>
      <c r="Y697" s="75"/>
      <c r="Z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7"/>
      <c r="Y698" s="75"/>
      <c r="Z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7"/>
      <c r="Y699" s="75"/>
      <c r="Z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7"/>
      <c r="Y700" s="75"/>
      <c r="Z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7"/>
      <c r="Y701" s="75"/>
      <c r="Z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7"/>
      <c r="Y702" s="75"/>
      <c r="Z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7"/>
      <c r="Y703" s="75"/>
      <c r="Z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7"/>
      <c r="Y704" s="75"/>
      <c r="Z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7"/>
      <c r="Y705" s="75"/>
      <c r="Z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7"/>
      <c r="Y706" s="75"/>
      <c r="Z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7"/>
      <c r="Y707" s="75"/>
      <c r="Z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7"/>
      <c r="Y708" s="75"/>
      <c r="Z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7"/>
      <c r="Y709" s="75"/>
      <c r="Z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7"/>
      <c r="Y710" s="75"/>
      <c r="Z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7"/>
      <c r="Y711" s="75"/>
      <c r="Z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7"/>
      <c r="Y712" s="75"/>
      <c r="Z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7"/>
      <c r="Y713" s="75"/>
      <c r="Z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7"/>
      <c r="Y714" s="75"/>
      <c r="Z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7"/>
      <c r="Y715" s="75"/>
      <c r="Z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7"/>
      <c r="Y716" s="75"/>
      <c r="Z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7"/>
      <c r="Y717" s="75"/>
      <c r="Z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7"/>
      <c r="Y718" s="75"/>
      <c r="Z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7"/>
      <c r="Y719" s="75"/>
      <c r="Z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7"/>
      <c r="Y720" s="75"/>
      <c r="Z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7"/>
      <c r="Y721" s="75"/>
      <c r="Z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7"/>
      <c r="Y722" s="75"/>
      <c r="Z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7"/>
      <c r="Y723" s="75"/>
      <c r="Z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7"/>
      <c r="Y724" s="75"/>
      <c r="Z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7"/>
      <c r="Y725" s="75"/>
      <c r="Z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7"/>
      <c r="Y726" s="75"/>
      <c r="Z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7"/>
      <c r="Y727" s="75"/>
      <c r="Z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7"/>
      <c r="Y728" s="75"/>
      <c r="Z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7"/>
      <c r="Y729" s="75"/>
      <c r="Z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7"/>
      <c r="Y730" s="75"/>
      <c r="Z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7"/>
      <c r="Y731" s="75"/>
      <c r="Z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7"/>
      <c r="Y732" s="75"/>
      <c r="Z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7"/>
      <c r="Y733" s="75"/>
      <c r="Z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7"/>
      <c r="Y734" s="75"/>
      <c r="Z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7"/>
      <c r="Y735" s="75"/>
      <c r="Z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7"/>
      <c r="Y736" s="75"/>
      <c r="Z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7"/>
      <c r="Y737" s="75"/>
      <c r="Z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7"/>
      <c r="Y738" s="75"/>
      <c r="Z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7"/>
      <c r="Y739" s="75"/>
      <c r="Z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7"/>
      <c r="Y740" s="75"/>
      <c r="Z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7"/>
      <c r="Y741" s="75"/>
      <c r="Z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7"/>
      <c r="Y742" s="75"/>
      <c r="Z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7"/>
      <c r="Y743" s="75"/>
      <c r="Z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7"/>
      <c r="Y744" s="75"/>
      <c r="Z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7"/>
      <c r="Y745" s="75"/>
      <c r="Z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7"/>
      <c r="Y746" s="75"/>
      <c r="Z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7"/>
      <c r="Y747" s="75"/>
      <c r="Z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7"/>
      <c r="Y748" s="75"/>
      <c r="Z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7"/>
      <c r="Y749" s="75"/>
      <c r="Z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7"/>
      <c r="Y750" s="75"/>
      <c r="Z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7"/>
      <c r="Y751" s="75"/>
      <c r="Z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7"/>
      <c r="Y752" s="75"/>
      <c r="Z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7"/>
      <c r="Y753" s="75"/>
      <c r="Z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7"/>
      <c r="Y754" s="75"/>
      <c r="Z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7"/>
      <c r="Y755" s="75"/>
      <c r="Z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7"/>
      <c r="Y756" s="75"/>
      <c r="Z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7"/>
      <c r="Y757" s="75"/>
      <c r="Z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7"/>
      <c r="Y758" s="75"/>
      <c r="Z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7"/>
      <c r="Y759" s="75"/>
      <c r="Z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7"/>
      <c r="Y760" s="75"/>
      <c r="Z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7"/>
      <c r="Y761" s="75"/>
      <c r="Z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7"/>
      <c r="Y762" s="75"/>
      <c r="Z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7"/>
      <c r="Y763" s="75"/>
      <c r="Z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7"/>
      <c r="Y764" s="75"/>
      <c r="Z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7"/>
      <c r="Y765" s="75"/>
      <c r="Z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7"/>
      <c r="Y766" s="75"/>
      <c r="Z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7"/>
      <c r="Y767" s="75"/>
      <c r="Z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7"/>
      <c r="Y768" s="75"/>
      <c r="Z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7"/>
      <c r="Y769" s="75"/>
      <c r="Z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7"/>
      <c r="Y770" s="75"/>
      <c r="Z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7"/>
      <c r="Y771" s="75"/>
      <c r="Z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7"/>
      <c r="Y772" s="75"/>
      <c r="Z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7"/>
      <c r="Y773" s="75"/>
      <c r="Z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7"/>
      <c r="Y774" s="75"/>
      <c r="Z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7"/>
      <c r="Y775" s="75"/>
      <c r="Z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7"/>
      <c r="Y776" s="75"/>
      <c r="Z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7"/>
      <c r="Y777" s="75"/>
      <c r="Z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7"/>
      <c r="Y778" s="75"/>
      <c r="Z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7"/>
      <c r="Y779" s="75"/>
      <c r="Z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7"/>
      <c r="Y780" s="75"/>
      <c r="Z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7"/>
      <c r="Y781" s="75"/>
      <c r="Z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7"/>
      <c r="Y782" s="75"/>
      <c r="Z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7"/>
      <c r="Y783" s="75"/>
      <c r="Z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7"/>
      <c r="Y784" s="75"/>
      <c r="Z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7"/>
      <c r="Y785" s="75"/>
      <c r="Z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7"/>
      <c r="Y786" s="75"/>
      <c r="Z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7"/>
      <c r="Y787" s="75"/>
      <c r="Z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7"/>
      <c r="Y788" s="75"/>
      <c r="Z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7"/>
      <c r="Y789" s="75"/>
      <c r="Z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7"/>
      <c r="Y790" s="75"/>
      <c r="Z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7"/>
      <c r="Y791" s="75"/>
      <c r="Z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7"/>
      <c r="Y792" s="75"/>
      <c r="Z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7"/>
      <c r="Y793" s="75"/>
      <c r="Z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7"/>
      <c r="Y794" s="75"/>
      <c r="Z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7"/>
      <c r="Y795" s="75"/>
      <c r="Z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7"/>
      <c r="Y796" s="75"/>
      <c r="Z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7"/>
      <c r="Y797" s="75"/>
      <c r="Z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7"/>
      <c r="Y798" s="75"/>
      <c r="Z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7"/>
      <c r="Y799" s="75"/>
      <c r="Z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7"/>
      <c r="Y800" s="75"/>
      <c r="Z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7"/>
      <c r="Y801" s="75"/>
      <c r="Z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7"/>
      <c r="Y802" s="75"/>
      <c r="Z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7"/>
      <c r="Y803" s="75"/>
      <c r="Z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7"/>
      <c r="Y804" s="75"/>
      <c r="Z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7"/>
      <c r="Y805" s="75"/>
      <c r="Z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7"/>
      <c r="Y806" s="75"/>
      <c r="Z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7"/>
      <c r="Y807" s="75"/>
      <c r="Z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7"/>
      <c r="Y808" s="75"/>
      <c r="Z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7"/>
      <c r="Y809" s="75"/>
      <c r="Z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7"/>
      <c r="Y810" s="75"/>
      <c r="Z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7"/>
      <c r="Y811" s="75"/>
      <c r="Z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7"/>
      <c r="Y812" s="75"/>
      <c r="Z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7"/>
      <c r="Y813" s="75"/>
      <c r="Z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7"/>
      <c r="Y814" s="75"/>
      <c r="Z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7"/>
      <c r="Y815" s="75"/>
      <c r="Z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7"/>
      <c r="Y816" s="75"/>
      <c r="Z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7"/>
      <c r="Y817" s="75"/>
      <c r="Z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7"/>
      <c r="Y818" s="75"/>
      <c r="Z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7"/>
      <c r="Y819" s="75"/>
      <c r="Z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7"/>
      <c r="Y820" s="75"/>
      <c r="Z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7"/>
      <c r="Y821" s="75"/>
      <c r="Z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7"/>
      <c r="Y822" s="75"/>
      <c r="Z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7"/>
      <c r="Y823" s="75"/>
      <c r="Z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7"/>
      <c r="Y824" s="75"/>
      <c r="Z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7"/>
      <c r="Y825" s="75"/>
      <c r="Z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7"/>
      <c r="Y826" s="75"/>
      <c r="Z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7"/>
      <c r="Y827" s="75"/>
      <c r="Z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7"/>
      <c r="Y828" s="75"/>
      <c r="Z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7"/>
      <c r="Y829" s="75"/>
      <c r="Z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7"/>
      <c r="Y830" s="75"/>
      <c r="Z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7"/>
      <c r="Y831" s="75"/>
      <c r="Z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7"/>
      <c r="Y832" s="75"/>
      <c r="Z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7"/>
      <c r="Y833" s="75"/>
      <c r="Z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7"/>
      <c r="Y834" s="75"/>
      <c r="Z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7"/>
      <c r="Y835" s="75"/>
      <c r="Z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7"/>
      <c r="Y836" s="75"/>
      <c r="Z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7"/>
      <c r="Y837" s="75"/>
      <c r="Z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7"/>
      <c r="Y838" s="75"/>
      <c r="Z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7"/>
      <c r="Y839" s="75"/>
      <c r="Z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7"/>
      <c r="Y840" s="75"/>
      <c r="Z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7"/>
      <c r="Y841" s="75"/>
      <c r="Z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7"/>
      <c r="Y842" s="75"/>
      <c r="Z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7"/>
      <c r="Y843" s="75"/>
      <c r="Z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7"/>
      <c r="Y844" s="75"/>
      <c r="Z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7"/>
      <c r="Y845" s="75"/>
      <c r="Z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7"/>
      <c r="Y846" s="75"/>
      <c r="Z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7"/>
      <c r="Y847" s="75"/>
      <c r="Z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7"/>
      <c r="Y848" s="75"/>
      <c r="Z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7"/>
      <c r="Y849" s="75"/>
      <c r="Z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7"/>
      <c r="Y850" s="75"/>
      <c r="Z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7"/>
      <c r="Y851" s="75"/>
      <c r="Z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7"/>
      <c r="Y852" s="75"/>
      <c r="Z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7"/>
      <c r="Y853" s="75"/>
      <c r="Z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7"/>
      <c r="Y854" s="75"/>
      <c r="Z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7"/>
      <c r="Y855" s="75"/>
      <c r="Z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7"/>
      <c r="Y856" s="75"/>
      <c r="Z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7"/>
      <c r="Y857" s="75"/>
      <c r="Z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7"/>
      <c r="Y858" s="75"/>
      <c r="Z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7"/>
      <c r="Y859" s="75"/>
      <c r="Z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7"/>
      <c r="Y860" s="75"/>
      <c r="Z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7"/>
      <c r="Y861" s="75"/>
      <c r="Z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7"/>
      <c r="Y862" s="75"/>
      <c r="Z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7"/>
      <c r="Y863" s="75"/>
      <c r="Z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7"/>
      <c r="Y864" s="75"/>
      <c r="Z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7"/>
      <c r="Y865" s="75"/>
      <c r="Z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7"/>
      <c r="Y866" s="75"/>
      <c r="Z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7"/>
      <c r="Y867" s="75"/>
      <c r="Z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7"/>
      <c r="Y868" s="75"/>
      <c r="Z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7"/>
      <c r="Y869" s="75"/>
      <c r="Z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7"/>
      <c r="Y870" s="75"/>
      <c r="Z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7"/>
      <c r="Y871" s="75"/>
      <c r="Z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7"/>
      <c r="Y872" s="75"/>
      <c r="Z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7"/>
      <c r="Y873" s="75"/>
      <c r="Z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7"/>
      <c r="Y874" s="75"/>
      <c r="Z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7"/>
      <c r="Y875" s="75"/>
      <c r="Z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7"/>
      <c r="Y876" s="75"/>
      <c r="Z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7"/>
      <c r="Y877" s="75"/>
      <c r="Z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7"/>
      <c r="Y878" s="75"/>
      <c r="Z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7"/>
      <c r="Y879" s="75"/>
      <c r="Z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7"/>
      <c r="Y880" s="75"/>
      <c r="Z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7"/>
      <c r="Y881" s="75"/>
      <c r="Z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7"/>
      <c r="Y882" s="75"/>
      <c r="Z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7"/>
      <c r="Y883" s="75"/>
      <c r="Z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7"/>
      <c r="Y884" s="75"/>
      <c r="Z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7"/>
      <c r="Y885" s="75"/>
      <c r="Z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7"/>
      <c r="Y886" s="75"/>
      <c r="Z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7"/>
      <c r="Y887" s="75"/>
      <c r="Z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7"/>
      <c r="Y888" s="75"/>
      <c r="Z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7"/>
      <c r="Y889" s="75"/>
      <c r="Z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7"/>
      <c r="Y890" s="75"/>
      <c r="Z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7"/>
      <c r="Y891" s="75"/>
      <c r="Z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7"/>
      <c r="Y892" s="75"/>
      <c r="Z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7"/>
      <c r="Y893" s="75"/>
      <c r="Z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7"/>
      <c r="Y894" s="75"/>
      <c r="Z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7"/>
      <c r="Y895" s="75"/>
      <c r="Z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7"/>
      <c r="Y896" s="75"/>
      <c r="Z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7"/>
      <c r="Y897" s="75"/>
      <c r="Z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7"/>
      <c r="Y898" s="75"/>
      <c r="Z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7"/>
      <c r="Y899" s="75"/>
      <c r="Z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7"/>
      <c r="Y900" s="75"/>
      <c r="Z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7"/>
      <c r="Y901" s="75"/>
      <c r="Z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7"/>
      <c r="Y902" s="75"/>
      <c r="Z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7"/>
      <c r="Y903" s="75"/>
      <c r="Z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7"/>
      <c r="Y904" s="75"/>
      <c r="Z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7"/>
      <c r="Y905" s="75"/>
      <c r="Z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7"/>
      <c r="Y906" s="75"/>
      <c r="Z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7"/>
      <c r="Y907" s="75"/>
      <c r="Z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7"/>
      <c r="Y908" s="75"/>
      <c r="Z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7"/>
      <c r="Y909" s="75"/>
      <c r="Z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7"/>
      <c r="Y910" s="75"/>
      <c r="Z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7"/>
      <c r="Y911" s="75"/>
      <c r="Z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7"/>
      <c r="Y912" s="75"/>
      <c r="Z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7"/>
      <c r="Y913" s="75"/>
      <c r="Z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7"/>
      <c r="Y914" s="75"/>
      <c r="Z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7"/>
      <c r="Y915" s="75"/>
      <c r="Z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7"/>
      <c r="Y916" s="75"/>
      <c r="Z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7"/>
      <c r="Y917" s="75"/>
      <c r="Z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7"/>
      <c r="Y918" s="75"/>
      <c r="Z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7"/>
      <c r="Y919" s="75"/>
      <c r="Z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7"/>
      <c r="Y920" s="75"/>
      <c r="Z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7"/>
      <c r="Y921" s="75"/>
      <c r="Z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7"/>
      <c r="Y922" s="75"/>
      <c r="Z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7"/>
      <c r="Y923" s="75"/>
      <c r="Z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7"/>
      <c r="Y924" s="75"/>
      <c r="Z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7"/>
      <c r="Y925" s="75"/>
      <c r="Z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7"/>
      <c r="Y926" s="75"/>
      <c r="Z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7"/>
      <c r="Y927" s="75"/>
      <c r="Z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7"/>
      <c r="Y928" s="75"/>
      <c r="Z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7"/>
      <c r="Y929" s="75"/>
      <c r="Z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7"/>
      <c r="Y930" s="75"/>
      <c r="Z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7"/>
      <c r="Y931" s="75"/>
      <c r="Z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7"/>
      <c r="Y932" s="75"/>
      <c r="Z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7"/>
      <c r="Y933" s="75"/>
      <c r="Z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7"/>
      <c r="Y934" s="75"/>
      <c r="Z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7"/>
      <c r="Y935" s="75"/>
      <c r="Z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7"/>
      <c r="Y936" s="75"/>
      <c r="Z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7"/>
      <c r="Y937" s="75"/>
      <c r="Z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7"/>
      <c r="Y938" s="75"/>
      <c r="Z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7"/>
      <c r="Y939" s="75"/>
      <c r="Z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7"/>
      <c r="Y940" s="75"/>
      <c r="Z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7"/>
      <c r="Y941" s="75"/>
      <c r="Z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7"/>
      <c r="Y942" s="75"/>
      <c r="Z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7"/>
      <c r="Y943" s="75"/>
      <c r="Z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7"/>
      <c r="Y944" s="75"/>
      <c r="Z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7"/>
      <c r="Y945" s="75"/>
      <c r="Z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7"/>
      <c r="Y946" s="75"/>
      <c r="Z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7"/>
      <c r="Y947" s="75"/>
      <c r="Z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7"/>
      <c r="Y948" s="75"/>
      <c r="Z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7"/>
      <c r="Y949" s="75"/>
      <c r="Z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7"/>
      <c r="Y950" s="75"/>
      <c r="Z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7"/>
      <c r="Y951" s="75"/>
      <c r="Z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7"/>
      <c r="Y952" s="75"/>
      <c r="Z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7"/>
      <c r="Y953" s="75"/>
      <c r="Z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7"/>
      <c r="Y954" s="75"/>
      <c r="Z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7"/>
      <c r="Y955" s="75"/>
      <c r="Z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7"/>
      <c r="Y956" s="75"/>
      <c r="Z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7"/>
      <c r="Y957" s="75"/>
      <c r="Z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7"/>
      <c r="Y958" s="75"/>
      <c r="Z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7"/>
      <c r="Y959" s="75"/>
      <c r="Z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7"/>
      <c r="Y960" s="75"/>
      <c r="Z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7"/>
      <c r="Y961" s="75"/>
      <c r="Z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7"/>
      <c r="Y962" s="75"/>
      <c r="Z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7"/>
      <c r="Y963" s="75"/>
      <c r="Z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7"/>
      <c r="Y964" s="75"/>
      <c r="Z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7"/>
      <c r="Y965" s="75"/>
      <c r="Z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7"/>
      <c r="Y966" s="75"/>
      <c r="Z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7"/>
      <c r="Y967" s="75"/>
      <c r="Z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7"/>
      <c r="Y968" s="75"/>
      <c r="Z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7"/>
      <c r="Y969" s="75"/>
      <c r="Z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7"/>
      <c r="Y970" s="75"/>
      <c r="Z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7"/>
      <c r="Y971" s="75"/>
      <c r="Z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7"/>
      <c r="Y972" s="75"/>
      <c r="Z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7"/>
      <c r="Y973" s="75"/>
      <c r="Z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7"/>
      <c r="Y974" s="75"/>
      <c r="Z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7"/>
      <c r="Y975" s="75"/>
      <c r="Z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7"/>
      <c r="Y976" s="75"/>
      <c r="Z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7"/>
      <c r="Y977" s="75"/>
      <c r="Z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7"/>
      <c r="Y978" s="75"/>
      <c r="Z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7"/>
      <c r="Y979" s="75"/>
      <c r="Z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7"/>
      <c r="Y980" s="75"/>
      <c r="Z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7"/>
      <c r="Y981" s="75"/>
      <c r="Z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7"/>
      <c r="Y982" s="75"/>
      <c r="Z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7"/>
      <c r="Y983" s="75"/>
      <c r="Z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7"/>
      <c r="Y984" s="75"/>
      <c r="Z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7"/>
      <c r="Y985" s="75"/>
      <c r="Z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7"/>
      <c r="Y986" s="75"/>
      <c r="Z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7"/>
      <c r="Y987" s="75"/>
      <c r="Z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7"/>
      <c r="Y988" s="75"/>
      <c r="Z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7"/>
      <c r="Y989" s="75"/>
      <c r="Z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7"/>
      <c r="Y990" s="75"/>
      <c r="Z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7"/>
      <c r="Y991" s="75"/>
      <c r="Z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7"/>
      <c r="Y992" s="75"/>
      <c r="Z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7"/>
      <c r="Y993" s="75"/>
      <c r="Z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7"/>
      <c r="Y994" s="75"/>
      <c r="Z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7"/>
      <c r="Y995" s="75"/>
      <c r="Z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7"/>
      <c r="Y996" s="75"/>
      <c r="Z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7"/>
      <c r="Y997" s="75"/>
      <c r="Z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7"/>
      <c r="Y998" s="75"/>
      <c r="Z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7"/>
      <c r="Y999" s="75"/>
      <c r="Z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7"/>
      <c r="Y1000" s="75"/>
      <c r="Z1000" s="75"/>
    </row>
  </sheetData>
  <autoFilter ref="$A$1:$X$1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2024-06-24T04:44:42Z</dcterms:created>
</cp:coreProperties>
</file>