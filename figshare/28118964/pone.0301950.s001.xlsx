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da-my.sharepoint.com/personal/sang_lee2_fda_gov/Documents/Desktop/Pipette Minimal Data Set/"/>
    </mc:Choice>
  </mc:AlternateContent>
  <xr:revisionPtr revIDLastSave="2" documentId="11_816FFDA0D65E4348A713A52267DCFB9E952071C4" xr6:coauthVersionLast="47" xr6:coauthVersionMax="47" xr10:uidLastSave="{7F412559-8C11-4695-A26C-2EBCF3D61344}"/>
  <bookViews>
    <workbookView xWindow="-110" yWindow="-110" windowWidth="19420" windowHeight="10420" tabRatio="866" activeTab="1" xr2:uid="{00000000-000D-0000-FFFF-FFFF00000000}"/>
  </bookViews>
  <sheets>
    <sheet name="A. hydrophila 23211 Cali Curve" sheetId="1" r:id="rId1"/>
    <sheet name="qRT PCR Data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3" i="1"/>
  <c r="P12" i="1"/>
  <c r="P11" i="1"/>
  <c r="P10" i="1"/>
  <c r="P9" i="1"/>
  <c r="P8" i="1"/>
  <c r="P7" i="1"/>
  <c r="E88" i="11" l="1"/>
  <c r="F88" i="11"/>
  <c r="G88" i="11"/>
  <c r="H88" i="11"/>
  <c r="I88" i="11"/>
  <c r="J88" i="11"/>
  <c r="K88" i="11"/>
  <c r="L88" i="11"/>
  <c r="L90" i="11" s="1"/>
  <c r="M88" i="11"/>
  <c r="D88" i="11"/>
  <c r="J2" i="11"/>
  <c r="J82" i="11" s="1"/>
  <c r="J83" i="11" s="1"/>
  <c r="E81" i="11"/>
  <c r="E85" i="11" s="1"/>
  <c r="E86" i="11" s="1"/>
  <c r="F81" i="11"/>
  <c r="F85" i="11" s="1"/>
  <c r="G81" i="11"/>
  <c r="G85" i="11" s="1"/>
  <c r="H81" i="11"/>
  <c r="H85" i="11" s="1"/>
  <c r="I81" i="11"/>
  <c r="I85" i="11" s="1"/>
  <c r="J81" i="11"/>
  <c r="J85" i="11" s="1"/>
  <c r="K81" i="11"/>
  <c r="K85" i="11" s="1"/>
  <c r="L81" i="11"/>
  <c r="L85" i="11" s="1"/>
  <c r="M81" i="11"/>
  <c r="M85" i="11" s="1"/>
  <c r="D81" i="11"/>
  <c r="D85" i="11" s="1"/>
  <c r="E80" i="11"/>
  <c r="E89" i="11" s="1"/>
  <c r="F80" i="11"/>
  <c r="F89" i="11" s="1"/>
  <c r="G80" i="11"/>
  <c r="G89" i="11" s="1"/>
  <c r="H80" i="11"/>
  <c r="H89" i="11" s="1"/>
  <c r="I80" i="11"/>
  <c r="I89" i="11" s="1"/>
  <c r="J80" i="11"/>
  <c r="J89" i="11" s="1"/>
  <c r="K80" i="11"/>
  <c r="K89" i="11" s="1"/>
  <c r="L80" i="11"/>
  <c r="L89" i="11" s="1"/>
  <c r="M80" i="11"/>
  <c r="M89" i="11" s="1"/>
  <c r="D80" i="11"/>
  <c r="D89" i="11" s="1"/>
  <c r="K90" i="11" l="1"/>
  <c r="J90" i="11"/>
  <c r="I90" i="11"/>
  <c r="G90" i="11"/>
  <c r="D90" i="11"/>
  <c r="F90" i="11"/>
  <c r="M90" i="11"/>
  <c r="E90" i="11"/>
  <c r="I82" i="11"/>
  <c r="I83" i="11" s="1"/>
  <c r="H82" i="11"/>
  <c r="H83" i="11" s="1"/>
  <c r="G82" i="11"/>
  <c r="G83" i="11" s="1"/>
  <c r="D82" i="11"/>
  <c r="D83" i="11" s="1"/>
  <c r="F82" i="11"/>
  <c r="F83" i="11" s="1"/>
  <c r="M82" i="11"/>
  <c r="M83" i="11" s="1"/>
  <c r="E82" i="11"/>
  <c r="E83" i="11" s="1"/>
  <c r="L82" i="11"/>
  <c r="L83" i="11" s="1"/>
  <c r="K82" i="11"/>
  <c r="K83" i="11" s="1"/>
  <c r="H90" i="1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N7" i="1"/>
  <c r="I7" i="1"/>
  <c r="J7" i="1" s="1"/>
  <c r="F84" i="11" l="1"/>
  <c r="F86" i="11" s="1"/>
  <c r="F87" i="11" s="1"/>
  <c r="D84" i="11"/>
  <c r="D86" i="11" s="1"/>
  <c r="K84" i="11"/>
  <c r="K86" i="11" s="1"/>
  <c r="K87" i="11" s="1"/>
  <c r="H84" i="11"/>
  <c r="H86" i="11" s="1"/>
  <c r="H87" i="11" s="1"/>
  <c r="M84" i="11"/>
  <c r="M86" i="11" s="1"/>
  <c r="M87" i="11" s="1"/>
  <c r="L84" i="11"/>
  <c r="L86" i="11" s="1"/>
  <c r="J84" i="11"/>
  <c r="J86" i="11" s="1"/>
  <c r="J87" i="11" s="1"/>
  <c r="I84" i="11"/>
  <c r="I86" i="11" s="1"/>
  <c r="G84" i="11"/>
  <c r="G86" i="11" s="1"/>
  <c r="G87" i="11" s="1"/>
  <c r="J34" i="1"/>
  <c r="L34" i="1" s="1"/>
  <c r="J53" i="1"/>
  <c r="K52" i="1" s="1"/>
  <c r="O12" i="1" s="1"/>
  <c r="K43" i="1"/>
  <c r="O11" i="1" s="1"/>
  <c r="L16" i="1"/>
  <c r="K16" i="1"/>
  <c r="O8" i="1" s="1"/>
  <c r="L25" i="1"/>
  <c r="L7" i="1"/>
  <c r="K7" i="1"/>
  <c r="O7" i="1" s="1"/>
  <c r="L61" i="1"/>
  <c r="K61" i="1"/>
  <c r="O13" i="1" s="1"/>
  <c r="L70" i="1"/>
  <c r="K70" i="1"/>
  <c r="O14" i="1" s="1"/>
  <c r="K25" i="1"/>
  <c r="O9" i="1" s="1"/>
  <c r="L43" i="1"/>
  <c r="L87" i="11" l="1"/>
  <c r="I87" i="11"/>
  <c r="K34" i="1"/>
  <c r="O10" i="1" s="1"/>
  <c r="L52" i="1"/>
</calcChain>
</file>

<file path=xl/sharedStrings.xml><?xml version="1.0" encoding="utf-8"?>
<sst xmlns="http://schemas.openxmlformats.org/spreadsheetml/2006/main" count="100" uniqueCount="53">
  <si>
    <t>Collection of Raw Data</t>
  </si>
  <si>
    <t>Collection of Processed Data</t>
  </si>
  <si>
    <t>Collection Point</t>
  </si>
  <si>
    <t>Collection Time</t>
  </si>
  <si>
    <t>P.A Abs</t>
  </si>
  <si>
    <t>Dil Factor (E -X)</t>
  </si>
  <si>
    <t>Colony Count Plate 1</t>
  </si>
  <si>
    <t>Colony Count Plate 2</t>
  </si>
  <si>
    <t>Colony Count Plate 3</t>
  </si>
  <si>
    <t xml:space="preserve">Colony Count Avg </t>
  </si>
  <si>
    <t>CFU/mL</t>
  </si>
  <si>
    <t>Average CFU/mL</t>
  </si>
  <si>
    <t>Log of Average CFU/mL</t>
  </si>
  <si>
    <t>Time (hr)</t>
  </si>
  <si>
    <t>OD600</t>
  </si>
  <si>
    <t>TNTC</t>
  </si>
  <si>
    <t xml:space="preserve">Negative Control </t>
    <phoneticPr fontId="5" type="noConversion"/>
  </si>
  <si>
    <t xml:space="preserve">Positive Control </t>
    <phoneticPr fontId="5" type="noConversion"/>
  </si>
  <si>
    <t>Alconox Control</t>
    <phoneticPr fontId="5" type="noConversion"/>
  </si>
  <si>
    <t>Alconox 2.5%</t>
    <phoneticPr fontId="5" type="noConversion"/>
  </si>
  <si>
    <t>Ozone Control</t>
    <phoneticPr fontId="5" type="noConversion"/>
  </si>
  <si>
    <t>Ozone 250 PPM*min</t>
    <phoneticPr fontId="5" type="noConversion"/>
  </si>
  <si>
    <t>CAP Control</t>
    <phoneticPr fontId="5" type="noConversion"/>
  </si>
  <si>
    <t>CAP Upright</t>
    <phoneticPr fontId="5" type="noConversion"/>
  </si>
  <si>
    <t>CAP Inverted</t>
    <phoneticPr fontId="5" type="noConversion"/>
  </si>
  <si>
    <t>Treatment</t>
    <phoneticPr fontId="5" type="noConversion"/>
  </si>
  <si>
    <t>DNA</t>
    <phoneticPr fontId="5" type="noConversion"/>
  </si>
  <si>
    <t>Target Primer</t>
    <phoneticPr fontId="5" type="noConversion"/>
  </si>
  <si>
    <t>16s rRNA</t>
    <phoneticPr fontId="5" type="noConversion"/>
  </si>
  <si>
    <t>Ozone 14400 PPM*min</t>
    <phoneticPr fontId="5" type="noConversion"/>
  </si>
  <si>
    <t>None</t>
    <phoneticPr fontId="5" type="noConversion"/>
  </si>
  <si>
    <t>Yes</t>
    <phoneticPr fontId="5" type="noConversion"/>
  </si>
  <si>
    <t>None</t>
    <phoneticPr fontId="5" type="noConversion"/>
  </si>
  <si>
    <t>Yes</t>
    <phoneticPr fontId="5" type="noConversion"/>
  </si>
  <si>
    <t xml:space="preserve">CAP Upright </t>
    <phoneticPr fontId="5" type="noConversion"/>
  </si>
  <si>
    <t>Experimental Group</t>
    <phoneticPr fontId="5" type="noConversion"/>
  </si>
  <si>
    <t>Average Threshold Cycle</t>
    <phoneticPr fontId="5" type="noConversion"/>
  </si>
  <si>
    <t>Standard Deviation 
Threshold Cycle</t>
    <phoneticPr fontId="5" type="noConversion"/>
  </si>
  <si>
    <t>Clean Sample</t>
    <phoneticPr fontId="5" type="noConversion"/>
  </si>
  <si>
    <t>Total Sample Number</t>
    <phoneticPr fontId="5" type="noConversion"/>
  </si>
  <si>
    <t>Detection Threshold 
(DNA Copies / uL)</t>
  </si>
  <si>
    <t>Detection Threshold of 
Turnover Ratio (Cycle)</t>
    <phoneticPr fontId="5" type="noConversion"/>
  </si>
  <si>
    <t>Initial Amount of Detection Threshold (DNA Copies / uL)</t>
    <phoneticPr fontId="5" type="noConversion"/>
  </si>
  <si>
    <t>Turnover Ratio</t>
    <phoneticPr fontId="5" type="noConversion"/>
  </si>
  <si>
    <t>Initial Amount (AA)
(DNA Copies / uL)</t>
  </si>
  <si>
    <t>Log(Initial Amount) (AA)
(DNA Copies / uL)</t>
  </si>
  <si>
    <t>Log Reduction</t>
    <phoneticPr fontId="5" type="noConversion"/>
  </si>
  <si>
    <t>Processed Error Bar (Log)</t>
  </si>
  <si>
    <t>Percent Error</t>
    <phoneticPr fontId="5" type="noConversion"/>
  </si>
  <si>
    <t>Error Bar (Log))</t>
    <phoneticPr fontId="5" type="noConversion"/>
  </si>
  <si>
    <t>Processed Data</t>
    <phoneticPr fontId="5" type="noConversion"/>
  </si>
  <si>
    <t>Sample Number</t>
    <phoneticPr fontId="5" type="noConversion"/>
  </si>
  <si>
    <t>Conditions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</si>
</sst>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11" fontId="0" fillId="0" borderId="0" xfId="0" applyNumberForma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7" xfId="0" applyFill="1" applyBorder="1"/>
    <xf numFmtId="0" fontId="0" fillId="0" borderId="8" xfId="0" applyBorder="1"/>
    <xf numFmtId="1" fontId="0" fillId="0" borderId="5" xfId="0" applyNumberFormat="1" applyBorder="1"/>
    <xf numFmtId="11" fontId="0" fillId="0" borderId="5" xfId="0" applyNumberFormat="1" applyBorder="1"/>
    <xf numFmtId="0" fontId="0" fillId="0" borderId="5" xfId="0" applyBorder="1"/>
    <xf numFmtId="0" fontId="0" fillId="2" borderId="9" xfId="0" applyFill="1" applyBorder="1"/>
    <xf numFmtId="1" fontId="0" fillId="0" borderId="8" xfId="0" applyNumberFormat="1" applyBorder="1"/>
    <xf numFmtId="11" fontId="0" fillId="0" borderId="8" xfId="0" applyNumberFormat="1" applyBorder="1"/>
    <xf numFmtId="2" fontId="0" fillId="0" borderId="0" xfId="0" applyNumberFormat="1"/>
    <xf numFmtId="1" fontId="0" fillId="0" borderId="10" xfId="0" applyNumberFormat="1" applyBorder="1"/>
    <xf numFmtId="11" fontId="0" fillId="0" borderId="10" xfId="0" applyNumberFormat="1" applyBorder="1"/>
    <xf numFmtId="0" fontId="0" fillId="0" borderId="10" xfId="0" applyBorder="1"/>
    <xf numFmtId="164" fontId="0" fillId="0" borderId="0" xfId="0" applyNumberFormat="1"/>
    <xf numFmtId="0" fontId="0" fillId="2" borderId="11" xfId="0" applyFill="1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1" fillId="0" borderId="0" xfId="0" applyFont="1"/>
    <xf numFmtId="0" fontId="0" fillId="0" borderId="14" xfId="0" applyBorder="1"/>
    <xf numFmtId="0" fontId="0" fillId="0" borderId="15" xfId="0" applyBorder="1"/>
    <xf numFmtId="0" fontId="0" fillId="2" borderId="16" xfId="0" applyFill="1" applyBorder="1"/>
    <xf numFmtId="0" fontId="0" fillId="2" borderId="17" xfId="0" applyFill="1" applyBorder="1"/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" fontId="0" fillId="0" borderId="0" xfId="0" applyNumberFormat="1" applyBorder="1"/>
    <xf numFmtId="11" fontId="0" fillId="0" borderId="0" xfId="0" applyNumberFormat="1" applyBorder="1"/>
    <xf numFmtId="0" fontId="0" fillId="0" borderId="0" xfId="0" applyBorder="1"/>
    <xf numFmtId="11" fontId="0" fillId="0" borderId="0" xfId="0" applyNumberFormat="1" applyBorder="1" applyAlignment="1"/>
    <xf numFmtId="0" fontId="0" fillId="0" borderId="0" xfId="0" applyFill="1" applyBorder="1"/>
    <xf numFmtId="11" fontId="0" fillId="0" borderId="0" xfId="0" applyNumberFormat="1" applyFill="1" applyBorder="1"/>
    <xf numFmtId="14" fontId="0" fillId="0" borderId="0" xfId="0" applyNumberFormat="1" applyFill="1" applyBorder="1"/>
    <xf numFmtId="0" fontId="0" fillId="0" borderId="0" xfId="0" applyBorder="1" applyAlignment="1"/>
    <xf numFmtId="0" fontId="0" fillId="0" borderId="9" xfId="0" applyBorder="1"/>
    <xf numFmtId="0" fontId="0" fillId="0" borderId="11" xfId="0" applyBorder="1"/>
    <xf numFmtId="0" fontId="0" fillId="0" borderId="16" xfId="0" applyBorder="1"/>
    <xf numFmtId="2" fontId="0" fillId="0" borderId="0" xfId="0" applyNumberFormat="1" applyBorder="1"/>
    <xf numFmtId="165" fontId="0" fillId="0" borderId="18" xfId="0" applyNumberFormat="1" applyBorder="1" applyAlignment="1">
      <alignment wrapText="1"/>
    </xf>
    <xf numFmtId="165" fontId="4" fillId="0" borderId="18" xfId="0" applyNumberFormat="1" applyFont="1" applyFill="1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9" xfId="0" applyFill="1" applyBorder="1"/>
    <xf numFmtId="0" fontId="0" fillId="0" borderId="11" xfId="0" applyFill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165" fontId="0" fillId="0" borderId="24" xfId="0" applyNumberFormat="1" applyBorder="1"/>
    <xf numFmtId="165" fontId="0" fillId="0" borderId="22" xfId="0" applyNumberFormat="1" applyBorder="1"/>
    <xf numFmtId="10" fontId="0" fillId="0" borderId="22" xfId="0" applyNumberFormat="1" applyBorder="1"/>
    <xf numFmtId="0" fontId="0" fillId="0" borderId="22" xfId="0" applyBorder="1"/>
    <xf numFmtId="10" fontId="0" fillId="0" borderId="23" xfId="0" applyNumberFormat="1" applyBorder="1"/>
    <xf numFmtId="2" fontId="0" fillId="0" borderId="14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165" fontId="0" fillId="0" borderId="16" xfId="0" applyNumberFormat="1" applyBorder="1"/>
    <xf numFmtId="165" fontId="0" fillId="0" borderId="9" xfId="0" applyNumberFormat="1" applyBorder="1"/>
    <xf numFmtId="10" fontId="0" fillId="0" borderId="9" xfId="0" applyNumberFormat="1" applyBorder="1"/>
    <xf numFmtId="10" fontId="0" fillId="0" borderId="11" xfId="0" applyNumberFormat="1" applyBorder="1"/>
    <xf numFmtId="2" fontId="0" fillId="0" borderId="10" xfId="0" applyNumberFormat="1" applyBorder="1"/>
    <xf numFmtId="2" fontId="0" fillId="0" borderId="24" xfId="0" applyNumberFormat="1" applyBorder="1"/>
    <xf numFmtId="2" fontId="0" fillId="0" borderId="16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19" xfId="0" applyNumberFormat="1" applyBorder="1"/>
    <xf numFmtId="2" fontId="0" fillId="0" borderId="22" xfId="0" applyNumberFormat="1" applyFill="1" applyBorder="1"/>
    <xf numFmtId="2" fontId="0" fillId="0" borderId="9" xfId="0" applyNumberFormat="1" applyFill="1" applyBorder="1"/>
    <xf numFmtId="2" fontId="0" fillId="0" borderId="18" xfId="0" applyNumberFormat="1" applyBorder="1"/>
    <xf numFmtId="0" fontId="0" fillId="0" borderId="18" xfId="0" applyBorder="1" applyAlignment="1">
      <alignment wrapText="1"/>
    </xf>
    <xf numFmtId="11" fontId="0" fillId="0" borderId="19" xfId="0" applyNumberFormat="1" applyBorder="1"/>
    <xf numFmtId="0" fontId="2" fillId="0" borderId="5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164" fontId="2" fillId="0" borderId="8" xfId="0" applyNumberFormat="1" applyFont="1" applyBorder="1" applyAlignment="1">
      <alignment horizontal="center" vertical="top"/>
    </xf>
    <xf numFmtId="164" fontId="2" fillId="0" borderId="10" xfId="0" applyNumberFormat="1" applyFont="1" applyBorder="1" applyAlignment="1">
      <alignment horizontal="center" vertical="top"/>
    </xf>
    <xf numFmtId="165" fontId="2" fillId="0" borderId="5" xfId="0" applyNumberFormat="1" applyFont="1" applyFill="1" applyBorder="1" applyAlignment="1">
      <alignment horizontal="center" vertical="top"/>
    </xf>
    <xf numFmtId="165" fontId="2" fillId="0" borderId="8" xfId="0" applyNumberFormat="1" applyFont="1" applyFill="1" applyBorder="1" applyAlignment="1">
      <alignment horizontal="center" vertical="top"/>
    </xf>
    <xf numFmtId="165" fontId="2" fillId="0" borderId="10" xfId="0" applyNumberFormat="1" applyFont="1" applyFill="1" applyBorder="1" applyAlignment="1">
      <alignment horizontal="center" vertical="top"/>
    </xf>
    <xf numFmtId="11" fontId="3" fillId="0" borderId="5" xfId="0" applyNumberFormat="1" applyFont="1" applyBorder="1" applyAlignment="1">
      <alignment horizontal="center" vertical="top"/>
    </xf>
    <xf numFmtId="11" fontId="3" fillId="0" borderId="8" xfId="0" applyNumberFormat="1" applyFont="1" applyBorder="1" applyAlignment="1">
      <alignment horizontal="center" vertical="top"/>
    </xf>
    <xf numFmtId="11" fontId="3" fillId="0" borderId="10" xfId="0" applyNumberFormat="1" applyFont="1" applyBorder="1" applyAlignment="1">
      <alignment horizontal="center" vertical="top"/>
    </xf>
    <xf numFmtId="2" fontId="3" fillId="0" borderId="5" xfId="0" applyNumberFormat="1" applyFont="1" applyBorder="1" applyAlignment="1">
      <alignment horizontal="center" vertical="top"/>
    </xf>
    <xf numFmtId="2" fontId="3" fillId="0" borderId="8" xfId="0" applyNumberFormat="1" applyFont="1" applyBorder="1" applyAlignment="1">
      <alignment horizontal="center" vertical="top"/>
    </xf>
    <xf numFmtId="2" fontId="3" fillId="0" borderId="10" xfId="0" applyNumberFormat="1" applyFont="1" applyBorder="1" applyAlignment="1">
      <alignment horizontal="center" vertical="top"/>
    </xf>
    <xf numFmtId="165" fontId="2" fillId="0" borderId="5" xfId="0" applyNumberFormat="1" applyFont="1" applyBorder="1" applyAlignment="1">
      <alignment horizontal="center" vertical="top"/>
    </xf>
    <xf numFmtId="165" fontId="2" fillId="0" borderId="8" xfId="0" applyNumberFormat="1" applyFont="1" applyBorder="1" applyAlignment="1">
      <alignment horizontal="center" vertical="top"/>
    </xf>
    <xf numFmtId="165" fontId="2" fillId="0" borderId="10" xfId="0" applyNumberFormat="1" applyFont="1" applyBorder="1" applyAlignment="1">
      <alignment horizontal="center" vertical="top"/>
    </xf>
    <xf numFmtId="11" fontId="0" fillId="0" borderId="1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A. hydrophila </a:t>
            </a:r>
            <a:r>
              <a:rPr lang="en-US" sz="1800" b="0" i="0" baseline="0">
                <a:effectLst/>
              </a:rPr>
              <a:t>(ATCC 23211) Growth Curve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800" b="0" i="0" baseline="0">
                <a:effectLst/>
              </a:rPr>
              <a:t>(incubation time vs CFU / mL)</a:t>
            </a:r>
            <a:endParaRPr lang="en-US" sz="1800" b="0" i="1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P.a Time vs CFU/ml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'A. hydrophila 23211 Cali Curve'!$N$7:$N$14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'A. hydrophila 23211 Cali Curve'!$O$7:$O$14</c:f>
              <c:numCache>
                <c:formatCode>0.00E+00</c:formatCode>
                <c:ptCount val="8"/>
                <c:pt idx="0">
                  <c:v>5000</c:v>
                </c:pt>
                <c:pt idx="1">
                  <c:v>15700</c:v>
                </c:pt>
                <c:pt idx="2">
                  <c:v>94333.333333333328</c:v>
                </c:pt>
                <c:pt idx="3">
                  <c:v>883333.33333333326</c:v>
                </c:pt>
                <c:pt idx="4">
                  <c:v>4533333.333333334</c:v>
                </c:pt>
                <c:pt idx="5">
                  <c:v>6666666.666666667</c:v>
                </c:pt>
                <c:pt idx="6">
                  <c:v>9100000</c:v>
                </c:pt>
                <c:pt idx="7">
                  <c:v>14100000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F-401F-A4BC-7DC099230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560832"/>
        <c:axId val="473561376"/>
      </c:scatterChart>
      <c:valAx>
        <c:axId val="47356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Incubation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1376"/>
        <c:crosses val="autoZero"/>
        <c:crossBetween val="midCat"/>
      </c:valAx>
      <c:valAx>
        <c:axId val="473561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CFU</a:t>
                </a:r>
                <a:r>
                  <a:rPr lang="en-US" baseline="0"/>
                  <a:t> / mL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08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1" u="none" strike="noStrike" baseline="0">
                <a:effectLst/>
              </a:rPr>
              <a:t>A. hydrophila </a:t>
            </a:r>
            <a:r>
              <a:rPr lang="en-US" altLang="ko-KR" sz="1400" b="0" i="0" u="none" strike="noStrike" baseline="0">
                <a:effectLst/>
              </a:rPr>
              <a:t>(ATCC 23211</a:t>
            </a:r>
            <a:r>
              <a:rPr lang="en-US" baseline="0"/>
              <a:t>) Calibration Curve</a:t>
            </a:r>
          </a:p>
        </c:rich>
      </c:tx>
      <c:layout>
        <c:manualLayout>
          <c:xMode val="edge"/>
          <c:yMode val="edge"/>
          <c:x val="0.24861533502950292"/>
          <c:y val="2.8994230335414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 Calibration Curve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259073541816124"/>
                  <c:y val="0.15879838973399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'A. hydrophila 23211 Cali Curve'!$O$7:$O$14</c:f>
              <c:numCache>
                <c:formatCode>0.00E+00</c:formatCode>
                <c:ptCount val="8"/>
                <c:pt idx="0">
                  <c:v>5000</c:v>
                </c:pt>
                <c:pt idx="1">
                  <c:v>15700</c:v>
                </c:pt>
                <c:pt idx="2">
                  <c:v>94333.333333333328</c:v>
                </c:pt>
                <c:pt idx="3">
                  <c:v>883333.33333333326</c:v>
                </c:pt>
                <c:pt idx="4">
                  <c:v>4533333.333333334</c:v>
                </c:pt>
                <c:pt idx="5">
                  <c:v>6666666.666666667</c:v>
                </c:pt>
                <c:pt idx="6">
                  <c:v>9100000</c:v>
                </c:pt>
                <c:pt idx="7">
                  <c:v>14100000</c:v>
                </c:pt>
              </c:numCache>
            </c:numRef>
          </c:xVal>
          <c:yVal>
            <c:numRef>
              <c:f>'A. hydrophila 23211 Cali Curve'!$P$7:$P$14</c:f>
              <c:numCache>
                <c:formatCode>General</c:formatCode>
                <c:ptCount val="8"/>
                <c:pt idx="0">
                  <c:v>5.0000000000000001E-3</c:v>
                </c:pt>
                <c:pt idx="1">
                  <c:v>1.4999999999999999E-2</c:v>
                </c:pt>
                <c:pt idx="2">
                  <c:v>3.9E-2</c:v>
                </c:pt>
                <c:pt idx="3">
                  <c:v>0.312</c:v>
                </c:pt>
                <c:pt idx="4">
                  <c:v>0.61599999999999999</c:v>
                </c:pt>
                <c:pt idx="5">
                  <c:v>0.83299999999999996</c:v>
                </c:pt>
                <c:pt idx="6">
                  <c:v>0.998</c:v>
                </c:pt>
                <c:pt idx="7">
                  <c:v>1.155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6B-4F35-824B-F842E73C6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562464"/>
        <c:axId val="473559200"/>
      </c:scatterChart>
      <c:valAx>
        <c:axId val="4735624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CFU / 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59200"/>
        <c:crosses val="autoZero"/>
        <c:crossBetween val="midCat"/>
      </c:valAx>
      <c:valAx>
        <c:axId val="473559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</a:t>
                </a:r>
                <a:r>
                  <a:rPr lang="en-US" baseline="-25000"/>
                  <a:t>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24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80" b="0" i="1" u="none" strike="noStrike" baseline="0">
                <a:effectLst/>
              </a:rPr>
              <a:t>A. hydrophila </a:t>
            </a:r>
            <a:r>
              <a:rPr lang="en-US" altLang="ko-KR" sz="1680" b="0" i="0" u="none" strike="noStrike" baseline="0">
                <a:effectLst/>
              </a:rPr>
              <a:t>(ATCC 23211)</a:t>
            </a:r>
            <a:r>
              <a:rPr lang="en-US" sz="1800" b="0" i="0" baseline="0">
                <a:effectLst/>
              </a:rPr>
              <a:t>)</a:t>
            </a:r>
            <a:r>
              <a:rPr lang="en-US" sz="1800" b="0" i="1" baseline="0">
                <a:effectLst/>
              </a:rPr>
              <a:t> </a:t>
            </a:r>
            <a:r>
              <a:rPr lang="en-US" sz="1800" b="0" i="0" baseline="0">
                <a:effectLst/>
              </a:rPr>
              <a:t>Growth Curve </a:t>
            </a:r>
          </a:p>
          <a:p>
            <a:pPr>
              <a:defRPr/>
            </a:pPr>
            <a:r>
              <a:rPr lang="en-US" sz="1800" b="0" i="0" baseline="0">
                <a:effectLst/>
              </a:rPr>
              <a:t>(incubation time vs OD</a:t>
            </a:r>
            <a:r>
              <a:rPr lang="en-US" sz="1800" b="0" i="0" baseline="-25000">
                <a:effectLst/>
              </a:rPr>
              <a:t>600</a:t>
            </a:r>
            <a:r>
              <a:rPr lang="en-US" sz="1800" b="0" i="0" baseline="0">
                <a:effectLst/>
              </a:rPr>
              <a:t>)</a:t>
            </a:r>
            <a:endParaRPr lang="en-US" sz="1800" b="0" i="1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48378895325908"/>
          <c:y val="0.14166577953902726"/>
          <c:w val="0.8360194969732675"/>
          <c:h val="0.72475741474323008"/>
        </c:manualLayout>
      </c:layout>
      <c:scatterChart>
        <c:scatterStyle val="lineMarker"/>
        <c:varyColors val="0"/>
        <c:ser>
          <c:idx val="0"/>
          <c:order val="0"/>
          <c:tx>
            <c:v>P.a Time vs OD600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'A. hydrophila 23211 Cali Curve'!$N$7:$N$14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'A. hydrophila 23211 Cali Curve'!$P$7:$P$14</c:f>
              <c:numCache>
                <c:formatCode>General</c:formatCode>
                <c:ptCount val="8"/>
                <c:pt idx="0">
                  <c:v>5.0000000000000001E-3</c:v>
                </c:pt>
                <c:pt idx="1">
                  <c:v>1.4999999999999999E-2</c:v>
                </c:pt>
                <c:pt idx="2">
                  <c:v>3.9E-2</c:v>
                </c:pt>
                <c:pt idx="3">
                  <c:v>0.312</c:v>
                </c:pt>
                <c:pt idx="4">
                  <c:v>0.61599999999999999</c:v>
                </c:pt>
                <c:pt idx="5">
                  <c:v>0.83299999999999996</c:v>
                </c:pt>
                <c:pt idx="6">
                  <c:v>0.998</c:v>
                </c:pt>
                <c:pt idx="7">
                  <c:v>1.155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9-4DCF-AB50-3BCE8FEE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559744"/>
        <c:axId val="473560288"/>
      </c:scatterChart>
      <c:valAx>
        <c:axId val="47355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Incubation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0288"/>
        <c:crosses val="autoZero"/>
        <c:crossBetween val="midCat"/>
      </c:valAx>
      <c:valAx>
        <c:axId val="473560288"/>
        <c:scaling>
          <c:orientation val="minMax"/>
          <c:max val="1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59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Log Reduction of Experimental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Log Reduction</c:v>
          </c:tx>
          <c:spPr>
            <a:noFill/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'qRT PCR Data'!$D$87:$M$87</c:f>
                <c:numCache>
                  <c:formatCode>General</c:formatCode>
                  <c:ptCount val="10"/>
                  <c:pt idx="0">
                    <c:v>0.53700000000000003</c:v>
                  </c:pt>
                  <c:pt idx="1">
                    <c:v>8.9999999999999993E-3</c:v>
                  </c:pt>
                  <c:pt idx="2">
                    <c:v>0.31733547539093498</c:v>
                  </c:pt>
                  <c:pt idx="3">
                    <c:v>1.3079446619347563</c:v>
                  </c:pt>
                  <c:pt idx="4">
                    <c:v>9.5887202783525357E-3</c:v>
                  </c:pt>
                  <c:pt idx="5">
                    <c:v>1.0425583839411425</c:v>
                  </c:pt>
                  <c:pt idx="6">
                    <c:v>0.63190464539880242</c:v>
                  </c:pt>
                  <c:pt idx="7">
                    <c:v>1.5284396941970584E-2</c:v>
                  </c:pt>
                  <c:pt idx="8">
                    <c:v>0.98128168713240194</c:v>
                  </c:pt>
                  <c:pt idx="9">
                    <c:v>0.87012098849860575</c:v>
                  </c:pt>
                </c:numCache>
              </c:numRef>
            </c:plus>
            <c:minus>
              <c:numRef>
                <c:f>'qRT PCR Data'!$D$87:$M$87</c:f>
                <c:numCache>
                  <c:formatCode>General</c:formatCode>
                  <c:ptCount val="10"/>
                  <c:pt idx="0">
                    <c:v>0.53700000000000003</c:v>
                  </c:pt>
                  <c:pt idx="1">
                    <c:v>8.9999999999999993E-3</c:v>
                  </c:pt>
                  <c:pt idx="2">
                    <c:v>0.31733547539093498</c:v>
                  </c:pt>
                  <c:pt idx="3">
                    <c:v>1.3079446619347563</c:v>
                  </c:pt>
                  <c:pt idx="4">
                    <c:v>9.5887202783525357E-3</c:v>
                  </c:pt>
                  <c:pt idx="5">
                    <c:v>1.0425583839411425</c:v>
                  </c:pt>
                  <c:pt idx="6">
                    <c:v>0.63190464539880242</c:v>
                  </c:pt>
                  <c:pt idx="7">
                    <c:v>1.5284396941970584E-2</c:v>
                  </c:pt>
                  <c:pt idx="8">
                    <c:v>0.98128168713240194</c:v>
                  </c:pt>
                  <c:pt idx="9">
                    <c:v>0.87012098849860575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'qRT PCR Data'!$D$91:$M$91</c:f>
              <c:strCache>
                <c:ptCount val="10"/>
                <c:pt idx="0">
                  <c:v>Positive Control </c:v>
                </c:pt>
                <c:pt idx="1">
                  <c:v>Negative Control </c:v>
                </c:pt>
                <c:pt idx="2">
                  <c:v>Alconox Control</c:v>
                </c:pt>
                <c:pt idx="3">
                  <c:v>Alconox 2.5%</c:v>
                </c:pt>
                <c:pt idx="4">
                  <c:v>Ozone Control</c:v>
                </c:pt>
                <c:pt idx="5">
                  <c:v>Ozone 250 PPM*min</c:v>
                </c:pt>
                <c:pt idx="6">
                  <c:v>Ozone 14400 PPM*min</c:v>
                </c:pt>
                <c:pt idx="7">
                  <c:v>CAP Control</c:v>
                </c:pt>
                <c:pt idx="8">
                  <c:v>CAP Upright</c:v>
                </c:pt>
                <c:pt idx="9">
                  <c:v>CAP Inverted</c:v>
                </c:pt>
              </c:strCache>
            </c:strRef>
          </c:cat>
          <c:val>
            <c:numRef>
              <c:f>'qRT PCR Data'!$D$84:$M$84</c:f>
              <c:numCache>
                <c:formatCode>0.000</c:formatCode>
                <c:ptCount val="10"/>
                <c:pt idx="0">
                  <c:v>-4.1835524191054336</c:v>
                </c:pt>
                <c:pt idx="1">
                  <c:v>0</c:v>
                </c:pt>
                <c:pt idx="2">
                  <c:v>2.0820482082577385</c:v>
                </c:pt>
                <c:pt idx="3">
                  <c:v>5.9430449251599331</c:v>
                </c:pt>
                <c:pt idx="4">
                  <c:v>0.24851698530926303</c:v>
                </c:pt>
                <c:pt idx="5">
                  <c:v>3.3486003327193341</c:v>
                </c:pt>
                <c:pt idx="6">
                  <c:v>4.511053941372241</c:v>
                </c:pt>
                <c:pt idx="7">
                  <c:v>0.36892898357485093</c:v>
                </c:pt>
                <c:pt idx="8">
                  <c:v>2.628326339919516</c:v>
                </c:pt>
                <c:pt idx="9">
                  <c:v>4.0022654661611217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1-4DD9-8968-7964C167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96560"/>
        <c:axId val="475694384"/>
      </c:barChart>
      <c:catAx>
        <c:axId val="47569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Conditions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384"/>
        <c:crosses val="autoZero"/>
        <c:auto val="1"/>
        <c:lblAlgn val="ctr"/>
        <c:lblOffset val="100"/>
        <c:noMultiLvlLbl val="0"/>
      </c:catAx>
      <c:valAx>
        <c:axId val="4756943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 Reduction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259432</xdr:colOff>
      <xdr:row>4</xdr:row>
      <xdr:rowOff>47131</xdr:rowOff>
    </xdr:from>
    <xdr:to>
      <xdr:col>23</xdr:col>
      <xdr:colOff>46181</xdr:colOff>
      <xdr:row>36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DF503-CAD0-41F1-A344-0A340EBC3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194024</xdr:colOff>
      <xdr:row>37</xdr:row>
      <xdr:rowOff>140853</xdr:rowOff>
    </xdr:from>
    <xdr:to>
      <xdr:col>23</xdr:col>
      <xdr:colOff>184727</xdr:colOff>
      <xdr:row>64</xdr:row>
      <xdr:rowOff>80818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DB8D98-CD85-40BC-ADFB-8C774067B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138205</xdr:colOff>
      <xdr:row>4</xdr:row>
      <xdr:rowOff>19697</xdr:rowOff>
    </xdr:from>
    <xdr:to>
      <xdr:col>34</xdr:col>
      <xdr:colOff>334819</xdr:colOff>
      <xdr:row>36</xdr:row>
      <xdr:rowOff>173180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E02462-7D28-48D6-B42B-639117FC1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91</xdr:row>
      <xdr:rowOff>152399</xdr:rowOff>
    </xdr:from>
    <xdr:to>
      <xdr:col>8</xdr:col>
      <xdr:colOff>201083</xdr:colOff>
      <xdr:row>127</xdr:row>
      <xdr:rowOff>42333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18"/>
  <sheetViews>
    <sheetView topLeftCell="H1" zoomScale="55" zoomScaleNormal="55" workbookViewId="0">
      <selection activeCell="AE43" sqref="AE43"/>
    </sheetView>
  </sheetViews>
  <sheetFormatPr defaultRowHeight="14.5"/>
  <cols>
    <col min="2" max="2" width="14.90625" bestFit="1" customWidth="1"/>
    <col min="3" max="3" width="14.453125" bestFit="1" customWidth="1"/>
    <col min="4" max="4" width="10.453125" customWidth="1"/>
    <col min="5" max="5" width="15.08984375" customWidth="1"/>
    <col min="6" max="7" width="19" bestFit="1" customWidth="1"/>
    <col min="8" max="8" width="18.453125" bestFit="1" customWidth="1"/>
    <col min="9" max="9" width="16.453125" customWidth="1"/>
    <col min="10" max="10" width="16.453125" bestFit="1" customWidth="1"/>
    <col min="11" max="11" width="17.08984375" style="1" bestFit="1" customWidth="1"/>
    <col min="12" max="12" width="24" style="1" bestFit="1" customWidth="1"/>
    <col min="13" max="13" width="8.90625" customWidth="1"/>
    <col min="14" max="14" width="10.453125" customWidth="1"/>
    <col min="15" max="15" width="13" style="1" customWidth="1"/>
    <col min="16" max="16" width="9.453125" customWidth="1"/>
    <col min="17" max="17" width="12.7265625" bestFit="1" customWidth="1"/>
    <col min="18" max="18" width="22.453125" customWidth="1"/>
    <col min="19" max="19" width="20.453125" customWidth="1"/>
    <col min="20" max="20" width="11.08984375" bestFit="1" customWidth="1"/>
    <col min="21" max="21" width="8.90625"/>
    <col min="22" max="22" width="11.08984375" bestFit="1" customWidth="1"/>
  </cols>
  <sheetData>
    <row r="2" spans="2:25">
      <c r="J2" s="37"/>
      <c r="K2" s="38"/>
    </row>
    <row r="3" spans="2:25">
      <c r="B3" s="40"/>
      <c r="C3" s="40"/>
      <c r="D3" s="35"/>
      <c r="E3" s="35"/>
      <c r="J3" s="39"/>
      <c r="K3" s="37"/>
      <c r="L3"/>
    </row>
    <row r="4" spans="2:25" ht="15" thickBot="1"/>
    <row r="5" spans="2:25" ht="15" thickBot="1">
      <c r="B5" s="100" t="s">
        <v>0</v>
      </c>
      <c r="C5" s="101"/>
      <c r="D5" s="101"/>
      <c r="E5" s="101"/>
      <c r="F5" s="101"/>
      <c r="G5" s="101"/>
      <c r="H5" s="101"/>
      <c r="I5" s="101"/>
      <c r="J5" s="101"/>
      <c r="K5" s="101"/>
      <c r="L5" s="102"/>
      <c r="N5" s="97" t="s">
        <v>1</v>
      </c>
      <c r="O5" s="98"/>
      <c r="P5" s="99"/>
      <c r="W5" s="36"/>
      <c r="X5" s="36"/>
      <c r="Y5" s="36"/>
    </row>
    <row r="6" spans="2:25" ht="15" thickBot="1">
      <c r="B6" s="2" t="s">
        <v>2</v>
      </c>
      <c r="C6" s="3" t="s">
        <v>3</v>
      </c>
      <c r="D6" s="2" t="s">
        <v>4</v>
      </c>
      <c r="E6" s="3" t="s">
        <v>5</v>
      </c>
      <c r="F6" s="4" t="s">
        <v>6</v>
      </c>
      <c r="G6" s="5" t="s">
        <v>7</v>
      </c>
      <c r="H6" s="4" t="s">
        <v>8</v>
      </c>
      <c r="I6" s="3" t="s">
        <v>9</v>
      </c>
      <c r="J6" s="2" t="s">
        <v>10</v>
      </c>
      <c r="K6" s="6" t="s">
        <v>11</v>
      </c>
      <c r="L6" s="7" t="s">
        <v>12</v>
      </c>
      <c r="N6" s="2" t="s">
        <v>13</v>
      </c>
      <c r="O6" s="7" t="s">
        <v>10</v>
      </c>
      <c r="P6" s="8" t="s">
        <v>14</v>
      </c>
      <c r="W6" s="31"/>
      <c r="X6" s="32"/>
      <c r="Y6" s="31"/>
    </row>
    <row r="7" spans="2:25" ht="16.5" customHeight="1">
      <c r="B7" s="79">
        <v>0</v>
      </c>
      <c r="C7" s="82">
        <v>0.375</v>
      </c>
      <c r="D7" s="94">
        <v>5.0000000000000001E-3</v>
      </c>
      <c r="E7">
        <v>0</v>
      </c>
      <c r="F7" s="9"/>
      <c r="G7" s="9"/>
      <c r="H7" s="9"/>
      <c r="I7">
        <f>IFERROR(AVERAGEIF(F7:H7,"&lt;&gt;0"),0)</f>
        <v>0</v>
      </c>
      <c r="J7" s="10">
        <f>I7*10^(E7)</f>
        <v>0</v>
      </c>
      <c r="K7" s="88">
        <f>IFERROR(AVERAGEIF(J7:J15,"&lt;&gt;0"),0)</f>
        <v>5000</v>
      </c>
      <c r="L7" s="91">
        <f>LOG10(IFERROR(AVERAGEIF(J7:J15,"&lt;&gt;0"),0))</f>
        <v>3.6989700043360187</v>
      </c>
      <c r="N7" s="11">
        <f>0</f>
        <v>0</v>
      </c>
      <c r="O7" s="12">
        <f>K7</f>
        <v>5000</v>
      </c>
      <c r="P7" s="13">
        <f>D7</f>
        <v>5.0000000000000001E-3</v>
      </c>
      <c r="W7" s="33"/>
      <c r="X7" s="34"/>
      <c r="Y7" s="35"/>
    </row>
    <row r="8" spans="2:25" ht="16.5" customHeight="1">
      <c r="B8" s="80"/>
      <c r="C8" s="83"/>
      <c r="D8" s="95"/>
      <c r="E8">
        <v>1</v>
      </c>
      <c r="F8" s="14"/>
      <c r="G8" s="14"/>
      <c r="H8" s="14"/>
      <c r="I8">
        <f>IFERROR(AVERAGEIF(F8:H8,"&lt;&gt;0"),0)</f>
        <v>0</v>
      </c>
      <c r="J8" s="10">
        <f t="shared" ref="J8:J15" si="0">I8*10^(E8)</f>
        <v>0</v>
      </c>
      <c r="K8" s="89"/>
      <c r="L8" s="92"/>
      <c r="N8" s="15">
        <v>1</v>
      </c>
      <c r="O8" s="16">
        <f>K16</f>
        <v>15700</v>
      </c>
      <c r="P8" s="10">
        <f>D16</f>
        <v>1.4999999999999999E-2</v>
      </c>
      <c r="W8" s="33"/>
      <c r="X8" s="34"/>
      <c r="Y8" s="35"/>
    </row>
    <row r="9" spans="2:25" ht="16.5" customHeight="1">
      <c r="B9" s="80"/>
      <c r="C9" s="83"/>
      <c r="D9" s="95"/>
      <c r="E9">
        <v>2</v>
      </c>
      <c r="F9" s="14">
        <v>54</v>
      </c>
      <c r="G9" s="14">
        <v>63</v>
      </c>
      <c r="H9" s="14">
        <v>33</v>
      </c>
      <c r="I9">
        <f>IFERROR(AVERAGEIF(F9:H9,"&lt;&gt;0"),0)</f>
        <v>50</v>
      </c>
      <c r="J9" s="10">
        <f t="shared" si="0"/>
        <v>5000</v>
      </c>
      <c r="K9" s="89"/>
      <c r="L9" s="92"/>
      <c r="N9" s="15">
        <v>3</v>
      </c>
      <c r="O9" s="16">
        <f>K25</f>
        <v>94333.333333333328</v>
      </c>
      <c r="P9" s="10">
        <f>D25</f>
        <v>3.9E-2</v>
      </c>
      <c r="W9" s="33"/>
      <c r="X9" s="34"/>
      <c r="Y9" s="35"/>
    </row>
    <row r="10" spans="2:25" ht="16.5" customHeight="1">
      <c r="B10" s="80"/>
      <c r="C10" s="83"/>
      <c r="D10" s="95"/>
      <c r="E10">
        <v>3</v>
      </c>
      <c r="F10" s="14"/>
      <c r="G10" s="14"/>
      <c r="H10" s="14"/>
      <c r="I10">
        <f t="shared" ref="I10:I73" si="1">IFERROR(AVERAGEIF(F10:H10,"&lt;&gt;0"),0)</f>
        <v>0</v>
      </c>
      <c r="J10" s="10">
        <f t="shared" si="0"/>
        <v>0</v>
      </c>
      <c r="K10" s="89"/>
      <c r="L10" s="92"/>
      <c r="N10" s="15">
        <v>5</v>
      </c>
      <c r="O10" s="16">
        <f>K34</f>
        <v>883333.33333333326</v>
      </c>
      <c r="P10" s="10">
        <f>D34</f>
        <v>0.312</v>
      </c>
      <c r="W10" s="33"/>
      <c r="X10" s="34"/>
      <c r="Y10" s="35"/>
    </row>
    <row r="11" spans="2:25" ht="16.5" customHeight="1">
      <c r="B11" s="80"/>
      <c r="C11" s="83"/>
      <c r="D11" s="95"/>
      <c r="E11">
        <v>4</v>
      </c>
      <c r="F11" s="14"/>
      <c r="G11" s="14"/>
      <c r="H11" s="14"/>
      <c r="I11">
        <f t="shared" si="1"/>
        <v>0</v>
      </c>
      <c r="J11" s="10">
        <f t="shared" si="0"/>
        <v>0</v>
      </c>
      <c r="K11" s="89"/>
      <c r="L11" s="92"/>
      <c r="N11" s="15">
        <v>6</v>
      </c>
      <c r="O11" s="16">
        <f>K43</f>
        <v>4533333.333333334</v>
      </c>
      <c r="P11" s="10">
        <f>D43</f>
        <v>0.61599999999999999</v>
      </c>
      <c r="W11" s="33"/>
      <c r="X11" s="34"/>
      <c r="Y11" s="35"/>
    </row>
    <row r="12" spans="2:25" ht="16.5" customHeight="1">
      <c r="B12" s="80"/>
      <c r="C12" s="83"/>
      <c r="D12" s="95"/>
      <c r="E12">
        <v>5</v>
      </c>
      <c r="F12" s="14"/>
      <c r="G12" s="14"/>
      <c r="H12" s="14"/>
      <c r="I12">
        <f t="shared" si="1"/>
        <v>0</v>
      </c>
      <c r="J12" s="10">
        <f t="shared" si="0"/>
        <v>0</v>
      </c>
      <c r="K12" s="89"/>
      <c r="L12" s="92"/>
      <c r="N12" s="15">
        <v>7</v>
      </c>
      <c r="O12" s="16">
        <f>K52</f>
        <v>6666666.666666667</v>
      </c>
      <c r="P12" s="10">
        <f>D52</f>
        <v>0.83299999999999996</v>
      </c>
      <c r="W12" s="33"/>
      <c r="X12" s="34"/>
      <c r="Y12" s="35"/>
    </row>
    <row r="13" spans="2:25" ht="16.5" customHeight="1">
      <c r="B13" s="80"/>
      <c r="C13" s="83"/>
      <c r="D13" s="95"/>
      <c r="E13">
        <v>6</v>
      </c>
      <c r="F13" s="14"/>
      <c r="G13" s="14"/>
      <c r="H13" s="14"/>
      <c r="I13">
        <f t="shared" si="1"/>
        <v>0</v>
      </c>
      <c r="J13" s="10">
        <f t="shared" si="0"/>
        <v>0</v>
      </c>
      <c r="K13" s="89"/>
      <c r="L13" s="92"/>
      <c r="N13" s="15">
        <v>8</v>
      </c>
      <c r="O13" s="16">
        <f>K61</f>
        <v>9100000</v>
      </c>
      <c r="P13" s="10">
        <f>D61</f>
        <v>0.998</v>
      </c>
      <c r="Q13" s="17"/>
      <c r="W13" s="33"/>
      <c r="X13" s="34"/>
      <c r="Y13" s="35"/>
    </row>
    <row r="14" spans="2:25" ht="17.25" customHeight="1" thickBot="1">
      <c r="B14" s="80"/>
      <c r="C14" s="83"/>
      <c r="D14" s="95"/>
      <c r="E14">
        <v>7</v>
      </c>
      <c r="F14" s="14"/>
      <c r="G14" s="14"/>
      <c r="H14" s="14"/>
      <c r="I14">
        <f t="shared" si="1"/>
        <v>0</v>
      </c>
      <c r="J14" s="10">
        <f t="shared" si="0"/>
        <v>0</v>
      </c>
      <c r="K14" s="89"/>
      <c r="L14" s="92"/>
      <c r="N14" s="18">
        <v>9</v>
      </c>
      <c r="O14" s="19">
        <f>K70</f>
        <v>14100000</v>
      </c>
      <c r="P14" s="20">
        <f>D70</f>
        <v>1.155</v>
      </c>
      <c r="Q14" s="21"/>
      <c r="W14" s="33"/>
      <c r="X14" s="34"/>
      <c r="Y14" s="35"/>
    </row>
    <row r="15" spans="2:25" ht="17.25" customHeight="1" thickBot="1">
      <c r="B15" s="81"/>
      <c r="C15" s="84"/>
      <c r="D15" s="96"/>
      <c r="E15">
        <v>8</v>
      </c>
      <c r="F15" s="22"/>
      <c r="G15" s="22"/>
      <c r="H15" s="22"/>
      <c r="I15">
        <f t="shared" si="1"/>
        <v>0</v>
      </c>
      <c r="J15" s="10">
        <f t="shared" si="0"/>
        <v>0</v>
      </c>
      <c r="K15" s="90"/>
      <c r="L15" s="93"/>
      <c r="Q15" s="17"/>
    </row>
    <row r="16" spans="2:25" ht="16.5" customHeight="1">
      <c r="B16" s="79">
        <v>1</v>
      </c>
      <c r="C16" s="82">
        <v>0.41666666666666669</v>
      </c>
      <c r="D16" s="94">
        <v>1.4999999999999999E-2</v>
      </c>
      <c r="E16" s="23">
        <v>0</v>
      </c>
      <c r="F16" s="14" t="s">
        <v>15</v>
      </c>
      <c r="G16" s="14" t="s">
        <v>15</v>
      </c>
      <c r="H16" s="14" t="s">
        <v>15</v>
      </c>
      <c r="I16" s="24">
        <f t="shared" si="1"/>
        <v>0</v>
      </c>
      <c r="J16" s="13">
        <f>I16*10^(E16)</f>
        <v>0</v>
      </c>
      <c r="K16" s="88">
        <f>IFERROR(AVERAGEIF(J16:J24,"&lt;&gt;0"),0)</f>
        <v>15700</v>
      </c>
      <c r="L16" s="91">
        <f>LOG10(IFERROR(AVERAGEIF(J16:J24,"&lt;&gt;0"),0))</f>
        <v>4.195899652409234</v>
      </c>
    </row>
    <row r="17" spans="2:15" ht="16.5" customHeight="1">
      <c r="B17" s="80"/>
      <c r="C17" s="83"/>
      <c r="D17" s="95"/>
      <c r="E17">
        <v>1</v>
      </c>
      <c r="F17" s="14" t="s">
        <v>15</v>
      </c>
      <c r="G17" s="14" t="s">
        <v>15</v>
      </c>
      <c r="H17" s="14" t="s">
        <v>15</v>
      </c>
      <c r="I17" s="25">
        <f t="shared" si="1"/>
        <v>0</v>
      </c>
      <c r="J17" s="10">
        <f>I17*10^(E17)</f>
        <v>0</v>
      </c>
      <c r="K17" s="89"/>
      <c r="L17" s="92"/>
    </row>
    <row r="18" spans="2:15" ht="16.5" customHeight="1">
      <c r="B18" s="80"/>
      <c r="C18" s="83"/>
      <c r="D18" s="95"/>
      <c r="E18">
        <v>2</v>
      </c>
      <c r="F18" s="14">
        <v>122</v>
      </c>
      <c r="G18" s="14">
        <v>165</v>
      </c>
      <c r="H18" s="14">
        <v>184</v>
      </c>
      <c r="I18" s="25">
        <f t="shared" si="1"/>
        <v>157</v>
      </c>
      <c r="J18" s="10">
        <f t="shared" ref="J18:J24" si="2">I18*10^(E18)</f>
        <v>15700</v>
      </c>
      <c r="K18" s="89"/>
      <c r="L18" s="92"/>
      <c r="N18" s="26"/>
    </row>
    <row r="19" spans="2:15" ht="16.5" customHeight="1">
      <c r="B19" s="80"/>
      <c r="C19" s="83"/>
      <c r="D19" s="95"/>
      <c r="E19">
        <v>3</v>
      </c>
      <c r="F19" s="14"/>
      <c r="G19" s="14"/>
      <c r="H19" s="14"/>
      <c r="I19" s="25">
        <f t="shared" si="1"/>
        <v>0</v>
      </c>
      <c r="J19" s="10">
        <f t="shared" si="2"/>
        <v>0</v>
      </c>
      <c r="K19" s="89"/>
      <c r="L19" s="92"/>
      <c r="N19" s="26"/>
    </row>
    <row r="20" spans="2:15" ht="16.5" customHeight="1">
      <c r="B20" s="80"/>
      <c r="C20" s="83"/>
      <c r="D20" s="95"/>
      <c r="E20">
        <v>4</v>
      </c>
      <c r="F20" s="14"/>
      <c r="G20" s="14"/>
      <c r="H20" s="14"/>
      <c r="I20" s="25">
        <f t="shared" si="1"/>
        <v>0</v>
      </c>
      <c r="J20" s="10">
        <f t="shared" si="2"/>
        <v>0</v>
      </c>
      <c r="K20" s="89"/>
      <c r="L20" s="92"/>
      <c r="N20" s="21"/>
    </row>
    <row r="21" spans="2:15" ht="16.5" customHeight="1">
      <c r="B21" s="80"/>
      <c r="C21" s="83"/>
      <c r="D21" s="95"/>
      <c r="E21">
        <v>5</v>
      </c>
      <c r="F21" s="14"/>
      <c r="G21" s="14"/>
      <c r="H21" s="14"/>
      <c r="I21" s="25">
        <f t="shared" si="1"/>
        <v>0</v>
      </c>
      <c r="J21" s="10">
        <f t="shared" si="2"/>
        <v>0</v>
      </c>
      <c r="K21" s="89"/>
      <c r="L21" s="92"/>
      <c r="N21" s="21"/>
    </row>
    <row r="22" spans="2:15" ht="16.5" customHeight="1">
      <c r="B22" s="80"/>
      <c r="C22" s="83"/>
      <c r="D22" s="95"/>
      <c r="E22">
        <v>6</v>
      </c>
      <c r="F22" s="14"/>
      <c r="G22" s="14"/>
      <c r="H22" s="14"/>
      <c r="I22" s="25">
        <f t="shared" si="1"/>
        <v>0</v>
      </c>
      <c r="J22" s="10">
        <f t="shared" si="2"/>
        <v>0</v>
      </c>
      <c r="K22" s="89"/>
      <c r="L22" s="92"/>
      <c r="N22" s="21"/>
    </row>
    <row r="23" spans="2:15" ht="16.5" customHeight="1">
      <c r="B23" s="80"/>
      <c r="C23" s="83"/>
      <c r="D23" s="95"/>
      <c r="E23">
        <v>7</v>
      </c>
      <c r="F23" s="14"/>
      <c r="G23" s="14"/>
      <c r="H23" s="14"/>
      <c r="I23" s="25">
        <f t="shared" si="1"/>
        <v>0</v>
      </c>
      <c r="J23" s="10">
        <f t="shared" si="2"/>
        <v>0</v>
      </c>
      <c r="K23" s="89"/>
      <c r="L23" s="92"/>
      <c r="O23"/>
    </row>
    <row r="24" spans="2:15" ht="17.25" customHeight="1" thickBot="1">
      <c r="B24" s="81"/>
      <c r="C24" s="84"/>
      <c r="D24" s="96"/>
      <c r="E24" s="27">
        <v>8</v>
      </c>
      <c r="F24" s="22"/>
      <c r="G24" s="22"/>
      <c r="H24" s="22"/>
      <c r="I24" s="28">
        <f t="shared" si="1"/>
        <v>0</v>
      </c>
      <c r="J24" s="10">
        <f t="shared" si="2"/>
        <v>0</v>
      </c>
      <c r="K24" s="90"/>
      <c r="L24" s="93"/>
      <c r="O24"/>
    </row>
    <row r="25" spans="2:15" ht="16.5" customHeight="1">
      <c r="B25" s="79">
        <v>3</v>
      </c>
      <c r="C25" s="82">
        <v>0.5</v>
      </c>
      <c r="D25" s="94">
        <v>3.9E-2</v>
      </c>
      <c r="E25" s="23">
        <v>0</v>
      </c>
      <c r="F25" s="29"/>
      <c r="G25" s="29"/>
      <c r="H25" s="29"/>
      <c r="I25" s="24">
        <f t="shared" si="1"/>
        <v>0</v>
      </c>
      <c r="J25" s="13">
        <f>I25*10^(E25)</f>
        <v>0</v>
      </c>
      <c r="K25" s="88">
        <f t="shared" ref="K25" si="3">IFERROR(AVERAGEIF(J25:J33,"&lt;&gt;0"),0)</f>
        <v>94333.333333333328</v>
      </c>
      <c r="L25" s="91">
        <f t="shared" ref="L25" si="4">LOG10(IFERROR(AVERAGEIF(J25:J33,"&lt;&gt;0"),0))</f>
        <v>4.9746651808046281</v>
      </c>
      <c r="O25"/>
    </row>
    <row r="26" spans="2:15" ht="16.5" customHeight="1">
      <c r="B26" s="80"/>
      <c r="C26" s="83"/>
      <c r="D26" s="95"/>
      <c r="E26" s="35">
        <v>1</v>
      </c>
      <c r="F26" s="14"/>
      <c r="G26" s="14"/>
      <c r="H26" s="14"/>
      <c r="I26" s="25">
        <f t="shared" si="1"/>
        <v>0</v>
      </c>
      <c r="J26" s="10">
        <f>I26*10^(E26)</f>
        <v>0</v>
      </c>
      <c r="K26" s="89"/>
      <c r="L26" s="92"/>
      <c r="N26" s="21"/>
    </row>
    <row r="27" spans="2:15" ht="16.5" customHeight="1">
      <c r="B27" s="80"/>
      <c r="C27" s="83"/>
      <c r="D27" s="95"/>
      <c r="E27" s="35">
        <v>2</v>
      </c>
      <c r="F27" s="14" t="s">
        <v>15</v>
      </c>
      <c r="G27" s="14" t="s">
        <v>15</v>
      </c>
      <c r="H27" s="14" t="s">
        <v>15</v>
      </c>
      <c r="I27" s="25">
        <f t="shared" si="1"/>
        <v>0</v>
      </c>
      <c r="J27" s="10">
        <f t="shared" ref="J27:J33" si="5">I27*10^(E27)</f>
        <v>0</v>
      </c>
      <c r="K27" s="89"/>
      <c r="L27" s="92"/>
      <c r="N27" s="21"/>
    </row>
    <row r="28" spans="2:15" ht="16.5" customHeight="1">
      <c r="B28" s="80"/>
      <c r="C28" s="83"/>
      <c r="D28" s="95"/>
      <c r="E28" s="35">
        <v>3</v>
      </c>
      <c r="F28" s="14">
        <v>81</v>
      </c>
      <c r="G28" s="14">
        <v>99</v>
      </c>
      <c r="H28" s="14">
        <v>103</v>
      </c>
      <c r="I28" s="25">
        <f t="shared" si="1"/>
        <v>94.333333333333329</v>
      </c>
      <c r="J28" s="10">
        <f t="shared" si="5"/>
        <v>94333.333333333328</v>
      </c>
      <c r="K28" s="89"/>
      <c r="L28" s="92"/>
      <c r="N28" s="21"/>
    </row>
    <row r="29" spans="2:15" ht="16.5" customHeight="1">
      <c r="B29" s="80"/>
      <c r="C29" s="83"/>
      <c r="D29" s="95"/>
      <c r="E29" s="35">
        <v>4</v>
      </c>
      <c r="F29" s="14">
        <v>0</v>
      </c>
      <c r="G29" s="14">
        <v>0</v>
      </c>
      <c r="H29" s="14">
        <v>0</v>
      </c>
      <c r="I29" s="25">
        <f t="shared" si="1"/>
        <v>0</v>
      </c>
      <c r="J29" s="10">
        <f t="shared" si="5"/>
        <v>0</v>
      </c>
      <c r="K29" s="89"/>
      <c r="L29" s="92"/>
      <c r="N29" s="21"/>
    </row>
    <row r="30" spans="2:15" ht="16.5" customHeight="1">
      <c r="B30" s="80"/>
      <c r="C30" s="83"/>
      <c r="D30" s="95"/>
      <c r="E30" s="35">
        <v>5</v>
      </c>
      <c r="F30" s="14"/>
      <c r="G30" s="14"/>
      <c r="H30" s="14"/>
      <c r="I30" s="25">
        <f t="shared" si="1"/>
        <v>0</v>
      </c>
      <c r="J30" s="10">
        <f t="shared" si="5"/>
        <v>0</v>
      </c>
      <c r="K30" s="89"/>
      <c r="L30" s="92"/>
      <c r="N30" s="21"/>
    </row>
    <row r="31" spans="2:15" ht="16.5" customHeight="1">
      <c r="B31" s="80"/>
      <c r="C31" s="83"/>
      <c r="D31" s="95"/>
      <c r="E31" s="35">
        <v>6</v>
      </c>
      <c r="F31" s="14"/>
      <c r="G31" s="14"/>
      <c r="H31" s="14"/>
      <c r="I31" s="25">
        <f t="shared" si="1"/>
        <v>0</v>
      </c>
      <c r="J31" s="10">
        <f t="shared" si="5"/>
        <v>0</v>
      </c>
      <c r="K31" s="89"/>
      <c r="L31" s="92"/>
      <c r="N31" s="21"/>
    </row>
    <row r="32" spans="2:15" ht="16.5" customHeight="1">
      <c r="B32" s="80"/>
      <c r="C32" s="83"/>
      <c r="D32" s="95"/>
      <c r="E32" s="35">
        <v>7</v>
      </c>
      <c r="F32" s="14"/>
      <c r="G32" s="14"/>
      <c r="H32" s="14"/>
      <c r="I32" s="25">
        <f t="shared" si="1"/>
        <v>0</v>
      </c>
      <c r="J32" s="10">
        <f t="shared" si="5"/>
        <v>0</v>
      </c>
      <c r="K32" s="89"/>
      <c r="L32" s="92"/>
      <c r="N32" s="21"/>
    </row>
    <row r="33" spans="2:12" ht="17.25" customHeight="1" thickBot="1">
      <c r="B33" s="81"/>
      <c r="C33" s="84"/>
      <c r="D33" s="96"/>
      <c r="E33" s="27">
        <v>8</v>
      </c>
      <c r="F33" s="22"/>
      <c r="G33" s="22"/>
      <c r="H33" s="22"/>
      <c r="I33" s="28">
        <f t="shared" si="1"/>
        <v>0</v>
      </c>
      <c r="J33" s="20">
        <f t="shared" si="5"/>
        <v>0</v>
      </c>
      <c r="K33" s="90"/>
      <c r="L33" s="93"/>
    </row>
    <row r="34" spans="2:12" ht="16.5" customHeight="1">
      <c r="B34" s="79">
        <v>5</v>
      </c>
      <c r="C34" s="82">
        <v>8.3333333333333329E-2</v>
      </c>
      <c r="D34" s="94">
        <v>0.312</v>
      </c>
      <c r="E34" s="35">
        <v>0</v>
      </c>
      <c r="F34" s="29"/>
      <c r="G34" s="29"/>
      <c r="H34" s="29"/>
      <c r="I34" s="24">
        <f t="shared" si="1"/>
        <v>0</v>
      </c>
      <c r="J34" s="13">
        <f>I34*10^(E34)</f>
        <v>0</v>
      </c>
      <c r="K34" s="88">
        <f t="shared" ref="K34" si="6">IFERROR(AVERAGEIF(J34:J42,"&lt;&gt;0"),0)</f>
        <v>883333.33333333326</v>
      </c>
      <c r="L34" s="91">
        <f t="shared" ref="L34" si="7">LOG10(IFERROR(AVERAGEIF(J34:J42,"&lt;&gt;0"),0))</f>
        <v>5.9461246192171453</v>
      </c>
    </row>
    <row r="35" spans="2:12" ht="16.5" customHeight="1">
      <c r="B35" s="80"/>
      <c r="C35" s="83"/>
      <c r="D35" s="95"/>
      <c r="E35">
        <v>1</v>
      </c>
      <c r="F35" s="14"/>
      <c r="G35" s="14"/>
      <c r="H35" s="14"/>
      <c r="I35" s="25">
        <f t="shared" si="1"/>
        <v>0</v>
      </c>
      <c r="J35" s="10">
        <f>I35*10^(E35)</f>
        <v>0</v>
      </c>
      <c r="K35" s="89"/>
      <c r="L35" s="92"/>
    </row>
    <row r="36" spans="2:12" ht="16.5" customHeight="1">
      <c r="B36" s="80"/>
      <c r="C36" s="83"/>
      <c r="D36" s="95"/>
      <c r="E36">
        <v>2</v>
      </c>
      <c r="F36" s="14"/>
      <c r="G36" s="14"/>
      <c r="H36" s="14"/>
      <c r="I36" s="25">
        <f t="shared" si="1"/>
        <v>0</v>
      </c>
      <c r="J36" s="10">
        <f t="shared" ref="J36:J42" si="8">I36*10^(E36)</f>
        <v>0</v>
      </c>
      <c r="K36" s="89"/>
      <c r="L36" s="92"/>
    </row>
    <row r="37" spans="2:12" ht="16.5" customHeight="1">
      <c r="B37" s="80"/>
      <c r="C37" s="83"/>
      <c r="D37" s="95"/>
      <c r="E37">
        <v>3</v>
      </c>
      <c r="F37" s="14"/>
      <c r="G37" s="14"/>
      <c r="H37" s="14"/>
      <c r="I37" s="25">
        <f t="shared" si="1"/>
        <v>0</v>
      </c>
      <c r="J37" s="10">
        <f t="shared" si="8"/>
        <v>0</v>
      </c>
      <c r="K37" s="89"/>
      <c r="L37" s="92"/>
    </row>
    <row r="38" spans="2:12" ht="16.5" customHeight="1">
      <c r="B38" s="80"/>
      <c r="C38" s="83"/>
      <c r="D38" s="95"/>
      <c r="E38">
        <v>4</v>
      </c>
      <c r="F38" s="14">
        <v>105</v>
      </c>
      <c r="G38" s="14">
        <v>78</v>
      </c>
      <c r="H38" s="14">
        <v>82</v>
      </c>
      <c r="I38" s="25">
        <f t="shared" si="1"/>
        <v>88.333333333333329</v>
      </c>
      <c r="J38" s="10">
        <f t="shared" si="8"/>
        <v>883333.33333333326</v>
      </c>
      <c r="K38" s="89"/>
      <c r="L38" s="92"/>
    </row>
    <row r="39" spans="2:12" ht="16.5" customHeight="1">
      <c r="B39" s="80"/>
      <c r="C39" s="83"/>
      <c r="D39" s="95"/>
      <c r="E39">
        <v>5</v>
      </c>
      <c r="F39" s="14">
        <v>0</v>
      </c>
      <c r="G39" s="14">
        <v>0</v>
      </c>
      <c r="H39" s="14">
        <v>0</v>
      </c>
      <c r="I39" s="25">
        <f>IFERROR(AVERAGEIF(F39:H39,"&lt;&gt;0"),0)</f>
        <v>0</v>
      </c>
      <c r="J39" s="10">
        <f t="shared" si="8"/>
        <v>0</v>
      </c>
      <c r="K39" s="89"/>
      <c r="L39" s="92"/>
    </row>
    <row r="40" spans="2:12" ht="16.5" customHeight="1">
      <c r="B40" s="80"/>
      <c r="C40" s="83"/>
      <c r="D40" s="95"/>
      <c r="E40">
        <v>6</v>
      </c>
      <c r="F40" s="14">
        <v>0</v>
      </c>
      <c r="G40" s="14">
        <v>0</v>
      </c>
      <c r="H40" s="14">
        <v>0</v>
      </c>
      <c r="I40" s="25">
        <f t="shared" si="1"/>
        <v>0</v>
      </c>
      <c r="J40" s="10">
        <f t="shared" si="8"/>
        <v>0</v>
      </c>
      <c r="K40" s="89"/>
      <c r="L40" s="92"/>
    </row>
    <row r="41" spans="2:12" ht="16.5" customHeight="1">
      <c r="B41" s="80"/>
      <c r="C41" s="83"/>
      <c r="D41" s="95"/>
      <c r="E41">
        <v>7</v>
      </c>
      <c r="F41" s="14">
        <v>0</v>
      </c>
      <c r="G41" s="14">
        <v>0</v>
      </c>
      <c r="H41" s="14">
        <v>0</v>
      </c>
      <c r="I41" s="25">
        <f>IFERROR(AVERAGEIF(F41:H41,"&lt;&gt;0"),0)</f>
        <v>0</v>
      </c>
      <c r="J41" s="10">
        <f t="shared" si="8"/>
        <v>0</v>
      </c>
      <c r="K41" s="89"/>
      <c r="L41" s="92"/>
    </row>
    <row r="42" spans="2:12" ht="17.25" customHeight="1" thickBot="1">
      <c r="B42" s="81"/>
      <c r="C42" s="84"/>
      <c r="D42" s="96"/>
      <c r="E42" s="27">
        <v>8</v>
      </c>
      <c r="F42" s="30">
        <v>0</v>
      </c>
      <c r="G42" s="30">
        <v>0</v>
      </c>
      <c r="H42" s="30">
        <v>0</v>
      </c>
      <c r="I42" s="28">
        <f t="shared" si="1"/>
        <v>0</v>
      </c>
      <c r="J42" s="20">
        <f t="shared" si="8"/>
        <v>0</v>
      </c>
      <c r="K42" s="90"/>
      <c r="L42" s="93"/>
    </row>
    <row r="43" spans="2:12" ht="16.5" customHeight="1">
      <c r="B43" s="79">
        <v>6</v>
      </c>
      <c r="C43" s="82">
        <v>0.125</v>
      </c>
      <c r="D43" s="94">
        <v>0.61599999999999999</v>
      </c>
      <c r="E43">
        <v>0</v>
      </c>
      <c r="F43" s="9"/>
      <c r="G43" s="9"/>
      <c r="H43" s="9"/>
      <c r="I43">
        <f t="shared" si="1"/>
        <v>0</v>
      </c>
      <c r="J43" s="10">
        <f>I43*10^(E43)</f>
        <v>0</v>
      </c>
      <c r="K43" s="88">
        <f t="shared" ref="K43" si="9">IFERROR(AVERAGEIF(J43:J51,"&lt;&gt;0"),0)</f>
        <v>4533333.333333334</v>
      </c>
      <c r="L43" s="91">
        <f t="shared" ref="L43" si="10">LOG10(IFERROR(AVERAGEIF(J43:J51,"&lt;&gt;0"),0))</f>
        <v>6.6564176536505553</v>
      </c>
    </row>
    <row r="44" spans="2:12" ht="16.5" customHeight="1">
      <c r="B44" s="80"/>
      <c r="C44" s="83"/>
      <c r="D44" s="95"/>
      <c r="E44">
        <v>1</v>
      </c>
      <c r="F44" s="14"/>
      <c r="G44" s="14"/>
      <c r="H44" s="14"/>
      <c r="I44">
        <f t="shared" si="1"/>
        <v>0</v>
      </c>
      <c r="J44" s="10">
        <f>I44*10^(E44)</f>
        <v>0</v>
      </c>
      <c r="K44" s="89"/>
      <c r="L44" s="92"/>
    </row>
    <row r="45" spans="2:12" ht="16.5" customHeight="1">
      <c r="B45" s="80"/>
      <c r="C45" s="83"/>
      <c r="D45" s="95"/>
      <c r="E45">
        <v>2</v>
      </c>
      <c r="F45" s="14"/>
      <c r="G45" s="14"/>
      <c r="H45" s="14"/>
      <c r="I45">
        <f t="shared" si="1"/>
        <v>0</v>
      </c>
      <c r="J45" s="10">
        <f t="shared" ref="J45:J49" si="11">I45*10^(E45)</f>
        <v>0</v>
      </c>
      <c r="K45" s="89"/>
      <c r="L45" s="92"/>
    </row>
    <row r="46" spans="2:12" ht="16.5" customHeight="1">
      <c r="B46" s="80"/>
      <c r="C46" s="83"/>
      <c r="D46" s="95"/>
      <c r="E46">
        <v>3</v>
      </c>
      <c r="F46" s="14"/>
      <c r="G46" s="14"/>
      <c r="H46" s="14"/>
      <c r="I46">
        <f t="shared" si="1"/>
        <v>0</v>
      </c>
      <c r="J46" s="10">
        <f t="shared" si="11"/>
        <v>0</v>
      </c>
      <c r="K46" s="89"/>
      <c r="L46" s="92"/>
    </row>
    <row r="47" spans="2:12" ht="16.5" customHeight="1">
      <c r="B47" s="80"/>
      <c r="C47" s="83"/>
      <c r="D47" s="95"/>
      <c r="E47">
        <v>4</v>
      </c>
      <c r="F47" s="14" t="s">
        <v>15</v>
      </c>
      <c r="G47" s="14" t="s">
        <v>15</v>
      </c>
      <c r="H47" s="14" t="s">
        <v>15</v>
      </c>
      <c r="I47">
        <f t="shared" si="1"/>
        <v>0</v>
      </c>
      <c r="J47" s="10">
        <f t="shared" si="11"/>
        <v>0</v>
      </c>
      <c r="K47" s="89"/>
      <c r="L47" s="92"/>
    </row>
    <row r="48" spans="2:12" ht="16.5" customHeight="1">
      <c r="B48" s="80"/>
      <c r="C48" s="83"/>
      <c r="D48" s="95"/>
      <c r="E48">
        <v>5</v>
      </c>
      <c r="F48" s="14">
        <v>39</v>
      </c>
      <c r="G48" s="14">
        <v>50</v>
      </c>
      <c r="H48" s="14">
        <v>47</v>
      </c>
      <c r="I48">
        <f t="shared" si="1"/>
        <v>45.333333333333336</v>
      </c>
      <c r="J48" s="10">
        <f t="shared" si="11"/>
        <v>4533333.333333334</v>
      </c>
      <c r="K48" s="89"/>
      <c r="L48" s="92"/>
    </row>
    <row r="49" spans="2:12" ht="16.5" customHeight="1">
      <c r="B49" s="80"/>
      <c r="C49" s="83"/>
      <c r="D49" s="95"/>
      <c r="E49">
        <v>6</v>
      </c>
      <c r="F49" s="14">
        <v>0</v>
      </c>
      <c r="G49" s="14">
        <v>0</v>
      </c>
      <c r="H49" s="14">
        <v>0</v>
      </c>
      <c r="I49">
        <f t="shared" si="1"/>
        <v>0</v>
      </c>
      <c r="J49" s="10">
        <f t="shared" si="11"/>
        <v>0</v>
      </c>
      <c r="K49" s="89"/>
      <c r="L49" s="92"/>
    </row>
    <row r="50" spans="2:12" ht="16.5" customHeight="1">
      <c r="B50" s="80"/>
      <c r="C50" s="83"/>
      <c r="D50" s="95"/>
      <c r="E50">
        <v>7</v>
      </c>
      <c r="F50" s="14">
        <v>0</v>
      </c>
      <c r="G50" s="14">
        <v>0</v>
      </c>
      <c r="H50" s="14">
        <v>0</v>
      </c>
      <c r="I50">
        <f t="shared" si="1"/>
        <v>0</v>
      </c>
      <c r="J50" s="10">
        <f>I50*10^(E50)</f>
        <v>0</v>
      </c>
      <c r="K50" s="89"/>
      <c r="L50" s="92"/>
    </row>
    <row r="51" spans="2:12" ht="17.25" customHeight="1" thickBot="1">
      <c r="B51" s="81"/>
      <c r="C51" s="84"/>
      <c r="D51" s="96"/>
      <c r="E51">
        <v>8</v>
      </c>
      <c r="F51" s="22">
        <v>0</v>
      </c>
      <c r="G51" s="22">
        <v>0</v>
      </c>
      <c r="H51" s="22">
        <v>0</v>
      </c>
      <c r="I51">
        <f t="shared" si="1"/>
        <v>0</v>
      </c>
      <c r="J51" s="10">
        <f>I51*10^(E51)</f>
        <v>0</v>
      </c>
      <c r="K51" s="90"/>
      <c r="L51" s="93"/>
    </row>
    <row r="52" spans="2:12" ht="16.5" customHeight="1">
      <c r="B52" s="79">
        <v>7</v>
      </c>
      <c r="C52" s="82">
        <v>0.16666666666666666</v>
      </c>
      <c r="D52" s="94">
        <v>0.83299999999999996</v>
      </c>
      <c r="E52" s="23">
        <v>0</v>
      </c>
      <c r="F52" s="29"/>
      <c r="G52" s="29"/>
      <c r="H52" s="29"/>
      <c r="I52" s="24">
        <f t="shared" si="1"/>
        <v>0</v>
      </c>
      <c r="J52" s="13">
        <f>I52*10^(E52)</f>
        <v>0</v>
      </c>
      <c r="K52" s="88">
        <f t="shared" ref="K52" si="12">IFERROR(AVERAGEIF(J52:J60,"&lt;&gt;0"),0)</f>
        <v>6666666.666666667</v>
      </c>
      <c r="L52" s="91">
        <f t="shared" ref="L52" si="13">LOG10(IFERROR(AVERAGEIF(J52:J60,"&lt;&gt;0"),0))</f>
        <v>6.8239087409443187</v>
      </c>
    </row>
    <row r="53" spans="2:12" ht="16.5" customHeight="1">
      <c r="B53" s="80"/>
      <c r="C53" s="83"/>
      <c r="D53" s="95"/>
      <c r="E53">
        <v>1</v>
      </c>
      <c r="F53" s="14"/>
      <c r="G53" s="14"/>
      <c r="H53" s="14"/>
      <c r="I53" s="25">
        <f t="shared" si="1"/>
        <v>0</v>
      </c>
      <c r="J53" s="10">
        <f>I53*10^(E53)</f>
        <v>0</v>
      </c>
      <c r="K53" s="89"/>
      <c r="L53" s="92"/>
    </row>
    <row r="54" spans="2:12" ht="16.5" customHeight="1">
      <c r="B54" s="80"/>
      <c r="C54" s="83"/>
      <c r="D54" s="95"/>
      <c r="E54">
        <v>2</v>
      </c>
      <c r="F54" s="14"/>
      <c r="G54" s="14"/>
      <c r="H54" s="14"/>
      <c r="I54" s="25">
        <f t="shared" si="1"/>
        <v>0</v>
      </c>
      <c r="J54" s="10">
        <f t="shared" ref="J54:J59" si="14">I54*10^(E54)</f>
        <v>0</v>
      </c>
      <c r="K54" s="89"/>
      <c r="L54" s="92"/>
    </row>
    <row r="55" spans="2:12" ht="16.5" customHeight="1">
      <c r="B55" s="80"/>
      <c r="C55" s="83"/>
      <c r="D55" s="95"/>
      <c r="E55">
        <v>3</v>
      </c>
      <c r="F55" s="14"/>
      <c r="G55" s="14"/>
      <c r="H55" s="14"/>
      <c r="I55" s="25">
        <f t="shared" si="1"/>
        <v>0</v>
      </c>
      <c r="J55" s="10">
        <f t="shared" si="14"/>
        <v>0</v>
      </c>
      <c r="K55" s="89"/>
      <c r="L55" s="92"/>
    </row>
    <row r="56" spans="2:12" ht="16.5" customHeight="1">
      <c r="B56" s="80"/>
      <c r="C56" s="83"/>
      <c r="D56" s="95"/>
      <c r="E56">
        <v>4</v>
      </c>
      <c r="F56" s="14" t="s">
        <v>15</v>
      </c>
      <c r="G56" s="14" t="s">
        <v>15</v>
      </c>
      <c r="H56" s="14" t="s">
        <v>15</v>
      </c>
      <c r="I56" s="25">
        <f t="shared" si="1"/>
        <v>0</v>
      </c>
      <c r="J56" s="10">
        <f t="shared" si="14"/>
        <v>0</v>
      </c>
      <c r="K56" s="89"/>
      <c r="L56" s="92"/>
    </row>
    <row r="57" spans="2:12" ht="16.5" customHeight="1">
      <c r="B57" s="80"/>
      <c r="C57" s="83"/>
      <c r="D57" s="95"/>
      <c r="E57">
        <v>5</v>
      </c>
      <c r="F57" s="14">
        <v>64</v>
      </c>
      <c r="G57" s="14">
        <v>70</v>
      </c>
      <c r="H57" s="14">
        <v>66</v>
      </c>
      <c r="I57" s="25">
        <f t="shared" si="1"/>
        <v>66.666666666666671</v>
      </c>
      <c r="J57" s="10">
        <f t="shared" si="14"/>
        <v>6666666.666666667</v>
      </c>
      <c r="K57" s="89"/>
      <c r="L57" s="92"/>
    </row>
    <row r="58" spans="2:12" ht="16.5" customHeight="1">
      <c r="B58" s="80"/>
      <c r="C58" s="83"/>
      <c r="D58" s="95"/>
      <c r="E58">
        <v>6</v>
      </c>
      <c r="F58" s="14">
        <v>0</v>
      </c>
      <c r="G58" s="14">
        <v>0</v>
      </c>
      <c r="H58" s="14">
        <v>0</v>
      </c>
      <c r="I58" s="25">
        <f t="shared" si="1"/>
        <v>0</v>
      </c>
      <c r="J58" s="10">
        <f t="shared" si="14"/>
        <v>0</v>
      </c>
      <c r="K58" s="89"/>
      <c r="L58" s="92"/>
    </row>
    <row r="59" spans="2:12" ht="16.5" customHeight="1">
      <c r="B59" s="80"/>
      <c r="C59" s="83"/>
      <c r="D59" s="95"/>
      <c r="E59">
        <v>7</v>
      </c>
      <c r="F59" s="14">
        <v>0</v>
      </c>
      <c r="G59" s="14">
        <v>0</v>
      </c>
      <c r="H59" s="14">
        <v>0</v>
      </c>
      <c r="I59" s="25">
        <f t="shared" si="1"/>
        <v>0</v>
      </c>
      <c r="J59" s="10">
        <f t="shared" si="14"/>
        <v>0</v>
      </c>
      <c r="K59" s="89"/>
      <c r="L59" s="92"/>
    </row>
    <row r="60" spans="2:12" ht="17.25" customHeight="1" thickBot="1">
      <c r="B60" s="81"/>
      <c r="C60" s="84"/>
      <c r="D60" s="96"/>
      <c r="E60" s="27">
        <v>8</v>
      </c>
      <c r="F60" s="30">
        <v>0</v>
      </c>
      <c r="G60" s="30">
        <v>0</v>
      </c>
      <c r="H60" s="30">
        <v>0</v>
      </c>
      <c r="I60" s="28">
        <f t="shared" si="1"/>
        <v>0</v>
      </c>
      <c r="J60" s="20">
        <f>I60*10^(E60)</f>
        <v>0</v>
      </c>
      <c r="K60" s="90"/>
      <c r="L60" s="93"/>
    </row>
    <row r="61" spans="2:12" ht="16.5" customHeight="1">
      <c r="B61" s="79">
        <v>8</v>
      </c>
      <c r="C61" s="82">
        <v>0.20833333333333334</v>
      </c>
      <c r="D61" s="94">
        <v>0.998</v>
      </c>
      <c r="E61">
        <v>0</v>
      </c>
      <c r="F61" s="9"/>
      <c r="G61" s="9"/>
      <c r="H61" s="9"/>
      <c r="I61">
        <f t="shared" si="1"/>
        <v>0</v>
      </c>
      <c r="J61" s="10">
        <f>I61*10^(E61)</f>
        <v>0</v>
      </c>
      <c r="K61" s="88">
        <f t="shared" ref="K61" si="15">IFERROR(AVERAGEIF(J61:J69,"&lt;&gt;0"),0)</f>
        <v>9100000</v>
      </c>
      <c r="L61" s="91">
        <f t="shared" ref="L61" si="16">LOG10(IFERROR(AVERAGEIF(J61:J69,"&lt;&gt;0"),0))</f>
        <v>6.9590413923210939</v>
      </c>
    </row>
    <row r="62" spans="2:12" ht="16.5" customHeight="1">
      <c r="B62" s="80"/>
      <c r="C62" s="83"/>
      <c r="D62" s="95"/>
      <c r="E62">
        <v>1</v>
      </c>
      <c r="F62" s="14"/>
      <c r="G62" s="14"/>
      <c r="H62" s="14"/>
      <c r="I62">
        <f t="shared" si="1"/>
        <v>0</v>
      </c>
      <c r="J62" s="10">
        <f>I62*10^(E62)</f>
        <v>0</v>
      </c>
      <c r="K62" s="89"/>
      <c r="L62" s="92"/>
    </row>
    <row r="63" spans="2:12" ht="16.5" customHeight="1">
      <c r="B63" s="80"/>
      <c r="C63" s="83"/>
      <c r="D63" s="95"/>
      <c r="E63">
        <v>2</v>
      </c>
      <c r="F63" s="14"/>
      <c r="G63" s="14"/>
      <c r="H63" s="14"/>
      <c r="I63">
        <f t="shared" si="1"/>
        <v>0</v>
      </c>
      <c r="J63" s="10">
        <f t="shared" ref="J63:J68" si="17">I63*10^(E63)</f>
        <v>0</v>
      </c>
      <c r="K63" s="89"/>
      <c r="L63" s="92"/>
    </row>
    <row r="64" spans="2:12" ht="16.5" customHeight="1">
      <c r="B64" s="80"/>
      <c r="C64" s="83"/>
      <c r="D64" s="95"/>
      <c r="E64">
        <v>3</v>
      </c>
      <c r="F64" s="14"/>
      <c r="G64" s="14"/>
      <c r="H64" s="14"/>
      <c r="I64">
        <f t="shared" si="1"/>
        <v>0</v>
      </c>
      <c r="J64" s="10">
        <f t="shared" si="17"/>
        <v>0</v>
      </c>
      <c r="K64" s="89"/>
      <c r="L64" s="92"/>
    </row>
    <row r="65" spans="2:12" ht="16.5" customHeight="1">
      <c r="B65" s="80"/>
      <c r="C65" s="83"/>
      <c r="D65" s="95"/>
      <c r="E65">
        <v>4</v>
      </c>
      <c r="F65" s="14" t="s">
        <v>15</v>
      </c>
      <c r="G65" s="14" t="s">
        <v>15</v>
      </c>
      <c r="H65" s="14" t="s">
        <v>15</v>
      </c>
      <c r="I65">
        <f t="shared" si="1"/>
        <v>0</v>
      </c>
      <c r="J65" s="10">
        <f t="shared" si="17"/>
        <v>0</v>
      </c>
      <c r="K65" s="89"/>
      <c r="L65" s="92"/>
    </row>
    <row r="66" spans="2:12" ht="16.5" customHeight="1">
      <c r="B66" s="80"/>
      <c r="C66" s="83"/>
      <c r="D66" s="95"/>
      <c r="E66">
        <v>5</v>
      </c>
      <c r="F66" s="14">
        <v>85</v>
      </c>
      <c r="G66" s="14">
        <v>84</v>
      </c>
      <c r="H66" s="14">
        <v>104</v>
      </c>
      <c r="I66">
        <f t="shared" si="1"/>
        <v>91</v>
      </c>
      <c r="J66" s="10">
        <f t="shared" si="17"/>
        <v>9100000</v>
      </c>
      <c r="K66" s="89"/>
      <c r="L66" s="92"/>
    </row>
    <row r="67" spans="2:12" ht="16.5" customHeight="1">
      <c r="B67" s="80"/>
      <c r="C67" s="83"/>
      <c r="D67" s="95"/>
      <c r="E67">
        <v>6</v>
      </c>
      <c r="F67" s="14">
        <v>0</v>
      </c>
      <c r="G67" s="14">
        <v>0</v>
      </c>
      <c r="H67" s="14">
        <v>0</v>
      </c>
      <c r="I67">
        <f t="shared" si="1"/>
        <v>0</v>
      </c>
      <c r="J67" s="10">
        <f t="shared" si="17"/>
        <v>0</v>
      </c>
      <c r="K67" s="89"/>
      <c r="L67" s="92"/>
    </row>
    <row r="68" spans="2:12" ht="16.5" customHeight="1">
      <c r="B68" s="80"/>
      <c r="C68" s="83"/>
      <c r="D68" s="95"/>
      <c r="E68">
        <v>7</v>
      </c>
      <c r="F68" s="14">
        <v>0</v>
      </c>
      <c r="G68" s="14">
        <v>0</v>
      </c>
      <c r="H68" s="14">
        <v>0</v>
      </c>
      <c r="I68">
        <f t="shared" si="1"/>
        <v>0</v>
      </c>
      <c r="J68" s="10">
        <f t="shared" si="17"/>
        <v>0</v>
      </c>
      <c r="K68" s="89"/>
      <c r="L68" s="92"/>
    </row>
    <row r="69" spans="2:12" ht="17.25" customHeight="1" thickBot="1">
      <c r="B69" s="81"/>
      <c r="C69" s="84"/>
      <c r="D69" s="96"/>
      <c r="E69">
        <v>8</v>
      </c>
      <c r="F69" s="22">
        <v>0</v>
      </c>
      <c r="G69" s="22">
        <v>0</v>
      </c>
      <c r="H69" s="22">
        <v>0</v>
      </c>
      <c r="I69">
        <f t="shared" si="1"/>
        <v>0</v>
      </c>
      <c r="J69" s="10">
        <f>I69*10^(E69)</f>
        <v>0</v>
      </c>
      <c r="K69" s="90"/>
      <c r="L69" s="93"/>
    </row>
    <row r="70" spans="2:12" ht="16.5" customHeight="1">
      <c r="B70" s="79">
        <v>9</v>
      </c>
      <c r="C70" s="82">
        <v>0.25</v>
      </c>
      <c r="D70" s="85">
        <v>1.155</v>
      </c>
      <c r="E70" s="23">
        <v>0</v>
      </c>
      <c r="F70" s="29"/>
      <c r="G70" s="29"/>
      <c r="H70" s="29"/>
      <c r="I70" s="24">
        <f t="shared" si="1"/>
        <v>0</v>
      </c>
      <c r="J70" s="13">
        <f>I70*10^(E70)</f>
        <v>0</v>
      </c>
      <c r="K70" s="88">
        <f t="shared" ref="K70" si="18">IFERROR(AVERAGEIF(J70:J78,"&lt;&gt;0"),0)</f>
        <v>14100000</v>
      </c>
      <c r="L70" s="91">
        <f t="shared" ref="L70" si="19">LOG10(IFERROR(AVERAGEIF(J70:J78,"&lt;&gt;0"),0))</f>
        <v>7.1492191126553797</v>
      </c>
    </row>
    <row r="71" spans="2:12" ht="16.5" customHeight="1">
      <c r="B71" s="80"/>
      <c r="C71" s="83"/>
      <c r="D71" s="86"/>
      <c r="E71">
        <v>1</v>
      </c>
      <c r="F71" s="14"/>
      <c r="G71" s="14"/>
      <c r="H71" s="14"/>
      <c r="I71" s="25">
        <f t="shared" si="1"/>
        <v>0</v>
      </c>
      <c r="J71" s="10">
        <f>I71*10^(E71)</f>
        <v>0</v>
      </c>
      <c r="K71" s="89"/>
      <c r="L71" s="92"/>
    </row>
    <row r="72" spans="2:12" ht="16.5" customHeight="1">
      <c r="B72" s="80"/>
      <c r="C72" s="83"/>
      <c r="D72" s="86"/>
      <c r="E72">
        <v>2</v>
      </c>
      <c r="F72" s="14"/>
      <c r="G72" s="14"/>
      <c r="H72" s="14"/>
      <c r="I72" s="25">
        <f t="shared" si="1"/>
        <v>0</v>
      </c>
      <c r="J72" s="10">
        <f t="shared" ref="J72:J77" si="20">I72*10^(E72)</f>
        <v>0</v>
      </c>
      <c r="K72" s="89"/>
      <c r="L72" s="92"/>
    </row>
    <row r="73" spans="2:12" ht="16.5" customHeight="1">
      <c r="B73" s="80"/>
      <c r="C73" s="83"/>
      <c r="D73" s="86"/>
      <c r="E73">
        <v>3</v>
      </c>
      <c r="F73" s="14"/>
      <c r="G73" s="14"/>
      <c r="H73" s="14"/>
      <c r="I73" s="25">
        <f t="shared" si="1"/>
        <v>0</v>
      </c>
      <c r="J73" s="10">
        <f t="shared" si="20"/>
        <v>0</v>
      </c>
      <c r="K73" s="89"/>
      <c r="L73" s="92"/>
    </row>
    <row r="74" spans="2:12" ht="16.5" customHeight="1">
      <c r="B74" s="80"/>
      <c r="C74" s="83"/>
      <c r="D74" s="86"/>
      <c r="E74">
        <v>4</v>
      </c>
      <c r="F74" s="14" t="s">
        <v>15</v>
      </c>
      <c r="G74" s="14" t="s">
        <v>15</v>
      </c>
      <c r="H74" s="14" t="s">
        <v>15</v>
      </c>
      <c r="I74" s="25">
        <f t="shared" ref="I74:I78" si="21">IFERROR(AVERAGEIF(F74:H74,"&lt;&gt;0"),0)</f>
        <v>0</v>
      </c>
      <c r="J74" s="10">
        <f t="shared" si="20"/>
        <v>0</v>
      </c>
      <c r="K74" s="89"/>
      <c r="L74" s="92"/>
    </row>
    <row r="75" spans="2:12" ht="16.5" customHeight="1">
      <c r="B75" s="80"/>
      <c r="C75" s="83"/>
      <c r="D75" s="86"/>
      <c r="E75">
        <v>5</v>
      </c>
      <c r="F75" s="14">
        <v>115</v>
      </c>
      <c r="G75" s="14">
        <v>174</v>
      </c>
      <c r="H75" s="14">
        <v>134</v>
      </c>
      <c r="I75" s="25">
        <f t="shared" si="21"/>
        <v>141</v>
      </c>
      <c r="J75" s="10">
        <f t="shared" si="20"/>
        <v>14100000</v>
      </c>
      <c r="K75" s="89"/>
      <c r="L75" s="92"/>
    </row>
    <row r="76" spans="2:12" ht="16.5" customHeight="1">
      <c r="B76" s="80"/>
      <c r="C76" s="83"/>
      <c r="D76" s="86"/>
      <c r="E76">
        <v>6</v>
      </c>
      <c r="F76" s="14">
        <v>0</v>
      </c>
      <c r="G76" s="14">
        <v>0</v>
      </c>
      <c r="H76" s="14">
        <v>0</v>
      </c>
      <c r="I76" s="25">
        <f t="shared" si="21"/>
        <v>0</v>
      </c>
      <c r="J76" s="10">
        <f t="shared" si="20"/>
        <v>0</v>
      </c>
      <c r="K76" s="89"/>
      <c r="L76" s="92"/>
    </row>
    <row r="77" spans="2:12" ht="16.5" customHeight="1">
      <c r="B77" s="80"/>
      <c r="C77" s="83"/>
      <c r="D77" s="86"/>
      <c r="E77">
        <v>7</v>
      </c>
      <c r="F77" s="14">
        <v>0</v>
      </c>
      <c r="G77" s="14">
        <v>0</v>
      </c>
      <c r="H77" s="14">
        <v>0</v>
      </c>
      <c r="I77" s="25">
        <f t="shared" si="21"/>
        <v>0</v>
      </c>
      <c r="J77" s="10">
        <f t="shared" si="20"/>
        <v>0</v>
      </c>
      <c r="K77" s="89"/>
      <c r="L77" s="92"/>
    </row>
    <row r="78" spans="2:12" ht="17.25" customHeight="1" thickBot="1">
      <c r="B78" s="81"/>
      <c r="C78" s="84"/>
      <c r="D78" s="87"/>
      <c r="E78" s="27">
        <v>8</v>
      </c>
      <c r="F78" s="22">
        <v>0</v>
      </c>
      <c r="G78" s="22">
        <v>0</v>
      </c>
      <c r="H78" s="22">
        <v>0</v>
      </c>
      <c r="I78" s="28">
        <f t="shared" si="21"/>
        <v>0</v>
      </c>
      <c r="J78" s="20">
        <f>I78*10^(E78)</f>
        <v>0</v>
      </c>
      <c r="K78" s="90"/>
      <c r="L78" s="93"/>
    </row>
    <row r="80" spans="2:12">
      <c r="J80" s="35"/>
    </row>
    <row r="81" spans="5:10">
      <c r="E81" s="35"/>
      <c r="J81" s="35"/>
    </row>
    <row r="82" spans="5:10">
      <c r="E82" s="35"/>
      <c r="J82" s="35"/>
    </row>
    <row r="83" spans="5:10">
      <c r="E83" s="35"/>
      <c r="J83" s="35"/>
    </row>
    <row r="84" spans="5:10">
      <c r="E84" s="35"/>
      <c r="J84" s="35"/>
    </row>
    <row r="85" spans="5:10">
      <c r="E85" s="35"/>
      <c r="J85" s="35"/>
    </row>
    <row r="86" spans="5:10">
      <c r="E86" s="35"/>
      <c r="J86" s="35"/>
    </row>
    <row r="87" spans="5:10">
      <c r="E87" s="35"/>
      <c r="J87" s="35"/>
    </row>
    <row r="88" spans="5:10">
      <c r="E88" s="35"/>
      <c r="J88" s="35"/>
    </row>
    <row r="89" spans="5:10">
      <c r="E89" s="35"/>
    </row>
    <row r="90" spans="5:10">
      <c r="E90" s="35"/>
    </row>
    <row r="91" spans="5:10">
      <c r="E91" s="35"/>
    </row>
    <row r="92" spans="5:10">
      <c r="E92" s="35"/>
    </row>
    <row r="93" spans="5:10">
      <c r="E93" s="35"/>
    </row>
    <row r="94" spans="5:10">
      <c r="E94" s="35"/>
    </row>
    <row r="95" spans="5:10">
      <c r="E95" s="35"/>
    </row>
    <row r="96" spans="5:10">
      <c r="E96" s="35"/>
    </row>
    <row r="97" spans="5:5">
      <c r="E97" s="35"/>
    </row>
    <row r="98" spans="5:5">
      <c r="E98" s="35"/>
    </row>
    <row r="99" spans="5:5">
      <c r="E99" s="35"/>
    </row>
    <row r="100" spans="5:5">
      <c r="E100" s="35"/>
    </row>
    <row r="101" spans="5:5">
      <c r="E101" s="35"/>
    </row>
    <row r="102" spans="5:5">
      <c r="E102" s="35"/>
    </row>
    <row r="103" spans="5:5">
      <c r="E103" s="35"/>
    </row>
    <row r="104" spans="5:5">
      <c r="E104" s="35"/>
    </row>
    <row r="105" spans="5:5">
      <c r="E105" s="35"/>
    </row>
    <row r="106" spans="5:5">
      <c r="E106" s="35"/>
    </row>
    <row r="107" spans="5:5">
      <c r="E107" s="35"/>
    </row>
    <row r="108" spans="5:5">
      <c r="E108" s="35"/>
    </row>
    <row r="109" spans="5:5">
      <c r="E109" s="35"/>
    </row>
    <row r="110" spans="5:5">
      <c r="E110" s="35"/>
    </row>
    <row r="111" spans="5:5">
      <c r="E111" s="35"/>
    </row>
    <row r="112" spans="5:5">
      <c r="E112" s="35"/>
    </row>
    <row r="113" spans="5:5">
      <c r="E113" s="35"/>
    </row>
    <row r="114" spans="5:5">
      <c r="E114" s="35"/>
    </row>
    <row r="115" spans="5:5">
      <c r="E115" s="35"/>
    </row>
    <row r="116" spans="5:5">
      <c r="E116" s="35"/>
    </row>
    <row r="117" spans="5:5">
      <c r="E117" s="35"/>
    </row>
    <row r="118" spans="5:5">
      <c r="E118" s="35"/>
    </row>
  </sheetData>
  <mergeCells count="42">
    <mergeCell ref="N5:P5"/>
    <mergeCell ref="B7:B15"/>
    <mergeCell ref="C7:C15"/>
    <mergeCell ref="D7:D15"/>
    <mergeCell ref="K7:K15"/>
    <mergeCell ref="L7:L15"/>
    <mergeCell ref="B5:L5"/>
    <mergeCell ref="B16:B24"/>
    <mergeCell ref="C16:C24"/>
    <mergeCell ref="D16:D24"/>
    <mergeCell ref="K16:K24"/>
    <mergeCell ref="L16:L24"/>
    <mergeCell ref="B25:B33"/>
    <mergeCell ref="C25:C33"/>
    <mergeCell ref="D25:D33"/>
    <mergeCell ref="K25:K33"/>
    <mergeCell ref="L25:L33"/>
    <mergeCell ref="B43:B51"/>
    <mergeCell ref="C43:C51"/>
    <mergeCell ref="D43:D51"/>
    <mergeCell ref="K43:K51"/>
    <mergeCell ref="L43:L51"/>
    <mergeCell ref="B34:B42"/>
    <mergeCell ref="C34:C42"/>
    <mergeCell ref="D34:D42"/>
    <mergeCell ref="K34:K42"/>
    <mergeCell ref="L34:L42"/>
    <mergeCell ref="B61:B69"/>
    <mergeCell ref="C61:C69"/>
    <mergeCell ref="D61:D69"/>
    <mergeCell ref="K61:K69"/>
    <mergeCell ref="L61:L69"/>
    <mergeCell ref="B52:B60"/>
    <mergeCell ref="C52:C60"/>
    <mergeCell ref="D52:D60"/>
    <mergeCell ref="K52:K60"/>
    <mergeCell ref="L52:L60"/>
    <mergeCell ref="B70:B78"/>
    <mergeCell ref="C70:C78"/>
    <mergeCell ref="D70:D78"/>
    <mergeCell ref="K70:K78"/>
    <mergeCell ref="L70:L78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7"/>
  <sheetViews>
    <sheetView tabSelected="1" topLeftCell="A49" zoomScale="70" zoomScaleNormal="70" workbookViewId="0">
      <selection activeCell="O65" sqref="O65"/>
    </sheetView>
  </sheetViews>
  <sheetFormatPr defaultRowHeight="14.5"/>
  <cols>
    <col min="2" max="2" width="15" bestFit="1" customWidth="1"/>
    <col min="3" max="3" width="27.90625" bestFit="1" customWidth="1"/>
    <col min="4" max="4" width="16.26953125" style="17" bestFit="1" customWidth="1"/>
    <col min="5" max="5" width="17.36328125" style="17" bestFit="1" customWidth="1"/>
    <col min="6" max="6" width="22.36328125" style="17" bestFit="1" customWidth="1"/>
    <col min="7" max="7" width="13.36328125" style="17" bestFit="1" customWidth="1"/>
    <col min="8" max="9" width="20.36328125" style="17" bestFit="1" customWidth="1"/>
    <col min="10" max="10" width="22.6328125" style="17" bestFit="1" customWidth="1"/>
    <col min="11" max="11" width="13.08984375" style="17" bestFit="1" customWidth="1"/>
    <col min="12" max="12" width="13.36328125" style="17" bestFit="1" customWidth="1"/>
    <col min="13" max="13" width="12.90625" style="17" bestFit="1" customWidth="1"/>
  </cols>
  <sheetData>
    <row r="1" spans="1:14" ht="15" thickBot="1">
      <c r="A1" s="35"/>
      <c r="B1" s="35"/>
      <c r="C1" s="35"/>
      <c r="D1" s="44"/>
      <c r="E1" s="44"/>
      <c r="F1" s="44"/>
      <c r="G1" s="44"/>
      <c r="H1" s="44"/>
      <c r="I1" s="44"/>
      <c r="J1" s="44"/>
      <c r="K1" s="44"/>
      <c r="L1" s="44"/>
      <c r="M1" s="44"/>
      <c r="N1" s="35"/>
    </row>
    <row r="2" spans="1:14" ht="51.5" thickBot="1">
      <c r="A2" s="35"/>
      <c r="B2" s="35"/>
      <c r="C2" s="46" t="s">
        <v>42</v>
      </c>
      <c r="D2" s="73">
        <v>3.1622776601683795</v>
      </c>
      <c r="E2" s="44"/>
      <c r="F2" s="45" t="s">
        <v>41</v>
      </c>
      <c r="G2" s="73">
        <v>30.21</v>
      </c>
      <c r="H2" s="44"/>
      <c r="I2" s="77" t="s">
        <v>40</v>
      </c>
      <c r="J2" s="78">
        <f>D2*(2^G2)</f>
        <v>3927499776.5995598</v>
      </c>
      <c r="K2" s="44"/>
      <c r="L2" s="76" t="s">
        <v>27</v>
      </c>
      <c r="M2" s="73" t="s">
        <v>28</v>
      </c>
      <c r="N2" s="35"/>
    </row>
    <row r="3" spans="1:14" ht="15" thickBot="1">
      <c r="A3" s="35"/>
      <c r="B3" s="35"/>
      <c r="C3" s="35"/>
      <c r="D3" s="44"/>
      <c r="E3" s="44"/>
      <c r="F3" s="44"/>
      <c r="G3" s="44"/>
      <c r="H3" s="44"/>
      <c r="I3" s="44"/>
      <c r="J3" s="44"/>
      <c r="K3" s="44"/>
      <c r="L3" s="44"/>
      <c r="M3" s="44"/>
      <c r="N3" s="35"/>
    </row>
    <row r="4" spans="1:14" ht="15" thickBot="1">
      <c r="A4" s="35"/>
      <c r="B4" s="100" t="s">
        <v>35</v>
      </c>
      <c r="C4" s="102"/>
      <c r="D4" s="71" t="s">
        <v>17</v>
      </c>
      <c r="E4" s="72" t="s">
        <v>16</v>
      </c>
      <c r="F4" s="71" t="s">
        <v>18</v>
      </c>
      <c r="G4" s="72" t="s">
        <v>19</v>
      </c>
      <c r="H4" s="71" t="s">
        <v>20</v>
      </c>
      <c r="I4" s="72" t="s">
        <v>21</v>
      </c>
      <c r="J4" s="71" t="s">
        <v>29</v>
      </c>
      <c r="K4" s="72" t="s">
        <v>22</v>
      </c>
      <c r="L4" s="71" t="s">
        <v>23</v>
      </c>
      <c r="M4" s="72" t="s">
        <v>24</v>
      </c>
      <c r="N4" s="35"/>
    </row>
    <row r="5" spans="1:14">
      <c r="A5" s="35"/>
      <c r="B5" s="105" t="s">
        <v>52</v>
      </c>
      <c r="C5" s="43" t="s">
        <v>25</v>
      </c>
      <c r="D5" s="69" t="s">
        <v>30</v>
      </c>
      <c r="E5" s="70" t="s">
        <v>30</v>
      </c>
      <c r="F5" s="69" t="s">
        <v>19</v>
      </c>
      <c r="G5" s="70" t="s">
        <v>19</v>
      </c>
      <c r="H5" s="69" t="s">
        <v>21</v>
      </c>
      <c r="I5" s="70" t="s">
        <v>21</v>
      </c>
      <c r="J5" s="69" t="s">
        <v>29</v>
      </c>
      <c r="K5" s="70" t="s">
        <v>34</v>
      </c>
      <c r="L5" s="69" t="s">
        <v>34</v>
      </c>
      <c r="M5" s="70" t="s">
        <v>24</v>
      </c>
      <c r="N5" s="35"/>
    </row>
    <row r="6" spans="1:14" ht="15" thickBot="1">
      <c r="A6" s="35"/>
      <c r="B6" s="107"/>
      <c r="C6" s="42" t="s">
        <v>26</v>
      </c>
      <c r="D6" s="54" t="s">
        <v>31</v>
      </c>
      <c r="E6" s="63" t="s">
        <v>32</v>
      </c>
      <c r="F6" s="54" t="s">
        <v>32</v>
      </c>
      <c r="G6" s="63" t="s">
        <v>33</v>
      </c>
      <c r="H6" s="54" t="s">
        <v>32</v>
      </c>
      <c r="I6" s="63" t="s">
        <v>31</v>
      </c>
      <c r="J6" s="54" t="s">
        <v>33</v>
      </c>
      <c r="K6" s="63" t="s">
        <v>32</v>
      </c>
      <c r="L6" s="54" t="s">
        <v>33</v>
      </c>
      <c r="M6" s="63" t="s">
        <v>33</v>
      </c>
      <c r="N6" s="35"/>
    </row>
    <row r="7" spans="1:14">
      <c r="A7" s="35"/>
      <c r="B7" s="105" t="s">
        <v>51</v>
      </c>
      <c r="C7" s="47">
        <v>1</v>
      </c>
      <c r="D7" s="52">
        <v>17.95</v>
      </c>
      <c r="E7" s="61">
        <v>29.76</v>
      </c>
      <c r="F7" s="52">
        <v>48.18</v>
      </c>
      <c r="G7" s="61">
        <v>32.020000000000003</v>
      </c>
      <c r="H7" s="52">
        <v>31.38</v>
      </c>
      <c r="I7" s="61">
        <v>24.29</v>
      </c>
      <c r="J7" s="52">
        <v>30.76</v>
      </c>
      <c r="K7" s="61">
        <v>31.34</v>
      </c>
      <c r="L7" s="52">
        <v>31.14</v>
      </c>
      <c r="M7" s="61">
        <v>31.11</v>
      </c>
      <c r="N7" s="35"/>
    </row>
    <row r="8" spans="1:14">
      <c r="A8" s="35"/>
      <c r="B8" s="106"/>
      <c r="C8" s="41">
        <v>2</v>
      </c>
      <c r="D8" s="53">
        <v>14.22</v>
      </c>
      <c r="E8" s="62">
        <v>30.15</v>
      </c>
      <c r="F8" s="53">
        <v>48.4</v>
      </c>
      <c r="G8" s="62">
        <v>48</v>
      </c>
      <c r="H8" s="53">
        <v>31.21</v>
      </c>
      <c r="I8" s="62">
        <v>30.06</v>
      </c>
      <c r="J8" s="53">
        <v>31.04</v>
      </c>
      <c r="K8" s="62">
        <v>31.11</v>
      </c>
      <c r="L8" s="53">
        <v>30.41</v>
      </c>
      <c r="M8" s="62">
        <v>30.57</v>
      </c>
      <c r="N8" s="35"/>
    </row>
    <row r="9" spans="1:14">
      <c r="A9" s="35"/>
      <c r="B9" s="106"/>
      <c r="C9" s="41">
        <v>3</v>
      </c>
      <c r="D9" s="53">
        <v>15.36</v>
      </c>
      <c r="E9" s="62">
        <v>30.61</v>
      </c>
      <c r="F9" s="53">
        <v>44.24</v>
      </c>
      <c r="G9" s="62">
        <v>34.5</v>
      </c>
      <c r="H9" s="53">
        <v>31.11</v>
      </c>
      <c r="I9" s="62">
        <v>18.04</v>
      </c>
      <c r="J9" s="53">
        <v>31.5</v>
      </c>
      <c r="K9" s="62">
        <v>30.38</v>
      </c>
      <c r="L9" s="53">
        <v>22.58</v>
      </c>
      <c r="M9" s="62">
        <v>30.79</v>
      </c>
      <c r="N9" s="35"/>
    </row>
    <row r="10" spans="1:14">
      <c r="A10" s="35"/>
      <c r="B10" s="106"/>
      <c r="C10" s="41">
        <v>4</v>
      </c>
      <c r="D10" s="53">
        <v>14.61</v>
      </c>
      <c r="E10" s="62">
        <v>30.71</v>
      </c>
      <c r="F10" s="53">
        <v>32.31</v>
      </c>
      <c r="G10" s="62">
        <v>41.37</v>
      </c>
      <c r="H10" s="53">
        <v>30.47</v>
      </c>
      <c r="I10" s="62">
        <v>27.78</v>
      </c>
      <c r="J10" s="53">
        <v>30.98</v>
      </c>
      <c r="K10" s="62">
        <v>32.46</v>
      </c>
      <c r="L10" s="53">
        <v>30.64</v>
      </c>
      <c r="M10" s="62">
        <v>30.62</v>
      </c>
      <c r="N10" s="35"/>
    </row>
    <row r="11" spans="1:14">
      <c r="A11" s="35"/>
      <c r="B11" s="106"/>
      <c r="C11" s="41">
        <v>5</v>
      </c>
      <c r="D11" s="53">
        <v>16.71</v>
      </c>
      <c r="E11" s="62">
        <v>30.96</v>
      </c>
      <c r="F11" s="53">
        <v>43.21</v>
      </c>
      <c r="G11" s="62">
        <v>38.049999999999997</v>
      </c>
      <c r="H11" s="53">
        <v>31.36</v>
      </c>
      <c r="I11" s="62">
        <v>30.38</v>
      </c>
      <c r="J11" s="53">
        <v>30.43</v>
      </c>
      <c r="K11" s="62">
        <v>31.73</v>
      </c>
      <c r="L11" s="53">
        <v>27.41</v>
      </c>
      <c r="M11" s="62">
        <v>31.03</v>
      </c>
      <c r="N11" s="35"/>
    </row>
    <row r="12" spans="1:14">
      <c r="A12" s="35"/>
      <c r="B12" s="106"/>
      <c r="C12" s="41">
        <v>6</v>
      </c>
      <c r="D12" s="53">
        <v>14.21</v>
      </c>
      <c r="E12" s="62">
        <v>31.21</v>
      </c>
      <c r="F12" s="53">
        <v>40.65</v>
      </c>
      <c r="G12" s="62">
        <v>42.59</v>
      </c>
      <c r="H12" s="53">
        <v>30.5</v>
      </c>
      <c r="I12" s="62">
        <v>28.15</v>
      </c>
      <c r="J12" s="53">
        <v>30.59</v>
      </c>
      <c r="K12" s="62">
        <v>36.340000000000003</v>
      </c>
      <c r="L12" s="53">
        <v>24.98</v>
      </c>
      <c r="M12" s="62">
        <v>30.46</v>
      </c>
      <c r="N12" s="35"/>
    </row>
    <row r="13" spans="1:14">
      <c r="A13" s="35"/>
      <c r="B13" s="106"/>
      <c r="C13" s="41">
        <v>7</v>
      </c>
      <c r="D13" s="53">
        <v>16.309999999999999</v>
      </c>
      <c r="E13" s="62">
        <v>30.11</v>
      </c>
      <c r="F13" s="53">
        <v>42.45</v>
      </c>
      <c r="G13" s="62">
        <v>36.950000000000003</v>
      </c>
      <c r="H13" s="53">
        <v>31.24</v>
      </c>
      <c r="I13" s="62">
        <v>24.5</v>
      </c>
      <c r="J13" s="53">
        <v>30.37</v>
      </c>
      <c r="K13" s="62">
        <v>32.61</v>
      </c>
      <c r="L13" s="53">
        <v>23.35</v>
      </c>
      <c r="M13" s="62">
        <v>31.28</v>
      </c>
      <c r="N13" s="35"/>
    </row>
    <row r="14" spans="1:14">
      <c r="A14" s="35"/>
      <c r="B14" s="106"/>
      <c r="C14" s="41">
        <v>8</v>
      </c>
      <c r="D14" s="53">
        <v>12.13</v>
      </c>
      <c r="E14" s="62">
        <v>29.17</v>
      </c>
      <c r="F14" s="53">
        <v>45.94</v>
      </c>
      <c r="G14" s="62">
        <v>36.85</v>
      </c>
      <c r="H14" s="53">
        <v>30.52</v>
      </c>
      <c r="I14" s="62">
        <v>28.17</v>
      </c>
      <c r="J14" s="53">
        <v>30.85</v>
      </c>
      <c r="K14" s="62">
        <v>30.19</v>
      </c>
      <c r="L14" s="53">
        <v>29.89</v>
      </c>
      <c r="M14" s="62">
        <v>30.66</v>
      </c>
      <c r="N14" s="35"/>
    </row>
    <row r="15" spans="1:14">
      <c r="A15" s="35"/>
      <c r="B15" s="106"/>
      <c r="C15" s="41">
        <v>9</v>
      </c>
      <c r="D15" s="53">
        <v>11.37</v>
      </c>
      <c r="E15" s="62">
        <v>30.61</v>
      </c>
      <c r="F15" s="53">
        <v>39.119999999999997</v>
      </c>
      <c r="G15" s="62">
        <v>36.03</v>
      </c>
      <c r="H15" s="53">
        <v>31.12</v>
      </c>
      <c r="I15" s="62">
        <v>30.2</v>
      </c>
      <c r="J15" s="53">
        <v>30.32</v>
      </c>
      <c r="K15" s="62">
        <v>31.28</v>
      </c>
      <c r="L15" s="53">
        <v>23.89</v>
      </c>
      <c r="M15" s="62">
        <v>31.11</v>
      </c>
      <c r="N15" s="35"/>
    </row>
    <row r="16" spans="1:14">
      <c r="A16" s="35"/>
      <c r="B16" s="106"/>
      <c r="C16" s="41">
        <v>10</v>
      </c>
      <c r="D16" s="53">
        <v>14.23</v>
      </c>
      <c r="E16" s="62">
        <v>31.12</v>
      </c>
      <c r="F16" s="53">
        <v>41.25</v>
      </c>
      <c r="G16" s="62">
        <v>34.17</v>
      </c>
      <c r="H16" s="53">
        <v>26.98</v>
      </c>
      <c r="I16" s="62">
        <v>36.1</v>
      </c>
      <c r="J16" s="53">
        <v>30.48</v>
      </c>
      <c r="K16" s="62">
        <v>30.43</v>
      </c>
      <c r="L16" s="53">
        <v>29.04</v>
      </c>
      <c r="M16" s="62">
        <v>26.93</v>
      </c>
      <c r="N16" s="35"/>
    </row>
    <row r="17" spans="1:14">
      <c r="A17" s="35"/>
      <c r="B17" s="106"/>
      <c r="C17" s="41">
        <v>11</v>
      </c>
      <c r="D17" s="53">
        <v>14.39</v>
      </c>
      <c r="E17" s="62">
        <v>30.78</v>
      </c>
      <c r="F17" s="53">
        <v>36.6</v>
      </c>
      <c r="G17" s="62">
        <v>33.549999999999997</v>
      </c>
      <c r="H17" s="53">
        <v>31.33</v>
      </c>
      <c r="I17" s="62">
        <v>24.33</v>
      </c>
      <c r="J17" s="53">
        <v>32.659999999999997</v>
      </c>
      <c r="K17" s="62">
        <v>30.51</v>
      </c>
      <c r="L17" s="53">
        <v>19.8</v>
      </c>
      <c r="M17" s="62">
        <v>30.77</v>
      </c>
      <c r="N17" s="35"/>
    </row>
    <row r="18" spans="1:14">
      <c r="A18" s="35"/>
      <c r="B18" s="106"/>
      <c r="C18" s="41">
        <v>12</v>
      </c>
      <c r="D18" s="53">
        <v>14.44</v>
      </c>
      <c r="E18" s="62">
        <v>30</v>
      </c>
      <c r="F18" s="53">
        <v>31.93</v>
      </c>
      <c r="G18" s="62">
        <v>40.26</v>
      </c>
      <c r="H18" s="53">
        <v>30.81</v>
      </c>
      <c r="I18" s="62">
        <v>29.72</v>
      </c>
      <c r="J18" s="53">
        <v>31.79</v>
      </c>
      <c r="K18" s="62">
        <v>31.18</v>
      </c>
      <c r="L18" s="53">
        <v>30.97</v>
      </c>
      <c r="M18" s="62">
        <v>26.38</v>
      </c>
      <c r="N18" s="35"/>
    </row>
    <row r="19" spans="1:14">
      <c r="A19" s="35"/>
      <c r="B19" s="106"/>
      <c r="C19" s="41">
        <v>13</v>
      </c>
      <c r="D19" s="53">
        <v>16.91</v>
      </c>
      <c r="E19" s="62">
        <v>31.01</v>
      </c>
      <c r="F19" s="53">
        <v>30.45</v>
      </c>
      <c r="G19" s="62">
        <v>34.01</v>
      </c>
      <c r="H19" s="53">
        <v>30.41</v>
      </c>
      <c r="I19" s="62">
        <v>28.94</v>
      </c>
      <c r="J19" s="53">
        <v>31.6</v>
      </c>
      <c r="K19" s="62">
        <v>30.58</v>
      </c>
      <c r="L19" s="53">
        <v>26.72</v>
      </c>
      <c r="M19" s="62">
        <v>23.26</v>
      </c>
      <c r="N19" s="35"/>
    </row>
    <row r="20" spans="1:14">
      <c r="A20" s="35"/>
      <c r="B20" s="106"/>
      <c r="C20" s="41">
        <v>14</v>
      </c>
      <c r="D20" s="53">
        <v>15.27</v>
      </c>
      <c r="E20" s="62">
        <v>31.51</v>
      </c>
      <c r="F20" s="53">
        <v>30.21</v>
      </c>
      <c r="G20" s="62">
        <v>42.99</v>
      </c>
      <c r="H20" s="53">
        <v>31.21</v>
      </c>
      <c r="I20" s="62">
        <v>19.34</v>
      </c>
      <c r="J20" s="53">
        <v>31.19</v>
      </c>
      <c r="K20" s="62">
        <v>31.02</v>
      </c>
      <c r="L20" s="53">
        <v>26.78</v>
      </c>
      <c r="M20" s="62">
        <v>31.61</v>
      </c>
      <c r="N20" s="35"/>
    </row>
    <row r="21" spans="1:14">
      <c r="A21" s="35"/>
      <c r="B21" s="106"/>
      <c r="C21" s="41">
        <v>15</v>
      </c>
      <c r="D21" s="53">
        <v>13.76</v>
      </c>
      <c r="E21" s="62">
        <v>30.11</v>
      </c>
      <c r="F21" s="53">
        <v>30.57</v>
      </c>
      <c r="G21" s="62">
        <v>39.4</v>
      </c>
      <c r="H21" s="53">
        <v>33.159999999999997</v>
      </c>
      <c r="I21" s="62">
        <v>26.19</v>
      </c>
      <c r="J21" s="53">
        <v>31.14</v>
      </c>
      <c r="K21" s="62">
        <v>31.23</v>
      </c>
      <c r="L21" s="53">
        <v>30.76</v>
      </c>
      <c r="M21" s="62">
        <v>25.16</v>
      </c>
      <c r="N21" s="35"/>
    </row>
    <row r="22" spans="1:14">
      <c r="A22" s="35"/>
      <c r="B22" s="106"/>
      <c r="C22" s="41">
        <v>16</v>
      </c>
      <c r="D22" s="53">
        <v>19.37</v>
      </c>
      <c r="E22" s="62">
        <v>30.54</v>
      </c>
      <c r="F22" s="53">
        <v>40.700000000000003</v>
      </c>
      <c r="G22" s="62">
        <v>34.32</v>
      </c>
      <c r="H22" s="53">
        <v>31.12</v>
      </c>
      <c r="I22" s="62">
        <v>30.7</v>
      </c>
      <c r="J22" s="53">
        <v>31.14</v>
      </c>
      <c r="K22" s="62">
        <v>30.5</v>
      </c>
      <c r="L22" s="53">
        <v>24.17</v>
      </c>
      <c r="M22" s="62">
        <v>32.14</v>
      </c>
      <c r="N22" s="35"/>
    </row>
    <row r="23" spans="1:14">
      <c r="A23" s="35"/>
      <c r="B23" s="106"/>
      <c r="C23" s="41">
        <v>17</v>
      </c>
      <c r="D23" s="53">
        <v>21.01</v>
      </c>
      <c r="E23" s="62">
        <v>31.34</v>
      </c>
      <c r="F23" s="53">
        <v>31.85</v>
      </c>
      <c r="G23" s="62">
        <v>36.18</v>
      </c>
      <c r="H23" s="53">
        <v>28.16</v>
      </c>
      <c r="I23" s="62">
        <v>30.44</v>
      </c>
      <c r="J23" s="53">
        <v>31.09</v>
      </c>
      <c r="K23" s="62">
        <v>32.61</v>
      </c>
      <c r="L23" s="53">
        <v>16.170000000000002</v>
      </c>
      <c r="M23" s="62">
        <v>30.21</v>
      </c>
      <c r="N23" s="35"/>
    </row>
    <row r="24" spans="1:14">
      <c r="A24" s="35"/>
      <c r="B24" s="106"/>
      <c r="C24" s="41">
        <v>18</v>
      </c>
      <c r="D24" s="53">
        <v>16.739999999999998</v>
      </c>
      <c r="E24" s="62">
        <v>29.99</v>
      </c>
      <c r="F24" s="53">
        <v>31.01</v>
      </c>
      <c r="G24" s="62">
        <v>31.89</v>
      </c>
      <c r="H24" s="53">
        <v>30.51</v>
      </c>
      <c r="I24" s="62">
        <v>29.32</v>
      </c>
      <c r="J24" s="53">
        <v>31</v>
      </c>
      <c r="K24" s="62">
        <v>30.52</v>
      </c>
      <c r="L24" s="53">
        <v>26.5</v>
      </c>
      <c r="M24" s="62">
        <v>24.5</v>
      </c>
      <c r="N24" s="35"/>
    </row>
    <row r="25" spans="1:14">
      <c r="A25" s="35"/>
      <c r="B25" s="106"/>
      <c r="C25" s="41">
        <v>19</v>
      </c>
      <c r="D25" s="53">
        <v>15.89</v>
      </c>
      <c r="E25" s="62">
        <v>30.41</v>
      </c>
      <c r="F25" s="53">
        <v>36.53</v>
      </c>
      <c r="G25" s="62">
        <v>37.72</v>
      </c>
      <c r="H25" s="53">
        <v>30.57</v>
      </c>
      <c r="I25" s="62">
        <v>26.85</v>
      </c>
      <c r="J25" s="53">
        <v>31.47</v>
      </c>
      <c r="K25" s="62">
        <v>32.14</v>
      </c>
      <c r="L25" s="53">
        <v>22.45</v>
      </c>
      <c r="M25" s="62">
        <v>30.48</v>
      </c>
      <c r="N25" s="35"/>
    </row>
    <row r="26" spans="1:14">
      <c r="A26" s="35"/>
      <c r="B26" s="106"/>
      <c r="C26" s="41">
        <v>20</v>
      </c>
      <c r="D26" s="53">
        <v>17.98</v>
      </c>
      <c r="E26" s="62">
        <v>30.81</v>
      </c>
      <c r="F26" s="53">
        <v>36.74</v>
      </c>
      <c r="G26" s="62">
        <v>32.11</v>
      </c>
      <c r="H26" s="53">
        <v>30.68</v>
      </c>
      <c r="I26" s="62">
        <v>26.7</v>
      </c>
      <c r="J26" s="53">
        <v>31.73</v>
      </c>
      <c r="K26" s="62">
        <v>30.19</v>
      </c>
      <c r="L26" s="53">
        <v>25.04</v>
      </c>
      <c r="M26" s="62">
        <v>30.71</v>
      </c>
      <c r="N26" s="35"/>
    </row>
    <row r="27" spans="1:14">
      <c r="A27" s="35"/>
      <c r="B27" s="106"/>
      <c r="C27" s="41">
        <v>21</v>
      </c>
      <c r="D27" s="53">
        <v>13.58</v>
      </c>
      <c r="E27" s="62">
        <v>30.94</v>
      </c>
      <c r="F27" s="53">
        <v>32.200000000000003</v>
      </c>
      <c r="G27" s="62">
        <v>34.659999999999997</v>
      </c>
      <c r="H27" s="53">
        <v>30.13</v>
      </c>
      <c r="I27" s="62">
        <v>28.68</v>
      </c>
      <c r="J27" s="53">
        <v>31.11</v>
      </c>
      <c r="K27" s="62">
        <v>31.2</v>
      </c>
      <c r="L27" s="53">
        <v>24.22</v>
      </c>
      <c r="M27" s="62">
        <v>31.11</v>
      </c>
      <c r="N27" s="35"/>
    </row>
    <row r="28" spans="1:14">
      <c r="A28" s="35"/>
      <c r="B28" s="106"/>
      <c r="C28" s="41">
        <v>22</v>
      </c>
      <c r="D28" s="53">
        <v>15.15</v>
      </c>
      <c r="E28" s="62">
        <v>30.67</v>
      </c>
      <c r="F28" s="53">
        <v>30.55</v>
      </c>
      <c r="G28" s="62">
        <v>47.82</v>
      </c>
      <c r="H28" s="53">
        <v>32.119999999999997</v>
      </c>
      <c r="I28" s="62">
        <v>30.56</v>
      </c>
      <c r="J28" s="53">
        <v>31.86</v>
      </c>
      <c r="K28" s="62">
        <v>31.06</v>
      </c>
      <c r="L28" s="53">
        <v>19.29</v>
      </c>
      <c r="M28" s="62">
        <v>30.27</v>
      </c>
      <c r="N28" s="35"/>
    </row>
    <row r="29" spans="1:14">
      <c r="A29" s="35"/>
      <c r="B29" s="106"/>
      <c r="C29" s="41">
        <v>23</v>
      </c>
      <c r="D29" s="53">
        <v>18.12</v>
      </c>
      <c r="E29" s="62">
        <v>29.87</v>
      </c>
      <c r="F29" s="53">
        <v>31.2</v>
      </c>
      <c r="G29" s="62">
        <v>34.49</v>
      </c>
      <c r="H29" s="53">
        <v>31.52</v>
      </c>
      <c r="I29" s="62">
        <v>26.33</v>
      </c>
      <c r="J29" s="53">
        <v>31.89</v>
      </c>
      <c r="K29" s="62">
        <v>32.11</v>
      </c>
      <c r="L29" s="53">
        <v>22.93</v>
      </c>
      <c r="M29" s="62">
        <v>29.89</v>
      </c>
      <c r="N29" s="35"/>
    </row>
    <row r="30" spans="1:14">
      <c r="A30" s="35"/>
      <c r="B30" s="106"/>
      <c r="C30" s="41">
        <v>24</v>
      </c>
      <c r="D30" s="53">
        <v>13.71</v>
      </c>
      <c r="E30" s="62">
        <v>28.21</v>
      </c>
      <c r="F30" s="53">
        <v>30.94</v>
      </c>
      <c r="G30" s="62">
        <v>31.44</v>
      </c>
      <c r="H30" s="53">
        <v>31.21</v>
      </c>
      <c r="I30" s="62">
        <v>35.14</v>
      </c>
      <c r="J30" s="53">
        <v>31.99</v>
      </c>
      <c r="K30" s="62">
        <v>31.49</v>
      </c>
      <c r="L30" s="53">
        <v>26.94</v>
      </c>
      <c r="M30" s="62">
        <v>30.88</v>
      </c>
      <c r="N30" s="35"/>
    </row>
    <row r="31" spans="1:14">
      <c r="A31" s="35"/>
      <c r="B31" s="106"/>
      <c r="C31" s="41">
        <v>25</v>
      </c>
      <c r="D31" s="53">
        <v>16.38</v>
      </c>
      <c r="E31" s="62">
        <v>30.67</v>
      </c>
      <c r="F31" s="53">
        <v>34.32</v>
      </c>
      <c r="G31" s="62">
        <v>36.68</v>
      </c>
      <c r="H31" s="53">
        <v>31.21</v>
      </c>
      <c r="I31" s="62">
        <v>28.48</v>
      </c>
      <c r="J31" s="53">
        <v>30.93</v>
      </c>
      <c r="K31" s="62">
        <v>31.68</v>
      </c>
      <c r="L31" s="53">
        <v>26.31</v>
      </c>
      <c r="M31" s="62">
        <v>26.42</v>
      </c>
      <c r="N31" s="35"/>
    </row>
    <row r="32" spans="1:14">
      <c r="A32" s="35"/>
      <c r="B32" s="106"/>
      <c r="C32" s="41">
        <v>26</v>
      </c>
      <c r="D32" s="53">
        <v>17.309999999999999</v>
      </c>
      <c r="E32" s="62">
        <v>30.78</v>
      </c>
      <c r="F32" s="53">
        <v>46.13</v>
      </c>
      <c r="G32" s="62">
        <v>39.340000000000003</v>
      </c>
      <c r="H32" s="53">
        <v>33.119999999999997</v>
      </c>
      <c r="I32" s="62">
        <v>24.54</v>
      </c>
      <c r="J32" s="53">
        <v>31.27</v>
      </c>
      <c r="K32" s="62">
        <v>31.16</v>
      </c>
      <c r="L32" s="53">
        <v>24.11</v>
      </c>
      <c r="M32" s="62">
        <v>25.23</v>
      </c>
      <c r="N32" s="35"/>
    </row>
    <row r="33" spans="1:14">
      <c r="A33" s="35"/>
      <c r="B33" s="106"/>
      <c r="C33" s="41">
        <v>27</v>
      </c>
      <c r="D33" s="53">
        <v>18.170000000000002</v>
      </c>
      <c r="E33" s="62">
        <v>30.91</v>
      </c>
      <c r="F33" s="53">
        <v>34.39</v>
      </c>
      <c r="G33" s="62">
        <v>32.28</v>
      </c>
      <c r="H33" s="53">
        <v>31.45</v>
      </c>
      <c r="I33" s="62">
        <v>28.94</v>
      </c>
      <c r="J33" s="53">
        <v>32.06</v>
      </c>
      <c r="K33" s="62">
        <v>31.45</v>
      </c>
      <c r="L33" s="53">
        <v>29.13</v>
      </c>
      <c r="M33" s="62">
        <v>31</v>
      </c>
      <c r="N33" s="35"/>
    </row>
    <row r="34" spans="1:14">
      <c r="A34" s="35"/>
      <c r="B34" s="106"/>
      <c r="C34" s="41">
        <v>28</v>
      </c>
      <c r="D34" s="53">
        <v>19.93</v>
      </c>
      <c r="E34" s="62">
        <v>28.24</v>
      </c>
      <c r="F34" s="53">
        <v>33.090000000000003</v>
      </c>
      <c r="G34" s="62">
        <v>44.48</v>
      </c>
      <c r="H34" s="53">
        <v>31.21</v>
      </c>
      <c r="I34" s="62">
        <v>30.9</v>
      </c>
      <c r="J34" s="53">
        <v>33.69</v>
      </c>
      <c r="K34" s="62">
        <v>32.03</v>
      </c>
      <c r="L34" s="53">
        <v>24.81</v>
      </c>
      <c r="M34" s="62">
        <v>30.71</v>
      </c>
      <c r="N34" s="35"/>
    </row>
    <row r="35" spans="1:14">
      <c r="A35" s="35"/>
      <c r="B35" s="106"/>
      <c r="C35" s="41">
        <v>29</v>
      </c>
      <c r="D35" s="53">
        <v>16.809999999999999</v>
      </c>
      <c r="E35" s="62">
        <v>30.21</v>
      </c>
      <c r="F35" s="53">
        <v>37.85</v>
      </c>
      <c r="G35" s="62">
        <v>39.229999999999997</v>
      </c>
      <c r="H35" s="53">
        <v>30.85</v>
      </c>
      <c r="I35" s="62">
        <v>26.22</v>
      </c>
      <c r="J35" s="53">
        <v>31.4</v>
      </c>
      <c r="K35" s="62">
        <v>30.5</v>
      </c>
      <c r="L35" s="53">
        <v>23.17</v>
      </c>
      <c r="M35" s="62">
        <v>21.34</v>
      </c>
      <c r="N35" s="35"/>
    </row>
    <row r="36" spans="1:14">
      <c r="A36" s="35"/>
      <c r="B36" s="106"/>
      <c r="C36" s="41">
        <v>30</v>
      </c>
      <c r="D36" s="53">
        <v>18.37</v>
      </c>
      <c r="E36" s="62">
        <v>31.21</v>
      </c>
      <c r="F36" s="53">
        <v>35.08</v>
      </c>
      <c r="G36" s="62">
        <v>42.15</v>
      </c>
      <c r="H36" s="53">
        <v>30.89</v>
      </c>
      <c r="I36" s="62">
        <v>36.15</v>
      </c>
      <c r="J36" s="53">
        <v>30.78</v>
      </c>
      <c r="K36" s="62">
        <v>31.03</v>
      </c>
      <c r="L36" s="53">
        <v>22.17</v>
      </c>
      <c r="M36" s="62">
        <v>31.77</v>
      </c>
      <c r="N36" s="35"/>
    </row>
    <row r="37" spans="1:14">
      <c r="A37" s="35"/>
      <c r="B37" s="106"/>
      <c r="C37" s="41">
        <v>31</v>
      </c>
      <c r="D37" s="53">
        <v>17.670000000000002</v>
      </c>
      <c r="E37" s="62">
        <v>30.13</v>
      </c>
      <c r="F37" s="53">
        <v>31.45</v>
      </c>
      <c r="G37" s="62">
        <v>38.46</v>
      </c>
      <c r="H37" s="53">
        <v>30.43</v>
      </c>
      <c r="I37" s="62">
        <v>27.61</v>
      </c>
      <c r="J37" s="53">
        <v>31.31</v>
      </c>
      <c r="K37" s="62">
        <v>32.46</v>
      </c>
      <c r="L37" s="53">
        <v>16.239999999999998</v>
      </c>
      <c r="M37" s="62">
        <v>30.81</v>
      </c>
      <c r="N37" s="35"/>
    </row>
    <row r="38" spans="1:14">
      <c r="A38" s="35"/>
      <c r="B38" s="106"/>
      <c r="C38" s="41">
        <v>32</v>
      </c>
      <c r="D38" s="53">
        <v>15.98</v>
      </c>
      <c r="E38" s="62">
        <v>30.35</v>
      </c>
      <c r="F38" s="53">
        <v>35.700000000000003</v>
      </c>
      <c r="G38" s="62">
        <v>39.32</v>
      </c>
      <c r="H38" s="53">
        <v>30.44</v>
      </c>
      <c r="I38" s="62">
        <v>30.31</v>
      </c>
      <c r="J38" s="53">
        <v>31.31</v>
      </c>
      <c r="K38" s="62">
        <v>31.73</v>
      </c>
      <c r="L38" s="53">
        <v>32.1</v>
      </c>
      <c r="M38" s="62">
        <v>31.32</v>
      </c>
      <c r="N38" s="35"/>
    </row>
    <row r="39" spans="1:14">
      <c r="A39" s="35"/>
      <c r="B39" s="106"/>
      <c r="C39" s="41">
        <v>33</v>
      </c>
      <c r="D39" s="53">
        <v>15.78</v>
      </c>
      <c r="E39" s="62">
        <v>28.78</v>
      </c>
      <c r="F39" s="53">
        <v>30.38</v>
      </c>
      <c r="G39" s="62">
        <v>36.82</v>
      </c>
      <c r="H39" s="53">
        <v>30.44</v>
      </c>
      <c r="I39" s="62">
        <v>25.57</v>
      </c>
      <c r="J39" s="53">
        <v>31.93</v>
      </c>
      <c r="K39" s="62">
        <v>31.18</v>
      </c>
      <c r="L39" s="53">
        <v>16.170000000000002</v>
      </c>
      <c r="M39" s="62">
        <v>30.33</v>
      </c>
      <c r="N39" s="35"/>
    </row>
    <row r="40" spans="1:14">
      <c r="A40" s="35"/>
      <c r="B40" s="106"/>
      <c r="C40" s="41">
        <v>34</v>
      </c>
      <c r="D40" s="53">
        <v>18.899999999999999</v>
      </c>
      <c r="E40" s="62">
        <v>30.89</v>
      </c>
      <c r="F40" s="53">
        <v>44.71</v>
      </c>
      <c r="G40" s="62">
        <v>35.49</v>
      </c>
      <c r="H40" s="53">
        <v>31.68</v>
      </c>
      <c r="I40" s="62">
        <v>29.94</v>
      </c>
      <c r="J40" s="53">
        <v>32.07</v>
      </c>
      <c r="K40" s="62">
        <v>30.58</v>
      </c>
      <c r="L40" s="53">
        <v>26.31</v>
      </c>
      <c r="M40" s="62">
        <v>30.41</v>
      </c>
      <c r="N40" s="35"/>
    </row>
    <row r="41" spans="1:14">
      <c r="A41" s="35"/>
      <c r="B41" s="106"/>
      <c r="C41" s="41">
        <v>35</v>
      </c>
      <c r="D41" s="53">
        <v>13.27</v>
      </c>
      <c r="E41" s="62">
        <v>29.34</v>
      </c>
      <c r="F41" s="53">
        <v>45.32</v>
      </c>
      <c r="G41" s="62">
        <v>42.41</v>
      </c>
      <c r="H41" s="53">
        <v>32.71</v>
      </c>
      <c r="I41" s="62">
        <v>24.1</v>
      </c>
      <c r="J41" s="53">
        <v>31.55</v>
      </c>
      <c r="K41" s="62">
        <v>36.340000000000003</v>
      </c>
      <c r="L41" s="53">
        <v>30.21</v>
      </c>
      <c r="M41" s="62">
        <v>30.35</v>
      </c>
      <c r="N41" s="35"/>
    </row>
    <row r="42" spans="1:14">
      <c r="A42" s="35"/>
      <c r="B42" s="106"/>
      <c r="C42" s="41">
        <v>36</v>
      </c>
      <c r="D42" s="53">
        <v>15.87</v>
      </c>
      <c r="E42" s="62">
        <v>30.75</v>
      </c>
      <c r="F42" s="53">
        <v>34.590000000000003</v>
      </c>
      <c r="G42" s="62">
        <v>33.049999999999997</v>
      </c>
      <c r="H42" s="53">
        <v>31.98</v>
      </c>
      <c r="I42" s="62">
        <v>37.1</v>
      </c>
      <c r="J42" s="53">
        <v>31.98</v>
      </c>
      <c r="K42" s="62">
        <v>32.61</v>
      </c>
      <c r="L42" s="53">
        <v>30.04</v>
      </c>
      <c r="M42" s="62">
        <v>28.87</v>
      </c>
      <c r="N42" s="35"/>
    </row>
    <row r="43" spans="1:14">
      <c r="A43" s="35"/>
      <c r="B43" s="106"/>
      <c r="C43" s="41">
        <v>37</v>
      </c>
      <c r="D43" s="53">
        <v>14.71</v>
      </c>
      <c r="E43" s="62">
        <v>29.72</v>
      </c>
      <c r="F43" s="53">
        <v>31.04</v>
      </c>
      <c r="G43" s="62">
        <v>42.88</v>
      </c>
      <c r="H43" s="53">
        <v>33.33</v>
      </c>
      <c r="I43" s="62">
        <v>29.69</v>
      </c>
      <c r="J43" s="53">
        <v>32.090000000000003</v>
      </c>
      <c r="K43" s="62">
        <v>30.43</v>
      </c>
      <c r="L43" s="53">
        <v>17.14</v>
      </c>
      <c r="M43" s="62">
        <v>29.74</v>
      </c>
      <c r="N43" s="35"/>
    </row>
    <row r="44" spans="1:14">
      <c r="A44" s="35"/>
      <c r="B44" s="106"/>
      <c r="C44" s="41">
        <v>38</v>
      </c>
      <c r="D44" s="53">
        <v>19.510000000000002</v>
      </c>
      <c r="E44" s="62">
        <v>29.79</v>
      </c>
      <c r="F44" s="53">
        <v>30.62</v>
      </c>
      <c r="G44" s="62">
        <v>37.49</v>
      </c>
      <c r="H44" s="74">
        <v>31.12</v>
      </c>
      <c r="I44" s="62">
        <v>25.48</v>
      </c>
      <c r="J44" s="53">
        <v>31.06</v>
      </c>
      <c r="K44" s="62">
        <v>30.51</v>
      </c>
      <c r="L44" s="53">
        <v>22.88</v>
      </c>
      <c r="M44" s="62">
        <v>30.19</v>
      </c>
      <c r="N44" s="35"/>
    </row>
    <row r="45" spans="1:14">
      <c r="A45" s="35"/>
      <c r="B45" s="106"/>
      <c r="C45" s="41">
        <v>39</v>
      </c>
      <c r="D45" s="53">
        <v>17.66</v>
      </c>
      <c r="E45" s="62">
        <v>30.73</v>
      </c>
      <c r="F45" s="53">
        <v>32.31</v>
      </c>
      <c r="G45" s="62">
        <v>43.3</v>
      </c>
      <c r="H45" s="74">
        <v>26.16</v>
      </c>
      <c r="I45" s="62">
        <v>25.33</v>
      </c>
      <c r="J45" s="53">
        <v>31.09</v>
      </c>
      <c r="K45" s="62">
        <v>31.23</v>
      </c>
      <c r="L45" s="53">
        <v>24.81</v>
      </c>
      <c r="M45" s="62">
        <v>31.01</v>
      </c>
      <c r="N45" s="35"/>
    </row>
    <row r="46" spans="1:14">
      <c r="A46" s="35"/>
      <c r="B46" s="106"/>
      <c r="C46" s="41">
        <v>40</v>
      </c>
      <c r="D46" s="53">
        <v>18.91</v>
      </c>
      <c r="E46" s="62">
        <v>29.02</v>
      </c>
      <c r="F46" s="53">
        <v>39.14</v>
      </c>
      <c r="G46" s="62">
        <v>30.92</v>
      </c>
      <c r="H46" s="74">
        <v>31.2</v>
      </c>
      <c r="I46" s="62">
        <v>29.5</v>
      </c>
      <c r="J46" s="53">
        <v>31</v>
      </c>
      <c r="K46" s="62">
        <v>30.19</v>
      </c>
      <c r="L46" s="53">
        <v>23.17</v>
      </c>
      <c r="M46" s="62">
        <v>30.41</v>
      </c>
      <c r="N46" s="35"/>
    </row>
    <row r="47" spans="1:14">
      <c r="A47" s="35"/>
      <c r="B47" s="106"/>
      <c r="C47" s="41">
        <v>41</v>
      </c>
      <c r="D47" s="53">
        <v>18.579999999999998</v>
      </c>
      <c r="E47" s="62">
        <v>27.89</v>
      </c>
      <c r="F47" s="53">
        <v>36.1</v>
      </c>
      <c r="G47" s="62">
        <v>45.12</v>
      </c>
      <c r="H47" s="74">
        <v>31.01</v>
      </c>
      <c r="I47" s="62">
        <v>24.91</v>
      </c>
      <c r="J47" s="53">
        <v>31.47</v>
      </c>
      <c r="K47" s="62">
        <v>31.2</v>
      </c>
      <c r="L47" s="53">
        <v>22.17</v>
      </c>
      <c r="M47" s="62">
        <v>30.88</v>
      </c>
      <c r="N47" s="35"/>
    </row>
    <row r="48" spans="1:14">
      <c r="A48" s="35"/>
      <c r="B48" s="106"/>
      <c r="C48" s="41">
        <v>42</v>
      </c>
      <c r="D48" s="53">
        <v>20.81</v>
      </c>
      <c r="E48" s="62">
        <v>28.26</v>
      </c>
      <c r="F48" s="53">
        <v>36.31</v>
      </c>
      <c r="G48" s="62">
        <v>46.58</v>
      </c>
      <c r="H48" s="74">
        <v>31.17</v>
      </c>
      <c r="I48" s="62">
        <v>17.350000000000001</v>
      </c>
      <c r="J48" s="53">
        <v>31.99</v>
      </c>
      <c r="K48" s="62">
        <v>31.06</v>
      </c>
      <c r="L48" s="53">
        <v>16.239999999999998</v>
      </c>
      <c r="M48" s="62">
        <v>26.76</v>
      </c>
      <c r="N48" s="35"/>
    </row>
    <row r="49" spans="1:14">
      <c r="A49" s="35"/>
      <c r="B49" s="106"/>
      <c r="C49" s="41">
        <v>43</v>
      </c>
      <c r="D49" s="53">
        <v>17.63</v>
      </c>
      <c r="E49" s="62">
        <v>31.66</v>
      </c>
      <c r="F49" s="53">
        <v>31.04</v>
      </c>
      <c r="G49" s="62">
        <v>30.48</v>
      </c>
      <c r="H49" s="53">
        <v>31.21</v>
      </c>
      <c r="I49" s="62">
        <v>20.73</v>
      </c>
      <c r="J49" s="53">
        <v>30.93</v>
      </c>
      <c r="K49" s="62">
        <v>32.11</v>
      </c>
      <c r="L49" s="53">
        <v>18.34</v>
      </c>
      <c r="M49" s="62">
        <v>30.55</v>
      </c>
      <c r="N49" s="35"/>
    </row>
    <row r="50" spans="1:14">
      <c r="A50" s="35"/>
      <c r="B50" s="106"/>
      <c r="C50" s="41">
        <v>44</v>
      </c>
      <c r="D50" s="53">
        <v>18.38</v>
      </c>
      <c r="E50" s="62">
        <v>30.22</v>
      </c>
      <c r="F50" s="53">
        <v>31.01</v>
      </c>
      <c r="G50" s="62">
        <v>42.03</v>
      </c>
      <c r="H50" s="53">
        <v>31.12</v>
      </c>
      <c r="I50" s="62">
        <v>25.33</v>
      </c>
      <c r="J50" s="53">
        <v>31.47</v>
      </c>
      <c r="K50" s="62">
        <v>31.28</v>
      </c>
      <c r="L50" s="74">
        <v>19.760000000000002</v>
      </c>
      <c r="M50" s="62">
        <v>23.78</v>
      </c>
      <c r="N50" s="35"/>
    </row>
    <row r="51" spans="1:14">
      <c r="A51" s="35"/>
      <c r="B51" s="106"/>
      <c r="C51" s="41">
        <v>45</v>
      </c>
      <c r="D51" s="53">
        <v>16.71</v>
      </c>
      <c r="E51" s="62">
        <v>31.1</v>
      </c>
      <c r="F51" s="53">
        <v>33.22</v>
      </c>
      <c r="G51" s="62">
        <v>38.19</v>
      </c>
      <c r="H51" s="53">
        <v>31.52</v>
      </c>
      <c r="I51" s="62">
        <v>27.65</v>
      </c>
      <c r="J51" s="53">
        <v>31.99</v>
      </c>
      <c r="K51" s="62">
        <v>31.18</v>
      </c>
      <c r="L51" s="53">
        <v>30.64</v>
      </c>
      <c r="M51" s="62">
        <v>31.28</v>
      </c>
      <c r="N51" s="35"/>
    </row>
    <row r="52" spans="1:14">
      <c r="A52" s="35"/>
      <c r="B52" s="106"/>
      <c r="C52" s="41">
        <v>46</v>
      </c>
      <c r="D52" s="53">
        <v>15.2</v>
      </c>
      <c r="E52" s="62">
        <v>30.66</v>
      </c>
      <c r="F52" s="53">
        <v>33.299999999999997</v>
      </c>
      <c r="G52" s="62">
        <v>35.54</v>
      </c>
      <c r="H52" s="53">
        <v>31.17</v>
      </c>
      <c r="I52" s="62">
        <v>24.01</v>
      </c>
      <c r="J52" s="53">
        <v>31.01</v>
      </c>
      <c r="K52" s="62">
        <v>30.58</v>
      </c>
      <c r="L52" s="53">
        <v>27.41</v>
      </c>
      <c r="M52" s="62">
        <v>30.99</v>
      </c>
      <c r="N52" s="35"/>
    </row>
    <row r="53" spans="1:14">
      <c r="A53" s="35"/>
      <c r="B53" s="106"/>
      <c r="C53" s="41">
        <v>47</v>
      </c>
      <c r="D53" s="53">
        <v>16.3</v>
      </c>
      <c r="E53" s="62">
        <v>31.31</v>
      </c>
      <c r="F53" s="53">
        <v>30.93</v>
      </c>
      <c r="G53" s="62">
        <v>31.16</v>
      </c>
      <c r="H53" s="53">
        <v>32.17</v>
      </c>
      <c r="I53" s="62">
        <v>29.21</v>
      </c>
      <c r="J53" s="53">
        <v>32.07</v>
      </c>
      <c r="K53" s="62">
        <v>31.02</v>
      </c>
      <c r="L53" s="53">
        <v>30.97</v>
      </c>
      <c r="M53" s="62">
        <v>30.46</v>
      </c>
      <c r="N53" s="35"/>
    </row>
    <row r="54" spans="1:14">
      <c r="A54" s="35"/>
      <c r="B54" s="106"/>
      <c r="C54" s="41">
        <v>48</v>
      </c>
      <c r="D54" s="53">
        <v>15.36</v>
      </c>
      <c r="E54" s="62">
        <v>31.65</v>
      </c>
      <c r="F54" s="53">
        <v>34.33</v>
      </c>
      <c r="G54" s="62">
        <v>33.81</v>
      </c>
      <c r="H54" s="53">
        <v>30.41</v>
      </c>
      <c r="I54" s="62">
        <v>30.56</v>
      </c>
      <c r="J54" s="53">
        <v>31.55</v>
      </c>
      <c r="K54" s="62">
        <v>31.23</v>
      </c>
      <c r="L54" s="53">
        <v>26.72</v>
      </c>
      <c r="M54" s="62">
        <v>32.01</v>
      </c>
      <c r="N54" s="35"/>
    </row>
    <row r="55" spans="1:14">
      <c r="A55" s="35"/>
      <c r="B55" s="106"/>
      <c r="C55" s="41">
        <v>49</v>
      </c>
      <c r="D55" s="53">
        <v>21.6</v>
      </c>
      <c r="E55" s="62">
        <v>30.89</v>
      </c>
      <c r="F55" s="53">
        <v>38.32</v>
      </c>
      <c r="G55" s="62">
        <v>34.14</v>
      </c>
      <c r="H55" s="53">
        <v>31.21</v>
      </c>
      <c r="I55" s="62">
        <v>26.33</v>
      </c>
      <c r="J55" s="53">
        <v>31.79</v>
      </c>
      <c r="K55" s="62">
        <v>30.5</v>
      </c>
      <c r="L55" s="53">
        <v>26.78</v>
      </c>
      <c r="M55" s="62">
        <v>30.71</v>
      </c>
      <c r="N55" s="35"/>
    </row>
    <row r="56" spans="1:14">
      <c r="A56" s="35"/>
      <c r="B56" s="106"/>
      <c r="C56" s="41">
        <v>50</v>
      </c>
      <c r="D56" s="53">
        <v>14.26</v>
      </c>
      <c r="E56" s="62">
        <v>31.49</v>
      </c>
      <c r="F56" s="53">
        <v>33.47</v>
      </c>
      <c r="G56" s="62">
        <v>34.71</v>
      </c>
      <c r="H56" s="53">
        <v>33.159999999999997</v>
      </c>
      <c r="I56" s="62">
        <v>35.14</v>
      </c>
      <c r="J56" s="53">
        <v>31.6</v>
      </c>
      <c r="K56" s="62">
        <v>31.34</v>
      </c>
      <c r="L56" s="53">
        <v>30.76</v>
      </c>
      <c r="M56" s="62">
        <v>29.78</v>
      </c>
      <c r="N56" s="35"/>
    </row>
    <row r="57" spans="1:14">
      <c r="A57" s="35"/>
      <c r="B57" s="106"/>
      <c r="C57" s="41">
        <v>51</v>
      </c>
      <c r="D57" s="53">
        <v>16.899999999999999</v>
      </c>
      <c r="E57" s="62">
        <v>30.78</v>
      </c>
      <c r="F57" s="53">
        <v>30.2</v>
      </c>
      <c r="G57" s="62">
        <v>31.64</v>
      </c>
      <c r="H57" s="53">
        <v>31.38</v>
      </c>
      <c r="I57" s="62">
        <v>29.5</v>
      </c>
      <c r="J57" s="53">
        <v>30.74</v>
      </c>
      <c r="K57" s="62">
        <v>31.11</v>
      </c>
      <c r="L57" s="53">
        <v>24.17</v>
      </c>
      <c r="M57" s="62">
        <v>30.98</v>
      </c>
      <c r="N57" s="35"/>
    </row>
    <row r="58" spans="1:14">
      <c r="A58" s="35"/>
      <c r="B58" s="106"/>
      <c r="C58" s="41">
        <v>52</v>
      </c>
      <c r="D58" s="53">
        <v>15.98</v>
      </c>
      <c r="E58" s="62">
        <v>30</v>
      </c>
      <c r="F58" s="53">
        <v>45.69</v>
      </c>
      <c r="G58" s="62">
        <v>34.39</v>
      </c>
      <c r="H58" s="53">
        <v>31.21</v>
      </c>
      <c r="I58" s="62">
        <v>24.91</v>
      </c>
      <c r="J58" s="53">
        <v>29.87</v>
      </c>
      <c r="K58" s="62">
        <v>30.38</v>
      </c>
      <c r="L58" s="53">
        <v>30.21</v>
      </c>
      <c r="M58" s="62">
        <v>25.78</v>
      </c>
      <c r="N58" s="35"/>
    </row>
    <row r="59" spans="1:14">
      <c r="A59" s="35"/>
      <c r="B59" s="106"/>
      <c r="C59" s="41">
        <v>53</v>
      </c>
      <c r="D59" s="53">
        <v>16.47</v>
      </c>
      <c r="E59" s="62">
        <v>31.01</v>
      </c>
      <c r="F59" s="53">
        <v>43.14</v>
      </c>
      <c r="G59" s="62">
        <v>35.840000000000003</v>
      </c>
      <c r="H59" s="53">
        <v>31.11</v>
      </c>
      <c r="I59" s="62">
        <v>28.94</v>
      </c>
      <c r="J59" s="53">
        <v>31.77</v>
      </c>
      <c r="K59" s="62">
        <v>32.46</v>
      </c>
      <c r="L59" s="53">
        <v>26.5</v>
      </c>
      <c r="M59" s="62">
        <v>24.03</v>
      </c>
      <c r="N59" s="35"/>
    </row>
    <row r="60" spans="1:14">
      <c r="A60" s="35"/>
      <c r="B60" s="106"/>
      <c r="C60" s="41">
        <v>54</v>
      </c>
      <c r="D60" s="53">
        <v>15.21</v>
      </c>
      <c r="E60" s="62">
        <v>29.51</v>
      </c>
      <c r="F60" s="53">
        <v>37.380000000000003</v>
      </c>
      <c r="G60" s="62">
        <v>28.58</v>
      </c>
      <c r="H60" s="53">
        <v>31.11</v>
      </c>
      <c r="I60" s="62">
        <v>19.34</v>
      </c>
      <c r="J60" s="53">
        <v>30.27</v>
      </c>
      <c r="K60" s="62">
        <v>31.73</v>
      </c>
      <c r="L60" s="53">
        <v>22.45</v>
      </c>
      <c r="M60" s="62">
        <v>30.42</v>
      </c>
      <c r="N60" s="35"/>
    </row>
    <row r="61" spans="1:14">
      <c r="A61" s="35"/>
      <c r="B61" s="106"/>
      <c r="C61" s="41">
        <v>55</v>
      </c>
      <c r="D61" s="53">
        <v>15.59</v>
      </c>
      <c r="E61" s="62">
        <v>30.75</v>
      </c>
      <c r="F61" s="53">
        <v>41.42</v>
      </c>
      <c r="G61" s="62">
        <v>33.92</v>
      </c>
      <c r="H61" s="53">
        <v>33.74</v>
      </c>
      <c r="I61" s="62">
        <v>26.19</v>
      </c>
      <c r="J61" s="53">
        <v>31.27</v>
      </c>
      <c r="K61" s="62">
        <v>36.340000000000003</v>
      </c>
      <c r="L61" s="53">
        <v>25.04</v>
      </c>
      <c r="M61" s="62">
        <v>31</v>
      </c>
      <c r="N61" s="35"/>
    </row>
    <row r="62" spans="1:14">
      <c r="A62" s="35"/>
      <c r="B62" s="106"/>
      <c r="C62" s="41">
        <v>56</v>
      </c>
      <c r="D62" s="53">
        <v>17.05</v>
      </c>
      <c r="E62" s="62">
        <v>31.01</v>
      </c>
      <c r="F62" s="53">
        <v>37.01</v>
      </c>
      <c r="G62" s="62">
        <v>28.36</v>
      </c>
      <c r="H62" s="53">
        <v>30.36</v>
      </c>
      <c r="I62" s="62">
        <v>30.7</v>
      </c>
      <c r="J62" s="53">
        <v>32.49</v>
      </c>
      <c r="K62" s="62">
        <v>32.61</v>
      </c>
      <c r="L62" s="53">
        <v>24.22</v>
      </c>
      <c r="M62" s="62">
        <v>30.19</v>
      </c>
      <c r="N62" s="35"/>
    </row>
    <row r="63" spans="1:14">
      <c r="A63" s="35"/>
      <c r="B63" s="106"/>
      <c r="C63" s="41">
        <v>57</v>
      </c>
      <c r="D63" s="53">
        <v>16.52</v>
      </c>
      <c r="E63" s="62">
        <v>31.71</v>
      </c>
      <c r="F63" s="53">
        <v>30.78</v>
      </c>
      <c r="G63" s="62">
        <v>34.130000000000003</v>
      </c>
      <c r="H63" s="53">
        <v>30.78</v>
      </c>
      <c r="I63" s="62">
        <v>24.5</v>
      </c>
      <c r="J63" s="53">
        <v>30.81</v>
      </c>
      <c r="K63" s="62">
        <v>30.19</v>
      </c>
      <c r="L63" s="53">
        <v>19.29</v>
      </c>
      <c r="M63" s="62">
        <v>27.61</v>
      </c>
      <c r="N63" s="35"/>
    </row>
    <row r="64" spans="1:14">
      <c r="A64" s="35"/>
      <c r="B64" s="106"/>
      <c r="C64" s="41">
        <v>58</v>
      </c>
      <c r="D64" s="53">
        <v>15.85</v>
      </c>
      <c r="E64" s="62">
        <v>29.47</v>
      </c>
      <c r="F64" s="53">
        <v>31.15</v>
      </c>
      <c r="G64" s="62">
        <v>33.71</v>
      </c>
      <c r="H64" s="53">
        <v>30.5</v>
      </c>
      <c r="I64" s="62">
        <v>24.33</v>
      </c>
      <c r="J64" s="53">
        <v>30.97</v>
      </c>
      <c r="K64" s="62">
        <v>31.28</v>
      </c>
      <c r="L64" s="53">
        <v>22.93</v>
      </c>
      <c r="M64" s="62">
        <v>30.97</v>
      </c>
      <c r="N64" s="35"/>
    </row>
    <row r="65" spans="1:14">
      <c r="A65" s="35"/>
      <c r="B65" s="106"/>
      <c r="C65" s="41">
        <v>59</v>
      </c>
      <c r="D65" s="53">
        <v>15.31</v>
      </c>
      <c r="E65" s="62">
        <v>28.66</v>
      </c>
      <c r="F65" s="53">
        <v>38.36</v>
      </c>
      <c r="G65" s="62">
        <v>23.25</v>
      </c>
      <c r="H65" s="53">
        <v>30.45</v>
      </c>
      <c r="I65" s="62">
        <v>29.72</v>
      </c>
      <c r="J65" s="53">
        <v>30.67</v>
      </c>
      <c r="K65" s="62">
        <v>30.43</v>
      </c>
      <c r="L65" s="53">
        <v>26.94</v>
      </c>
      <c r="M65" s="62">
        <v>30.79</v>
      </c>
      <c r="N65" s="35"/>
    </row>
    <row r="66" spans="1:14">
      <c r="A66" s="35"/>
      <c r="B66" s="106"/>
      <c r="C66" s="41">
        <v>60</v>
      </c>
      <c r="D66" s="53">
        <v>15.67</v>
      </c>
      <c r="E66" s="62">
        <v>29.55</v>
      </c>
      <c r="F66" s="53">
        <v>39.450000000000003</v>
      </c>
      <c r="G66" s="62">
        <v>33.5</v>
      </c>
      <c r="H66" s="53">
        <v>30.21</v>
      </c>
      <c r="I66" s="62">
        <v>28.94</v>
      </c>
      <c r="J66" s="53">
        <v>30.61</v>
      </c>
      <c r="K66" s="62">
        <v>30.51</v>
      </c>
      <c r="L66" s="53">
        <v>23.35</v>
      </c>
      <c r="M66" s="62">
        <v>31.88</v>
      </c>
      <c r="N66" s="35"/>
    </row>
    <row r="67" spans="1:14">
      <c r="A67" s="35"/>
      <c r="B67" s="106"/>
      <c r="C67" s="41">
        <v>61</v>
      </c>
      <c r="D67" s="53">
        <v>15.25</v>
      </c>
      <c r="E67" s="62">
        <v>29.67</v>
      </c>
      <c r="F67" s="53">
        <v>50.77</v>
      </c>
      <c r="G67" s="62">
        <v>33.880000000000003</v>
      </c>
      <c r="H67" s="53">
        <v>30.85</v>
      </c>
      <c r="I67" s="62">
        <v>19.34</v>
      </c>
      <c r="J67" s="53">
        <v>30.55</v>
      </c>
      <c r="K67" s="62">
        <v>31.18</v>
      </c>
      <c r="L67" s="53">
        <v>24.11</v>
      </c>
      <c r="M67" s="62">
        <v>30.9</v>
      </c>
      <c r="N67" s="35"/>
    </row>
    <row r="68" spans="1:14">
      <c r="A68" s="35"/>
      <c r="B68" s="106"/>
      <c r="C68" s="41">
        <v>62</v>
      </c>
      <c r="D68" s="53">
        <v>14.03</v>
      </c>
      <c r="E68" s="62">
        <v>27.68</v>
      </c>
      <c r="F68" s="53">
        <v>43.69</v>
      </c>
      <c r="G68" s="62">
        <v>33.42</v>
      </c>
      <c r="H68" s="53">
        <v>30.96</v>
      </c>
      <c r="I68" s="62">
        <v>26.19</v>
      </c>
      <c r="J68" s="53">
        <v>31.1</v>
      </c>
      <c r="K68" s="62">
        <v>30.58</v>
      </c>
      <c r="L68" s="53">
        <v>29.13</v>
      </c>
      <c r="M68" s="62">
        <v>31.07</v>
      </c>
      <c r="N68" s="35"/>
    </row>
    <row r="69" spans="1:14">
      <c r="A69" s="35"/>
      <c r="B69" s="106"/>
      <c r="C69" s="41">
        <v>63</v>
      </c>
      <c r="D69" s="53">
        <v>14.58</v>
      </c>
      <c r="E69" s="62">
        <v>26.38</v>
      </c>
      <c r="F69" s="53">
        <v>39.4</v>
      </c>
      <c r="G69" s="62">
        <v>33.33</v>
      </c>
      <c r="H69" s="53">
        <v>31.58</v>
      </c>
      <c r="I69" s="62">
        <v>24.1</v>
      </c>
      <c r="J69" s="53">
        <v>30.48</v>
      </c>
      <c r="K69" s="62">
        <v>31.02</v>
      </c>
      <c r="L69" s="53">
        <v>24.98</v>
      </c>
      <c r="M69" s="62">
        <v>30.83</v>
      </c>
      <c r="N69" s="35"/>
    </row>
    <row r="70" spans="1:14">
      <c r="A70" s="35"/>
      <c r="B70" s="106"/>
      <c r="C70" s="41">
        <v>64</v>
      </c>
      <c r="D70" s="53"/>
      <c r="E70" s="62"/>
      <c r="F70" s="53">
        <v>34.770000000000003</v>
      </c>
      <c r="G70" s="62">
        <v>34.28</v>
      </c>
      <c r="H70" s="53"/>
      <c r="I70" s="62"/>
      <c r="J70" s="53"/>
      <c r="K70" s="62"/>
      <c r="L70" s="53"/>
      <c r="M70" s="62"/>
      <c r="N70" s="35"/>
    </row>
    <row r="71" spans="1:14">
      <c r="A71" s="35"/>
      <c r="B71" s="106"/>
      <c r="C71" s="41">
        <v>65</v>
      </c>
      <c r="D71" s="53"/>
      <c r="E71" s="62"/>
      <c r="F71" s="53">
        <v>48.91</v>
      </c>
      <c r="G71" s="62">
        <v>33.56</v>
      </c>
      <c r="H71" s="53"/>
      <c r="I71" s="62"/>
      <c r="J71" s="53"/>
      <c r="K71" s="62"/>
      <c r="L71" s="53"/>
      <c r="M71" s="62"/>
      <c r="N71" s="35"/>
    </row>
    <row r="72" spans="1:14">
      <c r="A72" s="35"/>
      <c r="B72" s="106"/>
      <c r="C72" s="41">
        <v>66</v>
      </c>
      <c r="D72" s="53"/>
      <c r="E72" s="62"/>
      <c r="F72" s="53">
        <v>36.4</v>
      </c>
      <c r="G72" s="62">
        <v>33.04</v>
      </c>
      <c r="H72" s="53"/>
      <c r="I72" s="62"/>
      <c r="J72" s="53"/>
      <c r="K72" s="75"/>
      <c r="L72" s="53"/>
      <c r="M72" s="62"/>
      <c r="N72" s="35"/>
    </row>
    <row r="73" spans="1:14">
      <c r="A73" s="35"/>
      <c r="B73" s="106"/>
      <c r="C73" s="41">
        <v>67</v>
      </c>
      <c r="D73" s="53"/>
      <c r="E73" s="62"/>
      <c r="F73" s="53">
        <v>40.520000000000003</v>
      </c>
      <c r="G73" s="62">
        <v>33.72</v>
      </c>
      <c r="H73" s="53"/>
      <c r="I73" s="62"/>
      <c r="J73" s="53"/>
      <c r="K73" s="62"/>
      <c r="L73" s="53"/>
      <c r="M73" s="62"/>
      <c r="N73" s="35"/>
    </row>
    <row r="74" spans="1:14">
      <c r="A74" s="35"/>
      <c r="B74" s="106"/>
      <c r="C74" s="41">
        <v>68</v>
      </c>
      <c r="D74" s="53"/>
      <c r="E74" s="62"/>
      <c r="F74" s="53">
        <v>46.48</v>
      </c>
      <c r="G74" s="62">
        <v>33.979999999999997</v>
      </c>
      <c r="H74" s="53"/>
      <c r="I74" s="62"/>
      <c r="J74" s="53"/>
      <c r="K74" s="62"/>
      <c r="L74" s="53"/>
      <c r="M74" s="62"/>
      <c r="N74" s="35"/>
    </row>
    <row r="75" spans="1:14">
      <c r="A75" s="35"/>
      <c r="B75" s="106"/>
      <c r="C75" s="41">
        <v>69</v>
      </c>
      <c r="D75" s="53"/>
      <c r="E75" s="62"/>
      <c r="F75" s="53">
        <v>43.75</v>
      </c>
      <c r="G75" s="62">
        <v>31.06</v>
      </c>
      <c r="H75" s="53"/>
      <c r="I75" s="62"/>
      <c r="J75" s="53"/>
      <c r="K75" s="62"/>
      <c r="L75" s="53"/>
      <c r="M75" s="62"/>
      <c r="N75" s="35"/>
    </row>
    <row r="76" spans="1:14">
      <c r="A76" s="35"/>
      <c r="B76" s="106"/>
      <c r="C76" s="41">
        <v>70</v>
      </c>
      <c r="D76" s="53"/>
      <c r="E76" s="62"/>
      <c r="F76" s="53">
        <v>40.43</v>
      </c>
      <c r="G76" s="62">
        <v>34.94</v>
      </c>
      <c r="H76" s="53"/>
      <c r="I76" s="62"/>
      <c r="J76" s="53"/>
      <c r="K76" s="62"/>
      <c r="L76" s="53"/>
      <c r="M76" s="62"/>
      <c r="N76" s="35"/>
    </row>
    <row r="77" spans="1:14">
      <c r="A77" s="35"/>
      <c r="B77" s="106"/>
      <c r="C77" s="41">
        <v>71</v>
      </c>
      <c r="D77" s="53"/>
      <c r="E77" s="62"/>
      <c r="F77" s="53">
        <v>39.68</v>
      </c>
      <c r="G77" s="62">
        <v>34.369999999999997</v>
      </c>
      <c r="H77" s="53"/>
      <c r="I77" s="62"/>
      <c r="J77" s="53"/>
      <c r="K77" s="62"/>
      <c r="L77" s="53"/>
      <c r="M77" s="62"/>
      <c r="N77" s="35"/>
    </row>
    <row r="78" spans="1:14">
      <c r="A78" s="35"/>
      <c r="B78" s="106"/>
      <c r="C78" s="41">
        <v>72</v>
      </c>
      <c r="D78" s="53"/>
      <c r="E78" s="62"/>
      <c r="F78" s="53">
        <v>32.270000000000003</v>
      </c>
      <c r="G78" s="62">
        <v>34.69</v>
      </c>
      <c r="H78" s="53"/>
      <c r="I78" s="62"/>
      <c r="J78" s="53"/>
      <c r="K78" s="62"/>
      <c r="L78" s="53"/>
      <c r="M78" s="62"/>
      <c r="N78" s="35"/>
    </row>
    <row r="79" spans="1:14" ht="15" thickBot="1">
      <c r="A79" s="35"/>
      <c r="B79" s="107"/>
      <c r="C79" s="42">
        <v>73</v>
      </c>
      <c r="D79" s="54"/>
      <c r="E79" s="63"/>
      <c r="F79" s="54">
        <v>37.43</v>
      </c>
      <c r="G79" s="63">
        <v>33.22</v>
      </c>
      <c r="H79" s="54"/>
      <c r="I79" s="63"/>
      <c r="J79" s="54"/>
      <c r="K79" s="63"/>
      <c r="L79" s="54"/>
      <c r="M79" s="63"/>
      <c r="N79" s="35"/>
    </row>
    <row r="80" spans="1:14">
      <c r="A80" s="35"/>
      <c r="B80" s="105" t="s">
        <v>50</v>
      </c>
      <c r="C80" s="43" t="s">
        <v>36</v>
      </c>
      <c r="D80" s="55">
        <f>AVERAGE(D7:D79)</f>
        <v>16.315714285714282</v>
      </c>
      <c r="E80" s="64">
        <f t="shared" ref="E80:M80" si="0">AVERAGE(E7:E79)</f>
        <v>30.213174603174611</v>
      </c>
      <c r="F80" s="55">
        <f t="shared" si="0"/>
        <v>37.12958904109589</v>
      </c>
      <c r="G80" s="64">
        <f t="shared" si="0"/>
        <v>36.058082191780827</v>
      </c>
      <c r="H80" s="55">
        <f t="shared" si="0"/>
        <v>31.038730158730164</v>
      </c>
      <c r="I80" s="64">
        <f t="shared" si="0"/>
        <v>27.439523809523809</v>
      </c>
      <c r="J80" s="55">
        <f t="shared" si="0"/>
        <v>31.301111111111098</v>
      </c>
      <c r="K80" s="64">
        <f t="shared" si="0"/>
        <v>31.438730158730149</v>
      </c>
      <c r="L80" s="55">
        <f t="shared" si="0"/>
        <v>25.046825396825398</v>
      </c>
      <c r="M80" s="64">
        <f t="shared" si="0"/>
        <v>29.61095238095238</v>
      </c>
      <c r="N80" s="35"/>
    </row>
    <row r="81" spans="1:14" ht="29">
      <c r="A81" s="35"/>
      <c r="B81" s="106"/>
      <c r="C81" s="48" t="s">
        <v>37</v>
      </c>
      <c r="D81" s="56">
        <f>_xlfn.STDEV.S(D7:D79)</f>
        <v>2.0932469871729849</v>
      </c>
      <c r="E81" s="65">
        <f t="shared" ref="E81:M81" si="1">_xlfn.STDEV.S(E7:E79)</f>
        <v>1.080228209755258</v>
      </c>
      <c r="F81" s="56">
        <f t="shared" si="1"/>
        <v>5.6591080565256755</v>
      </c>
      <c r="G81" s="65">
        <f t="shared" si="1"/>
        <v>4.679142744828833</v>
      </c>
      <c r="H81" s="56">
        <f t="shared" si="1"/>
        <v>1.1975909852477797</v>
      </c>
      <c r="I81" s="65">
        <f t="shared" si="1"/>
        <v>4.1448850828739152</v>
      </c>
      <c r="J81" s="56">
        <f t="shared" si="1"/>
        <v>0.66036185366644051</v>
      </c>
      <c r="K81" s="65">
        <f t="shared" si="1"/>
        <v>1.3024783969027518</v>
      </c>
      <c r="L81" s="56">
        <f t="shared" si="1"/>
        <v>4.2363434573198715</v>
      </c>
      <c r="M81" s="65">
        <f t="shared" si="1"/>
        <v>2.4665750802941533</v>
      </c>
      <c r="N81" s="35"/>
    </row>
    <row r="82" spans="1:14" ht="29">
      <c r="A82" s="35"/>
      <c r="B82" s="106"/>
      <c r="C82" s="48" t="s">
        <v>44</v>
      </c>
      <c r="D82" s="56">
        <f>$J$2/(2^D80)</f>
        <v>48150.052869798994</v>
      </c>
      <c r="E82" s="65">
        <f t="shared" ref="E82:M82" si="2">$J$2/(2^E80)</f>
        <v>3.1553268221241701</v>
      </c>
      <c r="F82" s="56">
        <f t="shared" si="2"/>
        <v>2.6121381434568835E-2</v>
      </c>
      <c r="G82" s="65">
        <f t="shared" si="2"/>
        <v>5.4897408454402177E-2</v>
      </c>
      <c r="H82" s="56">
        <f t="shared" si="2"/>
        <v>1.7804400868136283</v>
      </c>
      <c r="I82" s="65">
        <f t="shared" si="2"/>
        <v>21.577266999264829</v>
      </c>
      <c r="J82" s="56">
        <f t="shared" si="2"/>
        <v>1.4843722508092208</v>
      </c>
      <c r="K82" s="65">
        <f t="shared" si="2"/>
        <v>1.3493212676313282</v>
      </c>
      <c r="L82" s="56">
        <f t="shared" si="2"/>
        <v>113.31057108766207</v>
      </c>
      <c r="M82" s="65">
        <f t="shared" si="2"/>
        <v>4.7899535527361969</v>
      </c>
      <c r="N82" s="35"/>
    </row>
    <row r="83" spans="1:14" ht="29">
      <c r="A83" s="35"/>
      <c r="B83" s="106"/>
      <c r="C83" s="48" t="s">
        <v>45</v>
      </c>
      <c r="D83" s="56">
        <f>LOG10(D82)</f>
        <v>4.6825967683255447</v>
      </c>
      <c r="E83" s="65">
        <f t="shared" ref="E83:M83" si="3">LOG10(E82)</f>
        <v>0.49904434922011087</v>
      </c>
      <c r="F83" s="56">
        <f t="shared" si="3"/>
        <v>-1.5830038590376279</v>
      </c>
      <c r="G83" s="65">
        <f t="shared" si="3"/>
        <v>-1.2604481568343882</v>
      </c>
      <c r="H83" s="56">
        <f t="shared" si="3"/>
        <v>0.25052736391084784</v>
      </c>
      <c r="I83" s="65">
        <f t="shared" si="3"/>
        <v>1.3339964356062104</v>
      </c>
      <c r="J83" s="56">
        <f t="shared" si="3"/>
        <v>0.17154282695330364</v>
      </c>
      <c r="K83" s="65">
        <f t="shared" si="3"/>
        <v>0.13011536564525997</v>
      </c>
      <c r="L83" s="56">
        <f t="shared" si="3"/>
        <v>2.0542704284060287</v>
      </c>
      <c r="M83" s="65">
        <f t="shared" si="3"/>
        <v>0.68033130216442339</v>
      </c>
      <c r="N83" s="35"/>
    </row>
    <row r="84" spans="1:14">
      <c r="A84" s="35"/>
      <c r="B84" s="106"/>
      <c r="C84" s="49" t="s">
        <v>46</v>
      </c>
      <c r="D84" s="56">
        <f>E83-D83</f>
        <v>-4.1835524191054336</v>
      </c>
      <c r="E84" s="65">
        <v>0</v>
      </c>
      <c r="F84" s="56">
        <f>E83-F83</f>
        <v>2.0820482082577385</v>
      </c>
      <c r="G84" s="65">
        <f>D83-G83</f>
        <v>5.9430449251599331</v>
      </c>
      <c r="H84" s="56">
        <f>E83-H83</f>
        <v>0.24851698530926303</v>
      </c>
      <c r="I84" s="65">
        <f>D83-I83</f>
        <v>3.3486003327193341</v>
      </c>
      <c r="J84" s="56">
        <f>D83-J83</f>
        <v>4.511053941372241</v>
      </c>
      <c r="K84" s="65">
        <f>E83-K83</f>
        <v>0.36892898357485093</v>
      </c>
      <c r="L84" s="56">
        <f>D83-L83</f>
        <v>2.628326339919516</v>
      </c>
      <c r="M84" s="65">
        <f>D83-M83</f>
        <v>4.0022654661611217</v>
      </c>
      <c r="N84" s="35"/>
    </row>
    <row r="85" spans="1:14">
      <c r="A85" s="35"/>
      <c r="B85" s="106"/>
      <c r="C85" s="49" t="s">
        <v>48</v>
      </c>
      <c r="D85" s="57">
        <f>D81/D80</f>
        <v>0.12829637431232727</v>
      </c>
      <c r="E85" s="66">
        <f t="shared" ref="E85:M85" si="4">E81/E80</f>
        <v>3.5753548706588228E-2</v>
      </c>
      <c r="F85" s="57">
        <f t="shared" si="4"/>
        <v>0.15241504693903407</v>
      </c>
      <c r="G85" s="66">
        <f t="shared" si="4"/>
        <v>0.1297668223157861</v>
      </c>
      <c r="H85" s="57">
        <f t="shared" si="4"/>
        <v>3.8583762258422714E-2</v>
      </c>
      <c r="I85" s="66">
        <f t="shared" si="4"/>
        <v>0.15105528476537533</v>
      </c>
      <c r="J85" s="57">
        <f t="shared" si="4"/>
        <v>2.1097073880934177E-2</v>
      </c>
      <c r="K85" s="66">
        <f t="shared" si="4"/>
        <v>4.1429103221621993E-2</v>
      </c>
      <c r="L85" s="57">
        <f t="shared" si="4"/>
        <v>0.16913694211549915</v>
      </c>
      <c r="M85" s="66">
        <f t="shared" si="4"/>
        <v>8.3299417342645454E-2</v>
      </c>
      <c r="N85" s="35"/>
    </row>
    <row r="86" spans="1:14">
      <c r="A86" s="35"/>
      <c r="B86" s="106"/>
      <c r="C86" s="49" t="s">
        <v>49</v>
      </c>
      <c r="D86" s="56">
        <f>ABS(D85*D84)</f>
        <v>0.53673460711679299</v>
      </c>
      <c r="E86" s="65">
        <f t="shared" ref="E86:M86" si="5">ABS(E85*E84)</f>
        <v>0</v>
      </c>
      <c r="F86" s="56">
        <f t="shared" si="5"/>
        <v>0.31733547539093498</v>
      </c>
      <c r="G86" s="65">
        <f t="shared" si="5"/>
        <v>0.77121005481796334</v>
      </c>
      <c r="H86" s="56">
        <f t="shared" si="5"/>
        <v>9.5887202783525357E-3</v>
      </c>
      <c r="I86" s="65">
        <f t="shared" si="5"/>
        <v>0.50582377682434965</v>
      </c>
      <c r="J86" s="56">
        <f t="shared" si="5"/>
        <v>9.5170038282009484E-2</v>
      </c>
      <c r="K86" s="65">
        <f t="shared" si="5"/>
        <v>1.5284396941970584E-2</v>
      </c>
      <c r="L86" s="56">
        <f t="shared" si="5"/>
        <v>0.44454708001560894</v>
      </c>
      <c r="M86" s="65">
        <f t="shared" si="5"/>
        <v>0.33338638138181276</v>
      </c>
      <c r="N86" s="35"/>
    </row>
    <row r="87" spans="1:14">
      <c r="A87" s="35"/>
      <c r="B87" s="106"/>
      <c r="C87" s="41" t="s">
        <v>47</v>
      </c>
      <c r="D87" s="56">
        <v>0.53700000000000003</v>
      </c>
      <c r="E87" s="65">
        <v>8.9999999999999993E-3</v>
      </c>
      <c r="F87" s="56">
        <f>F86</f>
        <v>0.31733547539093498</v>
      </c>
      <c r="G87" s="65">
        <f>G86+D86</f>
        <v>1.3079446619347563</v>
      </c>
      <c r="H87" s="56">
        <f>H86</f>
        <v>9.5887202783525357E-3</v>
      </c>
      <c r="I87" s="65">
        <f>D86+I86</f>
        <v>1.0425583839411425</v>
      </c>
      <c r="J87" s="56">
        <f>J86+D86</f>
        <v>0.63190464539880242</v>
      </c>
      <c r="K87" s="65">
        <f>K86</f>
        <v>1.5284396941970584E-2</v>
      </c>
      <c r="L87" s="56">
        <f>D86+L86</f>
        <v>0.98128168713240194</v>
      </c>
      <c r="M87" s="65">
        <f>M86+D86</f>
        <v>0.87012098849860575</v>
      </c>
      <c r="N87" s="35"/>
    </row>
    <row r="88" spans="1:14">
      <c r="A88" s="35"/>
      <c r="B88" s="106"/>
      <c r="C88" s="41" t="s">
        <v>38</v>
      </c>
      <c r="D88" s="58">
        <f t="shared" ref="D88:M88" si="6">COUNTIF(D7:D79, "&gt;30.21")</f>
        <v>0</v>
      </c>
      <c r="E88" s="41">
        <f t="shared" si="6"/>
        <v>36</v>
      </c>
      <c r="F88" s="58">
        <f t="shared" si="6"/>
        <v>71</v>
      </c>
      <c r="G88" s="41">
        <f t="shared" si="6"/>
        <v>70</v>
      </c>
      <c r="H88" s="58">
        <f t="shared" si="6"/>
        <v>58</v>
      </c>
      <c r="I88" s="41">
        <f t="shared" si="6"/>
        <v>13</v>
      </c>
      <c r="J88" s="58">
        <f t="shared" si="6"/>
        <v>62</v>
      </c>
      <c r="K88" s="41">
        <f t="shared" si="6"/>
        <v>59</v>
      </c>
      <c r="L88" s="58">
        <f t="shared" si="6"/>
        <v>9</v>
      </c>
      <c r="M88" s="41">
        <f t="shared" si="6"/>
        <v>43</v>
      </c>
      <c r="N88" s="35"/>
    </row>
    <row r="89" spans="1:14">
      <c r="A89" s="35"/>
      <c r="B89" s="106"/>
      <c r="C89" s="50" t="s">
        <v>39</v>
      </c>
      <c r="D89" s="58">
        <f t="shared" ref="D89:M89" si="7">COUNTIF(D8:D80, "&gt;0")</f>
        <v>63</v>
      </c>
      <c r="E89" s="41">
        <f t="shared" si="7"/>
        <v>63</v>
      </c>
      <c r="F89" s="58">
        <f t="shared" si="7"/>
        <v>73</v>
      </c>
      <c r="G89" s="41">
        <f t="shared" si="7"/>
        <v>73</v>
      </c>
      <c r="H89" s="58">
        <f t="shared" si="7"/>
        <v>63</v>
      </c>
      <c r="I89" s="41">
        <f t="shared" si="7"/>
        <v>63</v>
      </c>
      <c r="J89" s="58">
        <f t="shared" si="7"/>
        <v>63</v>
      </c>
      <c r="K89" s="41">
        <f t="shared" si="7"/>
        <v>63</v>
      </c>
      <c r="L89" s="58">
        <f t="shared" si="7"/>
        <v>63</v>
      </c>
      <c r="M89" s="41">
        <f t="shared" si="7"/>
        <v>63</v>
      </c>
      <c r="N89" s="35"/>
    </row>
    <row r="90" spans="1:14" ht="15" thickBot="1">
      <c r="A90" s="35"/>
      <c r="B90" s="107"/>
      <c r="C90" s="51" t="s">
        <v>43</v>
      </c>
      <c r="D90" s="59">
        <f>D88/D89</f>
        <v>0</v>
      </c>
      <c r="E90" s="67">
        <f t="shared" ref="E90:M90" si="8">E88/E89</f>
        <v>0.5714285714285714</v>
      </c>
      <c r="F90" s="59">
        <f t="shared" si="8"/>
        <v>0.9726027397260274</v>
      </c>
      <c r="G90" s="67">
        <f t="shared" si="8"/>
        <v>0.95890410958904104</v>
      </c>
      <c r="H90" s="59">
        <f t="shared" si="8"/>
        <v>0.92063492063492058</v>
      </c>
      <c r="I90" s="67">
        <f t="shared" si="8"/>
        <v>0.20634920634920634</v>
      </c>
      <c r="J90" s="59">
        <f t="shared" si="8"/>
        <v>0.98412698412698407</v>
      </c>
      <c r="K90" s="67">
        <f t="shared" si="8"/>
        <v>0.93650793650793651</v>
      </c>
      <c r="L90" s="59">
        <f t="shared" si="8"/>
        <v>0.14285714285714285</v>
      </c>
      <c r="M90" s="67">
        <f t="shared" si="8"/>
        <v>0.68253968253968256</v>
      </c>
      <c r="N90" s="35"/>
    </row>
    <row r="91" spans="1:14" ht="15" thickBot="1">
      <c r="A91" s="35"/>
      <c r="B91" s="103" t="s">
        <v>35</v>
      </c>
      <c r="C91" s="104"/>
      <c r="D91" s="60" t="s">
        <v>17</v>
      </c>
      <c r="E91" s="68" t="s">
        <v>16</v>
      </c>
      <c r="F91" s="60" t="s">
        <v>18</v>
      </c>
      <c r="G91" s="68" t="s">
        <v>19</v>
      </c>
      <c r="H91" s="60" t="s">
        <v>20</v>
      </c>
      <c r="I91" s="68" t="s">
        <v>21</v>
      </c>
      <c r="J91" s="60" t="s">
        <v>29</v>
      </c>
      <c r="K91" s="68" t="s">
        <v>22</v>
      </c>
      <c r="L91" s="60" t="s">
        <v>23</v>
      </c>
      <c r="M91" s="68" t="s">
        <v>24</v>
      </c>
      <c r="N91" s="35"/>
    </row>
    <row r="92" spans="1:14">
      <c r="A92" s="35"/>
      <c r="B92" s="35"/>
      <c r="C92" s="35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35"/>
    </row>
    <row r="93" spans="1:14">
      <c r="A93" s="35"/>
      <c r="B93" s="35"/>
      <c r="C93" s="35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35"/>
    </row>
    <row r="94" spans="1:14">
      <c r="A94" s="35"/>
      <c r="B94" s="35"/>
      <c r="C94" s="35"/>
      <c r="D94" s="44"/>
      <c r="E94" s="44"/>
      <c r="F94" s="35"/>
      <c r="G94" s="44"/>
      <c r="H94" s="44"/>
      <c r="I94" s="44"/>
      <c r="J94" s="44"/>
      <c r="K94" s="44"/>
      <c r="L94" s="44"/>
      <c r="M94" s="44"/>
      <c r="N94" s="35"/>
    </row>
    <row r="95" spans="1:14">
      <c r="A95" s="35"/>
      <c r="B95" s="35"/>
      <c r="C95" s="35"/>
      <c r="D95" s="44"/>
      <c r="E95" s="44"/>
      <c r="F95" s="35"/>
      <c r="G95" s="44"/>
      <c r="H95" s="44"/>
      <c r="I95" s="44"/>
      <c r="J95" s="44"/>
      <c r="K95" s="44"/>
      <c r="L95" s="44"/>
      <c r="M95" s="44"/>
      <c r="N95" s="35"/>
    </row>
    <row r="96" spans="1:14">
      <c r="A96" s="35"/>
      <c r="B96" s="35"/>
      <c r="C96" s="35"/>
      <c r="D96" s="44"/>
      <c r="E96" s="44"/>
      <c r="F96" s="35"/>
      <c r="G96" s="44"/>
      <c r="H96" s="44"/>
      <c r="I96" s="44"/>
      <c r="J96" s="44"/>
      <c r="K96" s="44"/>
      <c r="L96" s="44"/>
      <c r="M96" s="44"/>
      <c r="N96" s="35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68" spans="6:6">
      <c r="F168"/>
    </row>
    <row r="169" spans="6:6">
      <c r="F169"/>
    </row>
    <row r="170" spans="6:6">
      <c r="F170"/>
    </row>
    <row r="171" spans="6:6">
      <c r="F171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1" spans="6:6">
      <c r="F181"/>
    </row>
    <row r="182" spans="6:6">
      <c r="F182"/>
    </row>
    <row r="185" spans="6:6">
      <c r="F185"/>
    </row>
    <row r="187" spans="6:6">
      <c r="F187"/>
    </row>
  </sheetData>
  <mergeCells count="5">
    <mergeCell ref="B91:C91"/>
    <mergeCell ref="B80:B90"/>
    <mergeCell ref="B7:B79"/>
    <mergeCell ref="B5:B6"/>
    <mergeCell ref="B4:C4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hydrophila 23211 Cali Curve</vt:lpstr>
      <vt:lpstr>qRT PCR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 *</dc:creator>
  <cp:lastModifiedBy>Lee, Sang *</cp:lastModifiedBy>
  <dcterms:created xsi:type="dcterms:W3CDTF">2023-02-22T19:47:23Z</dcterms:created>
  <dcterms:modified xsi:type="dcterms:W3CDTF">2023-03-28T09:02:47Z</dcterms:modified>
</cp:coreProperties>
</file>