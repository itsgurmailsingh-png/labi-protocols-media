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F-Manuscripts\C-submitted\Compound screen\D-last revision\E-Supplementary data\"/>
    </mc:Choice>
  </mc:AlternateContent>
  <xr:revisionPtr revIDLastSave="0" documentId="13_ncr:1_{E3734B5F-FF73-47B9-AA8B-8360A455F712}" xr6:coauthVersionLast="47" xr6:coauthVersionMax="47" xr10:uidLastSave="{00000000-0000-0000-0000-000000000000}"/>
  <bookViews>
    <workbookView xWindow="-120" yWindow="-120" windowWidth="29040" windowHeight="17640" activeTab="8" xr2:uid="{B63A0775-11A9-4144-9301-12E4B7228E15}"/>
  </bookViews>
  <sheets>
    <sheet name="S3A Data" sheetId="49" r:id="rId1"/>
    <sheet name="S3B Data" sheetId="42" r:id="rId2"/>
    <sheet name="S3C Data" sheetId="43" r:id="rId3"/>
    <sheet name="S3D Data" sheetId="44" r:id="rId4"/>
    <sheet name="S3E Data" sheetId="45" r:id="rId5"/>
    <sheet name="S3F Data" sheetId="50" r:id="rId6"/>
    <sheet name="S3G Data" sheetId="46" r:id="rId7"/>
    <sheet name="S3H Data" sheetId="51" r:id="rId8"/>
    <sheet name="S3I Data" sheetId="52" r:id="rId9"/>
  </sheets>
  <definedNames>
    <definedName name="_xlnm._FilterDatabase" localSheetId="5">'S3F Data'!$A$2:$I$176</definedName>
    <definedName name="_xlnm._FilterDatabase" localSheetId="7" hidden="1">'S3H Data'!$A$2:$A$277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2" l="1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G3" i="52"/>
  <c r="G4" i="52"/>
  <c r="G5" i="52"/>
  <c r="G6" i="52"/>
  <c r="G7" i="52"/>
  <c r="G8" i="52"/>
  <c r="G9" i="52"/>
  <c r="G10" i="52"/>
  <c r="G11" i="52"/>
  <c r="G12" i="52"/>
  <c r="G13" i="52"/>
  <c r="G14" i="52"/>
  <c r="G15" i="52"/>
  <c r="G16" i="52"/>
  <c r="G17" i="52"/>
  <c r="M155" i="51"/>
  <c r="M3" i="51"/>
  <c r="M4" i="51"/>
  <c r="M5" i="51"/>
  <c r="M6" i="51"/>
  <c r="M7" i="51"/>
  <c r="M8" i="51"/>
  <c r="M9" i="51"/>
  <c r="M10" i="51"/>
  <c r="M11" i="51"/>
  <c r="M12" i="51"/>
  <c r="M13" i="51"/>
  <c r="M14" i="51"/>
  <c r="M15" i="51"/>
  <c r="M16" i="51"/>
  <c r="M17" i="51"/>
  <c r="M18" i="51"/>
  <c r="M19" i="51"/>
  <c r="M20" i="51"/>
  <c r="M21" i="51"/>
  <c r="M22" i="51"/>
  <c r="M23" i="51"/>
  <c r="M24" i="51"/>
  <c r="M25" i="51"/>
  <c r="M26" i="51"/>
  <c r="M27" i="51"/>
  <c r="M28" i="51"/>
  <c r="M29" i="51"/>
  <c r="M30" i="51"/>
  <c r="M31" i="51"/>
  <c r="M32" i="51"/>
  <c r="M33" i="51"/>
  <c r="M34" i="51"/>
  <c r="M35" i="51"/>
  <c r="M36" i="51"/>
  <c r="M37" i="51"/>
  <c r="M38" i="51"/>
  <c r="M39" i="51"/>
  <c r="M40" i="51"/>
  <c r="M41" i="51"/>
  <c r="M42" i="51"/>
  <c r="M43" i="51"/>
  <c r="M44" i="51"/>
  <c r="M45" i="51"/>
  <c r="M46" i="51"/>
  <c r="M47" i="51"/>
  <c r="M48" i="51"/>
  <c r="M49" i="51"/>
  <c r="M50" i="51"/>
  <c r="M51" i="51"/>
  <c r="M52" i="51"/>
  <c r="M53" i="51"/>
  <c r="M54" i="51"/>
  <c r="M55" i="51"/>
  <c r="M56" i="51"/>
  <c r="M57" i="51"/>
  <c r="M58" i="51"/>
  <c r="M59" i="51"/>
  <c r="M60" i="51"/>
  <c r="M61" i="51"/>
  <c r="M62" i="51"/>
  <c r="M63" i="51"/>
  <c r="M64" i="51"/>
  <c r="M65" i="51"/>
  <c r="M66" i="51"/>
  <c r="M67" i="51"/>
  <c r="M68" i="51"/>
  <c r="M69" i="51"/>
  <c r="M70" i="51"/>
  <c r="M71" i="51"/>
  <c r="M72" i="51"/>
  <c r="M73" i="51"/>
  <c r="M74" i="51"/>
  <c r="M75" i="51"/>
  <c r="M76" i="51"/>
  <c r="M77" i="51"/>
  <c r="M78" i="51"/>
  <c r="M79" i="51"/>
  <c r="M80" i="51"/>
  <c r="M81" i="51"/>
  <c r="M82" i="51"/>
  <c r="M83" i="51"/>
  <c r="M84" i="51"/>
  <c r="M85" i="51"/>
  <c r="M86" i="51"/>
  <c r="M87" i="51"/>
  <c r="M88" i="51"/>
  <c r="M89" i="51"/>
  <c r="M90" i="51"/>
  <c r="M91" i="51"/>
  <c r="M92" i="51"/>
  <c r="M93" i="51"/>
  <c r="M94" i="51"/>
  <c r="M95" i="51"/>
  <c r="M96" i="51"/>
  <c r="M97" i="51"/>
  <c r="M98" i="51"/>
  <c r="M99" i="51"/>
  <c r="M100" i="51"/>
  <c r="M101" i="51"/>
  <c r="M102" i="51"/>
  <c r="M103" i="51"/>
  <c r="M104" i="51"/>
  <c r="M105" i="51"/>
  <c r="M106" i="51"/>
  <c r="M107" i="51"/>
  <c r="M108" i="51"/>
  <c r="M109" i="51"/>
  <c r="M110" i="51"/>
  <c r="M111" i="51"/>
  <c r="M112" i="51"/>
  <c r="M113" i="51"/>
  <c r="M114" i="51"/>
  <c r="M115" i="51"/>
  <c r="M116" i="51"/>
  <c r="M117" i="51"/>
  <c r="M118" i="51"/>
  <c r="M119" i="51"/>
  <c r="M120" i="51"/>
  <c r="M121" i="51"/>
  <c r="M122" i="51"/>
  <c r="M123" i="51"/>
  <c r="M124" i="51"/>
  <c r="M125" i="51"/>
  <c r="M126" i="51"/>
  <c r="M127" i="51"/>
  <c r="M128" i="51"/>
  <c r="M129" i="51"/>
  <c r="M130" i="51"/>
  <c r="M131" i="51"/>
  <c r="M132" i="51"/>
  <c r="M133" i="51"/>
  <c r="M134" i="51"/>
  <c r="M135" i="51"/>
  <c r="M136" i="51"/>
  <c r="M137" i="51"/>
  <c r="M138" i="51"/>
  <c r="M139" i="51"/>
  <c r="M140" i="51"/>
  <c r="M141" i="51"/>
  <c r="M142" i="51"/>
  <c r="M143" i="51"/>
  <c r="M144" i="51"/>
  <c r="M145" i="51"/>
  <c r="M146" i="51"/>
  <c r="M147" i="51"/>
  <c r="M148" i="51"/>
  <c r="M149" i="51"/>
  <c r="M150" i="51"/>
  <c r="M151" i="51"/>
  <c r="M152" i="51"/>
  <c r="M153" i="51"/>
  <c r="M154" i="51"/>
  <c r="M156" i="51"/>
  <c r="M157" i="51"/>
  <c r="M158" i="51"/>
  <c r="M159" i="51"/>
  <c r="M160" i="51"/>
  <c r="M161" i="51"/>
  <c r="M162" i="51"/>
  <c r="M163" i="51"/>
  <c r="M164" i="51"/>
  <c r="M165" i="51"/>
  <c r="M166" i="51"/>
  <c r="M167" i="51"/>
  <c r="M168" i="51"/>
  <c r="M169" i="51"/>
  <c r="M170" i="51"/>
  <c r="M171" i="51"/>
  <c r="M172" i="51"/>
  <c r="M173" i="51"/>
  <c r="M174" i="51"/>
  <c r="M175" i="51"/>
  <c r="M176" i="51"/>
  <c r="M177" i="51"/>
  <c r="M178" i="51"/>
  <c r="M179" i="51"/>
  <c r="M180" i="51"/>
  <c r="M181" i="51"/>
  <c r="M182" i="51"/>
  <c r="M183" i="51"/>
  <c r="M184" i="51"/>
  <c r="M185" i="51"/>
  <c r="M186" i="51"/>
  <c r="M187" i="51"/>
  <c r="M188" i="51"/>
  <c r="M189" i="51"/>
  <c r="M190" i="51"/>
  <c r="M191" i="51"/>
  <c r="M192" i="51"/>
  <c r="M193" i="51"/>
  <c r="M194" i="51"/>
  <c r="M195" i="51"/>
  <c r="M196" i="51"/>
  <c r="M197" i="51"/>
  <c r="M198" i="51"/>
  <c r="M199" i="51"/>
  <c r="M200" i="51"/>
  <c r="M201" i="51"/>
  <c r="M202" i="51"/>
  <c r="M203" i="51"/>
  <c r="M204" i="51"/>
  <c r="M205" i="51"/>
  <c r="M206" i="51"/>
  <c r="M207" i="51"/>
  <c r="M208" i="51"/>
  <c r="M209" i="51"/>
  <c r="M210" i="51"/>
  <c r="M211" i="51"/>
  <c r="M212" i="51"/>
  <c r="M213" i="51"/>
  <c r="M214" i="51"/>
  <c r="M215" i="51"/>
  <c r="M216" i="51"/>
  <c r="M217" i="51"/>
  <c r="M218" i="51"/>
  <c r="M219" i="51"/>
  <c r="M220" i="51"/>
  <c r="M221" i="51"/>
  <c r="M222" i="51"/>
  <c r="M223" i="51"/>
  <c r="M224" i="51"/>
  <c r="M225" i="51"/>
  <c r="M226" i="51"/>
  <c r="M227" i="51"/>
  <c r="M228" i="51"/>
  <c r="M229" i="51"/>
  <c r="M230" i="51"/>
  <c r="M231" i="51"/>
  <c r="M232" i="51"/>
  <c r="M233" i="51"/>
  <c r="M234" i="51"/>
  <c r="M235" i="51"/>
  <c r="M236" i="51"/>
  <c r="M237" i="51"/>
  <c r="M238" i="51"/>
  <c r="M239" i="51"/>
  <c r="M240" i="51"/>
  <c r="M241" i="51"/>
  <c r="M242" i="51"/>
  <c r="M243" i="51"/>
  <c r="M244" i="51"/>
  <c r="M245" i="51"/>
  <c r="M246" i="51"/>
  <c r="M247" i="51"/>
  <c r="M248" i="51"/>
  <c r="M249" i="51"/>
  <c r="M250" i="51"/>
  <c r="M251" i="51"/>
  <c r="M252" i="51"/>
  <c r="M253" i="51"/>
  <c r="M254" i="51"/>
  <c r="M255" i="51"/>
  <c r="M256" i="51"/>
  <c r="M257" i="51"/>
  <c r="M258" i="51"/>
  <c r="M259" i="51"/>
  <c r="M260" i="51"/>
  <c r="M261" i="51"/>
  <c r="M262" i="51"/>
  <c r="M263" i="51"/>
  <c r="M264" i="51"/>
  <c r="M265" i="51"/>
  <c r="M266" i="51"/>
  <c r="M267" i="51"/>
  <c r="M268" i="51"/>
  <c r="M269" i="51"/>
  <c r="M270" i="51"/>
  <c r="M271" i="51"/>
  <c r="M272" i="51"/>
  <c r="M273" i="51"/>
  <c r="M274" i="51"/>
  <c r="M275" i="51"/>
  <c r="M276" i="51"/>
  <c r="M277" i="51"/>
  <c r="L3" i="51"/>
  <c r="L4" i="51"/>
  <c r="L5" i="51"/>
  <c r="L6" i="51"/>
  <c r="L7" i="51"/>
  <c r="L8" i="51"/>
  <c r="L9" i="51"/>
  <c r="L10" i="51"/>
  <c r="L11" i="51"/>
  <c r="L12" i="51"/>
  <c r="L13" i="51"/>
  <c r="L14" i="51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33" i="51"/>
  <c r="L34" i="51"/>
  <c r="L35" i="51"/>
  <c r="L36" i="51"/>
  <c r="L37" i="51"/>
  <c r="L38" i="51"/>
  <c r="L39" i="51"/>
  <c r="L40" i="51"/>
  <c r="L41" i="51"/>
  <c r="L42" i="51"/>
  <c r="L43" i="51"/>
  <c r="L44" i="51"/>
  <c r="L45" i="51"/>
  <c r="L46" i="51"/>
  <c r="L47" i="51"/>
  <c r="L48" i="51"/>
  <c r="L49" i="51"/>
  <c r="L50" i="51"/>
  <c r="L51" i="51"/>
  <c r="L52" i="51"/>
  <c r="L53" i="51"/>
  <c r="L54" i="51"/>
  <c r="L55" i="51"/>
  <c r="L56" i="51"/>
  <c r="L57" i="51"/>
  <c r="L58" i="51"/>
  <c r="L59" i="51"/>
  <c r="L60" i="51"/>
  <c r="L61" i="51"/>
  <c r="L62" i="51"/>
  <c r="L63" i="51"/>
  <c r="L64" i="51"/>
  <c r="L65" i="51"/>
  <c r="L66" i="51"/>
  <c r="L67" i="51"/>
  <c r="L68" i="51"/>
  <c r="L69" i="51"/>
  <c r="L70" i="51"/>
  <c r="L71" i="51"/>
  <c r="L72" i="51"/>
  <c r="L73" i="51"/>
  <c r="L74" i="51"/>
  <c r="L75" i="51"/>
  <c r="L76" i="51"/>
  <c r="L77" i="51"/>
  <c r="L78" i="51"/>
  <c r="L79" i="51"/>
  <c r="L80" i="51"/>
  <c r="L81" i="51"/>
  <c r="L82" i="51"/>
  <c r="L83" i="51"/>
  <c r="L84" i="51"/>
  <c r="L85" i="51"/>
  <c r="L86" i="51"/>
  <c r="L87" i="51"/>
  <c r="L88" i="51"/>
  <c r="L89" i="51"/>
  <c r="L90" i="51"/>
  <c r="L91" i="51"/>
  <c r="L92" i="51"/>
  <c r="L93" i="51"/>
  <c r="L94" i="51"/>
  <c r="L95" i="51"/>
  <c r="L96" i="51"/>
  <c r="L97" i="51"/>
  <c r="L98" i="51"/>
  <c r="L99" i="51"/>
  <c r="L100" i="51"/>
  <c r="L101" i="51"/>
  <c r="L102" i="51"/>
  <c r="L103" i="51"/>
  <c r="L104" i="51"/>
  <c r="L105" i="51"/>
  <c r="L106" i="51"/>
  <c r="L107" i="51"/>
  <c r="L108" i="51"/>
  <c r="L109" i="51"/>
  <c r="L110" i="51"/>
  <c r="L111" i="51"/>
  <c r="L112" i="51"/>
  <c r="L113" i="51"/>
  <c r="L114" i="51"/>
  <c r="L115" i="51"/>
  <c r="L116" i="51"/>
  <c r="L117" i="51"/>
  <c r="L118" i="51"/>
  <c r="L119" i="51"/>
  <c r="L120" i="51"/>
  <c r="L121" i="51"/>
  <c r="L122" i="51"/>
  <c r="L123" i="51"/>
  <c r="L124" i="51"/>
  <c r="L125" i="51"/>
  <c r="L126" i="51"/>
  <c r="L127" i="51"/>
  <c r="L128" i="51"/>
  <c r="L129" i="51"/>
  <c r="L130" i="51"/>
  <c r="L131" i="51"/>
  <c r="L132" i="51"/>
  <c r="L133" i="51"/>
  <c r="L134" i="51"/>
  <c r="L135" i="51"/>
  <c r="L136" i="51"/>
  <c r="L137" i="51"/>
  <c r="L138" i="51"/>
  <c r="L139" i="51"/>
  <c r="L140" i="51"/>
  <c r="L141" i="51"/>
  <c r="L142" i="51"/>
  <c r="L143" i="51"/>
  <c r="L144" i="51"/>
  <c r="L145" i="51"/>
  <c r="L146" i="51"/>
  <c r="L147" i="51"/>
  <c r="L148" i="51"/>
  <c r="L149" i="51"/>
  <c r="L150" i="51"/>
  <c r="L151" i="51"/>
  <c r="L152" i="51"/>
  <c r="L153" i="51"/>
  <c r="L154" i="51"/>
  <c r="L155" i="51"/>
  <c r="L156" i="51"/>
  <c r="L157" i="51"/>
  <c r="L158" i="51"/>
  <c r="L159" i="51"/>
  <c r="L160" i="51"/>
  <c r="L161" i="51"/>
  <c r="L162" i="51"/>
  <c r="L163" i="51"/>
  <c r="L164" i="51"/>
  <c r="L165" i="51"/>
  <c r="L166" i="51"/>
  <c r="L167" i="51"/>
  <c r="L168" i="51"/>
  <c r="L169" i="51"/>
  <c r="L170" i="51"/>
  <c r="L171" i="51"/>
  <c r="L172" i="51"/>
  <c r="L173" i="51"/>
  <c r="L174" i="51"/>
  <c r="L175" i="51"/>
  <c r="L176" i="51"/>
  <c r="L177" i="51"/>
  <c r="L178" i="51"/>
  <c r="L179" i="51"/>
  <c r="L180" i="51"/>
  <c r="L181" i="51"/>
  <c r="L182" i="51"/>
  <c r="L183" i="51"/>
  <c r="L184" i="51"/>
  <c r="L185" i="51"/>
  <c r="L186" i="51"/>
  <c r="L187" i="51"/>
  <c r="L188" i="51"/>
  <c r="L189" i="51"/>
  <c r="L190" i="51"/>
  <c r="L191" i="51"/>
  <c r="L192" i="51"/>
  <c r="L193" i="51"/>
  <c r="L194" i="51"/>
  <c r="L195" i="51"/>
  <c r="L196" i="51"/>
  <c r="L197" i="51"/>
  <c r="L198" i="51"/>
  <c r="L199" i="51"/>
  <c r="L200" i="51"/>
  <c r="L201" i="51"/>
  <c r="L202" i="51"/>
  <c r="L203" i="51"/>
  <c r="L204" i="51"/>
  <c r="L205" i="51"/>
  <c r="L206" i="51"/>
  <c r="L207" i="51"/>
  <c r="L208" i="51"/>
  <c r="L209" i="51"/>
  <c r="L210" i="51"/>
  <c r="L211" i="51"/>
  <c r="L212" i="51"/>
  <c r="L213" i="51"/>
  <c r="L214" i="51"/>
  <c r="L215" i="51"/>
  <c r="L216" i="51"/>
  <c r="L217" i="51"/>
  <c r="L218" i="51"/>
  <c r="L219" i="51"/>
  <c r="L220" i="51"/>
  <c r="L221" i="51"/>
  <c r="L222" i="51"/>
  <c r="L223" i="51"/>
  <c r="L224" i="51"/>
  <c r="L225" i="51"/>
  <c r="L226" i="51"/>
  <c r="L227" i="51"/>
  <c r="L228" i="51"/>
  <c r="L229" i="51"/>
  <c r="L230" i="51"/>
  <c r="L231" i="51"/>
  <c r="L232" i="51"/>
  <c r="L233" i="51"/>
  <c r="L234" i="51"/>
  <c r="L235" i="51"/>
  <c r="L236" i="51"/>
  <c r="L237" i="51"/>
  <c r="L238" i="51"/>
  <c r="L239" i="51"/>
  <c r="L240" i="51"/>
  <c r="L241" i="51"/>
  <c r="L242" i="51"/>
  <c r="L243" i="51"/>
  <c r="L244" i="51"/>
  <c r="L245" i="51"/>
  <c r="L246" i="51"/>
  <c r="L247" i="51"/>
  <c r="L248" i="51"/>
  <c r="L249" i="51"/>
  <c r="L250" i="51"/>
  <c r="L251" i="51"/>
  <c r="L252" i="51"/>
  <c r="L253" i="51"/>
  <c r="L254" i="51"/>
  <c r="L255" i="51"/>
  <c r="L256" i="51"/>
  <c r="L257" i="51"/>
  <c r="L258" i="51"/>
  <c r="L259" i="51"/>
  <c r="L260" i="51"/>
  <c r="L261" i="51"/>
  <c r="L262" i="51"/>
  <c r="L263" i="51"/>
  <c r="L264" i="51"/>
  <c r="L265" i="51"/>
  <c r="L266" i="51"/>
  <c r="L267" i="51"/>
  <c r="L268" i="51"/>
  <c r="L269" i="51"/>
  <c r="L270" i="51"/>
  <c r="L271" i="51"/>
  <c r="L272" i="51"/>
  <c r="L273" i="51"/>
  <c r="L274" i="51"/>
  <c r="L275" i="51"/>
  <c r="L276" i="51"/>
  <c r="L277" i="51"/>
  <c r="H3" i="51"/>
  <c r="H4" i="51"/>
  <c r="H5" i="51"/>
  <c r="H6" i="51"/>
  <c r="H7" i="51"/>
  <c r="H8" i="51"/>
  <c r="H9" i="51"/>
  <c r="H10" i="51"/>
  <c r="H11" i="51"/>
  <c r="H12" i="51"/>
  <c r="H13" i="51"/>
  <c r="H14" i="51"/>
  <c r="H15" i="51"/>
  <c r="H16" i="51"/>
  <c r="H17" i="51"/>
  <c r="H18" i="51"/>
  <c r="H19" i="51"/>
  <c r="H20" i="51"/>
  <c r="H21" i="51"/>
  <c r="H22" i="51"/>
  <c r="H23" i="51"/>
  <c r="H24" i="51"/>
  <c r="H25" i="51"/>
  <c r="H26" i="51"/>
  <c r="H27" i="51"/>
  <c r="H28" i="51"/>
  <c r="H29" i="51"/>
  <c r="H30" i="51"/>
  <c r="H31" i="51"/>
  <c r="H32" i="51"/>
  <c r="H33" i="51"/>
  <c r="H34" i="51"/>
  <c r="H35" i="51"/>
  <c r="H36" i="51"/>
  <c r="H37" i="51"/>
  <c r="H38" i="51"/>
  <c r="H39" i="51"/>
  <c r="H40" i="51"/>
  <c r="H41" i="51"/>
  <c r="H42" i="51"/>
  <c r="H43" i="51"/>
  <c r="H44" i="51"/>
  <c r="H45" i="51"/>
  <c r="H46" i="51"/>
  <c r="H47" i="51"/>
  <c r="H48" i="51"/>
  <c r="H49" i="51"/>
  <c r="H50" i="51"/>
  <c r="H51" i="51"/>
  <c r="H52" i="51"/>
  <c r="H53" i="51"/>
  <c r="H54" i="51"/>
  <c r="H55" i="51"/>
  <c r="H56" i="51"/>
  <c r="H57" i="51"/>
  <c r="H58" i="51"/>
  <c r="H59" i="51"/>
  <c r="H60" i="51"/>
  <c r="H61" i="51"/>
  <c r="H62" i="51"/>
  <c r="H63" i="51"/>
  <c r="H64" i="51"/>
  <c r="H65" i="51"/>
  <c r="H66" i="51"/>
  <c r="H67" i="51"/>
  <c r="H68" i="51"/>
  <c r="H69" i="51"/>
  <c r="H70" i="51"/>
  <c r="H71" i="51"/>
  <c r="H72" i="51"/>
  <c r="H73" i="51"/>
  <c r="H74" i="51"/>
  <c r="H75" i="51"/>
  <c r="H76" i="51"/>
  <c r="H77" i="51"/>
  <c r="H78" i="51"/>
  <c r="H79" i="51"/>
  <c r="H80" i="51"/>
  <c r="H81" i="51"/>
  <c r="H82" i="51"/>
  <c r="H83" i="51"/>
  <c r="H84" i="51"/>
  <c r="H85" i="51"/>
  <c r="H86" i="51"/>
  <c r="H87" i="51"/>
  <c r="H88" i="51"/>
  <c r="H89" i="51"/>
  <c r="H90" i="51"/>
  <c r="H91" i="51"/>
  <c r="H92" i="51"/>
  <c r="H93" i="51"/>
  <c r="H94" i="51"/>
  <c r="H95" i="51"/>
  <c r="H96" i="51"/>
  <c r="H97" i="51"/>
  <c r="H98" i="51"/>
  <c r="H99" i="51"/>
  <c r="H100" i="51"/>
  <c r="H101" i="51"/>
  <c r="H102" i="51"/>
  <c r="H103" i="51"/>
  <c r="H104" i="51"/>
  <c r="H105" i="51"/>
  <c r="H106" i="51"/>
  <c r="H107" i="51"/>
  <c r="H108" i="51"/>
  <c r="H109" i="51"/>
  <c r="H110" i="51"/>
  <c r="H111" i="51"/>
  <c r="H112" i="51"/>
  <c r="H113" i="51"/>
  <c r="H114" i="51"/>
  <c r="H115" i="51"/>
  <c r="H116" i="51"/>
  <c r="H117" i="51"/>
  <c r="H118" i="51"/>
  <c r="H119" i="51"/>
  <c r="H120" i="51"/>
  <c r="H121" i="51"/>
  <c r="H122" i="51"/>
  <c r="H123" i="51"/>
  <c r="H124" i="51"/>
  <c r="H125" i="51"/>
  <c r="H126" i="51"/>
  <c r="H127" i="51"/>
  <c r="H128" i="51"/>
  <c r="H129" i="51"/>
  <c r="H130" i="51"/>
  <c r="H131" i="51"/>
  <c r="H132" i="51"/>
  <c r="H133" i="51"/>
  <c r="H134" i="51"/>
  <c r="H135" i="51"/>
  <c r="H136" i="51"/>
  <c r="H137" i="51"/>
  <c r="H138" i="51"/>
  <c r="H139" i="51"/>
  <c r="H140" i="51"/>
  <c r="H141" i="51"/>
  <c r="H142" i="51"/>
  <c r="H143" i="51"/>
  <c r="H144" i="51"/>
  <c r="H145" i="51"/>
  <c r="H146" i="51"/>
  <c r="H147" i="51"/>
  <c r="H148" i="51"/>
  <c r="H149" i="51"/>
  <c r="H150" i="51"/>
  <c r="H151" i="51"/>
  <c r="H152" i="51"/>
  <c r="H153" i="51"/>
  <c r="H154" i="51"/>
  <c r="H155" i="51"/>
  <c r="H156" i="51"/>
  <c r="H157" i="51"/>
  <c r="H158" i="51"/>
  <c r="H159" i="51"/>
  <c r="H160" i="51"/>
  <c r="H161" i="51"/>
  <c r="H162" i="51"/>
  <c r="H163" i="51"/>
  <c r="H164" i="51"/>
  <c r="H165" i="51"/>
  <c r="H166" i="51"/>
  <c r="H167" i="51"/>
  <c r="H168" i="51"/>
  <c r="H169" i="51"/>
  <c r="H170" i="51"/>
  <c r="H171" i="51"/>
  <c r="H172" i="51"/>
  <c r="H173" i="51"/>
  <c r="H174" i="51"/>
  <c r="H175" i="51"/>
  <c r="H176" i="51"/>
  <c r="H177" i="51"/>
  <c r="H178" i="51"/>
  <c r="H179" i="51"/>
  <c r="H180" i="51"/>
  <c r="H181" i="51"/>
  <c r="H182" i="51"/>
  <c r="H183" i="51"/>
  <c r="H184" i="51"/>
  <c r="H185" i="51"/>
  <c r="H186" i="51"/>
  <c r="H187" i="51"/>
  <c r="H188" i="51"/>
  <c r="H189" i="51"/>
  <c r="H190" i="51"/>
  <c r="H191" i="51"/>
  <c r="H192" i="51"/>
  <c r="H193" i="51"/>
  <c r="H194" i="51"/>
  <c r="H195" i="51"/>
  <c r="H196" i="51"/>
  <c r="H197" i="51"/>
  <c r="H198" i="51"/>
  <c r="H199" i="51"/>
  <c r="H200" i="51"/>
  <c r="H201" i="51"/>
  <c r="H202" i="51"/>
  <c r="H203" i="51"/>
  <c r="H204" i="51"/>
  <c r="H205" i="51"/>
  <c r="H206" i="51"/>
  <c r="H207" i="51"/>
  <c r="H208" i="51"/>
  <c r="H209" i="51"/>
  <c r="H210" i="51"/>
  <c r="H211" i="51"/>
  <c r="H212" i="51"/>
  <c r="H213" i="51"/>
  <c r="H214" i="51"/>
  <c r="H215" i="51"/>
  <c r="H216" i="51"/>
  <c r="H217" i="51"/>
  <c r="H218" i="51"/>
  <c r="H219" i="51"/>
  <c r="H220" i="51"/>
  <c r="H221" i="51"/>
  <c r="H222" i="51"/>
  <c r="H223" i="51"/>
  <c r="H224" i="51"/>
  <c r="H225" i="51"/>
  <c r="H226" i="51"/>
  <c r="H227" i="51"/>
  <c r="H228" i="51"/>
  <c r="H229" i="51"/>
  <c r="H230" i="51"/>
  <c r="H231" i="51"/>
  <c r="H232" i="51"/>
  <c r="H233" i="51"/>
  <c r="H234" i="51"/>
  <c r="H235" i="51"/>
  <c r="H236" i="51"/>
  <c r="H237" i="51"/>
  <c r="H238" i="51"/>
  <c r="H239" i="51"/>
  <c r="H240" i="51"/>
  <c r="H241" i="51"/>
  <c r="H242" i="51"/>
  <c r="H243" i="51"/>
  <c r="H244" i="51"/>
  <c r="H245" i="51"/>
  <c r="H246" i="51"/>
  <c r="H247" i="51"/>
  <c r="H248" i="51"/>
  <c r="H249" i="51"/>
  <c r="H250" i="51"/>
  <c r="H251" i="51"/>
  <c r="H252" i="51"/>
  <c r="H253" i="51"/>
  <c r="H254" i="51"/>
  <c r="H255" i="51"/>
  <c r="H256" i="51"/>
  <c r="H257" i="51"/>
  <c r="H258" i="51"/>
  <c r="H259" i="51"/>
  <c r="H260" i="51"/>
  <c r="H261" i="51"/>
  <c r="H262" i="51"/>
  <c r="H263" i="51"/>
  <c r="H264" i="51"/>
  <c r="H265" i="51"/>
  <c r="H266" i="51"/>
  <c r="H267" i="51"/>
  <c r="H268" i="51"/>
  <c r="H269" i="51"/>
  <c r="H270" i="51"/>
  <c r="H271" i="51"/>
  <c r="H272" i="51"/>
  <c r="H273" i="51"/>
  <c r="H274" i="51"/>
  <c r="H275" i="51"/>
  <c r="H276" i="51"/>
  <c r="H277" i="51"/>
  <c r="G3" i="51"/>
  <c r="G4" i="51"/>
  <c r="G5" i="51"/>
  <c r="G6" i="51"/>
  <c r="G7" i="5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G22" i="51"/>
  <c r="G23" i="51"/>
  <c r="G24" i="51"/>
  <c r="G25" i="51"/>
  <c r="G26" i="51"/>
  <c r="G27" i="51"/>
  <c r="G28" i="51"/>
  <c r="G29" i="51"/>
  <c r="G30" i="51"/>
  <c r="G31" i="51"/>
  <c r="G32" i="51"/>
  <c r="G33" i="51"/>
  <c r="G34" i="51"/>
  <c r="G35" i="51"/>
  <c r="G36" i="51"/>
  <c r="G37" i="51"/>
  <c r="G38" i="51"/>
  <c r="G39" i="51"/>
  <c r="G40" i="51"/>
  <c r="G41" i="51"/>
  <c r="G42" i="51"/>
  <c r="G43" i="51"/>
  <c r="G44" i="51"/>
  <c r="G45" i="51"/>
  <c r="G46" i="51"/>
  <c r="G47" i="51"/>
  <c r="G48" i="51"/>
  <c r="G49" i="51"/>
  <c r="G50" i="51"/>
  <c r="G51" i="51"/>
  <c r="G52" i="51"/>
  <c r="G53" i="51"/>
  <c r="G54" i="51"/>
  <c r="G55" i="51"/>
  <c r="G56" i="51"/>
  <c r="G57" i="51"/>
  <c r="G58" i="51"/>
  <c r="G59" i="51"/>
  <c r="G60" i="51"/>
  <c r="G61" i="51"/>
  <c r="G62" i="51"/>
  <c r="G63" i="51"/>
  <c r="G64" i="51"/>
  <c r="G65" i="51"/>
  <c r="G66" i="51"/>
  <c r="G67" i="51"/>
  <c r="G68" i="51"/>
  <c r="G69" i="51"/>
  <c r="G70" i="51"/>
  <c r="G71" i="51"/>
  <c r="G72" i="51"/>
  <c r="G73" i="51"/>
  <c r="G74" i="51"/>
  <c r="G75" i="51"/>
  <c r="G76" i="51"/>
  <c r="G77" i="51"/>
  <c r="G78" i="51"/>
  <c r="G79" i="51"/>
  <c r="G80" i="51"/>
  <c r="G81" i="51"/>
  <c r="G82" i="51"/>
  <c r="G83" i="51"/>
  <c r="G84" i="51"/>
  <c r="G85" i="51"/>
  <c r="G86" i="51"/>
  <c r="G87" i="51"/>
  <c r="G88" i="51"/>
  <c r="G89" i="51"/>
  <c r="G90" i="51"/>
  <c r="G91" i="51"/>
  <c r="G92" i="51"/>
  <c r="G93" i="51"/>
  <c r="G94" i="51"/>
  <c r="G95" i="51"/>
  <c r="G96" i="51"/>
  <c r="G97" i="51"/>
  <c r="G98" i="51"/>
  <c r="G99" i="51"/>
  <c r="G100" i="51"/>
  <c r="G101" i="51"/>
  <c r="G102" i="51"/>
  <c r="G103" i="51"/>
  <c r="G104" i="51"/>
  <c r="G105" i="51"/>
  <c r="G106" i="51"/>
  <c r="G107" i="51"/>
  <c r="G108" i="51"/>
  <c r="G109" i="51"/>
  <c r="G110" i="51"/>
  <c r="G111" i="51"/>
  <c r="G112" i="51"/>
  <c r="G113" i="51"/>
  <c r="G114" i="51"/>
  <c r="G115" i="51"/>
  <c r="G116" i="51"/>
  <c r="G117" i="51"/>
  <c r="G118" i="51"/>
  <c r="G119" i="51"/>
  <c r="G120" i="51"/>
  <c r="G121" i="51"/>
  <c r="G122" i="51"/>
  <c r="G123" i="51"/>
  <c r="G124" i="51"/>
  <c r="G125" i="51"/>
  <c r="G126" i="51"/>
  <c r="G127" i="51"/>
  <c r="G128" i="51"/>
  <c r="G129" i="51"/>
  <c r="G130" i="51"/>
  <c r="G131" i="51"/>
  <c r="G132" i="51"/>
  <c r="G133" i="51"/>
  <c r="G134" i="51"/>
  <c r="G135" i="51"/>
  <c r="G136" i="51"/>
  <c r="G137" i="51"/>
  <c r="G138" i="51"/>
  <c r="G139" i="51"/>
  <c r="G140" i="51"/>
  <c r="G141" i="51"/>
  <c r="G142" i="51"/>
  <c r="G143" i="51"/>
  <c r="G144" i="51"/>
  <c r="G145" i="51"/>
  <c r="G146" i="51"/>
  <c r="G147" i="51"/>
  <c r="G148" i="51"/>
  <c r="G149" i="51"/>
  <c r="G150" i="51"/>
  <c r="G151" i="51"/>
  <c r="G152" i="51"/>
  <c r="G153" i="51"/>
  <c r="G154" i="51"/>
  <c r="G155" i="51"/>
  <c r="G156" i="51"/>
  <c r="G157" i="51"/>
  <c r="G158" i="51"/>
  <c r="G159" i="51"/>
  <c r="G160" i="51"/>
  <c r="G161" i="51"/>
  <c r="G162" i="51"/>
  <c r="G163" i="51"/>
  <c r="G164" i="51"/>
  <c r="G165" i="51"/>
  <c r="G166" i="51"/>
  <c r="G167" i="51"/>
  <c r="G168" i="51"/>
  <c r="G169" i="51"/>
  <c r="G170" i="51"/>
  <c r="G171" i="51"/>
  <c r="G172" i="51"/>
  <c r="G173" i="51"/>
  <c r="G174" i="51"/>
  <c r="G175" i="51"/>
  <c r="G176" i="51"/>
  <c r="G177" i="51"/>
  <c r="G178" i="51"/>
  <c r="G179" i="51"/>
  <c r="G180" i="51"/>
  <c r="G181" i="51"/>
  <c r="G182" i="51"/>
  <c r="G183" i="51"/>
  <c r="G184" i="51"/>
  <c r="G185" i="51"/>
  <c r="G186" i="51"/>
  <c r="G187" i="51"/>
  <c r="G188" i="51"/>
  <c r="G189" i="51"/>
  <c r="G190" i="51"/>
  <c r="G191" i="51"/>
  <c r="G192" i="51"/>
  <c r="G193" i="51"/>
  <c r="G194" i="51"/>
  <c r="G195" i="51"/>
  <c r="G196" i="51"/>
  <c r="G197" i="51"/>
  <c r="G198" i="51"/>
  <c r="G199" i="51"/>
  <c r="G200" i="51"/>
  <c r="G201" i="51"/>
  <c r="G202" i="51"/>
  <c r="G203" i="51"/>
  <c r="G204" i="51"/>
  <c r="G205" i="51"/>
  <c r="G206" i="51"/>
  <c r="G207" i="51"/>
  <c r="G208" i="51"/>
  <c r="G209" i="51"/>
  <c r="G210" i="51"/>
  <c r="G211" i="51"/>
  <c r="G212" i="51"/>
  <c r="G213" i="51"/>
  <c r="G214" i="51"/>
  <c r="G215" i="51"/>
  <c r="G216" i="51"/>
  <c r="G217" i="51"/>
  <c r="G218" i="51"/>
  <c r="G219" i="51"/>
  <c r="G220" i="51"/>
  <c r="G221" i="51"/>
  <c r="G222" i="51"/>
  <c r="G223" i="51"/>
  <c r="G224" i="51"/>
  <c r="G225" i="51"/>
  <c r="G226" i="51"/>
  <c r="G227" i="51"/>
  <c r="G228" i="51"/>
  <c r="G229" i="51"/>
  <c r="G230" i="51"/>
  <c r="G231" i="51"/>
  <c r="G232" i="51"/>
  <c r="G233" i="51"/>
  <c r="G234" i="51"/>
  <c r="G235" i="51"/>
  <c r="G236" i="51"/>
  <c r="G237" i="51"/>
  <c r="G238" i="51"/>
  <c r="G239" i="51"/>
  <c r="G240" i="51"/>
  <c r="G241" i="51"/>
  <c r="G242" i="51"/>
  <c r="G243" i="51"/>
  <c r="G244" i="51"/>
  <c r="G245" i="51"/>
  <c r="G246" i="51"/>
  <c r="G247" i="51"/>
  <c r="G248" i="51"/>
  <c r="G249" i="51"/>
  <c r="G250" i="51"/>
  <c r="G251" i="51"/>
  <c r="G252" i="51"/>
  <c r="G253" i="51"/>
  <c r="G254" i="51"/>
  <c r="G255" i="51"/>
  <c r="G256" i="51"/>
  <c r="G257" i="51"/>
  <c r="G258" i="51"/>
  <c r="G259" i="51"/>
  <c r="G260" i="51"/>
  <c r="G261" i="51"/>
  <c r="G262" i="51"/>
  <c r="G263" i="51"/>
  <c r="G264" i="51"/>
  <c r="G265" i="51"/>
  <c r="G266" i="51"/>
  <c r="G267" i="51"/>
  <c r="G268" i="51"/>
  <c r="G269" i="51"/>
  <c r="G270" i="51"/>
  <c r="G271" i="51"/>
  <c r="G272" i="51"/>
  <c r="G273" i="51"/>
  <c r="G274" i="51"/>
  <c r="G275" i="51"/>
  <c r="G276" i="51"/>
  <c r="G277" i="51"/>
  <c r="F24" i="46"/>
  <c r="E24" i="46"/>
  <c r="F23" i="46"/>
  <c r="E23" i="46"/>
  <c r="F22" i="46"/>
  <c r="E22" i="46"/>
  <c r="F21" i="46"/>
  <c r="E21" i="46"/>
  <c r="F20" i="46"/>
  <c r="E20" i="46"/>
  <c r="F19" i="46"/>
  <c r="E19" i="46"/>
  <c r="F18" i="46"/>
  <c r="E18" i="46"/>
  <c r="F17" i="46"/>
  <c r="E17" i="46"/>
  <c r="F16" i="46"/>
  <c r="E16" i="46"/>
  <c r="F15" i="46"/>
  <c r="E15" i="46"/>
  <c r="F14" i="46"/>
  <c r="E14" i="46"/>
  <c r="F13" i="46"/>
  <c r="E13" i="46"/>
  <c r="F12" i="46"/>
  <c r="E12" i="46"/>
  <c r="F11" i="46"/>
  <c r="E11" i="46"/>
  <c r="F10" i="46"/>
  <c r="E10" i="46"/>
  <c r="F9" i="46"/>
  <c r="E9" i="46"/>
  <c r="F8" i="46"/>
  <c r="E8" i="46"/>
  <c r="F7" i="46"/>
  <c r="E7" i="46"/>
  <c r="F6" i="46"/>
  <c r="E6" i="46"/>
</calcChain>
</file>

<file path=xl/sharedStrings.xml><?xml version="1.0" encoding="utf-8"?>
<sst xmlns="http://schemas.openxmlformats.org/spreadsheetml/2006/main" count="8615" uniqueCount="4799">
  <si>
    <t>Compound</t>
  </si>
  <si>
    <t>Compound ID (Manuscript)</t>
  </si>
  <si>
    <t>SMILES</t>
  </si>
  <si>
    <t>Yes</t>
  </si>
  <si>
    <t>No</t>
  </si>
  <si>
    <t>Conc. (µM)</t>
  </si>
  <si>
    <t>Max Tanimoto vs. antibiotics</t>
  </si>
  <si>
    <t>Bulk resorufin fluorescence, replicate 1</t>
  </si>
  <si>
    <t>Bulk resorufin fluorescence, replicate 2</t>
  </si>
  <si>
    <t>Bulk resorufin fluorescence, replicate 3</t>
  </si>
  <si>
    <t>Bulk GFP fluorescence, replicate 1</t>
  </si>
  <si>
    <t>Bulk GFP fluorescence, replicate 2</t>
  </si>
  <si>
    <t>Bulk GFP fluorescence, replicate 3</t>
  </si>
  <si>
    <t>IC50 (µM), bulk GFP fluorescence</t>
  </si>
  <si>
    <t>MIC (µM), bulk GFP fluorescence</t>
  </si>
  <si>
    <t>nd</t>
  </si>
  <si>
    <t>Genome copy numbers, replicate 1</t>
  </si>
  <si>
    <t>Genome copy numbers, replicate 2</t>
  </si>
  <si>
    <t>Genome copy numbers, replicate 3</t>
  </si>
  <si>
    <t>IC50 (µM), genome copy numbers</t>
  </si>
  <si>
    <t>IC50 (µg/ml), genome copy numbers</t>
  </si>
  <si>
    <t>Bulk resorufin fluorescence, mean</t>
  </si>
  <si>
    <t>Bulk resorufin fluorescence, SD</t>
  </si>
  <si>
    <t>Bulk GFP fluorescence, mean</t>
  </si>
  <si>
    <t>Bulk GFP fluorescence, SD</t>
  </si>
  <si>
    <t>Genome copy numbers, mean</t>
  </si>
  <si>
    <t>Genome copy numbers, SD</t>
  </si>
  <si>
    <t>False positive rate</t>
  </si>
  <si>
    <t>True positive rate</t>
  </si>
  <si>
    <t>Recall</t>
  </si>
  <si>
    <t>Precision</t>
  </si>
  <si>
    <t>Mean</t>
  </si>
  <si>
    <t>SD</t>
  </si>
  <si>
    <t>c1v</t>
  </si>
  <si>
    <t>c2v</t>
  </si>
  <si>
    <t>c3v</t>
  </si>
  <si>
    <t>c4v</t>
  </si>
  <si>
    <t>c5v</t>
  </si>
  <si>
    <t>c6v</t>
  </si>
  <si>
    <t>c7v</t>
  </si>
  <si>
    <t>c8v</t>
  </si>
  <si>
    <t>c9v</t>
  </si>
  <si>
    <t>c10v</t>
  </si>
  <si>
    <t>c11v</t>
  </si>
  <si>
    <t>c12v</t>
  </si>
  <si>
    <t>c13v</t>
  </si>
  <si>
    <t>c14v</t>
  </si>
  <si>
    <t>c15v</t>
  </si>
  <si>
    <t>c16v</t>
  </si>
  <si>
    <t>c17v</t>
  </si>
  <si>
    <t>c18v</t>
  </si>
  <si>
    <t>c19v</t>
  </si>
  <si>
    <t>c20v</t>
  </si>
  <si>
    <t>&gt; 30</t>
  </si>
  <si>
    <t>c21v</t>
  </si>
  <si>
    <t>c22v</t>
  </si>
  <si>
    <t>c23v</t>
  </si>
  <si>
    <t>c24v</t>
  </si>
  <si>
    <t>c25v</t>
  </si>
  <si>
    <t>Replicate 1</t>
  </si>
  <si>
    <t>Replicate 2</t>
  </si>
  <si>
    <t>Replicate 3</t>
  </si>
  <si>
    <t>-</t>
  </si>
  <si>
    <t>Dose-response</t>
  </si>
  <si>
    <t>IC50</t>
  </si>
  <si>
    <t>2018</t>
  </si>
  <si>
    <t>C1C=CC=C2OC(C3=CC=CC=C3)=C(C3=CC=C(F)C(F)=C3)C=12</t>
  </si>
  <si>
    <t>Benzofuran 48</t>
  </si>
  <si>
    <t>C1C=CC=C2OC(C3=CC=CC=C3)=C(C3=CC=CC=C3)C=12</t>
  </si>
  <si>
    <t>Benzofuran 46</t>
  </si>
  <si>
    <t>C1C=C(OC)C=C2OC(C3=CC=CC(OC)=C3)=C(C3=CC=C(F)C(F)=C3)C=12</t>
  </si>
  <si>
    <t>Benzofuran 44</t>
  </si>
  <si>
    <t>C1C=C(OC)C=C2OC(C3=CC=CC(OC)=C3)=C(C3=CC=C(OC)C=C3)C=12</t>
  </si>
  <si>
    <t>Benzofuran 41</t>
  </si>
  <si>
    <t>C1C=C(OC)C=C2OC(C3=CC=CC=C3)=C(C3=CC=C(F)C(F)=C3)C=12</t>
  </si>
  <si>
    <t>Benzofuran 38</t>
  </si>
  <si>
    <t>C1C(F)=CC=C2OC(C3=CC=CC=C3)=C(C3=CC=CC(F)=C3)C=12</t>
  </si>
  <si>
    <t>Benzofuran 37</t>
  </si>
  <si>
    <t>C1C(F)=CC=C2OC(C3=CC=CC(OC)=C3)=C(C3=CC=C(F)C(F)=C3)C=12</t>
  </si>
  <si>
    <t>Benzofuran 33</t>
  </si>
  <si>
    <t>C1C(F)=CC=C2OC(C3=CC=CC(OC)=C3)=C(C3=CC=C4OCOC4=C3)C=12</t>
  </si>
  <si>
    <t>Benzofuran 30</t>
  </si>
  <si>
    <t>C1C=CC=C2OC(C3=CC=CC=C3)=C(C3=CC=CC(C#N)=C3)C=12</t>
  </si>
  <si>
    <t>Benzofuran 28</t>
  </si>
  <si>
    <t>C1C(F)=CC=C2OC(C3=CC=C(OC)C=C3)=C(C3=CC=NC(F)=C3)C=12</t>
  </si>
  <si>
    <t>Benzofuran 16</t>
  </si>
  <si>
    <t>C1C(F)=CC=C2OC(C3=CC=C(OC)C=C3)=C(C3=CC=C(OC)C=C3)C=12</t>
  </si>
  <si>
    <t>Benzofuran 15</t>
  </si>
  <si>
    <t>C1C=C(OC)C=C2OC(C3=CC=C(OC)C=C3)=C(C3=CC=C(F)C(F)=C3)C=12</t>
  </si>
  <si>
    <t>Benzofuran 13</t>
  </si>
  <si>
    <t>C1C=C(OC)C=C2OC(C3=CC=C(OC)C=C3)=C(C3=CC=NC(F)=C3)C=12</t>
  </si>
  <si>
    <t>Benzofuran 12</t>
  </si>
  <si>
    <t>C1C=C(OC)C=C2OC(C3=CC=C(OC)C=C3)=C(C3=CC=C(OC)C=C3)C=12</t>
  </si>
  <si>
    <t>Benzofuran 11</t>
  </si>
  <si>
    <t>C1C=CC=C2OC(C3=CC=C(OC)C=C3)=C(C3=CC(F)=CC=C3)C=12</t>
  </si>
  <si>
    <t>Benzofuran 8</t>
  </si>
  <si>
    <t>C1C=CC=C2OC(C3=CC=C(OC)C=C3)=C(C3=CC=C(OC)C=C3)C=12</t>
  </si>
  <si>
    <t>Benzofuran 7</t>
  </si>
  <si>
    <t>C1C=CC=C2OC(C3=CC=C(OCC4=CC=CC=C4)C=C3)=C(C3=CN=CC=C3)C=12</t>
  </si>
  <si>
    <t>Benzofuran 6</t>
  </si>
  <si>
    <t>C1C=CC=C2OC(C3=CC=C(OC)C=C3)=C(C3=CC=NC(F)=C3)C=12</t>
  </si>
  <si>
    <t>Benzofuran 3</t>
  </si>
  <si>
    <t>C1C=CC=C2OC(C3=CC=C(OC)C=C3)=C(C3=CC=C(F)C(F)=C3)C=12</t>
  </si>
  <si>
    <t>Benzofuran 2</t>
  </si>
  <si>
    <t>C1C=CC=C2OC(C3=CC=C(OC)C=C3)=C(C3=CN=CC=C3)C=12</t>
  </si>
  <si>
    <t>Benzofuran 1</t>
  </si>
  <si>
    <t>% inhibition</t>
  </si>
  <si>
    <t>2012</t>
  </si>
  <si>
    <t>OC1C2C(C(=CC=1CN1CCN(C3=CC=C(F)C=C3)CC1)[NH0+]([OH0-])=O)=CC=CN=2</t>
  </si>
  <si>
    <t>INP1855</t>
  </si>
  <si>
    <t>1983</t>
  </si>
  <si>
    <t>CC(=O)NC1C(CC(OC1C(C(CO)O)O)(C(=O)O)O)O</t>
  </si>
  <si>
    <t>N-acetylneuraminic acid</t>
  </si>
  <si>
    <t>C(C1C(C(C(C(O1)OC2C(OC(C(C2O)O)O)CO)O)O)O)O</t>
  </si>
  <si>
    <t>Cellobiose</t>
  </si>
  <si>
    <t>CC(=O)NC1C(C(C(OC1O)CO)O)O</t>
  </si>
  <si>
    <t>N-acetyl-D-glucosamine</t>
  </si>
  <si>
    <t>C(C1C(C(C(C(O1)OC2C(OC(C(C2O)[NH3+])O)CO)[NH3+])O)O)O</t>
  </si>
  <si>
    <t>Chitobiose</t>
  </si>
  <si>
    <t>1993</t>
  </si>
  <si>
    <t>CC1CC(C2C(CC(C(O2)(C(=O)C(=O)N3CCCCC3C(=O)OC(C(C(CC(=O)C(C=C(C1)C)CC=C)O)C)C(=CC4CCC(C(C4)OC)O)C)O)C)OC)OC</t>
  </si>
  <si>
    <t>FK506</t>
  </si>
  <si>
    <t>2010</t>
  </si>
  <si>
    <t>CCCCS(=N)(=O)CCC(C(=O)O)N</t>
  </si>
  <si>
    <t>Buthionine sulfoximine</t>
  </si>
  <si>
    <t>2017</t>
  </si>
  <si>
    <t>C1C2C=CC1C3C2C(=O)N(C3=O)C4=CC=C(C=C4)C(=O)NC5=CC=CC6=C5N=CC=C6</t>
  </si>
  <si>
    <t>IWR-1</t>
  </si>
  <si>
    <t>CC1=CC2=C(C=C1)N=C(S2)NC(=O)CSC3=NC4=C(C(=O)N3C5=CC=CC=C5)SCC4</t>
  </si>
  <si>
    <t>IWP-2</t>
  </si>
  <si>
    <t>2019</t>
  </si>
  <si>
    <t>C1=C(OC)C=CC2N(CCCN(C)C)C=C(C3=C(C4C5C=CC=CC=5NC=4)C(=O)NC3=O)C1=2</t>
  </si>
  <si>
    <t>Go6893</t>
  </si>
  <si>
    <t>C(NS(C)(=O)=O)1C(CC2=C3C=CC=CC3=CC=C2)=CC(=O)N2C(N3N=NC(C4=CC=CC=C4)=C3)CSC=12</t>
  </si>
  <si>
    <t>Bicyclic 2-pyridone 46</t>
  </si>
  <si>
    <t>C(NS(C)(=O)=O)1C(CC2=C3C=CC=CC3=CC=C2)=CC(=O)N2C(C3NN=C(C4=CC=CC=C4)N=3)CSC=12</t>
  </si>
  <si>
    <t>Bicyclic 2-pyridone 38</t>
  </si>
  <si>
    <t>C(NS(C)(=O)=O)1C(CC2=C3C=CC=CC3=CC=C2)=CC(=O)N2C(C(=O)NC3=CC=CC(C)=C3)CSC=12</t>
  </si>
  <si>
    <t>Bicyclic 2-pyridone 33</t>
  </si>
  <si>
    <t>C(NS(C)(=O)=O)1C(CC2=C3C=CC=CC3=CC=C2)=CC(=O)N2C(C(=O)NC3=CC=CC=C3)CSC=12</t>
  </si>
  <si>
    <t>Bicyclic 2-pyridone 30</t>
  </si>
  <si>
    <t>C(NC(OC)=O)1C(CC2=C3C=CC=CC3=CC=C2)=CC(=O)N2C(C(=O)NC3=CC=CC=C3)CSC=12</t>
  </si>
  <si>
    <t>Bicyclic 2-pyridone 28</t>
  </si>
  <si>
    <t>C(N(C)C)1C(CC2=C3C=CC=CC3=CC=C2)=CC(=O)N2C(C(=O)NC3=CC=CC=C3)CSC=12</t>
  </si>
  <si>
    <t>Bicyclic 2-pyridone 27</t>
  </si>
  <si>
    <t>C(NC(C)C)1C(CC2=C3C=CC=CC3=CC=C2)=CC(=O)N2C(C(=O)NC3=CC=CC=C3)CSC=12</t>
  </si>
  <si>
    <t>Bicyclic 2-pyridone 26</t>
  </si>
  <si>
    <t>C(OC)1C(CC2=C(C)C(C)=CC=C2)=C(N)C(=O)N2C(C3ON=C(C4=CC=CC=C4)N=3)CSC=12</t>
  </si>
  <si>
    <t>Bicyclic 2-pyridone 20</t>
  </si>
  <si>
    <t>C(OC)1C(CC2=C(C)C(C)=CC=C2)=C(N)C(=O)N2C(C(=O)NC3=CC(F)=CC(C)=C3)CSC=12</t>
  </si>
  <si>
    <t>Bicyclic 2-pyridone 23</t>
  </si>
  <si>
    <t>C(OC)1C(CC2=C(C)C(C)=CC=C2)=CC(=O)N2C(C(=O)NC3=CC(F)=CC(C)=C3)CSC=12</t>
  </si>
  <si>
    <t>Bicyclic 2-pyridone 18</t>
  </si>
  <si>
    <t>C(OC)1C(CC2=C(C)C(C)=CC=C2)=C(N)C(=O)N2C(C(=O)NC3=CC=C(C)C=C3)CSC=12</t>
  </si>
  <si>
    <t>Bicyclic 2-pyridone 22</t>
  </si>
  <si>
    <t>C(OC)1C(CC2=C(C)C(C)=CC=C2)=CC(=O)N2C(C(=O)NC3=CC=C(C)C=C3)CSC=12</t>
  </si>
  <si>
    <t>Bicyclic 2-pyridone 17</t>
  </si>
  <si>
    <t>C(OC)1C(CC2=C(C)C(C)=CC=C2)=C(N)C(=O)N2C(C(=O)NC3=CC=CC=C3)CSC=12</t>
  </si>
  <si>
    <t>Bicyclic 2-pyridone 21</t>
  </si>
  <si>
    <t>C(OC)1C(CC2=C(C)C(C)=CC=C2)=CC(=O)N2C(C(=O)NC3=CC=CC=C3)CSC=12</t>
  </si>
  <si>
    <t>Bicyclic 2-pyridone 16</t>
  </si>
  <si>
    <t>C(OC)1C(CC2=C3C=CC=CC3=CC=C2)=CC(=O)N2C(N3N=NC(C4=CC=CC=C4)=C3)CSC=12</t>
  </si>
  <si>
    <t>Bicyclic 2-pyridone 12</t>
  </si>
  <si>
    <t>C(OC)1C(CC2=C3C=CC=CC3=CC=C2)=C(N)C(=O)N2C(C(NC3C=CC(C)=CC=3)=O)CSC=12</t>
  </si>
  <si>
    <t>Bicyclic 2-pyridone 9</t>
  </si>
  <si>
    <t>C(OC)1C(CC2=C3C=CC=CC3=CC=C2)=CC(=O)N2C(C(NC3C=CC(C)=CC=3)=O)CSC=12</t>
  </si>
  <si>
    <t>Bicyclic 2-pyridone 6</t>
  </si>
  <si>
    <t>C(OC)1C(CC2=C3C=CC=CC3=CC=C2)=C(N)C(=O)N2C(C(NC3C=CC=CC=3)=O)CSC=12</t>
  </si>
  <si>
    <t>Bicyclic 2-pyridone 8</t>
  </si>
  <si>
    <t>C(OC)1C(CC2=C3C=CC=CC3=CC=C2)=CC(=O)N2C(C(NC3C=CC=CC=3)=O)CSC=12</t>
  </si>
  <si>
    <t>Bicyclic 2-pyridone 5</t>
  </si>
  <si>
    <t>C(O)1C(CC2=C3C=CC=CC3=CC=C2)=CC(=O)N2C(C(NC3C=CC=CC=3)=O)CSC=12</t>
  </si>
  <si>
    <t>Bicyclic 2-pyridone 7</t>
  </si>
  <si>
    <t>C(C1CC1)1C(CC2=C3C=CC=CC3=CC=C2)=C(N)C(=O)N2C(N3N=NC(C4=CC=CC=C4)=C3)CSC=12</t>
  </si>
  <si>
    <t>Bicyclic 2-pyridone 3</t>
  </si>
  <si>
    <t>C(C1CC1)1C(CC2=C3C=CC=CC3=CC=C2)=C(N)C(=O)N2C(C(=O)NC3=CC=CC=C3)CSC=12</t>
  </si>
  <si>
    <t>Bicyclic 2-pyridone 2</t>
  </si>
  <si>
    <t>C(C1CC1)1C(CC2=C3C=CC=CC3=CC=C2)=CC(=O)N2C(C(=O)NC3=CC=CC=C3)CSC=12</t>
  </si>
  <si>
    <t>Bicyclic 2-pyridone 24</t>
  </si>
  <si>
    <t>2020</t>
  </si>
  <si>
    <t>C(S(=O)(=O)C1=NC=C(C(F)(F)F)C=C1)(C(N1CCN(C2=CC=C(Cl)C(Cl)=C2)CC1)=O)C</t>
  </si>
  <si>
    <t>ACP derivative 45</t>
  </si>
  <si>
    <t>C(S(=O)(=O)C1=NC=C(C(F)(F)F)C=C1)(C(N1CCN(C2=CC(C)=CC=C2C)CC1)=O)C</t>
  </si>
  <si>
    <t>ACP derivative 44</t>
  </si>
  <si>
    <t>C(S(=O)(=O)C1=CC=C(C(F)(F)F)C=C1)(C(N1CCN(C2=CC=CC=C2C)CC1)=O)C</t>
  </si>
  <si>
    <t>ACP derivative 43</t>
  </si>
  <si>
    <t>C(C)(S(=O)(=O)C1=NC=C(C(F)(F)F)C=C1)(C(N1CCN(CC2=CC=C(C)C=C2)CC1)=O)C</t>
  </si>
  <si>
    <t>ACP derivative 42</t>
  </si>
  <si>
    <t>C(C)(S(=O)(=O)C1=CC=C(C(F)(F)F)C=C1)(C(N1CCN(CC2=CC=C(F)C=C2)CC1)=O)C</t>
  </si>
  <si>
    <t>ACP derivative 39</t>
  </si>
  <si>
    <t>C(C)(S(=O)(=O)C1=NC=C(C(F)(F)F)C=C1)(C(N1CCN(C2=NC=CC=C2)CC1)=O)C</t>
  </si>
  <si>
    <t>ACP derivative 34</t>
  </si>
  <si>
    <t>C(C)(S(=O)(=O)C1=NC=C(C(F)(F)F)C=C1)(C(N1CCN(C2=CC=CC=C2)CC1)=O)C</t>
  </si>
  <si>
    <t>ACP derivative 33</t>
  </si>
  <si>
    <t>C(C)(S(=O)(=O)C1=NC=C(C(F)(F)F)C=C1)(C(=O)N([HH0])CCOC1C=CC(Cl)=CC=1)C</t>
  </si>
  <si>
    <t>ACP derivative 31</t>
  </si>
  <si>
    <t>C(C)(S(=O)(=O)C1=CC=C(C(F)(F)F)C=C1)(C(=O)N([HH0])CCOC1C=CC(Cl)=CC=1)C</t>
  </si>
  <si>
    <t>ACP derivative 30</t>
  </si>
  <si>
    <t>C(C)(S(=O)(=O)C1=CC=CC=C1)(C(=O)N([HH0])CCOC1C=CC(Cl)=CC=1)C</t>
  </si>
  <si>
    <t>ACP derivative 29</t>
  </si>
  <si>
    <t>C(C)(S(=O)(=O)C1=CC=CC=C1)(C(=O)N([HH0])CCOC1C(Cl)=CC=CC=1)C</t>
  </si>
  <si>
    <t>ACP derivative 26</t>
  </si>
  <si>
    <t>C(C)(S(=O)(=O)C1=CC=CC=C1)(C(=O)N([HH0])CCOC1C=CC=CC=1)C</t>
  </si>
  <si>
    <t>ACP derivative 23</t>
  </si>
  <si>
    <t>C(C)(S(=O)(=O)C1=NC=C(C(F)(F)F)C=C1)(C(=O)N([HH0])CCSC1C=CC(Cl)=CC=1)C</t>
  </si>
  <si>
    <t>ACP derivative 20</t>
  </si>
  <si>
    <t>C(C)(S(=O)(=O)C1=CC=CC=C1)(C(=O)N([HH0])CCSC1C(Cl)=CC=CC=1)C</t>
  </si>
  <si>
    <t>ACP derivative 16</t>
  </si>
  <si>
    <t>C(C)(S(=O)(=O)C1=NC=C(Cl)C=C1)(C(=O)N([HH0])CCCC1C=CC=CC=1)C</t>
  </si>
  <si>
    <t>ACP derivative 13</t>
  </si>
  <si>
    <t>C(S(=O)(=O)C1=NC=C(C(F)(F)F)C=C1)(C(=O)N([HH0])CCCC1C=CC=CC=1)C</t>
  </si>
  <si>
    <t>ACP derivative 12</t>
  </si>
  <si>
    <t>C(S(=O)(=O)C1=NC=CC=C1)(C(=O)N([HH0])CCCC1C=CC=CC=1)(C)C</t>
  </si>
  <si>
    <t>ACP derivative 10</t>
  </si>
  <si>
    <t>C(S(=O)(=O)C1=CC=CC=C1)(C(=O)N([HH0])CCCC1C=CC=CC=1)(C)C</t>
  </si>
  <si>
    <t>ACP derivative 9</t>
  </si>
  <si>
    <t>C(S(=O)(=O)C1=NC=C(C=C1)C(F)(F)F)(C(=O)N([HH0])CCCC1C=CC=CC=1)(C)C</t>
  </si>
  <si>
    <t>ACP derivative 2</t>
  </si>
  <si>
    <t>C(S(=O)(=O)C1=NC=C(C=C1)C(F)(F)F)(C(=O)N([HH0])CCSC1C=CC=CC=1)(C)C</t>
  </si>
  <si>
    <t>ACP1</t>
  </si>
  <si>
    <t>CN(C)C1=CC=CC2=C1C=CC=C2S(=O)(=O)NCCCCCN</t>
  </si>
  <si>
    <t>Monodansylcadaverine</t>
  </si>
  <si>
    <t>1985</t>
  </si>
  <si>
    <t>[Cl-].[Cl-].[Ca+2]</t>
  </si>
  <si>
    <t>Calcium chloride</t>
  </si>
  <si>
    <t>[Mg+2].[Cl-].[Cl-]</t>
  </si>
  <si>
    <t>Magnesium chloride</t>
  </si>
  <si>
    <t>O=[Zn]</t>
  </si>
  <si>
    <t>Zinc oxide</t>
  </si>
  <si>
    <t>[O-]S(=O)(=O)[O-].[Zn+2]</t>
  </si>
  <si>
    <t>Zinc sulfate</t>
  </si>
  <si>
    <t>[Cl-].[Cl-].[Zn+2]</t>
  </si>
  <si>
    <t>Zinc chloride</t>
  </si>
  <si>
    <t>1989</t>
  </si>
  <si>
    <t>[Cu+2]</t>
  </si>
  <si>
    <t>Copper ions</t>
  </si>
  <si>
    <t>1996</t>
  </si>
  <si>
    <t>CCN(CC)CCCC(C)NC1=C2C=CC(=CC2=NC=C1)Cl</t>
  </si>
  <si>
    <t>Chloroquine</t>
  </si>
  <si>
    <t>[NH4+].[Cl-]</t>
  </si>
  <si>
    <t>Ammonium chloride</t>
  </si>
  <si>
    <t>CN</t>
  </si>
  <si>
    <t>Methylamine</t>
  </si>
  <si>
    <t>CC1C(C(C(C(O1)OC2CC(C3(C4C(CCC3(C2)O)C5(CCC(C5(CC4O)C)C6=CC(=O)OC6)O)CO)O)O)O)O</t>
  </si>
  <si>
    <t>Ouabain</t>
  </si>
  <si>
    <t>CC1C(C(CC(O1)OC2C(OC(CC2O)OC3C(OC(CC3O)OC4CCC5(C(C4)CCC6C5CC(C7(C6(CCC7C8=CC(=O)OC8)O)C)O)C)C)C)O)O</t>
  </si>
  <si>
    <t>Digoxin</t>
  </si>
  <si>
    <t>CCN1C(=O)C=CC1=O</t>
  </si>
  <si>
    <t>N-ethylmaleimide</t>
  </si>
  <si>
    <t>1997</t>
  </si>
  <si>
    <t>C(CC(=O)NC(CSN=O)C(=O)NCC(=O)O)C(C(=O)O)N</t>
  </si>
  <si>
    <t>S-nitroso-L-glutathione</t>
  </si>
  <si>
    <t>Cl[Ni]Cl</t>
  </si>
  <si>
    <t>NiCl2</t>
  </si>
  <si>
    <t>[O-][V](=O)([O-])[O-].[Na+].[Na+].[Na+]</t>
  </si>
  <si>
    <t>Sodium orthovanadate</t>
  </si>
  <si>
    <t>1999</t>
  </si>
  <si>
    <t>CCCCCCCCCC1=CC=C(C=C1)OCCOCCOCCOCCOCCOCCOCCOCCOCCO</t>
  </si>
  <si>
    <t>Nonoxynol-9</t>
  </si>
  <si>
    <t>CC(CCC(=O)NCCS(=O)(=O)O)C1CCC2C1(CCC3C2CCC4C3(CCC(C4)OS(=O)(=O)O)C)C</t>
  </si>
  <si>
    <t>Taurolithocholic acid-3-sulfate</t>
  </si>
  <si>
    <t>CC(CCC(=O)NCCS(=O)(=O)O)C1CCC2C1(C(CC3C2C(CC4C3(CCC(C4)O)C)O)O)C</t>
  </si>
  <si>
    <t>Taurocholic acid</t>
  </si>
  <si>
    <t>CC(CCC(=O)O)C1CCC2C1(C(CC3C2C(CC4C3(CCC(C4)O)C)O)O)C</t>
  </si>
  <si>
    <t>Cholic acid</t>
  </si>
  <si>
    <t>CC(CCC(=O)NCC(=O)O)C1CCC2C1(C(CC3C2C(CC4C3(CCC(C4)O)C)O)O)C</t>
  </si>
  <si>
    <t>Glycocholic acid</t>
  </si>
  <si>
    <t>2005</t>
  </si>
  <si>
    <t>C([C@@H]1[C@H]([C@@H]([C@@H]([C@@H](O1)O)O)O)O)OP(=O)(O)O</t>
  </si>
  <si>
    <t>Mannose 6-phosphate</t>
  </si>
  <si>
    <t>CC(=O)NCCC1=CNC2=C1C=C(C=C2)OC</t>
  </si>
  <si>
    <t>Melatonin</t>
  </si>
  <si>
    <t>2006</t>
  </si>
  <si>
    <t>CCC(C)O</t>
  </si>
  <si>
    <t>2-butanol</t>
  </si>
  <si>
    <t>C1=CC(=CC=C1CC(C(=O)O)N)O</t>
  </si>
  <si>
    <t>Tyrosine</t>
  </si>
  <si>
    <t>C(CC(C(=O)O)N)CN=C(N)N</t>
  </si>
  <si>
    <t>Arginine</t>
  </si>
  <si>
    <t>C(C(C(=O)O)N)C(=O)N</t>
  </si>
  <si>
    <t>Asparagine</t>
  </si>
  <si>
    <t>C1CC(NC1)C(=O)O</t>
  </si>
  <si>
    <t>Proline</t>
  </si>
  <si>
    <t>C(C(C(=O)O)N)C(=O)O</t>
  </si>
  <si>
    <t>Aspartic acid</t>
  </si>
  <si>
    <t>C(CC(=O)N)C(C(=O)O)N</t>
  </si>
  <si>
    <t>Glutamine</t>
  </si>
  <si>
    <t>CC(C(=O)O)N</t>
  </si>
  <si>
    <t>Alanine</t>
  </si>
  <si>
    <t>C(CC(=O)O)C(C(=O)O)N</t>
  </si>
  <si>
    <t>Glutamic acid</t>
  </si>
  <si>
    <t>CC(C(C(=O)O)N)O</t>
  </si>
  <si>
    <t>Threonine</t>
  </si>
  <si>
    <t>C1=C(NC=N1)CC(C(=O)O)N</t>
  </si>
  <si>
    <t>Histidine</t>
  </si>
  <si>
    <t>CC(C)C(C(=O)O)N</t>
  </si>
  <si>
    <t>Valine</t>
  </si>
  <si>
    <t>C(CCN)CC(C(=O)O)N</t>
  </si>
  <si>
    <t>Lysine</t>
  </si>
  <si>
    <t>C1=CC=C2C(=C1)C(=CN2)CC(C(=O)O)N</t>
  </si>
  <si>
    <t>Tryptophan</t>
  </si>
  <si>
    <t>CC1CCC2CC(C(=CC=CC=CC(CC(C(=O)C(C(C(=CC(C(=O)CC(OC(=O)C3CCCCN3C(=O)C(=O)C1(O2)O)C(C)CC4CCC(C(C4)OC)O)C)C)O)OC)C)C)C)OC</t>
  </si>
  <si>
    <t>Rapamycin</t>
  </si>
  <si>
    <t>2011</t>
  </si>
  <si>
    <t>CC1CC(=CC=CC(C(OC(=O)C(=CC(=CC(C1O)C)C)OC)C(C)C(C(C)C2(CC(C(C(O2)C(C)C)C)O)O)O)OC)C</t>
  </si>
  <si>
    <t>Bafilomycin A1</t>
  </si>
  <si>
    <t>CCC(C)C1C(CCC2(O1)CC3CC(O2)CC=C(C(C(C=CC=C4COC5C4(C(C=C(C5O)C)C(=O)O3)O)C)OC6CC(C(C(O6)C)OC7CC(C(C(O7)C)O)OC)OC)C)C</t>
  </si>
  <si>
    <t>Ivermectin</t>
  </si>
  <si>
    <t>2013</t>
  </si>
  <si>
    <t>CC1(CC2=CC(=C(C(=C2C1=O)Cl)Cl)OCC(=O)O)C3CCCC3</t>
  </si>
  <si>
    <t>Indanyloxyacetic acid</t>
  </si>
  <si>
    <t>2014</t>
  </si>
  <si>
    <t>C(CC(C(F)F)(C(=O)O)N)CN</t>
  </si>
  <si>
    <t>Difluoromethylornithine</t>
  </si>
  <si>
    <t>COCCOC1=C(C=C2C(=C1)C(=NC=N2)NC3=CC=CC(=C3)C#C)OCCOC</t>
  </si>
  <si>
    <t>Erlotinib</t>
  </si>
  <si>
    <t>2015</t>
  </si>
  <si>
    <t>CC12CCC(C(C1CCC(=C)C2CC=C3C(COC3=O)O)(C)CO)O</t>
  </si>
  <si>
    <t>Andrographolide</t>
  </si>
  <si>
    <t>C1=CC=C2C(=C1)C3=NNC4=CC=CC(=C43)C2=O</t>
  </si>
  <si>
    <t xml:space="preserve">SP600125 </t>
  </si>
  <si>
    <t>C1=CC(=CC=C1C2=NC(=C(N2)C3=CC=NC=C3)C4=CC=C(C=C4)F)O</t>
  </si>
  <si>
    <t xml:space="preserve">SB202190 </t>
  </si>
  <si>
    <t>CC(C)C=CCCCCC(=O)NCC1=CC(=C(C=C1)O)OC</t>
  </si>
  <si>
    <t>Capsaicin</t>
  </si>
  <si>
    <t>CC1=C2COC(=O)C2=C(C(=C1OC)CC=C(C)CCC(=O)OCCN3CCOCC3)O</t>
  </si>
  <si>
    <t>Mycophenolate mofetil</t>
  </si>
  <si>
    <t>C1=CC(O)=C(C(=O)OC)C=C1CC1=CC(C(=O)OC)=C(O)C=C1</t>
  </si>
  <si>
    <t>5,5'-methylenedisalicylic acid derivative C2</t>
  </si>
  <si>
    <t>C1=CC(=C(C=C1C(=C2C=CC(=O)C(=C2)C(=O)O)C3=CC(=C(C=C3)O)C(=O)O)C(=O)O)O</t>
  </si>
  <si>
    <t xml:space="preserve">Aurintricarboxylic acid </t>
  </si>
  <si>
    <t>C1=CC(=C(C=C1CC2=CC(=C(C=C2)O)C(=O)O)C(=O)O)O</t>
  </si>
  <si>
    <t>5,5'-methylenedisalicylic acid</t>
  </si>
  <si>
    <t>OC1=CC=C(Br)C=C1/C=N/NC(C(C)([H])SC2=NC3=C(C=CC=C3)N2)=O</t>
  </si>
  <si>
    <t>KH7</t>
  </si>
  <si>
    <t>C1CCCCCC(=NCCCCC1)NC2CCCC2C3=CC=CC=C3.Cl</t>
  </si>
  <si>
    <t>MDL-12-330A</t>
  </si>
  <si>
    <t>C1=CC=C2C(=C1)C(=CN2)CC(C(=O)O)O</t>
  </si>
  <si>
    <t>Indole-3-lactic acid</t>
  </si>
  <si>
    <t>C1=CC=C2C(=C1)C(=CN2)C=CC(=O)O</t>
  </si>
  <si>
    <t>Indole-β-acrylic acid</t>
  </si>
  <si>
    <t>C1=CC=C2C(=C1)C(=CN2)CCC(=O)O</t>
  </si>
  <si>
    <t>Indole-3-propionic acid</t>
  </si>
  <si>
    <t>B1(C2=C(C=CC=C2OCCCO)C(O1)CN)O</t>
  </si>
  <si>
    <t>AN3365</t>
  </si>
  <si>
    <t>2016</t>
  </si>
  <si>
    <t>CCCCCCC1CCCC1=NNC(=S)N</t>
  </si>
  <si>
    <t>BLT-1</t>
  </si>
  <si>
    <t>CC1=C(OC2=CC=CC=C12)CN(C)C(=O)C=CC3=CC4=C(NC(=O)CC4)N=C3</t>
  </si>
  <si>
    <t>AFN-1252</t>
  </si>
  <si>
    <t>[NH0+]([OH0-])(=O)C1C=CC(C(N([HH0])/N=C/C2=CC(=CC(Br)=C2O[HH0])Br)=O)=CC=1</t>
  </si>
  <si>
    <t>C1</t>
  </si>
  <si>
    <t>C(O)1C=CC(/C=C/C(N([C@H](C(=O)OC)CC2C=CC=CC=2)[HH0])=O)=CC=1</t>
  </si>
  <si>
    <t>4-hydroxycinnamic acid amide</t>
  </si>
  <si>
    <t>CCCCCCCCCCCC(=O)NC(CC(C1=CC=CC=C1)O)CO</t>
  </si>
  <si>
    <t>HPA-12</t>
  </si>
  <si>
    <t>2000</t>
  </si>
  <si>
    <t>CCCCC(C)C(C(CC(C)CC(CCCCC(CC(C(C)N)O)O)O)OC(=O)CC(CC(=O)O)C(=O)O)OC(=O)CC(CC(=O)O)C(=O)O</t>
  </si>
  <si>
    <t>Fumonisin B1</t>
  </si>
  <si>
    <t>C1C(C(=O)NO1)N</t>
  </si>
  <si>
    <t>L-cycloserine</t>
  </si>
  <si>
    <t>CCN(CC)CCOC1CCC2(C3CCC4(C(C3CC=C2C1)CCC4=O)C)C.Cl</t>
  </si>
  <si>
    <t>U18666A</t>
  </si>
  <si>
    <t>C1COCCN1C2=CC(=O)C3=C(O2)C(=CC=C3)C4=CC=CC=C4</t>
  </si>
  <si>
    <t>LY-294002</t>
  </si>
  <si>
    <t>CN1C=NC(=N)C2=C1N=CN2</t>
  </si>
  <si>
    <t>3-methyladenine</t>
  </si>
  <si>
    <t>CCC(C)C(=O)OC1CCC=C2C1C(C(C=C2)C)CCC3CC(CC(=O)O3)O</t>
  </si>
  <si>
    <t>Mevastatin</t>
  </si>
  <si>
    <t>CC1=C(SC2=C1C(=NC(C3=NN=C(N32)C)CC(=O)OC(C)(C)C)C4=CC=C(C=C4)Cl)C</t>
  </si>
  <si>
    <t>JQ1</t>
  </si>
  <si>
    <t>C1=CC=C(C=C1)C(C2=CC=CC=C2)(C3=CC=CC=C3Cl)N4C=CN=C4</t>
  </si>
  <si>
    <t>Clotrimazole</t>
  </si>
  <si>
    <t>C1CCN(C1)C(=O)NC2=CC=CC(=C2)NC3=NC=C(C(=N3)NCCC4=CN=CN4)Br</t>
  </si>
  <si>
    <t>BX912</t>
  </si>
  <si>
    <t>C[N+]1=CC=C(C=C1)C2=CC=[N+](C=C2)CCCCCCCCCC[P+](C3=CC=CC=C3)(C4=CC=CC=C4)C5=CC=CC=C5.[I-].[I-].[I-]</t>
  </si>
  <si>
    <t>MitoPQ</t>
  </si>
  <si>
    <t>C1=C(NC(=O)NC1=O)C(=O)O</t>
  </si>
  <si>
    <t>Orotic acid</t>
  </si>
  <si>
    <t>Cl</t>
  </si>
  <si>
    <t>Hydrochloric acid</t>
  </si>
  <si>
    <t>CC(C(=O)O)O</t>
  </si>
  <si>
    <t>Lactic acid</t>
  </si>
  <si>
    <t>OO</t>
  </si>
  <si>
    <t>Hydrogen peroxide</t>
  </si>
  <si>
    <t>CC(C)C1=CC(=O)C(=CC=C1)O</t>
  </si>
  <si>
    <t>Hinokitiol</t>
  </si>
  <si>
    <t>CCCCCCCCOC[C@@H](O)CO</t>
  </si>
  <si>
    <t>3-O-octyl-sn-glycerol</t>
  </si>
  <si>
    <t>1998</t>
  </si>
  <si>
    <t>CCCCCCOCC(CO)O</t>
  </si>
  <si>
    <t>1-O-hexyl-sn-glycerol</t>
  </si>
  <si>
    <t>CCCCCCOC(CO)CO</t>
  </si>
  <si>
    <t>2-O-hexyl-sn-glycerol</t>
  </si>
  <si>
    <t>CCCCCCCOCC(CO)O</t>
  </si>
  <si>
    <t>1-O-heptyl-sn-glycerol</t>
  </si>
  <si>
    <t>CCCCCCCCOCC(CO)O</t>
  </si>
  <si>
    <t>1-O-octyl-sn-glycerol</t>
  </si>
  <si>
    <t>CCCCCCCCOC(CO)CO</t>
  </si>
  <si>
    <t>2-O-octyl-sn-glycerol</t>
  </si>
  <si>
    <t>2009</t>
  </si>
  <si>
    <t>C1=CC=C(C=C1)C2=CC(=O)C3=C(C(=C(C=C3O2)OC4C(C(C(C(O4)C(=O)O)O)O)O)O)O</t>
  </si>
  <si>
    <t>Baicalin</t>
  </si>
  <si>
    <t>C1C=CC(C(N([C@H]2C(=O)N(CCC3=CN(C=N3)[HH0])OC2)[HH0])=O)=C(OC)C=1OC</t>
  </si>
  <si>
    <t>3-isoxazolidone derivative 22</t>
  </si>
  <si>
    <t>D-cycloserine</t>
  </si>
  <si>
    <t>CC(=O)N(CCCCCNC(=O)CCC(=O)N(CCCCCNC(=O)CCC(=O)N(CCCCCN)O)O)O</t>
  </si>
  <si>
    <t>Deferoxamine</t>
  </si>
  <si>
    <t>C1C2=CC=C(N=C2C(=CC=1)O[HH0])C(N(CCN1C(=O)[C@H](N([HH0])C(=O)C2C=CC3=C(C(O[HH0])=CC=C3)N=2)CO1)[HH0])=O</t>
  </si>
  <si>
    <t>3-isoxazolidone derivative 19</t>
  </si>
  <si>
    <t>C1C2=CC=C(N=C2C=CC=1)C(N([HH0])CCN1C(=O)[C@H](N([HH0])C(=O)C2C=CC3=C(N=2)C=CC=C3)CO1)=O</t>
  </si>
  <si>
    <t>3-isoxazolidone derivative 20</t>
  </si>
  <si>
    <t>C(C(=O)N([HH0])CCOC1=NOC[C@H]1N([HH0])C(=O)C1C=CC=C(C=1O[HH0])O[HH0])1C(=C(C=CC=1)O[HH0])O[HH0]</t>
  </si>
  <si>
    <t>3-isoxazolidone derivative 18</t>
  </si>
  <si>
    <t>[C@@H]1(C(=O)N(CCCCOC(=O)C2C(O[HH0])=C(C=CC=2)O[HH0])OC1)N([HH0])C(C1C=CC=C(C=1O[HH0])O[HH0])=O</t>
  </si>
  <si>
    <t>3-isoxazolidone derivative 10</t>
  </si>
  <si>
    <t>C1C=CC(C(N([C@H]2C(N(CCNC(=O)C3C(=C(C=CC=3)O)O[HH0])OC2)=O)[HH0])=O)=C(O[HH0])C=1O[HH0]</t>
  </si>
  <si>
    <t>3-isoxazolidone derivative 17</t>
  </si>
  <si>
    <t>OC1=CC=CC(C(N[C@H]2C(N(CCOC(=O)C3C(O)=C(C=CC=3)O)OC2)=O)=O)=C1O</t>
  </si>
  <si>
    <t>3-isoxazolidone derivative 5</t>
  </si>
  <si>
    <t>C1C=CC(C(N([C@H]2C(=O)N(CCC3=CN(C=N3)[HH0])OC2)[HH0])=O)=C(O)C=1O</t>
  </si>
  <si>
    <t>3-isoxazolidone derivative 23</t>
  </si>
  <si>
    <t>CCCCCCCCCCCCCCC(C(=O)O)F</t>
  </si>
  <si>
    <t>2-fluoropalmitic acid</t>
  </si>
  <si>
    <t>CCCC=CCC=CC=CC=NNN=O</t>
  </si>
  <si>
    <t>Triacsin C</t>
  </si>
  <si>
    <t>C12C(C[C@@H](C(NC)=O)NC(=O)[C@H](CC(C)C)N([HH0])C(OC(C)(C)C)=O)=CN(C=1C=CC=C2)[HH0]</t>
  </si>
  <si>
    <t>GMNC</t>
  </si>
  <si>
    <t>C1C(C2)=C(C=CC=2)C(=CC=1)CC(C1C(C2)C2)=C(C(=O)N(C=1S1)C(C1)N(N=N1)C=C1C(=CC=C1)C=C1)N</t>
  </si>
  <si>
    <t>Thiazolino 2-pyridone amide isostere 20</t>
  </si>
  <si>
    <t>C1(C2)=C(C=CC=2)C(=CC=C1)CC(C1C(C2)C2)=CC(N(C=1S1)C(C1)N(C=C1C(=CC=C2)C=C2)N=N1)=O</t>
  </si>
  <si>
    <t>Thiazolino 2-pyridone amide isostere 18</t>
  </si>
  <si>
    <t>C1(C2)=C(C=CC=2)C(=CC=C1)CC(C(=C1S2)C(C3)C3)=C(C(=O)N1C(C2)C(NN1)=NC=1C(=CC=C1)C=C1)N</t>
  </si>
  <si>
    <t>Thiazolino 2-pyridone amide isostere 17</t>
  </si>
  <si>
    <t>N1(C(C2)C(=O)NC(C=CC3)=CC=3)C(=O)C(=C(CC(C=CC3)=C(C=3C=C3)C=C3)C(=C1S2)C(C1)C1)N</t>
  </si>
  <si>
    <t>Thiazolino 2-pyridone amide isostere 2</t>
  </si>
  <si>
    <t>O=C(C1CSC2=C(C3CC3)C(CC4=CC=CC(C)=C4C)=C(N)C(N21)=O)NC5=CC=C(C)C=C5</t>
  </si>
  <si>
    <t>Thiazolino 2-pyridone amide 33b</t>
  </si>
  <si>
    <t>O=C(C1CSC2=C(C3CC3)C(CC4=CC=C(Cl)C=C4)=C(N)C(N21)=O)NC5=CC=C(C)C=C5</t>
  </si>
  <si>
    <t>Thiazolino 2-pyridone amide 33a</t>
  </si>
  <si>
    <t>O=C(C1CSC2=C(C3CC3)C(CC4=C5C=CC=CC5=CC=C4)=C(N)C(N21)=O)NC6=CC=C(C)C=C6</t>
  </si>
  <si>
    <t>Thiazolino 2-pyridone amide 21c</t>
  </si>
  <si>
    <t>O=C(C1CSC2=C(C3CC3)C(CC4=C5C=CC=CC5=CC=C4)=C(N)C(N21)=O)NC6=CC=CC(C)=C6</t>
  </si>
  <si>
    <t>Thiazolino 2-pyridone amide 21b</t>
  </si>
  <si>
    <t>O=C(C1CSC2=C(C3CC3)C(CC4=C5C=CC=CC5=CC=C4)=C(N)C(N21)=O)NC6=CC=CC=C6</t>
  </si>
  <si>
    <t>Thiazolino 2-pyridone amide 21a</t>
  </si>
  <si>
    <t>O=C1C=C(CC2=C(C=CC=C3)C3=CC=C2)C(C4CC4)=C(SC5)N1C5C(NC6=CC(C)=CC=C6)=O</t>
  </si>
  <si>
    <t>Thiazolino 2-pyridone amide 6e</t>
  </si>
  <si>
    <t>O=C1N2C(SC=C2C(NC3=CC=CC=C3)=O)=C(C4CC4)C(CC5=C(C=CC=C6)C6=CC=C5)=C1</t>
  </si>
  <si>
    <t>Thiazolino 2-pyridone amide 1</t>
  </si>
  <si>
    <t>O=C(N([HH0])C1C=CC=CC=1)C1=CSC2N1C(=O)C=C(C=2C1CC1)CC1=C2C=CC=CC2=CC=C1</t>
  </si>
  <si>
    <t>KSK120</t>
  </si>
  <si>
    <t>C1C=CC=CC=1OP(=O)([C@@H](N([HH0])C(C1N(CCC1)C([C@H](C(C)C)N([HH0])C(=O)OC(C)(C)C)=O)=O)C(C)C)OC1C=CC=CC=1</t>
  </si>
  <si>
    <t>JO146</t>
  </si>
  <si>
    <t>C1C=CC=CC=1OP(=O)([C@@H](N([HH0])C(C1N(CCC1)C([C@H](C)N([HH0])C(=O)OC(C)(C)C)=O)=O)C(C)C)OC1C=CC=CC=1</t>
  </si>
  <si>
    <t>JCP83</t>
  </si>
  <si>
    <t>C1=CC(=CC=C1C2C(C3=C4C(C(OC4=CC(=C3)O)C5=CC=C(C=C5)O)C6=C2C(=CC(=C6)O)O)C7C(C8=C(C=C(C=C8O)O)C9C(OC1=CC(=CC7=C91)O)C1=CC=C(C=C1)O)C1=CC=C(C=C1)O)O</t>
  </si>
  <si>
    <t>(-)-hopeaphenol</t>
  </si>
  <si>
    <t>C1=CC(=C(C=C1Cl)O)OC2=C(C=C(C=C2)Cl)Cl</t>
  </si>
  <si>
    <t>Triclosan</t>
  </si>
  <si>
    <t>CC12CC34CC1CC(C3C(C(=O)C=C4)(C)CCC(=O)NC5=C(C=CC(=C5O)C(=O)O)O)O2</t>
  </si>
  <si>
    <t>Platensimycin</t>
  </si>
  <si>
    <t>CC=CCC=CCCC(=O)C1C(O1)C(=O)N</t>
  </si>
  <si>
    <t>Cerulenin</t>
  </si>
  <si>
    <t>N([HH0])(C(=O)/C=C/C1C=C(Cl)C=CC=1)C1C=CC(S(N(C2=NOC(C)=C2)[HH0])(=O)=O)=CC=1</t>
  </si>
  <si>
    <t>ME0619</t>
  </si>
  <si>
    <t>N([HH0])(C(=O)C1SC2=CC(=CC=C2C=1Cl)Cl)C1C=CC(S(=O)(N([HH0])C2C=C(C)ON=2)=O)=CC=1</t>
  </si>
  <si>
    <t>ME0640</t>
  </si>
  <si>
    <t>CS(=O)(=O)O.CS(=O)(=O)O.C1=CC(=CC=C1C(=O)OC2=CC3=C(C=C2)C=C(C=C3)C(=N)N)N=C(N)N</t>
  </si>
  <si>
    <t>Nafamostat mesylate</t>
  </si>
  <si>
    <t>2008</t>
  </si>
  <si>
    <t>N1C2SC(C(NC3CC3)=O)=CC=2C=C2C=C(C=CC=12)OC</t>
  </si>
  <si>
    <t>0433YC2</t>
  </si>
  <si>
    <t>O=C1C2N=NN(C3C(C)=CC=CC=3)C=2C2=CC=CC=C2O1</t>
  </si>
  <si>
    <t>0433YC1</t>
  </si>
  <si>
    <t>C(=O)(CCCCCCCCCCCCCCC)N([C@H]([C@H](O[HH0])/C=C/CCCCCCCCCN([HH0])C1C2=NON=C2C(=CC=1)[NH0+]([OH0-])=O)COC)[HH0]</t>
  </si>
  <si>
    <t>1-O-methyl-NBD-ceramide-C16</t>
  </si>
  <si>
    <t>C(=O)(CCCCCCCCCCCCCCC)N([C@H]([C@H](O[HH0])/C=C/CCCCCCCCCN([HH0])C1C2=NON=C2C(=CC=1)[NH0+]([OH0-])=O)CO[HH0])[HH0]</t>
  </si>
  <si>
    <t>NBD-ceramide-C16</t>
  </si>
  <si>
    <t>C1CC2C(C1)C3CC2CC3OC(=S)[S-].[K+]</t>
  </si>
  <si>
    <t>D609</t>
  </si>
  <si>
    <t>C1=C(C=CC([NH0+]([OH0-])=O)=C1)CS(=O)(=O)N1CCCCC1CC(=O)OCCCC1=CC(OC)=C(OC)C(OC)=C1</t>
  </si>
  <si>
    <t>PipN4</t>
  </si>
  <si>
    <t>C1=C(C=C([NH0+]([OH0-])=O)C=C1)CS(=O)(=O)N1CCCCC1CC(=O)OCCCC1=CC(OC)=C(OC)C(OC)=C1</t>
  </si>
  <si>
    <t>PipN3</t>
  </si>
  <si>
    <t>O1[C@](CC)(C)C=C(C1=O)N(C(C[C@@H](C)C=CC=CCCCCCCC)=O)[H]</t>
  </si>
  <si>
    <t>PEG-2S</t>
  </si>
  <si>
    <t>C1(=CC=C(C=C1)C(N([HH0])/N=C/C1C(O[HH0])=CC=C2C=1C=CC=C2)=O)Cl</t>
  </si>
  <si>
    <t>INP0400</t>
  </si>
  <si>
    <t>CC(=CCCC(=CC=CC(=CC=CC(=CC=CC=C(C)C=CC=C(C)C=CC=C(C)CCC=C(C)C)C)C)C)C</t>
  </si>
  <si>
    <t>Lycopene</t>
  </si>
  <si>
    <t>C1SC(=NN(CC2C(O)=C(OCC)C=CC=2)C1=O)C(NC1=C(F)C=C(F)C=C1F)=O</t>
  </si>
  <si>
    <t>Thiadiazine 27</t>
  </si>
  <si>
    <t>C1SC(=NN(CC2C=C(OCC)C(O)=CC=2)C1=O)C(NC1=C(F)C=C(F)C=C1)=O</t>
  </si>
  <si>
    <t>Thiadiazine 26</t>
  </si>
  <si>
    <t>C1SC(=NN(CC2C(=C(O)C=CC=2)O)C1=O)C(NC1=C(F)C=C(F)C=C1)=O</t>
  </si>
  <si>
    <t>Thiadiazine 25</t>
  </si>
  <si>
    <t>C1SC(=NN(CC2C(=C(OCC)C=CC=2)O)C1=O)C(NC1=C(F)C=C(F)C=C1)=O</t>
  </si>
  <si>
    <t>Thiadiazine 24</t>
  </si>
  <si>
    <t>C1SC(=NN(CC2C(=C(OCC)C=CC=2)O)C1=O)C(NC1=CC=C(F)C(F)=C1F)=O</t>
  </si>
  <si>
    <t>Thiadiazine 23</t>
  </si>
  <si>
    <t>C1SC(=NN(CC2C(=C(Br)C=C(Br)C=2)O)C1=O)C(NC1=CC=CC=C1F)=O</t>
  </si>
  <si>
    <t>Thiadiazine 22</t>
  </si>
  <si>
    <t>C1SC(=NN(CC2C(=C(OCC)C=CC=2)O)C1=O)C(NC1=CC=CC=C1F)=O</t>
  </si>
  <si>
    <t>Thiadiazine 21</t>
  </si>
  <si>
    <t>C1SC(=NN(CC2C(=C(OCC)C=CC=2)O)C1=O)C(NC1=CC=CC(F)=C1)=O</t>
  </si>
  <si>
    <t>Thiadiazine 20</t>
  </si>
  <si>
    <t>C1SC(=NN(CC2C(=C(OCC)C=CC=2)O)C1=O)C(NC1=CC=CC(C(F)(F)F)=C1)=O</t>
  </si>
  <si>
    <t>Thiadiazine 19</t>
  </si>
  <si>
    <t>C1SC(=NN(CC2C(=CC=C(Br)C=2)O)C1=O)C(NC1=CC=CC(C(F)(F)F)=C1)=O</t>
  </si>
  <si>
    <t>Thiadiazine 18</t>
  </si>
  <si>
    <t>C1SC(=NN(CC2C(=C(C=CC=2)OCC)O)C1=O)C(NC1=CC=CC=C1C(F)(F)F)=O</t>
  </si>
  <si>
    <t>Thiadiazine 17</t>
  </si>
  <si>
    <t>C1SC(=NN(CC2C(=C(C=CC=2)OCC)O)C1=O)C(NC1=CC=C(C=C1)F)=O</t>
  </si>
  <si>
    <t>Thiadiazine 16</t>
  </si>
  <si>
    <t>C1C=C(/C=N/N([HH0])C(=S)C(NC2=C(F)C=C(F)C=C2F)=O)C(O)=C(OCC)C=1</t>
  </si>
  <si>
    <t>Thiohydrazone 15</t>
  </si>
  <si>
    <t>C1C=C(/C=N/N([HH0])C(=S)C(NC2=C(F)C=C(F)C=C2)=O)C=C(OCC)C=1O</t>
  </si>
  <si>
    <t>Thiohydrazone 14</t>
  </si>
  <si>
    <t>C1C=C(/C=N/N([HH0])C(=S)C(NC2=C(F)C=C(F)C=C2)=O)C(O)=C(O)C=1</t>
  </si>
  <si>
    <t>Thiohydrazone 13</t>
  </si>
  <si>
    <t>C1C=C(/C=N/N([HH0])C(=S)C(NC2=C(F)C=C(F)C=C2)=O)C(O)=C(OCC)C=1</t>
  </si>
  <si>
    <t>Thiohydrazone 12</t>
  </si>
  <si>
    <t>C1C=C(/C=N/N([HH0])C(=S)C(NC2=CC=C(F)C(F)=C2F)=O)C(O)=C(OCC)C=1</t>
  </si>
  <si>
    <t>Thiohydrazone 11</t>
  </si>
  <si>
    <t>C(Br)1C=C(/C=N/N([HH0])C(=S)C(NC2=CC=CC=C2F)=O)C(O)=C(Br)C=1</t>
  </si>
  <si>
    <t>Thiohydrazone 10</t>
  </si>
  <si>
    <t>C1C=C(/C=N/N([HH0])C(=S)C(NC2=CC=CC=C2F)=O)C(O)=C(OCC)C=1</t>
  </si>
  <si>
    <t>Thiohydrazone 9</t>
  </si>
  <si>
    <t>C(Br)1C=C(/C=N/N([HH0])C(=S)C(NC2=CC=CC(F)=C2)=O)C(O)=C(Br)C=1</t>
  </si>
  <si>
    <t>Thiohydrazone 8</t>
  </si>
  <si>
    <t>C1C=C(/C=N/N([HH0])C(=S)C(NC2=CC=CC(F)=C2)=O)C(O)=C(OCC)C=1</t>
  </si>
  <si>
    <t>Thiohydrazone 7</t>
  </si>
  <si>
    <t>C(Br)1C=C(/C=N/N([HH0])C(=S)C(NC2=CC=CC(C(F)(F)F)=C2)=O)C(O)=C(Br)C=1</t>
  </si>
  <si>
    <t>Thiohydrazone 6</t>
  </si>
  <si>
    <t>C1C=C(/C=N/N([HH0])C(=S)C(NC2=CC=CC(C(F)(F)F)=C2)=O)C(O)=C(OCC)C=1</t>
  </si>
  <si>
    <t>Thiohydrazone 5</t>
  </si>
  <si>
    <t>C(Br)1C=C(/C=N/N([HH0])C(=S)C(NC2=CC=CC(C(F)(F)F)=C2)=O)C(O)=CC=1</t>
  </si>
  <si>
    <t>Thiohydrazone 4</t>
  </si>
  <si>
    <t>C(Br)1C=C(/C=N/N([HH0])C(=S)C(NC2=CC=CC=C2C(F)(F)F)=O)C(O)=C(Br)C=1</t>
  </si>
  <si>
    <t>Thiohydrazone 3</t>
  </si>
  <si>
    <t>C1C=C(/C=N/N([HH0])C(=S)C(NC2=CC=CC=C2C(F)(F)F)=O)C(O)=C(C=1)OCC</t>
  </si>
  <si>
    <t>Thiohydrazone 2</t>
  </si>
  <si>
    <t>C1C=C(/C=N/N([HH0])C(=S)C(NC2=CC=C(F)C=C2)=O)C(O)=C(C=1)OCC</t>
  </si>
  <si>
    <t>Thiohydrazone 1</t>
  </si>
  <si>
    <t>C1(=CC=CC=C1)C[C@H](NC(=O)[C@H](C(C)C)N([HH0])C(=O)C1CCCN1C([C@@H](NC(=O)OC(C)(C)C)C(C)C)=O)C(=O)COCC1C=CC=CC=1</t>
  </si>
  <si>
    <t>A03</t>
  </si>
  <si>
    <t>O(CC1=CC=CC=C1)C(=O)N[C@@H](C(C)C)C(=O)N1C(C(N([C@H](C(OC(C)(C)C)=O)C(C)C)[HH0])=O)CCC1</t>
  </si>
  <si>
    <t>A02</t>
  </si>
  <si>
    <t>C1=CC=CC2C(C3C=CC=CC=3C1=2)COC(=O)N[C@@H](C(C)C)C(=O)N1C(C(N([C@H](C(OC(C)(C)C)=O)C(C)C)[HH0])=O)CCC1</t>
  </si>
  <si>
    <t>A01</t>
  </si>
  <si>
    <t>C1=C(C=C(C=C1[NH0+]([OH0-])=O)C(/[NH+]=C/C1C=C(C(=C(C=1)Br)O[HH0])Br)=O)[NH0+]([OH0-])=O</t>
  </si>
  <si>
    <t>SF3</t>
  </si>
  <si>
    <t>C1=C(C=C(C=C1C(F)(F)F)C(N([HH0])/N=C/C1C=C(C(O[HH0])=C(C=1)Br)Br)=O)C(F)(F)F</t>
  </si>
  <si>
    <t>SF2</t>
  </si>
  <si>
    <t>FC(C1C=CC(C(N([HH0])/N=C/C2=CC(Br)=C(C(Br)=C2)O[HH0])=O)=CC=1)(F)F</t>
  </si>
  <si>
    <t>SF1</t>
  </si>
  <si>
    <t>C(C=O)1=CC(=C(O[HH0])C(Br)=C1)Br</t>
  </si>
  <si>
    <t>F2</t>
  </si>
  <si>
    <t>O=[NH0+](C1C=CC(C(N(N([HH0])[HH0])[HH0])=O)=CC=1)[OH0-]</t>
  </si>
  <si>
    <t>F1</t>
  </si>
  <si>
    <t>c1c(cc(c(c1O)O)O)[C@@H]2[C@@H](Cc3c(cc(cc3O2)O)O)O</t>
  </si>
  <si>
    <t>(-)-epigallocatechin</t>
  </si>
  <si>
    <t>c1cc(c(cc1[C@@H]2[C@H](Cc3c(cc(cc3O2)O)O)O)O)O</t>
  </si>
  <si>
    <t>(+)-catechin</t>
  </si>
  <si>
    <t>C1=C(/C=N/N([HH0])C(=O)CC2C=CC=CC=2)C(=C(C=C1Br)OC)O[HH0]</t>
  </si>
  <si>
    <t>ME0262</t>
  </si>
  <si>
    <t>C(C)(C)(C)C1C=C(/C=N/N([HH0])C(=O)CC2C=CC=CC=2)C(=CC=1)O[HH0]</t>
  </si>
  <si>
    <t>ME0258</t>
  </si>
  <si>
    <t>C1C=C(C=C(O[HH0])C=1/C=N/N([HH0])C(=O)C1=CC=NC=C1)Cl</t>
  </si>
  <si>
    <t>ME0257</t>
  </si>
  <si>
    <t>N(/N([HH0])C(=O)C1=C(Cl)C2C=CC=CC=2S1)=C\C1C(=C(C=C(C=1)Br)OC)O[HH0]</t>
  </si>
  <si>
    <t>ME0199</t>
  </si>
  <si>
    <t>C1=C(C(O[HH0])=C(C=C1OC)O[HH0])/C=N/N([HH0])C(=O)C1C=C(C=CC=1)OC</t>
  </si>
  <si>
    <t>ME0198</t>
  </si>
  <si>
    <t>C(=N/N([HH0])C(=O)C(=O)N([HH0])[HH0])\C1C(=C(C=C(C=1)Br)OC)O[HH0]</t>
  </si>
  <si>
    <t>ME0197</t>
  </si>
  <si>
    <t>C1=C(/C=N/N([HH0])C(=O)COC2C=CC([NH0+]([OH0-])=O)=CC=2)C(=C(C=C1OC)OC)O[HH0]</t>
  </si>
  <si>
    <t>ME0196</t>
  </si>
  <si>
    <t>C1=C(/C=N/N([HH0])C(=O)CCC2C=CC(=CC=2)O[HH0])C(O[HH0])=C(C=C1Br)OC</t>
  </si>
  <si>
    <t>ME0195</t>
  </si>
  <si>
    <t>C1C=C(O[HH0])C(O[HH0])=C(O[HH0])C=1/C=N/N([HH0])C(=O)C1=CC=CC=C1[NH0+]([OH0-])=O</t>
  </si>
  <si>
    <t>ME0194</t>
  </si>
  <si>
    <t>C(/C=N/N([HH0])C(=O)C1=CC(OC)=C(OC)C(OC)=C1)1C(=C(C(=CC=1)O[HH0])O[HH0])O[HH0]</t>
  </si>
  <si>
    <t>ME0193</t>
  </si>
  <si>
    <t>C(C)N(C1=CC=C(/C=N/N([HH0])C(=O)COC2C=CC(F)=CC=2)C(=C1)O[HH0])CC</t>
  </si>
  <si>
    <t>ME0191</t>
  </si>
  <si>
    <t>C1=C(/C=N/N([HH0])C(=O)CC23CC4CC(CC(C4)C2)C3)C(=C(C=C1[NH0+](=O)[OH0-])[NH0+](=O)[OH0-])O[HH0]</t>
  </si>
  <si>
    <t>ME0189</t>
  </si>
  <si>
    <t>C(=N/N([HH0])C(=O)C1=CC=C(Br)C=C1)\C1C(O[HH0])=C(C=C(C=1)[NH0+](=O)[OH0-])[NH0+](=O)[OH0-]</t>
  </si>
  <si>
    <t>ME0188</t>
  </si>
  <si>
    <t>C1=C(/C=N/N([HH0])C(=O)C2C(=CC=C(C=2)OC)Br)C(O[HH0])=C(C=C1[NH0+]([OH0-])=O)[NH0+](=O)[OH0-]</t>
  </si>
  <si>
    <t>ME0187</t>
  </si>
  <si>
    <t>C1=C(/C=N/N([HH0])C(=O)CC#N)C(=C(C=C1[NH0+](=O)[OH0-])OC)O[HH0]</t>
  </si>
  <si>
    <t>ME0186</t>
  </si>
  <si>
    <t>C1=C(/C=N/N([HH0])C(=O)C2=CC=NC=C2)C(O[HH0])=C(C=C1[NH0+](=O)[OH0-])OC</t>
  </si>
  <si>
    <t>ME0185</t>
  </si>
  <si>
    <t>CC(C)(C)C1=CC(C(C)(C)C)=C(O[HH0])C(/C=N/N([HH0])C(=O)C2=CC=CC(OC)=C2)=C1</t>
  </si>
  <si>
    <t>ME0183</t>
  </si>
  <si>
    <t>C(C)(C)(C)C1C=C(/C=N/N([HH0])C(=O)COC2C=CC([NH0+](=O)[OH0-])=CC=2)C(=C(C=1)C(C)(C)C)O[HH0]</t>
  </si>
  <si>
    <t>ME0182</t>
  </si>
  <si>
    <t>C1=C(/C=N/N([HH0])C(=O)C2C=C(C=CC=2)C(F)(F)F)C(=C(C=C1C(C)(C)C)C(C)(C)C)O[HH0]</t>
  </si>
  <si>
    <t>ME0181</t>
  </si>
  <si>
    <t>C1C=C(OC)C=C(O[HH0])C=1/C=N/N([HH0])C(=O)CCC1=CC=C(O[HH0])C=C1</t>
  </si>
  <si>
    <t>ME0178</t>
  </si>
  <si>
    <t>C1=C(/C=N/N([HH0])C(=O)C2=CC(OC)=C(OC)C(OC)=C2)C(=C(C=C1Cl)Cl)O[HH0]</t>
  </si>
  <si>
    <t>ME0176</t>
  </si>
  <si>
    <t>C1=C(/C=N/N([HH0])C(=O)C2C=C(Cl)C=C(C=2)Cl)C(=C(C=C1F)Cl)O[HH0]</t>
  </si>
  <si>
    <t>ME0175</t>
  </si>
  <si>
    <t>C(/C=N/N([HH0])C(=O)COC1C=CC(F)=CC=1)1C(=C(C=C(F)C=1)Cl)O[HH0]</t>
  </si>
  <si>
    <t>ME0174</t>
  </si>
  <si>
    <t>C1=C(C(O[HH0])=C(C=C1F)Cl)/C=N/N([HH0])C(=O)C1=CC=C(OC)C(=C1)OC</t>
  </si>
  <si>
    <t>ME0173</t>
  </si>
  <si>
    <t>C1=C(C(O[HH0])=CC=C1C(C)(C)C)/C=N/N([HH0])C(CC12CC3CC(C1)CC(C3)C2)=O</t>
  </si>
  <si>
    <t>ME0172</t>
  </si>
  <si>
    <t>C1=C(C(O[HH0])=CC=C1C(C)(C)C)/C=N/N([HH0])C(=O)C1=CC=C(Br)C=C1</t>
  </si>
  <si>
    <t>ME0171</t>
  </si>
  <si>
    <t>C(C)(C)(C)C1C=C(C(O[HH0])=CC=1)/C=N/N([HH0])C(=O)C1C(Br)=CC=C(C=1)OC</t>
  </si>
  <si>
    <t>ME0170</t>
  </si>
  <si>
    <t>C(=N/N([HH0])C(=O)CC#N)\C1C(O[HH0])=CC=C(C=1)Br</t>
  </si>
  <si>
    <t>ME0169</t>
  </si>
  <si>
    <t>C(=N/N([HH0])C(=O)C1=CC=NC=C1)\C1C(O[HH0])=CC=C(C=1)Br</t>
  </si>
  <si>
    <t>ME0168</t>
  </si>
  <si>
    <t>C(Br)1=CC=C(O[HH0])C(/C=N/N([HH0])C(=O)C2=C(C)N=NS2)=C1</t>
  </si>
  <si>
    <t>ME0167</t>
  </si>
  <si>
    <t>C(/C=N/N([HH0])C(=O)C1C=CC=C(OC)C=1)1C(=C(C=CC=1)F)O[HH0]</t>
  </si>
  <si>
    <t>ME0166</t>
  </si>
  <si>
    <t>C(/C=N/N([HH0])C(COC1C=CC([NH0+](=O)[OH0-])=CC=1)=O)1C(=C(C=CC=1)F)O[HH0]</t>
  </si>
  <si>
    <t>ME0165</t>
  </si>
  <si>
    <t>C1(=C(/C=N/N([HH0])C(=O)C(=O)N([HH0])[HH0])C(=CC(=C1)O[HH0])O[HH0])O[HH0]</t>
  </si>
  <si>
    <t>ME0163</t>
  </si>
  <si>
    <t>C1(=C(/C=N/N([HH0])C(=O)C2=C(Cl)C3C=CC=CC=3S2)C(=CC(=C1)O[HH0])O[HH0])O[HH0]</t>
  </si>
  <si>
    <t>ME0162</t>
  </si>
  <si>
    <t>C1(=C(/C=N/N([HH0])C(=O)CCC2=CC=C(O[HH0])C=C2)C(=CC(=C1)O[HH0])O[HH0])O[HH0]</t>
  </si>
  <si>
    <t>ME0161</t>
  </si>
  <si>
    <t>C1C=CC(OC)=C(O[HH0])C=1/C=N/N([HH0])C(=O)C1C([NH0+]([OH0-])=O)=CC=CC=1</t>
  </si>
  <si>
    <t>ME0160</t>
  </si>
  <si>
    <t>C1C=CC(OC)=C(O[HH0])C=1/C=N/N([HH0])C(=O)C1=CC(OC)=C(OC)C(OC)=C1</t>
  </si>
  <si>
    <t>ME0159</t>
  </si>
  <si>
    <t>IC1C=C(C(=C(C=1)I)O[HH0])/C=N/N([HH0])C(=O)C1=CC(=CC(Cl)=C1)Cl</t>
  </si>
  <si>
    <t>ME0158</t>
  </si>
  <si>
    <t>C1=C(/C=N/N([HH0])C(=O)COC2C=CC(F)=CC=2)C(=C(C=C1I)I)O[HH0]</t>
  </si>
  <si>
    <t>ME0157</t>
  </si>
  <si>
    <t>IC1C=C(C(=C(C=1)I)O[HH0])/C=N/N([HH0])C(=O)C1C=CC(OC)=C(OC)C=1</t>
  </si>
  <si>
    <t>ME0156</t>
  </si>
  <si>
    <t>C(=N/N([HH0])C(CC12CC3CC(C1)CC(C3)C2)=O)\C1C(O[HH0])=CC(=CC=1)Cl</t>
  </si>
  <si>
    <t>ME0155</t>
  </si>
  <si>
    <t>C(=N/N([HH0])C(=O)C1=CC=C(Br)C=C1)\C1C(O[HH0])=CC(=CC=1)Cl</t>
  </si>
  <si>
    <t>ME0154</t>
  </si>
  <si>
    <t>C(=N/N([HH0])C(=O)C1C(=CC=C(C=1)OC)Br)\C1C(O[HH0])=CC(=CC=1)Cl</t>
  </si>
  <si>
    <t>ME0153</t>
  </si>
  <si>
    <t>C1(=C(/C=N/N([HH0])C(=O)CC#N)C(O[HH0])=C(C=C1)OC)Br</t>
  </si>
  <si>
    <t>ME0152</t>
  </si>
  <si>
    <t>BrC1=C(C(=C(C=C1)OC)O[HH0])/C=N/N([HH0])C(=O)C1C=CN=CC=1</t>
  </si>
  <si>
    <t>ME0151</t>
  </si>
  <si>
    <t>BrC1=C(C(O[HH0])=C(C=C1)OC)/C=N/N([HH0])C(=O)C1=C(C)N=NS1</t>
  </si>
  <si>
    <t>ME0150</t>
  </si>
  <si>
    <t>O(C1=CC=C(C=C1)F)CC1OC(=CC=1)C(N([HH0])C1C=CC(S(N([HH0])C2=NOC(C)=C2)(=O)=O)=CC=1)=O</t>
  </si>
  <si>
    <t>Acylated sulfonamide 25</t>
  </si>
  <si>
    <t>C1=CC=C(C(Cl)=C1)/C=C/C(N(C1=CC=C(C=C1)S(NC1=NOC(C)=C1)(=O)=O)[HH0])=O</t>
  </si>
  <si>
    <t>Acylated sulfonamide 24</t>
  </si>
  <si>
    <t>C1=CC=C(C=C1Cl)/C=C/C(N(C1=CC=C(C=C1)S(NC1=NOC(C)=C1)(=O)=O)[HH0])=O</t>
  </si>
  <si>
    <t>Acylated sulfonamide 23</t>
  </si>
  <si>
    <t>N1(C=C(Br)C=N1)CC1OC(=CC=1)C(N(C1=CC=C(C=C1)S(N([HH0])C1=NOC(C)=C1)(=O)=O)[HH0])=O</t>
  </si>
  <si>
    <t>Acylated sulfonamide 22</t>
  </si>
  <si>
    <t>C(Br)1C=CC(/C=C/C(N(C2=CC=C(C=C2)S(=O)(N([HH0])C2C=C(C)ON=2)=O)[HH0])=O)=CC=1</t>
  </si>
  <si>
    <t>Acylated sulfonamide 20</t>
  </si>
  <si>
    <t>ClC1C=C(C(/C=C/C(N(C2=CC=C(C=C2)S(=O)(N([HH0])C2C=C(C)ON=2)=O)[HH0])=O)=CC=1)Cl</t>
  </si>
  <si>
    <t>Acylated sulfonamide 19</t>
  </si>
  <si>
    <t>C1(=C(Cl)C2C=CC(Cl)=CC=2S1)C(N([HH0])C1C=CC(S(N([HH0])C2C=C(C)ON=2)(=O)=O)=CC=1)=O</t>
  </si>
  <si>
    <t>Acylated sulfonamide 18</t>
  </si>
  <si>
    <t>C1=CC(=CC=C1)CCC(N([HH0])C1C=CC(S(N([HH0])C2ON=C(C)C=2C)(=O)=O)=CC=1)=O</t>
  </si>
  <si>
    <t>Acylated sulfonamide 14</t>
  </si>
  <si>
    <t>C1=CC(=CC=C1)/C=C/C(N([HH0])C1C=CC(S(N([HH0])C2ON=C(C)C=2C)(=O)=O)=CC=1)=O</t>
  </si>
  <si>
    <t>Acylated sulfonamide 13</t>
  </si>
  <si>
    <t>C1C=CC(=CC=1Cl)C(N(C1=CC=C(C=C1)S(=O)(N([HH0])C1=C(C(=NO1)C)C)=O)[HH0])=O</t>
  </si>
  <si>
    <t>Acylated sulfonamide 10</t>
  </si>
  <si>
    <t>C1(=CC=CO1)/C=C/C(N([HH0])C1C=CC(S(=O)(N([HH0])C2=C(C(=NO2)C)C)=O)=CC=1)=O</t>
  </si>
  <si>
    <t>Acylated sulfonamide 9</t>
  </si>
  <si>
    <t>CC1OC(=CC=1)/C=C/C(N([HH0])C1C=CC(S(=O)(N([HH0])C2ON=C(C)C=2C)=O)=CC=1)=O</t>
  </si>
  <si>
    <t>Acylated sulfonamide 8</t>
  </si>
  <si>
    <t>C/C(/C)=C/C(N([HH0])C1C=CC(S(=O)(N([HH0])C2ON=C(C)C=2C)=O)=CC=1)=O</t>
  </si>
  <si>
    <t>Acylated sulfonamide 7</t>
  </si>
  <si>
    <t>O(C)C1C(=CC(=CC=1)/C=C/C(N(C1=CC=C(C=C1)S(N([HH0])C1=C(C(=NO1)C)C)(=O)=O)[HH0])=O)OC</t>
  </si>
  <si>
    <t>Acylated sulfonamide 6</t>
  </si>
  <si>
    <t>C(C)(C1C=CC(/C=C/C(N(C2=CC=C(C=C2)S(=O)(N([HH0])C2=C(C(=NO2)C)C)=O)[HH0])=O)=CC=1)C</t>
  </si>
  <si>
    <t>Acylated sulfonamide 4</t>
  </si>
  <si>
    <t>ClC1C=C(C(=CC=1)/C=C/C(N(C1=CC=C(C=C1)S(=O)(N([HH0])C1=C(C)C(=NO1)C)=O)[HH0])=O)Cl</t>
  </si>
  <si>
    <t>Acylated sulfonamide 1</t>
  </si>
  <si>
    <t>C1=CC(Br)=CC(/C=N/NC(=O)C2C=CC(/C=C/C(NC3C=CC(=CC=3)S(=O)(NC3C=C(C)ON=3)=O)=O)=CC=2)=C1O</t>
  </si>
  <si>
    <t>Salicylidene acylhydrazide-cinnamoyl sulfonamide 15d</t>
  </si>
  <si>
    <t>C1=C(N(CC)CC)C=CC(/C=N/NC(=O)C2C=CC(/C=C/C(NC3C=CC(=CC=3)S(=O)(NC3C=C(C)ON=3)=O)=O)=CC=2)=C1O</t>
  </si>
  <si>
    <t>Salicylidene acylhydrazide-cinnamoyl sulfonamide 15c</t>
  </si>
  <si>
    <t>C1(=CC(Cl)=CC(/C=N/NC(=O)C2C=CC(/C=C/C(NC3C=CC(=CC=3)S(=O)(NC3C=C(C)ON=3)=O)=O)=CC=2)=C1O)Cl</t>
  </si>
  <si>
    <t>Salicylidene acylhydrazide-cinnamoyl sulfonamide 15b</t>
  </si>
  <si>
    <t>C1(=CC=CC(/C=N/NC(=O)C2C=CC(/C=C/C(NC3C=CC(=CC=3)S(=O)(NC3C=C(C)ON=3)=O)=O)=CC=2)=C1O)F</t>
  </si>
  <si>
    <t>Salicylidene acylhydrazide-cinnamoyl sulfonamide 15a</t>
  </si>
  <si>
    <t>C1C(Br)=CC(/C=N/NC(=O)C2C=CC(=CC=2)S(=O)(NC2C=C(C)ON=2)=O)=C(O)C=1Br</t>
  </si>
  <si>
    <t>Salicylidene acylhydrazide sulfonamide 11d</t>
  </si>
  <si>
    <t>C(N(CC)CC)1C=CC(/C=N/NC(=O)C2C=CC(=CC=2)S(=O)(NC2C=C(C)ON=2)=O)=C(O)C=1</t>
  </si>
  <si>
    <t>Salicylidene acylhydrazide sulfonamide 11c</t>
  </si>
  <si>
    <t>C1C(Cl)=CC(/C=N/NC(=O)C2C=CC(=CC=2)S(=O)(NC2C=C(C)ON=2)=O)=C(O)C=1Cl</t>
  </si>
  <si>
    <t>Salicylidene acylhydrazide sulfonamide 11b</t>
  </si>
  <si>
    <t>OC1C=CC(/C=N/NC(=O)C2C=CC(=CC=2)S(=O)(NC2C=C(C)ON=2)=O)=C(O)C=1</t>
  </si>
  <si>
    <t>Salicylidene acylhydrazide sulfonamide 11a</t>
  </si>
  <si>
    <t>N(C1CCCCC1)C(NC1=CC=C(S(NC2=NOC(C)=C2)(=O)=O)C=C1)=S</t>
  </si>
  <si>
    <t>Thioureido-sulfonamide 5d</t>
  </si>
  <si>
    <t>N(C1=CC=C(O)C=C1)C(NC1=CC=C(S(NC2=NOC(C)=C2)(=O)=O)C=C1)=S</t>
  </si>
  <si>
    <t>Thioureido-sulfonamide 5c</t>
  </si>
  <si>
    <t>N(CC1=CC=CC=C1O)C(NC1=CC=C(S(NC2=NOC(C)=C2)(=O)=O)C=C1)=S</t>
  </si>
  <si>
    <t>Thioureido-sulfonamide 5b</t>
  </si>
  <si>
    <t>N(CC1=CC=CC=C1)C(NC1=CC=C(S(NC2=NOC(C)=C2)(=O)=O)C=C1)=S</t>
  </si>
  <si>
    <t>Thioureido-sulfonamide 5a</t>
  </si>
  <si>
    <t>N(C1CCCCC1)C(NC1=CC=C(S(NC2=NOC(C)=C2)(=O)=O)C=C1)=O</t>
  </si>
  <si>
    <t>Ureido-sulfonamide 4d</t>
  </si>
  <si>
    <t>N(C1C=CC(=CC=1)O)C(NC1=CC=C(S(NC2=NOC(C)=C2)(=O)=O)C=C1)=O</t>
  </si>
  <si>
    <t>Ureido-sulfonamide 4c</t>
  </si>
  <si>
    <t>C1C=C(C(O)=CC=1)CNC(NC1=CC=C(S(NC2=NOC(C)=C2)(=O)=O)C=C1)=O</t>
  </si>
  <si>
    <t>Ureido-sulfonamide 4b</t>
  </si>
  <si>
    <t>C1C=C(C=CC=1)CNC(NC1=CC=C(S(NC2=NOC(C)=C2)(=O)=O)C=C1)=O</t>
  </si>
  <si>
    <t>Ureido-sulfonamide 4a</t>
  </si>
  <si>
    <t>CC(C)C(CCCN(C)CCC1=CC(=C(C=C1)OC)OC)(C#N)C2=CC(=C(C=C2)OC)OC</t>
  </si>
  <si>
    <t>Verapamil</t>
  </si>
  <si>
    <t>C1=C(C)C=CC2C3=C(C(NC1=2)(C)C)SS/C/3=N/C1C=CC=C(C=1)OC</t>
  </si>
  <si>
    <t>MDQA</t>
  </si>
  <si>
    <t>Clc1cc(Cl)cc(c1)S(=O)(=O)N2[C@H]3CCCC2C(=O)N(Cc4occc4)C[C@@H]3C=C</t>
  </si>
  <si>
    <t>[4.3.1]-aza-bicyclic sulfonamide 11j</t>
  </si>
  <si>
    <t>c1cc(ccc1/C=C/c2cc(cc(c2)O)O)O</t>
  </si>
  <si>
    <t>Resveratrol</t>
  </si>
  <si>
    <t>B1(OB2OB(OB(O1)O2)[O-])[O-].O.O.O.O.O.O.O.O.O.O.[Na+].[Na+]</t>
  </si>
  <si>
    <t>Borax</t>
  </si>
  <si>
    <t xml:space="preserve">II </t>
  </si>
  <si>
    <t>Iodine</t>
  </si>
  <si>
    <t>C1=CC(=CC=C1NC(=NC(=NCCCCCCN=C(N)N=C(N)NC2=CC=C(C=C2)Cl)N)N)Cl</t>
  </si>
  <si>
    <t>Chlorhexidine</t>
  </si>
  <si>
    <t>C=CN1CCCC1=O.II</t>
  </si>
  <si>
    <t>Povidone-iodine</t>
  </si>
  <si>
    <t>N(CCCN([HH0])CCCN([HH0])CCCCN([HH0])CCCN([HH0])[HH0])([HH0])CCCCCCCCCCCCCCCC</t>
  </si>
  <si>
    <t>DS-96</t>
  </si>
  <si>
    <t>NC1C=CC(C#CC#CC2=CC=C(C(=O)N([C@H](C(=O)N([HH0])O[HH0])[C@@H](C)O[HH0])[HH0])C=C2)=CC=1</t>
  </si>
  <si>
    <t>LPC-011</t>
  </si>
  <si>
    <t>C1=C(C=CC=C1)C#CC#CC1=CC=C(C(N([C@@H]([C@H](O[HH0])C)C(=O)N([HH0])O[HH0])[HH0])=O)C=C1</t>
  </si>
  <si>
    <t>LPC-009</t>
  </si>
  <si>
    <t>O1CCN(CC2C=CC(C#CC3=CC=C(C(N([C@H](C(=O)N([HH0])O[HH0])[C@H](O)C)[HH0])=O)C=C3)=CC=2)CC1</t>
  </si>
  <si>
    <t>CHIR-090</t>
  </si>
  <si>
    <t>C12C(C3=C(C(C=1S(=O)(CCN2[HH0])=O)=O)C(CCN([HH0])[HH0])=CN3[HH0])=O</t>
  </si>
  <si>
    <t>Natural product 6</t>
  </si>
  <si>
    <t>C1(C=C(C(C3=C1C(=C2[C@@H](O[H])C[C@](O[H])(C)CC2=C3O[H])O[H])=O)N(CCN4CCOCC4)[H])=O</t>
  </si>
  <si>
    <t>Natural product 4</t>
  </si>
  <si>
    <t>N([H])(CCC1=CC=CC=C1)C2=CC(C4=C(C2=O)C(=C3C[C@@](C[C@@H](C3=C4O[H])O[H])(O[H])C)O[H])=O</t>
  </si>
  <si>
    <t>Natural product 2</t>
  </si>
  <si>
    <t>C1(=CC(C3=C(C1=O)C(=C2C[C@@](C[C@@H](C2=C3O)O)(O)C)O[H])=O)N(CCOC)[H]</t>
  </si>
  <si>
    <t>Natural product 1</t>
  </si>
  <si>
    <t>CN1C2=CC=CC=C2N=C3C1=CC=CC3=O</t>
  </si>
  <si>
    <t>Pyocyanin</t>
  </si>
  <si>
    <t>C1C=C2C(=CC=1)N([HH0])C=C2[C@@H](C(OC)CO[HH0])C1NC2C=CC=CC=2C=1CC(O)=O</t>
  </si>
  <si>
    <t>Dimeric indole 3</t>
  </si>
  <si>
    <t>C1C=C2C(=CC=1)N([HH0])C=C2[C@H](C(O[HH0])CO[HH0])C1NC2C=CC=CC=2C=1CCO[HH0]</t>
  </si>
  <si>
    <t>Dimeric indole 2</t>
  </si>
  <si>
    <t>C1C=C2C(=CC=1)N([HH0])C=C2[C@@H](C(O[HH0])CO[HH0])C1NC2C=CC=CC=2C=1CCO[HH0]</t>
  </si>
  <si>
    <t>Dimeric indole 1</t>
  </si>
  <si>
    <t>CC1=NN=C(N1C2CC3CCC(C2)N3CCC(C4=CC=CC=C4)NC(=O)C5CCC(CC5)(F)F)C(C)C</t>
  </si>
  <si>
    <t>Maraviroc</t>
  </si>
  <si>
    <t>CC1=C(C(=O)C=C2C1=CC=C3C2(CCC4(C3(CCC5(C4CC(CC5)(C)C(=O)O)C)C)C)C)O</t>
  </si>
  <si>
    <t>Celastrol</t>
  </si>
  <si>
    <t>C(C1C(C(C(C(O1)O)O)OC2C(C(C(C(O2)CO)O)OC3C(C(C(C(O3)CO)O)O)O)O)O)O</t>
  </si>
  <si>
    <t>Laminarin</t>
  </si>
  <si>
    <t>C(C1C(C(C(C(O1)OC2C(OC(C(C2O)O)OC3C(OC(C(C3O)O)O)CO)CO)O)O)O)O</t>
  </si>
  <si>
    <t>Beta-glucan</t>
  </si>
  <si>
    <t>C(C1C(C(C(C(O1)OC2C(OC(C(C2O)O)OC3C(OC(C(C3O)O)OC4C(OC(C(C4O)O)O)CO)CO)CO)O)O)O)O</t>
  </si>
  <si>
    <t>Mannan</t>
  </si>
  <si>
    <t>C(C1=CC=C(F)C=C1)1=C(C2=CC=C(F)C=C2)N(C2=CC=CC=C2)C(C/C=C/C2=CC=CC=C2)=C1</t>
  </si>
  <si>
    <t>1,2,3,5-tetrasubstituted pyrrole 14</t>
  </si>
  <si>
    <t>C(C1=CC=C(C)C=C1)1=C(C2=CC=C(C)C=C2)N(C2=CC=CC=C2)C(C2=CC=CC=C2)=C1</t>
  </si>
  <si>
    <t>1,2,3,5-tetrasubstituted pyrrole 13</t>
  </si>
  <si>
    <t>C(C1=CC2C=CC=CC=2C=C1)1=C(C2=CC3C=CC=CC=3C=C2)N(C2=CC=CC=C2)C(C2=CC=CC=C2)=C1</t>
  </si>
  <si>
    <t>1,2,3,5-tetrasubstituted pyrrole 12</t>
  </si>
  <si>
    <t>C(C1=CC=CC(Cl)=C1)1=C(C2=CC(Cl)=CC=C2)N(C2=CC=CC=C2)C(C2=CC=CC=C2)=C1</t>
  </si>
  <si>
    <t>1,2,3,5-tetrasubstituted pyrrole 11</t>
  </si>
  <si>
    <t>C(C1=CC=C(F)C=C1)1=C(C2=CC=C(F)C=C2)N(C2=CC=C(F)C=C2)C(C2=CC=CC=C2)=C1</t>
  </si>
  <si>
    <t>1,2,3,5-tetrasubstituted pyrrole 10</t>
  </si>
  <si>
    <t>C(C1=CC=CC(C#N)=C1)1=C(C2=CC(C#N)=CC=C2)N(C2=CC=CC=C2)C(C2=CC=CC=C2)=C1</t>
  </si>
  <si>
    <t>1,2,3,5-tetrasubstituted pyrrole 9</t>
  </si>
  <si>
    <t>C(C1=CC=C(F)C=C1)1=C(C2=CC=C(F)C=C2)N(C2=CC=CC=C2)C(C2=CC=CC=C2)=C1</t>
  </si>
  <si>
    <t>1,2,3,5-tetrasubstituted pyrrole 8</t>
  </si>
  <si>
    <t>C(C1=CC=CC=C1)1=C(C2=CC=CC=C2)N(C2=CC=CC=C2)C(C2=CC=CC=C2)=C1</t>
  </si>
  <si>
    <t>1,2,3,5-tetrasubstituted pyrrole 7</t>
  </si>
  <si>
    <t>C(C1=CC=C(OC)C=C1)1=C(C2=CC=C(OC)C=C2)N(C2=CC=C(F)C=C2)C(C2=CC=CC=C2)=C1</t>
  </si>
  <si>
    <t>1,2,3,5-tetrasubstituted pyrrole 6</t>
  </si>
  <si>
    <t>C(C1=CC=C(OC)C=C1)1=C(C2=CC=C(OC)C=C2)N(C2=CC=C(Cl)C=C2)C(C2=CC=CC=C2)=C1</t>
  </si>
  <si>
    <t>1,2,3,5-tetrasubstituted pyrrole 5</t>
  </si>
  <si>
    <t>C(C1=CC=C(OC)C=C1)1=C(C2=CC=C(OC)C=C2)N(C2=CC=C3C=CC=CC3=C2)C(C2=CC=CC=C2)=C1</t>
  </si>
  <si>
    <t>1,2,3,5-tetrasubstituted pyrrole 4</t>
  </si>
  <si>
    <t>C(C1=CC=C(OC)C=C1)1=C(C2=CC=C(OC)C=C2)N(C2=CC=C(Br)C=C2)C(C2=CC=CC=C2)=C1</t>
  </si>
  <si>
    <t>1,2,3,5-tetrasubstituted pyrrole 3</t>
  </si>
  <si>
    <t>C(C1=CC=C(OC)C=C1)1=C(C2=CC=C(OC)C=C2)N(C2=CC=CC=C2)C(C2=CC=CC=C2)=C1</t>
  </si>
  <si>
    <t>1,2,3,5-tetrasubstituted pyrrole 2</t>
  </si>
  <si>
    <t>C(C1=CC=C(C)C=C1)1=C(C2=CC=C(C)C=C2)N(C2=CC=C(OC)C=C2)C(C2=CC=CC=C2)=C1</t>
  </si>
  <si>
    <t>1,2,3,5-tetrasubstituted pyrrole 1</t>
  </si>
  <si>
    <t>CCC(C)C(C(=O)O)NC(=O)C(CC(C)C)N</t>
  </si>
  <si>
    <t>H-Leu-Ile-OH</t>
  </si>
  <si>
    <t>C1=CC=C(C=C1)COC(=O)NC(CSC2=CC=CC=C2)C(=O)O</t>
  </si>
  <si>
    <t>z-S-phenyl-L-cysteine</t>
  </si>
  <si>
    <t>C1=CC(=CC=C1C=C(C(=O)O)S)I</t>
  </si>
  <si>
    <t>3-(4-Iodophenyl)-2-mercapto-(Z)-2-propenoic Acid</t>
  </si>
  <si>
    <t>CCOC(=O)C1C(O1)C(=O)NC(CC(C)C)C(=O)NCCC(C)C</t>
  </si>
  <si>
    <t>L-trans-Epoxysuccinyl-Leu-3-methylbutylamide-ethyl ester</t>
  </si>
  <si>
    <t>CC(C)C(C(=O)NC(CCC1=CC=CC=C1)C(=O)CF)NC(=O)N2CCOCC2</t>
  </si>
  <si>
    <t>Mu-Val-HPh-FMK</t>
  </si>
  <si>
    <t>CCCNC(=O)C1C(O1)C(=O)NC(C(C)CC)C(=O)N2CCCC2C(=O)OC</t>
  </si>
  <si>
    <t>L-trans-Epoxysuccinyl-Ile-Pro-OMe propylamide</t>
  </si>
  <si>
    <t>C(C[C@@H](C([HH0])=O)NC(=O)[C@H](CC1C=CC=CC=1)N(C(OCC1C=CC=CC=1)=O)[HH0])1C=CC(=CC=1)O[HH0]</t>
  </si>
  <si>
    <t>z-Phe-Tyr-CHO</t>
  </si>
  <si>
    <t>CCCCC(C=O)NC(=O)C(CC(C)C)NC(=O)C(CC(C)C)NC(=O)C</t>
  </si>
  <si>
    <t>Ac-Leu-Leu-Nle-CHO</t>
  </si>
  <si>
    <t>CC(C)C(C(=O)NC(CC1=CC=CC=C1)C=O)NC(=O)OCC2=CC=CC=C2</t>
  </si>
  <si>
    <t>z-Val-Phe-CHO</t>
  </si>
  <si>
    <t>CCCCC(C=O)NC(=O)C(CC(C)C)NC(=O)OCC1=CC=CC=C1</t>
  </si>
  <si>
    <t>z-Leu-Nle-CHO</t>
  </si>
  <si>
    <t>CC(C)CC(C=O)NC(=O)C(CC(C)C)NC(=O)OCC1=CC=CC=C1</t>
  </si>
  <si>
    <t>z-Leu-Leu-CHO</t>
  </si>
  <si>
    <t>CC(C(=O)CF)NC(=O)C(CC1=CC=CC=C1)NC(=O)OCC2=CC=CC=C2</t>
  </si>
  <si>
    <t>z-Phe-Ala-FMK</t>
  </si>
  <si>
    <t>C1=CC(=CC=C1C2=COC3=C(C2=O)C=CC(=C3)OC4C(C(C(C(O4)CO)O)O)O)O</t>
  </si>
  <si>
    <t>Daidzin</t>
  </si>
  <si>
    <t>C1=CC(=CC=C1C2=COC3=C(C2=O)C=CC(=C3)O)O</t>
  </si>
  <si>
    <t>Daidzein</t>
  </si>
  <si>
    <t>COC1=CC=C(C=C1)C2=COC3=C(C2=O)C=CC(=C3)O</t>
  </si>
  <si>
    <t>Formononetin</t>
  </si>
  <si>
    <t>C1=CC(=CC=C1C2=COC3=CC(=CC(=C3C2=O)O)OC4C(C(C(C(O4)CO)O)O)O)O</t>
  </si>
  <si>
    <t>Genistin</t>
  </si>
  <si>
    <t>C1=CC(=CC=C1C2=COC3=CC(=CC(=C3C2=O)O)O)O</t>
  </si>
  <si>
    <t>Genistein</t>
  </si>
  <si>
    <t>COC1=CC=C(C=C1)C2=COC3=CC(=CC(=C3C2=O)O)O</t>
  </si>
  <si>
    <t>Biochanin A</t>
  </si>
  <si>
    <t>CC1CC2=CC3=C(C(=C2C4=C(C(=C(C=C4CC1(C)O)OC)OC)OC)OC)OCO3</t>
  </si>
  <si>
    <t>Schisandrin B</t>
  </si>
  <si>
    <t>CC1CC2=CC(=C(C(=C2C3=C(C(=C(C=C3CC1(C)O)OC)OC)OC)OC)OC)OC</t>
  </si>
  <si>
    <t>Schisandrin</t>
  </si>
  <si>
    <t>C(=O)(C1C(=CC(OC2=CC=C(N(C(=O)C3C(OC)=CC=CC=3)[HH0])C=C2)=CC=1)C(O[HH0])=O)O[HH0]</t>
  </si>
  <si>
    <t>W1323814</t>
  </si>
  <si>
    <t>C1C=C(C=C(C=1C(=O)O[HH0])C(=O)O[HH0])OC1=CC=C(N([HH0])C(CC2C=CC(=CC=2)Cl)=O)C=C1</t>
  </si>
  <si>
    <t>W0475346</t>
  </si>
  <si>
    <t>C(=O)(C1=CC=C(OC2C=CC(N(C(=O)C3=CC=CC=C3)[HH0])=CC=2)C=C1C(O[HH0])=O)O[HH0]</t>
  </si>
  <si>
    <t>W0069860</t>
  </si>
  <si>
    <t>O=C(O[HH0])C1=CC(NC(C2=CC=C(OC3=CC=C(C(N([HH0])C4=CC(C(O[HH0])=O)=CC=C4)=O)C=C3)C=C2)=O)=CC=C1</t>
  </si>
  <si>
    <t>W0045707</t>
  </si>
  <si>
    <t>O=C1C2C=CC=CC=2C(=O)N1C1=CC=C(C(NCC2C=CC(=CC=2)C(=O)O[HH0])=O)C=C1</t>
  </si>
  <si>
    <t>W0619326</t>
  </si>
  <si>
    <t>C1C=C(OC2=CC=C(N(C(COC3C=CC=CC=3Cl)=O)[HH0])C=C2)C=C(C=1C(=O)O[HH0])C(O[HH0])=O</t>
  </si>
  <si>
    <t>W0475348</t>
  </si>
  <si>
    <t>C1=C(C=CC=C1)/C=C/C(N([HH0])C1=CC(OC2=CC=C(C(=C2)C(=O)O[HH0])C(O[HH0])=O)=CC=C1)=O</t>
  </si>
  <si>
    <t>W0070332</t>
  </si>
  <si>
    <t>N([HH0])(C(C1=CC(OC)=C(OC)C(OC)=C1)=O)CCCNC(=O)C1C2=CC=CC=C2N=C(C2=CC=CC=C2)C=1</t>
  </si>
  <si>
    <t>W2201592</t>
  </si>
  <si>
    <t>C1(=CC=CN=C1)N(C(=O)C1C(N(C(C2C=CC=C(S(N3CCCCCC3)(=O)=O)C=2)=O)[HH0])=CC=CC=1)[HH0]</t>
  </si>
  <si>
    <t>W2249932</t>
  </si>
  <si>
    <t>C(O[HH0])CSC1C(N([HH0])C2C=CC(=CC=2C=1C1=CC=CC=C1)Cl)=O</t>
  </si>
  <si>
    <t>W0931275</t>
  </si>
  <si>
    <t>C1=CC=C2C(C(=CC=C2)N([HH0])C(=O)C(SC2N([HH0])C(C=C(N)N=2)=O)C)=C1</t>
  </si>
  <si>
    <t>W1720033</t>
  </si>
  <si>
    <t>O([HH0])C(CCCC(N([HH0])C1C=C(C(N(C2=CC=CC=C2)C)=O)C=CC=1)=O)=O</t>
  </si>
  <si>
    <t>W2242807</t>
  </si>
  <si>
    <t>N1(C(C2=C(N(C)C1=O)N=C(N(CC1=CC=C(S(N)(=O)=O)C=C1)[HH0])N2CC1=CC=C(Cl)C=C1)=O)C</t>
  </si>
  <si>
    <t>W1984694</t>
  </si>
  <si>
    <t>CN(C)C1C2=C(C(S(=O)(N[C@@H](CCCNC(=N)N)C(=O)O[HH0])=O)=CC=C2)C=CC=1</t>
  </si>
  <si>
    <t>W2393897</t>
  </si>
  <si>
    <t>C1(=NC2C=C3C(=CC=2N=C1C1C=CC(=CC=1)CN1CCC(CC1)N1C(=O)N([HH0])C2C=CC=CC=21)N=CN3[HH0])C1=CC=CC=C1</t>
  </si>
  <si>
    <t>Akt Inhibitor VIII</t>
  </si>
  <si>
    <t>CCCCCCCCCC(=O)OCC(CO)O</t>
  </si>
  <si>
    <t>Monocaprin</t>
  </si>
  <si>
    <t>CCCCCCCC/C=C\CCCCCCCC(=O)OCC(CO)O</t>
  </si>
  <si>
    <t>Monoolein</t>
  </si>
  <si>
    <t>CCCCCCCC/C=C\CCCCCCCC(=O)O</t>
  </si>
  <si>
    <t>Oleic acid</t>
  </si>
  <si>
    <t>CCCCCC/C=C\CCCCCCCC(=O)OCC(CO)O</t>
  </si>
  <si>
    <t>Monopalmitolein</t>
  </si>
  <si>
    <t>CCCCCC/C=C\CCCCCCCC(=O)O</t>
  </si>
  <si>
    <t>Palmitoleic acid</t>
  </si>
  <si>
    <t>CCCCCCCCCCCCCC(=O)O</t>
  </si>
  <si>
    <t>Myristic acid</t>
  </si>
  <si>
    <t>CCCCCCCCCCCC(=O)OCC(CO)O</t>
  </si>
  <si>
    <t>Monolaurin</t>
  </si>
  <si>
    <t>CCCCCCCC(=O)OCC(CO)O</t>
  </si>
  <si>
    <t>Monocaprylin</t>
  </si>
  <si>
    <t>CCCCCCCC(=O)O</t>
  </si>
  <si>
    <t>Caprylic acid</t>
  </si>
  <si>
    <t>C(N(=O)=O)1=CC=C(C=C1)C(N([HH0])/N=C/C1C=C(C(=C(C=1)Br)O[HH0])Br)=O</t>
  </si>
  <si>
    <t>CF0002</t>
  </si>
  <si>
    <t>C1(=CC=CC(C(=O)N(/N=C/C2=CC(=C(O)C(Br)=C2)Br)[HH0])=C1)N(=O)=O</t>
  </si>
  <si>
    <t>CF0001</t>
  </si>
  <si>
    <t>CC(C)C[C@H](CC(=O)NO)C(=O)N[C@@H](CC1=CNC2=CC=CC=C21)C(=O)NC</t>
  </si>
  <si>
    <t>GM6001</t>
  </si>
  <si>
    <t>2007</t>
  </si>
  <si>
    <t>C(=O)(C(N([HH0])/N=C/C1=CC=CC(OCC)=C1O[HH0])=O)N([HH0])[HH0]</t>
  </si>
  <si>
    <t>INP0406</t>
  </si>
  <si>
    <t>C1C=CN=CC=1C(=O)N([HH0])/N=C/C1C(O[HH0])=C(C=C(C=1)Br)Br</t>
  </si>
  <si>
    <t>INP0010</t>
  </si>
  <si>
    <t>CC(C)C(NC(=O)[C@@H]1CCCN1C(=O)[C@@H](NC(=O)OC(C)(C)C)C(C)C)C(=O)C(=O)C2CC2</t>
  </si>
  <si>
    <t>JO146 analog 18c</t>
  </si>
  <si>
    <t>CCC(=O)C(=O)C(NC(=O)[C@@H]1CCCN1C(=O)[C@@H](NC(=O)OC(C)(C)C)C(C)C)C(C)C</t>
  </si>
  <si>
    <t>JO146 analog 18b</t>
  </si>
  <si>
    <t>CC(=O)C(=O)C(NC(=O)[C@@H]1CCCN1C(=O)[C@@H](NC(=O)OC(C)(C)C)C(C)C)C(C)C</t>
  </si>
  <si>
    <t>JO146 analog 18a</t>
  </si>
  <si>
    <t>CC(C)C(NC(=O)[C@@H]1CCCN1C(=O)[C@@H](NC(=O)OC(C)(C)C)C(C)C)C(=O)c2nccs2</t>
  </si>
  <si>
    <t>JO146 analog 14a</t>
  </si>
  <si>
    <t>CCC[C@H](NC(=O)OC(C)(C)C)C(=O)N1CCC[C@H]1C(=O)NC(C(C)C)P(=O)(Oc2ccccc2)Oc3ccccc3</t>
  </si>
  <si>
    <t>JO146 analog 8b</t>
  </si>
  <si>
    <t>C(/C=C/CCCC#CCCCCC#CCCCCC#CCCCCCC)#C</t>
  </si>
  <si>
    <t>Callimplexen A</t>
  </si>
  <si>
    <t>[C@H]4(CC3=CC[C@H]2[C@@H]1[C@]([C@H](CC1)[C@H](C)CC[C@@H](CC)C(C)C)(C)CC[C@H]2[C@]3(C)CC4)O[H]</t>
  </si>
  <si>
    <t>B-sitosterol</t>
  </si>
  <si>
    <t>[C@H]2(O)CC1=C[C@H]([C@H]3C([C@]1(C)CC2)CC[C@]4([C@@H]3CCC4[C@@H](CC#CC)C)C)O</t>
  </si>
  <si>
    <t>Gelliusterol E</t>
  </si>
  <si>
    <t>Active</t>
  </si>
  <si>
    <t>Reported IC50 (µM)</t>
  </si>
  <si>
    <t>Estimated IC50 (µM)</t>
  </si>
  <si>
    <t>&lt;10% inhibition at &gt;10 µM?</t>
  </si>
  <si>
    <t>&gt;90% inhibition at &lt;10 µM?</t>
  </si>
  <si>
    <t>Reported % inhibition</t>
  </si>
  <si>
    <t>Conc. tested (µM)</t>
  </si>
  <si>
    <t>Type of measurement</t>
  </si>
  <si>
    <t>Year</t>
  </si>
  <si>
    <t>Reference (PMID)</t>
  </si>
  <si>
    <r>
      <rPr>
        <b/>
        <sz val="11"/>
        <color theme="1"/>
        <rFont val="Calibri"/>
        <family val="2"/>
      </rPr>
      <t>S3A Data.</t>
    </r>
    <r>
      <rPr>
        <sz val="11"/>
        <color theme="1"/>
        <rFont val="Calibri"/>
        <family val="2"/>
      </rPr>
      <t xml:space="preserve"> Compilation of compounds previously tested for antichlamydial activity.</t>
    </r>
  </si>
  <si>
    <r>
      <rPr>
        <b/>
        <sz val="11"/>
        <color theme="1"/>
        <rFont val="Calibri"/>
        <family val="2"/>
      </rPr>
      <t>S3B Data.</t>
    </r>
    <r>
      <rPr>
        <sz val="11"/>
        <color theme="1"/>
        <rFont val="Calibri"/>
        <family val="2"/>
      </rPr>
      <t xml:space="preserve"> ROC-AUC plot showing the performance of the model after training. Data are displayed in Fig 2B.</t>
    </r>
  </si>
  <si>
    <t>Compound ID (CHEMBL)</t>
  </si>
  <si>
    <t>Experimentally tested</t>
  </si>
  <si>
    <t>Prediction score</t>
  </si>
  <si>
    <t>Max Tanimoto vs. literature compounds</t>
  </si>
  <si>
    <t>Max Tanimoto vs. exp. screening set</t>
  </si>
  <si>
    <t xml:space="preserve">QED </t>
  </si>
  <si>
    <t>CHEMBL1451429</t>
  </si>
  <si>
    <t>Cc1noc(NS(=O)(=O)c2ccc(NC(=O)CSc3nc4ccccc4s3)cc2)c1C</t>
  </si>
  <si>
    <t>CHEMBL1401075</t>
  </si>
  <si>
    <t>CCc1cccc(OCC(=O)Nc2ccc(S(=O)(=O)Nc3onc(C)c3C)cc2)c1</t>
  </si>
  <si>
    <t>CHEMBL1517800</t>
  </si>
  <si>
    <t>Cc1cc(NS(=O)(=O)c2ccc(NC(=O)COc3ccc(Cl)c(C)c3)cc2)no1</t>
  </si>
  <si>
    <t>CHEMBL3197002</t>
  </si>
  <si>
    <t>Cc1ccc(C(=O)/C=C/Nc2ccc(S(=O)(=O)Nc3onc(C)c3C)cc2)cc1</t>
  </si>
  <si>
    <t>CHEMBL1336420</t>
  </si>
  <si>
    <t>CCc1nnc(NS(=O)(=O)c2ccc(NC(=O)COc3ccc4ccccc4c3)cc2)s1</t>
  </si>
  <si>
    <t>CHEMBL1331795</t>
  </si>
  <si>
    <t>Cc1cccc(OCC(=O)Nc2ccc(S(=O)(=O)Nc3onc(C)c3C)cc2)c1C</t>
  </si>
  <si>
    <t>CHEMBL1445237</t>
  </si>
  <si>
    <t>CCc1nnc(NS(=O)(=O)c2ccc(NC(S)=Nc3ccc(F)cc3)cc2)s1</t>
  </si>
  <si>
    <t>CHEMBL1304007</t>
  </si>
  <si>
    <t>Cc1noc(NS(=O)(=O)c2ccc(N/C=C\C(=O)c3ccc(Br)cc3)cc2)c1C</t>
  </si>
  <si>
    <t>CHEMBL3113165</t>
  </si>
  <si>
    <t>COc1cccc(CNc2ccc(S(=O)(=O)Nc3nc4ccccc4s3)cc2)c1O</t>
  </si>
  <si>
    <t>CHEMBL1420562</t>
  </si>
  <si>
    <t>CCc1nnc(NS(=O)(=O)c2ccc(N/C=C/C(=O)c3ccc(C)cc3)cc2)s1</t>
  </si>
  <si>
    <t>CHEMBL1601343</t>
  </si>
  <si>
    <t>Cc1cc(C)nc(NS(=O)(=O)c2ccc(NC(=O)C3CC(=O)N(c4ccccc4)C3)cc2)n1</t>
  </si>
  <si>
    <t>CHEMBL1578208</t>
  </si>
  <si>
    <t>Cc1noc(NS(=O)(=O)c2ccc(N/C=C\C(=O)c3ccc(F)cc3)cc2)c1C</t>
  </si>
  <si>
    <t>CHEMBL599105</t>
  </si>
  <si>
    <t>OC(CN1CCN(Cc2ccccc2)CC1)Cn1c2ccc(I)cc2c2cc(I)ccc21</t>
  </si>
  <si>
    <t>CHEMBL1534718</t>
  </si>
  <si>
    <t>CCCCOc1cccc(C(=O)Nc2ccc(S(=O)(=O)Nc3nnc(CC)s3)cc2)c1</t>
  </si>
  <si>
    <t>CHEMBL1556687</t>
  </si>
  <si>
    <t>COc1ccc(C2NCCc3c2[nH]c2ccccc32)cc1CN1CCc2cc(OC)c(OC)cc2C1C</t>
  </si>
  <si>
    <t>CHEMBL1412012</t>
  </si>
  <si>
    <t>COc1ccccc1/C=C/C(=O)Nc1ccc(S(=O)(=O)Nc2cc(C)on2)cc1</t>
  </si>
  <si>
    <t>CHEMBL1577794</t>
  </si>
  <si>
    <t>Cc1cc(NS(=O)(=O)c2ccc(Nc3nc(-c4ccc(O)cc4)cs3)cc2)no1</t>
  </si>
  <si>
    <t>CHEMBL1339974</t>
  </si>
  <si>
    <t>CCc1nnc(NS(=O)(=O)c2ccc(NC(=O)Nc3ccc(OC)cc3)cc2)s1</t>
  </si>
  <si>
    <t>CHEMBL1539671</t>
  </si>
  <si>
    <t>CCc1nnc(NS(=O)(=O)c2ccc(NC(=S)NC(=O)c3ccccc3)cc2)s1</t>
  </si>
  <si>
    <t>CHEMBL395414</t>
  </si>
  <si>
    <t>C[C@H]1[C@H]2[C@H](C[C@H]3[C@@H]4CC=C5C[C@@H](O[C@@H]6O[C@H](CO)[C@@H](O)[C@H](O)[C@H]6O)CC[C@]5(C)[C@H]4CC[C@@]32C)O[C@]12CC[C@@H](C)CO2</t>
  </si>
  <si>
    <t>CHEMBL1333989</t>
  </si>
  <si>
    <t>Cc1ccc(/C=C/C(=O)NC(=S)Nc2ccc(S(=O)(=O)Nc3cc(C)on3)cc2)cc1</t>
  </si>
  <si>
    <t>CHEMBL1507392</t>
  </si>
  <si>
    <t>CCc1nnc(NS(=O)(=O)c2ccc(NC(=S)NC(=O)/C=C/c3ccc(OC)cc3)cc2)s1</t>
  </si>
  <si>
    <t>CHEMBL1361498</t>
  </si>
  <si>
    <t>CCc1nnc(NS(=O)(=O)c2ccc(NC(=S)NC(=O)/C=C/c3ccccc3)cc2)s1</t>
  </si>
  <si>
    <t>CHEMBL1563177</t>
  </si>
  <si>
    <t>CCc1nnc(NS(=O)(=O)c2ccc(NC(=O)c3cc(Cl)ccc3Cl)cc2)s1</t>
  </si>
  <si>
    <t>CHEMBL506678</t>
  </si>
  <si>
    <t>CC[C@H](CC[C@@H](C)[C@H]1CC[C@H]2[C@@H]3CC=C4C[C@@H](O[C@@H]5O[C@H](CO)[C@@H](O)[C@H](O)[C@H]5O)CC[C@]4(C)[C@H]3CC[C@@]21C)C(C)C</t>
  </si>
  <si>
    <t>CHEMBL1429779</t>
  </si>
  <si>
    <t>CCc1nnc(NS(=O)(=O)c2ccc(NC(=S)NC(=O)c3ccc(F)cc3)cc2)s1</t>
  </si>
  <si>
    <t>CHEMBL1580373</t>
  </si>
  <si>
    <t>CCc1nnc(NS(=O)(=O)c2ccc(NC(=O)COc3ccc(Cl)c(C)c3)cc2)s1</t>
  </si>
  <si>
    <t>CHEMBL1316278</t>
  </si>
  <si>
    <t>Cc1noc(NS(=O)(=O)c2ccc(NC(=O)COc3ccc(C#N)cc3)cc2)c1C</t>
  </si>
  <si>
    <t>CHEMBL3197522</t>
  </si>
  <si>
    <t>CCOc1ccc(C(=O)/C=C/Nc2ccc(S(=O)(=O)Nc3onc(C)c3C)cc2)cc1</t>
  </si>
  <si>
    <t>CHEMBL1503476</t>
  </si>
  <si>
    <t>CCc1nnc(NS(=O)(=O)c2ccc(NC(=S)NC(=O)c3ccc(OC)cc3)cc2)s1</t>
  </si>
  <si>
    <t>CHEMBL1707418</t>
  </si>
  <si>
    <t>CC1=C(C)C(=O)OC(C(C)C2CCC3C4CC=C5CC(OC6OC(COC7OC(CO)C(O)C(O)C7O)C(O)C(O)C6O)CC(O)C5(C)C4CCC23C)C1</t>
  </si>
  <si>
    <t>CHEMBL4303704</t>
  </si>
  <si>
    <t>C[C@@H]1O[C@@H](O[C@@H]2[C@H](CO)O[C@@H](O[C@@H]3CC[C@@]4(C)C(=CC[C@H]5[C@@H]6C[C@@H]7O[C@]8(CC[C@@H](C)CO8)[C@H](C)[C@H]7[C@@]6(C)CC[C@H]54)C3)[C@H](O[C@@H]3O[C@@H](C)[C@H](O)[C@@H](O)[C@H]3O)[C@H]2O)[C@@H](O)[C@H](O)[C@H]1O</t>
  </si>
  <si>
    <t>CHEMBL507001</t>
  </si>
  <si>
    <t>C[C@@H]1O[C@@H](O[C@H]2[C@H](O)[C@@H](O[C@@H]3O[C@@H](C)[C@H](O)[C@@H](O)[C@H]3O)[C@H](O[C@H]3CC[C@@]4(C)C(=CC[C@H]5[C@@H]6C[C@@H]7O[C@]8(CC[C@@H](C)CO8)[C@@H](C)[C@@H]7[C@@]6(C)CC[C@@H]54)C3)O[C@@H]2CO)[C@H](O)[C@H](O)[C@H]1O</t>
  </si>
  <si>
    <t>CHEMBL2207416</t>
  </si>
  <si>
    <t>C[C@@H]1O[C@@H](O[C@@H]2[C@@H](O)[C@H](O[C@@H]3O[C@H](CO)[C@@H](O)[C@H](O)[C@H]3O)[C@@H](CO)O[C@H]2O[C@H]2CC[C@@]3(C)C(=CC[C@H]4[C@@H]5C[C@@H]6O[C@]7(CC[C@@H](C)CO7)[C@@H](C)[C@@H]6[C@@]5(C)CC[C@@H]43)C2)[C@H](O)[C@H](O)[C@H]1O</t>
  </si>
  <si>
    <t>CHEMBL3931203</t>
  </si>
  <si>
    <t>C[C@@H]1O[C@@H](O[C@@H]2[C@@H](O)[C@H](O[C@@H]3O[C@@H](CO)[C@H](O)[C@H]3O)[C@@H](CO)O[C@H]2O[C@H]2CC[C@@]3(C)C(=CC[C@H]4[C@@H]5C[C@@H]6O[C@]7(CC[C@@H](C)CO7)[C@@H](C)[C@@H]6[C@@]5(C)CC[C@@H]43)C2)[C@H](O)[C@H](O)[C@H]1O</t>
  </si>
  <si>
    <t>CHEMBL1483678</t>
  </si>
  <si>
    <t>CCc1nnc(NS(=O)(=O)c2ccc(N/C=C\C(=O)c3cccc(OC)c3)cc2)s1</t>
  </si>
  <si>
    <t>CHEMBL1169844</t>
  </si>
  <si>
    <t>C[C@@H]1O[C@@H](O[C@H]2[C@H](O)[C@@H](CO)O[C@@H](O[C@H]3CC[C@@]4(C)C(=CC[C@H]5[C@@H]6C[C@@H]7O[C@]8(CC[C@@H](C)CO8)[C@@H](C)[C@]7(O)[C@@]6(C)CC[C@@H]54)C3)[C@@H]2O)[C@H](O)[C@H](O)[C@H]1O</t>
  </si>
  <si>
    <t>CHEMBL478738</t>
  </si>
  <si>
    <t>C[C@@H]1O[C@@H](O[C@@H]2[C@@H](O)[C@H](O)[C@@H](CO)O[C@H]2O[C@H]2CC[C@@]3(C)C(=CC[C@H]4[C@@H]5C[C@@H]6O[C@]7(CC[C@@H](C)CO7)[C@@H](C)[C@]6(O)[C@@]5(C)CC[C@@H]43)C2)[C@H](O)[C@H](O)[C@H]1O</t>
  </si>
  <si>
    <t>CHEMBL505834</t>
  </si>
  <si>
    <t>CC(C)C1=CC(=O)[C@](C)([C@H]2[C@H](O)C[C@@]3(C)[C@@H]4CC=C5[C@@H](CC[C@@H](O[C@@H]6OC[C@@H](O)[C@H](O[C@@H]7O[C@H](CO)[C@@H](O)[C@H](O)[C@H]7O[C@@H]7O[C@@H](C)[C@H](O)[C@@H](O)[C@H]7O)[C@H]6O)C5(C)C)[C@]4(C)C(=O)C[C@]23C)O1</t>
  </si>
  <si>
    <t>CHEMBL1364687</t>
  </si>
  <si>
    <t>CCc1nnc(NS(=O)(=O)c2ccc(NC(=O)/C=C/c3ccc(F)cc3)cc2)s1</t>
  </si>
  <si>
    <t>CHEMBL3195868</t>
  </si>
  <si>
    <t>COc1ccc(C(=O)/C=C/Nc2ccc(S(=O)(=O)Nc3onc(C)c3C)cc2)cc1</t>
  </si>
  <si>
    <t>CHEMBL1586331</t>
  </si>
  <si>
    <t>CCc1nnc(NS(=O)(=O)c2ccc(N/C=C\C(=O)c3ccc(C)cc3)cc2)s1</t>
  </si>
  <si>
    <t>CHEMBL1576475</t>
  </si>
  <si>
    <t>Cc1noc(NS(=O)(=O)c2ccc(NC(=O)/C=C/c3ccc(Br)cc3)cc2)c1C</t>
  </si>
  <si>
    <t>CHEMBL1723966</t>
  </si>
  <si>
    <t>COC1CCC(OC2CC(C3(C)CCC4(CC(O)C(C)C(C(C)/C=C(\C)C(=O)C(C)CC(C)C(=O)O)O4)O3)OC3(OC(C4OC(O)(CO)C(C)CC4C)CC3C)C2C)OC1C</t>
  </si>
  <si>
    <t>CHEMBL2005327</t>
  </si>
  <si>
    <t>CC1CCC2(NC1)OC1CC3C4CC=C5CC(OC6OC(CO)C(OC7OC(C)C(O)C(O)C7O)C(O)C6OC6OC(C)C(O)C(O)C6O)CCC5(C)C4CCC3(C)C1C2C</t>
  </si>
  <si>
    <t>CHEMBL395646</t>
  </si>
  <si>
    <t>C[C@@H]1O[C@@H](O[C@H]2[C@H](O)[C@@H](CO)O[C@@H](O[C@H]3CC[C@@]4(C)C(=CC[C@H]5[C@@H]6C[C@@H]7O[C@]8(CC[C@@H](C)CO8)[C@@H](C)[C@@H]7[C@@]6(C)CC[C@@H]54)C3)[C@@H]2O)[C@H](O)[C@H](O)[C@H]1O</t>
  </si>
  <si>
    <t>CHEMBL443114</t>
  </si>
  <si>
    <t>C[C@@H]1O[C@@H](O[C@H]2[C@H](O)[C@@H](O[C@@H]3O[C@@H](C)[C@H](O)[C@@H](O)[C@H]3O)[C@H](O[C@H]3CC[C@@]4(C)C(=CC[C@H]5[C@@H]6C[C@@H]7O[C@]8(CC[C@@H](C)CN8)[C@@H](C)[C@@H]7[C@@]6(C)CC[C@@H]54)C3)O[C@@H]2CO)[C@H](O)[C@H](O)[C@H]1O</t>
  </si>
  <si>
    <t>CHEMBL4528703</t>
  </si>
  <si>
    <t>CO[C@H]1CC[C@@H](O[C@H]2C[C@H]([C@]3(C)CC[C@]4(C[C@H](O)[C@@H](C)[C@@H]([C@@H](C)/C=C(\C)C(=O)[C@H](C)C[C@H](C)C(=O)[O-])O4)O3)O[C@]3(O[C@@H]([C@H]4O[C@@](O)(CO)[C@H](C)C[C@@H]4C)C[C@@H]3C)[C@@H]2C)O[C@@H]1C.[Na+]</t>
  </si>
  <si>
    <t>CHEMBL4532561</t>
  </si>
  <si>
    <t>COC(C)(C)/C=C/C[C@@H](C)[C@H]1CC[C@@]2(C)[C@@H]3[C@@H](O[C@@H]4O[C@H](CO)[C@@H](O)[C@H](O)[C@H]4O)C=C4[C@@H](CC[C@H](O)C4(C)C)[C@]3(C=O)CC[C@]12C</t>
  </si>
  <si>
    <t>CHEMBL1329130</t>
  </si>
  <si>
    <t>Cc1noc(NS(=O)(=O)c2ccc(N/C=C\C(=O)c3ccncc3)cc2)c1C</t>
  </si>
  <si>
    <t>CHEMBL1452655</t>
  </si>
  <si>
    <t>Cc1noc(NS(=O)(=O)c2ccc(N/C=C/C(=O)c3ccncc3)cc2)c1C</t>
  </si>
  <si>
    <t>CHEMBL1337882</t>
  </si>
  <si>
    <t>CCc1nnc(NS(=O)(=O)c2ccc(NC(=S)NC(=O)c3ccncc3)cc2)s1</t>
  </si>
  <si>
    <t>CHEMBL1409340</t>
  </si>
  <si>
    <t>CCc1nnc(NS(=O)(=O)c2ccc(NC(=O)c3cc(Cl)ccc3OC)cc2)s1</t>
  </si>
  <si>
    <t>CHEMBL1464449</t>
  </si>
  <si>
    <t>CCc1nnc(NS(=O)(=O)c2ccc(NC(=O)/C=C/c3ccccc3Cl)cc2)s1</t>
  </si>
  <si>
    <t>CHEMBL1601439</t>
  </si>
  <si>
    <t>Cc1noc(NS(=O)(=O)c2ccc(N/C=C/C(=O)c3ccc(F)cc3)cc2)c1C</t>
  </si>
  <si>
    <t>CHEMBL1915129</t>
  </si>
  <si>
    <t>C=C(CCC=C(C)C)[C@H]1CC[C@]2(C)[C@@H]1[C@H](O)C[C@@H]1[C@@]3(C)C[C@@H](O)[C@H](O[C@@H]4O[C@H](CO)[C@@H](O)[C@H](O)[C@H]4O[C@@H]4O[C@H](CO)[C@@H](O)[C@H](O)[C@H]4O)C(C)(C)[C@@H]3CC[C@]12C</t>
  </si>
  <si>
    <t>CHEMBL3545057</t>
  </si>
  <si>
    <t>CC(=O)O[C@H]1C[C@H](O[C@H]2[C@@H](O)C[C@H](O[C@H]3[C@@H](O)C[C@H](O[C@H]4CC[C@]5(C)[C@H]6CC[C@]7(C)[C@@H](C8=CC(=O)OC8)CC[C@]7(O)[C@@H]6CC[C@@H]5C4)O[C@@H]3C)O[C@@H]2C)O[C@H](C)[C@H]1O</t>
  </si>
  <si>
    <t>CHEMBL375269</t>
  </si>
  <si>
    <t>COc1ccc(C(=O)O[C@H]2[C@H](O[C@H]3[C@@H](O)CO[C@@H](O[C@H]4C[C@H]5[C@@H]6CC=C7C[C@@H](O)CC[C@]7(C)[C@H]6CC[C@]5(C)[C@@]4(O)[C@H](C)C(=O)CCC(C)C)[C@@H]3OC(C)=O)OC[C@@H](O)[C@@H]2O)cc1</t>
  </si>
  <si>
    <t>CHEMBL395415</t>
  </si>
  <si>
    <t>C[C@@H]1O[C@@H](O[C@@H]2[C@@H](O)[C@H](O)[C@@H](CO)O[C@H]2O[C@H]2CC[C@@]3(C)C(=CC[C@H]4[C@@H]5C[C@@H]6O[C@]7(CC[C@@H](C)CO7)[C@@H](C)[C@@H]6[C@@]5(C)CC[C@@H]43)C2)[C@H](O)[C@H](O)[C@H]1O</t>
  </si>
  <si>
    <t>CHEMBL3989875</t>
  </si>
  <si>
    <t>CC[C@H]1/C=C/C=C/C[C@@H](C)[C@H](O)[C@@](C)(O)C(=O)[C@@H](C)[C@H](O)[C@@H](C)C(=O)[C@@H](C)[C@H](O)[C@@H](C)/C=C/C(=O)O[C@H]2C[C@@]3(CC[C@H](C)[C@H](C[C@@H](C)O)O3)O[C@@H](CC1)[C@H]2C</t>
  </si>
  <si>
    <t>CHEMBL4208939</t>
  </si>
  <si>
    <t>C=C(CCC=C(C)C)[C@H]1CC[C@]2(C)[C@@H]1[C@H](O)C[C@@H]1[C@@]3(C)CC[C@H](O)C(C)(C)[C@@H]3[C@@H](O[C@@H]3O[C@H](CO)[C@@H](O)[C@H](O)[C@H]3O[C@@H]3O[C@@H](C)[C@H](O)[C@@H](O)[C@H]3O)C[C@]12C</t>
  </si>
  <si>
    <t>CHEMBL454694</t>
  </si>
  <si>
    <t>CC(C)C1=CC(=O)[C@](C)([C@H]2[C@H](O)C[C@@]3(C)[C@@H]4CC=C5[C@@H](CC[C@@H](O[C@@H]6OC[C@@H](O)[C@H](O)[C@H]6O[C@@H]6O[C@@H](C)[C@H](O)[C@@H](O)[C@H]6O)C5(C)C)[C@]4(C)C(=O)C[C@]23C)O1</t>
  </si>
  <si>
    <t>CHEMBL501681</t>
  </si>
  <si>
    <t>C[C@@H]1O[C@@H](O[C@H]2[C@H](O)[C@@H](O[C@@H]3O[C@@H](C)[C@H](O)[C@@H](O)[C@H]3O)[C@H](O[C@H]3CC[C@@]4(C)C(=CC[C@H]5[C@@H]6C[C@@H]7O[C@]8(CC[C@@H](C)CO8)[C@@H](C)[C@]7(O)[C@@]6(C)CC[C@@H]54)C3)O[C@@H]2CO)[C@H](O)[C@H](O)[C@H]1O</t>
  </si>
  <si>
    <t>CHEMBL506315</t>
  </si>
  <si>
    <t>CC(C)=C[C@H]1C[C@](C)(O)[C@@H]2[C@H]3CC[C@@H]4[C@@]5(C)CC[C@H](O[C@@H]6OC[C@H](O)[C@H](O[C@@H]7O[C@H](CO)[C@@H](O)[C@H](O)[C@H]7O)[C@H]6O[C@@H]6O[C@@H](CO)[C@H](O)[C@H]6O)C(C)(C)[C@@H]5CC[C@@]4(C)[C@@]34CO[C@@]2(C4)O1</t>
  </si>
  <si>
    <t>CHEMBL1549097</t>
  </si>
  <si>
    <t>Cc1noc(NS(=O)(=O)c2ccc(N/C=C\C(=O)c3ccc4c(c3)OCO4)cc2)c1C</t>
  </si>
  <si>
    <t>CHEMBL1372836</t>
  </si>
  <si>
    <t>CCc1nnc(NS(=O)(=O)c2ccc(NC(=S)NC(=O)/C=C/c3ccc(F)cc3)cc2)s1</t>
  </si>
  <si>
    <t>CHEMBL1392894</t>
  </si>
  <si>
    <t>C[C@H]1CC[C@@H]2[C@@H](C)[C@H]3[C@H](C[C@H]4[C@@H]5CC=C6C[C@@H](O[C@@H]7O[C@H](CO)[C@H](O)[C@H](O[C@@H]8O[C@H](CO)[C@@H](O)[C@H](O)[C@H]8O)[C@H]7O[C@@H]7O[C@@H](C)[C@H](O)[C@@H](O)[C@H]7O)CC[C@]6(C)[C@H]5CC[C@@]43C)N2C1</t>
  </si>
  <si>
    <t>CHEMBL1439061</t>
  </si>
  <si>
    <t>Cc1cc(NS(=O)(=O)c2ccc(NC(=S)NC(=O)c3ccc(Br)cc3)cc2)no1</t>
  </si>
  <si>
    <t>CHEMBL1715212</t>
  </si>
  <si>
    <t>Cc1ccc(OCC(=O)Nc2ccc(S(=O)(=O)Nc3cc(C)on3)cc2)c(Br)c1</t>
  </si>
  <si>
    <t>CHEMBL227927</t>
  </si>
  <si>
    <t>C[C@H](CC[C@@H](O[C@@H]1O[C@H](CO)[C@@H](O)[C@H](O)[C@H]1O)C(C)(C)O)[C@H]1CC[C@@]2(C)[C@@H]3CC=C4[C@@H](CC[C@H](O[C@@H]5O[C@H](CO)[C@@H](O)[C@H](O)[C@H]5O)C4(C)C)[C@]3(C)[C@H](O)C[C@]12C</t>
  </si>
  <si>
    <t>CHEMBL446743</t>
  </si>
  <si>
    <t>C[C@@H]1O[C@@H](O[C@@H]2[C@@H](CO)O[C@@H](O[C@H]3CC[C@@]4(C)C(=CC[C@H]5[C@@H]6C[C@@H]7O[C@]8(CC[C@@H](C)CN8)[C@@H](C)[C@@H]7[C@@]6(C)CC[C@@H]54)C3)[C@H](O)[C@H]2O)[C@H](O)[C@H](O)[C@H]1O</t>
  </si>
  <si>
    <t>CHEMBL464723</t>
  </si>
  <si>
    <t>C/C=C(\C)C(=O)O[C@H]1[C@@H]2[C@@]3(C)CC[C@H](O[C@H]4C[C@@H](OC)[C@H](O[C@@H]5O[C@H](C)[C@@H](O)[C@@H](OC)[C@H]5O)[C@@H](C)O4)C[C@@H]3CC[C@]23O[C@@]32CC[C@@H](C(C)=O)[C@@]2(C)[C@@H]1OC(C)=O</t>
  </si>
  <si>
    <t>CHEMBL500045</t>
  </si>
  <si>
    <t>C[C@@H]1O[C@@H](O[C@@H]2[C@@H](O[C@@H]3O[C@H](CO)[C@@H](O)[C@H](O)[C@H]3O)[C@H](O)[C@@H](CO)O[C@H]2O[C@H]2CC[C@@]3(C)C(=CC[C@H]4[C@@H]5C[C@@H]6O[C@]7(CC[C@@H](C)CO7)[C@@H](C)[C@@H]6[C@@]5(C)CC[C@@H]43)C2)[C@H](O)[C@H](O)[C@H]1O</t>
  </si>
  <si>
    <t>CHEMBL501637</t>
  </si>
  <si>
    <t>CC(C)=CCC[C@](C)(O[C@@H]1O[C@H](CO)[C@@H](O)[C@H](O)[C@H]1O)[C@H]1CC[C@]2(C)[C@@H]1[C@H](O)C[C@@H]1[C@@]3(C)CC[C@H](O)C(C)(C)[C@@H]3[C@@H](O[C@@H]3O[C@H](CO)[C@@H](O)[C@H](O)[C@H]3O)C[C@]12C</t>
  </si>
  <si>
    <t>CHEMBL503653</t>
  </si>
  <si>
    <t>CC(C)C1=CC(=O)[C@](C)([C@H]2[C@H](O)C[C@@]3(C)[C@@H]4CC=C5[C@@H](CC[C@@H](O[C@@H]6O[C@H](CO)[C@@H](O)[C@H](O)[C@H]6O[C@@H]6O[C@@H](C)[C@H](O)[C@@H](O)[C@H]6O)C5(C)C)[C@]4(C)C(=O)C[C@]23C)O1</t>
  </si>
  <si>
    <t>CHEMBL1418847</t>
  </si>
  <si>
    <t>CCc1nnc(NS(=O)(=O)c2ccc(NC(=S)NC(=O)c3cccnc3)cc2)s1</t>
  </si>
  <si>
    <t>CHEMBL1380068</t>
  </si>
  <si>
    <t>Cc1noc(NS(=O)(=O)c2ccc(N/C=C\C(=O)c3ccccc3)cc2)c1C</t>
  </si>
  <si>
    <t>CHEMBL1095007</t>
  </si>
  <si>
    <t>CC(C)=CCC[C@](C)(O[C@@H]1O[C@H](CO)[C@@H](O)[C@H](O)[C@H]1O)[C@H]1CC[C@]2(C)[C@@H]1[C@H](O)C[C@@H]1[C@@]3(C)CC[C@H](O[C@@H]4O[C@H](CO)[C@@H](O)[C@H](O)[C@H]4O)C(C)(C)[C@@H]3CC[C@]12C</t>
  </si>
  <si>
    <t>CHEMBL1255855</t>
  </si>
  <si>
    <t>CC[C@H]1/C=C/C=C/C[C@@H](C)[C@H](O)[C@@](C)(O)C(=O)[C@@H](C)[C@H](O)[C@@H](C)C(=O)[C@@H](C)[C@H](O)[C@@H](C)/C=C/C(=O)O[C@H]2[C@H](C)[C@@]3(CC[C@H](C)[C@H](C[C@@H](C)O)O3)O[C@@H](CC1)[C@H]2C</t>
  </si>
  <si>
    <t>CHEMBL2431617</t>
  </si>
  <si>
    <t>CC[C@H](C)[C@H](NC(=O)[C@H](CC1CCCCC1)NC(=O)c1ccno1)C(=O)N1CCC2(C=Cc3ccccc32)CC1</t>
  </si>
  <si>
    <t>CHEMBL251235</t>
  </si>
  <si>
    <t>C=C(CCC=C(C)C)[C@H]1CC[C@]2(C)[C@@H]1[C@H](O)C[C@@H]1[C@@]3(C)CC[C@H](O[C@@H]4O[C@H](CO)[C@@H](O)[C@H](O)[C@H]4O[C@@H]4O[C@H](CO)[C@@H](O)[C@H](O)[C@H]4O)C(C)(C)[C@@H]3CC[C@]12C</t>
  </si>
  <si>
    <t>CHEMBL3039432</t>
  </si>
  <si>
    <t>CC[C@@H]1/C=C/C=C/C[C@H](C)[C@@H](O)[C@](C)(O)C(=O)[C@H](C)[C@@H](O)[C@H](C)C(=O)[C@H](C)[C@@H](O)[C@H](C)/C=C/C(=O)O[C@H]2[C@@H](C)[C@@H](CC1)O[C@@]1(CC[C@@H](C)[C@@H](C[C@H](C)O)O1)[C@@H]2C</t>
  </si>
  <si>
    <t>CHEMBL3613723</t>
  </si>
  <si>
    <t>CC(=O)OC[C@H]1O[C@@H](O[C@H]2[C@@H](O)[C@@H](C)O[C@@H](O[C@H]3CC[C@@]4(C)[C@@H](CC[C@]5(C)[C@@H]4C=C[C@]46OC[C@@]7(CCC(C)(C)C[C@H]74)[C@@H](O)C[C@]65C)[C@]3(C)CO)[C@@H]2O)[C@H](O)[C@@H](O)[C@@H]1O</t>
  </si>
  <si>
    <t>CHEMBL3613726</t>
  </si>
  <si>
    <t>CC(=O)OC[C@H]1O[C@@H](O[C@H]2[C@@H](O)[C@@H](C)O[C@@H](O[C@H]3CC[C@@]4(C)[C@@H](CC[C@]5(C)[C@@H]4C=C[C@]46OC[C@@]7(CCC(C)(C)C[C@H]74)[C@H](O)C[C@]65C)[C@]3(C)CO)[C@@H]2O)[C@H](O)[C@@H](O)[C@@H]1O</t>
  </si>
  <si>
    <t>CHEMBL438956</t>
  </si>
  <si>
    <t>C[C@@H]1O[C@@H](O[C@@H]2[C@@H](O[C@@H]3O[C@H](CO)[C@@H](O)[C@H](O)[C@H]3O)[C@@H](O)[C@@H](CO)O[C@H]2O[C@H]2CC[C@@]3(C)C(=CC[C@H]4[C@@H]5C[C@@H]6O[C@]7(CC[C@@H](C)CN7)[C@@H](C)[C@@H]6[C@@]5(C)CC[C@@H]43)C2)[C@H](O)[C@H](O)[C@H]1O</t>
  </si>
  <si>
    <t>CHEMBL1683544</t>
  </si>
  <si>
    <t>C=C1C[C@@H]2CC[C@@]34C[C@H]5O[C@H]6[C@@H](O3)[C@H]3O[C@H](CC[C@@H]3O[C@H]6[C@H]5O4)CC(=O)C[C@H]3[C@H](C[C@H]4O[C@@H](CC[C@@H]1O2)C[C@@H](C)C4=C)O[C@H](C[C@H](O)CN)[C@@H]3OC.CS(=O)(=O)O</t>
  </si>
  <si>
    <t>CHEMBL1302259</t>
  </si>
  <si>
    <t>CCSc1ncc(Cl)c(C(=O)Nc2ccc(S(=O)(=O)Nc3onc(C)c3C)cc2)n1</t>
  </si>
  <si>
    <t>CHEMBL1388258</t>
  </si>
  <si>
    <t>Cc1cccc(OCCCC(=O)Nc2ccc(S(=O)(=O)Nc3nccs3)cc2)c1C</t>
  </si>
  <si>
    <t>CHEMBL1471872</t>
  </si>
  <si>
    <t>CCc1nnc(NS(=O)(=O)c2ccc(N/C=C\C(=O)c3ccc(F)cc3)cc2)s1</t>
  </si>
  <si>
    <t>CHEMBL3195697</t>
  </si>
  <si>
    <t>CCc1ccc(C(=O)/C=C/Nc2ccc(S(=O)(=O)Nc3onc(C)c3C)cc2)cc1</t>
  </si>
  <si>
    <t>CHEMBL1606537</t>
  </si>
  <si>
    <t>Cc1noc(NS(=O)(=O)c2ccc(NC(=O)CCCOc3ccc(Cl)cc3Cl)cc2)c1C</t>
  </si>
  <si>
    <t>CHEMBL1095004</t>
  </si>
  <si>
    <t>CC(C)=CCC[C@](C)(O[C@@H]1O[C@H](CO[C@@H]2OC[C@H](O)[C@H](O)[C@H]2O)[C@@H](O)[C@H](O)[C@H]1O)[C@H]1CC[C@]2(C)[C@@H]1[C@H](O)C[C@@H]1[C@@]3(C)CC[C@H](O)C(C)(C)[C@@H]3[C@@H](O)C[C@]12C</t>
  </si>
  <si>
    <t>CHEMBL1210108</t>
  </si>
  <si>
    <t>C=C(C)[C@@H]1CC[C@]2(C(=O)OCC(N)(CO)CO)CC[C@]3(C)[C@H](CC[C@@H]4[C@@]5(C)CC[C@H](OC(C)=O)C(C)(C)[C@@H]5CC[C@]43C)[C@@H]12</t>
  </si>
  <si>
    <t>CHEMBL1906675</t>
  </si>
  <si>
    <t>Cc1cc(NS(=O)(=O)c2ccc(NC(=O)COc3ccc(Br)cc3C)cc2)no1</t>
  </si>
  <si>
    <t>CHEMBL1908360</t>
  </si>
  <si>
    <t>CO[C@H]1C[C@@H]2CC[C@@H](C)[C@@](O)(O2)C(=O)C(=O)N2CCCC[C@H]2C(=O)O[C@H]([C@H](C)C[C@@H]2CC[C@@H](OCCO)[C@H](OC)C2)CC(=O)[C@H](C)/C=C(\C)[C@@H](O)[C@@H](OC)C(=O)[C@H](C)C[C@H](C)/C=C/C=C/C=C/1C</t>
  </si>
  <si>
    <t>CHEMBL2335926</t>
  </si>
  <si>
    <t>C[C@H]([C@H](O)[C@@H](O)[C@@H](O)C(C)(C)O)[C@H]1CC[C@@]2(C)[C@@H]3CC=C4[C@@H](CC[C@H](O[C@@H]5O[C@H](CO[C@@H]6O[C@H](CO)[C@@H](O)[C@H](O)[C@H]6O)[C@@H](O)[C@H](O)[C@H]5O)C4(C)C)[C@]3(C)CC[C@]12C</t>
  </si>
  <si>
    <t>CHEMBL3542194</t>
  </si>
  <si>
    <t>C[C@H]1O[C@@H](O[C@H]2CC[C@@]3(C)[C@@H](CC[C@]4(C)[C@@H]3C=C[C@]35OC[C@@]6(CCC(C)(C)C[C@H]63)[C@@H](O)C[C@]54C)[C@]2(C)CO)[C@H](O)[C@@H](O[C@@H]2O[C@H](CO)[C@@H](O)[C@H](O)[C@H]2O)[C@H]1O</t>
  </si>
  <si>
    <t>CHEMBL3613719</t>
  </si>
  <si>
    <t>C[C@H]1O[C@@H](O[C@H]2CC[C@@]3(C)[C@@H](CC[C@]4(C)[C@@H]3C=C[C@]35OC[C@@]6(CCC(C)(C)C[C@H]63)[C@H](O)C[C@]54C)[C@]2(C)CO)[C@H](O)[C@@H](O[C@@H]2O[C@H](CO)[C@@H](O)[C@H](O)[C@H]2O)[C@H]1O</t>
  </si>
  <si>
    <t>CHEMBL3613721</t>
  </si>
  <si>
    <t>CC(=O)O[C@H]1[C@H](O[C@H]2[C@@H](O)[C@@H](C)O[C@@H](O[C@H]3CC[C@@]4(C)[C@@H](CC[C@]5(C)[C@@H]4C=C[C@]46OC[C@@]7(CCC(C)(C)C[C@H]74)[C@@H](O)C[C@]65C)[C@]3(C)CO)[C@@H]2O)O[C@H](CO)[C@@H](O)[C@@H]1O</t>
  </si>
  <si>
    <t>CHEMBL3613725</t>
  </si>
  <si>
    <t>C[C@@H]1O[C@@H](O[C@@H]2[C@@H](CO[C@@H]3O[C@H](CO)[C@@H](O)[C@H](O)[C@H]3O)O[C@@H](O[C@H]3CC[C@@]4(C)[C@@H](CC[C@]5(C)[C@@H]4C=C[C@]46OC[C@@]7(CCC(C)(C)C[C@H]74)[C@@H](O)C[C@]65C)C3(C)C)[C@H](O)[C@H]2O)[C@H](O)[C@H](O)[C@H]1O</t>
  </si>
  <si>
    <t>CHEMBL3947857</t>
  </si>
  <si>
    <t>CO[C@H]1/C=C/C=C(\C)C[C@H](C)[C@H](O)[C@H](C)/C=C(C)/C=C(\C)C(=O)O[C@@H]1[C@@H](C)[C@@H](O)[C@H](C)[C@@]1(O)C[C@@H](OC(=O)/C=C/C(=O)O)[C@H](C)[C@@H](C(C)C)O1</t>
  </si>
  <si>
    <t>CHEMBL3987111</t>
  </si>
  <si>
    <t>CC1(C)CC[C@]2(C(=O)O[C@@H]3O[C@H](CO)[C@@H](O)[C@H](O)[C@H]3O)CC[C@]3(C)C(=CC[C@@H]4[C@@]5(C)C[C@@H](O)[C@H](O)C(C)(C)[C@@H]5CC[C@]43C)[C@@H]2[C@@H]1O</t>
  </si>
  <si>
    <t>CHEMBL4128666</t>
  </si>
  <si>
    <t>C[C@@H]1CC[C@]2(C(=O)O[C@@H]3O[C@H](CO)[C@@H](O)[C@H](O)[C@H]3O)CC[C@]3(C)C(=CC[C@@H]4[C@@]5(C)C[C@@H](O)[C@@H](O)C(C)(C)[C@@H]5CC[C@]43C)[C@@H]2[C@]1(C)O</t>
  </si>
  <si>
    <t>CHEMBL4228036</t>
  </si>
  <si>
    <t>CO[C@H]1C[C@H](O[C@H]2[C@@H](OC)C[C@H](O[C@H]3CC[C@@]4(C)C(=CC[C@]5(O)[C@@H]4C[C@@H](OC(=O)c4ccc(O)cc4)[C@]4(C)[C@](O)(C(C)=O)CC[C@]54O)C3)O[C@@H]2C)O[C@H](C)[C@H]1O[C@H]1C[C@@H](OC)[C@H](O)[C@@H](C)O1</t>
  </si>
  <si>
    <t>CHEMBL446040</t>
  </si>
  <si>
    <t>CC1(C)CC[C@]2(C(=O)O[C@@H]3O[C@H](CO)[C@@H](O)[C@H](O)[C@H]3O)CC[C@]3(C)C(=CC[C@@H]4[C@@]5(C)C[C@@H](O)[C@H](O)[C@@](C)(CO)[C@@H]5CC[C@]43C)[C@@H]2[C@@H]1O</t>
  </si>
  <si>
    <t>CHEMBL449365</t>
  </si>
  <si>
    <t>C[C@@H]1CC[C@]2(C(=O)O[C@@H]3O[C@H](CO)[C@@H](O)[C@H](O)[C@H]3O)CC[C@]3(C)C(=CC[C@@H]4[C@@]5(C)C[C@@H](O)[C@H](O)[C@@](C)(CO)[C@@H]5CC[C@]43C)[C@@H]2[C@]1(C)O</t>
  </si>
  <si>
    <t>CHEMBL4536693</t>
  </si>
  <si>
    <t>COC1CC2CCC(C)C(O)(O2)C(=O)C(=O)N2CCCCC2C(=O)OC(C(C)CC2CCC(OCCO)C(OC)C2)CC(=O)C(C)/C=C(\C)C(O)C(OC)C(=O)C(C)CC(C)/C=C/C=C/C=C/1C</t>
  </si>
  <si>
    <t>CHEMBL501885</t>
  </si>
  <si>
    <t>C[C@@H]1CC[C@]2(C(=O)O[C@@H]3O[C@H](CO)[C@@H](O)[C@H](O)[C@H]3O)CC[C@]3(C)C(=CC[C@@H]4[C@@]5(C)C[C@@H](O)[C@H](O)C(C)(C)[C@@H]5CC[C@]43C)[C@@H]2[C@]1(C)O</t>
  </si>
  <si>
    <t>CHEMBL1585196</t>
  </si>
  <si>
    <t>Cc1noc(NS(=O)(=O)c2ccc(N/C=C/C(=O)c3ccccc3)cc2)c1C</t>
  </si>
  <si>
    <t>CHEMBL1345043</t>
  </si>
  <si>
    <t>CCc1nnc(NS(=O)(=O)c2ccc(NC(=O)c3cc(Cl)ccc3[N+](=O)[O-])cc2)s1</t>
  </si>
  <si>
    <t>CHEMBL1371009</t>
  </si>
  <si>
    <t>CCc1nnc(NS(=O)(=O)c2ccc(NC(=S)NC(=O)c3cccs3)cc2)s1</t>
  </si>
  <si>
    <t>CHEMBL1393732</t>
  </si>
  <si>
    <t>Cc1cc(NS(=O)(=O)c2ccc(NC(=O)C(C)Oc3ccc(Cl)cc3)cc2)no1</t>
  </si>
  <si>
    <t>CHEMBL1401178</t>
  </si>
  <si>
    <t>Cc1cc(NS(=O)(=O)c2ccc(NC(=O)COc3ccc(Cl)cc3Cl)cc2)no1</t>
  </si>
  <si>
    <t>CHEMBL133924</t>
  </si>
  <si>
    <t>CC[C@H]1OC(=O)[C@H](C)C(=O)[C@H](C)[C@@H](O[C@@H]2O[C@H](C)C[C@H](N(C)C)[C@H]2O)[C@](C)(OC/C=C/c2cnc3ccccc3c2)C[C@@H](C)C(=O)[C@H](C)[C@H]2NC(=O)O[C@]12C</t>
  </si>
  <si>
    <t>CHEMBL1923791</t>
  </si>
  <si>
    <t>CC(=O)[C@H]1[C@H](O)C[C@@]2(C)[C@@H]3CC=C4[C@@H](C=C(O[C@@H]5O[C@H](CO)[C@@H](O)[C@H](O)[C@H]5O)C(=O)C4(C)C)[C@]3(C)C(=O)C[C@]12C</t>
  </si>
  <si>
    <t>CHEMBL1980760</t>
  </si>
  <si>
    <t>CC1OC(OC2C(OC3CCC4(C)C(CCC5(C)C4CC=C4C6CC(C)(C)CCC6(C(=O)O)CCC45C)C3(C)CO)OCC(O)C2O)C(O)C(O)C1O</t>
  </si>
  <si>
    <t>CHEMBL258392</t>
  </si>
  <si>
    <t>COC(=O)[C@@]1(C)CC[C@]2(C(=O)O)CC[C@]3(C)C(=CC[C@@H]4[C@@]5(C)C[C@H](O)[C@H](O[C@@H]6OC[C@@H](O)[C@H](O)[C@H]6O)[C@@](C)(CO)[C@@H]5CC[C@]43C)[C@@H]2C1</t>
  </si>
  <si>
    <t>CHEMBL3427610</t>
  </si>
  <si>
    <t>C[C@@H]1O[C@@H](O[C@H]2[C@H](O[C@H]3CC[C@@]4(C)[C@@H](CC[C@]5(C)[C@@H]4CC=C4[C@@H]6CC(C)(C)CC[C@]6(C(=O)[O-])CC[C@]45C)[C@]3(C)CO)OC[C@H](O[C@@H]3O[C@H](CO)[C@@H](O)[C@H](O)[C@H]3O)[C@@H]2O)[C@H](O)[C@H](O)[C@H]1O.[Na+]</t>
  </si>
  <si>
    <t>CHEMBL3594353</t>
  </si>
  <si>
    <t>CC(C)=CCC[C@@](C)(O)[C@H]1CC[C@]2(C)[C@@H]1[C@H](O)C[C@@H]1[C@@]3(C)CC[C@H](O)C(C)(C)[C@@H]3[C@@H](O[C@@H]3O[C@H](CO)[C@@H](O)[C@H](O)[C@H]3O)C[C@]12C</t>
  </si>
  <si>
    <t>CHEMBL3907306</t>
  </si>
  <si>
    <t>CC1(C)CC[C@]2(C(=O)O[C@@H]3O[C@H](CO)[C@@H](O)[C@H](O)[C@H]3O)CC[C@]3(C)C(=CC[C@@H]4[C@@]5(C)C[C@@H](O)[C@H](O)[C@@](C)(CO)[C@@H]5CC[C@]43C)[C@@H]2C1</t>
  </si>
  <si>
    <t>CHEMBL4060751</t>
  </si>
  <si>
    <t>C[C@@H]1CC[C@]2(C(=O)O[C@@H]3O[C@H](CO)[C@@H](O)[C@H](O)[C@H]3O)CC[C@]3(C)C(=CC[C@@H]4[C@@]5(C)CC[C@H](O[C@@H]6OC[C@H](O)[C@H](O)[C@H]6O)C(C)(C)[C@@H]5CC[C@]43C)[C@@H]2[C@]1(C)O</t>
  </si>
  <si>
    <t>CHEMBL4215641</t>
  </si>
  <si>
    <t>C=C(CCC=C(C)C)[C@H]1CC[C@]2(C)[C@@H]1[C@H](O)C[C@@H]1[C@@]3(C)CC[C@H](O)C(C)(C)[C@@H]3[C@@H](O[C@@H]3O[C@H](CO)[C@@H](O)[C@H](O)[C@H]3O)C[C@]12C</t>
  </si>
  <si>
    <t>CHEMBL444941</t>
  </si>
  <si>
    <t>C[C@@H]1O[C@@H](O[C@H]2[C@H](O[C@H]3CC[C@@]4(C)[C@@H](CC[C@]5(C)[C@@H]4CC=C4[C@@H]6CC(C)(C)CC[C@]6(C(=O)O)CC[C@]45C)C3(C)C)OC[C@H](O[C@@H]3O[C@H](CO)[C@@H](O)[C@H](O)[C@H]3O)[C@@H]2O)[C@H](O)[C@H](O)[C@H]1O</t>
  </si>
  <si>
    <t>CHEMBL4460454</t>
  </si>
  <si>
    <t>CO/C1=C\C(C)=C\[C@@H](C)[C@@H](O)[C@@H](C)C/C(C)=C/C=C/[C@H](OC)[C@@H]([C@@H](C)[C@@H](O)[C@H](C)[C@@]2(O)C[C@@H](OC(=O)/C=C/C(=O)O)[C@H](C)[C@@H](C(C)C)O2)OC1=O</t>
  </si>
  <si>
    <t>CHEMBL447565</t>
  </si>
  <si>
    <t>C[C@@H]1O[C@@H](O[C@H]2[C@H](O[C@H]3CC[C@@]4(C)[C@@H](CC[C@]5(C)[C@@H]4CC=C4[C@@H]6CC(C)(C)CC[C@]6(C(=O)O)CC[C@]45C)[C@]3(C)CO)OC[C@H](O)[C@@H]2O)[C@H](O)[C@H](O)[C@H]1O</t>
  </si>
  <si>
    <t>CHEMBL466844</t>
  </si>
  <si>
    <t>CC(C)=CCC[C@](C)(O)[C@H]1CC[C@]2(C)[C@@H]1[C@H](O)C[C@@H]1[C@@]3(C)CC[C@H](O)C(C)(C)[C@@H]3[C@@H](O[C@@H]3O[C@H](CO)[C@@H](O)[C@H](O)[C@H]3O)C[C@]12C</t>
  </si>
  <si>
    <t>CHEMBL501682</t>
  </si>
  <si>
    <t>C[C@@H]1O[C@@H](O[C@H]2[C@H](O[C@H]3CC[C@@]4(C)[C@@H](CC[C@]5(C)[C@@H]4CC=C4[C@@H]6CC(C)(C)CC[C@]6(C(=O)O)CC[C@]45C)[C@]3(C)CO)OC[C@H](O)[C@@H]2O)[C@H](O)[C@H](O[C@@H]2O[C@H](CO)[C@@H](O)[C@H](O)[C@H]2O)[C@H]1O</t>
  </si>
  <si>
    <t>CHEMBL508539</t>
  </si>
  <si>
    <t>C[C@@H]1CC[C@]2(C(=O)O[C@@H]3O[C@H](CO)[C@@H](O)[C@H](O)[C@H]3O)CC[C@]3(C)C(=CC[C@@H]4[C@@]5(C)CC[C@H](O)[C@@](C)(CO)[C@@H]5CC[C@]43C)[C@@H]2[C@]1(C)O</t>
  </si>
  <si>
    <t>CHEMBL502407</t>
  </si>
  <si>
    <t>C[C@@H]1O[C@@H](O[C@H]2[C@H](O[C@H]3CC[C@@]4(C)[C@@H](CC[C@]5(C)[C@@H]4CC=C4[C@@H]6CC(C)(C)CC[C@]6(C(=O)O)CC[C@]45C)C3(C)C)OC[C@H](O)[C@@H]2O)[C@H](O)[C@H](O)[C@H]1O</t>
  </si>
  <si>
    <t>CHEMBL1372221</t>
  </si>
  <si>
    <t>Cc1cc(NS(=O)(=O)c2ccc(NC(=S)NC(=O)/C=C/c3ccccc3)cc2)no1</t>
  </si>
  <si>
    <t>CHEMBL1492575</t>
  </si>
  <si>
    <t>Cc1ccc(/C=C/C(=O)Nc2ccc(S(=O)(=O)Nc3onc(C)c3C)cc2)cc1</t>
  </si>
  <si>
    <t>CHEMBL1533203</t>
  </si>
  <si>
    <t>CCCCOc1cccc(C(=O)Nc2ccc(S(=O)(=O)Nc3cc(C)on3)cc2)c1</t>
  </si>
  <si>
    <t>CHEMBL1409859</t>
  </si>
  <si>
    <t>COc1ccc(/C=C/C(=O)NC(=S)Nc2ccc(S(=O)(=O)Nc3cc(C)on3)cc2)cc1</t>
  </si>
  <si>
    <t>CHEMBL1564277</t>
  </si>
  <si>
    <t>Cc1cc(C)c(C#N)c(SCC(=O)Nc2ccc(S(=O)(=O)Nc3onc(C)c3C)cc2)n1</t>
  </si>
  <si>
    <t>CHEMBL2165734</t>
  </si>
  <si>
    <t>CC(=O)O[C@@H]1C[C@]23C4=CC[C@@]5(C)[C@H](C(=O)O)[C@@](C)([C@H](C)C(C)C)CC[C@]5(C)[C@H]4CC[C@H]2[C@@](C)(COC3O)[C@H]1O[C@@H]1O[C@H](CO)[C@@H](O)[C@H](O)[C@H]1O</t>
  </si>
  <si>
    <t>CHEMBL219410</t>
  </si>
  <si>
    <t>CO[C@H]1C[C@@H]2CC[C@@H](C)[C@@](O)(O2)C(=O)C(=O)N2CCCC[C@H]2C(=O)O[C@H]([C@H](C)C[C@@H]2CC[C@H](n3cnnn3)[C@H](OC)C2)CC(=O)[C@H](C)/C=C(\C)[C@@H](O)[C@@H](OC)C(=O)[C@H](C)C[C@H](C)/C=C/C=C/C=C/1C</t>
  </si>
  <si>
    <t>CHEMBL2253398</t>
  </si>
  <si>
    <t>CC1(C)CC[C@]2(C(=O)O[C@@H]3O[C@H](CO)[C@@H](O)[C@H](O)[C@H]3O)CC[C@]3(C)C(=CC[C@@H]4[C@@]5(C)CC[C@H](O)C(C)(C)[C@@H]5CC[C@]43C)[C@@H]2[C@@H]1O</t>
  </si>
  <si>
    <t>CHEMBL240496</t>
  </si>
  <si>
    <t>CC1OC(O[C@H]2CC[C@]3(/C=N/CCc4ccc(O)cc4)[C@H]4CC[C@]5(C)[C@@H](C6=CC(=O)OC6)CC[C@]5(O)[C@@H]4CC[C@]3(O)C2)CC(O)C1O</t>
  </si>
  <si>
    <t>CHEMBL3613729</t>
  </si>
  <si>
    <t>C[C@H]1O[C@@H](O[C@H]2CC[C@@]3(C)[C@@H](CC[C@]4(C)[C@@H]3C=CC3=C5CC(C)(C)CC[C@]5(CO)[C@@H](O)C[C@]34C)[C@]2(C)CO)[C@H](O)[C@@H](O[C@@H]2O[C@H](CO)[C@@H](O)[C@H](O)[C@H]2O)[C@H]1O</t>
  </si>
  <si>
    <t>CHEMBL3792981</t>
  </si>
  <si>
    <t>C[C@H]1O[C@@H](O[C@H]2CC[C@@]3(C)[C@@H](CC[C@]4(C)[C@@H]3C=CC3=C5CC(C)(C)CC[C@]5(CO)[C@H](O)C[C@]34C)[C@]2(C)CO)[C@H](O)[C@@H](O[C@@H]2O[C@H](CO)[C@@H](O)[C@H](O)[C@H]2O)[C@H]1O</t>
  </si>
  <si>
    <t>CHEMBL3798016</t>
  </si>
  <si>
    <t>C=C1CC[C@]2(C(=O)O)CC[C@]3(C)C(=CC[C@@H]4[C@@]5(C)CC[C@H](O[C@@H]6OC[C@H](O)[C@H](O)[C@H]6O[C@@H]6O[C@@H](C)[C@H](O)[C@@H](O)[C@H]6O)C(C)(C)[C@@H]5CC[C@]43C)[C@@H]2C1</t>
  </si>
  <si>
    <t>CHEMBL4303489</t>
  </si>
  <si>
    <t>CCC1/C=C(\C)CC(C)CC(OC)C2OC(O)(C(=O)C(=O)N3CCCCC3C(=O)OC(/C(C)=C/C3CCC(O)C(OC)C3)C(C)C(O)CC1=O)C(C)CC2OC</t>
  </si>
  <si>
    <t>CHEMBL439319</t>
  </si>
  <si>
    <t>CO[C@H]1C[C@@H]2CC[C@@H](C)[C@@](O)(O2)C(=O)C(=O)N2CCCC[C@H]2C(=O)O[C@H]([C@H](C)C[C@@H]2CC[C@H](n3ncnn3)[C@H](OC)C2)CC(=O)[C@H](C)/C=C(\C)[C@@H](O)[C@@H](OC)C(=O)[C@H](C)C[C@H](C)/C=C/C=C/C=C/1C</t>
  </si>
  <si>
    <t>CHEMBL4549735</t>
  </si>
  <si>
    <t>CC[C@@H]1/C=C(\C)C[C@H](C)C[C@H](OC)[C@H]2O[C@@](O)(C(=O)C(=O)N3CCCC[C@H]3C(=O)O[C@H](/C(C)=C/[C@@H]3CC[C@@H](O)[C@H](OC)C3)[C@H](C)[C@@H](O)CC1=O)[C@H](C)C[C@@H]2OC</t>
  </si>
  <si>
    <t>CHEMBL506376</t>
  </si>
  <si>
    <t>C[C@@H]1O[C@@H](O[C@H]2[C@H](O[C@H]3CC[C@@]4(C)[C@@H](CC[C@]5(C)[C@@H]4CC=C4[C@@H]6CC(C)(C)CC[C@]6(C(=O)O)CC[C@]45C)C3(C)C)OC[C@H](O)[C@@H]2O)[C@H](O)[C@H](O[C@@H]2OC[C@@H](O)[C@@H](O)[C@H]2O)[C@H]1O</t>
  </si>
  <si>
    <t>CHEMBL537960</t>
  </si>
  <si>
    <t>CC1(C)CC[C@]2(C(=O)O)CC[C@]3(C)C(=CC[C@@H]4[C@@]5(C)CC[C@H](O[C@@H]6OC[C@H](O)[C@H](O)[C@H]6O[C@@H]6O[C@H](CO)[C@@H](O)[C@H](O)[C@H]6O)[C@@](C)(CO)[C@@H]5CC[C@]43C)[C@@H]2C1</t>
  </si>
  <si>
    <t>CHEMBL540220</t>
  </si>
  <si>
    <t>CC1(C)CC[C@]2(C(=O)O)CC[C@]3(C)C(=CC[C@@H]4[C@@]5(C)CC[C@H](O[C@@H]6OC[C@H](O)[C@H](O)[C@H]6O[C@@H]6O[C@H](CO)[C@@H](O)[C@H](O)[C@H]6O)C(C)(C)[C@@H]5CC[C@]43C)[C@@H]2C1</t>
  </si>
  <si>
    <t>CHEMBL8597</t>
  </si>
  <si>
    <t>CHEMBL1340091</t>
  </si>
  <si>
    <t>O=S(=O)(Nc1ccc(S(=O)(=O)Nc2nccs2)cc1)c1ccc2c(c1)OCCO2</t>
  </si>
  <si>
    <t>CHEMBL1349171</t>
  </si>
  <si>
    <t>Cc1cc(C)nc(NS(=O)(=O)c2ccc(NC(=O)c3ccc4c(c3)OCO4)cc2)n1</t>
  </si>
  <si>
    <t>CHEMBL1413453</t>
  </si>
  <si>
    <t>Cc1cccc(OCCCC(=O)Nc2ccc(S(=O)(=O)Nc3onc(C)c3C)cc2)c1C</t>
  </si>
  <si>
    <t>CHEMBL1430761</t>
  </si>
  <si>
    <t>CCc1nnc(NS(=O)(=O)c2ccc(NC(=O)c3cccc([N+](=O)[O-])c3)cc2)s1</t>
  </si>
  <si>
    <t>CHEMBL1545670</t>
  </si>
  <si>
    <t>Cc1c(C(=O)Nc2ccc(S(=O)(=O)Nc3ncccn3)cc2)oc2ccc(Cl)cc12</t>
  </si>
  <si>
    <t>CHEMBL1560386</t>
  </si>
  <si>
    <t>Cc1noc(NS(=O)(=O)c2ccc(NC(=O)c3ccc(OC(C)C)cc3)cc2)c1C</t>
  </si>
  <si>
    <t>CHEMBL1076858</t>
  </si>
  <si>
    <t>CO/C1=C\C(C)=C\[C@@H](C)[C@@H](O)[C@@H](C)C/C(C)=C/C=C/[C@H](OC)[C@@H]([C@@H](C)[C@@H](O)[C@H](C)[C@@]2(O)C[C@@H](OC(=O)/C=C/C(=O)NC3=C(O)CCC3=O)[C@H](C)[C@@H](C(C)C)O2)OC1=O</t>
  </si>
  <si>
    <t>CHEMBL1383820</t>
  </si>
  <si>
    <t>Cc1ccc(O)c(-c2cc(C(=O)Nc3ccc(S(=O)(=O)Nc4nc(C)cc(C)n4)cc3)[nH]n2)c1</t>
  </si>
  <si>
    <t>CHEMBL1397148</t>
  </si>
  <si>
    <t>Cc1cc(NS(=O)(=O)c2ccc(NC(=O)COc3cc(C)c(Br)cc3C(C)C)cc2)no1</t>
  </si>
  <si>
    <t>CHEMBL1416995</t>
  </si>
  <si>
    <t>CCc1nnc(NS(=O)(=O)c2ccc(NC(=S)NC(=O)c3ccc(Br)cc3)cc2)s1</t>
  </si>
  <si>
    <t>CHEMBL1546540</t>
  </si>
  <si>
    <t>Cc1ccc(OCC(=O)NC(=S)Nc2ccc(S(=O)(=O)Nc3cc(C)on3)cc2)c(Br)c1</t>
  </si>
  <si>
    <t>CHEMBL2074735</t>
  </si>
  <si>
    <t>C=C1[C@@H](C)[C@H]2[C@H](Cc3ccccc3)NC(=O)[C@]23OC(=O)CC[C@H](O)CCC[C@@H](C)C/C=C/[C@H]3[C@@H]1O</t>
  </si>
  <si>
    <t>CHEMBL2253394</t>
  </si>
  <si>
    <t>C[C@@H]1CC[C@]2(C(=O)O[C@@H]3O[C@H](CO)[C@@H](O)[C@H](O)[C@H]3O)CC[C@]3(C)C(=CC[C@@H]4[C@@]5(C)CC[C@H](O)C(C)(C)[C@@H]5CC[C@]43C)[C@@H]2[C@]1(C)O</t>
  </si>
  <si>
    <t>CHEMBL255024</t>
  </si>
  <si>
    <t>COC(C)(C)/C=C/C[C@@H](C)[C@H]1CC[C@@]2(C)[C@@H]3C=C[C@@]45OC[C@]3(CC[C@]12C)[C@@H]4CC[C@H](O[C@@H]1O[C@H](CO)[C@@H](O)[C@H](O)[C@H]1O)C5(C)C</t>
  </si>
  <si>
    <t>CHEMBL300004</t>
  </si>
  <si>
    <t>CC[C@H]1OC(=O)[C@H](C)[C@@H](O[C@H]2C[C@@](C)(OC)[C@@H](O)[C@H](C)O2)[C@H](C)[C@@H](O[C@@H]2O[C@H](C)C[C@H](N(C)C)[C@H]2O)[C@@]2(C)CC(C)=C(O2)[C@H](C)[C@@H](O)[C@]1(C)O</t>
  </si>
  <si>
    <t>CHEMBL3197379</t>
  </si>
  <si>
    <t>C#C[C@@]1(O)CCC2C3CCC4=C/C(=N/OCC(=O)NC(C(=O)NC(CC(C)C)C(=O)O)C(C)C)CC[C@]4(C)C3CC[C@@]21C</t>
  </si>
  <si>
    <t>CHEMBL3355096</t>
  </si>
  <si>
    <t>CC(C)=CCC[C@](C)(O[C@@H]1O[C@H](CO)[C@@H](O)[C@H](O)[C@H]1O)[C@H]1CC[C@]2(C)[C@@H]1[C@H](O)C[C@@H]1[C@@]3(C)CC[C@H](O)C(C)(C)[C@@H]3CC[C@]12C</t>
  </si>
  <si>
    <t>CHEMBL3594354</t>
  </si>
  <si>
    <t>C=C(CCC=C(C)C)[C@H]1CC[C@]2(C)[C@@H]1[C@H](O)C[C@@H]1[C@@]3(C)CC[C@H](O[C@@H]4O[C@H](CO)[C@@H](O)[C@H](O)[C@H]4O)C(C)(C)[C@@H]3CC[C@]12C</t>
  </si>
  <si>
    <t>CHEMBL3794000</t>
  </si>
  <si>
    <t>CO[C@@H]1C=C2[C@@H]3CC(C)(C)CC[C@]3(CO)[C@@H](O)C[C@@]2(C)[C@]2(C)CC[C@@H]3[C@](C)(CC[C@H](O[C@@H]4O[C@H](C)[C@H](O)[C@H](O[C@@H]5O[C@H](CO)[C@@H](O)[C@H](O)[C@H]5O)[C@H]4O)[C@@]3(C)CO)[C@@H]12</t>
  </si>
  <si>
    <t>CHEMBL411729</t>
  </si>
  <si>
    <t>C=C1[C@@H](C)[C@H]2[C@H](Cc3ccccc3)NC(=O)[C@]23OC(=O)/C=C/[C@H](O)CCC[C@@H](C)C/C=C/[C@H]3[C@@H]1O</t>
  </si>
  <si>
    <t>CHEMBL447335</t>
  </si>
  <si>
    <t>CC[C@H](/C=C/[C@@H](C)[C@H]1CC[C@H]2[C@@H]3CC=C4C[C@@H](O[C@@H]5O[C@H](CO)[C@@H](O)[C@H](O)[C@H]5O)CC[C@]4(C)[C@H]3CC[C@@]21C)C(C)C</t>
  </si>
  <si>
    <t>CHEMBL4474342</t>
  </si>
  <si>
    <t>COC(C)(C)/C=C/C[C@@H](C)[C@H]1CC[C@@]2(C)[C@@H]3C=C[C@@]45OC[C@]3(CC[C@]12C)[C@@H]4CC[C@H](O[C@@H]1O[C@H](CO)[C@@H](O)[C@@H](O)[C@H]1O)C5(C)C</t>
  </si>
  <si>
    <t>CHEMBL486819</t>
  </si>
  <si>
    <t>CC(=O)O.CC(=O)O.NC(=N\CCCCCC/N=C(N)/N=C(\N)Nc1ccc(Cl)cc1)/N=C(\N)Nc1ccc(Cl)cc1</t>
  </si>
  <si>
    <t>CHEMBL490450</t>
  </si>
  <si>
    <t>C[C@@H]1[C@H]2C3=CC[C@@H]4[C@@]5(C)CC[C@H](O[C@@H]6O[C@H](C)[C@@H](O)[C@H](O)[C@H]6O)C(C)(C)[C@@H]5CC[C@@]4(C)[C@]3(C(=O)O)CC[C@@]2(C(=O)O[C@@H]2O[C@H](CO)[C@@H](O)[C@H](O)[C@H]2O)CC[C@H]1C</t>
  </si>
  <si>
    <t>CHEMBL509895</t>
  </si>
  <si>
    <t>COC(=O)[C@]12OC[C@@]34[C@H]1[C@@H](OC(=O)/C=C(\C)C(C)C)C(=O)O[C@@H]3C[C@H]1C(C)=C(O)C(=O)C[C@]1(C)[C@H]4[C@@H](O)[C@@H]2O</t>
  </si>
  <si>
    <t>CHEMBL538201</t>
  </si>
  <si>
    <t>CC(C)(O)/C=C/C(=O)[C@](C)(O)[C@H]1[C@H](O)C[C@@]2(C)[C@@H]3CC=C4[C@@H](C[C@H](O[C@@H]5O[C@H](CO)[C@@H](O)[C@H](O)[C@H]5O)C(=O)C4(C)C)[C@]3(C)C(=O)C[C@]12C</t>
  </si>
  <si>
    <r>
      <rPr>
        <b/>
        <sz val="11"/>
        <color theme="1"/>
        <rFont val="Calibri"/>
        <family val="2"/>
      </rPr>
      <t xml:space="preserve">S3F Data. </t>
    </r>
    <r>
      <rPr>
        <sz val="11"/>
        <color theme="1"/>
        <rFont val="Calibri"/>
        <family val="2"/>
      </rPr>
      <t>The 174 hits from the virtual screen remaining after a series of filtering steps.</t>
    </r>
  </si>
  <si>
    <t>IC50 (µg/ml), bulk GFP fluorescence</t>
  </si>
  <si>
    <t>MIC (µg/ml), bulk GFP fluorescence</t>
  </si>
  <si>
    <t>&gt; 17.303</t>
  </si>
  <si>
    <t>&gt; 13.696</t>
  </si>
  <si>
    <t>&gt; 15.109</t>
  </si>
  <si>
    <t>&gt; 14.208</t>
  </si>
  <si>
    <t>&gt; 13.721</t>
  </si>
  <si>
    <t>&gt; 17.305</t>
  </si>
  <si>
    <r>
      <rPr>
        <b/>
        <sz val="11"/>
        <color theme="1"/>
        <rFont val="Calibri"/>
        <family val="2"/>
      </rPr>
      <t xml:space="preserve">S3G Data. </t>
    </r>
    <r>
      <rPr>
        <sz val="11"/>
        <color theme="1"/>
        <rFont val="Calibri"/>
        <family val="2"/>
      </rPr>
      <t>Potency of 25 compounds subjected to experimental testing, as measured by bulk GFP fluorescence using the screening assay protocol. Data are displayed in Fig 2F.</t>
    </r>
  </si>
  <si>
    <t>IC50 (µM)</t>
  </si>
  <si>
    <t>Prediction score (Bin Center)</t>
  </si>
  <si>
    <t>Number of compounds</t>
  </si>
  <si>
    <t>Max similarity to an antibiotic</t>
  </si>
  <si>
    <t>CHEMBL1382200</t>
  </si>
  <si>
    <t>CHEMBL1391503</t>
  </si>
  <si>
    <t>CHEMBL1602138</t>
  </si>
  <si>
    <t>CHEMBL3318196</t>
  </si>
  <si>
    <t>CHEMBL1716900</t>
  </si>
  <si>
    <t>CHEMBL1819283</t>
  </si>
  <si>
    <t>CHEMBL109317</t>
  </si>
  <si>
    <t>CHEMBL112388</t>
  </si>
  <si>
    <t>CHEMBL122946</t>
  </si>
  <si>
    <t>CHEMBL1581436</t>
  </si>
  <si>
    <t>CHEMBL1819282</t>
  </si>
  <si>
    <t>CHEMBL263601</t>
  </si>
  <si>
    <t>CHEMBL3085505</t>
  </si>
  <si>
    <t>CHEMBL407050</t>
  </si>
  <si>
    <t>CHEMBL4445113</t>
  </si>
  <si>
    <t>CHEMBL508792</t>
  </si>
  <si>
    <t>CHEMBL4163605</t>
  </si>
  <si>
    <t>CHEMBL1375086</t>
  </si>
  <si>
    <t>CHEMBL1644522</t>
  </si>
  <si>
    <t>CHEMBL2368221</t>
  </si>
  <si>
    <t>CHEMBL262498</t>
  </si>
  <si>
    <t>CHEMBL3792487</t>
  </si>
  <si>
    <t>CHEMBL3792585</t>
  </si>
  <si>
    <t>CHEMBL3793252</t>
  </si>
  <si>
    <t>CHEMBL389872</t>
  </si>
  <si>
    <t>CHEMBL4279077</t>
  </si>
  <si>
    <t>CHEMBL4299282</t>
  </si>
  <si>
    <t>CHEMBL4463523</t>
  </si>
  <si>
    <t>CHEMBL450607</t>
  </si>
  <si>
    <t>CHEMBL451425</t>
  </si>
  <si>
    <t>CHEMBL487262</t>
  </si>
  <si>
    <t>CHEMBL500253</t>
  </si>
  <si>
    <t>CHEMBL505275</t>
  </si>
  <si>
    <t>CHEMBL505827</t>
  </si>
  <si>
    <t>CHEMBL507107</t>
  </si>
  <si>
    <t>CHEMBL511017</t>
  </si>
  <si>
    <t>CHEMBL82302</t>
  </si>
  <si>
    <t>CHEMBL4174933</t>
  </si>
  <si>
    <t>CHEMBL1614</t>
  </si>
  <si>
    <t>CHEMBL4471076</t>
  </si>
  <si>
    <t>CHEMBL110309</t>
  </si>
  <si>
    <t>CHEMBL1441848</t>
  </si>
  <si>
    <t>CHEMBL1093591</t>
  </si>
  <si>
    <t>CHEMBL1186845</t>
  </si>
  <si>
    <t>CHEMBL1224737</t>
  </si>
  <si>
    <t>CHEMBL1934460</t>
  </si>
  <si>
    <t>CHEMBL2036081</t>
  </si>
  <si>
    <t>CHEMBL2228106</t>
  </si>
  <si>
    <t>CHEMBL2228118</t>
  </si>
  <si>
    <t>CHEMBL2228124</t>
  </si>
  <si>
    <t>CHEMBL2228128</t>
  </si>
  <si>
    <t>CHEMBL2269356</t>
  </si>
  <si>
    <t>CHEMBL2269357</t>
  </si>
  <si>
    <t>CHEMBL234215</t>
  </si>
  <si>
    <t>CHEMBL267703</t>
  </si>
  <si>
    <t>CHEMBL291743</t>
  </si>
  <si>
    <t>CHEMBL325834</t>
  </si>
  <si>
    <t>CHEMBL3360250</t>
  </si>
  <si>
    <t>CHEMBL3613067</t>
  </si>
  <si>
    <t>CHEMBL387457</t>
  </si>
  <si>
    <t>CHEMBL4074821</t>
  </si>
  <si>
    <t>CHEMBL4082099</t>
  </si>
  <si>
    <t>CHEMBL409208</t>
  </si>
  <si>
    <t>CHEMBL4103581</t>
  </si>
  <si>
    <t>CHEMBL4166670</t>
  </si>
  <si>
    <t>CHEMBL421704</t>
  </si>
  <si>
    <t>CHEMBL4290798</t>
  </si>
  <si>
    <t>CHEMBL434508</t>
  </si>
  <si>
    <t>CHEMBL4454256</t>
  </si>
  <si>
    <t>CHEMBL447737</t>
  </si>
  <si>
    <t>CHEMBL4596280</t>
  </si>
  <si>
    <t>CHEMBL473879</t>
  </si>
  <si>
    <t>CHEMBL504939</t>
  </si>
  <si>
    <t>CHEMBL525243</t>
  </si>
  <si>
    <t>CHEMBL1643369</t>
  </si>
  <si>
    <t>CHEMBL3391717</t>
  </si>
  <si>
    <t>CHEMBL4454776</t>
  </si>
  <si>
    <t>CHEMBL3793721</t>
  </si>
  <si>
    <t>CHEMBL1895874</t>
  </si>
  <si>
    <t>CHEMBL1159453</t>
  </si>
  <si>
    <t>CHEMBL1326714</t>
  </si>
  <si>
    <t>CHEMBL1775029</t>
  </si>
  <si>
    <t>CHEMBL1782593</t>
  </si>
  <si>
    <t>CHEMBL1964918</t>
  </si>
  <si>
    <t>CHEMBL1990109</t>
  </si>
  <si>
    <t>CHEMBL1991496</t>
  </si>
  <si>
    <t>CHEMBL2000182</t>
  </si>
  <si>
    <t>CHEMBL2023571</t>
  </si>
  <si>
    <t>CHEMBL2208393</t>
  </si>
  <si>
    <t>CHEMBL2228108</t>
  </si>
  <si>
    <t>CHEMBL2228122</t>
  </si>
  <si>
    <t>CHEMBL225603</t>
  </si>
  <si>
    <t>CHEMBL232440</t>
  </si>
  <si>
    <t>CHEMBL234748</t>
  </si>
  <si>
    <t>CHEMBL252104</t>
  </si>
  <si>
    <t>CHEMBL263334</t>
  </si>
  <si>
    <t>CHEMBL263766</t>
  </si>
  <si>
    <t>CHEMBL269128</t>
  </si>
  <si>
    <t>CHEMBL302568</t>
  </si>
  <si>
    <t>CHEMBL3313987</t>
  </si>
  <si>
    <t>CHEMBL3335588</t>
  </si>
  <si>
    <t>CHEMBL3360247</t>
  </si>
  <si>
    <t>CHEMBL3391845</t>
  </si>
  <si>
    <t>CHEMBL339959</t>
  </si>
  <si>
    <t>CHEMBL4100547</t>
  </si>
  <si>
    <t>CHEMBL4104826</t>
  </si>
  <si>
    <t>CHEMBL4162912</t>
  </si>
  <si>
    <t>CHEMBL4165539</t>
  </si>
  <si>
    <t>CHEMBL4170083</t>
  </si>
  <si>
    <t>CHEMBL4170507</t>
  </si>
  <si>
    <t>CHEMBL4209265</t>
  </si>
  <si>
    <t>CHEMBL425345</t>
  </si>
  <si>
    <t>CHEMBL4283476</t>
  </si>
  <si>
    <t>CHEMBL4285887</t>
  </si>
  <si>
    <t>CHEMBL4291316</t>
  </si>
  <si>
    <t>CHEMBL429339</t>
  </si>
  <si>
    <t>CHEMBL4299245</t>
  </si>
  <si>
    <t>CHEMBL4299298</t>
  </si>
  <si>
    <t>CHEMBL4299995</t>
  </si>
  <si>
    <t>CHEMBL4300623</t>
  </si>
  <si>
    <t>CHEMBL433380</t>
  </si>
  <si>
    <t>CHEMBL447713</t>
  </si>
  <si>
    <t>CHEMBL448647</t>
  </si>
  <si>
    <t>CHEMBL453234</t>
  </si>
  <si>
    <t>CHEMBL4595213</t>
  </si>
  <si>
    <t>CHEMBL472126</t>
  </si>
  <si>
    <t>CHEMBL500503</t>
  </si>
  <si>
    <t>CHEMBL500538</t>
  </si>
  <si>
    <t>CHEMBL501316</t>
  </si>
  <si>
    <t>CHEMBL502227</t>
  </si>
  <si>
    <t>CHEMBL508988</t>
  </si>
  <si>
    <t>CHEMBL90076</t>
  </si>
  <si>
    <t>CHEMBL581623</t>
  </si>
  <si>
    <t>CHEMBL467975</t>
  </si>
  <si>
    <t>CHEMBL3793180</t>
  </si>
  <si>
    <t>CHEMBL4550687</t>
  </si>
  <si>
    <t>CHEMBL501345</t>
  </si>
  <si>
    <t>CHEMBL2260838</t>
  </si>
  <si>
    <t>CHEMBL3794197</t>
  </si>
  <si>
    <t>CHEMBL67615</t>
  </si>
  <si>
    <t>CHEMBL1169678</t>
  </si>
  <si>
    <t>CHEMBL1224289</t>
  </si>
  <si>
    <t>CHEMBL1224736</t>
  </si>
  <si>
    <t>CHEMBL1240972</t>
  </si>
  <si>
    <t>CHEMBL1317175</t>
  </si>
  <si>
    <t>CHEMBL1436151</t>
  </si>
  <si>
    <t>CHEMBL144708</t>
  </si>
  <si>
    <t>CHEMBL1531390</t>
  </si>
  <si>
    <t>CHEMBL158998</t>
  </si>
  <si>
    <t>CHEMBL1775019</t>
  </si>
  <si>
    <t>CHEMBL1779450</t>
  </si>
  <si>
    <t>CHEMBL1782592</t>
  </si>
  <si>
    <t>CHEMBL1782595</t>
  </si>
  <si>
    <t>CHEMBL1830936</t>
  </si>
  <si>
    <t>CHEMBL1934462</t>
  </si>
  <si>
    <t>CHEMBL1991598</t>
  </si>
  <si>
    <t>CHEMBL2046459</t>
  </si>
  <si>
    <t>CHEMBL2047975</t>
  </si>
  <si>
    <t>CHEMBL2047976</t>
  </si>
  <si>
    <t>CHEMBL2049185</t>
  </si>
  <si>
    <t>CHEMBL2086411</t>
  </si>
  <si>
    <t>CHEMBL2087153</t>
  </si>
  <si>
    <t>CHEMBL2088129</t>
  </si>
  <si>
    <t>CHEMBL2135577</t>
  </si>
  <si>
    <t>CHEMBL226551</t>
  </si>
  <si>
    <t>CHEMBL2349228</t>
  </si>
  <si>
    <t>CHEMBL2367897</t>
  </si>
  <si>
    <t>CHEMBL277305</t>
  </si>
  <si>
    <t>CHEMBL3133264</t>
  </si>
  <si>
    <t>CHEMBL314293</t>
  </si>
  <si>
    <t>CHEMBL3236392</t>
  </si>
  <si>
    <t>CHEMBL3400847</t>
  </si>
  <si>
    <t>CHEMBL3415424</t>
  </si>
  <si>
    <t>CHEMBL3581705</t>
  </si>
  <si>
    <t>CHEMBL362057</t>
  </si>
  <si>
    <t>CHEMBL376432</t>
  </si>
  <si>
    <t>CHEMBL3828153</t>
  </si>
  <si>
    <t>CHEMBL394747</t>
  </si>
  <si>
    <t>CHEMBL399334</t>
  </si>
  <si>
    <t>CHEMBL400632</t>
  </si>
  <si>
    <t>CHEMBL4059666</t>
  </si>
  <si>
    <t>CHEMBL4062059</t>
  </si>
  <si>
    <t>CHEMBL406768</t>
  </si>
  <si>
    <t>CHEMBL4072519</t>
  </si>
  <si>
    <t>CHEMBL4075531</t>
  </si>
  <si>
    <t>CHEMBL4081922</t>
  </si>
  <si>
    <t>CHEMBL4084095</t>
  </si>
  <si>
    <t>CHEMBL4097815</t>
  </si>
  <si>
    <t>CHEMBL4104543</t>
  </si>
  <si>
    <t>CHEMBL4159857</t>
  </si>
  <si>
    <t>CHEMBL4213661</t>
  </si>
  <si>
    <t>CHEMBL4279943</t>
  </si>
  <si>
    <t>CHEMBL4293106</t>
  </si>
  <si>
    <t>CHEMBL4299283</t>
  </si>
  <si>
    <t>CHEMBL4299992</t>
  </si>
  <si>
    <t>CHEMBL4300622</t>
  </si>
  <si>
    <t>CHEMBL4301122</t>
  </si>
  <si>
    <t>CHEMBL4303621</t>
  </si>
  <si>
    <t>CHEMBL445238</t>
  </si>
  <si>
    <t>CHEMBL446589</t>
  </si>
  <si>
    <t>CHEMBL4469400</t>
  </si>
  <si>
    <t>CHEMBL447086</t>
  </si>
  <si>
    <t>CHEMBL4514051</t>
  </si>
  <si>
    <t>CHEMBL4560591</t>
  </si>
  <si>
    <t>CHEMBL4595544</t>
  </si>
  <si>
    <t>CHEMBL4595545</t>
  </si>
  <si>
    <t>CHEMBL469733</t>
  </si>
  <si>
    <t>CHEMBL499249</t>
  </si>
  <si>
    <t>CHEMBL501918</t>
  </si>
  <si>
    <t>CHEMBL502098</t>
  </si>
  <si>
    <t>CHEMBL502857</t>
  </si>
  <si>
    <t>CHEMBL503505</t>
  </si>
  <si>
    <t>CHEMBL507459</t>
  </si>
  <si>
    <t>CHEMBL96545</t>
  </si>
  <si>
    <t>CHEMBL1493429</t>
  </si>
  <si>
    <t>CHEMBL166127</t>
  </si>
  <si>
    <t>CHEMBL1500554</t>
  </si>
  <si>
    <t>CHEMBL4174305</t>
  </si>
  <si>
    <t>CHEMBL2071192</t>
  </si>
  <si>
    <t>CHEMBL3215337</t>
  </si>
  <si>
    <t>CHEMBL498912</t>
  </si>
  <si>
    <t>CHEMBL504150</t>
  </si>
  <si>
    <t>CHEMBL499981</t>
  </si>
  <si>
    <t>CHEMBL499727</t>
  </si>
  <si>
    <t>CHEMBL502661</t>
  </si>
  <si>
    <t>CHEMBL3391721</t>
  </si>
  <si>
    <t>CHEMBL4449976</t>
  </si>
  <si>
    <t>CHEMBL140054</t>
  </si>
  <si>
    <t>CHEMBL1868007</t>
  </si>
  <si>
    <t>CHEMBL1990395</t>
  </si>
  <si>
    <t>CHEMBL2071534</t>
  </si>
  <si>
    <t>CHEMBL1076878</t>
  </si>
  <si>
    <t>CHEMBL1171267</t>
  </si>
  <si>
    <t>CHEMBL1209876</t>
  </si>
  <si>
    <t>CHEMBL122124</t>
  </si>
  <si>
    <t>CHEMBL124180</t>
  </si>
  <si>
    <t>CHEMBL1269325</t>
  </si>
  <si>
    <t>CHEMBL14831</t>
  </si>
  <si>
    <t>CHEMBL1599678</t>
  </si>
  <si>
    <t>CHEMBL1684591</t>
  </si>
  <si>
    <t>CHEMBL1775020</t>
  </si>
  <si>
    <t>CHEMBL1775026</t>
  </si>
  <si>
    <t>CHEMBL179546</t>
  </si>
  <si>
    <t>CHEMBL1835875</t>
  </si>
  <si>
    <t>CHEMBL1981386</t>
  </si>
  <si>
    <t>CHEMBL2012310</t>
  </si>
  <si>
    <t>CHEMBL2012760</t>
  </si>
  <si>
    <t>CHEMBL202997</t>
  </si>
  <si>
    <t>CHEMBL2047360</t>
  </si>
  <si>
    <t>CHEMBL2047973</t>
  </si>
  <si>
    <t>CHEMBL2047974</t>
  </si>
  <si>
    <t>CHEMBL2071435</t>
  </si>
  <si>
    <t>CHEMBL2088134</t>
  </si>
  <si>
    <t>CHEMBL218364</t>
  </si>
  <si>
    <t>CHEMBL218412</t>
  </si>
  <si>
    <t>CHEMBL218707</t>
  </si>
  <si>
    <t>CHEMBL2207534</t>
  </si>
  <si>
    <t>CHEMBL2228091</t>
  </si>
  <si>
    <t>CHEMBL2228120</t>
  </si>
  <si>
    <t>CHEMBL2269359</t>
  </si>
  <si>
    <t>CHEMBL2288884</t>
  </si>
  <si>
    <t>CHEMBL231417</t>
  </si>
  <si>
    <t>CHEMBL2335925</t>
  </si>
  <si>
    <t>CHEMBL2349227</t>
  </si>
  <si>
    <t>CHEMBL2349229</t>
  </si>
  <si>
    <t>CHEMBL2368539</t>
  </si>
  <si>
    <t>CHEMBL2368666</t>
  </si>
  <si>
    <t>CHEMBL261945</t>
  </si>
  <si>
    <t>CHEMBL267480</t>
  </si>
  <si>
    <t>CHEMBL293078</t>
  </si>
  <si>
    <t>CHEMBL303852</t>
  </si>
  <si>
    <t>CHEMBL3085562</t>
  </si>
  <si>
    <t>CHEMBL316353</t>
  </si>
  <si>
    <t>CHEMBL3236395</t>
  </si>
  <si>
    <t>CHEMBL3246120</t>
  </si>
  <si>
    <t>CHEMBL3400571</t>
  </si>
  <si>
    <t>CHEMBL3400848</t>
  </si>
  <si>
    <t>CHEMBL3400849</t>
  </si>
  <si>
    <t>CHEMBL3581707</t>
  </si>
  <si>
    <t>CHEMBL3581711</t>
  </si>
  <si>
    <t>CHEMBL3600662</t>
  </si>
  <si>
    <t>CHEMBL3605172</t>
  </si>
  <si>
    <t>CHEMBL3605173</t>
  </si>
  <si>
    <t>CHEMBL3605175</t>
  </si>
  <si>
    <t>CHEMBL3634728</t>
  </si>
  <si>
    <t>CHEMBL376754</t>
  </si>
  <si>
    <t>CHEMBL3827909</t>
  </si>
  <si>
    <t>CHEMBL385046</t>
  </si>
  <si>
    <t>CHEMBL3965004</t>
  </si>
  <si>
    <t>CHEMBL396582</t>
  </si>
  <si>
    <t>CHEMBL398409</t>
  </si>
  <si>
    <t>CHEMBL398874</t>
  </si>
  <si>
    <t>CHEMBL405922</t>
  </si>
  <si>
    <t>CHEMBL406226</t>
  </si>
  <si>
    <t>CHEMBL406249</t>
  </si>
  <si>
    <t>CHEMBL4062815</t>
  </si>
  <si>
    <t>CHEMBL4069914</t>
  </si>
  <si>
    <t>CHEMBL407526</t>
  </si>
  <si>
    <t>CHEMBL4090098</t>
  </si>
  <si>
    <t>CHEMBL4092515</t>
  </si>
  <si>
    <t>CHEMBL409408</t>
  </si>
  <si>
    <t>CHEMBL409658</t>
  </si>
  <si>
    <t>CHEMBL4168962</t>
  </si>
  <si>
    <t>CHEMBL4277142</t>
  </si>
  <si>
    <t>CHEMBL4281041</t>
  </si>
  <si>
    <t>CHEMBL4283507</t>
  </si>
  <si>
    <t>CHEMBL4291053</t>
  </si>
  <si>
    <t>CHEMBL429373</t>
  </si>
  <si>
    <t>CHEMBL4293792</t>
  </si>
  <si>
    <t>CHEMBL4297278</t>
  </si>
  <si>
    <t>CHEMBL4300511</t>
  </si>
  <si>
    <t>CHEMBL4301449</t>
  </si>
  <si>
    <t>CHEMBL4303011</t>
  </si>
  <si>
    <t>CHEMBL434439</t>
  </si>
  <si>
    <t>CHEMBL436680</t>
  </si>
  <si>
    <t>CHEMBL442639</t>
  </si>
  <si>
    <t>CHEMBL4441424</t>
  </si>
  <si>
    <t>CHEMBL4472426</t>
  </si>
  <si>
    <t>CHEMBL4527738</t>
  </si>
  <si>
    <t>CHEMBL4548250</t>
  </si>
  <si>
    <t>CHEMBL4595655</t>
  </si>
  <si>
    <t>CHEMBL4595894</t>
  </si>
  <si>
    <t>CHEMBL468368</t>
  </si>
  <si>
    <t>CHEMBL499708</t>
  </si>
  <si>
    <t>CHEMBL500249</t>
  </si>
  <si>
    <t>CHEMBL501279</t>
  </si>
  <si>
    <t>CHEMBL504372</t>
  </si>
  <si>
    <t>CHEMBL508531</t>
  </si>
  <si>
    <t>CHEMBL509894</t>
  </si>
  <si>
    <t>CHEMBL510477</t>
  </si>
  <si>
    <t>CHEMBL510683</t>
  </si>
  <si>
    <t>CHEMBL540741</t>
  </si>
  <si>
    <t>CHEMBL573916</t>
  </si>
  <si>
    <t>CHEMBL76837</t>
  </si>
  <si>
    <t>CHEMBL1163906</t>
  </si>
  <si>
    <t>CHEMBL4081047</t>
  </si>
  <si>
    <t>CHEMBL503717</t>
  </si>
  <si>
    <t>CHEMBL611117</t>
  </si>
  <si>
    <t>CHEMBL447264</t>
  </si>
  <si>
    <t>CHEMBL508393</t>
  </si>
  <si>
    <t>CHEMBL1076882</t>
  </si>
  <si>
    <t>CHEMBL1169840</t>
  </si>
  <si>
    <t>CHEMBL444418</t>
  </si>
  <si>
    <t>CHEMBL3108854</t>
  </si>
  <si>
    <t>CHEMBL1077479</t>
  </si>
  <si>
    <t>CHEMBL1205590</t>
  </si>
  <si>
    <t>CHEMBL1206998</t>
  </si>
  <si>
    <t>CHEMBL1208572</t>
  </si>
  <si>
    <t>CHEMBL121029</t>
  </si>
  <si>
    <t>CHEMBL1214455</t>
  </si>
  <si>
    <t>CHEMBL1214461</t>
  </si>
  <si>
    <t>CHEMBL125433</t>
  </si>
  <si>
    <t>CHEMBL166957</t>
  </si>
  <si>
    <t>CHEMBL1684590</t>
  </si>
  <si>
    <t>CHEMBL1775027</t>
  </si>
  <si>
    <t>CHEMBL183522</t>
  </si>
  <si>
    <t>CHEMBL1951413</t>
  </si>
  <si>
    <t>CHEMBL1989576</t>
  </si>
  <si>
    <t>CHEMBL2047978</t>
  </si>
  <si>
    <t>CHEMBL2071188</t>
  </si>
  <si>
    <t>CHEMBL2071429</t>
  </si>
  <si>
    <t>CHEMBL2071436</t>
  </si>
  <si>
    <t>CHEMBL2079756</t>
  </si>
  <si>
    <t>CHEMBL2088127</t>
  </si>
  <si>
    <t>CHEMBL2088128</t>
  </si>
  <si>
    <t>CHEMBL2165250</t>
  </si>
  <si>
    <t>CHEMBL218441</t>
  </si>
  <si>
    <t>CHEMBL2208392</t>
  </si>
  <si>
    <t>CHEMBL2228101</t>
  </si>
  <si>
    <t>CHEMBL2228117</t>
  </si>
  <si>
    <t>CHEMBL2228130</t>
  </si>
  <si>
    <t>CHEMBL2228353</t>
  </si>
  <si>
    <t>CHEMBL2269358</t>
  </si>
  <si>
    <t>CHEMBL2335920</t>
  </si>
  <si>
    <t>CHEMBL234968</t>
  </si>
  <si>
    <t>CHEMBL2367698</t>
  </si>
  <si>
    <t>CHEMBL2367898</t>
  </si>
  <si>
    <t>CHEMBL2367899</t>
  </si>
  <si>
    <t>CHEMBL2368233</t>
  </si>
  <si>
    <t>CHEMBL2375451</t>
  </si>
  <si>
    <t>CHEMBL2375466</t>
  </si>
  <si>
    <t>CHEMBL2392321</t>
  </si>
  <si>
    <t>CHEMBL252186</t>
  </si>
  <si>
    <t>CHEMBL263850</t>
  </si>
  <si>
    <t>CHEMBL267030</t>
  </si>
  <si>
    <t>CHEMBL299261</t>
  </si>
  <si>
    <t>CHEMBL304603</t>
  </si>
  <si>
    <t>CHEMBL3133260</t>
  </si>
  <si>
    <t>CHEMBL3133261</t>
  </si>
  <si>
    <t>CHEMBL316573</t>
  </si>
  <si>
    <t>CHEMBL3236393</t>
  </si>
  <si>
    <t>CHEMBL3245607</t>
  </si>
  <si>
    <t>CHEMBL3246108</t>
  </si>
  <si>
    <t>CHEMBL331052</t>
  </si>
  <si>
    <t>CHEMBL3329794</t>
  </si>
  <si>
    <t>CHEMBL3344128</t>
  </si>
  <si>
    <t>CHEMBL3391731</t>
  </si>
  <si>
    <t>CHEMBL3391740</t>
  </si>
  <si>
    <t>CHEMBL339392</t>
  </si>
  <si>
    <t>CHEMBL3400846</t>
  </si>
  <si>
    <t>CHEMBL340496</t>
  </si>
  <si>
    <t>CHEMBL3415422</t>
  </si>
  <si>
    <t>CHEMBL3544670</t>
  </si>
  <si>
    <t>CHEMBL357962</t>
  </si>
  <si>
    <t>CHEMBL3581706</t>
  </si>
  <si>
    <t>CHEMBL3594355</t>
  </si>
  <si>
    <t>CHEMBL3600663</t>
  </si>
  <si>
    <t>CHEMBL3605176</t>
  </si>
  <si>
    <t>CHEMBL368142</t>
  </si>
  <si>
    <t>CHEMBL373649</t>
  </si>
  <si>
    <t>CHEMBL3828110</t>
  </si>
  <si>
    <t>CHEMBL384243</t>
  </si>
  <si>
    <t>CHEMBL3916849</t>
  </si>
  <si>
    <t>CHEMBL392197</t>
  </si>
  <si>
    <t>CHEMBL393672</t>
  </si>
  <si>
    <t>CHEMBL3989886</t>
  </si>
  <si>
    <t>CHEMBL4060205</t>
  </si>
  <si>
    <t>CHEMBL4064033</t>
  </si>
  <si>
    <t>CHEMBL4065851</t>
  </si>
  <si>
    <t>CHEMBL4069363</t>
  </si>
  <si>
    <t>CHEMBL4072085</t>
  </si>
  <si>
    <t>CHEMBL408302</t>
  </si>
  <si>
    <t>CHEMBL4093747</t>
  </si>
  <si>
    <t>CHEMBL4094870</t>
  </si>
  <si>
    <t>CHEMBL4100023</t>
  </si>
  <si>
    <t>CHEMBL414697</t>
  </si>
  <si>
    <t>CHEMBL4172482</t>
  </si>
  <si>
    <t>CHEMBL4277965</t>
  </si>
  <si>
    <t>CHEMBL4279511</t>
  </si>
  <si>
    <t>CHEMBL4287805</t>
  </si>
  <si>
    <t>CHEMBL428828</t>
  </si>
  <si>
    <t>CHEMBL4300408</t>
  </si>
  <si>
    <t>CHEMBL4300625</t>
  </si>
  <si>
    <t>CHEMBL4300626</t>
  </si>
  <si>
    <t>CHEMBL4300996</t>
  </si>
  <si>
    <t>CHEMBL4301556</t>
  </si>
  <si>
    <t>CHEMBL4302564</t>
  </si>
  <si>
    <t>CHEMBL432046</t>
  </si>
  <si>
    <t>CHEMBL434546</t>
  </si>
  <si>
    <t>CHEMBL44328</t>
  </si>
  <si>
    <t>CHEMBL4437247</t>
  </si>
  <si>
    <t>CHEMBL4442640</t>
  </si>
  <si>
    <t>CHEMBL445461</t>
  </si>
  <si>
    <t>CHEMBL4463933</t>
  </si>
  <si>
    <t>CHEMBL4464887</t>
  </si>
  <si>
    <t>CHEMBL4468593</t>
  </si>
  <si>
    <t>CHEMBL447019</t>
  </si>
  <si>
    <t>CHEMBL447375</t>
  </si>
  <si>
    <t>CHEMBL4476357</t>
  </si>
  <si>
    <t>CHEMBL449236</t>
  </si>
  <si>
    <t>CHEMBL451516</t>
  </si>
  <si>
    <t>CHEMBL4535603</t>
  </si>
  <si>
    <t>CHEMBL454738</t>
  </si>
  <si>
    <t>CHEMBL4580334</t>
  </si>
  <si>
    <t>CHEMBL489247</t>
  </si>
  <si>
    <t>CHEMBL50054</t>
  </si>
  <si>
    <t>CHEMBL501604</t>
  </si>
  <si>
    <t>CHEMBL505515</t>
  </si>
  <si>
    <t>CHEMBL506224</t>
  </si>
  <si>
    <t>CHEMBL507115</t>
  </si>
  <si>
    <t>CHEMBL508213</t>
  </si>
  <si>
    <t>CHEMBL508891</t>
  </si>
  <si>
    <t>CHEMBL538421</t>
  </si>
  <si>
    <t>CHEMBL55168</t>
  </si>
  <si>
    <t>CHEMBL594113</t>
  </si>
  <si>
    <t>CHEMBL81580</t>
  </si>
  <si>
    <t>CHEMBL4168158</t>
  </si>
  <si>
    <t>CHEMBL1163175</t>
  </si>
  <si>
    <t>CHEMBL4074658</t>
  </si>
  <si>
    <t>CHEMBL411209</t>
  </si>
  <si>
    <t>CHEMBL444444</t>
  </si>
  <si>
    <t>CHEMBL450738</t>
  </si>
  <si>
    <t>CHEMBL508176</t>
  </si>
  <si>
    <t>CHEMBL4076999</t>
  </si>
  <si>
    <t>CHEMBL1169845</t>
  </si>
  <si>
    <t>CHEMBL3581704</t>
  </si>
  <si>
    <t>CHEMBL451576</t>
  </si>
  <si>
    <t>CHEMBL4514012</t>
  </si>
  <si>
    <t>CHEMBL135149</t>
  </si>
  <si>
    <t>CHEMBL1389157</t>
  </si>
  <si>
    <t>CHEMBL143591</t>
  </si>
  <si>
    <t>CHEMBL1610397</t>
  </si>
  <si>
    <t>CHEMBL212852</t>
  </si>
  <si>
    <t>CHEMBL3196500</t>
  </si>
  <si>
    <t>CHEMBL3318194</t>
  </si>
  <si>
    <t>CHEMBL424088</t>
  </si>
  <si>
    <t>CHEMBL1077464</t>
  </si>
  <si>
    <t>CHEMBL1091405</t>
  </si>
  <si>
    <t>CHEMBL1098345</t>
  </si>
  <si>
    <t>CHEMBL1171448</t>
  </si>
  <si>
    <t>CHEMBL1185999</t>
  </si>
  <si>
    <t>CHEMBL119062</t>
  </si>
  <si>
    <t>CHEMBL1194626</t>
  </si>
  <si>
    <t>CHEMBL1205597</t>
  </si>
  <si>
    <t>CHEMBL1209882</t>
  </si>
  <si>
    <t>CHEMBL1275762</t>
  </si>
  <si>
    <t>CHEMBL128009</t>
  </si>
  <si>
    <t>CHEMBL1310664</t>
  </si>
  <si>
    <t>CHEMBL1328768</t>
  </si>
  <si>
    <t>CHEMBL1641925</t>
  </si>
  <si>
    <t>CHEMBL1652690</t>
  </si>
  <si>
    <t>CHEMBL1652691</t>
  </si>
  <si>
    <t>CHEMBL170544</t>
  </si>
  <si>
    <t>CHEMBL1773981</t>
  </si>
  <si>
    <t>CHEMBL1775021</t>
  </si>
  <si>
    <t>CHEMBL1775028</t>
  </si>
  <si>
    <t>CHEMBL1819592</t>
  </si>
  <si>
    <t>CHEMBL1876385</t>
  </si>
  <si>
    <t>CHEMBL1879202</t>
  </si>
  <si>
    <t>CHEMBL1923784</t>
  </si>
  <si>
    <t>CHEMBL1928850</t>
  </si>
  <si>
    <t>CHEMBL1934467</t>
  </si>
  <si>
    <t>CHEMBL1967022</t>
  </si>
  <si>
    <t>CHEMBL1971135</t>
  </si>
  <si>
    <t>CHEMBL1977776</t>
  </si>
  <si>
    <t>CHEMBL1985151</t>
  </si>
  <si>
    <t>CHEMBL1992074</t>
  </si>
  <si>
    <t>CHEMBL2034998</t>
  </si>
  <si>
    <t>CHEMBL2036565</t>
  </si>
  <si>
    <t>CHEMBL203956</t>
  </si>
  <si>
    <t>CHEMBL2047358</t>
  </si>
  <si>
    <t>CHEMBL205435</t>
  </si>
  <si>
    <t>CHEMBL2071432</t>
  </si>
  <si>
    <t>CHEMBL2071433</t>
  </si>
  <si>
    <t>CHEMBL2228127</t>
  </si>
  <si>
    <t>CHEMBL224296</t>
  </si>
  <si>
    <t>CHEMBL2304264</t>
  </si>
  <si>
    <t>CHEMBL2368184</t>
  </si>
  <si>
    <t>CHEMBL2368237</t>
  </si>
  <si>
    <t>CHEMBL2375448</t>
  </si>
  <si>
    <t>CHEMBL2375449</t>
  </si>
  <si>
    <t>CHEMBL2419361</t>
  </si>
  <si>
    <t>CHEMBL251068</t>
  </si>
  <si>
    <t>CHEMBL252381</t>
  </si>
  <si>
    <t>CHEMBL268085</t>
  </si>
  <si>
    <t>CHEMBL274531</t>
  </si>
  <si>
    <t>CHEMBL279011</t>
  </si>
  <si>
    <t>CHEMBL296341</t>
  </si>
  <si>
    <t>CHEMBL3128131</t>
  </si>
  <si>
    <t>CHEMBL323001</t>
  </si>
  <si>
    <t>CHEMBL3236399</t>
  </si>
  <si>
    <t>CHEMBL3246123</t>
  </si>
  <si>
    <t>CHEMBL3289437</t>
  </si>
  <si>
    <t>CHEMBL3298468</t>
  </si>
  <si>
    <t>CHEMBL3298469</t>
  </si>
  <si>
    <t>CHEMBL330828</t>
  </si>
  <si>
    <t>CHEMBL3329792</t>
  </si>
  <si>
    <t>CHEMBL3357162</t>
  </si>
  <si>
    <t>CHEMBL3392048</t>
  </si>
  <si>
    <t>CHEMBL3400843</t>
  </si>
  <si>
    <t>CHEMBL3400844</t>
  </si>
  <si>
    <t>CHEMBL3415421</t>
  </si>
  <si>
    <t>CHEMBL3415426</t>
  </si>
  <si>
    <t>CHEMBL3415430</t>
  </si>
  <si>
    <t>CHEMBL3427590</t>
  </si>
  <si>
    <t>CHEMBL3427605</t>
  </si>
  <si>
    <t>CHEMBL346643</t>
  </si>
  <si>
    <t>CHEMBL3544708</t>
  </si>
  <si>
    <t>CHEMBL3544837</t>
  </si>
  <si>
    <t>CHEMBL3581708</t>
  </si>
  <si>
    <t>CHEMBL3593732</t>
  </si>
  <si>
    <t>CHEMBL367449</t>
  </si>
  <si>
    <t>CHEMBL3681876</t>
  </si>
  <si>
    <t>CHEMBL374093</t>
  </si>
  <si>
    <t>CHEMBL375441</t>
  </si>
  <si>
    <t>CHEMBL376865</t>
  </si>
  <si>
    <t>CHEMBL3794042</t>
  </si>
  <si>
    <t>CHEMBL3896998</t>
  </si>
  <si>
    <t>CHEMBL3906057</t>
  </si>
  <si>
    <t>CHEMBL3955932</t>
  </si>
  <si>
    <t>CHEMBL395604</t>
  </si>
  <si>
    <t>CHEMBL3976082</t>
  </si>
  <si>
    <t>CHEMBL400877</t>
  </si>
  <si>
    <t>CHEMBL405853</t>
  </si>
  <si>
    <t>CHEMBL4082091</t>
  </si>
  <si>
    <t>CHEMBL4082626</t>
  </si>
  <si>
    <t>CHEMBL4092894</t>
  </si>
  <si>
    <t>CHEMBL409532</t>
  </si>
  <si>
    <t>CHEMBL411924</t>
  </si>
  <si>
    <t>CHEMBL4127260</t>
  </si>
  <si>
    <t>CHEMBL4170586</t>
  </si>
  <si>
    <t>CHEMBL4213425</t>
  </si>
  <si>
    <t>CHEMBL4214742</t>
  </si>
  <si>
    <t>CHEMBL425292</t>
  </si>
  <si>
    <t>CHEMBL4280369</t>
  </si>
  <si>
    <t>CHEMBL4284445</t>
  </si>
  <si>
    <t>CHEMBL4289984</t>
  </si>
  <si>
    <t>CHEMBL4294194</t>
  </si>
  <si>
    <t>CHEMBL4301121</t>
  </si>
  <si>
    <t>CHEMBL4301123</t>
  </si>
  <si>
    <t>CHEMBL4301333</t>
  </si>
  <si>
    <t>CHEMBL4302270</t>
  </si>
  <si>
    <t>CHEMBL433606</t>
  </si>
  <si>
    <t>CHEMBL437111</t>
  </si>
  <si>
    <t>CHEMBL444296</t>
  </si>
  <si>
    <t>CHEMBL4445849</t>
  </si>
  <si>
    <t>CHEMBL4449120</t>
  </si>
  <si>
    <t>CHEMBL4457883</t>
  </si>
  <si>
    <t>CHEMBL4470519</t>
  </si>
  <si>
    <t>CHEMBL447312</t>
  </si>
  <si>
    <t>CHEMBL447549</t>
  </si>
  <si>
    <t>CHEMBL448959</t>
  </si>
  <si>
    <t>CHEMBL449122</t>
  </si>
  <si>
    <t>CHEMBL449185</t>
  </si>
  <si>
    <t>CHEMBL4533503</t>
  </si>
  <si>
    <t>CHEMBL454699</t>
  </si>
  <si>
    <t>CHEMBL4574450</t>
  </si>
  <si>
    <t>CHEMBL46240</t>
  </si>
  <si>
    <t>CHEMBL479080</t>
  </si>
  <si>
    <t>CHEMBL486446</t>
  </si>
  <si>
    <t>CHEMBL504101</t>
  </si>
  <si>
    <t>CHEMBL504136</t>
  </si>
  <si>
    <t>CHEMBL504615</t>
  </si>
  <si>
    <t>CHEMBL506447</t>
  </si>
  <si>
    <t>CHEMBL507977</t>
  </si>
  <si>
    <t>CHEMBL508590</t>
  </si>
  <si>
    <t>CHEMBL525042</t>
  </si>
  <si>
    <t>CHEMBL55299</t>
  </si>
  <si>
    <t>CHEMBL553483</t>
  </si>
  <si>
    <t>CHEMBL581398</t>
  </si>
  <si>
    <t>CHEMBL69119</t>
  </si>
  <si>
    <t>CHEMBL8856</t>
  </si>
  <si>
    <t>CHEMBL91159</t>
  </si>
  <si>
    <t>CHEMBL7064</t>
  </si>
  <si>
    <t>CHEMBL1910836</t>
  </si>
  <si>
    <t>CHEMBL1978381</t>
  </si>
  <si>
    <t>CHEMBL2071185</t>
  </si>
  <si>
    <t>CHEMBL233701</t>
  </si>
  <si>
    <t>CHEMBL411386</t>
  </si>
  <si>
    <t>CHEMBL498952</t>
  </si>
  <si>
    <t>CHEMBL499702</t>
  </si>
  <si>
    <t>CHEMBL499858</t>
  </si>
  <si>
    <t>CHEMBL500970</t>
  </si>
  <si>
    <t>CHEMBL504509</t>
  </si>
  <si>
    <t>CHEMBL508270</t>
  </si>
  <si>
    <t>CHEMBL524307</t>
  </si>
  <si>
    <t>CHEMBL568141</t>
  </si>
  <si>
    <t>CHEMBL185418</t>
  </si>
  <si>
    <t>CHEMBL1159456</t>
  </si>
  <si>
    <t>CHEMBL1993106</t>
  </si>
  <si>
    <t>CHEMBL4214983</t>
  </si>
  <si>
    <t>CHEMBL449197</t>
  </si>
  <si>
    <t>CHEMBL501565</t>
  </si>
  <si>
    <t>CHEMBL503633</t>
  </si>
  <si>
    <t>CHEMBL4556065</t>
  </si>
  <si>
    <t>CHEMBL374984</t>
  </si>
  <si>
    <t>CHEMBL453464</t>
  </si>
  <si>
    <t>CHEMBL497707</t>
  </si>
  <si>
    <t>CHEMBL506729</t>
  </si>
  <si>
    <t>CHEMBL4437636</t>
  </si>
  <si>
    <t>CHEMBL389648</t>
  </si>
  <si>
    <t>CHEMBL1097074</t>
  </si>
  <si>
    <t>CHEMBL1162109</t>
  </si>
  <si>
    <t>CHEMBL1335214</t>
  </si>
  <si>
    <t>CHEMBL1499490</t>
  </si>
  <si>
    <t>CHEMBL183769</t>
  </si>
  <si>
    <t>CHEMBL2071532</t>
  </si>
  <si>
    <t>CHEMBL2203619</t>
  </si>
  <si>
    <t>CHEMBL3318195</t>
  </si>
  <si>
    <t>CHEMBL45641</t>
  </si>
  <si>
    <t>CHEMBL106114</t>
  </si>
  <si>
    <t>CHEMBL1076859</t>
  </si>
  <si>
    <t>CHEMBL1077480</t>
  </si>
  <si>
    <t>CHEMBL1077632</t>
  </si>
  <si>
    <t>CHEMBL1091406</t>
  </si>
  <si>
    <t>CHEMBL1097211</t>
  </si>
  <si>
    <t>CHEMBL1159455</t>
  </si>
  <si>
    <t>CHEMBL1169843</t>
  </si>
  <si>
    <t>CHEMBL1187474</t>
  </si>
  <si>
    <t>CHEMBL1201187</t>
  </si>
  <si>
    <t>CHEMBL1215607</t>
  </si>
  <si>
    <t>CHEMBL1224731</t>
  </si>
  <si>
    <t>CHEMBL1224732</t>
  </si>
  <si>
    <t>CHEMBL123941</t>
  </si>
  <si>
    <t>CHEMBL124153</t>
  </si>
  <si>
    <t>CHEMBL1255733</t>
  </si>
  <si>
    <t>CHEMBL1256556</t>
  </si>
  <si>
    <t>CHEMBL1269053</t>
  </si>
  <si>
    <t>CHEMBL1322988</t>
  </si>
  <si>
    <t>CHEMBL1328854</t>
  </si>
  <si>
    <t>CHEMBL1353042</t>
  </si>
  <si>
    <t>CHEMBL1416637</t>
  </si>
  <si>
    <t>CHEMBL1651623</t>
  </si>
  <si>
    <t>CHEMBL168713</t>
  </si>
  <si>
    <t>CHEMBL1713335</t>
  </si>
  <si>
    <t>CHEMBL1732074</t>
  </si>
  <si>
    <t>CHEMBL173862</t>
  </si>
  <si>
    <t>CHEMBL1775023</t>
  </si>
  <si>
    <t>CHEMBL1796778</t>
  </si>
  <si>
    <t>CHEMBL184163</t>
  </si>
  <si>
    <t>CHEMBL1883852</t>
  </si>
  <si>
    <t>CHEMBL1949691</t>
  </si>
  <si>
    <t>CHEMBL1980047</t>
  </si>
  <si>
    <t>CHEMBL1983968</t>
  </si>
  <si>
    <t>CHEMBL2012648</t>
  </si>
  <si>
    <t>CHEMBL2012756</t>
  </si>
  <si>
    <t>CHEMBL2036076</t>
  </si>
  <si>
    <t>CHEMBL2047977</t>
  </si>
  <si>
    <t>CHEMBL2049179</t>
  </si>
  <si>
    <t>CHEMBL2063007</t>
  </si>
  <si>
    <t>CHEMBL2063008</t>
  </si>
  <si>
    <t>CHEMBL2087536</t>
  </si>
  <si>
    <t>CHEMBL2088135</t>
  </si>
  <si>
    <t>CHEMBL2111809</t>
  </si>
  <si>
    <t>CHEMBL213497</t>
  </si>
  <si>
    <t>CHEMBL216993</t>
  </si>
  <si>
    <t>CHEMBL2204383</t>
  </si>
  <si>
    <t>CHEMBL2228103</t>
  </si>
  <si>
    <t>CHEMBL2228119</t>
  </si>
  <si>
    <t>CHEMBL2228123</t>
  </si>
  <si>
    <t>CHEMBL2228354</t>
  </si>
  <si>
    <t>CHEMBL2314754</t>
  </si>
  <si>
    <t>CHEMBL234362</t>
  </si>
  <si>
    <t>CHEMBL234781</t>
  </si>
  <si>
    <t>CHEMBL2374348</t>
  </si>
  <si>
    <t>CHEMBL2375469</t>
  </si>
  <si>
    <t>CHEMBL2375639</t>
  </si>
  <si>
    <t>CHEMBL2391926</t>
  </si>
  <si>
    <t>CHEMBL2409083</t>
  </si>
  <si>
    <t>CHEMBL2417957</t>
  </si>
  <si>
    <t>CHEMBL262289</t>
  </si>
  <si>
    <t>CHEMBL263239</t>
  </si>
  <si>
    <t>CHEMBL265834</t>
  </si>
  <si>
    <t>CHEMBL266162</t>
  </si>
  <si>
    <t>CHEMBL269013</t>
  </si>
  <si>
    <t>CHEMBL274761</t>
  </si>
  <si>
    <t>CHEMBL283249</t>
  </si>
  <si>
    <t>CHEMBL288049</t>
  </si>
  <si>
    <t>CHEMBL296308</t>
  </si>
  <si>
    <t>CHEMBL3105598</t>
  </si>
  <si>
    <t>CHEMBL320001</t>
  </si>
  <si>
    <t>CHEMBL323170</t>
  </si>
  <si>
    <t>CHEMBL3236398</t>
  </si>
  <si>
    <t>CHEMBL3246107</t>
  </si>
  <si>
    <t>CHEMBL3246119</t>
  </si>
  <si>
    <t>CHEMBL3261929</t>
  </si>
  <si>
    <t>CHEMBL3327133</t>
  </si>
  <si>
    <t>CHEMBL332989</t>
  </si>
  <si>
    <t>CHEMBL3350826</t>
  </si>
  <si>
    <t>CHEMBL352334</t>
  </si>
  <si>
    <t>CHEMBL3544581</t>
  </si>
  <si>
    <t>CHEMBL3594157</t>
  </si>
  <si>
    <t>CHEMBL361139</t>
  </si>
  <si>
    <t>CHEMBL3613722</t>
  </si>
  <si>
    <t>CHEMBL363050</t>
  </si>
  <si>
    <t>CHEMBL363941</t>
  </si>
  <si>
    <t>CHEMBL373840</t>
  </si>
  <si>
    <t>CHEMBL3740728</t>
  </si>
  <si>
    <t>CHEMBL374209</t>
  </si>
  <si>
    <t>CHEMBL374396</t>
  </si>
  <si>
    <t>CHEMBL375075</t>
  </si>
  <si>
    <t>CHEMBL3775794</t>
  </si>
  <si>
    <t>CHEMBL3799734</t>
  </si>
  <si>
    <t>CHEMBL380357</t>
  </si>
  <si>
    <t>CHEMBL380450</t>
  </si>
  <si>
    <t>CHEMBL384932</t>
  </si>
  <si>
    <t>CHEMBL3884519</t>
  </si>
  <si>
    <t>CHEMBL3892124</t>
  </si>
  <si>
    <t>CHEMBL390298</t>
  </si>
  <si>
    <t>CHEMBL3916112</t>
  </si>
  <si>
    <t>CHEMBL391767</t>
  </si>
  <si>
    <t>CHEMBL393690</t>
  </si>
  <si>
    <t>CHEMBL3938788</t>
  </si>
  <si>
    <t>CHEMBL396590</t>
  </si>
  <si>
    <t>CHEMBL3974090</t>
  </si>
  <si>
    <t>CHEMBL397879</t>
  </si>
  <si>
    <t>CHEMBL4061164</t>
  </si>
  <si>
    <t>CHEMBL4062353</t>
  </si>
  <si>
    <t>CHEMBL406756</t>
  </si>
  <si>
    <t>CHEMBL4086554</t>
  </si>
  <si>
    <t>CHEMBL4088096</t>
  </si>
  <si>
    <t>CHEMBL4090655</t>
  </si>
  <si>
    <t>CHEMBL4091319</t>
  </si>
  <si>
    <t>CHEMBL4091367</t>
  </si>
  <si>
    <t>CHEMBL4098165</t>
  </si>
  <si>
    <t>CHEMBL4099103</t>
  </si>
  <si>
    <t>CHEMBL4100629</t>
  </si>
  <si>
    <t>CHEMBL4101943</t>
  </si>
  <si>
    <t>CHEMBL4107089</t>
  </si>
  <si>
    <t>CHEMBL410790</t>
  </si>
  <si>
    <t>CHEMBL4129334</t>
  </si>
  <si>
    <t>CHEMBL4160842</t>
  </si>
  <si>
    <t>CHEMBL4162955</t>
  </si>
  <si>
    <t>CHEMBL4163048</t>
  </si>
  <si>
    <t>CHEMBL4175221</t>
  </si>
  <si>
    <t>CHEMBL4175226</t>
  </si>
  <si>
    <t>CHEMBL4206558</t>
  </si>
  <si>
    <t>CHEMBL4208857</t>
  </si>
  <si>
    <t>CHEMBL4213497</t>
  </si>
  <si>
    <t>CHEMBL4214182</t>
  </si>
  <si>
    <t>CHEMBL4215881</t>
  </si>
  <si>
    <t>CHEMBL428319</t>
  </si>
  <si>
    <t>CHEMBL4287386</t>
  </si>
  <si>
    <t>CHEMBL4299269</t>
  </si>
  <si>
    <t>CHEMBL4299803</t>
  </si>
  <si>
    <t>CHEMBL4300629</t>
  </si>
  <si>
    <t>CHEMBL4301334</t>
  </si>
  <si>
    <t>CHEMBL4301555</t>
  </si>
  <si>
    <t>CHEMBL4302155</t>
  </si>
  <si>
    <t>CHEMBL432692</t>
  </si>
  <si>
    <t>CHEMBL4436255</t>
  </si>
  <si>
    <t>CHEMBL4444969</t>
  </si>
  <si>
    <t>CHEMBL4447694</t>
  </si>
  <si>
    <t>CHEMBL446017</t>
  </si>
  <si>
    <t>CHEMBL4467707</t>
  </si>
  <si>
    <t>CHEMBL447110</t>
  </si>
  <si>
    <t>CHEMBL4473526</t>
  </si>
  <si>
    <t>CHEMBL4483801</t>
  </si>
  <si>
    <t>CHEMBL449508</t>
  </si>
  <si>
    <t>CHEMBL450446</t>
  </si>
  <si>
    <t>CHEMBL450651</t>
  </si>
  <si>
    <t>CHEMBL451057</t>
  </si>
  <si>
    <t>CHEMBL451405</t>
  </si>
  <si>
    <t>CHEMBL452695</t>
  </si>
  <si>
    <t>CHEMBL453475</t>
  </si>
  <si>
    <t>CHEMBL454291</t>
  </si>
  <si>
    <t>CHEMBL455501</t>
  </si>
  <si>
    <t>CHEMBL4556529</t>
  </si>
  <si>
    <t>CHEMBL4573409</t>
  </si>
  <si>
    <t>CHEMBL4587712</t>
  </si>
  <si>
    <t>CHEMBL4594852</t>
  </si>
  <si>
    <t>CHEMBL4595792</t>
  </si>
  <si>
    <t>CHEMBL466170</t>
  </si>
  <si>
    <t>CHEMBL47304</t>
  </si>
  <si>
    <t>CHEMBL486480</t>
  </si>
  <si>
    <t>CHEMBL499022</t>
  </si>
  <si>
    <t>CHEMBL499135</t>
  </si>
  <si>
    <t>CHEMBL500353</t>
  </si>
  <si>
    <t>CHEMBL501265</t>
  </si>
  <si>
    <t>CHEMBL501318</t>
  </si>
  <si>
    <t>CHEMBL501337</t>
  </si>
  <si>
    <t>CHEMBL501830</t>
  </si>
  <si>
    <t>CHEMBL503276</t>
  </si>
  <si>
    <t>CHEMBL503885</t>
  </si>
  <si>
    <t>CHEMBL504933</t>
  </si>
  <si>
    <t>CHEMBL505146</t>
  </si>
  <si>
    <t>CHEMBL507957</t>
  </si>
  <si>
    <t>CHEMBL50799</t>
  </si>
  <si>
    <t>CHEMBL508819</t>
  </si>
  <si>
    <t>CHEMBL512971</t>
  </si>
  <si>
    <t>CHEMBL537274</t>
  </si>
  <si>
    <t>CHEMBL537530</t>
  </si>
  <si>
    <t>CHEMBL552726</t>
  </si>
  <si>
    <t>CHEMBL554969</t>
  </si>
  <si>
    <t>CHEMBL567464</t>
  </si>
  <si>
    <t>CHEMBL595817</t>
  </si>
  <si>
    <t>CHEMBL601604</t>
  </si>
  <si>
    <t>CHEMBL67123</t>
  </si>
  <si>
    <t>CHEMBL69434</t>
  </si>
  <si>
    <t>CHEMBL71939</t>
  </si>
  <si>
    <t>CHEMBL1598619</t>
  </si>
  <si>
    <t>CHEMBL4164717</t>
  </si>
  <si>
    <t>CHEMBL1078921</t>
  </si>
  <si>
    <t>CHEMBL1094677</t>
  </si>
  <si>
    <t>CHEMBL1094679</t>
  </si>
  <si>
    <t>CHEMBL1094681</t>
  </si>
  <si>
    <t>CHEMBL1164372</t>
  </si>
  <si>
    <t>CHEMBL451567</t>
  </si>
  <si>
    <t>CHEMBL500264</t>
  </si>
  <si>
    <t>CHEMBL506801</t>
  </si>
  <si>
    <t>CHEMBL444462</t>
  </si>
  <si>
    <t>CHEMBL452282</t>
  </si>
  <si>
    <t>CHEMBL565944</t>
  </si>
  <si>
    <t>CHEMBL1164915</t>
  </si>
  <si>
    <t>CHEMBL3037831</t>
  </si>
  <si>
    <t>CHEMBL4463280</t>
  </si>
  <si>
    <t>CHEMBL448317</t>
  </si>
  <si>
    <t>CHEMBL3793761</t>
  </si>
  <si>
    <t>CHEMBL1765594</t>
  </si>
  <si>
    <t>CHEMBL233078</t>
  </si>
  <si>
    <t>CHEMBL506362</t>
  </si>
  <si>
    <t>CHEMBL2071437</t>
  </si>
  <si>
    <t>CHEMBL502409</t>
  </si>
  <si>
    <t>CHEMBL503722</t>
  </si>
  <si>
    <t>CHEMBL518138</t>
  </si>
  <si>
    <t>CHEMBL567060</t>
  </si>
  <si>
    <t>CHEMBL3576920</t>
  </si>
  <si>
    <t>CHEMBL1981483</t>
  </si>
  <si>
    <t>CHEMBL504992</t>
  </si>
  <si>
    <t>CHEMBL3923280</t>
  </si>
  <si>
    <t>CHEMBL507632</t>
  </si>
  <si>
    <t>CHEMBL1197545</t>
  </si>
  <si>
    <t>CHEMBL1452864</t>
  </si>
  <si>
    <t>CHEMBL1505651</t>
  </si>
  <si>
    <t>CHEMBL1782590</t>
  </si>
  <si>
    <t>CHEMBL1934119</t>
  </si>
  <si>
    <t>CHEMBL2377693</t>
  </si>
  <si>
    <t>CHEMBL3108845</t>
  </si>
  <si>
    <t>CHEMBL3400281</t>
  </si>
  <si>
    <t>CHEMBL3598123</t>
  </si>
  <si>
    <t>CHEMBL4456855</t>
  </si>
  <si>
    <t>CHEMBL47858</t>
  </si>
  <si>
    <t>CHEMBL537142</t>
  </si>
  <si>
    <t>CHEMBL586480</t>
  </si>
  <si>
    <t>CHEMBL103940</t>
  </si>
  <si>
    <t>CHEMBL1091407</t>
  </si>
  <si>
    <t>CHEMBL1093590</t>
  </si>
  <si>
    <t>CHEMBL1095022</t>
  </si>
  <si>
    <t>CHEMBL1169868</t>
  </si>
  <si>
    <t>CHEMBL1170048</t>
  </si>
  <si>
    <t>CHEMBL121079</t>
  </si>
  <si>
    <t>CHEMBL124329</t>
  </si>
  <si>
    <t>CHEMBL124847</t>
  </si>
  <si>
    <t>CHEMBL1256536</t>
  </si>
  <si>
    <t>CHEMBL1256542</t>
  </si>
  <si>
    <t>CHEMBL1256544</t>
  </si>
  <si>
    <t>CHEMBL1275814</t>
  </si>
  <si>
    <t>CHEMBL1288835</t>
  </si>
  <si>
    <t>CHEMBL13055</t>
  </si>
  <si>
    <t>CHEMBL1310336</t>
  </si>
  <si>
    <t>CHEMBL1316683</t>
  </si>
  <si>
    <t>CHEMBL132005</t>
  </si>
  <si>
    <t>CHEMBL1339488</t>
  </si>
  <si>
    <t>CHEMBL141820</t>
  </si>
  <si>
    <t>CHEMBL146431</t>
  </si>
  <si>
    <t>CHEMBL149053</t>
  </si>
  <si>
    <t>CHEMBL1518873</t>
  </si>
  <si>
    <t>CHEMBL1567436</t>
  </si>
  <si>
    <t>CHEMBL1567976</t>
  </si>
  <si>
    <t>CHEMBL1643087</t>
  </si>
  <si>
    <t>CHEMBL1698335</t>
  </si>
  <si>
    <t>CHEMBL1700939</t>
  </si>
  <si>
    <t>CHEMBL1720876</t>
  </si>
  <si>
    <t>CHEMBL172735</t>
  </si>
  <si>
    <t>CHEMBL1761100</t>
  </si>
  <si>
    <t>CHEMBL1770666</t>
  </si>
  <si>
    <t>CHEMBL1770667</t>
  </si>
  <si>
    <t>CHEMBL1773982</t>
  </si>
  <si>
    <t>CHEMBL1775030</t>
  </si>
  <si>
    <t>CHEMBL1779150</t>
  </si>
  <si>
    <t>CHEMBL1813878</t>
  </si>
  <si>
    <t>CHEMBL182635</t>
  </si>
  <si>
    <t>CHEMBL184967</t>
  </si>
  <si>
    <t>CHEMBL185856</t>
  </si>
  <si>
    <t>CHEMBL1867915</t>
  </si>
  <si>
    <t>CHEMBL1888196</t>
  </si>
  <si>
    <t>CHEMBL1922806</t>
  </si>
  <si>
    <t>CHEMBL1922815</t>
  </si>
  <si>
    <t>CHEMBL1923779</t>
  </si>
  <si>
    <t>CHEMBL1923783</t>
  </si>
  <si>
    <t>CHEMBL1923787</t>
  </si>
  <si>
    <t>CHEMBL1927961</t>
  </si>
  <si>
    <t>CHEMBL1934464</t>
  </si>
  <si>
    <t>CHEMBL1938568</t>
  </si>
  <si>
    <t>CHEMBL1941152</t>
  </si>
  <si>
    <t>CHEMBL1941166</t>
  </si>
  <si>
    <t>CHEMBL1941170</t>
  </si>
  <si>
    <t>CHEMBL1966181</t>
  </si>
  <si>
    <t>CHEMBL1970774</t>
  </si>
  <si>
    <t>CHEMBL1971856</t>
  </si>
  <si>
    <t>CHEMBL2011643</t>
  </si>
  <si>
    <t>CHEMBL2012650</t>
  </si>
  <si>
    <t>CHEMBL2012757</t>
  </si>
  <si>
    <t>CHEMBL2012759</t>
  </si>
  <si>
    <t>CHEMBL2062531</t>
  </si>
  <si>
    <t>CHEMBL206449</t>
  </si>
  <si>
    <t>CHEMBL2071313</t>
  </si>
  <si>
    <t>CHEMBL2103865</t>
  </si>
  <si>
    <t>CHEMBL2152866</t>
  </si>
  <si>
    <t>CHEMBL216098</t>
  </si>
  <si>
    <t>CHEMBL2165246</t>
  </si>
  <si>
    <t>CHEMBL2165248</t>
  </si>
  <si>
    <t>CHEMBL216952</t>
  </si>
  <si>
    <t>CHEMBL219277</t>
  </si>
  <si>
    <t>CHEMBL2205261</t>
  </si>
  <si>
    <t>CHEMBL2205262</t>
  </si>
  <si>
    <t>CHEMBL2205264</t>
  </si>
  <si>
    <t>CHEMBL2205268</t>
  </si>
  <si>
    <t>CHEMBL2207473</t>
  </si>
  <si>
    <t>CHEMBL2207532</t>
  </si>
  <si>
    <t>CHEMBL220919</t>
  </si>
  <si>
    <t>CHEMBL2228100</t>
  </si>
  <si>
    <t>CHEMBL2228104</t>
  </si>
  <si>
    <t>CHEMBL2228105</t>
  </si>
  <si>
    <t>CHEMBL2314757</t>
  </si>
  <si>
    <t>CHEMBL235755</t>
  </si>
  <si>
    <t>CHEMBL2368230</t>
  </si>
  <si>
    <t>CHEMBL238088</t>
  </si>
  <si>
    <t>CHEMBL238595</t>
  </si>
  <si>
    <t>CHEMBL2386698</t>
  </si>
  <si>
    <t>CHEMBL239007</t>
  </si>
  <si>
    <t>CHEMBL2391543</t>
  </si>
  <si>
    <t>CHEMBL2407827</t>
  </si>
  <si>
    <t>CHEMBL2408925</t>
  </si>
  <si>
    <t>CHEMBL250038</t>
  </si>
  <si>
    <t>CHEMBL251418</t>
  </si>
  <si>
    <t>CHEMBL261361</t>
  </si>
  <si>
    <t>CHEMBL263469</t>
  </si>
  <si>
    <t>CHEMBL263496</t>
  </si>
  <si>
    <t>CHEMBL265771</t>
  </si>
  <si>
    <t>CHEMBL266031</t>
  </si>
  <si>
    <t>CHEMBL266142</t>
  </si>
  <si>
    <t>CHEMBL266164</t>
  </si>
  <si>
    <t>CHEMBL266595</t>
  </si>
  <si>
    <t>CHEMBL268837</t>
  </si>
  <si>
    <t>CHEMBL268897</t>
  </si>
  <si>
    <t>CHEMBL27564</t>
  </si>
  <si>
    <t>CHEMBL290074</t>
  </si>
  <si>
    <t>CHEMBL296792</t>
  </si>
  <si>
    <t>CHEMBL3099315</t>
  </si>
  <si>
    <t>CHEMBL312350</t>
  </si>
  <si>
    <t>CHEMBL3127977</t>
  </si>
  <si>
    <t>CHEMBL3142255</t>
  </si>
  <si>
    <t>CHEMBL315730</t>
  </si>
  <si>
    <t>CHEMBL316794</t>
  </si>
  <si>
    <t>CHEMBL317262</t>
  </si>
  <si>
    <t>CHEMBL3220746</t>
  </si>
  <si>
    <t>CHEMBL3236397</t>
  </si>
  <si>
    <t>CHEMBL3246082</t>
  </si>
  <si>
    <t>CHEMBL3246104</t>
  </si>
  <si>
    <t>CHEMBL328322</t>
  </si>
  <si>
    <t>CHEMBL332079</t>
  </si>
  <si>
    <t>CHEMBL334102</t>
  </si>
  <si>
    <t>CHEMBL334416</t>
  </si>
  <si>
    <t>CHEMBL334680</t>
  </si>
  <si>
    <t>CHEMBL3360248</t>
  </si>
  <si>
    <t>CHEMBL336605</t>
  </si>
  <si>
    <t>CHEMBL337179</t>
  </si>
  <si>
    <t>CHEMBL337385</t>
  </si>
  <si>
    <t>CHEMBL3391787</t>
  </si>
  <si>
    <t>CHEMBL3391808</t>
  </si>
  <si>
    <t>CHEMBL339946</t>
  </si>
  <si>
    <t>CHEMBL3401950</t>
  </si>
  <si>
    <t>CHEMBL3415423</t>
  </si>
  <si>
    <t>CHEMBL3415427</t>
  </si>
  <si>
    <t>CHEMBL3427594</t>
  </si>
  <si>
    <t>CHEMBL347139</t>
  </si>
  <si>
    <t>CHEMBL352025</t>
  </si>
  <si>
    <t>CHEMBL353820</t>
  </si>
  <si>
    <t>CHEMBL3594351</t>
  </si>
  <si>
    <t>CHEMBL3605174</t>
  </si>
  <si>
    <t>CHEMBL3617461</t>
  </si>
  <si>
    <t>CHEMBL3632763</t>
  </si>
  <si>
    <t>CHEMBL3676928</t>
  </si>
  <si>
    <t>CHEMBL374208</t>
  </si>
  <si>
    <t>CHEMBL3753572</t>
  </si>
  <si>
    <t>CHEMBL3754077</t>
  </si>
  <si>
    <t>CHEMBL376213</t>
  </si>
  <si>
    <t>CHEMBL376482</t>
  </si>
  <si>
    <t>CHEMBL376851</t>
  </si>
  <si>
    <t>CHEMBL3769634</t>
  </si>
  <si>
    <t>CHEMBL3769786</t>
  </si>
  <si>
    <t>CHEMBL3792779</t>
  </si>
  <si>
    <t>CHEMBL3793885</t>
  </si>
  <si>
    <t>CHEMBL385045</t>
  </si>
  <si>
    <t>CHEMBL3911788</t>
  </si>
  <si>
    <t>CHEMBL394953</t>
  </si>
  <si>
    <t>CHEMBL3962761</t>
  </si>
  <si>
    <t>CHEMBL4062287</t>
  </si>
  <si>
    <t>CHEMBL4062982</t>
  </si>
  <si>
    <t>CHEMBL4070435</t>
  </si>
  <si>
    <t>CHEMBL407280</t>
  </si>
  <si>
    <t>CHEMBL4073171</t>
  </si>
  <si>
    <t>CHEMBL408111</t>
  </si>
  <si>
    <t>CHEMBL408738</t>
  </si>
  <si>
    <t>CHEMBL4088449</t>
  </si>
  <si>
    <t>CHEMBL4092247</t>
  </si>
  <si>
    <t>CHEMBL409292</t>
  </si>
  <si>
    <t>CHEMBL412725</t>
  </si>
  <si>
    <t>CHEMBL4127367</t>
  </si>
  <si>
    <t>CHEMBL4159497</t>
  </si>
  <si>
    <t>CHEMBL4160870</t>
  </si>
  <si>
    <t>CHEMBL4163524</t>
  </si>
  <si>
    <t>CHEMBL4164699</t>
  </si>
  <si>
    <t>CHEMBL4166819</t>
  </si>
  <si>
    <t>CHEMBL4171642</t>
  </si>
  <si>
    <t>CHEMBL4173143</t>
  </si>
  <si>
    <t>CHEMBL4173820</t>
  </si>
  <si>
    <t>CHEMBL4202415</t>
  </si>
  <si>
    <t>CHEMBL4206207</t>
  </si>
  <si>
    <t>CHEMBL4224726</t>
  </si>
  <si>
    <t>CHEMBL4228278</t>
  </si>
  <si>
    <t>CHEMBL4278403</t>
  </si>
  <si>
    <t>CHEMBL4280419</t>
  </si>
  <si>
    <t>CHEMBL4280767</t>
  </si>
  <si>
    <t>CHEMBL428263</t>
  </si>
  <si>
    <t>CHEMBL4290182</t>
  </si>
  <si>
    <t>CHEMBL4293655</t>
  </si>
  <si>
    <t>CHEMBL4299614</t>
  </si>
  <si>
    <t>CHEMBL4300299</t>
  </si>
  <si>
    <t>CHEMBL4300512</t>
  </si>
  <si>
    <t>CHEMBL4302595</t>
  </si>
  <si>
    <t>CHEMBL4302809</t>
  </si>
  <si>
    <t>CHEMBL4302899</t>
  </si>
  <si>
    <t>CHEMBL430303</t>
  </si>
  <si>
    <t>CHEMBL431304</t>
  </si>
  <si>
    <t>CHEMBL431921</t>
  </si>
  <si>
    <t>CHEMBL433482</t>
  </si>
  <si>
    <t>CHEMBL43387</t>
  </si>
  <si>
    <t>CHEMBL437942</t>
  </si>
  <si>
    <t>CHEMBL438641</t>
  </si>
  <si>
    <t>CHEMBL442480</t>
  </si>
  <si>
    <t>CHEMBL442659</t>
  </si>
  <si>
    <t>CHEMBL443867</t>
  </si>
  <si>
    <t>CHEMBL4438870</t>
  </si>
  <si>
    <t>CHEMBL4449338</t>
  </si>
  <si>
    <t>CHEMBL445039</t>
  </si>
  <si>
    <t>CHEMBL445447</t>
  </si>
  <si>
    <t>CHEMBL4457437</t>
  </si>
  <si>
    <t>CHEMBL446127</t>
  </si>
  <si>
    <t>CHEMBL4461806</t>
  </si>
  <si>
    <t>CHEMBL446322</t>
  </si>
  <si>
    <t>CHEMBL4463381</t>
  </si>
  <si>
    <t>CHEMBL446513</t>
  </si>
  <si>
    <t>CHEMBL446535</t>
  </si>
  <si>
    <t>CHEMBL4466343</t>
  </si>
  <si>
    <t>CHEMBL4469563</t>
  </si>
  <si>
    <t>CHEMBL4471592</t>
  </si>
  <si>
    <t>CHEMBL449583</t>
  </si>
  <si>
    <t>CHEMBL449753</t>
  </si>
  <si>
    <t>CHEMBL449783</t>
  </si>
  <si>
    <t>CHEMBL451061</t>
  </si>
  <si>
    <t>CHEMBL451166</t>
  </si>
  <si>
    <t>CHEMBL4513487</t>
  </si>
  <si>
    <t>CHEMBL4515567</t>
  </si>
  <si>
    <t>CHEMBL451610</t>
  </si>
  <si>
    <t>CHEMBL4524087</t>
  </si>
  <si>
    <t>CHEMBL4524261</t>
  </si>
  <si>
    <t>CHEMBL452890</t>
  </si>
  <si>
    <t>CHEMBL4531157</t>
  </si>
  <si>
    <t>CHEMBL453998</t>
  </si>
  <si>
    <t>CHEMBL454205</t>
  </si>
  <si>
    <t>CHEMBL4543028</t>
  </si>
  <si>
    <t>CHEMBL454690</t>
  </si>
  <si>
    <t>CHEMBL455269</t>
  </si>
  <si>
    <t>CHEMBL4562720</t>
  </si>
  <si>
    <t>CHEMBL4578188</t>
  </si>
  <si>
    <t>CHEMBL4595546</t>
  </si>
  <si>
    <t>CHEMBL461612</t>
  </si>
  <si>
    <t>CHEMBL471686</t>
  </si>
  <si>
    <t>CHEMBL474684</t>
  </si>
  <si>
    <t>CHEMBL475194</t>
  </si>
  <si>
    <t>CHEMBL491706</t>
  </si>
  <si>
    <t>CHEMBL49583</t>
  </si>
  <si>
    <t>CHEMBL498955</t>
  </si>
  <si>
    <t>CHEMBL499390</t>
  </si>
  <si>
    <t>CHEMBL499706</t>
  </si>
  <si>
    <t>CHEMBL501040</t>
  </si>
  <si>
    <t>CHEMBL501617</t>
  </si>
  <si>
    <t>CHEMBL501656</t>
  </si>
  <si>
    <t>CHEMBL502709</t>
  </si>
  <si>
    <t>CHEMBL502879</t>
  </si>
  <si>
    <t>CHEMBL503670</t>
  </si>
  <si>
    <t>CHEMBL503843</t>
  </si>
  <si>
    <t>CHEMBL507027</t>
  </si>
  <si>
    <t>CHEMBL507912</t>
  </si>
  <si>
    <t>CHEMBL507915</t>
  </si>
  <si>
    <t>CHEMBL507988</t>
  </si>
  <si>
    <t>CHEMBL509907</t>
  </si>
  <si>
    <t>CHEMBL514330</t>
  </si>
  <si>
    <t>CHEMBL526002</t>
  </si>
  <si>
    <t>CHEMBL526909</t>
  </si>
  <si>
    <t>CHEMBL529473</t>
  </si>
  <si>
    <t>CHEMBL530103</t>
  </si>
  <si>
    <t>CHEMBL530210</t>
  </si>
  <si>
    <t>CHEMBL554607</t>
  </si>
  <si>
    <t>CHEMBL56572</t>
  </si>
  <si>
    <t>CHEMBL57874</t>
  </si>
  <si>
    <t>CHEMBL579445</t>
  </si>
  <si>
    <t>CHEMBL580758</t>
  </si>
  <si>
    <t>CHEMBL609464</t>
  </si>
  <si>
    <t>CHEMBL67564</t>
  </si>
  <si>
    <t>CHEMBL4167052</t>
  </si>
  <si>
    <t>CHEMBL532239</t>
  </si>
  <si>
    <t>CHEMBL1095025</t>
  </si>
  <si>
    <t>CHEMBL2071187</t>
  </si>
  <si>
    <t>CHEMBL361453</t>
  </si>
  <si>
    <t>CHEMBL442838</t>
  </si>
  <si>
    <t>CHEMBL499262</t>
  </si>
  <si>
    <t>CHEMBL507615</t>
  </si>
  <si>
    <t>CHEMBL509315</t>
  </si>
  <si>
    <t>CHEMBL565538</t>
  </si>
  <si>
    <t>CHEMBL3792721</t>
  </si>
  <si>
    <t>CHEMBL3794069</t>
  </si>
  <si>
    <t>CHEMBL1978440</t>
  </si>
  <si>
    <t>CHEMBL2063002</t>
  </si>
  <si>
    <t>CHEMBL2071191</t>
  </si>
  <si>
    <t>CHEMBL3959340</t>
  </si>
  <si>
    <t>CHEMBL4581816</t>
  </si>
  <si>
    <t>CHEMBL3357161</t>
  </si>
  <si>
    <t>CHEMBL449303</t>
  </si>
  <si>
    <t>CHEMBL4528689</t>
  </si>
  <si>
    <t>CHEMBL221846</t>
  </si>
  <si>
    <t>CHEMBL3581713</t>
  </si>
  <si>
    <t>CHEMBL3793358</t>
  </si>
  <si>
    <t>CHEMBL499934</t>
  </si>
  <si>
    <t>CHEMBL502073</t>
  </si>
  <si>
    <t>CHEMBL563297</t>
  </si>
  <si>
    <t>CHEMBL1966369</t>
  </si>
  <si>
    <t>CHEMBL1989610</t>
  </si>
  <si>
    <t>CHEMBL220920</t>
  </si>
  <si>
    <t>CHEMBL235973</t>
  </si>
  <si>
    <t>CHEMBL445227</t>
  </si>
  <si>
    <t>CHEMBL448132</t>
  </si>
  <si>
    <t>CHEMBL486477</t>
  </si>
  <si>
    <t>CHEMBL501788</t>
  </si>
  <si>
    <t>CHEMBL509721</t>
  </si>
  <si>
    <t>CHEMBL509778</t>
  </si>
  <si>
    <t>CHEMBL183801</t>
  </si>
  <si>
    <t>CHEMBL1641865</t>
  </si>
  <si>
    <t>CHEMBL266438</t>
  </si>
  <si>
    <t>CHEMBL505465</t>
  </si>
  <si>
    <t>CHEMBL508360</t>
  </si>
  <si>
    <t>CHEMBL4470510</t>
  </si>
  <si>
    <t>CHEMBL499399</t>
  </si>
  <si>
    <t>CHEMBL113893</t>
  </si>
  <si>
    <t>CHEMBL1183357</t>
  </si>
  <si>
    <t>CHEMBL1186485</t>
  </si>
  <si>
    <t>CHEMBL1796779</t>
  </si>
  <si>
    <t>CHEMBL180095</t>
  </si>
  <si>
    <t>CHEMBL187628</t>
  </si>
  <si>
    <t>CHEMBL3139632</t>
  </si>
  <si>
    <t>CHEMBL3323269</t>
  </si>
  <si>
    <t>CHEMBL3676926</t>
  </si>
  <si>
    <t>CHEMBL3800206</t>
  </si>
  <si>
    <t>CHEMBL4465937</t>
  </si>
  <si>
    <t>CHEMBL528763</t>
  </si>
  <si>
    <t>CHEMBL534314</t>
  </si>
  <si>
    <t>CHEMBL105631</t>
  </si>
  <si>
    <t>CHEMBL1077732</t>
  </si>
  <si>
    <t>CHEMBL1078505</t>
  </si>
  <si>
    <t>CHEMBL1078814</t>
  </si>
  <si>
    <t>CHEMBL1078816</t>
  </si>
  <si>
    <t>CHEMBL108607</t>
  </si>
  <si>
    <t>CHEMBL108608</t>
  </si>
  <si>
    <t>CHEMBL108758</t>
  </si>
  <si>
    <t>CHEMBL1093589</t>
  </si>
  <si>
    <t>CHEMBL1094678</t>
  </si>
  <si>
    <t>CHEMBL1097582</t>
  </si>
  <si>
    <t>CHEMBL115792</t>
  </si>
  <si>
    <t>CHEMBL116520</t>
  </si>
  <si>
    <t>CHEMBL1190845</t>
  </si>
  <si>
    <t>CHEMBL1193174</t>
  </si>
  <si>
    <t>CHEMBL1201182</t>
  </si>
  <si>
    <t>CHEMBL1206996</t>
  </si>
  <si>
    <t>CHEMBL1209875</t>
  </si>
  <si>
    <t>CHEMBL1210109</t>
  </si>
  <si>
    <t>CHEMBL1214516</t>
  </si>
  <si>
    <t>CHEMBL1222578</t>
  </si>
  <si>
    <t>CHEMBL1240854</t>
  </si>
  <si>
    <t>CHEMBL1241424</t>
  </si>
  <si>
    <t>CHEMBL1256547</t>
  </si>
  <si>
    <t>CHEMBL1270720</t>
  </si>
  <si>
    <t>CHEMBL1271042</t>
  </si>
  <si>
    <t>CHEMBL1288338</t>
  </si>
  <si>
    <t>CHEMBL132914</t>
  </si>
  <si>
    <t>CHEMBL13367</t>
  </si>
  <si>
    <t>CHEMBL135099</t>
  </si>
  <si>
    <t>CHEMBL136840</t>
  </si>
  <si>
    <t>CHEMBL1521921</t>
  </si>
  <si>
    <t>CHEMBL158921</t>
  </si>
  <si>
    <t>CHEMBL161316</t>
  </si>
  <si>
    <t>CHEMBL1628044</t>
  </si>
  <si>
    <t>CHEMBL1628128</t>
  </si>
  <si>
    <t>CHEMBL1628157</t>
  </si>
  <si>
    <t>CHEMBL170333</t>
  </si>
  <si>
    <t>CHEMBL1722641</t>
  </si>
  <si>
    <t>CHEMBL172566</t>
  </si>
  <si>
    <t>CHEMBL175719</t>
  </si>
  <si>
    <t>CHEMBL1775024</t>
  </si>
  <si>
    <t>CHEMBL1778047</t>
  </si>
  <si>
    <t>CHEMBL1782444</t>
  </si>
  <si>
    <t>CHEMBL1784268</t>
  </si>
  <si>
    <t>CHEMBL1790706</t>
  </si>
  <si>
    <t>CHEMBL1795854</t>
  </si>
  <si>
    <t>CHEMBL1802289</t>
  </si>
  <si>
    <t>CHEMBL181646</t>
  </si>
  <si>
    <t>CHEMBL188118</t>
  </si>
  <si>
    <t>CHEMBL1915708</t>
  </si>
  <si>
    <t>CHEMBL1916180</t>
  </si>
  <si>
    <t>CHEMBL1922816</t>
  </si>
  <si>
    <t>CHEMBL1927965</t>
  </si>
  <si>
    <t>CHEMBL1934466</t>
  </si>
  <si>
    <t>CHEMBL1935699</t>
  </si>
  <si>
    <t>CHEMBL1941168</t>
  </si>
  <si>
    <t>CHEMBL1957107</t>
  </si>
  <si>
    <t>CHEMBL1976094</t>
  </si>
  <si>
    <t>CHEMBL1976273</t>
  </si>
  <si>
    <t>CHEMBL1981181</t>
  </si>
  <si>
    <t>CHEMBL1988412</t>
  </si>
  <si>
    <t>CHEMBL2011789</t>
  </si>
  <si>
    <t>CHEMBL2021487</t>
  </si>
  <si>
    <t>CHEMBL203601</t>
  </si>
  <si>
    <t>CHEMBL2036083</t>
  </si>
  <si>
    <t>CHEMBL2043372</t>
  </si>
  <si>
    <t>CHEMBL2071310</t>
  </si>
  <si>
    <t>CHEMBL2071434</t>
  </si>
  <si>
    <t>CHEMBL2087535</t>
  </si>
  <si>
    <t>CHEMBL2105774</t>
  </si>
  <si>
    <t>CHEMBL2106450</t>
  </si>
  <si>
    <t>CHEMBL2111665</t>
  </si>
  <si>
    <t>CHEMBL2146977</t>
  </si>
  <si>
    <t>CHEMBL2152640</t>
  </si>
  <si>
    <t>CHEMBL2160034</t>
  </si>
  <si>
    <t>CHEMBL2165247</t>
  </si>
  <si>
    <t>CHEMBL216840</t>
  </si>
  <si>
    <t>CHEMBL2170200</t>
  </si>
  <si>
    <t>CHEMBL217714</t>
  </si>
  <si>
    <t>CHEMBL218913</t>
  </si>
  <si>
    <t>CHEMBL218916</t>
  </si>
  <si>
    <t>CHEMBL2205260</t>
  </si>
  <si>
    <t>CHEMBL2205266</t>
  </si>
  <si>
    <t>CHEMBL2205269</t>
  </si>
  <si>
    <t>CHEMBL2207470</t>
  </si>
  <si>
    <t>CHEMBL2207476</t>
  </si>
  <si>
    <t>CHEMBL2207533</t>
  </si>
  <si>
    <t>CHEMBL2228090</t>
  </si>
  <si>
    <t>CHEMBL2228102</t>
  </si>
  <si>
    <t>CHEMBL2228107</t>
  </si>
  <si>
    <t>CHEMBL2228116</t>
  </si>
  <si>
    <t>CHEMBL2228121</t>
  </si>
  <si>
    <t>CHEMBL225614</t>
  </si>
  <si>
    <t>CHEMBL227320</t>
  </si>
  <si>
    <t>CHEMBL2304202</t>
  </si>
  <si>
    <t>CHEMBL2304265</t>
  </si>
  <si>
    <t>CHEMBL2312406</t>
  </si>
  <si>
    <t>CHEMBL2314758</t>
  </si>
  <si>
    <t>CHEMBL2336393</t>
  </si>
  <si>
    <t>CHEMBL2359355</t>
  </si>
  <si>
    <t>CHEMBL2367702</t>
  </si>
  <si>
    <t>CHEMBL236797</t>
  </si>
  <si>
    <t>CHEMBL236803</t>
  </si>
  <si>
    <t>CHEMBL2368350</t>
  </si>
  <si>
    <t>CHEMBL2368592</t>
  </si>
  <si>
    <t>CHEMBL2368833</t>
  </si>
  <si>
    <t>CHEMBL2375454</t>
  </si>
  <si>
    <t>CHEMBL2375470</t>
  </si>
  <si>
    <t>CHEMBL2387608</t>
  </si>
  <si>
    <t>CHEMBL2387609</t>
  </si>
  <si>
    <t>CHEMBL2387610</t>
  </si>
  <si>
    <t>CHEMBL2390966</t>
  </si>
  <si>
    <t>CHEMBL2391924</t>
  </si>
  <si>
    <t>CHEMBL2409079</t>
  </si>
  <si>
    <t>CHEMBL2417956</t>
  </si>
  <si>
    <t>CHEMBL2418094</t>
  </si>
  <si>
    <t>CHEMBL2419853</t>
  </si>
  <si>
    <t>CHEMBL2419861</t>
  </si>
  <si>
    <t>CHEMBL248205</t>
  </si>
  <si>
    <t>CHEMBL248862</t>
  </si>
  <si>
    <t>CHEMBL251455</t>
  </si>
  <si>
    <t>CHEMBL253325</t>
  </si>
  <si>
    <t>CHEMBL253326</t>
  </si>
  <si>
    <t>CHEMBL259668</t>
  </si>
  <si>
    <t>CHEMBL262458</t>
  </si>
  <si>
    <t>CHEMBL263150</t>
  </si>
  <si>
    <t>CHEMBL263218</t>
  </si>
  <si>
    <t>CHEMBL263752</t>
  </si>
  <si>
    <t>CHEMBL265597</t>
  </si>
  <si>
    <t>CHEMBL266062</t>
  </si>
  <si>
    <t>CHEMBL267636</t>
  </si>
  <si>
    <t>CHEMBL267989</t>
  </si>
  <si>
    <t>CHEMBL268602</t>
  </si>
  <si>
    <t>CHEMBL276133</t>
  </si>
  <si>
    <t>CHEMBL28480</t>
  </si>
  <si>
    <t>CHEMBL288975</t>
  </si>
  <si>
    <t>CHEMBL295023</t>
  </si>
  <si>
    <t>CHEMBL295115</t>
  </si>
  <si>
    <t>CHEMBL296337</t>
  </si>
  <si>
    <t>CHEMBL296554</t>
  </si>
  <si>
    <t>CHEMBL297775</t>
  </si>
  <si>
    <t>CHEMBL299801</t>
  </si>
  <si>
    <t>CHEMBL300126</t>
  </si>
  <si>
    <t>CHEMBL303180</t>
  </si>
  <si>
    <t>CHEMBL304557</t>
  </si>
  <si>
    <t>CHEMBL3085177</t>
  </si>
  <si>
    <t>CHEMBL3085424</t>
  </si>
  <si>
    <t>CHEMBL3085560</t>
  </si>
  <si>
    <t>CHEMBL3093407</t>
  </si>
  <si>
    <t>CHEMBL3120631</t>
  </si>
  <si>
    <t>CHEMBL3125445</t>
  </si>
  <si>
    <t>CHEMBL3133263</t>
  </si>
  <si>
    <t>CHEMBL3143837</t>
  </si>
  <si>
    <t>CHEMBL315366</t>
  </si>
  <si>
    <t>CHEMBL315783</t>
  </si>
  <si>
    <t>CHEMBL3220153</t>
  </si>
  <si>
    <t>CHEMBL322166</t>
  </si>
  <si>
    <t>CHEMBL322623</t>
  </si>
  <si>
    <t>CHEMBL322956</t>
  </si>
  <si>
    <t>CHEMBL3245606</t>
  </si>
  <si>
    <t>CHEMBL3261930</t>
  </si>
  <si>
    <t>CHEMBL3264801</t>
  </si>
  <si>
    <t>CHEMBL3277599</t>
  </si>
  <si>
    <t>CHEMBL3343931</t>
  </si>
  <si>
    <t>CHEMBL3344126</t>
  </si>
  <si>
    <t>CHEMBL3353023</t>
  </si>
  <si>
    <t>CHEMBL3359150</t>
  </si>
  <si>
    <t>CHEMBL337460</t>
  </si>
  <si>
    <t>CHEMBL3392001</t>
  </si>
  <si>
    <t>CHEMBL3400845</t>
  </si>
  <si>
    <t>CHEMBL3400850</t>
  </si>
  <si>
    <t>CHEMBL3402614</t>
  </si>
  <si>
    <t>CHEMBL3408955</t>
  </si>
  <si>
    <t>CHEMBL3422423</t>
  </si>
  <si>
    <t>CHEMBL3427597</t>
  </si>
  <si>
    <t>CHEMBL3427598</t>
  </si>
  <si>
    <t>CHEMBL343897</t>
  </si>
  <si>
    <t>CHEMBL3581614</t>
  </si>
  <si>
    <t>CHEMBL3589918</t>
  </si>
  <si>
    <t>CHEMBL3593734</t>
  </si>
  <si>
    <t>CHEMBL3617459</t>
  </si>
  <si>
    <t>CHEMBL3634636</t>
  </si>
  <si>
    <t>CHEMBL367124</t>
  </si>
  <si>
    <t>CHEMBL3676864</t>
  </si>
  <si>
    <t>CHEMBL3681877</t>
  </si>
  <si>
    <t>CHEMBL3681892</t>
  </si>
  <si>
    <t>CHEMBL3700021</t>
  </si>
  <si>
    <t>CHEMBL3706388</t>
  </si>
  <si>
    <t>CHEMBL372167</t>
  </si>
  <si>
    <t>CHEMBL373538</t>
  </si>
  <si>
    <t>CHEMBL374249</t>
  </si>
  <si>
    <t>CHEMBL375179</t>
  </si>
  <si>
    <t>CHEMBL3752896</t>
  </si>
  <si>
    <t>CHEMBL3758977</t>
  </si>
  <si>
    <t>CHEMBL3771313</t>
  </si>
  <si>
    <t>CHEMBL3774923</t>
  </si>
  <si>
    <t>CHEMBL3780395</t>
  </si>
  <si>
    <t>CHEMBL3793408</t>
  </si>
  <si>
    <t>CHEMBL3797527</t>
  </si>
  <si>
    <t>CHEMBL3808420</t>
  </si>
  <si>
    <t>CHEMBL381486</t>
  </si>
  <si>
    <t>CHEMBL385443</t>
  </si>
  <si>
    <t>CHEMBL3907931</t>
  </si>
  <si>
    <t>CHEMBL3915345</t>
  </si>
  <si>
    <t>CHEMBL391986</t>
  </si>
  <si>
    <t>CHEMBL3930127</t>
  </si>
  <si>
    <t>CHEMBL393052</t>
  </si>
  <si>
    <t>CHEMBL3942064</t>
  </si>
  <si>
    <t>CHEMBL394699</t>
  </si>
  <si>
    <t>CHEMBL395355</t>
  </si>
  <si>
    <t>CHEMBL3953636</t>
  </si>
  <si>
    <t>CHEMBL3955551</t>
  </si>
  <si>
    <t>CHEMBL396004</t>
  </si>
  <si>
    <t>CHEMBL396682</t>
  </si>
  <si>
    <t>CHEMBL3971968</t>
  </si>
  <si>
    <t>CHEMBL397594</t>
  </si>
  <si>
    <t>CHEMBL3980082</t>
  </si>
  <si>
    <t>CHEMBL3981626</t>
  </si>
  <si>
    <t>CHEMBL3989789</t>
  </si>
  <si>
    <t>CHEMBL399939</t>
  </si>
  <si>
    <t>CHEMBL404460</t>
  </si>
  <si>
    <t>CHEMBL406427</t>
  </si>
  <si>
    <t>CHEMBL4064628</t>
  </si>
  <si>
    <t>CHEMBL4066618</t>
  </si>
  <si>
    <t>CHEMBL406817</t>
  </si>
  <si>
    <t>CHEMBL407300</t>
  </si>
  <si>
    <t>CHEMBL4073923</t>
  </si>
  <si>
    <t>CHEMBL407550</t>
  </si>
  <si>
    <t>CHEMBL4075649</t>
  </si>
  <si>
    <t>CHEMBL407648</t>
  </si>
  <si>
    <t>CHEMBL408091</t>
  </si>
  <si>
    <t>CHEMBL408299</t>
  </si>
  <si>
    <t>CHEMBL409209</t>
  </si>
  <si>
    <t>CHEMBL4092138</t>
  </si>
  <si>
    <t>CHEMBL409642</t>
  </si>
  <si>
    <t>CHEMBL4096647</t>
  </si>
  <si>
    <t>CHEMBL4100181</t>
  </si>
  <si>
    <t>CHEMBL4100543</t>
  </si>
  <si>
    <t>CHEMBL4101211</t>
  </si>
  <si>
    <t>CHEMBL410785</t>
  </si>
  <si>
    <t>CHEMBL411238</t>
  </si>
  <si>
    <t>CHEMBL411837</t>
  </si>
  <si>
    <t>CHEMBL413424</t>
  </si>
  <si>
    <t>CHEMBL414033</t>
  </si>
  <si>
    <t>CHEMBL414211</t>
  </si>
  <si>
    <t>CHEMBL4161279</t>
  </si>
  <si>
    <t>CHEMBL4163109</t>
  </si>
  <si>
    <t>CHEMBL4163261</t>
  </si>
  <si>
    <t>CHEMBL4164930</t>
  </si>
  <si>
    <t>CHEMBL4166702</t>
  </si>
  <si>
    <t>CHEMBL4168768</t>
  </si>
  <si>
    <t>CHEMBL4171169</t>
  </si>
  <si>
    <t>CHEMBL4173893</t>
  </si>
  <si>
    <t>CHEMBL4175969</t>
  </si>
  <si>
    <t>CHEMBL4175988</t>
  </si>
  <si>
    <t>CHEMBL4214054</t>
  </si>
  <si>
    <t>CHEMBL421472</t>
  </si>
  <si>
    <t>CHEMBL4238835</t>
  </si>
  <si>
    <t>CHEMBL4280659</t>
  </si>
  <si>
    <t>CHEMBL4282188</t>
  </si>
  <si>
    <t>CHEMBL4289246</t>
  </si>
  <si>
    <t>CHEMBL429195</t>
  </si>
  <si>
    <t>CHEMBL429732</t>
  </si>
  <si>
    <t>CHEMBL429870</t>
  </si>
  <si>
    <t>CHEMBL4301529</t>
  </si>
  <si>
    <t>CHEMBL4301746</t>
  </si>
  <si>
    <t>CHEMBL431238</t>
  </si>
  <si>
    <t>CHEMBL431893</t>
  </si>
  <si>
    <t>CHEMBL434804</t>
  </si>
  <si>
    <t>CHEMBL441569</t>
  </si>
  <si>
    <t>CHEMBL442007</t>
  </si>
  <si>
    <t>CHEMBL442688</t>
  </si>
  <si>
    <t>CHEMBL442893</t>
  </si>
  <si>
    <t>CHEMBL4434685</t>
  </si>
  <si>
    <t>CHEMBL4437982</t>
  </si>
  <si>
    <t>CHEMBL443853</t>
  </si>
  <si>
    <t>CHEMBL443940</t>
  </si>
  <si>
    <t>CHEMBL4441744</t>
  </si>
  <si>
    <t>CHEMBL4442674</t>
  </si>
  <si>
    <t>CHEMBL4442684</t>
  </si>
  <si>
    <t>CHEMBL4443211</t>
  </si>
  <si>
    <t>CHEMBL4444757</t>
  </si>
  <si>
    <t>CHEMBL4448834</t>
  </si>
  <si>
    <t>CHEMBL4452244</t>
  </si>
  <si>
    <t>CHEMBL445546</t>
  </si>
  <si>
    <t>CHEMBL4456435</t>
  </si>
  <si>
    <t>CHEMBL445720</t>
  </si>
  <si>
    <t>CHEMBL4464829</t>
  </si>
  <si>
    <t>CHEMBL446984</t>
  </si>
  <si>
    <t>CHEMBL447872</t>
  </si>
  <si>
    <t>CHEMBL449421</t>
  </si>
  <si>
    <t>CHEMBL449880</t>
  </si>
  <si>
    <t>CHEMBL450049</t>
  </si>
  <si>
    <t>CHEMBL4525637</t>
  </si>
  <si>
    <t>CHEMBL452987</t>
  </si>
  <si>
    <t>CHEMBL4530133</t>
  </si>
  <si>
    <t>CHEMBL4532567</t>
  </si>
  <si>
    <t>CHEMBL453662</t>
  </si>
  <si>
    <t>CHEMBL4542550</t>
  </si>
  <si>
    <t>CHEMBL4552402</t>
  </si>
  <si>
    <t>CHEMBL4552514</t>
  </si>
  <si>
    <t>CHEMBL455554</t>
  </si>
  <si>
    <t>CHEMBL455755</t>
  </si>
  <si>
    <t>CHEMBL4577220</t>
  </si>
  <si>
    <t>CHEMBL4578741</t>
  </si>
  <si>
    <t>CHEMBL458157</t>
  </si>
  <si>
    <t>CHEMBL4598072</t>
  </si>
  <si>
    <t>CHEMBL465954</t>
  </si>
  <si>
    <t>CHEMBL467410</t>
  </si>
  <si>
    <t>CHEMBL473053</t>
  </si>
  <si>
    <t>CHEMBL474668</t>
  </si>
  <si>
    <t>CHEMBL47648</t>
  </si>
  <si>
    <t>CHEMBL477836</t>
  </si>
  <si>
    <t>CHEMBL484357</t>
  </si>
  <si>
    <t>CHEMBL486128</t>
  </si>
  <si>
    <t>CHEMBL498822</t>
  </si>
  <si>
    <t>CHEMBL499226</t>
  </si>
  <si>
    <t>CHEMBL499678</t>
  </si>
  <si>
    <t>CHEMBL500158</t>
  </si>
  <si>
    <t>CHEMBL501137</t>
  </si>
  <si>
    <t>CHEMBL501566</t>
  </si>
  <si>
    <t>CHEMBL502145</t>
  </si>
  <si>
    <t>CHEMBL502977</t>
  </si>
  <si>
    <t>CHEMBL503318</t>
  </si>
  <si>
    <t>CHEMBL503533</t>
  </si>
  <si>
    <t>CHEMBL503873</t>
  </si>
  <si>
    <t>CHEMBL504448</t>
  </si>
  <si>
    <t>CHEMBL504960</t>
  </si>
  <si>
    <t>CHEMBL505723</t>
  </si>
  <si>
    <t>CHEMBL506963</t>
  </si>
  <si>
    <t>CHEMBL507455</t>
  </si>
  <si>
    <t>CHEMBL508474</t>
  </si>
  <si>
    <t>CHEMBL509295</t>
  </si>
  <si>
    <t>CHEMBL509419</t>
  </si>
  <si>
    <t>CHEMBL509709</t>
  </si>
  <si>
    <t>CHEMBL510116</t>
  </si>
  <si>
    <t>CHEMBL510247</t>
  </si>
  <si>
    <t>CHEMBL510510</t>
  </si>
  <si>
    <t>CHEMBL510868</t>
  </si>
  <si>
    <t>CHEMBL515324</t>
  </si>
  <si>
    <t>CHEMBL525521</t>
  </si>
  <si>
    <t>CHEMBL525813</t>
  </si>
  <si>
    <t>CHEMBL526318</t>
  </si>
  <si>
    <t>CHEMBL526855</t>
  </si>
  <si>
    <t>CHEMBL527379</t>
  </si>
  <si>
    <t>CHEMBL528781</t>
  </si>
  <si>
    <t>CHEMBL529325</t>
  </si>
  <si>
    <t>CHEMBL530502</t>
  </si>
  <si>
    <t>CHEMBL530805</t>
  </si>
  <si>
    <t>CHEMBL538217</t>
  </si>
  <si>
    <t>CHEMBL539394</t>
  </si>
  <si>
    <t>CHEMBL552760</t>
  </si>
  <si>
    <t>CHEMBL55296</t>
  </si>
  <si>
    <t>CHEMBL553394</t>
  </si>
  <si>
    <t>CHEMBL554557</t>
  </si>
  <si>
    <t>CHEMBL555841</t>
  </si>
  <si>
    <t>CHEMBL556105</t>
  </si>
  <si>
    <t>CHEMBL556524</t>
  </si>
  <si>
    <t>CHEMBL557953</t>
  </si>
  <si>
    <t>CHEMBL55832</t>
  </si>
  <si>
    <t>CHEMBL559239</t>
  </si>
  <si>
    <t>CHEMBL570608</t>
  </si>
  <si>
    <t>CHEMBL579065</t>
  </si>
  <si>
    <t>CHEMBL58324</t>
  </si>
  <si>
    <t>CHEMBL583330</t>
  </si>
  <si>
    <t>CHEMBL585174</t>
  </si>
  <si>
    <t>CHEMBL585187</t>
  </si>
  <si>
    <t>CHEMBL595080</t>
  </si>
  <si>
    <t>CHEMBL595456</t>
  </si>
  <si>
    <t>CHEMBL595762</t>
  </si>
  <si>
    <t>CHEMBL595832</t>
  </si>
  <si>
    <t>CHEMBL607832</t>
  </si>
  <si>
    <t>CHEMBL68358</t>
  </si>
  <si>
    <t>CHEMBL69231</t>
  </si>
  <si>
    <t>CHEMBL83400</t>
  </si>
  <si>
    <t>CHEMBL9102</t>
  </si>
  <si>
    <t>CHEMBL94707</t>
  </si>
  <si>
    <t>CHEMBL94995</t>
  </si>
  <si>
    <t>CHEMBL1759</t>
  </si>
  <si>
    <t>CHEMBL122892</t>
  </si>
  <si>
    <t>CHEMBL2207697</t>
  </si>
  <si>
    <t>CHEMBL1078226</t>
  </si>
  <si>
    <t>CHEMBL1094683</t>
  </si>
  <si>
    <t>CHEMBL1094684</t>
  </si>
  <si>
    <t>CHEMBL1163174</t>
  </si>
  <si>
    <t>CHEMBL2047222</t>
  </si>
  <si>
    <t>CHEMBL2071317</t>
  </si>
  <si>
    <t>CHEMBL266701</t>
  </si>
  <si>
    <t>CHEMBL363312</t>
  </si>
  <si>
    <t>CHEMBL4126015</t>
  </si>
  <si>
    <t>CHEMBL4277170</t>
  </si>
  <si>
    <t>CHEMBL447984</t>
  </si>
  <si>
    <t>CHEMBL450255</t>
  </si>
  <si>
    <t>CHEMBL451013</t>
  </si>
  <si>
    <t>CHEMBL499954</t>
  </si>
  <si>
    <t>CHEMBL501908</t>
  </si>
  <si>
    <t>CHEMBL503655</t>
  </si>
  <si>
    <t>CHEMBL508356</t>
  </si>
  <si>
    <t>CHEMBL525058</t>
  </si>
  <si>
    <t>CHEMBL4520407</t>
  </si>
  <si>
    <t>CHEMBL3576921</t>
  </si>
  <si>
    <t>CHEMBL473367</t>
  </si>
  <si>
    <t>CHEMBL3930281</t>
  </si>
  <si>
    <t>CHEMBL3981731</t>
  </si>
  <si>
    <t>CHEMBL3793503</t>
  </si>
  <si>
    <t>CHEMBL1641861</t>
  </si>
  <si>
    <t>CHEMBL1641868</t>
  </si>
  <si>
    <t>CHEMBL406262</t>
  </si>
  <si>
    <t>CHEMBL4161331</t>
  </si>
  <si>
    <t>CHEMBL1779148</t>
  </si>
  <si>
    <t>CHEMBL2047363</t>
  </si>
  <si>
    <t>CHEMBL4129463</t>
  </si>
  <si>
    <t>CHEMBL4159004</t>
  </si>
  <si>
    <t>CHEMBL554779</t>
  </si>
  <si>
    <t>CHEMBL220592</t>
  </si>
  <si>
    <t>CHEMBL3794357</t>
  </si>
  <si>
    <t>CHEMBL3794515</t>
  </si>
  <si>
    <t>CHEMBL398857</t>
  </si>
  <si>
    <t>CHEMBL428595</t>
  </si>
  <si>
    <t>CHEMBL448809</t>
  </si>
  <si>
    <t>CHEMBL450671</t>
  </si>
  <si>
    <t>CHEMBL4536297</t>
  </si>
  <si>
    <t>CHEMBL500203</t>
  </si>
  <si>
    <t>CHEMBL501271</t>
  </si>
  <si>
    <t>CHEMBL502118</t>
  </si>
  <si>
    <t>CHEMBL508958</t>
  </si>
  <si>
    <t>CHEMBL509139</t>
  </si>
  <si>
    <t>CHEMBL444732</t>
  </si>
  <si>
    <t>CHEMBL4084382</t>
  </si>
  <si>
    <t>CHEMBL444026</t>
  </si>
  <si>
    <t>CHEMBL447332</t>
  </si>
  <si>
    <t>CHEMBL503811</t>
  </si>
  <si>
    <t>CHEMBL220867</t>
  </si>
  <si>
    <t>CHEMBL3792389</t>
  </si>
  <si>
    <t>CHEMBL3976276</t>
  </si>
  <si>
    <t>CHEMBL4067652</t>
  </si>
  <si>
    <t>CHEMBL447288</t>
  </si>
  <si>
    <t>CHEMBL449535</t>
  </si>
  <si>
    <t>CHEMBL450854</t>
  </si>
  <si>
    <t>CHEMBL525771</t>
  </si>
  <si>
    <t>CHEMBL1082718</t>
  </si>
  <si>
    <t>CHEMBL13309</t>
  </si>
  <si>
    <t>CHEMBL1479442</t>
  </si>
  <si>
    <t>CHEMBL1607263</t>
  </si>
  <si>
    <t>CHEMBL1773116</t>
  </si>
  <si>
    <t>CHEMBL199548</t>
  </si>
  <si>
    <t>CHEMBL2023327</t>
  </si>
  <si>
    <t>CHEMBL20549</t>
  </si>
  <si>
    <t>CHEMBL2059422</t>
  </si>
  <si>
    <t>CHEMBL2071533</t>
  </si>
  <si>
    <t>CHEMBL2312480</t>
  </si>
  <si>
    <t>CHEMBL239096</t>
  </si>
  <si>
    <t>CHEMBL261087</t>
  </si>
  <si>
    <t>CHEMBL3289572</t>
  </si>
  <si>
    <t>CHEMBL3349819</t>
  </si>
  <si>
    <t>CHEMBL3971022</t>
  </si>
  <si>
    <t>CHEMBL4159865</t>
  </si>
  <si>
    <t>CHEMBL426250</t>
  </si>
  <si>
    <t>CHEMBL48041</t>
  </si>
  <si>
    <t>CHEMBL521943</t>
  </si>
  <si>
    <t>CHEMBL587508</t>
  </si>
  <si>
    <t>CHEMBL104802</t>
  </si>
  <si>
    <t>CHEMBL1076879</t>
  </si>
  <si>
    <t>CHEMBL1077378</t>
  </si>
  <si>
    <t>CHEMBL108579</t>
  </si>
  <si>
    <t>CHEMBL1091403</t>
  </si>
  <si>
    <t>CHEMBL1094673</t>
  </si>
  <si>
    <t>CHEMBL1095021</t>
  </si>
  <si>
    <t>CHEMBL1095023</t>
  </si>
  <si>
    <t>CHEMBL1097568</t>
  </si>
  <si>
    <t>CHEMBL1098348</t>
  </si>
  <si>
    <t>CHEMBL1099093</t>
  </si>
  <si>
    <t>CHEMBL111945</t>
  </si>
  <si>
    <t>CHEMBL116133</t>
  </si>
  <si>
    <t>CHEMBL117041</t>
  </si>
  <si>
    <t>CHEMBL1170909</t>
  </si>
  <si>
    <t>CHEMBL1187577</t>
  </si>
  <si>
    <t>CHEMBL1192242</t>
  </si>
  <si>
    <t>CHEMBL1204259</t>
  </si>
  <si>
    <t>CHEMBL1206912</t>
  </si>
  <si>
    <t>CHEMBL1210112</t>
  </si>
  <si>
    <t>CHEMBL1214454</t>
  </si>
  <si>
    <t>CHEMBL1214517</t>
  </si>
  <si>
    <t>CHEMBL1215984</t>
  </si>
  <si>
    <t>CHEMBL1222580</t>
  </si>
  <si>
    <t>CHEMBL1222582</t>
  </si>
  <si>
    <t>CHEMBL1231634</t>
  </si>
  <si>
    <t>CHEMBL1234363</t>
  </si>
  <si>
    <t>CHEMBL1237054</t>
  </si>
  <si>
    <t>CHEMBL124843</t>
  </si>
  <si>
    <t>CHEMBL1255800</t>
  </si>
  <si>
    <t>CHEMBL1256548</t>
  </si>
  <si>
    <t>CHEMBL1287817</t>
  </si>
  <si>
    <t>CHEMBL1288339</t>
  </si>
  <si>
    <t>CHEMBL1288407</t>
  </si>
  <si>
    <t>CHEMBL1288430</t>
  </si>
  <si>
    <t>CHEMBL1288627</t>
  </si>
  <si>
    <t>CHEMBL1314333</t>
  </si>
  <si>
    <t>CHEMBL132308</t>
  </si>
  <si>
    <t>CHEMBL132317</t>
  </si>
  <si>
    <t>CHEMBL132989</t>
  </si>
  <si>
    <t>CHEMBL136513</t>
  </si>
  <si>
    <t>CHEMBL13857</t>
  </si>
  <si>
    <t>CHEMBL146536</t>
  </si>
  <si>
    <t>CHEMBL147214</t>
  </si>
  <si>
    <t>CHEMBL1502166</t>
  </si>
  <si>
    <t>CHEMBL15278</t>
  </si>
  <si>
    <t>CHEMBL1631108</t>
  </si>
  <si>
    <t>CHEMBL1643114</t>
  </si>
  <si>
    <t>CHEMBL1651946</t>
  </si>
  <si>
    <t>CHEMBL1651947</t>
  </si>
  <si>
    <t>CHEMBL166232</t>
  </si>
  <si>
    <t>CHEMBL167426</t>
  </si>
  <si>
    <t>CHEMBL1762367</t>
  </si>
  <si>
    <t>CHEMBL1774288</t>
  </si>
  <si>
    <t>CHEMBL1774303</t>
  </si>
  <si>
    <t>CHEMBL1774941</t>
  </si>
  <si>
    <t>CHEMBL1784267</t>
  </si>
  <si>
    <t>CHEMBL1790956</t>
  </si>
  <si>
    <t>CHEMBL1796777</t>
  </si>
  <si>
    <t>CHEMBL1813877</t>
  </si>
  <si>
    <t>CHEMBL1818692</t>
  </si>
  <si>
    <t>CHEMBL1819284</t>
  </si>
  <si>
    <t>CHEMBL188807</t>
  </si>
  <si>
    <t>CHEMBL1916177</t>
  </si>
  <si>
    <t>CHEMBL1916179</t>
  </si>
  <si>
    <t>CHEMBL1916181</t>
  </si>
  <si>
    <t>CHEMBL1923780</t>
  </si>
  <si>
    <t>CHEMBL1933094</t>
  </si>
  <si>
    <t>CHEMBL1934463</t>
  </si>
  <si>
    <t>CHEMBL1935603</t>
  </si>
  <si>
    <t>CHEMBL1938721</t>
  </si>
  <si>
    <t>CHEMBL1939255</t>
  </si>
  <si>
    <t>CHEMBL1941167</t>
  </si>
  <si>
    <t>CHEMBL1950844</t>
  </si>
  <si>
    <t>CHEMBL1958312</t>
  </si>
  <si>
    <t>CHEMBL1958313</t>
  </si>
  <si>
    <t>CHEMBL1967163</t>
  </si>
  <si>
    <t>CHEMBL1968637</t>
  </si>
  <si>
    <t>CHEMBL1968909</t>
  </si>
  <si>
    <t>CHEMBL1972413</t>
  </si>
  <si>
    <t>CHEMBL1979791</t>
  </si>
  <si>
    <t>CHEMBL1980160</t>
  </si>
  <si>
    <t>CHEMBL1981480</t>
  </si>
  <si>
    <t>CHEMBL2002570</t>
  </si>
  <si>
    <t>CHEMBL2003519</t>
  </si>
  <si>
    <t>CHEMBL2005163</t>
  </si>
  <si>
    <t>CHEMBL2005878</t>
  </si>
  <si>
    <t>CHEMBL2006033</t>
  </si>
  <si>
    <t>CHEMBL2018715</t>
  </si>
  <si>
    <t>CHEMBL2021485</t>
  </si>
  <si>
    <t>CHEMBL2022865</t>
  </si>
  <si>
    <t>CHEMBL2028902</t>
  </si>
  <si>
    <t>CHEMBL203068</t>
  </si>
  <si>
    <t>CHEMBL203188</t>
  </si>
  <si>
    <t>CHEMBL203220</t>
  </si>
  <si>
    <t>CHEMBL2047213</t>
  </si>
  <si>
    <t>CHEMBL2062133</t>
  </si>
  <si>
    <t>CHEMBL2062147</t>
  </si>
  <si>
    <t>CHEMBL2071396</t>
  </si>
  <si>
    <t>CHEMBL2071398</t>
  </si>
  <si>
    <t>CHEMBL2071400</t>
  </si>
  <si>
    <t>CHEMBL2088131</t>
  </si>
  <si>
    <t>CHEMBL2088296</t>
  </si>
  <si>
    <t>CHEMBL2106449</t>
  </si>
  <si>
    <t>CHEMBL2112254</t>
  </si>
  <si>
    <t>CHEMBL2114192</t>
  </si>
  <si>
    <t>CHEMBL215360</t>
  </si>
  <si>
    <t>CHEMBL2159123</t>
  </si>
  <si>
    <t>CHEMBL216328</t>
  </si>
  <si>
    <t>CHEMBL216346</t>
  </si>
  <si>
    <t>CHEMBL217639</t>
  </si>
  <si>
    <t>CHEMBL218076</t>
  </si>
  <si>
    <t>CHEMBL218342</t>
  </si>
  <si>
    <t>CHEMBL219746</t>
  </si>
  <si>
    <t>CHEMBL2204422</t>
  </si>
  <si>
    <t>CHEMBL2205259</t>
  </si>
  <si>
    <t>CHEMBL2205272</t>
  </si>
  <si>
    <t>CHEMBL2205277</t>
  </si>
  <si>
    <t>CHEMBL2206991</t>
  </si>
  <si>
    <t>CHEMBL2207472</t>
  </si>
  <si>
    <t>CHEMBL2207474</t>
  </si>
  <si>
    <t>CHEMBL2207477</t>
  </si>
  <si>
    <t>CHEMBL2208292</t>
  </si>
  <si>
    <t>CHEMBL2208293</t>
  </si>
  <si>
    <t>CHEMBL222762</t>
  </si>
  <si>
    <t>CHEMBL2228112</t>
  </si>
  <si>
    <t>CHEMBL2238211</t>
  </si>
  <si>
    <t>CHEMBL2268779</t>
  </si>
  <si>
    <t>CHEMBL2269905</t>
  </si>
  <si>
    <t>CHEMBL2272396</t>
  </si>
  <si>
    <t>CHEMBL2296973</t>
  </si>
  <si>
    <t>CHEMBL2334040</t>
  </si>
  <si>
    <t>CHEMBL2337721</t>
  </si>
  <si>
    <t>CHEMBL236226</t>
  </si>
  <si>
    <t>CHEMBL2368135</t>
  </si>
  <si>
    <t>CHEMBL2368272</t>
  </si>
  <si>
    <t>CHEMBL2368274</t>
  </si>
  <si>
    <t>CHEMBL2368278</t>
  </si>
  <si>
    <t>CHEMBL2375638</t>
  </si>
  <si>
    <t>CHEMBL2380489</t>
  </si>
  <si>
    <t>CHEMBL238144</t>
  </si>
  <si>
    <t>CHEMBL2387612</t>
  </si>
  <si>
    <t>CHEMBL2390970</t>
  </si>
  <si>
    <t>CHEMBL2391544</t>
  </si>
  <si>
    <t>CHEMBL240509</t>
  </si>
  <si>
    <t>CHEMBL2418933</t>
  </si>
  <si>
    <t>CHEMBL2419357</t>
  </si>
  <si>
    <t>CHEMBL2426330</t>
  </si>
  <si>
    <t>CHEMBL243129</t>
  </si>
  <si>
    <t>CHEMBL2442929</t>
  </si>
  <si>
    <t>CHEMBL2442932</t>
  </si>
  <si>
    <t>CHEMBL2448586</t>
  </si>
  <si>
    <t>CHEMBL245692</t>
  </si>
  <si>
    <t>CHEMBL249074</t>
  </si>
  <si>
    <t>CHEMBL249248</t>
  </si>
  <si>
    <t>CHEMBL25147</t>
  </si>
  <si>
    <t>CHEMBL252460</t>
  </si>
  <si>
    <t>CHEMBL254923</t>
  </si>
  <si>
    <t>CHEMBL256132</t>
  </si>
  <si>
    <t>CHEMBL262809</t>
  </si>
  <si>
    <t>CHEMBL262995</t>
  </si>
  <si>
    <t>CHEMBL263259</t>
  </si>
  <si>
    <t>CHEMBL263891</t>
  </si>
  <si>
    <t>CHEMBL264528</t>
  </si>
  <si>
    <t>CHEMBL265265</t>
  </si>
  <si>
    <t>CHEMBL266373</t>
  </si>
  <si>
    <t>CHEMBL266453</t>
  </si>
  <si>
    <t>CHEMBL266560</t>
  </si>
  <si>
    <t>CHEMBL266602</t>
  </si>
  <si>
    <t>CHEMBL268906</t>
  </si>
  <si>
    <t>CHEMBL269241</t>
  </si>
  <si>
    <t>CHEMBL273692</t>
  </si>
  <si>
    <t>CHEMBL274801</t>
  </si>
  <si>
    <t>CHEMBL27673</t>
  </si>
  <si>
    <t>CHEMBL276882</t>
  </si>
  <si>
    <t>CHEMBL281255</t>
  </si>
  <si>
    <t>CHEMBL282626</t>
  </si>
  <si>
    <t>CHEMBL29055</t>
  </si>
  <si>
    <t>CHEMBL292526</t>
  </si>
  <si>
    <t>CHEMBL294227</t>
  </si>
  <si>
    <t>CHEMBL295744</t>
  </si>
  <si>
    <t>CHEMBL297427</t>
  </si>
  <si>
    <t>CHEMBL298023</t>
  </si>
  <si>
    <t>CHEMBL298596</t>
  </si>
  <si>
    <t>CHEMBL298844</t>
  </si>
  <si>
    <t>CHEMBL300524</t>
  </si>
  <si>
    <t>CHEMBL303148</t>
  </si>
  <si>
    <t>CHEMBL3085447</t>
  </si>
  <si>
    <t>CHEMBL3085565</t>
  </si>
  <si>
    <t>CHEMBL3105596</t>
  </si>
  <si>
    <t>CHEMBL3105599</t>
  </si>
  <si>
    <t>CHEMBL310677</t>
  </si>
  <si>
    <t>CHEMBL3108838</t>
  </si>
  <si>
    <t>CHEMBL311773</t>
  </si>
  <si>
    <t>CHEMBL3121619</t>
  </si>
  <si>
    <t>CHEMBL3127846</t>
  </si>
  <si>
    <t>CHEMBL3133266</t>
  </si>
  <si>
    <t>CHEMBL3137847</t>
  </si>
  <si>
    <t>CHEMBL321655</t>
  </si>
  <si>
    <t>CHEMBL3221468</t>
  </si>
  <si>
    <t>CHEMBL3236396</t>
  </si>
  <si>
    <t>CHEMBL3237156</t>
  </si>
  <si>
    <t>CHEMBL3238522</t>
  </si>
  <si>
    <t>CHEMBL3246110</t>
  </si>
  <si>
    <t>CHEMBL3250866</t>
  </si>
  <si>
    <t>CHEMBL3264810</t>
  </si>
  <si>
    <t>CHEMBL328435</t>
  </si>
  <si>
    <t>CHEMBL3311368</t>
  </si>
  <si>
    <t>CHEMBL3313988</t>
  </si>
  <si>
    <t>CHEMBL331599</t>
  </si>
  <si>
    <t>CHEMBL3318236</t>
  </si>
  <si>
    <t>CHEMBL334371</t>
  </si>
  <si>
    <t>CHEMBL3344124</t>
  </si>
  <si>
    <t>CHEMBL3409232</t>
  </si>
  <si>
    <t>CHEMBL341525</t>
  </si>
  <si>
    <t>CHEMBL3427589</t>
  </si>
  <si>
    <t>CHEMBL35292</t>
  </si>
  <si>
    <t>CHEMBL353412</t>
  </si>
  <si>
    <t>CHEMBL353526</t>
  </si>
  <si>
    <t>CHEMBL3544601</t>
  </si>
  <si>
    <t>CHEMBL354735</t>
  </si>
  <si>
    <t>CHEMBL3596262</t>
  </si>
  <si>
    <t>CHEMBL3600665</t>
  </si>
  <si>
    <t>CHEMBL3601942</t>
  </si>
  <si>
    <t>CHEMBL360478</t>
  </si>
  <si>
    <t>CHEMBL3618376</t>
  </si>
  <si>
    <t>CHEMBL3634274</t>
  </si>
  <si>
    <t>CHEMBL369361</t>
  </si>
  <si>
    <t>CHEMBL372224</t>
  </si>
  <si>
    <t>CHEMBL3735172</t>
  </si>
  <si>
    <t>CHEMBL373539</t>
  </si>
  <si>
    <t>CHEMBL3742123</t>
  </si>
  <si>
    <t>CHEMBL3753396</t>
  </si>
  <si>
    <t>CHEMBL3754352</t>
  </si>
  <si>
    <t>CHEMBL3770271</t>
  </si>
  <si>
    <t>CHEMBL378170</t>
  </si>
  <si>
    <t>CHEMBL3787338</t>
  </si>
  <si>
    <t>CHEMBL3794279</t>
  </si>
  <si>
    <t>CHEMBL379564</t>
  </si>
  <si>
    <t>CHEMBL3810203</t>
  </si>
  <si>
    <t>CHEMBL3810398</t>
  </si>
  <si>
    <t>CHEMBL384947</t>
  </si>
  <si>
    <t>CHEMBL3902619</t>
  </si>
  <si>
    <t>CHEMBL3916411</t>
  </si>
  <si>
    <t>CHEMBL391922</t>
  </si>
  <si>
    <t>CHEMBL3921714</t>
  </si>
  <si>
    <t>CHEMBL392201</t>
  </si>
  <si>
    <t>CHEMBL3924465</t>
  </si>
  <si>
    <t>CHEMBL3928043</t>
  </si>
  <si>
    <t>CHEMBL3930659</t>
  </si>
  <si>
    <t>CHEMBL3931475</t>
  </si>
  <si>
    <t>CHEMBL3948195</t>
  </si>
  <si>
    <t>CHEMBL3954657</t>
  </si>
  <si>
    <t>CHEMBL395860</t>
  </si>
  <si>
    <t>CHEMBL3961264</t>
  </si>
  <si>
    <t>CHEMBL397403</t>
  </si>
  <si>
    <t>CHEMBL398092</t>
  </si>
  <si>
    <t>CHEMBL3984557</t>
  </si>
  <si>
    <t>CHEMBL400263</t>
  </si>
  <si>
    <t>CHEMBL402231</t>
  </si>
  <si>
    <t>CHEMBL405320</t>
  </si>
  <si>
    <t>CHEMBL405553</t>
  </si>
  <si>
    <t>CHEMBL4063053</t>
  </si>
  <si>
    <t>CHEMBL4074075</t>
  </si>
  <si>
    <t>CHEMBL4080391</t>
  </si>
  <si>
    <t>CHEMBL4092439</t>
  </si>
  <si>
    <t>CHEMBL4102386</t>
  </si>
  <si>
    <t>CHEMBL4104810</t>
  </si>
  <si>
    <t>CHEMBL4107781</t>
  </si>
  <si>
    <t>CHEMBL411838</t>
  </si>
  <si>
    <t>CHEMBL4128085</t>
  </si>
  <si>
    <t>CHEMBL414088</t>
  </si>
  <si>
    <t>CHEMBL4160153</t>
  </si>
  <si>
    <t>CHEMBL4160546</t>
  </si>
  <si>
    <t>CHEMBL4161757</t>
  </si>
  <si>
    <t>CHEMBL4162050</t>
  </si>
  <si>
    <t>CHEMBL416256</t>
  </si>
  <si>
    <t>CHEMBL4165233</t>
  </si>
  <si>
    <t>CHEMBL4165541</t>
  </si>
  <si>
    <t>CHEMBL4166340</t>
  </si>
  <si>
    <t>CHEMBL4166975</t>
  </si>
  <si>
    <t>CHEMBL4169975</t>
  </si>
  <si>
    <t>CHEMBL4170113</t>
  </si>
  <si>
    <t>CHEMBL4171424</t>
  </si>
  <si>
    <t>CHEMBL4172582</t>
  </si>
  <si>
    <t>CHEMBL4174864</t>
  </si>
  <si>
    <t>CHEMBL41930</t>
  </si>
  <si>
    <t>CHEMBL4205232</t>
  </si>
  <si>
    <t>CHEMBL4207818</t>
  </si>
  <si>
    <t>CHEMBL4210005</t>
  </si>
  <si>
    <t>CHEMBL4210183</t>
  </si>
  <si>
    <t>CHEMBL4213035</t>
  </si>
  <si>
    <t>CHEMBL42240</t>
  </si>
  <si>
    <t>CHEMBL4226289</t>
  </si>
  <si>
    <t>CHEMBL4250117</t>
  </si>
  <si>
    <t>CHEMBL42714</t>
  </si>
  <si>
    <t>CHEMBL42748</t>
  </si>
  <si>
    <t>CHEMBL4282085</t>
  </si>
  <si>
    <t>CHEMBL4283408</t>
  </si>
  <si>
    <t>CHEMBL4283607</t>
  </si>
  <si>
    <t>CHEMBL428499</t>
  </si>
  <si>
    <t>CHEMBL4291236</t>
  </si>
  <si>
    <t>CHEMBL4292863</t>
  </si>
  <si>
    <t>CHEMBL4299547</t>
  </si>
  <si>
    <t>CHEMBL4300300</t>
  </si>
  <si>
    <t>CHEMBL431360</t>
  </si>
  <si>
    <t>CHEMBL43421</t>
  </si>
  <si>
    <t>CHEMBL435386</t>
  </si>
  <si>
    <t>CHEMBL436859</t>
  </si>
  <si>
    <t>CHEMBL437393</t>
  </si>
  <si>
    <t>CHEMBL437621</t>
  </si>
  <si>
    <t>CHEMBL438131</t>
  </si>
  <si>
    <t>CHEMBL442879</t>
  </si>
  <si>
    <t>CHEMBL4439381</t>
  </si>
  <si>
    <t>CHEMBL4443764</t>
  </si>
  <si>
    <t>CHEMBL4444314</t>
  </si>
  <si>
    <t>CHEMBL444743</t>
  </si>
  <si>
    <t>CHEMBL444745</t>
  </si>
  <si>
    <t>CHEMBL4450822</t>
  </si>
  <si>
    <t>CHEMBL445222</t>
  </si>
  <si>
    <t>CHEMBL445475</t>
  </si>
  <si>
    <t>CHEMBL4457185</t>
  </si>
  <si>
    <t>CHEMBL4458412</t>
  </si>
  <si>
    <t>CHEMBL4460252</t>
  </si>
  <si>
    <t>CHEMBL4461310</t>
  </si>
  <si>
    <t>CHEMBL446304</t>
  </si>
  <si>
    <t>CHEMBL4466307</t>
  </si>
  <si>
    <t>CHEMBL4468519</t>
  </si>
  <si>
    <t>CHEMBL4470057</t>
  </si>
  <si>
    <t>CHEMBL4472169</t>
  </si>
  <si>
    <t>CHEMBL447320</t>
  </si>
  <si>
    <t>CHEMBL4476385</t>
  </si>
  <si>
    <t>CHEMBL4476474</t>
  </si>
  <si>
    <t>CHEMBL44810</t>
  </si>
  <si>
    <t>CHEMBL448234</t>
  </si>
  <si>
    <t>CHEMBL448765</t>
  </si>
  <si>
    <t>CHEMBL449004</t>
  </si>
  <si>
    <t>CHEMBL449866</t>
  </si>
  <si>
    <t>CHEMBL450226</t>
  </si>
  <si>
    <t>CHEMBL451270</t>
  </si>
  <si>
    <t>CHEMBL4513745</t>
  </si>
  <si>
    <t>CHEMBL451691</t>
  </si>
  <si>
    <t>CHEMBL4522667</t>
  </si>
  <si>
    <t>CHEMBL452384</t>
  </si>
  <si>
    <t>CHEMBL452643</t>
  </si>
  <si>
    <t>CHEMBL452874</t>
  </si>
  <si>
    <t>CHEMBL4530973</t>
  </si>
  <si>
    <t>CHEMBL4532071</t>
  </si>
  <si>
    <t>CHEMBL4533733</t>
  </si>
  <si>
    <t>CHEMBL4537060</t>
  </si>
  <si>
    <t>CHEMBL454292</t>
  </si>
  <si>
    <t>CHEMBL4543202</t>
  </si>
  <si>
    <t>CHEMBL454530</t>
  </si>
  <si>
    <t>CHEMBL454773</t>
  </si>
  <si>
    <t>CHEMBL4555627</t>
  </si>
  <si>
    <t>CHEMBL455759</t>
  </si>
  <si>
    <t>CHEMBL4558060</t>
  </si>
  <si>
    <t>CHEMBL4558916</t>
  </si>
  <si>
    <t>CHEMBL4559248</t>
  </si>
  <si>
    <t>CHEMBL4568000</t>
  </si>
  <si>
    <t>CHEMBL4582203</t>
  </si>
  <si>
    <t>CHEMBL4587241</t>
  </si>
  <si>
    <t>CHEMBL4594663</t>
  </si>
  <si>
    <t>CHEMBL4595654</t>
  </si>
  <si>
    <t>CHEMBL4597608</t>
  </si>
  <si>
    <t>CHEMBL4597688</t>
  </si>
  <si>
    <t>CHEMBL46367</t>
  </si>
  <si>
    <t>CHEMBL475876</t>
  </si>
  <si>
    <t>CHEMBL48112</t>
  </si>
  <si>
    <t>CHEMBL487080</t>
  </si>
  <si>
    <t>CHEMBL487972</t>
  </si>
  <si>
    <t>CHEMBL489952</t>
  </si>
  <si>
    <t>CHEMBL49438</t>
  </si>
  <si>
    <t>CHEMBL499223</t>
  </si>
  <si>
    <t>CHEMBL499230</t>
  </si>
  <si>
    <t>CHEMBL499250</t>
  </si>
  <si>
    <t>CHEMBL499765</t>
  </si>
  <si>
    <t>CHEMBL500493</t>
  </si>
  <si>
    <t>CHEMBL500505</t>
  </si>
  <si>
    <t>CHEMBL500519</t>
  </si>
  <si>
    <t>CHEMBL500710</t>
  </si>
  <si>
    <t>CHEMBL501258</t>
  </si>
  <si>
    <t>CHEMBL501327</t>
  </si>
  <si>
    <t>CHEMBL503560</t>
  </si>
  <si>
    <t>CHEMBL503926</t>
  </si>
  <si>
    <t>CHEMBL503957</t>
  </si>
  <si>
    <t>CHEMBL504086</t>
  </si>
  <si>
    <t>CHEMBL504287</t>
  </si>
  <si>
    <t>CHEMBL504592</t>
  </si>
  <si>
    <t>CHEMBL505707</t>
  </si>
  <si>
    <t>CHEMBL506264</t>
  </si>
  <si>
    <t>CHEMBL506715</t>
  </si>
  <si>
    <t>CHEMBL507034</t>
  </si>
  <si>
    <t>CHEMBL507390</t>
  </si>
  <si>
    <t>CHEMBL507659</t>
  </si>
  <si>
    <t>CHEMBL508856</t>
  </si>
  <si>
    <t>CHEMBL509351</t>
  </si>
  <si>
    <t>CHEMBL509564</t>
  </si>
  <si>
    <t>CHEMBL510177</t>
  </si>
  <si>
    <t>CHEMBL510532</t>
  </si>
  <si>
    <t>CHEMBL510770</t>
  </si>
  <si>
    <t>CHEMBL514890</t>
  </si>
  <si>
    <t>CHEMBL525461</t>
  </si>
  <si>
    <t>CHEMBL528607</t>
  </si>
  <si>
    <t>CHEMBL528728</t>
  </si>
  <si>
    <t>CHEMBL528884</t>
  </si>
  <si>
    <t>CHEMBL53131</t>
  </si>
  <si>
    <t>CHEMBL531943</t>
  </si>
  <si>
    <t>CHEMBL532968</t>
  </si>
  <si>
    <t>CHEMBL534266</t>
  </si>
  <si>
    <t>CHEMBL536815</t>
  </si>
  <si>
    <t>CHEMBL538422</t>
  </si>
  <si>
    <t>CHEMBL539178</t>
  </si>
  <si>
    <t>CHEMBL541173</t>
  </si>
  <si>
    <t>CHEMBL55123</t>
  </si>
  <si>
    <t>CHEMBL555516</t>
  </si>
  <si>
    <t>CHEMBL557862</t>
  </si>
  <si>
    <t>CHEMBL56733</t>
  </si>
  <si>
    <t>CHEMBL584392</t>
  </si>
  <si>
    <t>CHEMBL58760</t>
  </si>
  <si>
    <t>CHEMBL590107</t>
  </si>
  <si>
    <t>CHEMBL590233</t>
  </si>
  <si>
    <t>CHEMBL590729</t>
  </si>
  <si>
    <t>CHEMBL595515</t>
  </si>
  <si>
    <t>CHEMBL62930</t>
  </si>
  <si>
    <t>CHEMBL92914</t>
  </si>
  <si>
    <t>CHEMBL97625</t>
  </si>
  <si>
    <t>CHEMBL2007164</t>
  </si>
  <si>
    <t>CHEMBL2094437</t>
  </si>
  <si>
    <t>CHEMBL4171899</t>
  </si>
  <si>
    <t>CHEMBL1163172</t>
  </si>
  <si>
    <t>CHEMBL3289439</t>
  </si>
  <si>
    <t>CHEMBL3594276</t>
  </si>
  <si>
    <t>CHEMBL3594281</t>
  </si>
  <si>
    <t>CHEMBL3856118</t>
  </si>
  <si>
    <t>CHEMBL395413</t>
  </si>
  <si>
    <t>CHEMBL411240</t>
  </si>
  <si>
    <t>CHEMBL4287497</t>
  </si>
  <si>
    <t>CHEMBL4299550</t>
  </si>
  <si>
    <t>CHEMBL4435174</t>
  </si>
  <si>
    <t>CHEMBL451138</t>
  </si>
  <si>
    <t>CHEMBL4580774</t>
  </si>
  <si>
    <t>CHEMBL500994</t>
  </si>
  <si>
    <t>CHEMBL502899</t>
  </si>
  <si>
    <t>CHEMBL507867</t>
  </si>
  <si>
    <t>CHEMBL524310</t>
  </si>
  <si>
    <t>CHEMBL393598</t>
  </si>
  <si>
    <t>CHEMBL567683</t>
  </si>
  <si>
    <t>CHEMBL1094675</t>
  </si>
  <si>
    <t>CHEMBL2152641</t>
  </si>
  <si>
    <t>CHEMBL262821</t>
  </si>
  <si>
    <t>CHEMBL3890430</t>
  </si>
  <si>
    <t>CHEMBL3926384</t>
  </si>
  <si>
    <t>CHEMBL4170652</t>
  </si>
  <si>
    <t>CHEMBL4299599</t>
  </si>
  <si>
    <t>CHEMBL503578</t>
  </si>
  <si>
    <t>CHEMBL4470752</t>
  </si>
  <si>
    <t>CHEMBL447915</t>
  </si>
  <si>
    <t>CHEMBL564590</t>
  </si>
  <si>
    <t>CHEMBL3793676</t>
  </si>
  <si>
    <t>CHEMBL1988721</t>
  </si>
  <si>
    <t>CHEMBL3634269</t>
  </si>
  <si>
    <t>CHEMBL4299604</t>
  </si>
  <si>
    <t>CHEMBL4443186</t>
  </si>
  <si>
    <t>CHEMBL451566</t>
  </si>
  <si>
    <t>CHEMBL570432</t>
  </si>
  <si>
    <t>CHEMBL1975857</t>
  </si>
  <si>
    <t>CHEMBL4289028</t>
  </si>
  <si>
    <t>CHEMBL4456114</t>
  </si>
  <si>
    <t>CHEMBL509384</t>
  </si>
  <si>
    <t>CHEMBL3794333</t>
  </si>
  <si>
    <t>CHEMBL4130013</t>
  </si>
  <si>
    <t>CHEMBL4280172</t>
  </si>
  <si>
    <t>CHEMBL4292748</t>
  </si>
  <si>
    <t>CHEMBL451064</t>
  </si>
  <si>
    <t>CHEMBL503739</t>
  </si>
  <si>
    <t>CHEMBL505931</t>
  </si>
  <si>
    <t>CHEMBL510197</t>
  </si>
  <si>
    <t>CHEMBL526870</t>
  </si>
  <si>
    <t>CHEMBL1077465</t>
  </si>
  <si>
    <t>CHEMBL444421</t>
  </si>
  <si>
    <t>CHEMBL4516447</t>
  </si>
  <si>
    <t>CHEMBL4569651</t>
  </si>
  <si>
    <t>CHEMBL3912728</t>
  </si>
  <si>
    <t>CHEMBL4445240</t>
  </si>
  <si>
    <t>CHEMBL498933</t>
  </si>
  <si>
    <t>CHEMBL505690</t>
  </si>
  <si>
    <t>CHEMBL1230182</t>
  </si>
  <si>
    <t>CHEMBL1372507</t>
  </si>
  <si>
    <t>CHEMBL1389389</t>
  </si>
  <si>
    <t>CHEMBL1402236</t>
  </si>
  <si>
    <t>CHEMBL1438612</t>
  </si>
  <si>
    <t>CHEMBL1480823</t>
  </si>
  <si>
    <t>CHEMBL1485698</t>
  </si>
  <si>
    <t>CHEMBL2031116</t>
  </si>
  <si>
    <t>CHEMBL20617</t>
  </si>
  <si>
    <t>CHEMBL2203614</t>
  </si>
  <si>
    <t>CHEMBL2219937</t>
  </si>
  <si>
    <t>CHEMBL2253152</t>
  </si>
  <si>
    <t>CHEMBL2331816</t>
  </si>
  <si>
    <t>CHEMBL241378</t>
  </si>
  <si>
    <t>CHEMBL307973</t>
  </si>
  <si>
    <t>CHEMBL3084920</t>
  </si>
  <si>
    <t>CHEMBL3104331</t>
  </si>
  <si>
    <t>CHEMBL3137897</t>
  </si>
  <si>
    <t>CHEMBL3251072</t>
  </si>
  <si>
    <t>CHEMBL3265061</t>
  </si>
  <si>
    <t>CHEMBL3289571</t>
  </si>
  <si>
    <t>CHEMBL3289573</t>
  </si>
  <si>
    <t>CHEMBL3302524</t>
  </si>
  <si>
    <t>CHEMBL3323268</t>
  </si>
  <si>
    <t>CHEMBL3357752</t>
  </si>
  <si>
    <t>CHEMBL345013</t>
  </si>
  <si>
    <t>CHEMBL3787795</t>
  </si>
  <si>
    <t>CHEMBL4300722</t>
  </si>
  <si>
    <t>CHEMBL4434945</t>
  </si>
  <si>
    <t>CHEMBL460008</t>
  </si>
  <si>
    <t>CHEMBL479712</t>
  </si>
  <si>
    <t>CHEMBL587408</t>
  </si>
  <si>
    <t>CHEMBL73637</t>
  </si>
  <si>
    <t>CHEMBL107080</t>
  </si>
  <si>
    <t>CHEMBL1077040</t>
  </si>
  <si>
    <t>CHEMBL1077119</t>
  </si>
  <si>
    <t>CHEMBL1077701</t>
  </si>
  <si>
    <t>CHEMBL1091408</t>
  </si>
  <si>
    <t>CHEMBL1094682</t>
  </si>
  <si>
    <t>CHEMBL1096221</t>
  </si>
  <si>
    <t>CHEMBL1098275</t>
  </si>
  <si>
    <t>CHEMBL110049</t>
  </si>
  <si>
    <t>CHEMBL111404</t>
  </si>
  <si>
    <t>CHEMBL1159450</t>
  </si>
  <si>
    <t>CHEMBL1159569</t>
  </si>
  <si>
    <t>CHEMBL1159571</t>
  </si>
  <si>
    <t>CHEMBL1159586</t>
  </si>
  <si>
    <t>CHEMBL1170700</t>
  </si>
  <si>
    <t>CHEMBL1179066</t>
  </si>
  <si>
    <t>CHEMBL1181641</t>
  </si>
  <si>
    <t>CHEMBL1185979</t>
  </si>
  <si>
    <t>CHEMBL1187581</t>
  </si>
  <si>
    <t>CHEMBL1190979</t>
  </si>
  <si>
    <t>CHEMBL1190980</t>
  </si>
  <si>
    <t>CHEMBL1191409</t>
  </si>
  <si>
    <t>CHEMBL1191417</t>
  </si>
  <si>
    <t>CHEMBL1194692</t>
  </si>
  <si>
    <t>CHEMBL1197491</t>
  </si>
  <si>
    <t>CHEMBL1201397</t>
  </si>
  <si>
    <t>CHEMBL1205564</t>
  </si>
  <si>
    <t>CHEMBL1205583</t>
  </si>
  <si>
    <t>CHEMBL1206213</t>
  </si>
  <si>
    <t>CHEMBL1207284</t>
  </si>
  <si>
    <t>CHEMBL1208148</t>
  </si>
  <si>
    <t>CHEMBL1208158</t>
  </si>
  <si>
    <t>CHEMBL1209499</t>
  </si>
  <si>
    <t>CHEMBL1214453</t>
  </si>
  <si>
    <t>CHEMBL1215981</t>
  </si>
  <si>
    <t>CHEMBL1215982</t>
  </si>
  <si>
    <t>CHEMBL1215983</t>
  </si>
  <si>
    <t>CHEMBL1215985</t>
  </si>
  <si>
    <t>CHEMBL1215986</t>
  </si>
  <si>
    <t>CHEMBL122039</t>
  </si>
  <si>
    <t>CHEMBL1237292</t>
  </si>
  <si>
    <t>CHEMBL1254319</t>
  </si>
  <si>
    <t>CHEMBL1256535</t>
  </si>
  <si>
    <t>CHEMBL1256538</t>
  </si>
  <si>
    <t>CHEMBL1256540</t>
  </si>
  <si>
    <t>CHEMBL1256551</t>
  </si>
  <si>
    <t>CHEMBL126217</t>
  </si>
  <si>
    <t>CHEMBL1288406</t>
  </si>
  <si>
    <t>CHEMBL1288838</t>
  </si>
  <si>
    <t>CHEMBL1288926</t>
  </si>
  <si>
    <t>CHEMBL1288949</t>
  </si>
  <si>
    <t>CHEMBL131461</t>
  </si>
  <si>
    <t>CHEMBL131700</t>
  </si>
  <si>
    <t>CHEMBL132226</t>
  </si>
  <si>
    <t>CHEMBL133015</t>
  </si>
  <si>
    <t>CHEMBL133297</t>
  </si>
  <si>
    <t>CHEMBL1359252</t>
  </si>
  <si>
    <t>CHEMBL137012</t>
  </si>
  <si>
    <t>CHEMBL13841</t>
  </si>
  <si>
    <t>CHEMBL140331</t>
  </si>
  <si>
    <t>CHEMBL143844</t>
  </si>
  <si>
    <t>CHEMBL14411</t>
  </si>
  <si>
    <t>CHEMBL1455383</t>
  </si>
  <si>
    <t>CHEMBL1472781</t>
  </si>
  <si>
    <t>CHEMBL1480453</t>
  </si>
  <si>
    <t>CHEMBL148309</t>
  </si>
  <si>
    <t>CHEMBL15127</t>
  </si>
  <si>
    <t>CHEMBL1522382</t>
  </si>
  <si>
    <t>CHEMBL1561183</t>
  </si>
  <si>
    <t>CHEMBL157184</t>
  </si>
  <si>
    <t>CHEMBL1615679</t>
  </si>
  <si>
    <t>CHEMBL1624147</t>
  </si>
  <si>
    <t>CHEMBL1645588</t>
  </si>
  <si>
    <t>CHEMBL165754</t>
  </si>
  <si>
    <t>CHEMBL166798</t>
  </si>
  <si>
    <t>CHEMBL1668619</t>
  </si>
  <si>
    <t>CHEMBL1682595</t>
  </si>
  <si>
    <t>CHEMBL1698948</t>
  </si>
  <si>
    <t>CHEMBL175769</t>
  </si>
  <si>
    <t>CHEMBL1761065</t>
  </si>
  <si>
    <t>CHEMBL1774289</t>
  </si>
  <si>
    <t>CHEMBL1775025</t>
  </si>
  <si>
    <t>CHEMBL1778051</t>
  </si>
  <si>
    <t>CHEMBL1779151</t>
  </si>
  <si>
    <t>CHEMBL178910</t>
  </si>
  <si>
    <t>CHEMBL1790518</t>
  </si>
  <si>
    <t>CHEMBL1795851</t>
  </si>
  <si>
    <t>CHEMBL1797009</t>
  </si>
  <si>
    <t>CHEMBL1800731</t>
  </si>
  <si>
    <t>CHEMBL1802292</t>
  </si>
  <si>
    <t>CHEMBL1812594</t>
  </si>
  <si>
    <t>CHEMBL181858</t>
  </si>
  <si>
    <t>CHEMBL1818691</t>
  </si>
  <si>
    <t>CHEMBL1819281</t>
  </si>
  <si>
    <t>CHEMBL1822164</t>
  </si>
  <si>
    <t>CHEMBL183409</t>
  </si>
  <si>
    <t>CHEMBL1835697</t>
  </si>
  <si>
    <t>CHEMBL190379</t>
  </si>
  <si>
    <t>CHEMBL1916175</t>
  </si>
  <si>
    <t>CHEMBL191971</t>
  </si>
  <si>
    <t>CHEMBL192094</t>
  </si>
  <si>
    <t>CHEMBL1934279</t>
  </si>
  <si>
    <t>CHEMBL1935706</t>
  </si>
  <si>
    <t>CHEMBL1935714</t>
  </si>
  <si>
    <t>CHEMBL195081</t>
  </si>
  <si>
    <t>CHEMBL1957019</t>
  </si>
  <si>
    <t>CHEMBL1958311</t>
  </si>
  <si>
    <t>CHEMBL197711</t>
  </si>
  <si>
    <t>CHEMBL1984187</t>
  </si>
  <si>
    <t>CHEMBL1985834</t>
  </si>
  <si>
    <t>CHEMBL1995989</t>
  </si>
  <si>
    <t>CHEMBL1996682</t>
  </si>
  <si>
    <t>CHEMBL1997100</t>
  </si>
  <si>
    <t>CHEMBL1997513</t>
  </si>
  <si>
    <t>CHEMBL1999916</t>
  </si>
  <si>
    <t>CHEMBL2000234</t>
  </si>
  <si>
    <t>CHEMBL2011644</t>
  </si>
  <si>
    <t>CHEMBL2017441</t>
  </si>
  <si>
    <t>CHEMBL2022718</t>
  </si>
  <si>
    <t>CHEMBL2029097</t>
  </si>
  <si>
    <t>CHEMBL2029589</t>
  </si>
  <si>
    <t>CHEMBL204209</t>
  </si>
  <si>
    <t>CHEMBL2049176</t>
  </si>
  <si>
    <t>CHEMBL205949</t>
  </si>
  <si>
    <t>CHEMBL2063006</t>
  </si>
  <si>
    <t>CHEMBL2069068</t>
  </si>
  <si>
    <t>CHEMBL2071184</t>
  </si>
  <si>
    <t>CHEMBL2071402</t>
  </si>
  <si>
    <t>CHEMBL2079755</t>
  </si>
  <si>
    <t>CHEMBL2087159</t>
  </si>
  <si>
    <t>CHEMBL2106650</t>
  </si>
  <si>
    <t>CHEMBL210937</t>
  </si>
  <si>
    <t>CHEMBL211078</t>
  </si>
  <si>
    <t>CHEMBL2114445</t>
  </si>
  <si>
    <t>CHEMBL2131549</t>
  </si>
  <si>
    <t>CHEMBL214469</t>
  </si>
  <si>
    <t>CHEMBL2160030</t>
  </si>
  <si>
    <t>CHEMBL2165243</t>
  </si>
  <si>
    <t>CHEMBL21670</t>
  </si>
  <si>
    <t>CHEMBL2177293</t>
  </si>
  <si>
    <t>CHEMBL2177350</t>
  </si>
  <si>
    <t>CHEMBL2203307</t>
  </si>
  <si>
    <t>CHEMBL2205256</t>
  </si>
  <si>
    <t>CHEMBL2205263</t>
  </si>
  <si>
    <t>CHEMBL2206993</t>
  </si>
  <si>
    <t>CHEMBL2207480</t>
  </si>
  <si>
    <t>CHEMBL2208277</t>
  </si>
  <si>
    <t>CHEMBL2208288</t>
  </si>
  <si>
    <t>CHEMBL2227747</t>
  </si>
  <si>
    <t>CHEMBL223242</t>
  </si>
  <si>
    <t>CHEMBL2268777</t>
  </si>
  <si>
    <t>CHEMBL228684</t>
  </si>
  <si>
    <t>CHEMBL2303702</t>
  </si>
  <si>
    <t>CHEMBL2303781</t>
  </si>
  <si>
    <t>CHEMBL2304047</t>
  </si>
  <si>
    <t>CHEMBL2311863</t>
  </si>
  <si>
    <t>CHEMBL2312019</t>
  </si>
  <si>
    <t>CHEMBL2312025</t>
  </si>
  <si>
    <t>CHEMBL2312031</t>
  </si>
  <si>
    <t>CHEMBL2314902</t>
  </si>
  <si>
    <t>CHEMBL2324131</t>
  </si>
  <si>
    <t>CHEMBL2324134</t>
  </si>
  <si>
    <t>CHEMBL2324145</t>
  </si>
  <si>
    <t>CHEMBL2334039</t>
  </si>
  <si>
    <t>CHEMBL2335922</t>
  </si>
  <si>
    <t>CHEMBL234783</t>
  </si>
  <si>
    <t>CHEMBL234814</t>
  </si>
  <si>
    <t>CHEMBL2368136</t>
  </si>
  <si>
    <t>CHEMBL2368217</t>
  </si>
  <si>
    <t>CHEMBL2368831</t>
  </si>
  <si>
    <t>CHEMBL2369095</t>
  </si>
  <si>
    <t>CHEMBL2380487</t>
  </si>
  <si>
    <t>CHEMBL238723</t>
  </si>
  <si>
    <t>CHEMBL240527</t>
  </si>
  <si>
    <t>CHEMBL240600</t>
  </si>
  <si>
    <t>CHEMBL2407825</t>
  </si>
  <si>
    <t>CHEMBL2407826</t>
  </si>
  <si>
    <t>CHEMBL2413157</t>
  </si>
  <si>
    <t>CHEMBL241788</t>
  </si>
  <si>
    <t>CHEMBL2418093</t>
  </si>
  <si>
    <t>CHEMBL2426328</t>
  </si>
  <si>
    <t>CHEMBL243354</t>
  </si>
  <si>
    <t>CHEMBL2449467</t>
  </si>
  <si>
    <t>CHEMBL251267</t>
  </si>
  <si>
    <t>CHEMBL251288</t>
  </si>
  <si>
    <t>CHEMBL254882</t>
  </si>
  <si>
    <t>CHEMBL256294</t>
  </si>
  <si>
    <t>CHEMBL258044</t>
  </si>
  <si>
    <t>CHEMBL259783</t>
  </si>
  <si>
    <t>CHEMBL262406</t>
  </si>
  <si>
    <t>CHEMBL262952</t>
  </si>
  <si>
    <t>CHEMBL263777</t>
  </si>
  <si>
    <t>CHEMBL265044</t>
  </si>
  <si>
    <t>CHEMBL266060</t>
  </si>
  <si>
    <t>CHEMBL267254</t>
  </si>
  <si>
    <t>CHEMBL268212</t>
  </si>
  <si>
    <t>CHEMBL269195</t>
  </si>
  <si>
    <t>CHEMBL275525</t>
  </si>
  <si>
    <t>CHEMBL276246</t>
  </si>
  <si>
    <t>CHEMBL287675</t>
  </si>
  <si>
    <t>CHEMBL288226</t>
  </si>
  <si>
    <t>CHEMBL291139</t>
  </si>
  <si>
    <t>CHEMBL296011</t>
  </si>
  <si>
    <t>CHEMBL296632</t>
  </si>
  <si>
    <t>CHEMBL296657</t>
  </si>
  <si>
    <t>CHEMBL296885</t>
  </si>
  <si>
    <t>CHEMBL297377</t>
  </si>
  <si>
    <t>CHEMBL298129</t>
  </si>
  <si>
    <t>CHEMBL299322</t>
  </si>
  <si>
    <t>CHEMBL299941</t>
  </si>
  <si>
    <t>CHEMBL301347</t>
  </si>
  <si>
    <t>CHEMBL301428</t>
  </si>
  <si>
    <t>CHEMBL304062</t>
  </si>
  <si>
    <t>CHEMBL305279</t>
  </si>
  <si>
    <t>CHEMBL3085178</t>
  </si>
  <si>
    <t>CHEMBL3085281</t>
  </si>
  <si>
    <t>CHEMBL3086595</t>
  </si>
  <si>
    <t>CHEMBL3091723</t>
  </si>
  <si>
    <t>CHEMBL3094194</t>
  </si>
  <si>
    <t>CHEMBL309606</t>
  </si>
  <si>
    <t>CHEMBL3099309</t>
  </si>
  <si>
    <t>CHEMBL3103084</t>
  </si>
  <si>
    <t>CHEMBL3103085</t>
  </si>
  <si>
    <t>CHEMBL3103489</t>
  </si>
  <si>
    <t>CHEMBL310495</t>
  </si>
  <si>
    <t>CHEMBL3105014</t>
  </si>
  <si>
    <t>CHEMBL3105016</t>
  </si>
  <si>
    <t>CHEMBL3105595</t>
  </si>
  <si>
    <t>CHEMBL311136</t>
  </si>
  <si>
    <t>CHEMBL312166</t>
  </si>
  <si>
    <t>CHEMBL3121696</t>
  </si>
  <si>
    <t>CHEMBL3124955</t>
  </si>
  <si>
    <t>CHEMBL3125416</t>
  </si>
  <si>
    <t>CHEMBL3125995</t>
  </si>
  <si>
    <t>CHEMBL3126475</t>
  </si>
  <si>
    <t>CHEMBL3142262</t>
  </si>
  <si>
    <t>CHEMBL3188762</t>
  </si>
  <si>
    <t>CHEMBL319832</t>
  </si>
  <si>
    <t>CHEMBL3215452</t>
  </si>
  <si>
    <t>CHEMBL3219764</t>
  </si>
  <si>
    <t>CHEMBL3237409</t>
  </si>
  <si>
    <t>CHEMBL3245602</t>
  </si>
  <si>
    <t>CHEMBL3246103</t>
  </si>
  <si>
    <t>CHEMBL3246105</t>
  </si>
  <si>
    <t>CHEMBL3246106</t>
  </si>
  <si>
    <t>CHEMBL3246118</t>
  </si>
  <si>
    <t>CHEMBL3250867</t>
  </si>
  <si>
    <t>CHEMBL3264811</t>
  </si>
  <si>
    <t>CHEMBL328127</t>
  </si>
  <si>
    <t>CHEMBL3286748</t>
  </si>
  <si>
    <t>CHEMBL3288766</t>
  </si>
  <si>
    <t>CHEMBL3289438</t>
  </si>
  <si>
    <t>CHEMBL330061</t>
  </si>
  <si>
    <t>CHEMBL330792</t>
  </si>
  <si>
    <t>CHEMBL3314415</t>
  </si>
  <si>
    <t>CHEMBL3323265</t>
  </si>
  <si>
    <t>CHEMBL3326016</t>
  </si>
  <si>
    <t>CHEMBL3326880</t>
  </si>
  <si>
    <t>CHEMBL3329851</t>
  </si>
  <si>
    <t>CHEMBL333982</t>
  </si>
  <si>
    <t>CHEMBL3343918</t>
  </si>
  <si>
    <t>CHEMBL3344125</t>
  </si>
  <si>
    <t>CHEMBL3344129</t>
  </si>
  <si>
    <t>CHEMBL3347629</t>
  </si>
  <si>
    <t>CHEMBL3354018</t>
  </si>
  <si>
    <t>CHEMBL335651</t>
  </si>
  <si>
    <t>CHEMBL335696</t>
  </si>
  <si>
    <t>CHEMBL3394753</t>
  </si>
  <si>
    <t>CHEMBL3400269</t>
  </si>
  <si>
    <t>CHEMBL3415425</t>
  </si>
  <si>
    <t>CHEMBL3417153</t>
  </si>
  <si>
    <t>CHEMBL3417576</t>
  </si>
  <si>
    <t>CHEMBL3422190</t>
  </si>
  <si>
    <t>CHEMBL3426551</t>
  </si>
  <si>
    <t>CHEMBL346594</t>
  </si>
  <si>
    <t>CHEMBL346879</t>
  </si>
  <si>
    <t>CHEMBL348352</t>
  </si>
  <si>
    <t>CHEMBL349347</t>
  </si>
  <si>
    <t>CHEMBL352172</t>
  </si>
  <si>
    <t>CHEMBL355281</t>
  </si>
  <si>
    <t>CHEMBL355317</t>
  </si>
  <si>
    <t>CHEMBL3559469</t>
  </si>
  <si>
    <t>CHEMBL3581613</t>
  </si>
  <si>
    <t>CHEMBL3593737</t>
  </si>
  <si>
    <t>CHEMBL3594154</t>
  </si>
  <si>
    <t>CHEMBL3594368</t>
  </si>
  <si>
    <t>CHEMBL3596251</t>
  </si>
  <si>
    <t>CHEMBL3603978</t>
  </si>
  <si>
    <t>CHEMBL360496</t>
  </si>
  <si>
    <t>CHEMBL3612632</t>
  </si>
  <si>
    <t>CHEMBL3622475</t>
  </si>
  <si>
    <t>CHEMBL3633112</t>
  </si>
  <si>
    <t>CHEMBL3633118</t>
  </si>
  <si>
    <t>CHEMBL3633125</t>
  </si>
  <si>
    <t>CHEMBL364897</t>
  </si>
  <si>
    <t>CHEMBL3649667</t>
  </si>
  <si>
    <t>CHEMBL366392</t>
  </si>
  <si>
    <t>CHEMBL3676925</t>
  </si>
  <si>
    <t>CHEMBL3728581</t>
  </si>
  <si>
    <t>CHEMBL3736171</t>
  </si>
  <si>
    <t>CHEMBL3739429</t>
  </si>
  <si>
    <t>CHEMBL3740116</t>
  </si>
  <si>
    <t>CHEMBL3740960</t>
  </si>
  <si>
    <t>CHEMBL375362</t>
  </si>
  <si>
    <t>CHEMBL3770648</t>
  </si>
  <si>
    <t>CHEMBL3771187</t>
  </si>
  <si>
    <t>CHEMBL3775335</t>
  </si>
  <si>
    <t>CHEMBL3775410</t>
  </si>
  <si>
    <t>CHEMBL3799176</t>
  </si>
  <si>
    <t>CHEMBL3800431</t>
  </si>
  <si>
    <t>CHEMBL380353</t>
  </si>
  <si>
    <t>CHEMBL380391</t>
  </si>
  <si>
    <t>CHEMBL3805631</t>
  </si>
  <si>
    <t>CHEMBL384335</t>
  </si>
  <si>
    <t>CHEMBL385174</t>
  </si>
  <si>
    <t>CHEMBL3891759</t>
  </si>
  <si>
    <t>CHEMBL3900731</t>
  </si>
  <si>
    <t>CHEMBL3902325</t>
  </si>
  <si>
    <t>CHEMBL39079</t>
  </si>
  <si>
    <t>CHEMBL3909375</t>
  </si>
  <si>
    <t>CHEMBL3913402</t>
  </si>
  <si>
    <t>CHEMBL3916998</t>
  </si>
  <si>
    <t>CHEMBL3921478</t>
  </si>
  <si>
    <t>CHEMBL3930753</t>
  </si>
  <si>
    <t>CHEMBL3940825</t>
  </si>
  <si>
    <t>CHEMBL3947297</t>
  </si>
  <si>
    <t>CHEMBL3960679</t>
  </si>
  <si>
    <t>CHEMBL3963326</t>
  </si>
  <si>
    <t>CHEMBL396893</t>
  </si>
  <si>
    <t>CHEMBL397061</t>
  </si>
  <si>
    <t>CHEMBL397877</t>
  </si>
  <si>
    <t>CHEMBL3985613</t>
  </si>
  <si>
    <t>CHEMBL3989741</t>
  </si>
  <si>
    <t>CHEMBL401904</t>
  </si>
  <si>
    <t>CHEMBL4060305</t>
  </si>
  <si>
    <t>CHEMBL4061332</t>
  </si>
  <si>
    <t>CHEMBL4061557</t>
  </si>
  <si>
    <t>CHEMBL4062702</t>
  </si>
  <si>
    <t>CHEMBL4065289</t>
  </si>
  <si>
    <t>CHEMBL4069419</t>
  </si>
  <si>
    <t>CHEMBL4069990</t>
  </si>
  <si>
    <t>CHEMBL4072674</t>
  </si>
  <si>
    <t>CHEMBL4074522</t>
  </si>
  <si>
    <t>CHEMBL4076817</t>
  </si>
  <si>
    <t>CHEMBL4078204</t>
  </si>
  <si>
    <t>CHEMBL4078827</t>
  </si>
  <si>
    <t>CHEMBL4081399</t>
  </si>
  <si>
    <t>CHEMBL4083089</t>
  </si>
  <si>
    <t>CHEMBL4085208</t>
  </si>
  <si>
    <t>CHEMBL4085370</t>
  </si>
  <si>
    <t>CHEMBL4085627</t>
  </si>
  <si>
    <t>CHEMBL4088432</t>
  </si>
  <si>
    <t>CHEMBL4090532</t>
  </si>
  <si>
    <t>CHEMBL409059</t>
  </si>
  <si>
    <t>CHEMBL409073</t>
  </si>
  <si>
    <t>CHEMBL4096254</t>
  </si>
  <si>
    <t>CHEMBL4097526</t>
  </si>
  <si>
    <t>CHEMBL4097737</t>
  </si>
  <si>
    <t>CHEMBL409789</t>
  </si>
  <si>
    <t>CHEMBL4098378</t>
  </si>
  <si>
    <t>CHEMBL410271</t>
  </si>
  <si>
    <t>CHEMBL4103141</t>
  </si>
  <si>
    <t>CHEMBL4115175</t>
  </si>
  <si>
    <t>CHEMBL4126992</t>
  </si>
  <si>
    <t>CHEMBL4128450</t>
  </si>
  <si>
    <t>CHEMBL4128742</t>
  </si>
  <si>
    <t>CHEMBL414383</t>
  </si>
  <si>
    <t>CHEMBL4159665</t>
  </si>
  <si>
    <t>CHEMBL4160569</t>
  </si>
  <si>
    <t>CHEMBL4163184</t>
  </si>
  <si>
    <t>CHEMBL4163785</t>
  </si>
  <si>
    <t>CHEMBL4164244</t>
  </si>
  <si>
    <t>CHEMBL4165662</t>
  </si>
  <si>
    <t>CHEMBL4169749</t>
  </si>
  <si>
    <t>CHEMBL4172117</t>
  </si>
  <si>
    <t>CHEMBL4173168</t>
  </si>
  <si>
    <t>CHEMBL418412</t>
  </si>
  <si>
    <t>CHEMBL41955</t>
  </si>
  <si>
    <t>CHEMBL4206354</t>
  </si>
  <si>
    <t>CHEMBL4207522</t>
  </si>
  <si>
    <t>CHEMBL4211360</t>
  </si>
  <si>
    <t>CHEMBL4211786</t>
  </si>
  <si>
    <t>CHEMBL4214255</t>
  </si>
  <si>
    <t>CHEMBL4216283</t>
  </si>
  <si>
    <t>CHEMBL4217641</t>
  </si>
  <si>
    <t>CHEMBL4225520</t>
  </si>
  <si>
    <t>CHEMBL423262</t>
  </si>
  <si>
    <t>CHEMBL4288441</t>
  </si>
  <si>
    <t>CHEMBL4291399</t>
  </si>
  <si>
    <t>CHEMBL4292083</t>
  </si>
  <si>
    <t>CHEMBL4294633</t>
  </si>
  <si>
    <t>CHEMBL4294650</t>
  </si>
  <si>
    <t>CHEMBL4302044</t>
  </si>
  <si>
    <t>CHEMBL430764</t>
  </si>
  <si>
    <t>CHEMBL431595</t>
  </si>
  <si>
    <t>CHEMBL43504</t>
  </si>
  <si>
    <t>CHEMBL436165</t>
  </si>
  <si>
    <t>CHEMBL437944</t>
  </si>
  <si>
    <t>CHEMBL438206</t>
  </si>
  <si>
    <t>CHEMBL438496</t>
  </si>
  <si>
    <t>CHEMBL441694</t>
  </si>
  <si>
    <t>CHEMBL442812</t>
  </si>
  <si>
    <t>CHEMBL4435787</t>
  </si>
  <si>
    <t>CHEMBL4438205</t>
  </si>
  <si>
    <t>CHEMBL4438410</t>
  </si>
  <si>
    <t>CHEMBL4439642</t>
  </si>
  <si>
    <t>CHEMBL444177</t>
  </si>
  <si>
    <t>CHEMBL4443755</t>
  </si>
  <si>
    <t>CHEMBL4449083</t>
  </si>
  <si>
    <t>CHEMBL4450530</t>
  </si>
  <si>
    <t>CHEMBL4451505</t>
  </si>
  <si>
    <t>CHEMBL4453165</t>
  </si>
  <si>
    <t>CHEMBL4453500</t>
  </si>
  <si>
    <t>CHEMBL4453905</t>
  </si>
  <si>
    <t>CHEMBL44556</t>
  </si>
  <si>
    <t>CHEMBL4460674</t>
  </si>
  <si>
    <t>CHEMBL446165</t>
  </si>
  <si>
    <t>CHEMBL4466824</t>
  </si>
  <si>
    <t>CHEMBL4467013</t>
  </si>
  <si>
    <t>CHEMBL446728</t>
  </si>
  <si>
    <t>CHEMBL4468530</t>
  </si>
  <si>
    <t>CHEMBL4471427</t>
  </si>
  <si>
    <t>CHEMBL447702</t>
  </si>
  <si>
    <t>CHEMBL448031</t>
  </si>
  <si>
    <t>CHEMBL448279</t>
  </si>
  <si>
    <t>CHEMBL448386</t>
  </si>
  <si>
    <t>CHEMBL449156</t>
  </si>
  <si>
    <t>CHEMBL449281</t>
  </si>
  <si>
    <t>CHEMBL449494</t>
  </si>
  <si>
    <t>CHEMBL449580</t>
  </si>
  <si>
    <t>CHEMBL450399</t>
  </si>
  <si>
    <t>CHEMBL4513916</t>
  </si>
  <si>
    <t>CHEMBL451959</t>
  </si>
  <si>
    <t>CHEMBL4520648</t>
  </si>
  <si>
    <t>CHEMBL452939</t>
  </si>
  <si>
    <t>CHEMBL4530441</t>
  </si>
  <si>
    <t>CHEMBL4531654</t>
  </si>
  <si>
    <t>CHEMBL453482</t>
  </si>
  <si>
    <t>CHEMBL4534891</t>
  </si>
  <si>
    <t>CHEMBL4539732</t>
  </si>
  <si>
    <t>CHEMBL4541004</t>
  </si>
  <si>
    <t>CHEMBL454218</t>
  </si>
  <si>
    <t>CHEMBL4544378</t>
  </si>
  <si>
    <t>CHEMBL4551298</t>
  </si>
  <si>
    <t>CHEMBL4552097</t>
  </si>
  <si>
    <t>CHEMBL4552633</t>
  </si>
  <si>
    <t>CHEMBL4555818</t>
  </si>
  <si>
    <t>CHEMBL455821</t>
  </si>
  <si>
    <t>CHEMBL4558323</t>
  </si>
  <si>
    <t>CHEMBL455836</t>
  </si>
  <si>
    <t>CHEMBL4559477</t>
  </si>
  <si>
    <t>CHEMBL456019</t>
  </si>
  <si>
    <t>CHEMBL4568437</t>
  </si>
  <si>
    <t>CHEMBL456886</t>
  </si>
  <si>
    <t>CHEMBL4574608</t>
  </si>
  <si>
    <t>CHEMBL4578255</t>
  </si>
  <si>
    <t>CHEMBL4582936</t>
  </si>
  <si>
    <t>CHEMBL4585751</t>
  </si>
  <si>
    <t>CHEMBL4586587</t>
  </si>
  <si>
    <t>CHEMBL458721</t>
  </si>
  <si>
    <t>CHEMBL4588547</t>
  </si>
  <si>
    <t>CHEMBL465965</t>
  </si>
  <si>
    <t>CHEMBL46598</t>
  </si>
  <si>
    <t>CHEMBL468456</t>
  </si>
  <si>
    <t>CHEMBL46848</t>
  </si>
  <si>
    <t>CHEMBL471911</t>
  </si>
  <si>
    <t>CHEMBL474921</t>
  </si>
  <si>
    <t>CHEMBL476957</t>
  </si>
  <si>
    <t>CHEMBL48591</t>
  </si>
  <si>
    <t>CHEMBL486259</t>
  </si>
  <si>
    <t>CHEMBL489990</t>
  </si>
  <si>
    <t>CHEMBL49150</t>
  </si>
  <si>
    <t>CHEMBL495949</t>
  </si>
  <si>
    <t>CHEMBL499222</t>
  </si>
  <si>
    <t>CHEMBL499490</t>
  </si>
  <si>
    <t>CHEMBL50002</t>
  </si>
  <si>
    <t>CHEMBL500560</t>
  </si>
  <si>
    <t>CHEMBL500594</t>
  </si>
  <si>
    <t>CHEMBL500981</t>
  </si>
  <si>
    <t>CHEMBL501652</t>
  </si>
  <si>
    <t>CHEMBL501760</t>
  </si>
  <si>
    <t>CHEMBL502314</t>
  </si>
  <si>
    <t>CHEMBL502702</t>
  </si>
  <si>
    <t>CHEMBL503753</t>
  </si>
  <si>
    <t>CHEMBL504976</t>
  </si>
  <si>
    <t>CHEMBL505376</t>
  </si>
  <si>
    <t>CHEMBL505791</t>
  </si>
  <si>
    <t>CHEMBL506181</t>
  </si>
  <si>
    <t>CHEMBL508571</t>
  </si>
  <si>
    <t>CHEMBL509910</t>
  </si>
  <si>
    <t>CHEMBL510810</t>
  </si>
  <si>
    <t>CHEMBL510977</t>
  </si>
  <si>
    <t>CHEMBL523599</t>
  </si>
  <si>
    <t>CHEMBL524238</t>
  </si>
  <si>
    <t>CHEMBL525449</t>
  </si>
  <si>
    <t>CHEMBL526068</t>
  </si>
  <si>
    <t>CHEMBL526736</t>
  </si>
  <si>
    <t>CHEMBL52699</t>
  </si>
  <si>
    <t>CHEMBL527091</t>
  </si>
  <si>
    <t>CHEMBL528735</t>
  </si>
  <si>
    <t>CHEMBL531193</t>
  </si>
  <si>
    <t>CHEMBL532524</t>
  </si>
  <si>
    <t>CHEMBL534773</t>
  </si>
  <si>
    <t>CHEMBL537495</t>
  </si>
  <si>
    <t>CHEMBL537815</t>
  </si>
  <si>
    <t>CHEMBL53954</t>
  </si>
  <si>
    <t>CHEMBL546093</t>
  </si>
  <si>
    <t>CHEMBL546292</t>
  </si>
  <si>
    <t>CHEMBL552775</t>
  </si>
  <si>
    <t>CHEMBL553178</t>
  </si>
  <si>
    <t>CHEMBL55580</t>
  </si>
  <si>
    <t>CHEMBL555893</t>
  </si>
  <si>
    <t>CHEMBL556665</t>
  </si>
  <si>
    <t>CHEMBL557248</t>
  </si>
  <si>
    <t>CHEMBL557320</t>
  </si>
  <si>
    <t>CHEMBL558945</t>
  </si>
  <si>
    <t>CHEMBL559144</t>
  </si>
  <si>
    <t>CHEMBL561633</t>
  </si>
  <si>
    <t>CHEMBL57217</t>
  </si>
  <si>
    <t>CHEMBL588929</t>
  </si>
  <si>
    <t>CHEMBL61230</t>
  </si>
  <si>
    <t>CHEMBL62379</t>
  </si>
  <si>
    <t>CHEMBL68298</t>
  </si>
  <si>
    <t>CHEMBL70081</t>
  </si>
  <si>
    <t>CHEMBL82660</t>
  </si>
  <si>
    <t>CHEMBL85167</t>
  </si>
  <si>
    <t>CHEMBL8751</t>
  </si>
  <si>
    <t>CHEMBL99297</t>
  </si>
  <si>
    <t>CHEMBL99989</t>
  </si>
  <si>
    <t>CHEMBL1078707</t>
  </si>
  <si>
    <t>CHEMBL1829228</t>
  </si>
  <si>
    <t>CHEMBL1966207</t>
  </si>
  <si>
    <t>CHEMBL2004101</t>
  </si>
  <si>
    <t>CHEMBL2047221</t>
  </si>
  <si>
    <t>CHEMBL3594278</t>
  </si>
  <si>
    <t>CHEMBL4285120</t>
  </si>
  <si>
    <t>CHEMBL4288481</t>
  </si>
  <si>
    <t>CHEMBL439103</t>
  </si>
  <si>
    <t>CHEMBL453785</t>
  </si>
  <si>
    <t>CHEMBL501237</t>
  </si>
  <si>
    <t>CHEMBL502506</t>
  </si>
  <si>
    <t>CHEMBL508153</t>
  </si>
  <si>
    <t>CHEMBL44814</t>
  </si>
  <si>
    <t>CHEMBL1973380</t>
  </si>
  <si>
    <t>CHEMBL4299310</t>
  </si>
  <si>
    <t>CHEMBL507509</t>
  </si>
  <si>
    <t>CHEMBL2071312</t>
  </si>
  <si>
    <t>CHEMBL4299594</t>
  </si>
  <si>
    <t>CHEMBL4451126</t>
  </si>
  <si>
    <t>CHEMBL449950</t>
  </si>
  <si>
    <t>CHEMBL503778</t>
  </si>
  <si>
    <t>CHEMBL562646</t>
  </si>
  <si>
    <t>CHEMBL1098346</t>
  </si>
  <si>
    <t>CHEMBL2047212</t>
  </si>
  <si>
    <t>CHEMBL3792989</t>
  </si>
  <si>
    <t>CHEMBL433584</t>
  </si>
  <si>
    <t>CHEMBL554812</t>
  </si>
  <si>
    <t>CHEMBL1095344</t>
  </si>
  <si>
    <t>CHEMBL1978518</t>
  </si>
  <si>
    <t>CHEMBL274985</t>
  </si>
  <si>
    <t>CHEMBL3634270</t>
  </si>
  <si>
    <t>CHEMBL3634271</t>
  </si>
  <si>
    <t>CHEMBL3634272</t>
  </si>
  <si>
    <t>CHEMBL4075627</t>
  </si>
  <si>
    <t>CHEMBL4172973</t>
  </si>
  <si>
    <t>CHEMBL444107</t>
  </si>
  <si>
    <t>CHEMBL1910786</t>
  </si>
  <si>
    <t>CHEMBL1994250</t>
  </si>
  <si>
    <t>CHEMBL2442991</t>
  </si>
  <si>
    <t>CHEMBL3286747</t>
  </si>
  <si>
    <t>CHEMBL394975</t>
  </si>
  <si>
    <t>CHEMBL401800</t>
  </si>
  <si>
    <t>CHEMBL4439074</t>
  </si>
  <si>
    <t>CHEMBL444456</t>
  </si>
  <si>
    <t>CHEMBL525402</t>
  </si>
  <si>
    <t>CHEMBL3576925</t>
  </si>
  <si>
    <t>CHEMBL4070611</t>
  </si>
  <si>
    <t>CHEMBL4435316</t>
  </si>
  <si>
    <t>CHEMBL445998</t>
  </si>
  <si>
    <t>CHEMBL455276</t>
  </si>
  <si>
    <t>CHEMBL1171452</t>
  </si>
  <si>
    <t>CHEMBL1208200</t>
  </si>
  <si>
    <t>CHEMBL2058433</t>
  </si>
  <si>
    <t>CHEMBL408688</t>
  </si>
  <si>
    <t>CHEMBL4278460</t>
  </si>
  <si>
    <t>CHEMBL4278792</t>
  </si>
  <si>
    <t>CHEMBL450481</t>
  </si>
  <si>
    <t>CHEMBL498920</t>
  </si>
  <si>
    <t>CHEMBL3792942</t>
  </si>
  <si>
    <t>CHEMBL3793293</t>
  </si>
  <si>
    <t>CHEMBL1098347</t>
  </si>
  <si>
    <t>CHEMBL1917187</t>
  </si>
  <si>
    <t>CHEMBL1996769</t>
  </si>
  <si>
    <t>CHEMBL501032</t>
  </si>
  <si>
    <t>CHEMBL524337</t>
  </si>
  <si>
    <t>CHEMBL525992</t>
  </si>
  <si>
    <t>CHEMBL1289057</t>
  </si>
  <si>
    <t>CHEMBL132818</t>
  </si>
  <si>
    <t>CHEMBL1330356</t>
  </si>
  <si>
    <t>CHEMBL1334213</t>
  </si>
  <si>
    <t>CHEMBL1352606</t>
  </si>
  <si>
    <t>CHEMBL1356949</t>
  </si>
  <si>
    <t>CHEMBL1358645</t>
  </si>
  <si>
    <t>CHEMBL1364166</t>
  </si>
  <si>
    <t>CHEMBL1367996</t>
  </si>
  <si>
    <t>CHEMBL1368958</t>
  </si>
  <si>
    <t>CHEMBL1393146</t>
  </si>
  <si>
    <t>CHEMBL1408022</t>
  </si>
  <si>
    <t>CHEMBL1439690</t>
  </si>
  <si>
    <t>CHEMBL1517893</t>
  </si>
  <si>
    <t>CHEMBL1562370</t>
  </si>
  <si>
    <t>CHEMBL1580294</t>
  </si>
  <si>
    <t>CHEMBL1773117</t>
  </si>
  <si>
    <t>CHEMBL1797935</t>
  </si>
  <si>
    <t>CHEMBL1809001</t>
  </si>
  <si>
    <t>CHEMBL2031707</t>
  </si>
  <si>
    <t>CHEMBL2071535</t>
  </si>
  <si>
    <t>CHEMBL2071538</t>
  </si>
  <si>
    <t>CHEMBL213527</t>
  </si>
  <si>
    <t>CHEMBL2158076</t>
  </si>
  <si>
    <t>CHEMBL216037</t>
  </si>
  <si>
    <t>CHEMBL2203618</t>
  </si>
  <si>
    <t>CHEMBL2313414</t>
  </si>
  <si>
    <t>CHEMBL2361416</t>
  </si>
  <si>
    <t>CHEMBL2449465</t>
  </si>
  <si>
    <t>CHEMBL252366</t>
  </si>
  <si>
    <t>CHEMBL298338</t>
  </si>
  <si>
    <t>CHEMBL300493</t>
  </si>
  <si>
    <t>CHEMBL3188050</t>
  </si>
  <si>
    <t>CHEMBL3219534</t>
  </si>
  <si>
    <t>CHEMBL3250226</t>
  </si>
  <si>
    <t>CHEMBL354322</t>
  </si>
  <si>
    <t>CHEMBL3589875</t>
  </si>
  <si>
    <t>CHEMBL3612084</t>
  </si>
  <si>
    <t>CHEMBL363550</t>
  </si>
  <si>
    <t>CHEMBL3654470</t>
  </si>
  <si>
    <t>CHEMBL39785</t>
  </si>
  <si>
    <t>CHEMBL3989684</t>
  </si>
  <si>
    <t>CHEMBL4089167</t>
  </si>
  <si>
    <t>CHEMBL411278</t>
  </si>
  <si>
    <t>CHEMBL417065</t>
  </si>
  <si>
    <t>CHEMBL4213505</t>
  </si>
  <si>
    <t>CHEMBL429279</t>
  </si>
  <si>
    <t>CHEMBL455367</t>
  </si>
  <si>
    <t>CHEMBL462593</t>
  </si>
  <si>
    <t>CHEMBL470542</t>
  </si>
  <si>
    <t>CHEMBL477739</t>
  </si>
  <si>
    <t>CHEMBL531577</t>
  </si>
  <si>
    <t>CHEMBL532868</t>
  </si>
  <si>
    <t>CHEMBL53991</t>
  </si>
  <si>
    <t>CHEMBL599386</t>
  </si>
  <si>
    <t>CHEMBL101142</t>
  </si>
  <si>
    <t>CHEMBL102375</t>
  </si>
  <si>
    <t>CHEMBL103581</t>
  </si>
  <si>
    <t>CHEMBL107420</t>
  </si>
  <si>
    <t>CHEMBL1076873</t>
  </si>
  <si>
    <t>CHEMBL1077379</t>
  </si>
  <si>
    <t>CHEMBL1077380</t>
  </si>
  <si>
    <t>CHEMBL1078217</t>
  </si>
  <si>
    <t>CHEMBL1078650</t>
  </si>
  <si>
    <t>CHEMBL1085956</t>
  </si>
  <si>
    <t>CHEMBL1087128</t>
  </si>
  <si>
    <t>CHEMBL1093678</t>
  </si>
  <si>
    <t>CHEMBL1094680</t>
  </si>
  <si>
    <t>CHEMBL1096215</t>
  </si>
  <si>
    <t>CHEMBL1096573</t>
  </si>
  <si>
    <t>CHEMBL1097562</t>
  </si>
  <si>
    <t>CHEMBL113825</t>
  </si>
  <si>
    <t>CHEMBL115873</t>
  </si>
  <si>
    <t>CHEMBL1159574</t>
  </si>
  <si>
    <t>CHEMBL1159578</t>
  </si>
  <si>
    <t>CHEMBL1159580</t>
  </si>
  <si>
    <t>CHEMBL1160666</t>
  </si>
  <si>
    <t>CHEMBL1163033</t>
  </si>
  <si>
    <t>CHEMBL1170246</t>
  </si>
  <si>
    <t>CHEMBL1170701</t>
  </si>
  <si>
    <t>CHEMBL1172047</t>
  </si>
  <si>
    <t>CHEMBL117636</t>
  </si>
  <si>
    <t>CHEMBL1183008</t>
  </si>
  <si>
    <t>CHEMBL1185016</t>
  </si>
  <si>
    <t>CHEMBL1186082</t>
  </si>
  <si>
    <t>CHEMBL1188159</t>
  </si>
  <si>
    <t>CHEMBL1188212</t>
  </si>
  <si>
    <t>CHEMBL1188328</t>
  </si>
  <si>
    <t>CHEMBL1190061</t>
  </si>
  <si>
    <t>CHEMBL1190463</t>
  </si>
  <si>
    <t>CHEMBL1190957</t>
  </si>
  <si>
    <t>CHEMBL1196000</t>
  </si>
  <si>
    <t>CHEMBL1200686</t>
  </si>
  <si>
    <t>CHEMBL1200688</t>
  </si>
  <si>
    <t>CHEMBL1205566</t>
  </si>
  <si>
    <t>CHEMBL1205702</t>
  </si>
  <si>
    <t>CHEMBL1206429</t>
  </si>
  <si>
    <t>CHEMBL1206994</t>
  </si>
  <si>
    <t>CHEMBL1207521</t>
  </si>
  <si>
    <t>CHEMBL1207805</t>
  </si>
  <si>
    <t>CHEMBL1208145</t>
  </si>
  <si>
    <t>CHEMBL1208180</t>
  </si>
  <si>
    <t>CHEMBL1209884</t>
  </si>
  <si>
    <t>CHEMBL1214518</t>
  </si>
  <si>
    <t>CHEMBL122044</t>
  </si>
  <si>
    <t>CHEMBL122171</t>
  </si>
  <si>
    <t>CHEMBL122232</t>
  </si>
  <si>
    <t>CHEMBL12265</t>
  </si>
  <si>
    <t>CHEMBL122939</t>
  </si>
  <si>
    <t>CHEMBL1240892</t>
  </si>
  <si>
    <t>CHEMBL124379</t>
  </si>
  <si>
    <t>CHEMBL125108</t>
  </si>
  <si>
    <t>CHEMBL1256550</t>
  </si>
  <si>
    <t>CHEMBL125720</t>
  </si>
  <si>
    <t>CHEMBL12711</t>
  </si>
  <si>
    <t>CHEMBL1271632</t>
  </si>
  <si>
    <t>CHEMBL131506</t>
  </si>
  <si>
    <t>CHEMBL1324644</t>
  </si>
  <si>
    <t>CHEMBL134163</t>
  </si>
  <si>
    <t>CHEMBL135227</t>
  </si>
  <si>
    <t>CHEMBL135774</t>
  </si>
  <si>
    <t>CHEMBL13691</t>
  </si>
  <si>
    <t>CHEMBL1378306</t>
  </si>
  <si>
    <t>CHEMBL1417268</t>
  </si>
  <si>
    <t>CHEMBL1435210</t>
  </si>
  <si>
    <t>CHEMBL1439390</t>
  </si>
  <si>
    <t>CHEMBL1446029</t>
  </si>
  <si>
    <t>CHEMBL146789</t>
  </si>
  <si>
    <t>CHEMBL1503508</t>
  </si>
  <si>
    <t>CHEMBL154962</t>
  </si>
  <si>
    <t>CHEMBL156286</t>
  </si>
  <si>
    <t>CHEMBL1589191</t>
  </si>
  <si>
    <t>CHEMBL1592173</t>
  </si>
  <si>
    <t>CHEMBL1598539</t>
  </si>
  <si>
    <t>CHEMBL1627820</t>
  </si>
  <si>
    <t>CHEMBL1669153</t>
  </si>
  <si>
    <t>CHEMBL1672090</t>
  </si>
  <si>
    <t>CHEMBL1673367</t>
  </si>
  <si>
    <t>CHEMBL168304</t>
  </si>
  <si>
    <t>CHEMBL168322</t>
  </si>
  <si>
    <t>CHEMBL1702903</t>
  </si>
  <si>
    <t>CHEMBL170646</t>
  </si>
  <si>
    <t>CHEMBL170979</t>
  </si>
  <si>
    <t>CHEMBL171654</t>
  </si>
  <si>
    <t>CHEMBL173652</t>
  </si>
  <si>
    <t>CHEMBL1761986</t>
  </si>
  <si>
    <t>CHEMBL1778045</t>
  </si>
  <si>
    <t>CHEMBL1778046</t>
  </si>
  <si>
    <t>CHEMBL1782596</t>
  </si>
  <si>
    <t>CHEMBL1790514</t>
  </si>
  <si>
    <t>CHEMBL1791332</t>
  </si>
  <si>
    <t>CHEMBL1793905</t>
  </si>
  <si>
    <t>CHEMBL1793922</t>
  </si>
  <si>
    <t>CHEMBL1797014</t>
  </si>
  <si>
    <t>CHEMBL1802290</t>
  </si>
  <si>
    <t>CHEMBL1806661</t>
  </si>
  <si>
    <t>CHEMBL1807378</t>
  </si>
  <si>
    <t>CHEMBL1808236</t>
  </si>
  <si>
    <t>CHEMBL1813450</t>
  </si>
  <si>
    <t>CHEMBL1813451</t>
  </si>
  <si>
    <t>CHEMBL1813452</t>
  </si>
  <si>
    <t>CHEMBL1813876</t>
  </si>
  <si>
    <t>CHEMBL1813975</t>
  </si>
  <si>
    <t>CHEMBL183042</t>
  </si>
  <si>
    <t>CHEMBL183606</t>
  </si>
  <si>
    <t>CHEMBL1836742</t>
  </si>
  <si>
    <t>CHEMBL187415</t>
  </si>
  <si>
    <t>CHEMBL188388</t>
  </si>
  <si>
    <t>CHEMBL188704</t>
  </si>
  <si>
    <t>CHEMBL1904805</t>
  </si>
  <si>
    <t>CHEMBL1916176</t>
  </si>
  <si>
    <t>CHEMBL191645</t>
  </si>
  <si>
    <t>CHEMBL1922820</t>
  </si>
  <si>
    <t>CHEMBL192778</t>
  </si>
  <si>
    <t>CHEMBL193205</t>
  </si>
  <si>
    <t>CHEMBL1933211</t>
  </si>
  <si>
    <t>CHEMBL1933395</t>
  </si>
  <si>
    <t>CHEMBL1934128</t>
  </si>
  <si>
    <t>CHEMBL1935715</t>
  </si>
  <si>
    <t>CHEMBL1935724</t>
  </si>
  <si>
    <t>CHEMBL193715</t>
  </si>
  <si>
    <t>CHEMBL193737</t>
  </si>
  <si>
    <t>CHEMBL1938571</t>
  </si>
  <si>
    <t>CHEMBL1941169</t>
  </si>
  <si>
    <t>CHEMBL1947260</t>
  </si>
  <si>
    <t>CHEMBL1949793</t>
  </si>
  <si>
    <t>CHEMBL195655</t>
  </si>
  <si>
    <t>CHEMBL1966403</t>
  </si>
  <si>
    <t>CHEMBL1967526</t>
  </si>
  <si>
    <t>CHEMBL1968761</t>
  </si>
  <si>
    <t>CHEMBL1969478</t>
  </si>
  <si>
    <t>CHEMBL197278</t>
  </si>
  <si>
    <t>CHEMBL1972868</t>
  </si>
  <si>
    <t>CHEMBL1980441</t>
  </si>
  <si>
    <t>CHEMBL1986249</t>
  </si>
  <si>
    <t>CHEMBL1988265</t>
  </si>
  <si>
    <t>CHEMBL1991825</t>
  </si>
  <si>
    <t>CHEMBL1996305</t>
  </si>
  <si>
    <t>CHEMBL1997498</t>
  </si>
  <si>
    <t>CHEMBL200077</t>
  </si>
  <si>
    <t>CHEMBL2003464</t>
  </si>
  <si>
    <t>CHEMBL2023938</t>
  </si>
  <si>
    <t>CHEMBL2024315</t>
  </si>
  <si>
    <t>CHEMBL2028903</t>
  </si>
  <si>
    <t>CHEMBL2035988</t>
  </si>
  <si>
    <t>CHEMBL203809</t>
  </si>
  <si>
    <t>CHEMBL2049180</t>
  </si>
  <si>
    <t>CHEMBL206062</t>
  </si>
  <si>
    <t>CHEMBL2063562</t>
  </si>
  <si>
    <t>CHEMBL2064823</t>
  </si>
  <si>
    <t>CHEMBL206750</t>
  </si>
  <si>
    <t>CHEMBL2069099</t>
  </si>
  <si>
    <t>CHEMBL207651</t>
  </si>
  <si>
    <t>CHEMBL2087166</t>
  </si>
  <si>
    <t>CHEMBL20937</t>
  </si>
  <si>
    <t>CHEMBL209558</t>
  </si>
  <si>
    <t>CHEMBL2103839</t>
  </si>
  <si>
    <t>CHEMBL2104433</t>
  </si>
  <si>
    <t>CHEMBL2105100</t>
  </si>
  <si>
    <t>CHEMBL2112253</t>
  </si>
  <si>
    <t>CHEMBL2112315</t>
  </si>
  <si>
    <t>CHEMBL214479</t>
  </si>
  <si>
    <t>CHEMBL2146794</t>
  </si>
  <si>
    <t>CHEMBL2147465</t>
  </si>
  <si>
    <t>CHEMBL2152870</t>
  </si>
  <si>
    <t>CHEMBL2152891</t>
  </si>
  <si>
    <t>CHEMBL215358</t>
  </si>
  <si>
    <t>CHEMBL2165398</t>
  </si>
  <si>
    <t>CHEMBL216764</t>
  </si>
  <si>
    <t>CHEMBL2177129</t>
  </si>
  <si>
    <t>CHEMBL217855</t>
  </si>
  <si>
    <t>CHEMBL220235</t>
  </si>
  <si>
    <t>CHEMBL2205005</t>
  </si>
  <si>
    <t>CHEMBL2205267</t>
  </si>
  <si>
    <t>CHEMBL2205276</t>
  </si>
  <si>
    <t>CHEMBL2205319</t>
  </si>
  <si>
    <t>CHEMBL2207067</t>
  </si>
  <si>
    <t>CHEMBL2207069</t>
  </si>
  <si>
    <t>CHEMBL2207449</t>
  </si>
  <si>
    <t>CHEMBL2207452</t>
  </si>
  <si>
    <t>CHEMBL2207478</t>
  </si>
  <si>
    <t>CHEMBL2208290</t>
  </si>
  <si>
    <t>CHEMBL2208291</t>
  </si>
  <si>
    <t>CHEMBL2227746</t>
  </si>
  <si>
    <t>CHEMBL2228096</t>
  </si>
  <si>
    <t>CHEMBL224202</t>
  </si>
  <si>
    <t>CHEMBL2252509</t>
  </si>
  <si>
    <t>CHEMBL226427</t>
  </si>
  <si>
    <t>CHEMBL228507</t>
  </si>
  <si>
    <t>CHEMBL2289715</t>
  </si>
  <si>
    <t>CHEMBL2296003</t>
  </si>
  <si>
    <t>CHEMBL2303703</t>
  </si>
  <si>
    <t>CHEMBL2303711</t>
  </si>
  <si>
    <t>CHEMBL2303739</t>
  </si>
  <si>
    <t>CHEMBL2307816</t>
  </si>
  <si>
    <t>CHEMBL2312020</t>
  </si>
  <si>
    <t>CHEMBL2312408</t>
  </si>
  <si>
    <t>CHEMBL2314413</t>
  </si>
  <si>
    <t>CHEMBL2314415</t>
  </si>
  <si>
    <t>CHEMBL2324157</t>
  </si>
  <si>
    <t>CHEMBL2332224</t>
  </si>
  <si>
    <t>CHEMBL2332225</t>
  </si>
  <si>
    <t>CHEMBL2334010</t>
  </si>
  <si>
    <t>CHEMBL2336794</t>
  </si>
  <si>
    <t>CHEMBL234782</t>
  </si>
  <si>
    <t>CHEMBL235765</t>
  </si>
  <si>
    <t>CHEMBL236556</t>
  </si>
  <si>
    <t>CHEMBL236639</t>
  </si>
  <si>
    <t>CHEMBL236684</t>
  </si>
  <si>
    <t>CHEMBL2367519</t>
  </si>
  <si>
    <t>CHEMBL2367526</t>
  </si>
  <si>
    <t>CHEMBL2367736</t>
  </si>
  <si>
    <t>CHEMBL2368224</t>
  </si>
  <si>
    <t>CHEMBL2368269</t>
  </si>
  <si>
    <t>CHEMBL2368279</t>
  </si>
  <si>
    <t>CHEMBL2369010</t>
  </si>
  <si>
    <t>CHEMBL23732</t>
  </si>
  <si>
    <t>CHEMBL2373440</t>
  </si>
  <si>
    <t>CHEMBL2375485</t>
  </si>
  <si>
    <t>CHEMBL237886</t>
  </si>
  <si>
    <t>CHEMBL2380486</t>
  </si>
  <si>
    <t>CHEMBL2381688</t>
  </si>
  <si>
    <t>CHEMBL238261</t>
  </si>
  <si>
    <t>CHEMBL238369</t>
  </si>
  <si>
    <t>CHEMBL2391542</t>
  </si>
  <si>
    <t>CHEMBL239464</t>
  </si>
  <si>
    <t>CHEMBL240691</t>
  </si>
  <si>
    <t>CHEMBL2407822</t>
  </si>
  <si>
    <t>CHEMBL2408400</t>
  </si>
  <si>
    <t>CHEMBL2409080</t>
  </si>
  <si>
    <t>CHEMBL2409084</t>
  </si>
  <si>
    <t>CHEMBL2409090</t>
  </si>
  <si>
    <t>CHEMBL2409092</t>
  </si>
  <si>
    <t>CHEMBL241033</t>
  </si>
  <si>
    <t>CHEMBL2413279</t>
  </si>
  <si>
    <t>CHEMBL2417958</t>
  </si>
  <si>
    <t>CHEMBL2418092</t>
  </si>
  <si>
    <t>CHEMBL2426032</t>
  </si>
  <si>
    <t>CHEMBL2426441</t>
  </si>
  <si>
    <t>CHEMBL2448357</t>
  </si>
  <si>
    <t>CHEMBL2448363</t>
  </si>
  <si>
    <t>CHEMBL2448371</t>
  </si>
  <si>
    <t>CHEMBL246097</t>
  </si>
  <si>
    <t>CHEMBL246837</t>
  </si>
  <si>
    <t>CHEMBL251454</t>
  </si>
  <si>
    <t>CHEMBL252275</t>
  </si>
  <si>
    <t>CHEMBL253756</t>
  </si>
  <si>
    <t>CHEMBL260403</t>
  </si>
  <si>
    <t>CHEMBL263007</t>
  </si>
  <si>
    <t>CHEMBL263027</t>
  </si>
  <si>
    <t>CHEMBL265342</t>
  </si>
  <si>
    <t>CHEMBL265343</t>
  </si>
  <si>
    <t>CHEMBL265354</t>
  </si>
  <si>
    <t>CHEMBL267962</t>
  </si>
  <si>
    <t>CHEMBL268137</t>
  </si>
  <si>
    <t>CHEMBL26831</t>
  </si>
  <si>
    <t>CHEMBL269763</t>
  </si>
  <si>
    <t>CHEMBL274720</t>
  </si>
  <si>
    <t>CHEMBL278190</t>
  </si>
  <si>
    <t>CHEMBL281183</t>
  </si>
  <si>
    <t>CHEMBL285360</t>
  </si>
  <si>
    <t>CHEMBL287923</t>
  </si>
  <si>
    <t>CHEMBL289865</t>
  </si>
  <si>
    <t>CHEMBL290749</t>
  </si>
  <si>
    <t>CHEMBL294895</t>
  </si>
  <si>
    <t>CHEMBL295772</t>
  </si>
  <si>
    <t>CHEMBL295992</t>
  </si>
  <si>
    <t>CHEMBL296502</t>
  </si>
  <si>
    <t>CHEMBL296612</t>
  </si>
  <si>
    <t>CHEMBL296848</t>
  </si>
  <si>
    <t>CHEMBL297033</t>
  </si>
  <si>
    <t>CHEMBL297436</t>
  </si>
  <si>
    <t>CHEMBL29949</t>
  </si>
  <si>
    <t>CHEMBL301985</t>
  </si>
  <si>
    <t>CHEMBL3039509</t>
  </si>
  <si>
    <t>CHEMBL3040080</t>
  </si>
  <si>
    <t>CHEMBL306727</t>
  </si>
  <si>
    <t>CHEMBL3084351</t>
  </si>
  <si>
    <t>CHEMBL3085500</t>
  </si>
  <si>
    <t>CHEMBL3085527</t>
  </si>
  <si>
    <t>CHEMBL3086038</t>
  </si>
  <si>
    <t>CHEMBL3086596</t>
  </si>
  <si>
    <t>CHEMBL3086608</t>
  </si>
  <si>
    <t>CHEMBL309514</t>
  </si>
  <si>
    <t>CHEMBL309557</t>
  </si>
  <si>
    <t>CHEMBL3103077</t>
  </si>
  <si>
    <t>CHEMBL3103490</t>
  </si>
  <si>
    <t>CHEMBL3104845</t>
  </si>
  <si>
    <t>CHEMBL3104847</t>
  </si>
  <si>
    <t>CHEMBL3105015</t>
  </si>
  <si>
    <t>CHEMBL3105591</t>
  </si>
  <si>
    <t>CHEMBL3105597</t>
  </si>
  <si>
    <t>CHEMBL3105689</t>
  </si>
  <si>
    <t>CHEMBL311916</t>
  </si>
  <si>
    <t>CHEMBL312358</t>
  </si>
  <si>
    <t>CHEMBL312562</t>
  </si>
  <si>
    <t>CHEMBL3127845</t>
  </si>
  <si>
    <t>CHEMBL3128111</t>
  </si>
  <si>
    <t>CHEMBL3128130</t>
  </si>
  <si>
    <t>CHEMBL3142263</t>
  </si>
  <si>
    <t>CHEMBL3143166</t>
  </si>
  <si>
    <t>CHEMBL318097</t>
  </si>
  <si>
    <t>CHEMBL318340</t>
  </si>
  <si>
    <t>CHEMBL318354</t>
  </si>
  <si>
    <t>CHEMBL3183640</t>
  </si>
  <si>
    <t>CHEMBL3188458</t>
  </si>
  <si>
    <t>CHEMBL320662</t>
  </si>
  <si>
    <t>CHEMBL3215483</t>
  </si>
  <si>
    <t>CHEMBL3219586</t>
  </si>
  <si>
    <t>CHEMBL3219759</t>
  </si>
  <si>
    <t>CHEMBL3219763</t>
  </si>
  <si>
    <t>CHEMBL3221251</t>
  </si>
  <si>
    <t>CHEMBL3221253</t>
  </si>
  <si>
    <t>CHEMBL3221254</t>
  </si>
  <si>
    <t>CHEMBL3229028</t>
  </si>
  <si>
    <t>CHEMBL3236379</t>
  </si>
  <si>
    <t>CHEMBL3244432</t>
  </si>
  <si>
    <t>CHEMBL325303</t>
  </si>
  <si>
    <t>CHEMBL3265063</t>
  </si>
  <si>
    <t>CHEMBL327566</t>
  </si>
  <si>
    <t>CHEMBL328337</t>
  </si>
  <si>
    <t>CHEMBL3289049</t>
  </si>
  <si>
    <t>CHEMBL3291390</t>
  </si>
  <si>
    <t>CHEMBL3298809</t>
  </si>
  <si>
    <t>CHEMBL331166</t>
  </si>
  <si>
    <t>CHEMBL331303</t>
  </si>
  <si>
    <t>CHEMBL3314502</t>
  </si>
  <si>
    <t>CHEMBL3322657</t>
  </si>
  <si>
    <t>CHEMBL3323260</t>
  </si>
  <si>
    <t>CHEMBL3329351</t>
  </si>
  <si>
    <t>CHEMBL3329846</t>
  </si>
  <si>
    <t>CHEMBL3329849</t>
  </si>
  <si>
    <t>CHEMBL3329865</t>
  </si>
  <si>
    <t>CHEMBL3330353</t>
  </si>
  <si>
    <t>CHEMBL334264</t>
  </si>
  <si>
    <t>CHEMBL3344122</t>
  </si>
  <si>
    <t>CHEMBL3344123</t>
  </si>
  <si>
    <t>CHEMBL3344508</t>
  </si>
  <si>
    <t>CHEMBL3350040</t>
  </si>
  <si>
    <t>CHEMBL335238</t>
  </si>
  <si>
    <t>CHEMBL3353022</t>
  </si>
  <si>
    <t>CHEMBL3353024</t>
  </si>
  <si>
    <t>CHEMBL3353025</t>
  </si>
  <si>
    <t>CHEMBL3353026</t>
  </si>
  <si>
    <t>CHEMBL3353029</t>
  </si>
  <si>
    <t>CHEMBL3355567</t>
  </si>
  <si>
    <t>CHEMBL3360251</t>
  </si>
  <si>
    <t>CHEMBL3361298</t>
  </si>
  <si>
    <t>CHEMBL33771</t>
  </si>
  <si>
    <t>CHEMBL3403482</t>
  </si>
  <si>
    <t>CHEMBL3403683</t>
  </si>
  <si>
    <t>CHEMBL3403815</t>
  </si>
  <si>
    <t>CHEMBL3403820</t>
  </si>
  <si>
    <t>CHEMBL3408954</t>
  </si>
  <si>
    <t>CHEMBL3427608</t>
  </si>
  <si>
    <t>CHEMBL349585</t>
  </si>
  <si>
    <t>CHEMBL352382</t>
  </si>
  <si>
    <t>CHEMBL352967</t>
  </si>
  <si>
    <t>CHEMBL35703</t>
  </si>
  <si>
    <t>CHEMBL357218</t>
  </si>
  <si>
    <t>CHEMBL3581327</t>
  </si>
  <si>
    <t>CHEMBL3582242</t>
  </si>
  <si>
    <t>CHEMBL359156</t>
  </si>
  <si>
    <t>CHEMBL359323</t>
  </si>
  <si>
    <t>CHEMBL3600468</t>
  </si>
  <si>
    <t>CHEMBL3601943</t>
  </si>
  <si>
    <t>CHEMBL360685</t>
  </si>
  <si>
    <t>CHEMBL3617683</t>
  </si>
  <si>
    <t>CHEMBL3621558</t>
  </si>
  <si>
    <t>CHEMBL362946</t>
  </si>
  <si>
    <t>CHEMBL3634222</t>
  </si>
  <si>
    <t>CHEMBL363429</t>
  </si>
  <si>
    <t>CHEMBL3634687</t>
  </si>
  <si>
    <t>CHEMBL3639769</t>
  </si>
  <si>
    <t>CHEMBL364381</t>
  </si>
  <si>
    <t>CHEMBL366928</t>
  </si>
  <si>
    <t>CHEMBL367694</t>
  </si>
  <si>
    <t>CHEMBL3681893</t>
  </si>
  <si>
    <t>CHEMBL369428</t>
  </si>
  <si>
    <t>CHEMBL372869</t>
  </si>
  <si>
    <t>CHEMBL3736006</t>
  </si>
  <si>
    <t>CHEMBL3739899</t>
  </si>
  <si>
    <t>CHEMBL3740280</t>
  </si>
  <si>
    <t>CHEMBL3742109</t>
  </si>
  <si>
    <t>CHEMBL3742110</t>
  </si>
  <si>
    <t>CHEMBL3753685</t>
  </si>
  <si>
    <t>CHEMBL3758481</t>
  </si>
  <si>
    <t>CHEMBL3769450</t>
  </si>
  <si>
    <t>CHEMBL3771025</t>
  </si>
  <si>
    <t>CHEMBL3775978</t>
  </si>
  <si>
    <t>CHEMBL3799667</t>
  </si>
  <si>
    <t>CHEMBL3799886</t>
  </si>
  <si>
    <t>CHEMBL3800163</t>
  </si>
  <si>
    <t>CHEMBL381128</t>
  </si>
  <si>
    <t>CHEMBL3815091</t>
  </si>
  <si>
    <t>CHEMBL384338</t>
  </si>
  <si>
    <t>CHEMBL3896162</t>
  </si>
  <si>
    <t>CHEMBL390760</t>
  </si>
  <si>
    <t>CHEMBL3907850</t>
  </si>
  <si>
    <t>CHEMBL3910165</t>
  </si>
  <si>
    <t>CHEMBL3912292</t>
  </si>
  <si>
    <t>CHEMBL3915952</t>
  </si>
  <si>
    <t>CHEMBL3916519</t>
  </si>
  <si>
    <t>CHEMBL3918996</t>
  </si>
  <si>
    <t>CHEMBL391944</t>
  </si>
  <si>
    <t>CHEMBL3922150</t>
  </si>
  <si>
    <t>CHEMBL392239</t>
  </si>
  <si>
    <t>CHEMBL3936333</t>
  </si>
  <si>
    <t>CHEMBL3946765</t>
  </si>
  <si>
    <t>CHEMBL3958114</t>
  </si>
  <si>
    <t>CHEMBL3959135</t>
  </si>
  <si>
    <t>CHEMBL396090</t>
  </si>
  <si>
    <t>CHEMBL396894</t>
  </si>
  <si>
    <t>CHEMBL3969308</t>
  </si>
  <si>
    <t>CHEMBL3969371</t>
  </si>
  <si>
    <t>CHEMBL3972125</t>
  </si>
  <si>
    <t>CHEMBL397607</t>
  </si>
  <si>
    <t>CHEMBL398093</t>
  </si>
  <si>
    <t>CHEMBL3981020</t>
  </si>
  <si>
    <t>CHEMBL398285</t>
  </si>
  <si>
    <t>CHEMBL399112</t>
  </si>
  <si>
    <t>CHEMBL405056</t>
  </si>
  <si>
    <t>CHEMBL405432</t>
  </si>
  <si>
    <t>CHEMBL406116</t>
  </si>
  <si>
    <t>CHEMBL4062880</t>
  </si>
  <si>
    <t>CHEMBL4064880</t>
  </si>
  <si>
    <t>CHEMBL4066107</t>
  </si>
  <si>
    <t>CHEMBL4066781</t>
  </si>
  <si>
    <t>CHEMBL4067279</t>
  </si>
  <si>
    <t>CHEMBL4067779</t>
  </si>
  <si>
    <t>CHEMBL4071060</t>
  </si>
  <si>
    <t>CHEMBL4071705</t>
  </si>
  <si>
    <t>CHEMBL4074239</t>
  </si>
  <si>
    <t>CHEMBL4074425</t>
  </si>
  <si>
    <t>CHEMBL4076595</t>
  </si>
  <si>
    <t>CHEMBL4080160</t>
  </si>
  <si>
    <t>CHEMBL4082354</t>
  </si>
  <si>
    <t>CHEMBL4084140</t>
  </si>
  <si>
    <t>CHEMBL4084566</t>
  </si>
  <si>
    <t>CHEMBL408603</t>
  </si>
  <si>
    <t>CHEMBL4087228</t>
  </si>
  <si>
    <t>CHEMBL4088129</t>
  </si>
  <si>
    <t>CHEMBL4088531</t>
  </si>
  <si>
    <t>CHEMBL409061</t>
  </si>
  <si>
    <t>CHEMBL4094363</t>
  </si>
  <si>
    <t>CHEMBL4101533</t>
  </si>
  <si>
    <t>CHEMBL4102627</t>
  </si>
  <si>
    <t>CHEMBL4103955</t>
  </si>
  <si>
    <t>CHEMBL4106241</t>
  </si>
  <si>
    <t>CHEMBL412201</t>
  </si>
  <si>
    <t>CHEMBL4126347</t>
  </si>
  <si>
    <t>CHEMBL413332</t>
  </si>
  <si>
    <t>CHEMBL414322</t>
  </si>
  <si>
    <t>CHEMBL415896</t>
  </si>
  <si>
    <t>CHEMBL4159685</t>
  </si>
  <si>
    <t>CHEMBL4165712</t>
  </si>
  <si>
    <t>CHEMBL4176710</t>
  </si>
  <si>
    <t>CHEMBL4177254</t>
  </si>
  <si>
    <t>CHEMBL4203439</t>
  </si>
  <si>
    <t>CHEMBL4204496</t>
  </si>
  <si>
    <t>CHEMBL4204509</t>
  </si>
  <si>
    <t>CHEMBL4204881</t>
  </si>
  <si>
    <t>CHEMBL4205115</t>
  </si>
  <si>
    <t>CHEMBL4206995</t>
  </si>
  <si>
    <t>CHEMBL4209765</t>
  </si>
  <si>
    <t>CHEMBL4211097</t>
  </si>
  <si>
    <t>CHEMBL4213561</t>
  </si>
  <si>
    <t>CHEMBL4214574</t>
  </si>
  <si>
    <t>CHEMBL4216499</t>
  </si>
  <si>
    <t>CHEMBL4224992</t>
  </si>
  <si>
    <t>CHEMBL423562</t>
  </si>
  <si>
    <t>CHEMBL424601</t>
  </si>
  <si>
    <t>CHEMBL4246725</t>
  </si>
  <si>
    <t>CHEMBL4250638</t>
  </si>
  <si>
    <t>CHEMBL42581</t>
  </si>
  <si>
    <t>CHEMBL42666</t>
  </si>
  <si>
    <t>CHEMBL427972</t>
  </si>
  <si>
    <t>CHEMBL4285991</t>
  </si>
  <si>
    <t>CHEMBL4286588</t>
  </si>
  <si>
    <t>CHEMBL4296684</t>
  </si>
  <si>
    <t>CHEMBL4301747</t>
  </si>
  <si>
    <t>CHEMBL4301953</t>
  </si>
  <si>
    <t>CHEMBL4302667</t>
  </si>
  <si>
    <t>CHEMBL432503</t>
  </si>
  <si>
    <t>CHEMBL435186</t>
  </si>
  <si>
    <t>CHEMBL435354</t>
  </si>
  <si>
    <t>CHEMBL436063</t>
  </si>
  <si>
    <t>CHEMBL436711</t>
  </si>
  <si>
    <t>CHEMBL440735</t>
  </si>
  <si>
    <t>CHEMBL441588</t>
  </si>
  <si>
    <t>CHEMBL4436289</t>
  </si>
  <si>
    <t>CHEMBL443898</t>
  </si>
  <si>
    <t>CHEMBL4439637</t>
  </si>
  <si>
    <t>CHEMBL4441666</t>
  </si>
  <si>
    <t>CHEMBL4441975</t>
  </si>
  <si>
    <t>CHEMBL4442239</t>
  </si>
  <si>
    <t>CHEMBL4442942</t>
  </si>
  <si>
    <t>CHEMBL4444381</t>
  </si>
  <si>
    <t>CHEMBL444500</t>
  </si>
  <si>
    <t>CHEMBL4445161</t>
  </si>
  <si>
    <t>CHEMBL4446171</t>
  </si>
  <si>
    <t>CHEMBL444758</t>
  </si>
  <si>
    <t>CHEMBL4447903</t>
  </si>
  <si>
    <t>CHEMBL444952</t>
  </si>
  <si>
    <t>CHEMBL444964</t>
  </si>
  <si>
    <t>CHEMBL445020</t>
  </si>
  <si>
    <t>CHEMBL4453506</t>
  </si>
  <si>
    <t>CHEMBL4455949</t>
  </si>
  <si>
    <t>CHEMBL4456644</t>
  </si>
  <si>
    <t>CHEMBL445784</t>
  </si>
  <si>
    <t>CHEMBL4459340</t>
  </si>
  <si>
    <t>CHEMBL446010</t>
  </si>
  <si>
    <t>CHEMBL4462419</t>
  </si>
  <si>
    <t>CHEMBL4463025</t>
  </si>
  <si>
    <t>CHEMBL4463317</t>
  </si>
  <si>
    <t>CHEMBL446388</t>
  </si>
  <si>
    <t>CHEMBL4465989</t>
  </si>
  <si>
    <t>CHEMBL4466926</t>
  </si>
  <si>
    <t>CHEMBL4467040</t>
  </si>
  <si>
    <t>CHEMBL4467291</t>
  </si>
  <si>
    <t>CHEMBL446808</t>
  </si>
  <si>
    <t>CHEMBL4469383</t>
  </si>
  <si>
    <t>CHEMBL447004</t>
  </si>
  <si>
    <t>CHEMBL4472880</t>
  </si>
  <si>
    <t>CHEMBL4473281</t>
  </si>
  <si>
    <t>CHEMBL4473799</t>
  </si>
  <si>
    <t>CHEMBL4474329</t>
  </si>
  <si>
    <t>CHEMBL4474631</t>
  </si>
  <si>
    <t>CHEMBL4476800</t>
  </si>
  <si>
    <t>CHEMBL447893</t>
  </si>
  <si>
    <t>CHEMBL4483403</t>
  </si>
  <si>
    <t>CHEMBL448367</t>
  </si>
  <si>
    <t>CHEMBL450129</t>
  </si>
  <si>
    <t>CHEMBL450139</t>
  </si>
  <si>
    <t>CHEMBL450372</t>
  </si>
  <si>
    <t>CHEMBL450789</t>
  </si>
  <si>
    <t>CHEMBL451530</t>
  </si>
  <si>
    <t>CHEMBL4519036</t>
  </si>
  <si>
    <t>CHEMBL452647</t>
  </si>
  <si>
    <t>CHEMBL452712</t>
  </si>
  <si>
    <t>CHEMBL4532795</t>
  </si>
  <si>
    <t>CHEMBL4540714</t>
  </si>
  <si>
    <t>CHEMBL4542633</t>
  </si>
  <si>
    <t>CHEMBL4545498</t>
  </si>
  <si>
    <t>CHEMBL4546526</t>
  </si>
  <si>
    <t>CHEMBL455294</t>
  </si>
  <si>
    <t>CHEMBL455295</t>
  </si>
  <si>
    <t>CHEMBL4556455</t>
  </si>
  <si>
    <t>CHEMBL4560269</t>
  </si>
  <si>
    <t>CHEMBL4563209</t>
  </si>
  <si>
    <t>CHEMBL456335</t>
  </si>
  <si>
    <t>CHEMBL4564544</t>
  </si>
  <si>
    <t>CHEMBL4567922</t>
  </si>
  <si>
    <t>CHEMBL4572333</t>
  </si>
  <si>
    <t>CHEMBL4572551</t>
  </si>
  <si>
    <t>CHEMBL457509</t>
  </si>
  <si>
    <t>CHEMBL4576880</t>
  </si>
  <si>
    <t>CHEMBL4577821</t>
  </si>
  <si>
    <t>CHEMBL4584478</t>
  </si>
  <si>
    <t>CHEMBL458960</t>
  </si>
  <si>
    <t>CHEMBL4591064</t>
  </si>
  <si>
    <t>CHEMBL460857</t>
  </si>
  <si>
    <t>CHEMBL46271</t>
  </si>
  <si>
    <t>CHEMBL465496</t>
  </si>
  <si>
    <t>CHEMBL466535</t>
  </si>
  <si>
    <t>CHEMBL473889</t>
  </si>
  <si>
    <t>CHEMBL47411</t>
  </si>
  <si>
    <t>CHEMBL482587</t>
  </si>
  <si>
    <t>CHEMBL486959</t>
  </si>
  <si>
    <t>CHEMBL488725</t>
  </si>
  <si>
    <t>CHEMBL490523</t>
  </si>
  <si>
    <t>CHEMBL498338</t>
  </si>
  <si>
    <t>CHEMBL499104</t>
  </si>
  <si>
    <t>CHEMBL500908</t>
  </si>
  <si>
    <t>CHEMBL501153</t>
  </si>
  <si>
    <t>CHEMBL503694</t>
  </si>
  <si>
    <t>CHEMBL505149</t>
  </si>
  <si>
    <t>CHEMBL505385</t>
  </si>
  <si>
    <t>CHEMBL505832</t>
  </si>
  <si>
    <t>CHEMBL505925</t>
  </si>
  <si>
    <t>CHEMBL506208</t>
  </si>
  <si>
    <t>CHEMBL506403</t>
  </si>
  <si>
    <t>CHEMBL506466</t>
  </si>
  <si>
    <t>CHEMBL506509</t>
  </si>
  <si>
    <t>CHEMBL506524</t>
  </si>
  <si>
    <t>CHEMBL506708</t>
  </si>
  <si>
    <t>CHEMBL506737</t>
  </si>
  <si>
    <t>CHEMBL506837</t>
  </si>
  <si>
    <t>CHEMBL507410</t>
  </si>
  <si>
    <t>CHEMBL507910</t>
  </si>
  <si>
    <t>CHEMBL508202</t>
  </si>
  <si>
    <t>CHEMBL509848</t>
  </si>
  <si>
    <t>CHEMBL509942</t>
  </si>
  <si>
    <t>CHEMBL510400</t>
  </si>
  <si>
    <t>CHEMBL510775</t>
  </si>
  <si>
    <t>CHEMBL510912</t>
  </si>
  <si>
    <t>CHEMBL51522</t>
  </si>
  <si>
    <t>CHEMBL526417</t>
  </si>
  <si>
    <t>CHEMBL526585</t>
  </si>
  <si>
    <t>CHEMBL531311</t>
  </si>
  <si>
    <t>CHEMBL531676</t>
  </si>
  <si>
    <t>CHEMBL534235</t>
  </si>
  <si>
    <t>CHEMBL534532</t>
  </si>
  <si>
    <t>CHEMBL535419</t>
  </si>
  <si>
    <t>CHEMBL535661</t>
  </si>
  <si>
    <t>CHEMBL536645</t>
  </si>
  <si>
    <t>CHEMBL538423</t>
  </si>
  <si>
    <t>CHEMBL540114</t>
  </si>
  <si>
    <t>CHEMBL541907</t>
  </si>
  <si>
    <t>CHEMBL543465</t>
  </si>
  <si>
    <t>CHEMBL545985</t>
  </si>
  <si>
    <t>CHEMBL546684</t>
  </si>
  <si>
    <t>CHEMBL548715</t>
  </si>
  <si>
    <t>CHEMBL552054</t>
  </si>
  <si>
    <t>CHEMBL554265</t>
  </si>
  <si>
    <t>CHEMBL555892</t>
  </si>
  <si>
    <t>CHEMBL555971</t>
  </si>
  <si>
    <t>CHEMBL557039</t>
  </si>
  <si>
    <t>CHEMBL558488</t>
  </si>
  <si>
    <t>CHEMBL558544</t>
  </si>
  <si>
    <t>CHEMBL562784</t>
  </si>
  <si>
    <t>CHEMBL562963</t>
  </si>
  <si>
    <t>CHEMBL569464</t>
  </si>
  <si>
    <t>CHEMBL571985</t>
  </si>
  <si>
    <t>CHEMBL578914</t>
  </si>
  <si>
    <t>CHEMBL587796</t>
  </si>
  <si>
    <t>CHEMBL592142</t>
  </si>
  <si>
    <t>CHEMBL592143</t>
  </si>
  <si>
    <t>CHEMBL595660</t>
  </si>
  <si>
    <t>CHEMBL603055</t>
  </si>
  <si>
    <t>CHEMBL608119</t>
  </si>
  <si>
    <t>CHEMBL69624</t>
  </si>
  <si>
    <t>CHEMBL74200</t>
  </si>
  <si>
    <t>CHEMBL80958</t>
  </si>
  <si>
    <t>CHEMBL87109</t>
  </si>
  <si>
    <t>CHEMBL8838</t>
  </si>
  <si>
    <t>CHEMBL9118</t>
  </si>
  <si>
    <t>CHEMBL9248</t>
  </si>
  <si>
    <t>CHEMBL92913</t>
  </si>
  <si>
    <t>CHEMBL95299</t>
  </si>
  <si>
    <t>CHEMBL98096</t>
  </si>
  <si>
    <t>CHEMBL3302247</t>
  </si>
  <si>
    <t>CHEMBL1652621</t>
  </si>
  <si>
    <t>CHEMBL516472</t>
  </si>
  <si>
    <t>Druglikeness (QED Weighted)</t>
  </si>
  <si>
    <r>
      <rPr>
        <b/>
        <sz val="11"/>
        <color theme="1"/>
        <rFont val="Calibri"/>
        <family val="2"/>
      </rPr>
      <t>S3D Data</t>
    </r>
    <r>
      <rPr>
        <sz val="11"/>
        <color theme="1"/>
        <rFont val="Calibri"/>
        <family val="2"/>
      </rPr>
      <t>. Histogram of predicted antichlamydial hits from a virtual screen of the ChEMBL database. Data are displayed in Fig 2D.</t>
    </r>
  </si>
  <si>
    <r>
      <rPr>
        <b/>
        <sz val="11"/>
        <color theme="1"/>
        <rFont val="Calibri"/>
        <family val="2"/>
      </rPr>
      <t>S3H Data.</t>
    </r>
    <r>
      <rPr>
        <sz val="11"/>
        <color theme="1"/>
        <rFont val="Calibri"/>
        <family val="2"/>
      </rPr>
      <t xml:space="preserve"> The 25 experimentally tested compounds from the virtual screen, tested at eleven concentrations in triplicate. A part of the data is displayed in Fig 2G.</t>
    </r>
  </si>
  <si>
    <r>
      <rPr>
        <b/>
        <sz val="11"/>
        <color theme="1"/>
        <rFont val="Calibri"/>
        <family val="2"/>
      </rPr>
      <t>S3I Data.</t>
    </r>
    <r>
      <rPr>
        <sz val="11"/>
        <color theme="1"/>
        <rFont val="Calibri"/>
        <family val="2"/>
      </rPr>
      <t xml:space="preserve"> Quantitative PCR-based validation of antichlamydial activity of selected compounds identified through virtual screening. Data are displayed in Fig 2G.</t>
    </r>
  </si>
  <si>
    <r>
      <rPr>
        <b/>
        <sz val="11"/>
        <color theme="1"/>
        <rFont val="Calibri"/>
        <family val="2"/>
      </rPr>
      <t>S3E Data.</t>
    </r>
    <r>
      <rPr>
        <sz val="11"/>
        <color theme="1"/>
        <rFont val="Calibri"/>
        <family val="2"/>
      </rPr>
      <t xml:space="preserve"> Maximal structural similarity to known antibiotics (Tanimoto coefficients) and quantitative estimate of druglikeness (QED) of the filtered hits. Data are displayed in Fig 2E.</t>
    </r>
  </si>
  <si>
    <r>
      <rPr>
        <b/>
        <sz val="11"/>
        <color theme="1"/>
        <rFont val="Calibri"/>
        <family val="2"/>
      </rPr>
      <t xml:space="preserve">S3C Data. </t>
    </r>
    <r>
      <rPr>
        <sz val="11"/>
        <color theme="1"/>
        <rFont val="Calibri"/>
        <family val="2"/>
      </rPr>
      <t>PRC-AUC plot showing the performance of the model after training. Data are displayed in Fig 2C.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</si>
</sst>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rgb="FF00B0F0"/>
      <name val="Calibri"/>
      <family val="2"/>
    </font>
    <font>
      <b/>
      <sz val="11"/>
      <color theme="0"/>
      <name val="Aptos Narrow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rgb="FF0070C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horizontal="left"/>
    </xf>
    <xf numFmtId="0" fontId="7" fillId="0" borderId="0" xfId="0" applyFont="1"/>
    <xf numFmtId="16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164" fontId="2" fillId="2" borderId="0" xfId="0" applyNumberFormat="1" applyFont="1" applyFill="1" applyAlignment="1">
      <alignment horizontal="center" vertical="top" wrapText="1"/>
    </xf>
    <xf numFmtId="164" fontId="4" fillId="0" borderId="0" xfId="0" applyNumberFormat="1" applyFont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2" borderId="0" xfId="0" applyNumberFormat="1" applyFont="1" applyFill="1" applyAlignment="1">
      <alignment horizontal="center" wrapText="1"/>
    </xf>
    <xf numFmtId="165" fontId="4" fillId="0" borderId="1" xfId="0" applyNumberFormat="1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2" fontId="2" fillId="0" borderId="0" xfId="0" applyNumberFormat="1" applyFont="1"/>
    <xf numFmtId="0" fontId="2" fillId="2" borderId="0" xfId="0" applyFont="1" applyFill="1" applyAlignment="1">
      <alignment wrapText="1"/>
    </xf>
    <xf numFmtId="164" fontId="4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2" borderId="0" xfId="0" applyFont="1" applyFill="1" applyAlignment="1">
      <alignment horizontal="justify" vertical="distributed"/>
    </xf>
    <xf numFmtId="164" fontId="2" fillId="2" borderId="0" xfId="0" applyNumberFormat="1" applyFont="1" applyFill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center"/>
    </xf>
    <xf numFmtId="0" fontId="9" fillId="0" borderId="0" xfId="0" applyFont="1"/>
    <xf numFmtId="0" fontId="2" fillId="0" borderId="4" xfId="0" applyFont="1" applyBorder="1"/>
    <xf numFmtId="0" fontId="4" fillId="0" borderId="3" xfId="0" applyFont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justify" vertical="distributed"/>
    </xf>
    <xf numFmtId="0" fontId="0" fillId="0" borderId="0" xfId="0" applyAlignment="1">
      <alignment horizontal="justify" vertical="distributed"/>
    </xf>
    <xf numFmtId="0" fontId="5" fillId="2" borderId="0" xfId="0" applyFont="1" applyFill="1" applyAlignment="1">
      <alignment horizontal="center" vertical="distributed"/>
    </xf>
    <xf numFmtId="0" fontId="8" fillId="0" borderId="0" xfId="0" applyFont="1" applyAlignment="1">
      <alignment horizontal="center" vertical="distributed"/>
    </xf>
    <xf numFmtId="0" fontId="2" fillId="0" borderId="0" xfId="0" applyFont="1" applyAlignment="1">
      <alignment horizontal="justify"/>
    </xf>
    <xf numFmtId="0" fontId="2" fillId="0" borderId="0" xfId="0" applyFont="1" applyAlignment="1">
      <alignment horizontal="justify" wrapText="1"/>
    </xf>
  </cellXfs>
  <cellStyles count="1">
    <cellStyle name="Normal" xfId="0" builtinId="0"/>
  </cellStyles>
  <dxfs count="56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4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66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rgb="FF0070C0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4A015-7BBF-4332-9490-E9366CE7B74F}" name="Table1" displayName="Table1" ref="A2:L414" totalsRowShown="0" headerRowDxfId="55" dataDxfId="54">
  <autoFilter ref="A2:L414" xr:uid="{28ABF0D7-775D-430A-AFA8-509AB3C10780}"/>
  <tableColumns count="12">
    <tableColumn id="1" xr3:uid="{5D03724E-7D18-47DC-A64F-95421236C655}" name="Compound" dataDxfId="53"/>
    <tableColumn id="2" xr3:uid="{1EF94269-96EE-476B-8C6C-4A6EDE4D968B}" name="SMILES" dataDxfId="52"/>
    <tableColumn id="9" xr3:uid="{B95F41E9-BAE7-4695-B7CE-B3CEA1C19029}" name="Reference (PMID)" dataDxfId="51"/>
    <tableColumn id="10" xr3:uid="{A2ED0400-5A54-4971-B1C4-298CFFDA6519}" name="Year" dataDxfId="50"/>
    <tableColumn id="15" xr3:uid="{349F373D-D6F2-497D-A7FA-EB7A2DC73945}" name="Type of measurement" dataDxfId="49"/>
    <tableColumn id="5" xr3:uid="{BE555A83-6C44-41A1-A83E-3FDCD66F3149}" name="Conc. tested (µM)" dataDxfId="48"/>
    <tableColumn id="17" xr3:uid="{5C77A644-7937-40DC-92D6-9A8CFB7EE8B4}" name="Reported % inhibition" dataDxfId="47"/>
    <tableColumn id="11" xr3:uid="{69BEE287-2916-41DE-895A-91D41C2946A4}" name="&gt;90% inhibition at &lt;10 µM?" dataDxfId="46"/>
    <tableColumn id="12" xr3:uid="{0639F2CA-3A1D-4855-A59E-1CB4F83C448C}" name="&lt;10% inhibition at &gt;10 µM?" dataDxfId="45"/>
    <tableColumn id="16" xr3:uid="{0F36D7D7-07CC-4ECD-8C80-C0FD415F28E9}" name="Estimated IC50 (µM)" dataDxfId="44"/>
    <tableColumn id="8" xr3:uid="{0523AEB9-AA75-4CCD-8AE1-39AB55AE8D51}" name="Reported IC50 (µM)" dataDxfId="43"/>
    <tableColumn id="13" xr3:uid="{F64ABCFA-4C7F-461E-8FB5-C8F31D991181}" name="Active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75A12-62C2-4557-869F-873DBECE07A9}" name="Table13" displayName="Table13" ref="A2:I176" totalsRowShown="0" headerRowDxfId="41" dataDxfId="40">
  <autoFilter ref="A2:I176" xr:uid="{A613AC18-F650-4904-8F3E-6C9AB1BF1A91}"/>
  <sortState xmlns:xlrd2="http://schemas.microsoft.com/office/spreadsheetml/2017/richdata2" ref="A3:I176">
    <sortCondition ref="B2:B176"/>
  </sortState>
  <tableColumns count="9">
    <tableColumn id="1" xr3:uid="{F24BEC83-3569-4DD6-8D24-916B72ABCB20}" name="Compound ID (CHEMBL)" dataDxfId="39"/>
    <tableColumn id="7" xr3:uid="{A7F5E16F-583F-4CD9-B098-B0097DABD109}" name="Compound ID (Manuscript)" dataDxfId="38"/>
    <tableColumn id="2" xr3:uid="{1F49480C-F33C-4E30-B313-B896082098BB}" name="SMILES" dataDxfId="37"/>
    <tableColumn id="8" xr3:uid="{E26EC619-C868-4B22-A785-D1C55DF16616}" name="Experimentally tested" dataDxfId="36"/>
    <tableColumn id="3" xr3:uid="{C34A4953-B0C8-4FA8-BB4C-EF072152A38D}" name="Prediction score" dataDxfId="35"/>
    <tableColumn id="4" xr3:uid="{7595F15D-E1AB-4EA5-8AA2-391B79F21239}" name="Max Tanimoto vs. antibiotics" dataDxfId="34"/>
    <tableColumn id="5" xr3:uid="{4C99BBCF-AD74-4C7A-B743-27DD2B2079BA}" name="Max Tanimoto vs. literature compounds" dataDxfId="33"/>
    <tableColumn id="9" xr3:uid="{247AEC03-4841-4948-B9C6-CC5AC348A68E}" name="Max Tanimoto vs. exp. screening set" dataDxfId="32"/>
    <tableColumn id="6" xr3:uid="{F9F9E52E-B04C-4897-B8A1-2BA23D1F0D60}" name="QED " dataDxfId="3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937313-CBCF-4E1A-BCE5-A3E18FD84D07}" name="Table14" displayName="Table14" ref="A2:Q277" totalsRowShown="0" headerRowDxfId="30" dataDxfId="29">
  <autoFilter ref="A2:Q277" xr:uid="{DC9BBF31-AC78-48CC-9A0D-B77E1D0C6AB7}"/>
  <tableColumns count="17">
    <tableColumn id="1" xr3:uid="{A4D0E8C7-B93B-49EE-B8AB-57622ADB41DC}" name="Compound ID (CHEMBL)" dataDxfId="28"/>
    <tableColumn id="9" xr3:uid="{633D360C-56E3-464D-AEFC-0598A41BEC72}" name="Compound ID (Manuscript)" dataDxfId="27"/>
    <tableColumn id="8" xr3:uid="{89304BEC-06DE-4378-9A13-D2ABB37B36E3}" name="Conc. (µM)" dataDxfId="26"/>
    <tableColumn id="2" xr3:uid="{E0BB91E1-D094-4CFC-89DF-F7E211D4AB83}" name="Bulk resorufin fluorescence, replicate 1" dataDxfId="25"/>
    <tableColumn id="3" xr3:uid="{4FFC4F79-9294-44E1-9447-DD2B468A2197}" name="Bulk resorufin fluorescence, replicate 2" dataDxfId="24"/>
    <tableColumn id="4" xr3:uid="{B912312F-E1F3-44C9-9719-CEF82A381828}" name="Bulk resorufin fluorescence, replicate 3" dataDxfId="23"/>
    <tableColumn id="14" xr3:uid="{D8420F55-D5F5-4ABF-87B5-E0E625317D86}" name="Bulk resorufin fluorescence, mean" dataDxfId="22">
      <calculatedColumnFormula>AVERAGE(Table14[[#This Row],[Bulk resorufin fluorescence, replicate 1]:[Bulk resorufin fluorescence, replicate 3]])</calculatedColumnFormula>
    </tableColumn>
    <tableColumn id="15" xr3:uid="{AB13E7C1-F905-4B51-A08B-F6C9ACE475A9}" name="Bulk resorufin fluorescence, SD" dataDxfId="21">
      <calculatedColumnFormula>STDEV(Table14[[#This Row],[Bulk resorufin fluorescence, replicate 1]:[Bulk resorufin fluorescence, replicate 3]])</calculatedColumnFormula>
    </tableColumn>
    <tableColumn id="5" xr3:uid="{D4112E00-F1AD-4CCC-A367-C91588994F6A}" name="Bulk GFP fluorescence, replicate 1" dataDxfId="20"/>
    <tableColumn id="6" xr3:uid="{F5BBA8BA-5F10-404D-83B3-9B0D2340077F}" name="Bulk GFP fluorescence, replicate 2" dataDxfId="19"/>
    <tableColumn id="10" xr3:uid="{66C2F032-277D-4EB6-9EF2-ABD623312FB9}" name="Bulk GFP fluorescence, replicate 3" dataDxfId="18"/>
    <tableColumn id="16" xr3:uid="{0459F50C-DC02-4E05-81D6-0DFD148CD3CD}" name="Bulk GFP fluorescence, mean" dataDxfId="17">
      <calculatedColumnFormula>AVERAGE(Table14[[#This Row],[Bulk GFP fluorescence, replicate 1]:[Bulk GFP fluorescence, replicate 3]])</calculatedColumnFormula>
    </tableColumn>
    <tableColumn id="17" xr3:uid="{94877EF3-588A-448D-9954-421CD8A955B3}" name="Bulk GFP fluorescence, SD" dataDxfId="16">
      <calculatedColumnFormula>STDEV(Table14[[#This Row],[Bulk GFP fluorescence, replicate 1]:[Bulk GFP fluorescence, replicate 3]])</calculatedColumnFormula>
    </tableColumn>
    <tableColumn id="11" xr3:uid="{32F396A0-5FE5-4465-8009-B967BB67285C}" name="IC50 (µM), bulk GFP fluorescence" dataDxfId="15"/>
    <tableColumn id="13" xr3:uid="{957EBC2B-2897-4935-A142-BE90392308C2}" name="IC50 (µg/ml), bulk GFP fluorescence" dataDxfId="14"/>
    <tableColumn id="12" xr3:uid="{7A1B6210-F992-49AD-B453-E71FDE1948CC}" name="MIC (µM), bulk GFP fluorescence" dataDxfId="13"/>
    <tableColumn id="7" xr3:uid="{1FBF6F5A-D0B9-47E4-9562-CAE21932D88B}" name="MIC (µg/ml), bulk GFP fluorescence" dataDxfId="1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96689E-34AE-4497-A55F-E4E6DAD54B67}" name="Table15" displayName="Table15" ref="A2:J17" totalsRowShown="0" headerRowDxfId="11" dataDxfId="10">
  <autoFilter ref="A2:J17" xr:uid="{E8D395DB-404D-4533-8E30-938AAA24E540}"/>
  <tableColumns count="10">
    <tableColumn id="1" xr3:uid="{BA1B0FAE-A5C1-4A83-84F8-94305E56847B}" name="Compound ID (CHEMBL)" dataDxfId="9"/>
    <tableColumn id="7" xr3:uid="{1A2F13CF-778E-4042-A53C-55C780B75408}" name="Compound ID (Manuscript)" dataDxfId="8"/>
    <tableColumn id="2" xr3:uid="{C5AC07EE-A97B-4281-965B-76EE4853BCD4}" name="Conc. (µM)" dataDxfId="7"/>
    <tableColumn id="3" xr3:uid="{90EE94D8-B6C1-44BF-B009-0B2517111484}" name="Genome copy numbers, replicate 1" dataDxfId="6"/>
    <tableColumn id="4" xr3:uid="{09D47523-F3DF-4845-BD91-6C3BBF8EA589}" name="Genome copy numbers, replicate 2" dataDxfId="5"/>
    <tableColumn id="6" xr3:uid="{31B2F176-5432-428C-A8F2-0E3026C723CA}" name="Genome copy numbers, replicate 3" dataDxfId="4"/>
    <tableColumn id="9" xr3:uid="{7F45B9A6-C5B5-44B8-AC76-DC1031C6CD97}" name="Genome copy numbers, mean" dataDxfId="3">
      <calculatedColumnFormula>AVERAGE(Table15[[#This Row],[Genome copy numbers, replicate 1]:[Genome copy numbers, replicate 3]])</calculatedColumnFormula>
    </tableColumn>
    <tableColumn id="10" xr3:uid="{2CC18886-8DC6-446C-BA0D-69B51CC07DE4}" name="Genome copy numbers, SD" dataDxfId="2">
      <calculatedColumnFormula>STDEV(Table15[[#This Row],[Genome copy numbers, replicate 1]:[Genome copy numbers, replicate 3]])</calculatedColumnFormula>
    </tableColumn>
    <tableColumn id="8" xr3:uid="{ED419535-1E9B-4864-AC84-9B916363B28D}" name="IC50 (µM), genome copy numbers" dataDxfId="1"/>
    <tableColumn id="5" xr3:uid="{CFDFCAAF-E195-40FA-93AB-B80FA8A3998F}" name="IC50 (µg/ml), genome copy number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294F-6FDD-4739-9EB0-AA99BA82C542}">
  <dimension ref="A1:T414"/>
  <sheetViews>
    <sheetView zoomScale="85" zoomScaleNormal="85" workbookViewId="0">
      <selection activeCell="Q13" sqref="Q13"/>
    </sheetView>
  </sheetViews>
  <sheetFormatPr defaultRowHeight="15" x14ac:dyDescent="0.25"/>
  <cols>
    <col min="1" max="2" width="18.85546875" style="1" customWidth="1"/>
    <col min="3" max="3" width="18.85546875" style="2" customWidth="1"/>
    <col min="4" max="4" width="10.28515625" style="2" bestFit="1" customWidth="1"/>
    <col min="5" max="5" width="16" style="2" customWidth="1"/>
    <col min="6" max="6" width="16.5703125" style="28" bestFit="1" customWidth="1"/>
    <col min="7" max="7" width="16.140625" style="28" bestFit="1" customWidth="1"/>
    <col min="8" max="8" width="17.140625" style="1" customWidth="1"/>
    <col min="9" max="9" width="17.140625" style="28" customWidth="1"/>
    <col min="10" max="10" width="13.5703125" style="1" customWidth="1"/>
    <col min="11" max="11" width="13.42578125" style="28" customWidth="1"/>
    <col min="12" max="12" width="11.7109375" style="1" bestFit="1" customWidth="1"/>
    <col min="13" max="16" width="9.140625" style="1"/>
    <col min="17" max="17" width="18.140625" style="2" customWidth="1"/>
    <col min="18" max="18" width="17.140625" style="2" customWidth="1"/>
    <col min="19" max="19" width="9" style="2" bestFit="1" customWidth="1"/>
    <col min="20" max="16384" width="9.140625" style="1"/>
  </cols>
  <sheetData>
    <row r="1" spans="1:20" x14ac:dyDescent="0.25">
      <c r="A1" s="1" t="s">
        <v>924</v>
      </c>
      <c r="H1" s="2"/>
      <c r="I1" s="2"/>
      <c r="J1" s="28"/>
      <c r="L1" s="2"/>
      <c r="Q1" s="1"/>
      <c r="R1" s="1"/>
      <c r="S1" s="1"/>
    </row>
    <row r="2" spans="1:20" s="7" customFormat="1" ht="30" x14ac:dyDescent="0.25">
      <c r="A2" s="13" t="s">
        <v>0</v>
      </c>
      <c r="B2" s="13" t="s">
        <v>2</v>
      </c>
      <c r="C2" s="14" t="s">
        <v>923</v>
      </c>
      <c r="D2" s="14" t="s">
        <v>922</v>
      </c>
      <c r="E2" s="14" t="s">
        <v>921</v>
      </c>
      <c r="F2" s="29" t="s">
        <v>920</v>
      </c>
      <c r="G2" s="29" t="s">
        <v>919</v>
      </c>
      <c r="H2" s="14" t="s">
        <v>918</v>
      </c>
      <c r="I2" s="14" t="s">
        <v>917</v>
      </c>
      <c r="J2" s="29" t="s">
        <v>916</v>
      </c>
      <c r="K2" s="29" t="s">
        <v>915</v>
      </c>
      <c r="L2" s="14" t="s">
        <v>914</v>
      </c>
    </row>
    <row r="3" spans="1:20" x14ac:dyDescent="0.25">
      <c r="A3" s="15" t="s">
        <v>913</v>
      </c>
      <c r="B3" s="15" t="s">
        <v>912</v>
      </c>
      <c r="C3" s="2">
        <v>25782033</v>
      </c>
      <c r="D3" s="2" t="s">
        <v>316</v>
      </c>
      <c r="E3" s="2" t="s">
        <v>64</v>
      </c>
      <c r="F3" s="28" t="s">
        <v>63</v>
      </c>
      <c r="G3" s="28" t="s">
        <v>62</v>
      </c>
      <c r="H3" s="2" t="s">
        <v>4</v>
      </c>
      <c r="I3" s="2" t="s">
        <v>4</v>
      </c>
      <c r="J3" s="28" t="s">
        <v>62</v>
      </c>
      <c r="K3" s="28">
        <v>2.34</v>
      </c>
      <c r="L3" s="2" t="s">
        <v>3</v>
      </c>
      <c r="N3" s="9"/>
      <c r="Q3" s="1"/>
      <c r="R3" s="1"/>
      <c r="S3" s="1"/>
      <c r="T3" s="16"/>
    </row>
    <row r="4" spans="1:20" x14ac:dyDescent="0.25">
      <c r="A4" s="15" t="s">
        <v>911</v>
      </c>
      <c r="B4" s="15" t="s">
        <v>910</v>
      </c>
      <c r="C4" s="2">
        <v>25782033</v>
      </c>
      <c r="D4" s="2" t="s">
        <v>316</v>
      </c>
      <c r="E4" s="2" t="s">
        <v>64</v>
      </c>
      <c r="F4" s="28" t="s">
        <v>63</v>
      </c>
      <c r="G4" s="28" t="s">
        <v>62</v>
      </c>
      <c r="H4" s="2" t="s">
        <v>4</v>
      </c>
      <c r="I4" s="2" t="s">
        <v>4</v>
      </c>
      <c r="J4" s="28" t="s">
        <v>62</v>
      </c>
      <c r="K4" s="28" t="s">
        <v>62</v>
      </c>
      <c r="L4" s="2" t="s">
        <v>4</v>
      </c>
      <c r="N4" s="9"/>
      <c r="Q4" s="1"/>
      <c r="R4" s="1"/>
      <c r="S4" s="1"/>
      <c r="T4" s="16"/>
    </row>
    <row r="5" spans="1:20" x14ac:dyDescent="0.25">
      <c r="A5" s="15" t="s">
        <v>909</v>
      </c>
      <c r="B5" s="15" t="s">
        <v>908</v>
      </c>
      <c r="C5" s="2">
        <v>25782033</v>
      </c>
      <c r="D5" s="2" t="s">
        <v>316</v>
      </c>
      <c r="E5" s="2" t="s">
        <v>64</v>
      </c>
      <c r="F5" s="28" t="s">
        <v>63</v>
      </c>
      <c r="G5" s="28" t="s">
        <v>62</v>
      </c>
      <c r="H5" s="2" t="s">
        <v>4</v>
      </c>
      <c r="I5" s="2" t="s">
        <v>4</v>
      </c>
      <c r="J5" s="28" t="s">
        <v>62</v>
      </c>
      <c r="K5" s="28" t="s">
        <v>62</v>
      </c>
      <c r="L5" s="2" t="s">
        <v>4</v>
      </c>
      <c r="N5" s="9"/>
      <c r="Q5" s="1"/>
      <c r="R5" s="1"/>
      <c r="S5" s="1"/>
      <c r="T5" s="16"/>
    </row>
    <row r="6" spans="1:20" x14ac:dyDescent="0.25">
      <c r="A6" s="15" t="s">
        <v>907</v>
      </c>
      <c r="B6" s="15" t="s">
        <v>906</v>
      </c>
      <c r="C6" s="2">
        <v>31395511</v>
      </c>
      <c r="D6" s="2" t="s">
        <v>130</v>
      </c>
      <c r="E6" s="2" t="s">
        <v>106</v>
      </c>
      <c r="F6" s="28">
        <v>100</v>
      </c>
      <c r="G6" s="28">
        <v>72.580645161290306</v>
      </c>
      <c r="H6" s="2" t="s">
        <v>4</v>
      </c>
      <c r="I6" s="2" t="s">
        <v>4</v>
      </c>
      <c r="J6" s="28">
        <v>68.8888888888889</v>
      </c>
      <c r="K6" s="28" t="s">
        <v>62</v>
      </c>
      <c r="L6" s="2" t="s">
        <v>4</v>
      </c>
      <c r="N6" s="9"/>
      <c r="Q6" s="1"/>
      <c r="R6" s="1"/>
      <c r="S6" s="1"/>
      <c r="T6" s="16"/>
    </row>
    <row r="7" spans="1:20" x14ac:dyDescent="0.25">
      <c r="A7" s="15" t="s">
        <v>905</v>
      </c>
      <c r="B7" s="15" t="s">
        <v>904</v>
      </c>
      <c r="C7" s="2">
        <v>31395511</v>
      </c>
      <c r="D7" s="2" t="s">
        <v>130</v>
      </c>
      <c r="E7" s="2" t="s">
        <v>106</v>
      </c>
      <c r="F7" s="28">
        <v>100</v>
      </c>
      <c r="G7" s="28">
        <v>46.612903225806498</v>
      </c>
      <c r="H7" s="2" t="s">
        <v>4</v>
      </c>
      <c r="I7" s="2" t="s">
        <v>4</v>
      </c>
      <c r="J7" s="28">
        <v>107.26643598615905</v>
      </c>
      <c r="K7" s="28" t="s">
        <v>62</v>
      </c>
      <c r="L7" s="2" t="s">
        <v>4</v>
      </c>
      <c r="N7" s="9"/>
      <c r="Q7" s="1"/>
      <c r="R7" s="1"/>
      <c r="S7" s="1"/>
      <c r="T7" s="16"/>
    </row>
    <row r="8" spans="1:20" x14ac:dyDescent="0.25">
      <c r="A8" s="15" t="s">
        <v>903</v>
      </c>
      <c r="B8" s="15" t="s">
        <v>902</v>
      </c>
      <c r="C8" s="2">
        <v>31395511</v>
      </c>
      <c r="D8" s="2" t="s">
        <v>130</v>
      </c>
      <c r="E8" s="2" t="s">
        <v>106</v>
      </c>
      <c r="F8" s="28">
        <v>100</v>
      </c>
      <c r="G8" s="28">
        <v>0</v>
      </c>
      <c r="H8" s="2" t="s">
        <v>4</v>
      </c>
      <c r="I8" s="2" t="s">
        <v>3</v>
      </c>
      <c r="J8" s="28" t="s">
        <v>62</v>
      </c>
      <c r="K8" s="28" t="s">
        <v>62</v>
      </c>
      <c r="L8" s="2" t="s">
        <v>4</v>
      </c>
      <c r="Q8" s="1"/>
      <c r="R8" s="1"/>
      <c r="S8" s="1"/>
    </row>
    <row r="9" spans="1:20" x14ac:dyDescent="0.25">
      <c r="A9" s="15" t="s">
        <v>901</v>
      </c>
      <c r="B9" s="15" t="s">
        <v>900</v>
      </c>
      <c r="C9" s="2">
        <v>31395511</v>
      </c>
      <c r="D9" s="2" t="s">
        <v>130</v>
      </c>
      <c r="E9" s="2" t="s">
        <v>106</v>
      </c>
      <c r="F9" s="28">
        <v>100</v>
      </c>
      <c r="G9" s="28">
        <v>8.0645161290322598</v>
      </c>
      <c r="H9" s="2" t="s">
        <v>4</v>
      </c>
      <c r="I9" s="2" t="s">
        <v>3</v>
      </c>
      <c r="J9" s="28" t="s">
        <v>62</v>
      </c>
      <c r="K9" s="28" t="s">
        <v>62</v>
      </c>
      <c r="L9" s="2" t="s">
        <v>4</v>
      </c>
      <c r="N9" s="9"/>
      <c r="Q9" s="1"/>
      <c r="R9" s="1"/>
      <c r="S9" s="1"/>
    </row>
    <row r="10" spans="1:20" x14ac:dyDescent="0.25">
      <c r="A10" s="15" t="s">
        <v>899</v>
      </c>
      <c r="B10" s="15" t="s">
        <v>898</v>
      </c>
      <c r="C10" s="2">
        <v>31395511</v>
      </c>
      <c r="D10" s="2" t="s">
        <v>130</v>
      </c>
      <c r="E10" s="2" t="s">
        <v>106</v>
      </c>
      <c r="F10" s="28">
        <v>100</v>
      </c>
      <c r="G10" s="28">
        <v>11.290322580645199</v>
      </c>
      <c r="H10" s="2" t="s">
        <v>4</v>
      </c>
      <c r="I10" s="2" t="s">
        <v>4</v>
      </c>
      <c r="J10" s="28">
        <v>442.85714285714135</v>
      </c>
      <c r="K10" s="28" t="s">
        <v>62</v>
      </c>
      <c r="L10" s="2" t="s">
        <v>4</v>
      </c>
      <c r="N10" s="16"/>
      <c r="Q10" s="1"/>
      <c r="R10" s="1"/>
      <c r="S10" s="1"/>
    </row>
    <row r="11" spans="1:20" x14ac:dyDescent="0.25">
      <c r="A11" s="15" t="s">
        <v>897</v>
      </c>
      <c r="B11" s="15" t="s">
        <v>896</v>
      </c>
      <c r="C11" s="2">
        <v>17257594</v>
      </c>
      <c r="D11" s="2" t="s">
        <v>893</v>
      </c>
      <c r="E11" s="2" t="s">
        <v>106</v>
      </c>
      <c r="F11" s="28">
        <v>4</v>
      </c>
      <c r="G11" s="28">
        <v>0</v>
      </c>
      <c r="H11" s="2" t="s">
        <v>4</v>
      </c>
      <c r="I11" s="2" t="s">
        <v>4</v>
      </c>
      <c r="J11" s="28" t="s">
        <v>62</v>
      </c>
      <c r="K11" s="28" t="s">
        <v>62</v>
      </c>
      <c r="L11" s="2" t="s">
        <v>4</v>
      </c>
      <c r="Q11" s="1"/>
      <c r="R11" s="1"/>
      <c r="S11" s="1"/>
    </row>
    <row r="12" spans="1:20" x14ac:dyDescent="0.25">
      <c r="A12" s="15" t="s">
        <v>895</v>
      </c>
      <c r="B12" s="15" t="s">
        <v>894</v>
      </c>
      <c r="C12" s="2">
        <v>17257594</v>
      </c>
      <c r="D12" s="2" t="s">
        <v>893</v>
      </c>
      <c r="E12" s="2" t="s">
        <v>106</v>
      </c>
      <c r="F12" s="28">
        <v>4</v>
      </c>
      <c r="G12" s="28">
        <v>0</v>
      </c>
      <c r="H12" s="2" t="s">
        <v>4</v>
      </c>
      <c r="I12" s="2" t="s">
        <v>4</v>
      </c>
      <c r="J12" s="28" t="s">
        <v>62</v>
      </c>
      <c r="K12" s="28" t="s">
        <v>62</v>
      </c>
      <c r="L12" s="2" t="s">
        <v>4</v>
      </c>
      <c r="Q12" s="1"/>
      <c r="R12" s="1"/>
      <c r="S12" s="1"/>
    </row>
    <row r="13" spans="1:20" x14ac:dyDescent="0.25">
      <c r="A13" s="15" t="s">
        <v>892</v>
      </c>
      <c r="B13" s="15" t="s">
        <v>891</v>
      </c>
      <c r="C13" s="2">
        <v>17936604</v>
      </c>
      <c r="D13" s="2" t="s">
        <v>400</v>
      </c>
      <c r="E13" s="2" t="s">
        <v>106</v>
      </c>
      <c r="F13" s="28">
        <v>5</v>
      </c>
      <c r="G13" s="28">
        <v>67</v>
      </c>
      <c r="H13" s="2" t="s">
        <v>4</v>
      </c>
      <c r="I13" s="2" t="s">
        <v>4</v>
      </c>
      <c r="J13" s="28">
        <v>3.7313432835820897</v>
      </c>
      <c r="K13" s="28" t="s">
        <v>62</v>
      </c>
      <c r="L13" s="2" t="s">
        <v>3</v>
      </c>
      <c r="Q13" s="1"/>
      <c r="R13" s="1"/>
      <c r="S13" s="1"/>
    </row>
    <row r="14" spans="1:20" x14ac:dyDescent="0.25">
      <c r="A14" s="15" t="s">
        <v>890</v>
      </c>
      <c r="B14" s="15" t="s">
        <v>889</v>
      </c>
      <c r="C14" s="2">
        <v>24914180</v>
      </c>
      <c r="D14" s="2" t="s">
        <v>311</v>
      </c>
      <c r="E14" s="2" t="s">
        <v>106</v>
      </c>
      <c r="F14" s="28">
        <v>40</v>
      </c>
      <c r="G14" s="28">
        <v>48</v>
      </c>
      <c r="H14" s="2" t="s">
        <v>4</v>
      </c>
      <c r="I14" s="2" t="s">
        <v>4</v>
      </c>
      <c r="J14" s="28">
        <v>41.666666666666671</v>
      </c>
      <c r="K14" s="28" t="s">
        <v>62</v>
      </c>
      <c r="L14" s="2" t="s">
        <v>4</v>
      </c>
      <c r="Q14" s="1"/>
      <c r="R14" s="1"/>
      <c r="S14" s="1"/>
    </row>
    <row r="15" spans="1:20" x14ac:dyDescent="0.25">
      <c r="A15" s="15" t="s">
        <v>888</v>
      </c>
      <c r="B15" s="15" t="s">
        <v>887</v>
      </c>
      <c r="C15" s="2">
        <v>24914180</v>
      </c>
      <c r="D15" s="2" t="s">
        <v>311</v>
      </c>
      <c r="E15" s="2" t="s">
        <v>106</v>
      </c>
      <c r="F15" s="28">
        <v>40</v>
      </c>
      <c r="G15" s="28">
        <v>88</v>
      </c>
      <c r="H15" s="2" t="s">
        <v>4</v>
      </c>
      <c r="I15" s="2" t="s">
        <v>4</v>
      </c>
      <c r="J15" s="28">
        <v>22.72727272727273</v>
      </c>
      <c r="K15" s="28" t="s">
        <v>62</v>
      </c>
      <c r="L15" s="2" t="s">
        <v>4</v>
      </c>
      <c r="Q15" s="1"/>
      <c r="R15" s="1"/>
      <c r="S15" s="1"/>
    </row>
    <row r="16" spans="1:20" x14ac:dyDescent="0.25">
      <c r="A16" s="15" t="s">
        <v>886</v>
      </c>
      <c r="B16" s="15" t="s">
        <v>885</v>
      </c>
      <c r="C16" s="2">
        <v>9736551</v>
      </c>
      <c r="D16" s="2" t="s">
        <v>389</v>
      </c>
      <c r="E16" s="2" t="s">
        <v>106</v>
      </c>
      <c r="F16" s="28">
        <v>20000</v>
      </c>
      <c r="G16" s="28">
        <v>0</v>
      </c>
      <c r="H16" s="2" t="s">
        <v>4</v>
      </c>
      <c r="I16" s="2" t="s">
        <v>3</v>
      </c>
      <c r="J16" s="28" t="s">
        <v>62</v>
      </c>
      <c r="K16" s="28" t="s">
        <v>62</v>
      </c>
      <c r="L16" s="2" t="s">
        <v>4</v>
      </c>
      <c r="Q16" s="1"/>
      <c r="R16" s="1"/>
      <c r="S16" s="1"/>
    </row>
    <row r="17" spans="1:19" x14ac:dyDescent="0.25">
      <c r="A17" s="15" t="s">
        <v>884</v>
      </c>
      <c r="B17" s="15" t="s">
        <v>883</v>
      </c>
      <c r="C17" s="2">
        <v>9736551</v>
      </c>
      <c r="D17" s="2" t="s">
        <v>389</v>
      </c>
      <c r="E17" s="2" t="s">
        <v>106</v>
      </c>
      <c r="F17" s="28">
        <v>20000</v>
      </c>
      <c r="G17" s="28">
        <v>0</v>
      </c>
      <c r="H17" s="2" t="s">
        <v>4</v>
      </c>
      <c r="I17" s="2" t="s">
        <v>3</v>
      </c>
      <c r="J17" s="28" t="s">
        <v>62</v>
      </c>
      <c r="K17" s="28" t="s">
        <v>62</v>
      </c>
      <c r="L17" s="2" t="s">
        <v>4</v>
      </c>
      <c r="Q17" s="1"/>
      <c r="R17" s="1"/>
      <c r="S17" s="1"/>
    </row>
    <row r="18" spans="1:19" x14ac:dyDescent="0.25">
      <c r="A18" s="15" t="s">
        <v>882</v>
      </c>
      <c r="B18" s="15" t="s">
        <v>881</v>
      </c>
      <c r="C18" s="2">
        <v>9736551</v>
      </c>
      <c r="D18" s="2" t="s">
        <v>389</v>
      </c>
      <c r="E18" s="2" t="s">
        <v>106</v>
      </c>
      <c r="F18" s="28">
        <v>20000</v>
      </c>
      <c r="G18" s="28">
        <v>0</v>
      </c>
      <c r="H18" s="2" t="s">
        <v>4</v>
      </c>
      <c r="I18" s="2" t="s">
        <v>3</v>
      </c>
      <c r="J18" s="28" t="s">
        <v>62</v>
      </c>
      <c r="K18" s="28" t="s">
        <v>62</v>
      </c>
      <c r="L18" s="2" t="s">
        <v>4</v>
      </c>
      <c r="Q18" s="1"/>
      <c r="R18" s="1"/>
      <c r="S18" s="1"/>
    </row>
    <row r="19" spans="1:19" x14ac:dyDescent="0.25">
      <c r="A19" s="15" t="s">
        <v>880</v>
      </c>
      <c r="B19" s="15" t="s">
        <v>879</v>
      </c>
      <c r="C19" s="2">
        <v>9736551</v>
      </c>
      <c r="D19" s="2" t="s">
        <v>389</v>
      </c>
      <c r="E19" s="2" t="s">
        <v>106</v>
      </c>
      <c r="F19" s="28">
        <v>20000</v>
      </c>
      <c r="G19" s="28">
        <v>0</v>
      </c>
      <c r="H19" s="2" t="s">
        <v>4</v>
      </c>
      <c r="I19" s="2" t="s">
        <v>3</v>
      </c>
      <c r="J19" s="28" t="s">
        <v>62</v>
      </c>
      <c r="K19" s="28" t="s">
        <v>62</v>
      </c>
      <c r="L19" s="2" t="s">
        <v>4</v>
      </c>
      <c r="Q19" s="1"/>
      <c r="R19" s="1"/>
      <c r="S19" s="1"/>
    </row>
    <row r="20" spans="1:19" x14ac:dyDescent="0.25">
      <c r="A20" s="15" t="s">
        <v>878</v>
      </c>
      <c r="B20" s="15" t="s">
        <v>877</v>
      </c>
      <c r="C20" s="2">
        <v>9736551</v>
      </c>
      <c r="D20" s="2" t="s">
        <v>389</v>
      </c>
      <c r="E20" s="2" t="s">
        <v>106</v>
      </c>
      <c r="F20" s="28">
        <v>20000</v>
      </c>
      <c r="G20" s="28">
        <v>0</v>
      </c>
      <c r="H20" s="2" t="s">
        <v>4</v>
      </c>
      <c r="I20" s="2" t="s">
        <v>3</v>
      </c>
      <c r="J20" s="28" t="s">
        <v>62</v>
      </c>
      <c r="K20" s="28" t="s">
        <v>62</v>
      </c>
      <c r="L20" s="2" t="s">
        <v>4</v>
      </c>
      <c r="Q20" s="1"/>
      <c r="R20" s="1"/>
      <c r="S20" s="1"/>
    </row>
    <row r="21" spans="1:19" x14ac:dyDescent="0.25">
      <c r="A21" s="15" t="s">
        <v>876</v>
      </c>
      <c r="B21" s="15" t="s">
        <v>875</v>
      </c>
      <c r="C21" s="2">
        <v>9736551</v>
      </c>
      <c r="D21" s="2" t="s">
        <v>389</v>
      </c>
      <c r="E21" s="2" t="s">
        <v>106</v>
      </c>
      <c r="F21" s="28">
        <v>20000</v>
      </c>
      <c r="G21" s="28">
        <v>0</v>
      </c>
      <c r="H21" s="2" t="s">
        <v>4</v>
      </c>
      <c r="I21" s="2" t="s">
        <v>3</v>
      </c>
      <c r="J21" s="28" t="s">
        <v>62</v>
      </c>
      <c r="K21" s="28" t="s">
        <v>62</v>
      </c>
      <c r="L21" s="2" t="s">
        <v>4</v>
      </c>
      <c r="Q21" s="1"/>
      <c r="R21" s="1"/>
      <c r="S21" s="1"/>
    </row>
    <row r="22" spans="1:19" x14ac:dyDescent="0.25">
      <c r="A22" s="15" t="s">
        <v>874</v>
      </c>
      <c r="B22" s="15" t="s">
        <v>873</v>
      </c>
      <c r="C22" s="2">
        <v>9736551</v>
      </c>
      <c r="D22" s="2" t="s">
        <v>389</v>
      </c>
      <c r="E22" s="2" t="s">
        <v>106</v>
      </c>
      <c r="F22" s="28">
        <v>20000</v>
      </c>
      <c r="G22" s="28">
        <v>0</v>
      </c>
      <c r="H22" s="2" t="s">
        <v>4</v>
      </c>
      <c r="I22" s="2" t="s">
        <v>3</v>
      </c>
      <c r="J22" s="28" t="s">
        <v>62</v>
      </c>
      <c r="K22" s="28" t="s">
        <v>62</v>
      </c>
      <c r="L22" s="2" t="s">
        <v>4</v>
      </c>
      <c r="Q22" s="1"/>
      <c r="R22" s="1"/>
      <c r="S22" s="1"/>
    </row>
    <row r="23" spans="1:19" x14ac:dyDescent="0.25">
      <c r="A23" s="15" t="s">
        <v>872</v>
      </c>
      <c r="B23" s="15" t="s">
        <v>871</v>
      </c>
      <c r="C23" s="2">
        <v>9736551</v>
      </c>
      <c r="D23" s="2" t="s">
        <v>389</v>
      </c>
      <c r="E23" s="2" t="s">
        <v>106</v>
      </c>
      <c r="F23" s="28">
        <v>20000</v>
      </c>
      <c r="G23" s="28">
        <v>0</v>
      </c>
      <c r="H23" s="2" t="s">
        <v>4</v>
      </c>
      <c r="I23" s="2" t="s">
        <v>3</v>
      </c>
      <c r="J23" s="28" t="s">
        <v>62</v>
      </c>
      <c r="K23" s="28" t="s">
        <v>62</v>
      </c>
      <c r="L23" s="2" t="s">
        <v>4</v>
      </c>
      <c r="Q23" s="1"/>
      <c r="R23" s="1"/>
      <c r="S23" s="1"/>
    </row>
    <row r="24" spans="1:19" x14ac:dyDescent="0.25">
      <c r="A24" s="15" t="s">
        <v>870</v>
      </c>
      <c r="B24" s="15" t="s">
        <v>869</v>
      </c>
      <c r="C24" s="2">
        <v>9736551</v>
      </c>
      <c r="D24" s="2" t="s">
        <v>389</v>
      </c>
      <c r="E24" s="2" t="s">
        <v>106</v>
      </c>
      <c r="F24" s="28">
        <v>100</v>
      </c>
      <c r="G24" s="28">
        <v>38</v>
      </c>
      <c r="H24" s="2" t="s">
        <v>4</v>
      </c>
      <c r="I24" s="2" t="s">
        <v>4</v>
      </c>
      <c r="J24" s="28">
        <v>131.57894736842107</v>
      </c>
      <c r="K24" s="28" t="s">
        <v>62</v>
      </c>
      <c r="L24" s="2" t="s">
        <v>4</v>
      </c>
      <c r="Q24" s="1"/>
      <c r="R24" s="1"/>
      <c r="S24" s="1"/>
    </row>
    <row r="25" spans="1:19" x14ac:dyDescent="0.25">
      <c r="A25" s="15" t="s">
        <v>868</v>
      </c>
      <c r="B25" s="15" t="s">
        <v>867</v>
      </c>
      <c r="C25" s="2">
        <v>31001235</v>
      </c>
      <c r="D25" s="2" t="s">
        <v>130</v>
      </c>
      <c r="E25" s="2" t="s">
        <v>106</v>
      </c>
      <c r="F25" s="28">
        <v>10</v>
      </c>
      <c r="G25" s="28">
        <v>52</v>
      </c>
      <c r="H25" s="2" t="s">
        <v>4</v>
      </c>
      <c r="I25" s="2" t="s">
        <v>4</v>
      </c>
      <c r="J25" s="28">
        <v>9.615384615384615</v>
      </c>
      <c r="K25" s="28" t="s">
        <v>62</v>
      </c>
      <c r="L25" s="2" t="s">
        <v>3</v>
      </c>
      <c r="Q25" s="1"/>
      <c r="R25" s="1"/>
      <c r="S25" s="1"/>
    </row>
    <row r="26" spans="1:19" x14ac:dyDescent="0.25">
      <c r="A26" s="15" t="s">
        <v>866</v>
      </c>
      <c r="B26" s="15" t="s">
        <v>865</v>
      </c>
      <c r="C26" s="2">
        <v>29068165</v>
      </c>
      <c r="D26" s="2" t="s">
        <v>65</v>
      </c>
      <c r="E26" s="2" t="s">
        <v>106</v>
      </c>
      <c r="F26" s="28">
        <v>100</v>
      </c>
      <c r="G26" s="28">
        <v>50</v>
      </c>
      <c r="H26" s="2" t="s">
        <v>4</v>
      </c>
      <c r="I26" s="2" t="s">
        <v>4</v>
      </c>
      <c r="J26" s="28">
        <v>100</v>
      </c>
      <c r="K26" s="28" t="s">
        <v>62</v>
      </c>
      <c r="L26" s="2" t="s">
        <v>4</v>
      </c>
      <c r="Q26" s="1"/>
      <c r="R26" s="1"/>
      <c r="S26" s="1"/>
    </row>
    <row r="27" spans="1:19" x14ac:dyDescent="0.25">
      <c r="A27" s="15" t="s">
        <v>864</v>
      </c>
      <c r="B27" s="15" t="s">
        <v>863</v>
      </c>
      <c r="C27" s="2">
        <v>29068165</v>
      </c>
      <c r="D27" s="2" t="s">
        <v>65</v>
      </c>
      <c r="E27" s="2" t="s">
        <v>106</v>
      </c>
      <c r="F27" s="28">
        <v>100</v>
      </c>
      <c r="G27" s="28">
        <v>10</v>
      </c>
      <c r="H27" s="2" t="s">
        <v>4</v>
      </c>
      <c r="I27" s="2" t="s">
        <v>4</v>
      </c>
      <c r="J27" s="28">
        <v>500</v>
      </c>
      <c r="K27" s="28" t="s">
        <v>62</v>
      </c>
      <c r="L27" s="2" t="s">
        <v>4</v>
      </c>
      <c r="Q27" s="1"/>
      <c r="R27" s="1"/>
      <c r="S27" s="1"/>
    </row>
    <row r="28" spans="1:19" x14ac:dyDescent="0.25">
      <c r="A28" s="15" t="s">
        <v>862</v>
      </c>
      <c r="B28" s="15" t="s">
        <v>861</v>
      </c>
      <c r="C28" s="2">
        <v>29068165</v>
      </c>
      <c r="D28" s="2" t="s">
        <v>65</v>
      </c>
      <c r="E28" s="2" t="s">
        <v>106</v>
      </c>
      <c r="F28" s="28">
        <v>100</v>
      </c>
      <c r="G28" s="28">
        <v>0</v>
      </c>
      <c r="H28" s="2" t="s">
        <v>4</v>
      </c>
      <c r="I28" s="2" t="s">
        <v>3</v>
      </c>
      <c r="J28" s="28" t="s">
        <v>62</v>
      </c>
      <c r="K28" s="28" t="s">
        <v>62</v>
      </c>
      <c r="L28" s="2" t="s">
        <v>4</v>
      </c>
      <c r="Q28" s="1"/>
      <c r="R28" s="1"/>
      <c r="S28" s="1"/>
    </row>
    <row r="29" spans="1:19" x14ac:dyDescent="0.25">
      <c r="A29" s="15" t="s">
        <v>860</v>
      </c>
      <c r="B29" s="15" t="s">
        <v>859</v>
      </c>
      <c r="C29" s="2">
        <v>29068165</v>
      </c>
      <c r="D29" s="2" t="s">
        <v>65</v>
      </c>
      <c r="E29" s="2" t="s">
        <v>106</v>
      </c>
      <c r="F29" s="28">
        <v>100</v>
      </c>
      <c r="G29" s="28">
        <v>0</v>
      </c>
      <c r="H29" s="2" t="s">
        <v>4</v>
      </c>
      <c r="I29" s="2" t="s">
        <v>3</v>
      </c>
      <c r="J29" s="28" t="s">
        <v>62</v>
      </c>
      <c r="K29" s="28" t="s">
        <v>62</v>
      </c>
      <c r="L29" s="2" t="s">
        <v>4</v>
      </c>
      <c r="Q29" s="1"/>
      <c r="R29" s="1"/>
      <c r="S29" s="1"/>
    </row>
    <row r="30" spans="1:19" x14ac:dyDescent="0.25">
      <c r="A30" s="15" t="s">
        <v>858</v>
      </c>
      <c r="B30" s="15" t="s">
        <v>857</v>
      </c>
      <c r="C30" s="2">
        <v>29068165</v>
      </c>
      <c r="D30" s="2" t="s">
        <v>65</v>
      </c>
      <c r="E30" s="2" t="s">
        <v>106</v>
      </c>
      <c r="F30" s="28">
        <v>100</v>
      </c>
      <c r="G30" s="28">
        <v>10</v>
      </c>
      <c r="H30" s="2" t="s">
        <v>4</v>
      </c>
      <c r="I30" s="2" t="s">
        <v>4</v>
      </c>
      <c r="J30" s="28">
        <v>500</v>
      </c>
      <c r="K30" s="28" t="s">
        <v>62</v>
      </c>
      <c r="L30" s="2" t="s">
        <v>4</v>
      </c>
      <c r="Q30" s="1"/>
      <c r="R30" s="1"/>
      <c r="S30" s="1"/>
    </row>
    <row r="31" spans="1:19" x14ac:dyDescent="0.25">
      <c r="A31" s="15" t="s">
        <v>856</v>
      </c>
      <c r="B31" s="15" t="s">
        <v>855</v>
      </c>
      <c r="C31" s="2">
        <v>29068165</v>
      </c>
      <c r="D31" s="2" t="s">
        <v>65</v>
      </c>
      <c r="E31" s="2" t="s">
        <v>106</v>
      </c>
      <c r="F31" s="28">
        <v>100</v>
      </c>
      <c r="G31" s="28">
        <v>0</v>
      </c>
      <c r="H31" s="2" t="s">
        <v>4</v>
      </c>
      <c r="I31" s="2" t="s">
        <v>3</v>
      </c>
      <c r="J31" s="28" t="s">
        <v>62</v>
      </c>
      <c r="K31" s="28" t="s">
        <v>62</v>
      </c>
      <c r="L31" s="2" t="s">
        <v>4</v>
      </c>
      <c r="Q31" s="1"/>
      <c r="R31" s="1"/>
      <c r="S31" s="1"/>
    </row>
    <row r="32" spans="1:19" x14ac:dyDescent="0.25">
      <c r="A32" s="15" t="s">
        <v>854</v>
      </c>
      <c r="B32" s="15" t="s">
        <v>853</v>
      </c>
      <c r="C32" s="2">
        <v>29068165</v>
      </c>
      <c r="D32" s="2" t="s">
        <v>65</v>
      </c>
      <c r="E32" s="2" t="s">
        <v>106</v>
      </c>
      <c r="F32" s="28">
        <v>100</v>
      </c>
      <c r="G32" s="28">
        <v>0</v>
      </c>
      <c r="H32" s="2" t="s">
        <v>4</v>
      </c>
      <c r="I32" s="2" t="s">
        <v>3</v>
      </c>
      <c r="J32" s="28" t="s">
        <v>62</v>
      </c>
      <c r="K32" s="28" t="s">
        <v>62</v>
      </c>
      <c r="L32" s="2" t="s">
        <v>4</v>
      </c>
      <c r="Q32" s="1"/>
      <c r="R32" s="1"/>
      <c r="S32" s="1"/>
    </row>
    <row r="33" spans="1:19" x14ac:dyDescent="0.25">
      <c r="A33" s="15" t="s">
        <v>852</v>
      </c>
      <c r="B33" s="15" t="s">
        <v>851</v>
      </c>
      <c r="C33" s="2">
        <v>29068165</v>
      </c>
      <c r="D33" s="2" t="s">
        <v>65</v>
      </c>
      <c r="E33" s="2" t="s">
        <v>106</v>
      </c>
      <c r="F33" s="28">
        <v>100</v>
      </c>
      <c r="G33" s="28">
        <v>30</v>
      </c>
      <c r="H33" s="2" t="s">
        <v>4</v>
      </c>
      <c r="I33" s="2" t="s">
        <v>4</v>
      </c>
      <c r="J33" s="28">
        <v>166.66666666666669</v>
      </c>
      <c r="K33" s="28" t="s">
        <v>62</v>
      </c>
      <c r="L33" s="2" t="s">
        <v>4</v>
      </c>
      <c r="Q33" s="1"/>
      <c r="R33" s="1"/>
      <c r="S33" s="1"/>
    </row>
    <row r="34" spans="1:19" x14ac:dyDescent="0.25">
      <c r="A34" s="15" t="s">
        <v>850</v>
      </c>
      <c r="B34" s="15" t="s">
        <v>849</v>
      </c>
      <c r="C34" s="2">
        <v>29068165</v>
      </c>
      <c r="D34" s="2" t="s">
        <v>65</v>
      </c>
      <c r="E34" s="2" t="s">
        <v>106</v>
      </c>
      <c r="F34" s="28">
        <v>100</v>
      </c>
      <c r="G34" s="28">
        <v>25</v>
      </c>
      <c r="H34" s="2" t="s">
        <v>4</v>
      </c>
      <c r="I34" s="2" t="s">
        <v>4</v>
      </c>
      <c r="J34" s="28">
        <v>200</v>
      </c>
      <c r="K34" s="28" t="s">
        <v>62</v>
      </c>
      <c r="L34" s="2" t="s">
        <v>4</v>
      </c>
      <c r="Q34" s="1"/>
      <c r="R34" s="1"/>
      <c r="S34" s="1"/>
    </row>
    <row r="35" spans="1:19" x14ac:dyDescent="0.25">
      <c r="A35" s="15" t="s">
        <v>848</v>
      </c>
      <c r="B35" s="15" t="s">
        <v>847</v>
      </c>
      <c r="C35" s="2">
        <v>29068165</v>
      </c>
      <c r="D35" s="2" t="s">
        <v>65</v>
      </c>
      <c r="E35" s="2" t="s">
        <v>106</v>
      </c>
      <c r="F35" s="28">
        <v>100</v>
      </c>
      <c r="G35" s="28">
        <v>5</v>
      </c>
      <c r="H35" s="2" t="s">
        <v>4</v>
      </c>
      <c r="I35" s="2" t="s">
        <v>3</v>
      </c>
      <c r="J35" s="28" t="s">
        <v>62</v>
      </c>
      <c r="K35" s="28" t="s">
        <v>62</v>
      </c>
      <c r="L35" s="2" t="s">
        <v>4</v>
      </c>
      <c r="Q35" s="1"/>
      <c r="R35" s="1"/>
      <c r="S35" s="1"/>
    </row>
    <row r="36" spans="1:19" x14ac:dyDescent="0.25">
      <c r="A36" s="15" t="s">
        <v>846</v>
      </c>
      <c r="B36" s="15" t="s">
        <v>845</v>
      </c>
      <c r="C36" s="2">
        <v>29068165</v>
      </c>
      <c r="D36" s="2" t="s">
        <v>65</v>
      </c>
      <c r="E36" s="2" t="s">
        <v>106</v>
      </c>
      <c r="F36" s="28">
        <v>100</v>
      </c>
      <c r="G36" s="28">
        <v>0</v>
      </c>
      <c r="H36" s="2" t="s">
        <v>4</v>
      </c>
      <c r="I36" s="2" t="s">
        <v>3</v>
      </c>
      <c r="J36" s="28" t="s">
        <v>62</v>
      </c>
      <c r="K36" s="28" t="s">
        <v>62</v>
      </c>
      <c r="L36" s="2" t="s">
        <v>4</v>
      </c>
      <c r="Q36" s="1"/>
      <c r="R36" s="1"/>
      <c r="S36" s="1"/>
    </row>
    <row r="37" spans="1:19" x14ac:dyDescent="0.25">
      <c r="A37" s="15" t="s">
        <v>844</v>
      </c>
      <c r="B37" s="15" t="s">
        <v>843</v>
      </c>
      <c r="C37" s="2">
        <v>29068165</v>
      </c>
      <c r="D37" s="2" t="s">
        <v>65</v>
      </c>
      <c r="E37" s="2" t="s">
        <v>106</v>
      </c>
      <c r="F37" s="28">
        <v>100</v>
      </c>
      <c r="G37" s="28">
        <v>0</v>
      </c>
      <c r="H37" s="2" t="s">
        <v>4</v>
      </c>
      <c r="I37" s="2" t="s">
        <v>3</v>
      </c>
      <c r="J37" s="28" t="s">
        <v>62</v>
      </c>
      <c r="K37" s="28" t="s">
        <v>62</v>
      </c>
      <c r="L37" s="2" t="s">
        <v>4</v>
      </c>
      <c r="Q37" s="1"/>
      <c r="R37" s="1"/>
      <c r="S37" s="1"/>
    </row>
    <row r="38" spans="1:19" x14ac:dyDescent="0.25">
      <c r="A38" s="15" t="s">
        <v>842</v>
      </c>
      <c r="B38" s="15" t="s">
        <v>841</v>
      </c>
      <c r="C38" s="2">
        <v>29068165</v>
      </c>
      <c r="D38" s="2" t="s">
        <v>65</v>
      </c>
      <c r="E38" s="2" t="s">
        <v>106</v>
      </c>
      <c r="F38" s="28">
        <v>100</v>
      </c>
      <c r="G38" s="28">
        <v>15</v>
      </c>
      <c r="H38" s="2" t="s">
        <v>4</v>
      </c>
      <c r="I38" s="2" t="s">
        <v>4</v>
      </c>
      <c r="J38" s="28">
        <v>333.33333333333337</v>
      </c>
      <c r="K38" s="28" t="s">
        <v>62</v>
      </c>
      <c r="L38" s="2" t="s">
        <v>4</v>
      </c>
      <c r="Q38" s="1"/>
      <c r="R38" s="1"/>
      <c r="S38" s="1"/>
    </row>
    <row r="39" spans="1:19" x14ac:dyDescent="0.25">
      <c r="A39" s="15" t="s">
        <v>840</v>
      </c>
      <c r="B39" s="15" t="s">
        <v>839</v>
      </c>
      <c r="C39" s="2">
        <v>29068165</v>
      </c>
      <c r="D39" s="2" t="s">
        <v>65</v>
      </c>
      <c r="E39" s="2" t="s">
        <v>106</v>
      </c>
      <c r="F39" s="28">
        <v>100</v>
      </c>
      <c r="G39" s="28">
        <v>0</v>
      </c>
      <c r="H39" s="2" t="s">
        <v>4</v>
      </c>
      <c r="I39" s="2" t="s">
        <v>3</v>
      </c>
      <c r="J39" s="28" t="s">
        <v>62</v>
      </c>
      <c r="K39" s="28" t="s">
        <v>62</v>
      </c>
      <c r="L39" s="2" t="s">
        <v>4</v>
      </c>
      <c r="Q39" s="1"/>
      <c r="R39" s="1"/>
      <c r="S39" s="1"/>
    </row>
    <row r="40" spans="1:19" x14ac:dyDescent="0.25">
      <c r="A40" s="15" t="s">
        <v>838</v>
      </c>
      <c r="B40" s="15" t="s">
        <v>837</v>
      </c>
      <c r="C40" s="2">
        <v>26197536</v>
      </c>
      <c r="D40" s="2" t="s">
        <v>316</v>
      </c>
      <c r="E40" s="2" t="s">
        <v>64</v>
      </c>
      <c r="F40" s="28" t="s">
        <v>63</v>
      </c>
      <c r="G40" s="28" t="s">
        <v>62</v>
      </c>
      <c r="H40" s="2" t="s">
        <v>4</v>
      </c>
      <c r="I40" s="2" t="s">
        <v>4</v>
      </c>
      <c r="J40" s="28" t="s">
        <v>62</v>
      </c>
      <c r="K40" s="28" t="s">
        <v>62</v>
      </c>
      <c r="L40" s="2" t="s">
        <v>4</v>
      </c>
      <c r="Q40" s="1"/>
      <c r="R40" s="1"/>
      <c r="S40" s="1"/>
    </row>
    <row r="41" spans="1:19" x14ac:dyDescent="0.25">
      <c r="A41" s="15" t="s">
        <v>836</v>
      </c>
      <c r="B41" s="15" t="s">
        <v>835</v>
      </c>
      <c r="C41" s="2">
        <v>26197536</v>
      </c>
      <c r="D41" s="2" t="s">
        <v>316</v>
      </c>
      <c r="E41" s="2" t="s">
        <v>64</v>
      </c>
      <c r="F41" s="28" t="s">
        <v>63</v>
      </c>
      <c r="G41" s="28" t="s">
        <v>62</v>
      </c>
      <c r="H41" s="2" t="s">
        <v>4</v>
      </c>
      <c r="I41" s="2" t="s">
        <v>4</v>
      </c>
      <c r="J41" s="28" t="s">
        <v>62</v>
      </c>
      <c r="K41" s="28" t="s">
        <v>62</v>
      </c>
      <c r="L41" s="2" t="s">
        <v>4</v>
      </c>
      <c r="Q41" s="1"/>
      <c r="R41" s="1"/>
      <c r="S41" s="1"/>
    </row>
    <row r="42" spans="1:19" x14ac:dyDescent="0.25">
      <c r="A42" s="15" t="s">
        <v>834</v>
      </c>
      <c r="B42" s="15" t="s">
        <v>833</v>
      </c>
      <c r="C42" s="2">
        <v>25514140</v>
      </c>
      <c r="D42" s="2" t="s">
        <v>311</v>
      </c>
      <c r="E42" s="2" t="s">
        <v>64</v>
      </c>
      <c r="F42" s="28" t="s">
        <v>63</v>
      </c>
      <c r="G42" s="28" t="s">
        <v>62</v>
      </c>
      <c r="H42" s="2" t="s">
        <v>4</v>
      </c>
      <c r="I42" s="2" t="s">
        <v>4</v>
      </c>
      <c r="J42" s="28" t="s">
        <v>62</v>
      </c>
      <c r="K42" s="28">
        <v>62</v>
      </c>
      <c r="L42" s="2" t="s">
        <v>4</v>
      </c>
      <c r="Q42" s="1"/>
      <c r="R42" s="1"/>
      <c r="S42" s="1"/>
    </row>
    <row r="43" spans="1:19" x14ac:dyDescent="0.25">
      <c r="A43" s="15" t="s">
        <v>832</v>
      </c>
      <c r="B43" s="15" t="s">
        <v>831</v>
      </c>
      <c r="C43" s="2">
        <v>25514140</v>
      </c>
      <c r="D43" s="2" t="s">
        <v>311</v>
      </c>
      <c r="E43" s="2" t="s">
        <v>64</v>
      </c>
      <c r="F43" s="28" t="s">
        <v>63</v>
      </c>
      <c r="G43" s="28" t="s">
        <v>62</v>
      </c>
      <c r="H43" s="2" t="s">
        <v>4</v>
      </c>
      <c r="I43" s="2" t="s">
        <v>4</v>
      </c>
      <c r="J43" s="28" t="s">
        <v>62</v>
      </c>
      <c r="K43" s="28">
        <v>79</v>
      </c>
      <c r="L43" s="2" t="s">
        <v>4</v>
      </c>
      <c r="Q43" s="1"/>
      <c r="R43" s="1"/>
      <c r="S43" s="1"/>
    </row>
    <row r="44" spans="1:19" x14ac:dyDescent="0.25">
      <c r="A44" s="15" t="s">
        <v>830</v>
      </c>
      <c r="B44" s="15" t="s">
        <v>829</v>
      </c>
      <c r="C44" s="2">
        <v>25514140</v>
      </c>
      <c r="D44" s="2" t="s">
        <v>311</v>
      </c>
      <c r="E44" s="2" t="s">
        <v>64</v>
      </c>
      <c r="F44" s="28" t="s">
        <v>63</v>
      </c>
      <c r="G44" s="28" t="s">
        <v>62</v>
      </c>
      <c r="H44" s="2" t="s">
        <v>4</v>
      </c>
      <c r="I44" s="2" t="s">
        <v>4</v>
      </c>
      <c r="J44" s="28" t="s">
        <v>62</v>
      </c>
      <c r="K44" s="28">
        <v>100</v>
      </c>
      <c r="L44" s="2" t="s">
        <v>4</v>
      </c>
      <c r="Q44" s="1"/>
      <c r="R44" s="1"/>
      <c r="S44" s="1"/>
    </row>
    <row r="45" spans="1:19" x14ac:dyDescent="0.25">
      <c r="A45" s="15" t="s">
        <v>828</v>
      </c>
      <c r="B45" s="15" t="s">
        <v>827</v>
      </c>
      <c r="C45" s="2">
        <v>25514140</v>
      </c>
      <c r="D45" s="2" t="s">
        <v>311</v>
      </c>
      <c r="E45" s="2" t="s">
        <v>64</v>
      </c>
      <c r="F45" s="28" t="s">
        <v>63</v>
      </c>
      <c r="G45" s="28" t="s">
        <v>62</v>
      </c>
      <c r="H45" s="2" t="s">
        <v>4</v>
      </c>
      <c r="I45" s="2" t="s">
        <v>4</v>
      </c>
      <c r="J45" s="28" t="s">
        <v>62</v>
      </c>
      <c r="K45" s="28" t="s">
        <v>62</v>
      </c>
      <c r="L45" s="2" t="s">
        <v>4</v>
      </c>
      <c r="Q45" s="1"/>
      <c r="R45" s="1"/>
      <c r="S45" s="1"/>
    </row>
    <row r="46" spans="1:19" x14ac:dyDescent="0.25">
      <c r="A46" s="15" t="s">
        <v>826</v>
      </c>
      <c r="B46" s="15" t="s">
        <v>825</v>
      </c>
      <c r="C46" s="2">
        <v>25514140</v>
      </c>
      <c r="D46" s="2" t="s">
        <v>311</v>
      </c>
      <c r="E46" s="2" t="s">
        <v>64</v>
      </c>
      <c r="F46" s="28" t="s">
        <v>63</v>
      </c>
      <c r="G46" s="28" t="s">
        <v>62</v>
      </c>
      <c r="H46" s="2" t="s">
        <v>4</v>
      </c>
      <c r="I46" s="2" t="s">
        <v>4</v>
      </c>
      <c r="J46" s="28" t="s">
        <v>62</v>
      </c>
      <c r="K46" s="28" t="s">
        <v>62</v>
      </c>
      <c r="L46" s="2" t="s">
        <v>4</v>
      </c>
      <c r="Q46" s="1"/>
      <c r="R46" s="1"/>
      <c r="S46" s="1"/>
    </row>
    <row r="47" spans="1:19" x14ac:dyDescent="0.25">
      <c r="A47" s="15" t="s">
        <v>824</v>
      </c>
      <c r="B47" s="15" t="s">
        <v>823</v>
      </c>
      <c r="C47" s="2">
        <v>25514140</v>
      </c>
      <c r="D47" s="2" t="s">
        <v>311</v>
      </c>
      <c r="E47" s="2" t="s">
        <v>64</v>
      </c>
      <c r="F47" s="28" t="s">
        <v>63</v>
      </c>
      <c r="G47" s="28" t="s">
        <v>62</v>
      </c>
      <c r="H47" s="2" t="s">
        <v>4</v>
      </c>
      <c r="I47" s="2" t="s">
        <v>4</v>
      </c>
      <c r="J47" s="28" t="s">
        <v>62</v>
      </c>
      <c r="K47" s="28">
        <v>100</v>
      </c>
      <c r="L47" s="2" t="s">
        <v>4</v>
      </c>
      <c r="Q47" s="1"/>
      <c r="R47" s="1"/>
      <c r="S47" s="1"/>
    </row>
    <row r="48" spans="1:19" x14ac:dyDescent="0.25">
      <c r="A48" s="15" t="s">
        <v>822</v>
      </c>
      <c r="B48" s="15" t="s">
        <v>821</v>
      </c>
      <c r="C48" s="2">
        <v>31230920</v>
      </c>
      <c r="D48" s="2" t="s">
        <v>130</v>
      </c>
      <c r="E48" s="2" t="s">
        <v>106</v>
      </c>
      <c r="F48" s="28">
        <v>50</v>
      </c>
      <c r="G48" s="28">
        <v>1E-3</v>
      </c>
      <c r="H48" s="2" t="s">
        <v>4</v>
      </c>
      <c r="I48" s="2" t="s">
        <v>3</v>
      </c>
      <c r="J48" s="28" t="s">
        <v>62</v>
      </c>
      <c r="K48" s="28" t="s">
        <v>62</v>
      </c>
      <c r="L48" s="2" t="s">
        <v>4</v>
      </c>
      <c r="Q48" s="1"/>
      <c r="R48" s="1"/>
      <c r="S48" s="1"/>
    </row>
    <row r="49" spans="1:19" x14ac:dyDescent="0.25">
      <c r="A49" s="15" t="s">
        <v>820</v>
      </c>
      <c r="B49" s="15" t="s">
        <v>819</v>
      </c>
      <c r="C49" s="2">
        <v>31230920</v>
      </c>
      <c r="D49" s="2" t="s">
        <v>130</v>
      </c>
      <c r="E49" s="2" t="s">
        <v>106</v>
      </c>
      <c r="F49" s="28">
        <v>50</v>
      </c>
      <c r="G49" s="28">
        <v>1.2E-2</v>
      </c>
      <c r="H49" s="2" t="s">
        <v>4</v>
      </c>
      <c r="I49" s="2" t="s">
        <v>3</v>
      </c>
      <c r="J49" s="28" t="s">
        <v>62</v>
      </c>
      <c r="K49" s="28" t="s">
        <v>62</v>
      </c>
      <c r="L49" s="2" t="s">
        <v>4</v>
      </c>
      <c r="Q49" s="1"/>
      <c r="R49" s="1"/>
      <c r="S49" s="1"/>
    </row>
    <row r="50" spans="1:19" x14ac:dyDescent="0.25">
      <c r="A50" s="15" t="s">
        <v>818</v>
      </c>
      <c r="B50" s="15" t="s">
        <v>817</v>
      </c>
      <c r="C50" s="2">
        <v>31230920</v>
      </c>
      <c r="D50" s="2" t="s">
        <v>130</v>
      </c>
      <c r="E50" s="2" t="s">
        <v>106</v>
      </c>
      <c r="F50" s="28">
        <v>50</v>
      </c>
      <c r="G50" s="28">
        <v>9.7000000000000003E-2</v>
      </c>
      <c r="H50" s="2" t="s">
        <v>4</v>
      </c>
      <c r="I50" s="2" t="s">
        <v>3</v>
      </c>
      <c r="J50" s="28" t="s">
        <v>62</v>
      </c>
      <c r="K50" s="28" t="s">
        <v>62</v>
      </c>
      <c r="L50" s="2" t="s">
        <v>4</v>
      </c>
      <c r="Q50" s="1"/>
      <c r="R50" s="1"/>
      <c r="S50" s="1"/>
    </row>
    <row r="51" spans="1:19" x14ac:dyDescent="0.25">
      <c r="A51" s="15" t="s">
        <v>816</v>
      </c>
      <c r="B51" s="15" t="s">
        <v>815</v>
      </c>
      <c r="C51" s="2">
        <v>31230920</v>
      </c>
      <c r="D51" s="2" t="s">
        <v>130</v>
      </c>
      <c r="E51" s="2" t="s">
        <v>106</v>
      </c>
      <c r="F51" s="28">
        <v>50</v>
      </c>
      <c r="G51" s="28">
        <v>0.3</v>
      </c>
      <c r="H51" s="2" t="s">
        <v>4</v>
      </c>
      <c r="I51" s="2" t="s">
        <v>3</v>
      </c>
      <c r="J51" s="28" t="s">
        <v>62</v>
      </c>
      <c r="K51" s="28" t="s">
        <v>62</v>
      </c>
      <c r="L51" s="2" t="s">
        <v>4</v>
      </c>
      <c r="Q51" s="1"/>
      <c r="R51" s="1"/>
      <c r="S51" s="1"/>
    </row>
    <row r="52" spans="1:19" x14ac:dyDescent="0.25">
      <c r="A52" s="15" t="s">
        <v>814</v>
      </c>
      <c r="B52" s="15" t="s">
        <v>813</v>
      </c>
      <c r="C52" s="2">
        <v>31230920</v>
      </c>
      <c r="D52" s="2" t="s">
        <v>130</v>
      </c>
      <c r="E52" s="2" t="s">
        <v>106</v>
      </c>
      <c r="F52" s="28">
        <v>50</v>
      </c>
      <c r="G52" s="28">
        <v>1.8</v>
      </c>
      <c r="H52" s="2" t="s">
        <v>4</v>
      </c>
      <c r="I52" s="2" t="s">
        <v>3</v>
      </c>
      <c r="J52" s="28" t="s">
        <v>62</v>
      </c>
      <c r="K52" s="28" t="s">
        <v>62</v>
      </c>
      <c r="L52" s="2" t="s">
        <v>4</v>
      </c>
      <c r="Q52" s="1"/>
      <c r="R52" s="1"/>
      <c r="S52" s="1"/>
    </row>
    <row r="53" spans="1:19" x14ac:dyDescent="0.25">
      <c r="A53" s="15" t="s">
        <v>812</v>
      </c>
      <c r="B53" s="15" t="s">
        <v>811</v>
      </c>
      <c r="C53" s="2">
        <v>31230920</v>
      </c>
      <c r="D53" s="2" t="s">
        <v>130</v>
      </c>
      <c r="E53" s="2" t="s">
        <v>106</v>
      </c>
      <c r="F53" s="28">
        <v>50</v>
      </c>
      <c r="G53" s="28">
        <v>1.8</v>
      </c>
      <c r="H53" s="2" t="s">
        <v>4</v>
      </c>
      <c r="I53" s="2" t="s">
        <v>3</v>
      </c>
      <c r="J53" s="28" t="s">
        <v>62</v>
      </c>
      <c r="K53" s="28" t="s">
        <v>62</v>
      </c>
      <c r="L53" s="2" t="s">
        <v>4</v>
      </c>
      <c r="Q53" s="1"/>
      <c r="R53" s="1"/>
      <c r="S53" s="1"/>
    </row>
    <row r="54" spans="1:19" x14ac:dyDescent="0.25">
      <c r="A54" s="15" t="s">
        <v>810</v>
      </c>
      <c r="B54" s="15" t="s">
        <v>809</v>
      </c>
      <c r="C54" s="2">
        <v>31230920</v>
      </c>
      <c r="D54" s="2" t="s">
        <v>130</v>
      </c>
      <c r="E54" s="2" t="s">
        <v>106</v>
      </c>
      <c r="F54" s="28">
        <v>50</v>
      </c>
      <c r="G54" s="28">
        <v>1.9</v>
      </c>
      <c r="H54" s="2" t="s">
        <v>4</v>
      </c>
      <c r="I54" s="2" t="s">
        <v>3</v>
      </c>
      <c r="J54" s="28" t="s">
        <v>62</v>
      </c>
      <c r="K54" s="28" t="s">
        <v>62</v>
      </c>
      <c r="L54" s="2" t="s">
        <v>4</v>
      </c>
      <c r="Q54" s="1"/>
      <c r="R54" s="1"/>
      <c r="S54" s="1"/>
    </row>
    <row r="55" spans="1:19" x14ac:dyDescent="0.25">
      <c r="A55" s="15" t="s">
        <v>808</v>
      </c>
      <c r="B55" s="15" t="s">
        <v>807</v>
      </c>
      <c r="C55" s="2">
        <v>31230920</v>
      </c>
      <c r="D55" s="2" t="s">
        <v>130</v>
      </c>
      <c r="E55" s="2" t="s">
        <v>106</v>
      </c>
      <c r="F55" s="28">
        <v>50</v>
      </c>
      <c r="G55" s="28">
        <v>17.100000000000001</v>
      </c>
      <c r="H55" s="2" t="s">
        <v>4</v>
      </c>
      <c r="I55" s="2" t="s">
        <v>4</v>
      </c>
      <c r="J55" s="28">
        <v>146.1988304093567</v>
      </c>
      <c r="K55" s="28" t="s">
        <v>62</v>
      </c>
      <c r="L55" s="2" t="s">
        <v>4</v>
      </c>
      <c r="Q55" s="1"/>
      <c r="R55" s="1"/>
      <c r="S55" s="1"/>
    </row>
    <row r="56" spans="1:19" x14ac:dyDescent="0.25">
      <c r="A56" s="15" t="s">
        <v>806</v>
      </c>
      <c r="B56" s="15" t="s">
        <v>805</v>
      </c>
      <c r="C56" s="2">
        <v>31230920</v>
      </c>
      <c r="D56" s="2" t="s">
        <v>130</v>
      </c>
      <c r="E56" s="2" t="s">
        <v>106</v>
      </c>
      <c r="F56" s="28">
        <v>50</v>
      </c>
      <c r="G56" s="28">
        <v>18.899999999999999</v>
      </c>
      <c r="H56" s="2" t="s">
        <v>4</v>
      </c>
      <c r="I56" s="2" t="s">
        <v>4</v>
      </c>
      <c r="J56" s="28">
        <v>132.27513227513228</v>
      </c>
      <c r="K56" s="28" t="s">
        <v>62</v>
      </c>
      <c r="L56" s="2" t="s">
        <v>4</v>
      </c>
      <c r="Q56" s="1"/>
      <c r="R56" s="1"/>
      <c r="S56" s="1"/>
    </row>
    <row r="57" spans="1:19" x14ac:dyDescent="0.25">
      <c r="A57" s="15" t="s">
        <v>804</v>
      </c>
      <c r="B57" s="15" t="s">
        <v>803</v>
      </c>
      <c r="C57" s="2">
        <v>31230920</v>
      </c>
      <c r="D57" s="2" t="s">
        <v>130</v>
      </c>
      <c r="E57" s="2" t="s">
        <v>106</v>
      </c>
      <c r="F57" s="28">
        <v>50</v>
      </c>
      <c r="G57" s="28">
        <v>51</v>
      </c>
      <c r="H57" s="2" t="s">
        <v>4</v>
      </c>
      <c r="I57" s="2" t="s">
        <v>4</v>
      </c>
      <c r="J57" s="28">
        <v>49.019607843137251</v>
      </c>
      <c r="K57" s="28" t="s">
        <v>62</v>
      </c>
      <c r="L57" s="2" t="s">
        <v>4</v>
      </c>
      <c r="Q57" s="1"/>
      <c r="R57" s="1"/>
      <c r="S57" s="1"/>
    </row>
    <row r="58" spans="1:19" x14ac:dyDescent="0.25">
      <c r="A58" s="15" t="s">
        <v>802</v>
      </c>
      <c r="B58" s="15" t="s">
        <v>801</v>
      </c>
      <c r="C58" s="2">
        <v>31230920</v>
      </c>
      <c r="D58" s="2" t="s">
        <v>130</v>
      </c>
      <c r="E58" s="2" t="s">
        <v>106</v>
      </c>
      <c r="F58" s="28">
        <v>50</v>
      </c>
      <c r="G58" s="28">
        <v>86.2</v>
      </c>
      <c r="H58" s="2" t="s">
        <v>4</v>
      </c>
      <c r="I58" s="2" t="s">
        <v>4</v>
      </c>
      <c r="J58" s="28">
        <v>29.002320185614849</v>
      </c>
      <c r="K58" s="28" t="s">
        <v>62</v>
      </c>
      <c r="L58" s="2" t="s">
        <v>4</v>
      </c>
      <c r="Q58" s="1"/>
      <c r="R58" s="1"/>
      <c r="S58" s="1"/>
    </row>
    <row r="59" spans="1:19" x14ac:dyDescent="0.25">
      <c r="A59" s="15" t="s">
        <v>800</v>
      </c>
      <c r="B59" s="15" t="s">
        <v>799</v>
      </c>
      <c r="C59" s="2">
        <v>31230920</v>
      </c>
      <c r="D59" s="2" t="s">
        <v>130</v>
      </c>
      <c r="E59" s="2" t="s">
        <v>106</v>
      </c>
      <c r="F59" s="28">
        <v>50</v>
      </c>
      <c r="G59" s="28">
        <v>86.6</v>
      </c>
      <c r="H59" s="2" t="s">
        <v>4</v>
      </c>
      <c r="I59" s="2" t="s">
        <v>4</v>
      </c>
      <c r="J59" s="28">
        <v>28.868360277136262</v>
      </c>
      <c r="K59" s="28" t="s">
        <v>62</v>
      </c>
      <c r="L59" s="2" t="s">
        <v>4</v>
      </c>
      <c r="Q59" s="1"/>
      <c r="R59" s="1"/>
      <c r="S59" s="1"/>
    </row>
    <row r="60" spans="1:19" x14ac:dyDescent="0.25">
      <c r="A60" s="15" t="s">
        <v>798</v>
      </c>
      <c r="B60" s="15" t="s">
        <v>797</v>
      </c>
      <c r="C60" s="2">
        <v>29649816</v>
      </c>
      <c r="D60" s="2" t="s">
        <v>65</v>
      </c>
      <c r="E60" s="2" t="s">
        <v>64</v>
      </c>
      <c r="F60" s="28" t="s">
        <v>63</v>
      </c>
      <c r="G60" s="28" t="s">
        <v>62</v>
      </c>
      <c r="H60" s="2" t="s">
        <v>4</v>
      </c>
      <c r="I60" s="2" t="s">
        <v>4</v>
      </c>
      <c r="J60" s="28" t="s">
        <v>62</v>
      </c>
      <c r="K60" s="28" t="s">
        <v>62</v>
      </c>
      <c r="L60" s="2" t="s">
        <v>4</v>
      </c>
      <c r="Q60" s="1"/>
      <c r="R60" s="1"/>
      <c r="S60" s="1"/>
    </row>
    <row r="61" spans="1:19" x14ac:dyDescent="0.25">
      <c r="A61" s="15" t="s">
        <v>796</v>
      </c>
      <c r="B61" s="15" t="s">
        <v>795</v>
      </c>
      <c r="C61" s="2">
        <v>29649816</v>
      </c>
      <c r="D61" s="2" t="s">
        <v>65</v>
      </c>
      <c r="E61" s="2" t="s">
        <v>64</v>
      </c>
      <c r="F61" s="28" t="s">
        <v>63</v>
      </c>
      <c r="G61" s="28" t="s">
        <v>62</v>
      </c>
      <c r="H61" s="2" t="s">
        <v>4</v>
      </c>
      <c r="I61" s="2" t="s">
        <v>4</v>
      </c>
      <c r="J61" s="28" t="s">
        <v>62</v>
      </c>
      <c r="K61" s="28">
        <v>6.19</v>
      </c>
      <c r="L61" s="2" t="s">
        <v>3</v>
      </c>
      <c r="Q61" s="1"/>
      <c r="R61" s="1"/>
      <c r="S61" s="1"/>
    </row>
    <row r="62" spans="1:19" x14ac:dyDescent="0.25">
      <c r="A62" s="15" t="s">
        <v>794</v>
      </c>
      <c r="B62" s="15" t="s">
        <v>793</v>
      </c>
      <c r="C62" s="2">
        <v>29649816</v>
      </c>
      <c r="D62" s="2" t="s">
        <v>65</v>
      </c>
      <c r="E62" s="2" t="s">
        <v>64</v>
      </c>
      <c r="F62" s="28" t="s">
        <v>63</v>
      </c>
      <c r="G62" s="28" t="s">
        <v>62</v>
      </c>
      <c r="H62" s="2" t="s">
        <v>4</v>
      </c>
      <c r="I62" s="2" t="s">
        <v>4</v>
      </c>
      <c r="J62" s="28" t="s">
        <v>62</v>
      </c>
      <c r="K62" s="28" t="s">
        <v>62</v>
      </c>
      <c r="L62" s="2" t="s">
        <v>4</v>
      </c>
      <c r="Q62" s="1"/>
      <c r="R62" s="1"/>
      <c r="S62" s="1"/>
    </row>
    <row r="63" spans="1:19" x14ac:dyDescent="0.25">
      <c r="A63" s="15" t="s">
        <v>792</v>
      </c>
      <c r="B63" s="15" t="s">
        <v>791</v>
      </c>
      <c r="C63" s="2">
        <v>29649816</v>
      </c>
      <c r="D63" s="2" t="s">
        <v>65</v>
      </c>
      <c r="E63" s="2" t="s">
        <v>64</v>
      </c>
      <c r="F63" s="28" t="s">
        <v>63</v>
      </c>
      <c r="G63" s="28" t="s">
        <v>62</v>
      </c>
      <c r="H63" s="2" t="s">
        <v>4</v>
      </c>
      <c r="I63" s="2" t="s">
        <v>4</v>
      </c>
      <c r="J63" s="28" t="s">
        <v>62</v>
      </c>
      <c r="K63" s="28" t="s">
        <v>62</v>
      </c>
      <c r="L63" s="2" t="s">
        <v>4</v>
      </c>
      <c r="Q63" s="1"/>
      <c r="R63" s="1"/>
      <c r="S63" s="1"/>
    </row>
    <row r="64" spans="1:19" x14ac:dyDescent="0.25">
      <c r="A64" s="15" t="s">
        <v>790</v>
      </c>
      <c r="B64" s="15" t="s">
        <v>789</v>
      </c>
      <c r="C64" s="2">
        <v>29649816</v>
      </c>
      <c r="D64" s="2" t="s">
        <v>65</v>
      </c>
      <c r="E64" s="2" t="s">
        <v>64</v>
      </c>
      <c r="F64" s="28" t="s">
        <v>63</v>
      </c>
      <c r="G64" s="28" t="s">
        <v>62</v>
      </c>
      <c r="H64" s="2" t="s">
        <v>4</v>
      </c>
      <c r="I64" s="2" t="s">
        <v>4</v>
      </c>
      <c r="J64" s="28" t="s">
        <v>62</v>
      </c>
      <c r="K64" s="28" t="s">
        <v>62</v>
      </c>
      <c r="L64" s="2" t="s">
        <v>4</v>
      </c>
      <c r="Q64" s="1"/>
      <c r="R64" s="1"/>
      <c r="S64" s="1"/>
    </row>
    <row r="65" spans="1:19" x14ac:dyDescent="0.25">
      <c r="A65" s="15" t="s">
        <v>788</v>
      </c>
      <c r="B65" s="15" t="s">
        <v>787</v>
      </c>
      <c r="C65" s="2">
        <v>29649816</v>
      </c>
      <c r="D65" s="2" t="s">
        <v>65</v>
      </c>
      <c r="E65" s="2" t="s">
        <v>64</v>
      </c>
      <c r="F65" s="28" t="s">
        <v>63</v>
      </c>
      <c r="G65" s="28" t="s">
        <v>62</v>
      </c>
      <c r="H65" s="2" t="s">
        <v>4</v>
      </c>
      <c r="I65" s="2" t="s">
        <v>4</v>
      </c>
      <c r="J65" s="28" t="s">
        <v>62</v>
      </c>
      <c r="K65" s="28" t="s">
        <v>62</v>
      </c>
      <c r="L65" s="2" t="s">
        <v>4</v>
      </c>
      <c r="Q65" s="1"/>
      <c r="R65" s="1"/>
      <c r="S65" s="1"/>
    </row>
    <row r="66" spans="1:19" x14ac:dyDescent="0.25">
      <c r="A66" s="15" t="s">
        <v>786</v>
      </c>
      <c r="B66" s="15" t="s">
        <v>785</v>
      </c>
      <c r="C66" s="2">
        <v>29649816</v>
      </c>
      <c r="D66" s="2" t="s">
        <v>65</v>
      </c>
      <c r="E66" s="2" t="s">
        <v>64</v>
      </c>
      <c r="F66" s="28" t="s">
        <v>63</v>
      </c>
      <c r="G66" s="28" t="s">
        <v>62</v>
      </c>
      <c r="H66" s="2" t="s">
        <v>4</v>
      </c>
      <c r="I66" s="2" t="s">
        <v>4</v>
      </c>
      <c r="J66" s="28" t="s">
        <v>62</v>
      </c>
      <c r="K66" s="28" t="s">
        <v>62</v>
      </c>
      <c r="L66" s="2" t="s">
        <v>4</v>
      </c>
      <c r="Q66" s="1"/>
      <c r="R66" s="1"/>
      <c r="S66" s="1"/>
    </row>
    <row r="67" spans="1:19" x14ac:dyDescent="0.25">
      <c r="A67" s="15" t="s">
        <v>784</v>
      </c>
      <c r="B67" s="15" t="s">
        <v>783</v>
      </c>
      <c r="C67" s="2">
        <v>29649816</v>
      </c>
      <c r="D67" s="2" t="s">
        <v>65</v>
      </c>
      <c r="E67" s="2" t="s">
        <v>64</v>
      </c>
      <c r="F67" s="28" t="s">
        <v>63</v>
      </c>
      <c r="G67" s="28" t="s">
        <v>62</v>
      </c>
      <c r="H67" s="2" t="s">
        <v>4</v>
      </c>
      <c r="I67" s="2" t="s">
        <v>4</v>
      </c>
      <c r="J67" s="28" t="s">
        <v>62</v>
      </c>
      <c r="K67" s="28" t="s">
        <v>62</v>
      </c>
      <c r="L67" s="2" t="s">
        <v>4</v>
      </c>
      <c r="Q67" s="1"/>
      <c r="R67" s="1"/>
      <c r="S67" s="1"/>
    </row>
    <row r="68" spans="1:19" x14ac:dyDescent="0.25">
      <c r="A68" s="15" t="s">
        <v>782</v>
      </c>
      <c r="B68" s="15" t="s">
        <v>781</v>
      </c>
      <c r="C68" s="2">
        <v>29649816</v>
      </c>
      <c r="D68" s="2" t="s">
        <v>65</v>
      </c>
      <c r="E68" s="2" t="s">
        <v>64</v>
      </c>
      <c r="F68" s="28" t="s">
        <v>63</v>
      </c>
      <c r="G68" s="28" t="s">
        <v>62</v>
      </c>
      <c r="H68" s="2" t="s">
        <v>4</v>
      </c>
      <c r="I68" s="2" t="s">
        <v>4</v>
      </c>
      <c r="J68" s="28" t="s">
        <v>62</v>
      </c>
      <c r="K68" s="28">
        <v>11.21</v>
      </c>
      <c r="L68" s="2" t="s">
        <v>4</v>
      </c>
      <c r="Q68" s="1"/>
      <c r="R68" s="1"/>
      <c r="S68" s="1"/>
    </row>
    <row r="69" spans="1:19" x14ac:dyDescent="0.25">
      <c r="A69" s="15" t="s">
        <v>780</v>
      </c>
      <c r="B69" s="15" t="s">
        <v>779</v>
      </c>
      <c r="C69" s="2">
        <v>29649816</v>
      </c>
      <c r="D69" s="2" t="s">
        <v>65</v>
      </c>
      <c r="E69" s="2" t="s">
        <v>64</v>
      </c>
      <c r="F69" s="28" t="s">
        <v>63</v>
      </c>
      <c r="G69" s="28" t="s">
        <v>62</v>
      </c>
      <c r="H69" s="2" t="s">
        <v>4</v>
      </c>
      <c r="I69" s="2" t="s">
        <v>4</v>
      </c>
      <c r="J69" s="28" t="s">
        <v>62</v>
      </c>
      <c r="K69" s="28">
        <v>5.38</v>
      </c>
      <c r="L69" s="2" t="s">
        <v>3</v>
      </c>
      <c r="Q69" s="1"/>
      <c r="R69" s="1"/>
      <c r="S69" s="1"/>
    </row>
    <row r="70" spans="1:19" x14ac:dyDescent="0.25">
      <c r="A70" s="15" t="s">
        <v>778</v>
      </c>
      <c r="B70" s="15" t="s">
        <v>777</v>
      </c>
      <c r="C70" s="2">
        <v>29649816</v>
      </c>
      <c r="D70" s="2" t="s">
        <v>65</v>
      </c>
      <c r="E70" s="2" t="s">
        <v>64</v>
      </c>
      <c r="F70" s="28" t="s">
        <v>63</v>
      </c>
      <c r="G70" s="28" t="s">
        <v>62</v>
      </c>
      <c r="H70" s="2" t="s">
        <v>4</v>
      </c>
      <c r="I70" s="2" t="s">
        <v>4</v>
      </c>
      <c r="J70" s="28" t="s">
        <v>62</v>
      </c>
      <c r="K70" s="28" t="s">
        <v>62</v>
      </c>
      <c r="L70" s="2" t="s">
        <v>4</v>
      </c>
      <c r="Q70" s="1"/>
      <c r="R70" s="1"/>
      <c r="S70" s="1"/>
    </row>
    <row r="71" spans="1:19" x14ac:dyDescent="0.25">
      <c r="A71" s="15" t="s">
        <v>776</v>
      </c>
      <c r="B71" s="15" t="s">
        <v>775</v>
      </c>
      <c r="C71" s="2">
        <v>29649816</v>
      </c>
      <c r="D71" s="2" t="s">
        <v>65</v>
      </c>
      <c r="E71" s="2" t="s">
        <v>64</v>
      </c>
      <c r="F71" s="28" t="s">
        <v>63</v>
      </c>
      <c r="G71" s="28" t="s">
        <v>62</v>
      </c>
      <c r="H71" s="2" t="s">
        <v>4</v>
      </c>
      <c r="I71" s="2" t="s">
        <v>4</v>
      </c>
      <c r="J71" s="28" t="s">
        <v>62</v>
      </c>
      <c r="K71" s="28" t="s">
        <v>62</v>
      </c>
      <c r="L71" s="2" t="s">
        <v>4</v>
      </c>
      <c r="Q71" s="1"/>
      <c r="R71" s="1"/>
      <c r="S71" s="1"/>
    </row>
    <row r="72" spans="1:19" x14ac:dyDescent="0.25">
      <c r="A72" s="15" t="s">
        <v>774</v>
      </c>
      <c r="B72" s="15" t="s">
        <v>773</v>
      </c>
      <c r="C72" s="2">
        <v>29649816</v>
      </c>
      <c r="D72" s="2" t="s">
        <v>65</v>
      </c>
      <c r="E72" s="2" t="s">
        <v>64</v>
      </c>
      <c r="F72" s="28" t="s">
        <v>63</v>
      </c>
      <c r="G72" s="28" t="s">
        <v>62</v>
      </c>
      <c r="H72" s="2" t="s">
        <v>4</v>
      </c>
      <c r="I72" s="2" t="s">
        <v>4</v>
      </c>
      <c r="J72" s="28" t="s">
        <v>62</v>
      </c>
      <c r="K72" s="28">
        <v>8.9499999999999993</v>
      </c>
      <c r="L72" s="2" t="s">
        <v>3</v>
      </c>
      <c r="Q72" s="1"/>
      <c r="R72" s="1"/>
      <c r="S72" s="1"/>
    </row>
    <row r="73" spans="1:19" x14ac:dyDescent="0.25">
      <c r="A73" s="15" t="s">
        <v>772</v>
      </c>
      <c r="B73" s="15" t="s">
        <v>771</v>
      </c>
      <c r="C73" s="2">
        <v>29649816</v>
      </c>
      <c r="D73" s="2" t="s">
        <v>65</v>
      </c>
      <c r="E73" s="2" t="s">
        <v>64</v>
      </c>
      <c r="F73" s="28" t="s">
        <v>63</v>
      </c>
      <c r="G73" s="28" t="s">
        <v>62</v>
      </c>
      <c r="H73" s="2" t="s">
        <v>4</v>
      </c>
      <c r="I73" s="2" t="s">
        <v>4</v>
      </c>
      <c r="J73" s="28" t="s">
        <v>62</v>
      </c>
      <c r="K73" s="28">
        <v>18.86</v>
      </c>
      <c r="L73" s="2" t="s">
        <v>4</v>
      </c>
      <c r="Q73" s="1"/>
      <c r="R73" s="1"/>
      <c r="S73" s="1"/>
    </row>
    <row r="74" spans="1:19" x14ac:dyDescent="0.25">
      <c r="A74" s="15" t="s">
        <v>770</v>
      </c>
      <c r="B74" s="15" t="s">
        <v>769</v>
      </c>
      <c r="C74" s="2">
        <v>30692972</v>
      </c>
      <c r="D74" s="2" t="s">
        <v>130</v>
      </c>
      <c r="E74" s="2" t="s">
        <v>106</v>
      </c>
      <c r="F74" s="28">
        <v>10</v>
      </c>
      <c r="G74" s="28">
        <v>11</v>
      </c>
      <c r="H74" s="2" t="s">
        <v>4</v>
      </c>
      <c r="I74" s="2" t="s">
        <v>4</v>
      </c>
      <c r="J74" s="28">
        <v>45.45454545454546</v>
      </c>
      <c r="K74" s="28" t="s">
        <v>62</v>
      </c>
      <c r="L74" s="2" t="s">
        <v>4</v>
      </c>
      <c r="Q74" s="1"/>
      <c r="R74" s="1"/>
      <c r="S74" s="1"/>
    </row>
    <row r="75" spans="1:19" x14ac:dyDescent="0.25">
      <c r="A75" s="15" t="s">
        <v>768</v>
      </c>
      <c r="B75" s="15" t="s">
        <v>767</v>
      </c>
      <c r="C75" s="2">
        <v>30692972</v>
      </c>
      <c r="D75" s="2" t="s">
        <v>130</v>
      </c>
      <c r="E75" s="2" t="s">
        <v>106</v>
      </c>
      <c r="F75" s="28">
        <v>10</v>
      </c>
      <c r="G75" s="28">
        <v>36</v>
      </c>
      <c r="H75" s="2" t="s">
        <v>4</v>
      </c>
      <c r="I75" s="2" t="s">
        <v>4</v>
      </c>
      <c r="J75" s="28">
        <v>13.888888888888889</v>
      </c>
      <c r="K75" s="28" t="s">
        <v>62</v>
      </c>
      <c r="L75" s="2" t="s">
        <v>4</v>
      </c>
      <c r="Q75" s="1"/>
      <c r="R75" s="1"/>
      <c r="S75" s="1"/>
    </row>
    <row r="76" spans="1:19" x14ac:dyDescent="0.25">
      <c r="A76" s="15" t="s">
        <v>766</v>
      </c>
      <c r="B76" s="15" t="s">
        <v>765</v>
      </c>
      <c r="C76" s="2">
        <v>30692972</v>
      </c>
      <c r="D76" s="2" t="s">
        <v>130</v>
      </c>
      <c r="E76" s="2" t="s">
        <v>106</v>
      </c>
      <c r="F76" s="28">
        <v>10</v>
      </c>
      <c r="G76" s="28">
        <v>85</v>
      </c>
      <c r="H76" s="2" t="s">
        <v>4</v>
      </c>
      <c r="I76" s="2" t="s">
        <v>4</v>
      </c>
      <c r="J76" s="28">
        <v>5.882352941176471</v>
      </c>
      <c r="K76" s="28" t="s">
        <v>62</v>
      </c>
      <c r="L76" s="2" t="s">
        <v>3</v>
      </c>
      <c r="Q76" s="1"/>
      <c r="R76" s="1"/>
      <c r="S76" s="1"/>
    </row>
    <row r="77" spans="1:19" x14ac:dyDescent="0.25">
      <c r="A77" s="15" t="s">
        <v>764</v>
      </c>
      <c r="B77" s="15" t="s">
        <v>763</v>
      </c>
      <c r="C77" s="2">
        <v>30524392</v>
      </c>
      <c r="D77" s="2" t="s">
        <v>65</v>
      </c>
      <c r="E77" s="2" t="s">
        <v>106</v>
      </c>
      <c r="F77" s="28">
        <v>10</v>
      </c>
      <c r="G77" s="28">
        <v>38</v>
      </c>
      <c r="H77" s="2" t="s">
        <v>4</v>
      </c>
      <c r="I77" s="2" t="s">
        <v>4</v>
      </c>
      <c r="J77" s="28">
        <v>13.157894736842106</v>
      </c>
      <c r="K77" s="28" t="s">
        <v>62</v>
      </c>
      <c r="L77" s="2" t="s">
        <v>4</v>
      </c>
      <c r="Q77" s="1"/>
      <c r="R77" s="1"/>
      <c r="S77" s="1"/>
    </row>
    <row r="78" spans="1:19" x14ac:dyDescent="0.25">
      <c r="A78" s="15" t="s">
        <v>762</v>
      </c>
      <c r="B78" s="15" t="s">
        <v>761</v>
      </c>
      <c r="C78" s="2">
        <v>30524392</v>
      </c>
      <c r="D78" s="2" t="s">
        <v>65</v>
      </c>
      <c r="E78" s="2" t="s">
        <v>106</v>
      </c>
      <c r="F78" s="28">
        <v>10</v>
      </c>
      <c r="G78" s="28">
        <v>92</v>
      </c>
      <c r="H78" s="2" t="s">
        <v>3</v>
      </c>
      <c r="I78" s="2" t="s">
        <v>4</v>
      </c>
      <c r="J78" s="28" t="s">
        <v>62</v>
      </c>
      <c r="K78" s="28" t="s">
        <v>62</v>
      </c>
      <c r="L78" s="2" t="s">
        <v>3</v>
      </c>
      <c r="Q78" s="1"/>
      <c r="R78" s="1"/>
      <c r="S78" s="1"/>
    </row>
    <row r="79" spans="1:19" x14ac:dyDescent="0.25">
      <c r="A79" s="15" t="s">
        <v>760</v>
      </c>
      <c r="B79" s="15" t="s">
        <v>759</v>
      </c>
      <c r="C79" s="2">
        <v>28095586</v>
      </c>
      <c r="D79" s="2" t="s">
        <v>125</v>
      </c>
      <c r="E79" s="2" t="s">
        <v>64</v>
      </c>
      <c r="F79" s="28" t="s">
        <v>63</v>
      </c>
      <c r="G79" s="28" t="s">
        <v>62</v>
      </c>
      <c r="H79" s="2" t="s">
        <v>4</v>
      </c>
      <c r="I79" s="2" t="s">
        <v>4</v>
      </c>
      <c r="J79" s="28" t="s">
        <v>62</v>
      </c>
      <c r="K79" s="28">
        <v>85.62</v>
      </c>
      <c r="L79" s="2" t="s">
        <v>4</v>
      </c>
      <c r="Q79" s="1"/>
      <c r="R79" s="1"/>
      <c r="S79" s="1"/>
    </row>
    <row r="80" spans="1:19" x14ac:dyDescent="0.25">
      <c r="A80" s="15" t="s">
        <v>758</v>
      </c>
      <c r="B80" s="15" t="s">
        <v>757</v>
      </c>
      <c r="C80" s="2">
        <v>28095586</v>
      </c>
      <c r="D80" s="2" t="s">
        <v>125</v>
      </c>
      <c r="E80" s="2" t="s">
        <v>64</v>
      </c>
      <c r="F80" s="28" t="s">
        <v>63</v>
      </c>
      <c r="G80" s="28" t="s">
        <v>62</v>
      </c>
      <c r="H80" s="2" t="s">
        <v>4</v>
      </c>
      <c r="I80" s="2" t="s">
        <v>4</v>
      </c>
      <c r="J80" s="28" t="s">
        <v>62</v>
      </c>
      <c r="K80" s="28">
        <v>227</v>
      </c>
      <c r="L80" s="2" t="s">
        <v>4</v>
      </c>
      <c r="Q80" s="1"/>
      <c r="R80" s="1"/>
      <c r="S80" s="1"/>
    </row>
    <row r="81" spans="1:19" x14ac:dyDescent="0.25">
      <c r="A81" s="15" t="s">
        <v>756</v>
      </c>
      <c r="B81" s="15" t="s">
        <v>755</v>
      </c>
      <c r="C81" s="2">
        <v>28095586</v>
      </c>
      <c r="D81" s="2" t="s">
        <v>125</v>
      </c>
      <c r="E81" s="2" t="s">
        <v>64</v>
      </c>
      <c r="F81" s="28" t="s">
        <v>63</v>
      </c>
      <c r="G81" s="28" t="s">
        <v>62</v>
      </c>
      <c r="H81" s="2" t="s">
        <v>4</v>
      </c>
      <c r="I81" s="2" t="s">
        <v>4</v>
      </c>
      <c r="J81" s="28" t="s">
        <v>62</v>
      </c>
      <c r="K81" s="28">
        <v>238.7</v>
      </c>
      <c r="L81" s="2" t="s">
        <v>4</v>
      </c>
      <c r="Q81" s="1"/>
      <c r="R81" s="1"/>
      <c r="S81" s="1"/>
    </row>
    <row r="82" spans="1:19" x14ac:dyDescent="0.25">
      <c r="A82" s="15" t="s">
        <v>754</v>
      </c>
      <c r="B82" s="15" t="s">
        <v>753</v>
      </c>
      <c r="C82" s="2">
        <v>29610203</v>
      </c>
      <c r="D82" s="2" t="s">
        <v>65</v>
      </c>
      <c r="E82" s="2" t="s">
        <v>64</v>
      </c>
      <c r="F82" s="28" t="s">
        <v>63</v>
      </c>
      <c r="G82" s="28" t="s">
        <v>62</v>
      </c>
      <c r="H82" s="2" t="s">
        <v>4</v>
      </c>
      <c r="I82" s="2" t="s">
        <v>4</v>
      </c>
      <c r="J82" s="28" t="s">
        <v>62</v>
      </c>
      <c r="K82" s="28">
        <v>0.03</v>
      </c>
      <c r="L82" s="2" t="s">
        <v>3</v>
      </c>
      <c r="Q82" s="1"/>
      <c r="R82" s="1"/>
      <c r="S82" s="1"/>
    </row>
    <row r="83" spans="1:19" x14ac:dyDescent="0.25">
      <c r="A83" s="15" t="s">
        <v>752</v>
      </c>
      <c r="B83" s="15" t="s">
        <v>751</v>
      </c>
      <c r="C83" s="2">
        <v>30619216</v>
      </c>
      <c r="D83" s="2" t="s">
        <v>65</v>
      </c>
      <c r="E83" s="2" t="s">
        <v>64</v>
      </c>
      <c r="F83" s="28" t="s">
        <v>63</v>
      </c>
      <c r="G83" s="28" t="s">
        <v>62</v>
      </c>
      <c r="H83" s="2" t="s">
        <v>4</v>
      </c>
      <c r="I83" s="2" t="s">
        <v>4</v>
      </c>
      <c r="J83" s="28" t="s">
        <v>62</v>
      </c>
      <c r="K83" s="28">
        <v>5.3</v>
      </c>
      <c r="L83" s="2" t="s">
        <v>3</v>
      </c>
      <c r="Q83" s="1"/>
      <c r="R83" s="1"/>
      <c r="S83" s="1"/>
    </row>
    <row r="84" spans="1:19" x14ac:dyDescent="0.25">
      <c r="A84" s="15" t="s">
        <v>750</v>
      </c>
      <c r="B84" s="15" t="s">
        <v>749</v>
      </c>
      <c r="C84" s="2">
        <v>30619216</v>
      </c>
      <c r="D84" s="2" t="s">
        <v>65</v>
      </c>
      <c r="E84" s="2" t="s">
        <v>64</v>
      </c>
      <c r="F84" s="28" t="s">
        <v>63</v>
      </c>
      <c r="G84" s="28" t="s">
        <v>62</v>
      </c>
      <c r="H84" s="2" t="s">
        <v>4</v>
      </c>
      <c r="I84" s="2" t="s">
        <v>4</v>
      </c>
      <c r="J84" s="28" t="s">
        <v>62</v>
      </c>
      <c r="K84" s="28">
        <v>23</v>
      </c>
      <c r="L84" s="2" t="s">
        <v>4</v>
      </c>
      <c r="Q84" s="1"/>
      <c r="R84" s="1"/>
      <c r="S84" s="1"/>
    </row>
    <row r="85" spans="1:19" x14ac:dyDescent="0.25">
      <c r="A85" s="15" t="s">
        <v>748</v>
      </c>
      <c r="B85" s="15" t="s">
        <v>747</v>
      </c>
      <c r="C85" s="2">
        <v>30619216</v>
      </c>
      <c r="D85" s="2" t="s">
        <v>65</v>
      </c>
      <c r="E85" s="2" t="s">
        <v>64</v>
      </c>
      <c r="F85" s="28" t="s">
        <v>63</v>
      </c>
      <c r="G85" s="28" t="s">
        <v>62</v>
      </c>
      <c r="H85" s="2" t="s">
        <v>4</v>
      </c>
      <c r="I85" s="2" t="s">
        <v>4</v>
      </c>
      <c r="J85" s="28" t="s">
        <v>62</v>
      </c>
      <c r="K85" s="28">
        <v>20.8</v>
      </c>
      <c r="L85" s="2" t="s">
        <v>4</v>
      </c>
      <c r="Q85" s="1"/>
      <c r="R85" s="1"/>
      <c r="S85" s="1"/>
    </row>
    <row r="86" spans="1:19" x14ac:dyDescent="0.25">
      <c r="A86" s="15" t="s">
        <v>746</v>
      </c>
      <c r="B86" s="15" t="s">
        <v>745</v>
      </c>
      <c r="C86" s="2">
        <v>30619216</v>
      </c>
      <c r="D86" s="2" t="s">
        <v>65</v>
      </c>
      <c r="E86" s="2" t="s">
        <v>64</v>
      </c>
      <c r="F86" s="28" t="s">
        <v>63</v>
      </c>
      <c r="G86" s="28" t="s">
        <v>62</v>
      </c>
      <c r="H86" s="2" t="s">
        <v>4</v>
      </c>
      <c r="I86" s="2" t="s">
        <v>4</v>
      </c>
      <c r="J86" s="28" t="s">
        <v>62</v>
      </c>
      <c r="K86" s="28">
        <v>2.8</v>
      </c>
      <c r="L86" s="2" t="s">
        <v>3</v>
      </c>
      <c r="Q86" s="1"/>
      <c r="R86" s="1"/>
      <c r="S86" s="1"/>
    </row>
    <row r="87" spans="1:19" x14ac:dyDescent="0.25">
      <c r="A87" s="15" t="s">
        <v>744</v>
      </c>
      <c r="B87" s="15" t="s">
        <v>743</v>
      </c>
      <c r="C87" s="2">
        <v>21628561</v>
      </c>
      <c r="D87" s="2" t="s">
        <v>303</v>
      </c>
      <c r="E87" s="2" t="s">
        <v>106</v>
      </c>
      <c r="F87" s="28">
        <v>4.5714285714285712</v>
      </c>
      <c r="G87" s="28">
        <v>54</v>
      </c>
      <c r="H87" s="2" t="s">
        <v>4</v>
      </c>
      <c r="I87" s="2" t="s">
        <v>4</v>
      </c>
      <c r="J87" s="28">
        <v>4.2328042328042326</v>
      </c>
      <c r="K87" s="28" t="s">
        <v>62</v>
      </c>
      <c r="L87" s="2" t="s">
        <v>3</v>
      </c>
      <c r="Q87" s="1"/>
      <c r="R87" s="1"/>
      <c r="S87" s="1"/>
    </row>
    <row r="88" spans="1:19" x14ac:dyDescent="0.25">
      <c r="A88" s="15" t="s">
        <v>742</v>
      </c>
      <c r="B88" s="15" t="s">
        <v>741</v>
      </c>
      <c r="C88" s="2">
        <v>21628561</v>
      </c>
      <c r="D88" s="2" t="s">
        <v>303</v>
      </c>
      <c r="E88" s="2" t="s">
        <v>106</v>
      </c>
      <c r="F88" s="28">
        <v>0.66228820575086933</v>
      </c>
      <c r="G88" s="28">
        <v>61</v>
      </c>
      <c r="H88" s="2" t="s">
        <v>4</v>
      </c>
      <c r="I88" s="2" t="s">
        <v>4</v>
      </c>
      <c r="J88" s="28">
        <v>0.54285918504169617</v>
      </c>
      <c r="K88" s="28" t="s">
        <v>62</v>
      </c>
      <c r="L88" s="2" t="s">
        <v>3</v>
      </c>
      <c r="Q88" s="1"/>
      <c r="R88" s="1"/>
      <c r="S88" s="1"/>
    </row>
    <row r="89" spans="1:19" x14ac:dyDescent="0.25">
      <c r="A89" s="15" t="s">
        <v>740</v>
      </c>
      <c r="B89" s="15" t="s">
        <v>739</v>
      </c>
      <c r="C89" s="2">
        <v>21628561</v>
      </c>
      <c r="D89" s="2" t="s">
        <v>303</v>
      </c>
      <c r="E89" s="2" t="s">
        <v>106</v>
      </c>
      <c r="F89" s="28">
        <v>0.6359300476947537</v>
      </c>
      <c r="G89" s="28">
        <v>56</v>
      </c>
      <c r="H89" s="2" t="s">
        <v>4</v>
      </c>
      <c r="I89" s="2" t="s">
        <v>4</v>
      </c>
      <c r="J89" s="28">
        <v>0.56779468544174438</v>
      </c>
      <c r="K89" s="28" t="s">
        <v>62</v>
      </c>
      <c r="L89" s="2" t="s">
        <v>3</v>
      </c>
      <c r="Q89" s="1"/>
      <c r="R89" s="1"/>
      <c r="S89" s="1"/>
    </row>
    <row r="90" spans="1:19" x14ac:dyDescent="0.25">
      <c r="A90" s="15" t="s">
        <v>738</v>
      </c>
      <c r="B90" s="15" t="s">
        <v>737</v>
      </c>
      <c r="C90" s="2">
        <v>24663021</v>
      </c>
      <c r="D90" s="2" t="s">
        <v>311</v>
      </c>
      <c r="E90" s="2" t="s">
        <v>64</v>
      </c>
      <c r="F90" s="28" t="s">
        <v>63</v>
      </c>
      <c r="G90" s="28" t="s">
        <v>62</v>
      </c>
      <c r="H90" s="2" t="s">
        <v>4</v>
      </c>
      <c r="I90" s="2" t="s">
        <v>4</v>
      </c>
      <c r="J90" s="28" t="s">
        <v>62</v>
      </c>
      <c r="K90" s="28">
        <v>5.3</v>
      </c>
      <c r="L90" s="2" t="s">
        <v>3</v>
      </c>
      <c r="Q90" s="1"/>
      <c r="R90" s="1"/>
      <c r="S90" s="1"/>
    </row>
    <row r="91" spans="1:19" x14ac:dyDescent="0.25">
      <c r="A91" s="15" t="s">
        <v>736</v>
      </c>
      <c r="B91" s="15" t="s">
        <v>735</v>
      </c>
      <c r="C91" s="2">
        <v>27472980</v>
      </c>
      <c r="D91" s="2" t="s">
        <v>345</v>
      </c>
      <c r="E91" s="2" t="s">
        <v>106</v>
      </c>
      <c r="F91" s="28">
        <v>440.88536980385101</v>
      </c>
      <c r="G91" s="28">
        <v>39</v>
      </c>
      <c r="H91" s="2" t="s">
        <v>4</v>
      </c>
      <c r="I91" s="2" t="s">
        <v>4</v>
      </c>
      <c r="J91" s="28">
        <v>565.23765359468086</v>
      </c>
      <c r="K91" s="28" t="s">
        <v>62</v>
      </c>
      <c r="L91" s="2" t="s">
        <v>4</v>
      </c>
      <c r="Q91" s="1"/>
      <c r="R91" s="1"/>
      <c r="S91" s="1"/>
    </row>
    <row r="92" spans="1:19" x14ac:dyDescent="0.25">
      <c r="A92" s="15" t="s">
        <v>734</v>
      </c>
      <c r="B92" s="15" t="s">
        <v>733</v>
      </c>
      <c r="C92" s="2">
        <v>27472980</v>
      </c>
      <c r="D92" s="2" t="s">
        <v>345</v>
      </c>
      <c r="E92" s="2" t="s">
        <v>106</v>
      </c>
      <c r="F92" s="28">
        <v>3.957261574990107</v>
      </c>
      <c r="G92" s="28">
        <v>54</v>
      </c>
      <c r="H92" s="2" t="s">
        <v>4</v>
      </c>
      <c r="I92" s="2" t="s">
        <v>4</v>
      </c>
      <c r="J92" s="28">
        <v>3.6641310879538027</v>
      </c>
      <c r="K92" s="28" t="s">
        <v>62</v>
      </c>
      <c r="L92" s="2" t="s">
        <v>3</v>
      </c>
      <c r="Q92" s="1"/>
      <c r="R92" s="1"/>
      <c r="S92" s="1"/>
    </row>
    <row r="93" spans="1:19" x14ac:dyDescent="0.25">
      <c r="A93" s="15" t="s">
        <v>732</v>
      </c>
      <c r="B93" s="15" t="s">
        <v>731</v>
      </c>
      <c r="C93" s="2">
        <v>27472980</v>
      </c>
      <c r="D93" s="2" t="s">
        <v>345</v>
      </c>
      <c r="E93" s="2" t="s">
        <v>106</v>
      </c>
      <c r="F93" s="28" t="s">
        <v>63</v>
      </c>
      <c r="G93" s="28">
        <v>0</v>
      </c>
      <c r="H93" s="2" t="s">
        <v>4</v>
      </c>
      <c r="I93" s="2" t="s">
        <v>3</v>
      </c>
      <c r="J93" s="28" t="s">
        <v>62</v>
      </c>
      <c r="K93" s="28" t="s">
        <v>62</v>
      </c>
      <c r="L93" s="2" t="s">
        <v>4</v>
      </c>
      <c r="Q93" s="1"/>
      <c r="R93" s="1"/>
      <c r="S93" s="1"/>
    </row>
    <row r="94" spans="1:19" x14ac:dyDescent="0.25">
      <c r="A94" s="15" t="s">
        <v>730</v>
      </c>
      <c r="B94" s="15" t="s">
        <v>729</v>
      </c>
      <c r="C94" s="2">
        <v>27472980</v>
      </c>
      <c r="D94" s="2" t="s">
        <v>345</v>
      </c>
      <c r="E94" s="2" t="s">
        <v>106</v>
      </c>
      <c r="F94" s="28" t="s">
        <v>63</v>
      </c>
      <c r="G94" s="28">
        <v>0</v>
      </c>
      <c r="H94" s="2" t="s">
        <v>4</v>
      </c>
      <c r="I94" s="2" t="s">
        <v>3</v>
      </c>
      <c r="J94" s="28" t="s">
        <v>62</v>
      </c>
      <c r="K94" s="28" t="s">
        <v>62</v>
      </c>
      <c r="L94" s="2" t="s">
        <v>4</v>
      </c>
      <c r="Q94" s="1"/>
      <c r="R94" s="1"/>
      <c r="S94" s="1"/>
    </row>
    <row r="95" spans="1:19" x14ac:dyDescent="0.25">
      <c r="A95" s="15" t="s">
        <v>728</v>
      </c>
      <c r="B95" s="15" t="s">
        <v>727</v>
      </c>
      <c r="C95" s="2">
        <v>29318147</v>
      </c>
      <c r="D95" s="2" t="s">
        <v>125</v>
      </c>
      <c r="E95" s="2" t="s">
        <v>106</v>
      </c>
      <c r="F95" s="28">
        <v>25</v>
      </c>
      <c r="G95" s="28">
        <v>42</v>
      </c>
      <c r="H95" s="2" t="s">
        <v>4</v>
      </c>
      <c r="I95" s="2" t="s">
        <v>4</v>
      </c>
      <c r="J95" s="28">
        <v>29.761904761904763</v>
      </c>
      <c r="K95" s="28" t="s">
        <v>62</v>
      </c>
      <c r="L95" s="2" t="s">
        <v>4</v>
      </c>
      <c r="Q95" s="1"/>
      <c r="R95" s="1"/>
      <c r="S95" s="1"/>
    </row>
    <row r="96" spans="1:19" x14ac:dyDescent="0.25">
      <c r="A96" s="15" t="s">
        <v>726</v>
      </c>
      <c r="B96" s="15" t="s">
        <v>725</v>
      </c>
      <c r="C96" s="2">
        <v>29578710</v>
      </c>
      <c r="D96" s="2" t="s">
        <v>65</v>
      </c>
      <c r="E96" s="2" t="s">
        <v>106</v>
      </c>
      <c r="F96" s="28">
        <v>10</v>
      </c>
      <c r="G96" s="28">
        <v>96</v>
      </c>
      <c r="H96" s="2" t="s">
        <v>3</v>
      </c>
      <c r="I96" s="2" t="s">
        <v>4</v>
      </c>
      <c r="J96" s="28" t="s">
        <v>62</v>
      </c>
      <c r="K96" s="28" t="s">
        <v>62</v>
      </c>
      <c r="L96" s="2" t="s">
        <v>3</v>
      </c>
      <c r="Q96" s="1"/>
      <c r="R96" s="1"/>
      <c r="S96" s="1"/>
    </row>
    <row r="97" spans="1:19" x14ac:dyDescent="0.25">
      <c r="A97" s="15" t="s">
        <v>724</v>
      </c>
      <c r="B97" s="15" t="s">
        <v>723</v>
      </c>
      <c r="C97" s="2">
        <v>22644029</v>
      </c>
      <c r="D97" s="2" t="s">
        <v>107</v>
      </c>
      <c r="E97" s="2" t="s">
        <v>106</v>
      </c>
      <c r="F97" s="28">
        <v>5</v>
      </c>
      <c r="G97" s="28">
        <v>61</v>
      </c>
      <c r="H97" s="2" t="s">
        <v>4</v>
      </c>
      <c r="I97" s="2" t="s">
        <v>4</v>
      </c>
      <c r="J97" s="28">
        <v>4.0983606557377055</v>
      </c>
      <c r="K97" s="28" t="s">
        <v>62</v>
      </c>
      <c r="L97" s="2" t="s">
        <v>3</v>
      </c>
      <c r="Q97" s="1"/>
      <c r="R97" s="1"/>
      <c r="S97" s="1"/>
    </row>
    <row r="98" spans="1:19" x14ac:dyDescent="0.25">
      <c r="A98" s="15" t="s">
        <v>722</v>
      </c>
      <c r="B98" s="15" t="s">
        <v>721</v>
      </c>
      <c r="C98" s="2">
        <v>2559152</v>
      </c>
      <c r="D98" s="2" t="s">
        <v>233</v>
      </c>
      <c r="E98" s="2" t="s">
        <v>106</v>
      </c>
      <c r="F98" s="28">
        <v>100</v>
      </c>
      <c r="G98" s="28">
        <v>59</v>
      </c>
      <c r="H98" s="2" t="s">
        <v>4</v>
      </c>
      <c r="I98" s="2" t="s">
        <v>4</v>
      </c>
      <c r="J98" s="28">
        <v>84.745762711864401</v>
      </c>
      <c r="K98" s="28" t="s">
        <v>62</v>
      </c>
      <c r="L98" s="2" t="s">
        <v>4</v>
      </c>
      <c r="Q98" s="1"/>
      <c r="R98" s="1"/>
      <c r="S98" s="1"/>
    </row>
    <row r="99" spans="1:19" x14ac:dyDescent="0.25">
      <c r="A99" s="15" t="s">
        <v>720</v>
      </c>
      <c r="B99" s="15" t="s">
        <v>719</v>
      </c>
      <c r="C99" s="2">
        <v>26204507</v>
      </c>
      <c r="D99" s="2" t="s">
        <v>316</v>
      </c>
      <c r="E99" s="2" t="s">
        <v>106</v>
      </c>
      <c r="F99" s="28">
        <v>50</v>
      </c>
      <c r="G99" s="28">
        <v>18.5</v>
      </c>
      <c r="H99" s="2" t="s">
        <v>4</v>
      </c>
      <c r="I99" s="2" t="s">
        <v>4</v>
      </c>
      <c r="J99" s="28">
        <v>135.13513513513513</v>
      </c>
      <c r="K99" s="28" t="s">
        <v>62</v>
      </c>
      <c r="L99" s="2" t="s">
        <v>4</v>
      </c>
      <c r="Q99" s="1"/>
      <c r="R99" s="1"/>
      <c r="S99" s="1"/>
    </row>
    <row r="100" spans="1:19" x14ac:dyDescent="0.25">
      <c r="A100" s="15" t="s">
        <v>718</v>
      </c>
      <c r="B100" s="15" t="s">
        <v>717</v>
      </c>
      <c r="C100" s="2">
        <v>26204507</v>
      </c>
      <c r="D100" s="2" t="s">
        <v>316</v>
      </c>
      <c r="E100" s="2" t="s">
        <v>106</v>
      </c>
      <c r="F100" s="28">
        <v>50</v>
      </c>
      <c r="G100" s="28" t="s">
        <v>62</v>
      </c>
      <c r="H100" s="2" t="s">
        <v>4</v>
      </c>
      <c r="I100" s="2" t="s">
        <v>4</v>
      </c>
      <c r="J100" s="28" t="s">
        <v>62</v>
      </c>
      <c r="K100" s="28" t="s">
        <v>62</v>
      </c>
      <c r="L100" s="2" t="s">
        <v>4</v>
      </c>
      <c r="Q100" s="1"/>
      <c r="R100" s="1"/>
      <c r="S100" s="1"/>
    </row>
    <row r="101" spans="1:19" x14ac:dyDescent="0.25">
      <c r="A101" s="15" t="s">
        <v>716</v>
      </c>
      <c r="B101" s="15" t="s">
        <v>715</v>
      </c>
      <c r="C101" s="2">
        <v>26204507</v>
      </c>
      <c r="D101" s="2" t="s">
        <v>316</v>
      </c>
      <c r="E101" s="2" t="s">
        <v>106</v>
      </c>
      <c r="F101" s="28">
        <v>50</v>
      </c>
      <c r="G101" s="28">
        <v>9.6</v>
      </c>
      <c r="H101" s="2" t="s">
        <v>4</v>
      </c>
      <c r="I101" s="2" t="s">
        <v>3</v>
      </c>
      <c r="J101" s="28" t="s">
        <v>62</v>
      </c>
      <c r="K101" s="28" t="s">
        <v>62</v>
      </c>
      <c r="L101" s="2" t="s">
        <v>4</v>
      </c>
      <c r="Q101" s="1"/>
      <c r="R101" s="1"/>
      <c r="S101" s="1"/>
    </row>
    <row r="102" spans="1:19" x14ac:dyDescent="0.25">
      <c r="A102" s="15" t="s">
        <v>714</v>
      </c>
      <c r="B102" s="15" t="s">
        <v>713</v>
      </c>
      <c r="C102" s="2">
        <v>26204507</v>
      </c>
      <c r="D102" s="2" t="s">
        <v>316</v>
      </c>
      <c r="E102" s="2" t="s">
        <v>106</v>
      </c>
      <c r="F102" s="28">
        <v>50</v>
      </c>
      <c r="G102" s="28">
        <v>14.8</v>
      </c>
      <c r="H102" s="2" t="s">
        <v>4</v>
      </c>
      <c r="I102" s="2" t="s">
        <v>4</v>
      </c>
      <c r="J102" s="28">
        <v>168.91891891891891</v>
      </c>
      <c r="K102" s="28" t="s">
        <v>62</v>
      </c>
      <c r="L102" s="2" t="s">
        <v>4</v>
      </c>
      <c r="Q102" s="1"/>
      <c r="R102" s="1"/>
      <c r="S102" s="1"/>
    </row>
    <row r="103" spans="1:19" x14ac:dyDescent="0.25">
      <c r="A103" s="15" t="s">
        <v>712</v>
      </c>
      <c r="B103" s="15" t="s">
        <v>711</v>
      </c>
      <c r="C103" s="2">
        <v>26204507</v>
      </c>
      <c r="D103" s="2" t="s">
        <v>316</v>
      </c>
      <c r="E103" s="2" t="s">
        <v>106</v>
      </c>
      <c r="F103" s="28">
        <v>50</v>
      </c>
      <c r="G103" s="28">
        <v>26.9</v>
      </c>
      <c r="H103" s="2" t="s">
        <v>4</v>
      </c>
      <c r="I103" s="2" t="s">
        <v>4</v>
      </c>
      <c r="J103" s="28">
        <v>92.936802973977692</v>
      </c>
      <c r="K103" s="28" t="s">
        <v>62</v>
      </c>
      <c r="L103" s="2" t="s">
        <v>4</v>
      </c>
      <c r="Q103" s="1"/>
      <c r="R103" s="1"/>
      <c r="S103" s="1"/>
    </row>
    <row r="104" spans="1:19" x14ac:dyDescent="0.25">
      <c r="A104" s="15" t="s">
        <v>710</v>
      </c>
      <c r="B104" s="15" t="s">
        <v>709</v>
      </c>
      <c r="C104" s="2">
        <v>26204507</v>
      </c>
      <c r="D104" s="2" t="s">
        <v>316</v>
      </c>
      <c r="E104" s="2" t="s">
        <v>106</v>
      </c>
      <c r="F104" s="28">
        <v>50</v>
      </c>
      <c r="G104" s="28" t="s">
        <v>62</v>
      </c>
      <c r="H104" s="2" t="s">
        <v>4</v>
      </c>
      <c r="I104" s="2" t="s">
        <v>4</v>
      </c>
      <c r="J104" s="28" t="s">
        <v>62</v>
      </c>
      <c r="K104" s="28" t="s">
        <v>62</v>
      </c>
      <c r="L104" s="2" t="s">
        <v>4</v>
      </c>
      <c r="Q104" s="1"/>
      <c r="R104" s="1"/>
      <c r="S104" s="1"/>
    </row>
    <row r="105" spans="1:19" x14ac:dyDescent="0.25">
      <c r="A105" s="15" t="s">
        <v>708</v>
      </c>
      <c r="B105" s="15" t="s">
        <v>707</v>
      </c>
      <c r="C105" s="2">
        <v>26204507</v>
      </c>
      <c r="D105" s="2" t="s">
        <v>316</v>
      </c>
      <c r="E105" s="2" t="s">
        <v>106</v>
      </c>
      <c r="F105" s="28">
        <v>50</v>
      </c>
      <c r="G105" s="28" t="s">
        <v>62</v>
      </c>
      <c r="H105" s="2" t="s">
        <v>4</v>
      </c>
      <c r="I105" s="2" t="s">
        <v>4</v>
      </c>
      <c r="J105" s="28" t="s">
        <v>62</v>
      </c>
      <c r="K105" s="28" t="s">
        <v>62</v>
      </c>
      <c r="L105" s="2" t="s">
        <v>4</v>
      </c>
      <c r="Q105" s="1"/>
      <c r="R105" s="1"/>
      <c r="S105" s="1"/>
    </row>
    <row r="106" spans="1:19" x14ac:dyDescent="0.25">
      <c r="A106" s="15" t="s">
        <v>706</v>
      </c>
      <c r="B106" s="15" t="s">
        <v>705</v>
      </c>
      <c r="C106" s="2">
        <v>26204507</v>
      </c>
      <c r="D106" s="2" t="s">
        <v>316</v>
      </c>
      <c r="E106" s="2" t="s">
        <v>106</v>
      </c>
      <c r="F106" s="28">
        <v>50</v>
      </c>
      <c r="G106" s="28">
        <v>26.9</v>
      </c>
      <c r="H106" s="2" t="s">
        <v>4</v>
      </c>
      <c r="I106" s="2" t="s">
        <v>4</v>
      </c>
      <c r="J106" s="28">
        <v>92.936802973977692</v>
      </c>
      <c r="K106" s="28" t="s">
        <v>62</v>
      </c>
      <c r="L106" s="2" t="s">
        <v>4</v>
      </c>
      <c r="Q106" s="1"/>
      <c r="R106" s="1"/>
      <c r="S106" s="1"/>
    </row>
    <row r="107" spans="1:19" x14ac:dyDescent="0.25">
      <c r="A107" s="15" t="s">
        <v>704</v>
      </c>
      <c r="B107" s="15" t="s">
        <v>703</v>
      </c>
      <c r="C107" s="2">
        <v>26204507</v>
      </c>
      <c r="D107" s="2" t="s">
        <v>316</v>
      </c>
      <c r="E107" s="2" t="s">
        <v>106</v>
      </c>
      <c r="F107" s="28">
        <v>50</v>
      </c>
      <c r="G107" s="28">
        <v>47.4</v>
      </c>
      <c r="H107" s="2" t="s">
        <v>4</v>
      </c>
      <c r="I107" s="2" t="s">
        <v>4</v>
      </c>
      <c r="J107" s="28">
        <v>52.742616033755276</v>
      </c>
      <c r="K107" s="28" t="s">
        <v>62</v>
      </c>
      <c r="L107" s="2" t="s">
        <v>4</v>
      </c>
      <c r="Q107" s="1"/>
      <c r="R107" s="1"/>
      <c r="S107" s="1"/>
    </row>
    <row r="108" spans="1:19" x14ac:dyDescent="0.25">
      <c r="A108" s="15" t="s">
        <v>702</v>
      </c>
      <c r="B108" s="15" t="s">
        <v>701</v>
      </c>
      <c r="C108" s="2">
        <v>26204507</v>
      </c>
      <c r="D108" s="2" t="s">
        <v>316</v>
      </c>
      <c r="E108" s="2" t="s">
        <v>106</v>
      </c>
      <c r="F108" s="28">
        <v>50</v>
      </c>
      <c r="G108" s="28">
        <v>24.2</v>
      </c>
      <c r="H108" s="2" t="s">
        <v>4</v>
      </c>
      <c r="I108" s="2" t="s">
        <v>4</v>
      </c>
      <c r="J108" s="28">
        <v>103.30578512396696</v>
      </c>
      <c r="K108" s="28" t="s">
        <v>62</v>
      </c>
      <c r="L108" s="2" t="s">
        <v>4</v>
      </c>
      <c r="Q108" s="1"/>
      <c r="R108" s="1"/>
      <c r="S108" s="1"/>
    </row>
    <row r="109" spans="1:19" x14ac:dyDescent="0.25">
      <c r="A109" s="15" t="s">
        <v>700</v>
      </c>
      <c r="B109" s="15" t="s">
        <v>699</v>
      </c>
      <c r="C109" s="2">
        <v>26204507</v>
      </c>
      <c r="D109" s="2" t="s">
        <v>316</v>
      </c>
      <c r="E109" s="2" t="s">
        <v>106</v>
      </c>
      <c r="F109" s="28">
        <v>50</v>
      </c>
      <c r="G109" s="28">
        <v>83</v>
      </c>
      <c r="H109" s="2" t="s">
        <v>4</v>
      </c>
      <c r="I109" s="2" t="s">
        <v>4</v>
      </c>
      <c r="J109" s="28">
        <v>30.120481927710845</v>
      </c>
      <c r="K109" s="28" t="s">
        <v>62</v>
      </c>
      <c r="L109" s="2" t="s">
        <v>4</v>
      </c>
      <c r="Q109" s="1"/>
      <c r="R109" s="1"/>
      <c r="S109" s="1"/>
    </row>
    <row r="110" spans="1:19" x14ac:dyDescent="0.25">
      <c r="A110" s="15" t="s">
        <v>698</v>
      </c>
      <c r="B110" s="15" t="s">
        <v>697</v>
      </c>
      <c r="C110" s="2">
        <v>26204507</v>
      </c>
      <c r="D110" s="2" t="s">
        <v>316</v>
      </c>
      <c r="E110" s="2" t="s">
        <v>106</v>
      </c>
      <c r="F110" s="28">
        <v>50</v>
      </c>
      <c r="G110" s="28">
        <v>65.2</v>
      </c>
      <c r="H110" s="2" t="s">
        <v>4</v>
      </c>
      <c r="I110" s="2" t="s">
        <v>4</v>
      </c>
      <c r="J110" s="28">
        <v>38.343558282208591</v>
      </c>
      <c r="K110" s="28" t="s">
        <v>62</v>
      </c>
      <c r="L110" s="2" t="s">
        <v>4</v>
      </c>
      <c r="Q110" s="1"/>
      <c r="R110" s="1"/>
      <c r="S110" s="1"/>
    </row>
    <row r="111" spans="1:19" x14ac:dyDescent="0.25">
      <c r="A111" s="15" t="s">
        <v>696</v>
      </c>
      <c r="B111" s="15" t="s">
        <v>695</v>
      </c>
      <c r="C111" s="2">
        <v>26204507</v>
      </c>
      <c r="D111" s="2" t="s">
        <v>316</v>
      </c>
      <c r="E111" s="2" t="s">
        <v>106</v>
      </c>
      <c r="F111" s="28">
        <v>50</v>
      </c>
      <c r="G111" s="28">
        <v>33.4</v>
      </c>
      <c r="H111" s="2" t="s">
        <v>4</v>
      </c>
      <c r="I111" s="2" t="s">
        <v>4</v>
      </c>
      <c r="J111" s="28">
        <v>74.850299401197603</v>
      </c>
      <c r="K111" s="28" t="s">
        <v>62</v>
      </c>
      <c r="L111" s="2" t="s">
        <v>4</v>
      </c>
      <c r="Q111" s="1"/>
      <c r="R111" s="1"/>
      <c r="S111" s="1"/>
    </row>
    <row r="112" spans="1:19" x14ac:dyDescent="0.25">
      <c r="A112" s="15" t="s">
        <v>694</v>
      </c>
      <c r="B112" s="15" t="s">
        <v>693</v>
      </c>
      <c r="C112" s="2">
        <v>26204507</v>
      </c>
      <c r="D112" s="2" t="s">
        <v>316</v>
      </c>
      <c r="E112" s="2" t="s">
        <v>106</v>
      </c>
      <c r="F112" s="28">
        <v>50</v>
      </c>
      <c r="G112" s="28">
        <v>14.6</v>
      </c>
      <c r="H112" s="2" t="s">
        <v>4</v>
      </c>
      <c r="I112" s="2" t="s">
        <v>4</v>
      </c>
      <c r="J112" s="28">
        <v>171.23287671232876</v>
      </c>
      <c r="K112" s="28" t="s">
        <v>62</v>
      </c>
      <c r="L112" s="2" t="s">
        <v>4</v>
      </c>
      <c r="Q112" s="1"/>
      <c r="R112" s="1"/>
      <c r="S112" s="1"/>
    </row>
    <row r="113" spans="1:19" x14ac:dyDescent="0.25">
      <c r="A113" s="15" t="s">
        <v>692</v>
      </c>
      <c r="B113" s="15" t="s">
        <v>691</v>
      </c>
      <c r="C113" s="2">
        <v>26204507</v>
      </c>
      <c r="D113" s="2" t="s">
        <v>316</v>
      </c>
      <c r="E113" s="2" t="s">
        <v>106</v>
      </c>
      <c r="F113" s="28">
        <v>50</v>
      </c>
      <c r="G113" s="28">
        <v>28</v>
      </c>
      <c r="H113" s="2" t="s">
        <v>4</v>
      </c>
      <c r="I113" s="2" t="s">
        <v>4</v>
      </c>
      <c r="J113" s="28">
        <v>89.285714285714292</v>
      </c>
      <c r="K113" s="28" t="s">
        <v>62</v>
      </c>
      <c r="L113" s="2" t="s">
        <v>4</v>
      </c>
      <c r="Q113" s="1"/>
      <c r="R113" s="1"/>
      <c r="S113" s="1"/>
    </row>
    <row r="114" spans="1:19" x14ac:dyDescent="0.25">
      <c r="A114" s="15" t="s">
        <v>690</v>
      </c>
      <c r="B114" s="15" t="s">
        <v>689</v>
      </c>
      <c r="C114" s="2">
        <v>26204507</v>
      </c>
      <c r="D114" s="2" t="s">
        <v>316</v>
      </c>
      <c r="E114" s="2" t="s">
        <v>106</v>
      </c>
      <c r="F114" s="28">
        <v>50</v>
      </c>
      <c r="G114" s="28">
        <v>21.5</v>
      </c>
      <c r="H114" s="2" t="s">
        <v>4</v>
      </c>
      <c r="I114" s="2" t="s">
        <v>4</v>
      </c>
      <c r="J114" s="28">
        <v>116.27906976744187</v>
      </c>
      <c r="K114" s="28" t="s">
        <v>62</v>
      </c>
      <c r="L114" s="2" t="s">
        <v>4</v>
      </c>
      <c r="Q114" s="1"/>
      <c r="R114" s="1"/>
      <c r="S114" s="1"/>
    </row>
    <row r="115" spans="1:19" x14ac:dyDescent="0.25">
      <c r="A115" s="15" t="s">
        <v>688</v>
      </c>
      <c r="B115" s="15" t="s">
        <v>687</v>
      </c>
      <c r="C115" s="2">
        <v>24566180</v>
      </c>
      <c r="D115" s="2" t="s">
        <v>311</v>
      </c>
      <c r="E115" s="2" t="s">
        <v>64</v>
      </c>
      <c r="F115" s="28" t="s">
        <v>63</v>
      </c>
      <c r="G115" s="28" t="s">
        <v>62</v>
      </c>
      <c r="H115" s="2" t="s">
        <v>4</v>
      </c>
      <c r="I115" s="2" t="s">
        <v>4</v>
      </c>
      <c r="J115" s="28" t="s">
        <v>62</v>
      </c>
      <c r="K115" s="28">
        <v>11.7</v>
      </c>
      <c r="L115" s="2" t="s">
        <v>4</v>
      </c>
      <c r="Q115" s="1"/>
      <c r="R115" s="1"/>
      <c r="S115" s="1"/>
    </row>
    <row r="116" spans="1:19" x14ac:dyDescent="0.25">
      <c r="A116" s="15" t="s">
        <v>686</v>
      </c>
      <c r="B116" s="15" t="s">
        <v>685</v>
      </c>
      <c r="C116" s="2">
        <v>24566180</v>
      </c>
      <c r="D116" s="2" t="s">
        <v>311</v>
      </c>
      <c r="E116" s="2" t="s">
        <v>64</v>
      </c>
      <c r="F116" s="28" t="s">
        <v>63</v>
      </c>
      <c r="G116" s="28" t="s">
        <v>62</v>
      </c>
      <c r="H116" s="2" t="s">
        <v>4</v>
      </c>
      <c r="I116" s="2" t="s">
        <v>4</v>
      </c>
      <c r="J116" s="28" t="s">
        <v>62</v>
      </c>
      <c r="K116" s="28">
        <v>4.9000000000000004</v>
      </c>
      <c r="L116" s="2" t="s">
        <v>3</v>
      </c>
      <c r="Q116" s="1"/>
      <c r="R116" s="1"/>
      <c r="S116" s="1"/>
    </row>
    <row r="117" spans="1:19" x14ac:dyDescent="0.25">
      <c r="A117" s="15" t="s">
        <v>684</v>
      </c>
      <c r="B117" s="15" t="s">
        <v>683</v>
      </c>
      <c r="C117" s="2">
        <v>24566180</v>
      </c>
      <c r="D117" s="2" t="s">
        <v>311</v>
      </c>
      <c r="E117" s="2" t="s">
        <v>64</v>
      </c>
      <c r="F117" s="28" t="s">
        <v>63</v>
      </c>
      <c r="G117" s="28" t="s">
        <v>62</v>
      </c>
      <c r="H117" s="2" t="s">
        <v>4</v>
      </c>
      <c r="I117" s="2" t="s">
        <v>4</v>
      </c>
      <c r="J117" s="28" t="s">
        <v>62</v>
      </c>
      <c r="K117" s="28" t="s">
        <v>62</v>
      </c>
      <c r="L117" s="2" t="s">
        <v>4</v>
      </c>
      <c r="Q117" s="1"/>
      <c r="R117" s="1"/>
      <c r="S117" s="1"/>
    </row>
    <row r="118" spans="1:19" x14ac:dyDescent="0.25">
      <c r="A118" s="15" t="s">
        <v>682</v>
      </c>
      <c r="B118" s="15" t="s">
        <v>681</v>
      </c>
      <c r="C118" s="2">
        <v>24566180</v>
      </c>
      <c r="D118" s="2" t="s">
        <v>311</v>
      </c>
      <c r="E118" s="2" t="s">
        <v>64</v>
      </c>
      <c r="F118" s="28" t="s">
        <v>63</v>
      </c>
      <c r="G118" s="28" t="s">
        <v>62</v>
      </c>
      <c r="H118" s="2" t="s">
        <v>4</v>
      </c>
      <c r="I118" s="2" t="s">
        <v>4</v>
      </c>
      <c r="J118" s="28" t="s">
        <v>62</v>
      </c>
      <c r="K118" s="28" t="s">
        <v>62</v>
      </c>
      <c r="L118" s="2" t="s">
        <v>4</v>
      </c>
      <c r="Q118" s="1"/>
      <c r="R118" s="1"/>
      <c r="S118" s="1"/>
    </row>
    <row r="119" spans="1:19" x14ac:dyDescent="0.25">
      <c r="A119" s="15" t="s">
        <v>680</v>
      </c>
      <c r="B119" s="15" t="s">
        <v>679</v>
      </c>
      <c r="C119" s="2">
        <v>24566180</v>
      </c>
      <c r="D119" s="2" t="s">
        <v>311</v>
      </c>
      <c r="E119" s="2" t="s">
        <v>64</v>
      </c>
      <c r="F119" s="28" t="s">
        <v>63</v>
      </c>
      <c r="G119" s="28" t="s">
        <v>62</v>
      </c>
      <c r="H119" s="2" t="s">
        <v>4</v>
      </c>
      <c r="I119" s="2" t="s">
        <v>4</v>
      </c>
      <c r="J119" s="28" t="s">
        <v>62</v>
      </c>
      <c r="K119" s="28" t="s">
        <v>62</v>
      </c>
      <c r="L119" s="2" t="s">
        <v>4</v>
      </c>
      <c r="Q119" s="1"/>
      <c r="R119" s="1"/>
      <c r="S119" s="1"/>
    </row>
    <row r="120" spans="1:19" x14ac:dyDescent="0.25">
      <c r="A120" s="15" t="s">
        <v>678</v>
      </c>
      <c r="B120" s="15" t="s">
        <v>677</v>
      </c>
      <c r="C120" s="2">
        <v>24566180</v>
      </c>
      <c r="D120" s="2" t="s">
        <v>311</v>
      </c>
      <c r="E120" s="2" t="s">
        <v>64</v>
      </c>
      <c r="F120" s="28" t="s">
        <v>63</v>
      </c>
      <c r="G120" s="28" t="s">
        <v>62</v>
      </c>
      <c r="H120" s="2" t="s">
        <v>4</v>
      </c>
      <c r="I120" s="2" t="s">
        <v>4</v>
      </c>
      <c r="J120" s="28" t="s">
        <v>62</v>
      </c>
      <c r="K120" s="28" t="s">
        <v>62</v>
      </c>
      <c r="L120" s="2" t="s">
        <v>4</v>
      </c>
      <c r="Q120" s="1"/>
      <c r="R120" s="1"/>
      <c r="S120" s="1"/>
    </row>
    <row r="121" spans="1:19" x14ac:dyDescent="0.25">
      <c r="A121" s="15" t="s">
        <v>676</v>
      </c>
      <c r="B121" s="15" t="s">
        <v>675</v>
      </c>
      <c r="C121" s="2">
        <v>24566180</v>
      </c>
      <c r="D121" s="2" t="s">
        <v>311</v>
      </c>
      <c r="E121" s="2" t="s">
        <v>64</v>
      </c>
      <c r="F121" s="28" t="s">
        <v>63</v>
      </c>
      <c r="G121" s="28" t="s">
        <v>62</v>
      </c>
      <c r="H121" s="2" t="s">
        <v>4</v>
      </c>
      <c r="I121" s="2" t="s">
        <v>4</v>
      </c>
      <c r="J121" s="28" t="s">
        <v>62</v>
      </c>
      <c r="K121" s="28" t="s">
        <v>62</v>
      </c>
      <c r="L121" s="2" t="s">
        <v>4</v>
      </c>
      <c r="Q121" s="1"/>
      <c r="R121" s="1"/>
      <c r="S121" s="1"/>
    </row>
    <row r="122" spans="1:19" x14ac:dyDescent="0.25">
      <c r="A122" s="15" t="s">
        <v>674</v>
      </c>
      <c r="B122" s="15" t="s">
        <v>673</v>
      </c>
      <c r="C122" s="2">
        <v>24566180</v>
      </c>
      <c r="D122" s="2" t="s">
        <v>311</v>
      </c>
      <c r="E122" s="2" t="s">
        <v>64</v>
      </c>
      <c r="F122" s="28" t="s">
        <v>63</v>
      </c>
      <c r="G122" s="28" t="s">
        <v>62</v>
      </c>
      <c r="H122" s="2" t="s">
        <v>4</v>
      </c>
      <c r="I122" s="2" t="s">
        <v>4</v>
      </c>
      <c r="J122" s="28" t="s">
        <v>62</v>
      </c>
      <c r="K122" s="28" t="s">
        <v>62</v>
      </c>
      <c r="L122" s="2" t="s">
        <v>4</v>
      </c>
      <c r="Q122" s="1"/>
      <c r="R122" s="1"/>
      <c r="S122" s="1"/>
    </row>
    <row r="123" spans="1:19" x14ac:dyDescent="0.25">
      <c r="A123" s="15" t="s">
        <v>672</v>
      </c>
      <c r="B123" s="15" t="s">
        <v>671</v>
      </c>
      <c r="C123" s="2">
        <v>24566180</v>
      </c>
      <c r="D123" s="2" t="s">
        <v>311</v>
      </c>
      <c r="E123" s="2" t="s">
        <v>64</v>
      </c>
      <c r="F123" s="28" t="s">
        <v>63</v>
      </c>
      <c r="G123" s="28" t="s">
        <v>62</v>
      </c>
      <c r="H123" s="2" t="s">
        <v>4</v>
      </c>
      <c r="I123" s="2" t="s">
        <v>4</v>
      </c>
      <c r="J123" s="28" t="s">
        <v>62</v>
      </c>
      <c r="K123" s="28" t="s">
        <v>62</v>
      </c>
      <c r="L123" s="2" t="s">
        <v>4</v>
      </c>
      <c r="Q123" s="1"/>
      <c r="R123" s="1"/>
      <c r="S123" s="1"/>
    </row>
    <row r="124" spans="1:19" x14ac:dyDescent="0.25">
      <c r="A124" s="15" t="s">
        <v>670</v>
      </c>
      <c r="B124" s="15" t="s">
        <v>669</v>
      </c>
      <c r="C124" s="2">
        <v>24566180</v>
      </c>
      <c r="D124" s="2" t="s">
        <v>311</v>
      </c>
      <c r="E124" s="2" t="s">
        <v>64</v>
      </c>
      <c r="F124" s="28" t="s">
        <v>63</v>
      </c>
      <c r="G124" s="28" t="s">
        <v>62</v>
      </c>
      <c r="H124" s="2" t="s">
        <v>4</v>
      </c>
      <c r="I124" s="2" t="s">
        <v>4</v>
      </c>
      <c r="J124" s="28" t="s">
        <v>62</v>
      </c>
      <c r="K124" s="28">
        <v>2.8</v>
      </c>
      <c r="L124" s="2" t="s">
        <v>3</v>
      </c>
      <c r="Q124" s="1"/>
      <c r="R124" s="1"/>
      <c r="S124" s="1"/>
    </row>
    <row r="125" spans="1:19" x14ac:dyDescent="0.25">
      <c r="A125" s="15" t="s">
        <v>668</v>
      </c>
      <c r="B125" s="15" t="s">
        <v>667</v>
      </c>
      <c r="C125" s="2">
        <v>24566180</v>
      </c>
      <c r="D125" s="2" t="s">
        <v>311</v>
      </c>
      <c r="E125" s="2" t="s">
        <v>64</v>
      </c>
      <c r="F125" s="28" t="s">
        <v>63</v>
      </c>
      <c r="G125" s="28" t="s">
        <v>62</v>
      </c>
      <c r="H125" s="2" t="s">
        <v>4</v>
      </c>
      <c r="I125" s="2" t="s">
        <v>4</v>
      </c>
      <c r="J125" s="28" t="s">
        <v>62</v>
      </c>
      <c r="K125" s="28">
        <v>6</v>
      </c>
      <c r="L125" s="2" t="s">
        <v>3</v>
      </c>
      <c r="Q125" s="1"/>
      <c r="R125" s="1"/>
      <c r="S125" s="1"/>
    </row>
    <row r="126" spans="1:19" x14ac:dyDescent="0.25">
      <c r="A126" s="15" t="s">
        <v>666</v>
      </c>
      <c r="B126" s="15" t="s">
        <v>665</v>
      </c>
      <c r="C126" s="2">
        <v>24566180</v>
      </c>
      <c r="D126" s="2" t="s">
        <v>311</v>
      </c>
      <c r="E126" s="2" t="s">
        <v>64</v>
      </c>
      <c r="F126" s="28" t="s">
        <v>63</v>
      </c>
      <c r="G126" s="28" t="s">
        <v>62</v>
      </c>
      <c r="H126" s="2" t="s">
        <v>4</v>
      </c>
      <c r="I126" s="2" t="s">
        <v>4</v>
      </c>
      <c r="J126" s="28" t="s">
        <v>62</v>
      </c>
      <c r="K126" s="28">
        <v>5.5</v>
      </c>
      <c r="L126" s="2" t="s">
        <v>3</v>
      </c>
      <c r="Q126" s="1"/>
      <c r="R126" s="1"/>
      <c r="S126" s="1"/>
    </row>
    <row r="127" spans="1:19" x14ac:dyDescent="0.25">
      <c r="A127" s="15" t="s">
        <v>664</v>
      </c>
      <c r="B127" s="15" t="s">
        <v>663</v>
      </c>
      <c r="C127" s="2">
        <v>24566180</v>
      </c>
      <c r="D127" s="2" t="s">
        <v>311</v>
      </c>
      <c r="E127" s="2" t="s">
        <v>64</v>
      </c>
      <c r="F127" s="28" t="s">
        <v>63</v>
      </c>
      <c r="G127" s="28" t="s">
        <v>62</v>
      </c>
      <c r="H127" s="2" t="s">
        <v>4</v>
      </c>
      <c r="I127" s="2" t="s">
        <v>4</v>
      </c>
      <c r="J127" s="28" t="s">
        <v>62</v>
      </c>
      <c r="K127" s="28" t="s">
        <v>62</v>
      </c>
      <c r="L127" s="2" t="s">
        <v>4</v>
      </c>
      <c r="Q127" s="1"/>
      <c r="R127" s="1"/>
      <c r="S127" s="1"/>
    </row>
    <row r="128" spans="1:19" x14ac:dyDescent="0.25">
      <c r="A128" s="15" t="s">
        <v>662</v>
      </c>
      <c r="B128" s="15" t="s">
        <v>661</v>
      </c>
      <c r="C128" s="2">
        <v>24566180</v>
      </c>
      <c r="D128" s="2" t="s">
        <v>311</v>
      </c>
      <c r="E128" s="2" t="s">
        <v>64</v>
      </c>
      <c r="F128" s="28" t="s">
        <v>63</v>
      </c>
      <c r="G128" s="28" t="s">
        <v>62</v>
      </c>
      <c r="H128" s="2" t="s">
        <v>4</v>
      </c>
      <c r="I128" s="2" t="s">
        <v>4</v>
      </c>
      <c r="J128" s="28" t="s">
        <v>62</v>
      </c>
      <c r="K128" s="28">
        <v>4.2</v>
      </c>
      <c r="L128" s="2" t="s">
        <v>3</v>
      </c>
      <c r="Q128" s="1"/>
      <c r="R128" s="1"/>
      <c r="S128" s="1"/>
    </row>
    <row r="129" spans="1:19" x14ac:dyDescent="0.25">
      <c r="A129" s="15" t="s">
        <v>660</v>
      </c>
      <c r="B129" s="15" t="s">
        <v>659</v>
      </c>
      <c r="C129" s="2">
        <v>24566180</v>
      </c>
      <c r="D129" s="2" t="s">
        <v>311</v>
      </c>
      <c r="E129" s="2" t="s">
        <v>64</v>
      </c>
      <c r="F129" s="28" t="s">
        <v>63</v>
      </c>
      <c r="G129" s="28" t="s">
        <v>62</v>
      </c>
      <c r="H129" s="2" t="s">
        <v>4</v>
      </c>
      <c r="I129" s="2" t="s">
        <v>4</v>
      </c>
      <c r="J129" s="28" t="s">
        <v>62</v>
      </c>
      <c r="K129" s="28">
        <v>6.5</v>
      </c>
      <c r="L129" s="2" t="s">
        <v>3</v>
      </c>
      <c r="Q129" s="1"/>
      <c r="R129" s="1"/>
      <c r="S129" s="1"/>
    </row>
    <row r="130" spans="1:19" x14ac:dyDescent="0.25">
      <c r="A130" s="15" t="s">
        <v>658</v>
      </c>
      <c r="B130" s="15" t="s">
        <v>657</v>
      </c>
      <c r="C130" s="2">
        <v>24566180</v>
      </c>
      <c r="D130" s="2" t="s">
        <v>311</v>
      </c>
      <c r="E130" s="2" t="s">
        <v>64</v>
      </c>
      <c r="F130" s="28" t="s">
        <v>63</v>
      </c>
      <c r="G130" s="28" t="s">
        <v>62</v>
      </c>
      <c r="H130" s="2" t="s">
        <v>4</v>
      </c>
      <c r="I130" s="2" t="s">
        <v>4</v>
      </c>
      <c r="J130" s="28" t="s">
        <v>62</v>
      </c>
      <c r="K130" s="28" t="s">
        <v>62</v>
      </c>
      <c r="L130" s="2" t="s">
        <v>4</v>
      </c>
      <c r="Q130" s="1"/>
      <c r="R130" s="1"/>
      <c r="S130" s="1"/>
    </row>
    <row r="131" spans="1:19" x14ac:dyDescent="0.25">
      <c r="A131" s="15" t="s">
        <v>656</v>
      </c>
      <c r="B131" s="15" t="s">
        <v>655</v>
      </c>
      <c r="C131" s="2">
        <v>22669447</v>
      </c>
      <c r="D131" s="2" t="s">
        <v>107</v>
      </c>
      <c r="E131" s="2" t="s">
        <v>64</v>
      </c>
      <c r="F131" s="28" t="s">
        <v>63</v>
      </c>
      <c r="G131" s="28" t="s">
        <v>62</v>
      </c>
      <c r="H131" s="2" t="s">
        <v>4</v>
      </c>
      <c r="I131" s="2" t="s">
        <v>4</v>
      </c>
      <c r="J131" s="28" t="s">
        <v>62</v>
      </c>
      <c r="K131" s="28" t="s">
        <v>62</v>
      </c>
      <c r="L131" s="2" t="s">
        <v>4</v>
      </c>
      <c r="Q131" s="1"/>
      <c r="R131" s="1"/>
      <c r="S131" s="1"/>
    </row>
    <row r="132" spans="1:19" x14ac:dyDescent="0.25">
      <c r="A132" s="15" t="s">
        <v>654</v>
      </c>
      <c r="B132" s="15" t="s">
        <v>653</v>
      </c>
      <c r="C132" s="2">
        <v>22669447</v>
      </c>
      <c r="D132" s="2" t="s">
        <v>107</v>
      </c>
      <c r="E132" s="2" t="s">
        <v>64</v>
      </c>
      <c r="F132" s="28" t="s">
        <v>63</v>
      </c>
      <c r="G132" s="28" t="s">
        <v>62</v>
      </c>
      <c r="H132" s="2" t="s">
        <v>4</v>
      </c>
      <c r="I132" s="2" t="s">
        <v>4</v>
      </c>
      <c r="J132" s="28" t="s">
        <v>62</v>
      </c>
      <c r="K132" s="28" t="s">
        <v>62</v>
      </c>
      <c r="L132" s="2" t="s">
        <v>4</v>
      </c>
      <c r="Q132" s="1"/>
      <c r="R132" s="1"/>
      <c r="S132" s="1"/>
    </row>
    <row r="133" spans="1:19" x14ac:dyDescent="0.25">
      <c r="A133" s="15" t="s">
        <v>652</v>
      </c>
      <c r="B133" s="15" t="s">
        <v>651</v>
      </c>
      <c r="C133" s="2">
        <v>22669447</v>
      </c>
      <c r="D133" s="2" t="s">
        <v>107</v>
      </c>
      <c r="E133" s="2" t="s">
        <v>64</v>
      </c>
      <c r="F133" s="28" t="s">
        <v>63</v>
      </c>
      <c r="G133" s="28" t="s">
        <v>62</v>
      </c>
      <c r="H133" s="2" t="s">
        <v>4</v>
      </c>
      <c r="I133" s="2" t="s">
        <v>4</v>
      </c>
      <c r="J133" s="28" t="s">
        <v>62</v>
      </c>
      <c r="K133" s="28" t="s">
        <v>62</v>
      </c>
      <c r="L133" s="2" t="s">
        <v>4</v>
      </c>
      <c r="Q133" s="1"/>
      <c r="R133" s="1"/>
      <c r="S133" s="1"/>
    </row>
    <row r="134" spans="1:19" x14ac:dyDescent="0.25">
      <c r="A134" s="15" t="s">
        <v>650</v>
      </c>
      <c r="B134" s="15" t="s">
        <v>649</v>
      </c>
      <c r="C134" s="2">
        <v>22669447</v>
      </c>
      <c r="D134" s="2" t="s">
        <v>107</v>
      </c>
      <c r="E134" s="2" t="s">
        <v>64</v>
      </c>
      <c r="F134" s="28" t="s">
        <v>63</v>
      </c>
      <c r="G134" s="28" t="s">
        <v>62</v>
      </c>
      <c r="H134" s="2" t="s">
        <v>4</v>
      </c>
      <c r="I134" s="2" t="s">
        <v>4</v>
      </c>
      <c r="J134" s="28" t="s">
        <v>62</v>
      </c>
      <c r="K134" s="28" t="s">
        <v>62</v>
      </c>
      <c r="L134" s="2" t="s">
        <v>4</v>
      </c>
      <c r="Q134" s="1"/>
      <c r="R134" s="1"/>
      <c r="S134" s="1"/>
    </row>
    <row r="135" spans="1:19" x14ac:dyDescent="0.25">
      <c r="A135" s="15" t="s">
        <v>648</v>
      </c>
      <c r="B135" s="15" t="s">
        <v>647</v>
      </c>
      <c r="C135" s="2">
        <v>22669447</v>
      </c>
      <c r="D135" s="2" t="s">
        <v>107</v>
      </c>
      <c r="E135" s="2" t="s">
        <v>64</v>
      </c>
      <c r="F135" s="28" t="s">
        <v>63</v>
      </c>
      <c r="G135" s="28" t="s">
        <v>62</v>
      </c>
      <c r="H135" s="2" t="s">
        <v>4</v>
      </c>
      <c r="I135" s="2" t="s">
        <v>4</v>
      </c>
      <c r="J135" s="28" t="s">
        <v>62</v>
      </c>
      <c r="K135" s="28" t="s">
        <v>62</v>
      </c>
      <c r="L135" s="2" t="s">
        <v>4</v>
      </c>
      <c r="Q135" s="1"/>
      <c r="R135" s="1"/>
      <c r="S135" s="1"/>
    </row>
    <row r="136" spans="1:19" x14ac:dyDescent="0.25">
      <c r="A136" s="15" t="s">
        <v>646</v>
      </c>
      <c r="B136" s="15" t="s">
        <v>645</v>
      </c>
      <c r="C136" s="2">
        <v>22669447</v>
      </c>
      <c r="D136" s="2" t="s">
        <v>107</v>
      </c>
      <c r="E136" s="2" t="s">
        <v>64</v>
      </c>
      <c r="F136" s="28" t="s">
        <v>63</v>
      </c>
      <c r="G136" s="28" t="s">
        <v>62</v>
      </c>
      <c r="H136" s="2" t="s">
        <v>4</v>
      </c>
      <c r="I136" s="2" t="s">
        <v>4</v>
      </c>
      <c r="J136" s="28" t="s">
        <v>62</v>
      </c>
      <c r="K136" s="28" t="s">
        <v>62</v>
      </c>
      <c r="L136" s="2" t="s">
        <v>4</v>
      </c>
      <c r="Q136" s="1"/>
      <c r="R136" s="1"/>
      <c r="S136" s="1"/>
    </row>
    <row r="137" spans="1:19" x14ac:dyDescent="0.25">
      <c r="A137" s="15" t="s">
        <v>644</v>
      </c>
      <c r="B137" s="15" t="s">
        <v>643</v>
      </c>
      <c r="C137" s="2">
        <v>22669447</v>
      </c>
      <c r="D137" s="2" t="s">
        <v>107</v>
      </c>
      <c r="E137" s="2" t="s">
        <v>64</v>
      </c>
      <c r="F137" s="28" t="s">
        <v>63</v>
      </c>
      <c r="G137" s="28" t="s">
        <v>62</v>
      </c>
      <c r="H137" s="2" t="s">
        <v>4</v>
      </c>
      <c r="I137" s="2" t="s">
        <v>4</v>
      </c>
      <c r="J137" s="28" t="s">
        <v>62</v>
      </c>
      <c r="K137" s="28" t="s">
        <v>62</v>
      </c>
      <c r="L137" s="2" t="s">
        <v>4</v>
      </c>
      <c r="Q137" s="1"/>
      <c r="R137" s="1"/>
      <c r="S137" s="1"/>
    </row>
    <row r="138" spans="1:19" x14ac:dyDescent="0.25">
      <c r="A138" s="15" t="s">
        <v>642</v>
      </c>
      <c r="B138" s="15" t="s">
        <v>641</v>
      </c>
      <c r="C138" s="2">
        <v>22669447</v>
      </c>
      <c r="D138" s="2" t="s">
        <v>107</v>
      </c>
      <c r="E138" s="2" t="s">
        <v>64</v>
      </c>
      <c r="F138" s="28" t="s">
        <v>63</v>
      </c>
      <c r="G138" s="28" t="s">
        <v>62</v>
      </c>
      <c r="H138" s="2" t="s">
        <v>4</v>
      </c>
      <c r="I138" s="2" t="s">
        <v>4</v>
      </c>
      <c r="J138" s="28" t="s">
        <v>62</v>
      </c>
      <c r="K138" s="28" t="s">
        <v>62</v>
      </c>
      <c r="L138" s="2" t="s">
        <v>4</v>
      </c>
      <c r="Q138" s="1"/>
      <c r="R138" s="1"/>
      <c r="S138" s="1"/>
    </row>
    <row r="139" spans="1:19" x14ac:dyDescent="0.25">
      <c r="A139" s="15" t="s">
        <v>640</v>
      </c>
      <c r="B139" s="15" t="s">
        <v>639</v>
      </c>
      <c r="C139" s="2">
        <v>22669447</v>
      </c>
      <c r="D139" s="2" t="s">
        <v>107</v>
      </c>
      <c r="E139" s="2" t="s">
        <v>64</v>
      </c>
      <c r="F139" s="28" t="s">
        <v>63</v>
      </c>
      <c r="G139" s="28" t="s">
        <v>62</v>
      </c>
      <c r="H139" s="2" t="s">
        <v>4</v>
      </c>
      <c r="I139" s="2" t="s">
        <v>4</v>
      </c>
      <c r="J139" s="28" t="s">
        <v>62</v>
      </c>
      <c r="K139" s="28" t="s">
        <v>62</v>
      </c>
      <c r="L139" s="2" t="s">
        <v>4</v>
      </c>
      <c r="Q139" s="1"/>
      <c r="R139" s="1"/>
      <c r="S139" s="1"/>
    </row>
    <row r="140" spans="1:19" x14ac:dyDescent="0.25">
      <c r="A140" s="15" t="s">
        <v>638</v>
      </c>
      <c r="B140" s="15" t="s">
        <v>637</v>
      </c>
      <c r="C140" s="2">
        <v>22669447</v>
      </c>
      <c r="D140" s="2" t="s">
        <v>107</v>
      </c>
      <c r="E140" s="2" t="s">
        <v>64</v>
      </c>
      <c r="F140" s="28" t="s">
        <v>63</v>
      </c>
      <c r="G140" s="28" t="s">
        <v>62</v>
      </c>
      <c r="H140" s="2" t="s">
        <v>4</v>
      </c>
      <c r="I140" s="2" t="s">
        <v>4</v>
      </c>
      <c r="J140" s="28" t="s">
        <v>62</v>
      </c>
      <c r="K140" s="28" t="s">
        <v>62</v>
      </c>
      <c r="L140" s="2" t="s">
        <v>4</v>
      </c>
      <c r="Q140" s="1"/>
      <c r="R140" s="1"/>
      <c r="S140" s="1"/>
    </row>
    <row r="141" spans="1:19" x14ac:dyDescent="0.25">
      <c r="A141" s="15" t="s">
        <v>636</v>
      </c>
      <c r="B141" s="15" t="s">
        <v>635</v>
      </c>
      <c r="C141" s="2">
        <v>22669447</v>
      </c>
      <c r="D141" s="2" t="s">
        <v>107</v>
      </c>
      <c r="E141" s="2" t="s">
        <v>64</v>
      </c>
      <c r="F141" s="28" t="s">
        <v>63</v>
      </c>
      <c r="G141" s="28" t="s">
        <v>62</v>
      </c>
      <c r="H141" s="2" t="s">
        <v>4</v>
      </c>
      <c r="I141" s="2" t="s">
        <v>4</v>
      </c>
      <c r="J141" s="28" t="s">
        <v>62</v>
      </c>
      <c r="K141" s="28" t="s">
        <v>62</v>
      </c>
      <c r="L141" s="2" t="s">
        <v>4</v>
      </c>
      <c r="Q141" s="1"/>
      <c r="R141" s="1"/>
      <c r="S141" s="1"/>
    </row>
    <row r="142" spans="1:19" x14ac:dyDescent="0.25">
      <c r="A142" s="15" t="s">
        <v>634</v>
      </c>
      <c r="B142" s="15" t="s">
        <v>633</v>
      </c>
      <c r="C142" s="2">
        <v>22669447</v>
      </c>
      <c r="D142" s="2" t="s">
        <v>107</v>
      </c>
      <c r="E142" s="2" t="s">
        <v>64</v>
      </c>
      <c r="F142" s="28" t="s">
        <v>63</v>
      </c>
      <c r="G142" s="28" t="s">
        <v>62</v>
      </c>
      <c r="H142" s="2" t="s">
        <v>4</v>
      </c>
      <c r="I142" s="2" t="s">
        <v>4</v>
      </c>
      <c r="J142" s="28" t="s">
        <v>62</v>
      </c>
      <c r="K142" s="28" t="s">
        <v>62</v>
      </c>
      <c r="L142" s="2" t="s">
        <v>4</v>
      </c>
      <c r="Q142" s="1"/>
      <c r="R142" s="1"/>
      <c r="S142" s="1"/>
    </row>
    <row r="143" spans="1:19" x14ac:dyDescent="0.25">
      <c r="A143" s="15" t="s">
        <v>632</v>
      </c>
      <c r="B143" s="15" t="s">
        <v>631</v>
      </c>
      <c r="C143" s="2">
        <v>22669447</v>
      </c>
      <c r="D143" s="2" t="s">
        <v>107</v>
      </c>
      <c r="E143" s="2" t="s">
        <v>64</v>
      </c>
      <c r="F143" s="28" t="s">
        <v>63</v>
      </c>
      <c r="G143" s="28" t="s">
        <v>62</v>
      </c>
      <c r="H143" s="2" t="s">
        <v>4</v>
      </c>
      <c r="I143" s="2" t="s">
        <v>4</v>
      </c>
      <c r="J143" s="28" t="s">
        <v>62</v>
      </c>
      <c r="K143" s="28" t="s">
        <v>62</v>
      </c>
      <c r="L143" s="2" t="s">
        <v>4</v>
      </c>
      <c r="Q143" s="1"/>
      <c r="R143" s="1"/>
      <c r="S143" s="1"/>
    </row>
    <row r="144" spans="1:19" x14ac:dyDescent="0.25">
      <c r="A144" s="15" t="s">
        <v>630</v>
      </c>
      <c r="B144" s="15" t="s">
        <v>629</v>
      </c>
      <c r="C144" s="2">
        <v>22669447</v>
      </c>
      <c r="D144" s="2" t="s">
        <v>107</v>
      </c>
      <c r="E144" s="2" t="s">
        <v>64</v>
      </c>
      <c r="F144" s="28" t="s">
        <v>63</v>
      </c>
      <c r="G144" s="28" t="s">
        <v>62</v>
      </c>
      <c r="H144" s="2" t="s">
        <v>4</v>
      </c>
      <c r="I144" s="2" t="s">
        <v>4</v>
      </c>
      <c r="J144" s="28" t="s">
        <v>62</v>
      </c>
      <c r="K144" s="28" t="s">
        <v>62</v>
      </c>
      <c r="L144" s="2" t="s">
        <v>4</v>
      </c>
      <c r="Q144" s="1"/>
      <c r="R144" s="1"/>
      <c r="S144" s="1"/>
    </row>
    <row r="145" spans="1:19" x14ac:dyDescent="0.25">
      <c r="A145" s="15" t="s">
        <v>628</v>
      </c>
      <c r="B145" s="15" t="s">
        <v>627</v>
      </c>
      <c r="C145" s="2">
        <v>22669447</v>
      </c>
      <c r="D145" s="2" t="s">
        <v>107</v>
      </c>
      <c r="E145" s="2" t="s">
        <v>64</v>
      </c>
      <c r="F145" s="28" t="s">
        <v>63</v>
      </c>
      <c r="G145" s="28" t="s">
        <v>62</v>
      </c>
      <c r="H145" s="2" t="s">
        <v>4</v>
      </c>
      <c r="I145" s="2" t="s">
        <v>4</v>
      </c>
      <c r="J145" s="28" t="s">
        <v>62</v>
      </c>
      <c r="K145" s="28" t="s">
        <v>62</v>
      </c>
      <c r="L145" s="2" t="s">
        <v>4</v>
      </c>
      <c r="Q145" s="1"/>
      <c r="R145" s="1"/>
      <c r="S145" s="1"/>
    </row>
    <row r="146" spans="1:19" x14ac:dyDescent="0.25">
      <c r="A146" s="15" t="s">
        <v>626</v>
      </c>
      <c r="B146" s="15" t="s">
        <v>625</v>
      </c>
      <c r="C146" s="2">
        <v>22669447</v>
      </c>
      <c r="D146" s="2" t="s">
        <v>107</v>
      </c>
      <c r="E146" s="2" t="s">
        <v>64</v>
      </c>
      <c r="F146" s="28" t="s">
        <v>63</v>
      </c>
      <c r="G146" s="28" t="s">
        <v>62</v>
      </c>
      <c r="H146" s="2" t="s">
        <v>4</v>
      </c>
      <c r="I146" s="2" t="s">
        <v>4</v>
      </c>
      <c r="J146" s="28" t="s">
        <v>62</v>
      </c>
      <c r="K146" s="28" t="s">
        <v>62</v>
      </c>
      <c r="L146" s="2" t="s">
        <v>4</v>
      </c>
      <c r="Q146" s="1"/>
      <c r="R146" s="1"/>
      <c r="S146" s="1"/>
    </row>
    <row r="147" spans="1:19" x14ac:dyDescent="0.25">
      <c r="A147" s="15" t="s">
        <v>624</v>
      </c>
      <c r="B147" s="15" t="s">
        <v>623</v>
      </c>
      <c r="C147" s="2">
        <v>22669447</v>
      </c>
      <c r="D147" s="2" t="s">
        <v>107</v>
      </c>
      <c r="E147" s="2" t="s">
        <v>64</v>
      </c>
      <c r="F147" s="28" t="s">
        <v>63</v>
      </c>
      <c r="G147" s="28" t="s">
        <v>62</v>
      </c>
      <c r="H147" s="2" t="s">
        <v>4</v>
      </c>
      <c r="I147" s="2" t="s">
        <v>4</v>
      </c>
      <c r="J147" s="28" t="s">
        <v>62</v>
      </c>
      <c r="K147" s="28" t="s">
        <v>62</v>
      </c>
      <c r="L147" s="2" t="s">
        <v>4</v>
      </c>
      <c r="Q147" s="1"/>
      <c r="R147" s="1"/>
      <c r="S147" s="1"/>
    </row>
    <row r="148" spans="1:19" x14ac:dyDescent="0.25">
      <c r="A148" s="15" t="s">
        <v>622</v>
      </c>
      <c r="B148" s="15" t="s">
        <v>621</v>
      </c>
      <c r="C148" s="2">
        <v>22669447</v>
      </c>
      <c r="D148" s="2" t="s">
        <v>107</v>
      </c>
      <c r="E148" s="2" t="s">
        <v>64</v>
      </c>
      <c r="F148" s="28" t="s">
        <v>63</v>
      </c>
      <c r="G148" s="28" t="s">
        <v>62</v>
      </c>
      <c r="H148" s="2" t="s">
        <v>4</v>
      </c>
      <c r="I148" s="2" t="s">
        <v>4</v>
      </c>
      <c r="J148" s="28" t="s">
        <v>62</v>
      </c>
      <c r="K148" s="28" t="s">
        <v>62</v>
      </c>
      <c r="L148" s="2" t="s">
        <v>4</v>
      </c>
      <c r="Q148" s="1"/>
      <c r="R148" s="1"/>
      <c r="S148" s="1"/>
    </row>
    <row r="149" spans="1:19" x14ac:dyDescent="0.25">
      <c r="A149" s="15" t="s">
        <v>620</v>
      </c>
      <c r="B149" s="15" t="s">
        <v>619</v>
      </c>
      <c r="C149" s="2">
        <v>22669447</v>
      </c>
      <c r="D149" s="2" t="s">
        <v>107</v>
      </c>
      <c r="E149" s="2" t="s">
        <v>64</v>
      </c>
      <c r="F149" s="28" t="s">
        <v>63</v>
      </c>
      <c r="G149" s="28" t="s">
        <v>62</v>
      </c>
      <c r="H149" s="2" t="s">
        <v>4</v>
      </c>
      <c r="I149" s="2" t="s">
        <v>4</v>
      </c>
      <c r="J149" s="28" t="s">
        <v>62</v>
      </c>
      <c r="K149" s="28" t="s">
        <v>62</v>
      </c>
      <c r="L149" s="2" t="s">
        <v>4</v>
      </c>
      <c r="Q149" s="1"/>
      <c r="R149" s="1"/>
      <c r="S149" s="1"/>
    </row>
    <row r="150" spans="1:19" x14ac:dyDescent="0.25">
      <c r="A150" s="15" t="s">
        <v>618</v>
      </c>
      <c r="B150" s="15" t="s">
        <v>617</v>
      </c>
      <c r="C150" s="2">
        <v>22669447</v>
      </c>
      <c r="D150" s="2" t="s">
        <v>107</v>
      </c>
      <c r="E150" s="2" t="s">
        <v>64</v>
      </c>
      <c r="F150" s="28" t="s">
        <v>63</v>
      </c>
      <c r="G150" s="28" t="s">
        <v>62</v>
      </c>
      <c r="H150" s="2" t="s">
        <v>4</v>
      </c>
      <c r="I150" s="2" t="s">
        <v>4</v>
      </c>
      <c r="J150" s="28" t="s">
        <v>62</v>
      </c>
      <c r="K150" s="28" t="s">
        <v>62</v>
      </c>
      <c r="L150" s="2" t="s">
        <v>4</v>
      </c>
      <c r="Q150" s="1"/>
      <c r="R150" s="1"/>
      <c r="S150" s="1"/>
    </row>
    <row r="151" spans="1:19" x14ac:dyDescent="0.25">
      <c r="A151" s="15" t="s">
        <v>616</v>
      </c>
      <c r="B151" s="15" t="s">
        <v>615</v>
      </c>
      <c r="C151" s="2">
        <v>22669447</v>
      </c>
      <c r="D151" s="2" t="s">
        <v>107</v>
      </c>
      <c r="E151" s="2" t="s">
        <v>64</v>
      </c>
      <c r="F151" s="28" t="s">
        <v>63</v>
      </c>
      <c r="G151" s="28" t="s">
        <v>62</v>
      </c>
      <c r="H151" s="2" t="s">
        <v>4</v>
      </c>
      <c r="I151" s="2" t="s">
        <v>4</v>
      </c>
      <c r="J151" s="28" t="s">
        <v>62</v>
      </c>
      <c r="K151" s="28" t="s">
        <v>62</v>
      </c>
      <c r="L151" s="2" t="s">
        <v>4</v>
      </c>
      <c r="Q151" s="1"/>
      <c r="R151" s="1"/>
      <c r="S151" s="1"/>
    </row>
    <row r="152" spans="1:19" x14ac:dyDescent="0.25">
      <c r="A152" s="15" t="s">
        <v>614</v>
      </c>
      <c r="B152" s="15" t="s">
        <v>613</v>
      </c>
      <c r="C152" s="2">
        <v>22669447</v>
      </c>
      <c r="D152" s="2" t="s">
        <v>107</v>
      </c>
      <c r="E152" s="2" t="s">
        <v>64</v>
      </c>
      <c r="F152" s="28" t="s">
        <v>63</v>
      </c>
      <c r="G152" s="28" t="s">
        <v>62</v>
      </c>
      <c r="H152" s="2" t="s">
        <v>4</v>
      </c>
      <c r="I152" s="2" t="s">
        <v>4</v>
      </c>
      <c r="J152" s="28" t="s">
        <v>62</v>
      </c>
      <c r="K152" s="28" t="s">
        <v>62</v>
      </c>
      <c r="L152" s="2" t="s">
        <v>4</v>
      </c>
      <c r="Q152" s="1"/>
      <c r="R152" s="1"/>
      <c r="S152" s="1"/>
    </row>
    <row r="153" spans="1:19" x14ac:dyDescent="0.25">
      <c r="A153" s="15" t="s">
        <v>612</v>
      </c>
      <c r="B153" s="15" t="s">
        <v>611</v>
      </c>
      <c r="C153" s="2">
        <v>22669447</v>
      </c>
      <c r="D153" s="2" t="s">
        <v>107</v>
      </c>
      <c r="E153" s="2" t="s">
        <v>64</v>
      </c>
      <c r="F153" s="28" t="s">
        <v>63</v>
      </c>
      <c r="G153" s="28" t="s">
        <v>62</v>
      </c>
      <c r="H153" s="2" t="s">
        <v>4</v>
      </c>
      <c r="I153" s="2" t="s">
        <v>4</v>
      </c>
      <c r="J153" s="28" t="s">
        <v>62</v>
      </c>
      <c r="K153" s="28" t="s">
        <v>62</v>
      </c>
      <c r="L153" s="2" t="s">
        <v>4</v>
      </c>
      <c r="Q153" s="1"/>
      <c r="R153" s="1"/>
      <c r="S153" s="1"/>
    </row>
    <row r="154" spans="1:19" x14ac:dyDescent="0.25">
      <c r="A154" s="15" t="s">
        <v>610</v>
      </c>
      <c r="B154" s="15" t="s">
        <v>609</v>
      </c>
      <c r="C154" s="2">
        <v>22669447</v>
      </c>
      <c r="D154" s="2" t="s">
        <v>107</v>
      </c>
      <c r="E154" s="2" t="s">
        <v>64</v>
      </c>
      <c r="F154" s="28" t="s">
        <v>63</v>
      </c>
      <c r="G154" s="28" t="s">
        <v>62</v>
      </c>
      <c r="H154" s="2" t="s">
        <v>4</v>
      </c>
      <c r="I154" s="2" t="s">
        <v>4</v>
      </c>
      <c r="J154" s="28" t="s">
        <v>62</v>
      </c>
      <c r="K154" s="28" t="s">
        <v>62</v>
      </c>
      <c r="L154" s="2" t="s">
        <v>4</v>
      </c>
      <c r="Q154" s="1"/>
      <c r="R154" s="1"/>
      <c r="S154" s="1"/>
    </row>
    <row r="155" spans="1:19" x14ac:dyDescent="0.25">
      <c r="A155" s="15" t="s">
        <v>608</v>
      </c>
      <c r="B155" s="15" t="s">
        <v>607</v>
      </c>
      <c r="C155" s="2">
        <v>22669447</v>
      </c>
      <c r="D155" s="2" t="s">
        <v>107</v>
      </c>
      <c r="E155" s="2" t="s">
        <v>64</v>
      </c>
      <c r="F155" s="28" t="s">
        <v>63</v>
      </c>
      <c r="G155" s="28" t="s">
        <v>62</v>
      </c>
      <c r="H155" s="2" t="s">
        <v>4</v>
      </c>
      <c r="I155" s="2" t="s">
        <v>4</v>
      </c>
      <c r="J155" s="28" t="s">
        <v>62</v>
      </c>
      <c r="K155" s="28" t="s">
        <v>62</v>
      </c>
      <c r="L155" s="2" t="s">
        <v>4</v>
      </c>
      <c r="Q155" s="1"/>
      <c r="R155" s="1"/>
      <c r="S155" s="1"/>
    </row>
    <row r="156" spans="1:19" x14ac:dyDescent="0.25">
      <c r="A156" s="15" t="s">
        <v>606</v>
      </c>
      <c r="B156" s="15" t="s">
        <v>605</v>
      </c>
      <c r="C156" s="2">
        <v>22669447</v>
      </c>
      <c r="D156" s="2" t="s">
        <v>107</v>
      </c>
      <c r="E156" s="2" t="s">
        <v>64</v>
      </c>
      <c r="F156" s="28" t="s">
        <v>63</v>
      </c>
      <c r="G156" s="28" t="s">
        <v>62</v>
      </c>
      <c r="H156" s="2" t="s">
        <v>4</v>
      </c>
      <c r="I156" s="2" t="s">
        <v>4</v>
      </c>
      <c r="J156" s="28" t="s">
        <v>62</v>
      </c>
      <c r="K156" s="28" t="s">
        <v>62</v>
      </c>
      <c r="L156" s="2" t="s">
        <v>4</v>
      </c>
      <c r="Q156" s="1"/>
      <c r="R156" s="1"/>
      <c r="S156" s="1"/>
    </row>
    <row r="157" spans="1:19" x14ac:dyDescent="0.25">
      <c r="A157" s="15" t="s">
        <v>604</v>
      </c>
      <c r="B157" s="15" t="s">
        <v>603</v>
      </c>
      <c r="C157" s="2">
        <v>22669447</v>
      </c>
      <c r="D157" s="2" t="s">
        <v>107</v>
      </c>
      <c r="E157" s="2" t="s">
        <v>64</v>
      </c>
      <c r="F157" s="28" t="s">
        <v>63</v>
      </c>
      <c r="G157" s="28" t="s">
        <v>62</v>
      </c>
      <c r="H157" s="2" t="s">
        <v>4</v>
      </c>
      <c r="I157" s="2" t="s">
        <v>4</v>
      </c>
      <c r="J157" s="28" t="s">
        <v>62</v>
      </c>
      <c r="K157" s="28" t="s">
        <v>62</v>
      </c>
      <c r="L157" s="2" t="s">
        <v>4</v>
      </c>
      <c r="Q157" s="1"/>
      <c r="R157" s="1"/>
      <c r="S157" s="1"/>
    </row>
    <row r="158" spans="1:19" x14ac:dyDescent="0.25">
      <c r="A158" s="15" t="s">
        <v>602</v>
      </c>
      <c r="B158" s="15" t="s">
        <v>601</v>
      </c>
      <c r="C158" s="2">
        <v>22669447</v>
      </c>
      <c r="D158" s="2" t="s">
        <v>107</v>
      </c>
      <c r="E158" s="2" t="s">
        <v>64</v>
      </c>
      <c r="F158" s="28" t="s">
        <v>63</v>
      </c>
      <c r="G158" s="28" t="s">
        <v>62</v>
      </c>
      <c r="H158" s="2" t="s">
        <v>4</v>
      </c>
      <c r="I158" s="2" t="s">
        <v>4</v>
      </c>
      <c r="J158" s="28" t="s">
        <v>62</v>
      </c>
      <c r="K158" s="28" t="s">
        <v>62</v>
      </c>
      <c r="L158" s="2" t="s">
        <v>4</v>
      </c>
      <c r="Q158" s="1"/>
      <c r="R158" s="1"/>
      <c r="S158" s="1"/>
    </row>
    <row r="159" spans="1:19" x14ac:dyDescent="0.25">
      <c r="A159" s="15" t="s">
        <v>600</v>
      </c>
      <c r="B159" s="15" t="s">
        <v>599</v>
      </c>
      <c r="C159" s="2">
        <v>22669447</v>
      </c>
      <c r="D159" s="2" t="s">
        <v>107</v>
      </c>
      <c r="E159" s="2" t="s">
        <v>64</v>
      </c>
      <c r="F159" s="28" t="s">
        <v>63</v>
      </c>
      <c r="G159" s="28" t="s">
        <v>62</v>
      </c>
      <c r="H159" s="2" t="s">
        <v>4</v>
      </c>
      <c r="I159" s="2" t="s">
        <v>4</v>
      </c>
      <c r="J159" s="28" t="s">
        <v>62</v>
      </c>
      <c r="K159" s="28" t="s">
        <v>62</v>
      </c>
      <c r="L159" s="2" t="s">
        <v>4</v>
      </c>
      <c r="Q159" s="1"/>
      <c r="R159" s="1"/>
      <c r="S159" s="1"/>
    </row>
    <row r="160" spans="1:19" x14ac:dyDescent="0.25">
      <c r="A160" s="15" t="s">
        <v>598</v>
      </c>
      <c r="B160" s="15" t="s">
        <v>597</v>
      </c>
      <c r="C160" s="2">
        <v>22669447</v>
      </c>
      <c r="D160" s="2" t="s">
        <v>107</v>
      </c>
      <c r="E160" s="2" t="s">
        <v>64</v>
      </c>
      <c r="F160" s="28" t="s">
        <v>63</v>
      </c>
      <c r="G160" s="28" t="s">
        <v>62</v>
      </c>
      <c r="H160" s="2" t="s">
        <v>4</v>
      </c>
      <c r="I160" s="2" t="s">
        <v>4</v>
      </c>
      <c r="J160" s="28" t="s">
        <v>62</v>
      </c>
      <c r="K160" s="28" t="s">
        <v>62</v>
      </c>
      <c r="L160" s="2" t="s">
        <v>4</v>
      </c>
      <c r="Q160" s="1"/>
      <c r="R160" s="1"/>
      <c r="S160" s="1"/>
    </row>
    <row r="161" spans="1:19" x14ac:dyDescent="0.25">
      <c r="A161" s="15" t="s">
        <v>596</v>
      </c>
      <c r="B161" s="15" t="s">
        <v>595</v>
      </c>
      <c r="C161" s="2">
        <v>22669447</v>
      </c>
      <c r="D161" s="2" t="s">
        <v>107</v>
      </c>
      <c r="E161" s="2" t="s">
        <v>64</v>
      </c>
      <c r="F161" s="28" t="s">
        <v>63</v>
      </c>
      <c r="G161" s="28" t="s">
        <v>62</v>
      </c>
      <c r="H161" s="2" t="s">
        <v>4</v>
      </c>
      <c r="I161" s="2" t="s">
        <v>4</v>
      </c>
      <c r="J161" s="28" t="s">
        <v>62</v>
      </c>
      <c r="K161" s="28" t="s">
        <v>62</v>
      </c>
      <c r="L161" s="2" t="s">
        <v>4</v>
      </c>
      <c r="Q161" s="1"/>
      <c r="R161" s="1"/>
      <c r="S161" s="1"/>
    </row>
    <row r="162" spans="1:19" x14ac:dyDescent="0.25">
      <c r="A162" s="15" t="s">
        <v>594</v>
      </c>
      <c r="B162" s="15" t="s">
        <v>593</v>
      </c>
      <c r="C162" s="2">
        <v>22669447</v>
      </c>
      <c r="D162" s="2" t="s">
        <v>107</v>
      </c>
      <c r="E162" s="2" t="s">
        <v>64</v>
      </c>
      <c r="F162" s="28" t="s">
        <v>63</v>
      </c>
      <c r="G162" s="28" t="s">
        <v>62</v>
      </c>
      <c r="H162" s="2" t="s">
        <v>4</v>
      </c>
      <c r="I162" s="2" t="s">
        <v>4</v>
      </c>
      <c r="J162" s="28" t="s">
        <v>62</v>
      </c>
      <c r="K162" s="28" t="s">
        <v>62</v>
      </c>
      <c r="L162" s="2" t="s">
        <v>4</v>
      </c>
      <c r="Q162" s="1"/>
      <c r="R162" s="1"/>
      <c r="S162" s="1"/>
    </row>
    <row r="163" spans="1:19" x14ac:dyDescent="0.25">
      <c r="A163" s="15" t="s">
        <v>592</v>
      </c>
      <c r="B163" s="15" t="s">
        <v>591</v>
      </c>
      <c r="C163" s="2">
        <v>22669447</v>
      </c>
      <c r="D163" s="2" t="s">
        <v>107</v>
      </c>
      <c r="E163" s="2" t="s">
        <v>64</v>
      </c>
      <c r="F163" s="28" t="s">
        <v>63</v>
      </c>
      <c r="G163" s="28" t="s">
        <v>62</v>
      </c>
      <c r="H163" s="2" t="s">
        <v>4</v>
      </c>
      <c r="I163" s="2" t="s">
        <v>4</v>
      </c>
      <c r="J163" s="28" t="s">
        <v>62</v>
      </c>
      <c r="K163" s="28" t="s">
        <v>62</v>
      </c>
      <c r="L163" s="2" t="s">
        <v>4</v>
      </c>
      <c r="Q163" s="1"/>
      <c r="R163" s="1"/>
      <c r="S163" s="1"/>
    </row>
    <row r="164" spans="1:19" x14ac:dyDescent="0.25">
      <c r="A164" s="15" t="s">
        <v>590</v>
      </c>
      <c r="B164" s="15" t="s">
        <v>589</v>
      </c>
      <c r="C164" s="2">
        <v>22669447</v>
      </c>
      <c r="D164" s="2" t="s">
        <v>107</v>
      </c>
      <c r="E164" s="2" t="s">
        <v>64</v>
      </c>
      <c r="F164" s="28" t="s">
        <v>63</v>
      </c>
      <c r="G164" s="28" t="s">
        <v>62</v>
      </c>
      <c r="H164" s="2" t="s">
        <v>4</v>
      </c>
      <c r="I164" s="2" t="s">
        <v>4</v>
      </c>
      <c r="J164" s="28" t="s">
        <v>62</v>
      </c>
      <c r="K164" s="28" t="s">
        <v>62</v>
      </c>
      <c r="L164" s="2" t="s">
        <v>4</v>
      </c>
      <c r="Q164" s="1"/>
      <c r="R164" s="1"/>
      <c r="S164" s="1"/>
    </row>
    <row r="165" spans="1:19" x14ac:dyDescent="0.25">
      <c r="A165" s="15" t="s">
        <v>588</v>
      </c>
      <c r="B165" s="15" t="s">
        <v>587</v>
      </c>
      <c r="C165" s="2">
        <v>22669447</v>
      </c>
      <c r="D165" s="2" t="s">
        <v>107</v>
      </c>
      <c r="E165" s="2" t="s">
        <v>64</v>
      </c>
      <c r="F165" s="28" t="s">
        <v>63</v>
      </c>
      <c r="G165" s="28" t="s">
        <v>62</v>
      </c>
      <c r="H165" s="2" t="s">
        <v>4</v>
      </c>
      <c r="I165" s="2" t="s">
        <v>4</v>
      </c>
      <c r="J165" s="28" t="s">
        <v>62</v>
      </c>
      <c r="K165" s="28" t="s">
        <v>62</v>
      </c>
      <c r="L165" s="2" t="s">
        <v>4</v>
      </c>
      <c r="Q165" s="1"/>
      <c r="R165" s="1"/>
      <c r="S165" s="1"/>
    </row>
    <row r="166" spans="1:19" x14ac:dyDescent="0.25">
      <c r="A166" s="15" t="s">
        <v>586</v>
      </c>
      <c r="B166" s="15" t="s">
        <v>585</v>
      </c>
      <c r="C166" s="2">
        <v>22669447</v>
      </c>
      <c r="D166" s="2" t="s">
        <v>107</v>
      </c>
      <c r="E166" s="2" t="s">
        <v>64</v>
      </c>
      <c r="F166" s="28" t="s">
        <v>63</v>
      </c>
      <c r="G166" s="28" t="s">
        <v>62</v>
      </c>
      <c r="H166" s="2" t="s">
        <v>4</v>
      </c>
      <c r="I166" s="2" t="s">
        <v>4</v>
      </c>
      <c r="J166" s="28" t="s">
        <v>62</v>
      </c>
      <c r="K166" s="28" t="s">
        <v>62</v>
      </c>
      <c r="L166" s="2" t="s">
        <v>4</v>
      </c>
      <c r="Q166" s="1"/>
      <c r="R166" s="1"/>
      <c r="S166" s="1"/>
    </row>
    <row r="167" spans="1:19" x14ac:dyDescent="0.25">
      <c r="A167" s="15" t="s">
        <v>584</v>
      </c>
      <c r="B167" s="15" t="s">
        <v>583</v>
      </c>
      <c r="C167" s="2">
        <v>22669447</v>
      </c>
      <c r="D167" s="2" t="s">
        <v>107</v>
      </c>
      <c r="E167" s="2" t="s">
        <v>64</v>
      </c>
      <c r="F167" s="28" t="s">
        <v>63</v>
      </c>
      <c r="G167" s="28" t="s">
        <v>62</v>
      </c>
      <c r="H167" s="2" t="s">
        <v>4</v>
      </c>
      <c r="I167" s="2" t="s">
        <v>4</v>
      </c>
      <c r="J167" s="28" t="s">
        <v>62</v>
      </c>
      <c r="K167" s="28" t="s">
        <v>62</v>
      </c>
      <c r="L167" s="2" t="s">
        <v>4</v>
      </c>
      <c r="Q167" s="1"/>
      <c r="R167" s="1"/>
      <c r="S167" s="1"/>
    </row>
    <row r="168" spans="1:19" x14ac:dyDescent="0.25">
      <c r="A168" s="15" t="s">
        <v>582</v>
      </c>
      <c r="B168" s="15" t="s">
        <v>581</v>
      </c>
      <c r="C168" s="2">
        <v>22669447</v>
      </c>
      <c r="D168" s="2" t="s">
        <v>107</v>
      </c>
      <c r="E168" s="2" t="s">
        <v>64</v>
      </c>
      <c r="F168" s="28" t="s">
        <v>63</v>
      </c>
      <c r="G168" s="28" t="s">
        <v>62</v>
      </c>
      <c r="H168" s="2" t="s">
        <v>4</v>
      </c>
      <c r="I168" s="2" t="s">
        <v>4</v>
      </c>
      <c r="J168" s="28" t="s">
        <v>62</v>
      </c>
      <c r="K168" s="28" t="s">
        <v>62</v>
      </c>
      <c r="L168" s="2" t="s">
        <v>4</v>
      </c>
      <c r="Q168" s="1"/>
      <c r="R168" s="1"/>
      <c r="S168" s="1"/>
    </row>
    <row r="169" spans="1:19" x14ac:dyDescent="0.25">
      <c r="A169" s="15" t="s">
        <v>580</v>
      </c>
      <c r="B169" s="15" t="s">
        <v>579</v>
      </c>
      <c r="C169" s="2">
        <v>22669447</v>
      </c>
      <c r="D169" s="2" t="s">
        <v>107</v>
      </c>
      <c r="E169" s="2" t="s">
        <v>64</v>
      </c>
      <c r="F169" s="28" t="s">
        <v>63</v>
      </c>
      <c r="G169" s="28" t="s">
        <v>62</v>
      </c>
      <c r="H169" s="2" t="s">
        <v>4</v>
      </c>
      <c r="I169" s="2" t="s">
        <v>4</v>
      </c>
      <c r="J169" s="28" t="s">
        <v>62</v>
      </c>
      <c r="K169" s="28" t="s">
        <v>62</v>
      </c>
      <c r="L169" s="2" t="s">
        <v>4</v>
      </c>
      <c r="Q169" s="1"/>
      <c r="R169" s="1"/>
      <c r="S169" s="1"/>
    </row>
    <row r="170" spans="1:19" x14ac:dyDescent="0.25">
      <c r="A170" s="15" t="s">
        <v>578</v>
      </c>
      <c r="B170" s="15" t="s">
        <v>577</v>
      </c>
      <c r="C170" s="2">
        <v>22669447</v>
      </c>
      <c r="D170" s="2" t="s">
        <v>107</v>
      </c>
      <c r="E170" s="2" t="s">
        <v>64</v>
      </c>
      <c r="F170" s="28" t="s">
        <v>63</v>
      </c>
      <c r="G170" s="28" t="s">
        <v>62</v>
      </c>
      <c r="H170" s="2" t="s">
        <v>4</v>
      </c>
      <c r="I170" s="2" t="s">
        <v>4</v>
      </c>
      <c r="J170" s="28" t="s">
        <v>62</v>
      </c>
      <c r="K170" s="28" t="s">
        <v>62</v>
      </c>
      <c r="L170" s="2" t="s">
        <v>4</v>
      </c>
      <c r="Q170" s="1"/>
      <c r="R170" s="1"/>
      <c r="S170" s="1"/>
    </row>
    <row r="171" spans="1:19" x14ac:dyDescent="0.25">
      <c r="A171" s="15" t="s">
        <v>576</v>
      </c>
      <c r="B171" s="15" t="s">
        <v>575</v>
      </c>
      <c r="C171" s="2">
        <v>22669447</v>
      </c>
      <c r="D171" s="2" t="s">
        <v>107</v>
      </c>
      <c r="E171" s="2" t="s">
        <v>64</v>
      </c>
      <c r="F171" s="28" t="s">
        <v>63</v>
      </c>
      <c r="G171" s="28" t="s">
        <v>62</v>
      </c>
      <c r="H171" s="2" t="s">
        <v>4</v>
      </c>
      <c r="I171" s="2" t="s">
        <v>4</v>
      </c>
      <c r="J171" s="28" t="s">
        <v>62</v>
      </c>
      <c r="K171" s="28" t="s">
        <v>62</v>
      </c>
      <c r="L171" s="2" t="s">
        <v>4</v>
      </c>
      <c r="Q171" s="1"/>
      <c r="R171" s="1"/>
      <c r="S171" s="1"/>
    </row>
    <row r="172" spans="1:19" x14ac:dyDescent="0.25">
      <c r="A172" s="15" t="s">
        <v>574</v>
      </c>
      <c r="B172" s="15" t="s">
        <v>573</v>
      </c>
      <c r="C172" s="2">
        <v>22669447</v>
      </c>
      <c r="D172" s="2" t="s">
        <v>107</v>
      </c>
      <c r="E172" s="2" t="s">
        <v>64</v>
      </c>
      <c r="F172" s="28" t="s">
        <v>63</v>
      </c>
      <c r="G172" s="28" t="s">
        <v>62</v>
      </c>
      <c r="H172" s="2" t="s">
        <v>4</v>
      </c>
      <c r="I172" s="2" t="s">
        <v>4</v>
      </c>
      <c r="J172" s="28" t="s">
        <v>62</v>
      </c>
      <c r="K172" s="28" t="s">
        <v>62</v>
      </c>
      <c r="L172" s="2" t="s">
        <v>4</v>
      </c>
      <c r="Q172" s="1"/>
      <c r="R172" s="1"/>
      <c r="S172" s="1"/>
    </row>
    <row r="173" spans="1:19" x14ac:dyDescent="0.25">
      <c r="A173" s="15" t="s">
        <v>572</v>
      </c>
      <c r="B173" s="15" t="s">
        <v>571</v>
      </c>
      <c r="C173" s="2">
        <v>22669447</v>
      </c>
      <c r="D173" s="2" t="s">
        <v>107</v>
      </c>
      <c r="E173" s="2" t="s">
        <v>64</v>
      </c>
      <c r="F173" s="28" t="s">
        <v>63</v>
      </c>
      <c r="G173" s="28" t="s">
        <v>62</v>
      </c>
      <c r="H173" s="2" t="s">
        <v>4</v>
      </c>
      <c r="I173" s="2" t="s">
        <v>4</v>
      </c>
      <c r="J173" s="28" t="s">
        <v>62</v>
      </c>
      <c r="K173" s="28" t="s">
        <v>62</v>
      </c>
      <c r="L173" s="2" t="s">
        <v>4</v>
      </c>
      <c r="Q173" s="1"/>
      <c r="R173" s="1"/>
      <c r="S173" s="1"/>
    </row>
    <row r="174" spans="1:19" x14ac:dyDescent="0.25">
      <c r="A174" s="15" t="s">
        <v>570</v>
      </c>
      <c r="B174" s="15" t="s">
        <v>569</v>
      </c>
      <c r="C174" s="2">
        <v>22669447</v>
      </c>
      <c r="D174" s="2" t="s">
        <v>107</v>
      </c>
      <c r="E174" s="2" t="s">
        <v>64</v>
      </c>
      <c r="F174" s="28" t="s">
        <v>63</v>
      </c>
      <c r="G174" s="28" t="s">
        <v>62</v>
      </c>
      <c r="H174" s="2" t="s">
        <v>4</v>
      </c>
      <c r="I174" s="2" t="s">
        <v>4</v>
      </c>
      <c r="J174" s="28" t="s">
        <v>62</v>
      </c>
      <c r="K174" s="28" t="s">
        <v>62</v>
      </c>
      <c r="L174" s="2" t="s">
        <v>4</v>
      </c>
      <c r="Q174" s="1"/>
      <c r="R174" s="1"/>
      <c r="S174" s="1"/>
    </row>
    <row r="175" spans="1:19" x14ac:dyDescent="0.25">
      <c r="A175" s="15" t="s">
        <v>568</v>
      </c>
      <c r="B175" s="15" t="s">
        <v>567</v>
      </c>
      <c r="C175" s="2">
        <v>22669447</v>
      </c>
      <c r="D175" s="2" t="s">
        <v>107</v>
      </c>
      <c r="E175" s="2" t="s">
        <v>64</v>
      </c>
      <c r="F175" s="28" t="s">
        <v>63</v>
      </c>
      <c r="G175" s="28" t="s">
        <v>62</v>
      </c>
      <c r="H175" s="2" t="s">
        <v>4</v>
      </c>
      <c r="I175" s="2" t="s">
        <v>4</v>
      </c>
      <c r="J175" s="28" t="s">
        <v>62</v>
      </c>
      <c r="K175" s="28" t="s">
        <v>62</v>
      </c>
      <c r="L175" s="2" t="s">
        <v>4</v>
      </c>
      <c r="Q175" s="1"/>
      <c r="R175" s="1"/>
      <c r="S175" s="1"/>
    </row>
    <row r="176" spans="1:19" x14ac:dyDescent="0.25">
      <c r="A176" s="15" t="s">
        <v>566</v>
      </c>
      <c r="B176" s="15" t="s">
        <v>565</v>
      </c>
      <c r="C176" s="2">
        <v>22669447</v>
      </c>
      <c r="D176" s="2" t="s">
        <v>107</v>
      </c>
      <c r="E176" s="2" t="s">
        <v>64</v>
      </c>
      <c r="F176" s="28" t="s">
        <v>63</v>
      </c>
      <c r="G176" s="28" t="s">
        <v>62</v>
      </c>
      <c r="H176" s="2" t="s">
        <v>4</v>
      </c>
      <c r="I176" s="2" t="s">
        <v>4</v>
      </c>
      <c r="J176" s="28" t="s">
        <v>62</v>
      </c>
      <c r="K176" s="28" t="s">
        <v>62</v>
      </c>
      <c r="L176" s="2" t="s">
        <v>4</v>
      </c>
      <c r="Q176" s="1"/>
      <c r="R176" s="1"/>
      <c r="S176" s="1"/>
    </row>
    <row r="177" spans="1:19" x14ac:dyDescent="0.25">
      <c r="A177" s="15" t="s">
        <v>564</v>
      </c>
      <c r="B177" s="15" t="s">
        <v>563</v>
      </c>
      <c r="C177" s="2">
        <v>15917555</v>
      </c>
      <c r="D177" s="2" t="s">
        <v>267</v>
      </c>
      <c r="E177" s="2" t="s">
        <v>64</v>
      </c>
      <c r="F177" s="28" t="s">
        <v>63</v>
      </c>
      <c r="G177" s="28" t="s">
        <v>62</v>
      </c>
      <c r="H177" s="2" t="s">
        <v>4</v>
      </c>
      <c r="I177" s="2" t="s">
        <v>4</v>
      </c>
      <c r="J177" s="28" t="s">
        <v>62</v>
      </c>
      <c r="K177" s="28" t="s">
        <v>62</v>
      </c>
      <c r="L177" s="2" t="s">
        <v>4</v>
      </c>
      <c r="Q177" s="1"/>
      <c r="R177" s="1"/>
      <c r="S177" s="1"/>
    </row>
    <row r="178" spans="1:19" x14ac:dyDescent="0.25">
      <c r="A178" s="15" t="s">
        <v>562</v>
      </c>
      <c r="B178" s="15" t="s">
        <v>561</v>
      </c>
      <c r="C178" s="2">
        <v>15917555</v>
      </c>
      <c r="D178" s="2" t="s">
        <v>267</v>
      </c>
      <c r="E178" s="2" t="s">
        <v>64</v>
      </c>
      <c r="F178" s="28" t="s">
        <v>63</v>
      </c>
      <c r="G178" s="28" t="s">
        <v>62</v>
      </c>
      <c r="H178" s="2" t="s">
        <v>4</v>
      </c>
      <c r="I178" s="2" t="s">
        <v>4</v>
      </c>
      <c r="J178" s="28" t="s">
        <v>62</v>
      </c>
      <c r="K178" s="28" t="s">
        <v>62</v>
      </c>
      <c r="L178" s="2" t="s">
        <v>4</v>
      </c>
      <c r="Q178" s="1"/>
      <c r="R178" s="1"/>
      <c r="S178" s="1"/>
    </row>
    <row r="179" spans="1:19" x14ac:dyDescent="0.25">
      <c r="A179" s="15" t="s">
        <v>560</v>
      </c>
      <c r="B179" s="15" t="s">
        <v>559</v>
      </c>
      <c r="C179" s="2">
        <v>28973037</v>
      </c>
      <c r="D179" s="2" t="s">
        <v>125</v>
      </c>
      <c r="E179" s="2" t="s">
        <v>64</v>
      </c>
      <c r="F179" s="28" t="s">
        <v>63</v>
      </c>
      <c r="G179" s="28" t="s">
        <v>62</v>
      </c>
      <c r="H179" s="2" t="s">
        <v>4</v>
      </c>
      <c r="I179" s="2" t="s">
        <v>4</v>
      </c>
      <c r="J179" s="28" t="s">
        <v>62</v>
      </c>
      <c r="K179" s="28" t="s">
        <v>62</v>
      </c>
      <c r="L179" s="2" t="s">
        <v>4</v>
      </c>
      <c r="Q179" s="1"/>
      <c r="R179" s="1"/>
      <c r="S179" s="1"/>
    </row>
    <row r="180" spans="1:19" x14ac:dyDescent="0.25">
      <c r="A180" s="15" t="s">
        <v>558</v>
      </c>
      <c r="B180" s="15" t="s">
        <v>557</v>
      </c>
      <c r="C180" s="2">
        <v>28973037</v>
      </c>
      <c r="D180" s="2" t="s">
        <v>125</v>
      </c>
      <c r="E180" s="2" t="s">
        <v>64</v>
      </c>
      <c r="F180" s="28" t="s">
        <v>63</v>
      </c>
      <c r="G180" s="28" t="s">
        <v>62</v>
      </c>
      <c r="H180" s="2" t="s">
        <v>4</v>
      </c>
      <c r="I180" s="2" t="s">
        <v>4</v>
      </c>
      <c r="J180" s="28" t="s">
        <v>62</v>
      </c>
      <c r="K180" s="28" t="s">
        <v>62</v>
      </c>
      <c r="L180" s="2" t="s">
        <v>4</v>
      </c>
      <c r="Q180" s="1"/>
      <c r="R180" s="1"/>
      <c r="S180" s="1"/>
    </row>
    <row r="181" spans="1:19" x14ac:dyDescent="0.25">
      <c r="A181" s="15" t="s">
        <v>556</v>
      </c>
      <c r="B181" s="15" t="s">
        <v>555</v>
      </c>
      <c r="C181" s="2">
        <v>28973037</v>
      </c>
      <c r="D181" s="2" t="s">
        <v>125</v>
      </c>
      <c r="E181" s="2" t="s">
        <v>106</v>
      </c>
      <c r="F181" s="28">
        <v>25</v>
      </c>
      <c r="G181" s="28">
        <v>59</v>
      </c>
      <c r="H181" s="2" t="s">
        <v>4</v>
      </c>
      <c r="I181" s="2" t="s">
        <v>4</v>
      </c>
      <c r="J181" s="28">
        <v>21.1864406779661</v>
      </c>
      <c r="K181" s="28" t="s">
        <v>62</v>
      </c>
      <c r="L181" s="2" t="s">
        <v>4</v>
      </c>
      <c r="Q181" s="1"/>
      <c r="R181" s="1"/>
      <c r="S181" s="1"/>
    </row>
    <row r="182" spans="1:19" x14ac:dyDescent="0.25">
      <c r="A182" s="15" t="s">
        <v>554</v>
      </c>
      <c r="B182" s="15" t="s">
        <v>553</v>
      </c>
      <c r="C182" s="2">
        <v>28973037</v>
      </c>
      <c r="D182" s="2" t="s">
        <v>125</v>
      </c>
      <c r="E182" s="2" t="s">
        <v>106</v>
      </c>
      <c r="F182" s="28">
        <v>25</v>
      </c>
      <c r="G182" s="28">
        <v>36</v>
      </c>
      <c r="H182" s="2" t="s">
        <v>4</v>
      </c>
      <c r="I182" s="2" t="s">
        <v>4</v>
      </c>
      <c r="J182" s="28">
        <v>34.722222222222221</v>
      </c>
      <c r="K182" s="28" t="s">
        <v>62</v>
      </c>
      <c r="L182" s="2" t="s">
        <v>4</v>
      </c>
      <c r="Q182" s="1"/>
      <c r="R182" s="1"/>
      <c r="S182" s="1"/>
    </row>
    <row r="183" spans="1:19" x14ac:dyDescent="0.25">
      <c r="A183" s="15" t="s">
        <v>552</v>
      </c>
      <c r="B183" s="15" t="s">
        <v>551</v>
      </c>
      <c r="C183" s="2">
        <v>28973037</v>
      </c>
      <c r="D183" s="2" t="s">
        <v>125</v>
      </c>
      <c r="E183" s="2" t="s">
        <v>106</v>
      </c>
      <c r="F183" s="28">
        <v>25</v>
      </c>
      <c r="G183" s="28">
        <v>49</v>
      </c>
      <c r="H183" s="2" t="s">
        <v>4</v>
      </c>
      <c r="I183" s="2" t="s">
        <v>4</v>
      </c>
      <c r="J183" s="28">
        <v>25.510204081632654</v>
      </c>
      <c r="K183" s="28" t="s">
        <v>62</v>
      </c>
      <c r="L183" s="2" t="s">
        <v>4</v>
      </c>
      <c r="Q183" s="1"/>
      <c r="R183" s="1"/>
      <c r="S183" s="1"/>
    </row>
    <row r="184" spans="1:19" x14ac:dyDescent="0.25">
      <c r="A184" s="15" t="s">
        <v>550</v>
      </c>
      <c r="B184" s="15" t="s">
        <v>549</v>
      </c>
      <c r="C184" s="2">
        <v>31202460</v>
      </c>
      <c r="D184" s="2" t="s">
        <v>130</v>
      </c>
      <c r="E184" s="2" t="s">
        <v>106</v>
      </c>
      <c r="F184" s="28">
        <v>10</v>
      </c>
      <c r="G184" s="28">
        <v>56</v>
      </c>
      <c r="H184" s="2" t="s">
        <v>4</v>
      </c>
      <c r="I184" s="2" t="s">
        <v>4</v>
      </c>
      <c r="J184" s="28">
        <v>8.9285714285714288</v>
      </c>
      <c r="K184" s="28" t="s">
        <v>62</v>
      </c>
      <c r="L184" s="2" t="s">
        <v>3</v>
      </c>
      <c r="Q184" s="1"/>
      <c r="R184" s="1"/>
      <c r="S184" s="1"/>
    </row>
    <row r="185" spans="1:19" x14ac:dyDescent="0.25">
      <c r="A185" s="15" t="s">
        <v>548</v>
      </c>
      <c r="B185" s="15" t="s">
        <v>547</v>
      </c>
      <c r="C185" s="2">
        <v>31202460</v>
      </c>
      <c r="D185" s="2" t="s">
        <v>130</v>
      </c>
      <c r="E185" s="2" t="s">
        <v>106</v>
      </c>
      <c r="F185" s="28" t="s">
        <v>63</v>
      </c>
      <c r="G185" s="28" t="s">
        <v>62</v>
      </c>
      <c r="H185" s="2" t="s">
        <v>4</v>
      </c>
      <c r="I185" s="2" t="s">
        <v>4</v>
      </c>
      <c r="J185" s="28" t="s">
        <v>62</v>
      </c>
      <c r="K185" s="28" t="s">
        <v>62</v>
      </c>
      <c r="L185" s="2" t="s">
        <v>4</v>
      </c>
      <c r="Q185" s="1"/>
      <c r="R185" s="1"/>
      <c r="S185" s="1"/>
    </row>
    <row r="186" spans="1:19" x14ac:dyDescent="0.25">
      <c r="A186" s="15" t="s">
        <v>546</v>
      </c>
      <c r="B186" s="15" t="s">
        <v>545</v>
      </c>
      <c r="C186" s="2">
        <v>31202460</v>
      </c>
      <c r="D186" s="2" t="s">
        <v>130</v>
      </c>
      <c r="E186" s="2" t="s">
        <v>106</v>
      </c>
      <c r="F186" s="28" t="s">
        <v>63</v>
      </c>
      <c r="G186" s="28" t="s">
        <v>62</v>
      </c>
      <c r="H186" s="2" t="s">
        <v>4</v>
      </c>
      <c r="I186" s="2" t="s">
        <v>4</v>
      </c>
      <c r="J186" s="28" t="s">
        <v>62</v>
      </c>
      <c r="K186" s="28" t="s">
        <v>62</v>
      </c>
      <c r="L186" s="2" t="s">
        <v>4</v>
      </c>
      <c r="Q186" s="1"/>
      <c r="R186" s="1"/>
      <c r="S186" s="1"/>
    </row>
    <row r="187" spans="1:19" x14ac:dyDescent="0.25">
      <c r="A187" s="15" t="s">
        <v>544</v>
      </c>
      <c r="B187" s="15" t="s">
        <v>543</v>
      </c>
      <c r="C187" s="2">
        <v>22880162</v>
      </c>
      <c r="D187" s="2" t="s">
        <v>107</v>
      </c>
      <c r="E187" s="2" t="s">
        <v>106</v>
      </c>
      <c r="F187" s="28">
        <v>12.5</v>
      </c>
      <c r="G187" s="28">
        <v>30</v>
      </c>
      <c r="H187" s="2" t="s">
        <v>4</v>
      </c>
      <c r="I187" s="2" t="s">
        <v>4</v>
      </c>
      <c r="J187" s="28">
        <v>20.833333333333336</v>
      </c>
      <c r="K187" s="28" t="s">
        <v>62</v>
      </c>
      <c r="L187" s="2" t="s">
        <v>4</v>
      </c>
      <c r="Q187" s="1"/>
      <c r="R187" s="1"/>
      <c r="S187" s="1"/>
    </row>
    <row r="188" spans="1:19" x14ac:dyDescent="0.25">
      <c r="A188" s="15" t="s">
        <v>542</v>
      </c>
      <c r="B188" s="15" t="s">
        <v>541</v>
      </c>
      <c r="C188" s="2">
        <v>22880162</v>
      </c>
      <c r="D188" s="2" t="s">
        <v>107</v>
      </c>
      <c r="E188" s="2" t="s">
        <v>106</v>
      </c>
      <c r="F188" s="28">
        <v>12.5</v>
      </c>
      <c r="G188" s="28">
        <v>70</v>
      </c>
      <c r="H188" s="2" t="s">
        <v>4</v>
      </c>
      <c r="I188" s="2" t="s">
        <v>4</v>
      </c>
      <c r="J188" s="28">
        <v>8.9285714285714288</v>
      </c>
      <c r="K188" s="28" t="s">
        <v>62</v>
      </c>
      <c r="L188" s="2" t="s">
        <v>3</v>
      </c>
      <c r="Q188" s="1"/>
      <c r="R188" s="1"/>
      <c r="S188" s="1"/>
    </row>
    <row r="189" spans="1:19" x14ac:dyDescent="0.25">
      <c r="A189" s="15" t="s">
        <v>540</v>
      </c>
      <c r="B189" s="15" t="s">
        <v>539</v>
      </c>
      <c r="C189" s="2">
        <v>22880162</v>
      </c>
      <c r="D189" s="2" t="s">
        <v>107</v>
      </c>
      <c r="E189" s="2" t="s">
        <v>106</v>
      </c>
      <c r="F189" s="28">
        <v>50</v>
      </c>
      <c r="G189" s="28">
        <v>60</v>
      </c>
      <c r="H189" s="2" t="s">
        <v>4</v>
      </c>
      <c r="I189" s="2" t="s">
        <v>4</v>
      </c>
      <c r="J189" s="28">
        <v>41.666666666666671</v>
      </c>
      <c r="K189" s="28" t="s">
        <v>62</v>
      </c>
      <c r="L189" s="2" t="s">
        <v>4</v>
      </c>
      <c r="Q189" s="1"/>
      <c r="R189" s="1"/>
      <c r="S189" s="1"/>
    </row>
    <row r="190" spans="1:19" x14ac:dyDescent="0.25">
      <c r="A190" s="15" t="s">
        <v>538</v>
      </c>
      <c r="B190" s="15" t="s">
        <v>537</v>
      </c>
      <c r="C190" s="2">
        <v>22880162</v>
      </c>
      <c r="D190" s="2" t="s">
        <v>107</v>
      </c>
      <c r="E190" s="2" t="s">
        <v>106</v>
      </c>
      <c r="F190" s="28">
        <v>50</v>
      </c>
      <c r="G190" s="28">
        <v>60</v>
      </c>
      <c r="H190" s="2" t="s">
        <v>4</v>
      </c>
      <c r="I190" s="2" t="s">
        <v>4</v>
      </c>
      <c r="J190" s="28">
        <v>41.666666666666671</v>
      </c>
      <c r="K190" s="28" t="s">
        <v>62</v>
      </c>
      <c r="L190" s="2" t="s">
        <v>4</v>
      </c>
      <c r="Q190" s="1"/>
      <c r="R190" s="1"/>
      <c r="S190" s="1"/>
    </row>
    <row r="191" spans="1:19" x14ac:dyDescent="0.25">
      <c r="A191" s="15" t="s">
        <v>536</v>
      </c>
      <c r="B191" s="15" t="s">
        <v>535</v>
      </c>
      <c r="C191" s="2">
        <v>22880162</v>
      </c>
      <c r="D191" s="2" t="s">
        <v>107</v>
      </c>
      <c r="E191" s="2" t="s">
        <v>106</v>
      </c>
      <c r="F191" s="28">
        <v>50</v>
      </c>
      <c r="G191" s="28">
        <v>75</v>
      </c>
      <c r="H191" s="2" t="s">
        <v>4</v>
      </c>
      <c r="I191" s="2" t="s">
        <v>4</v>
      </c>
      <c r="J191" s="28">
        <v>33.333333333333329</v>
      </c>
      <c r="K191" s="28" t="s">
        <v>62</v>
      </c>
      <c r="L191" s="2" t="s">
        <v>4</v>
      </c>
      <c r="Q191" s="1"/>
      <c r="R191" s="1"/>
      <c r="S191" s="1"/>
    </row>
    <row r="192" spans="1:19" x14ac:dyDescent="0.25">
      <c r="A192" s="15" t="s">
        <v>534</v>
      </c>
      <c r="B192" s="15" t="s">
        <v>533</v>
      </c>
      <c r="C192" s="2">
        <v>22880162</v>
      </c>
      <c r="D192" s="2" t="s">
        <v>107</v>
      </c>
      <c r="E192" s="2" t="s">
        <v>106</v>
      </c>
      <c r="F192" s="28">
        <v>25</v>
      </c>
      <c r="G192" s="28">
        <v>40</v>
      </c>
      <c r="H192" s="2" t="s">
        <v>4</v>
      </c>
      <c r="I192" s="2" t="s">
        <v>4</v>
      </c>
      <c r="J192" s="28">
        <v>31.25</v>
      </c>
      <c r="K192" s="28" t="s">
        <v>62</v>
      </c>
      <c r="L192" s="2" t="s">
        <v>4</v>
      </c>
      <c r="Q192" s="1"/>
      <c r="R192" s="1"/>
      <c r="S192" s="1"/>
    </row>
    <row r="193" spans="1:19" x14ac:dyDescent="0.25">
      <c r="A193" s="15" t="s">
        <v>532</v>
      </c>
      <c r="B193" s="15" t="s">
        <v>531</v>
      </c>
      <c r="C193" s="2">
        <v>22880162</v>
      </c>
      <c r="D193" s="2" t="s">
        <v>107</v>
      </c>
      <c r="E193" s="2" t="s">
        <v>106</v>
      </c>
      <c r="F193" s="28">
        <v>25</v>
      </c>
      <c r="G193" s="28">
        <v>85</v>
      </c>
      <c r="H193" s="2" t="s">
        <v>4</v>
      </c>
      <c r="I193" s="2" t="s">
        <v>4</v>
      </c>
      <c r="J193" s="28">
        <v>14.705882352941178</v>
      </c>
      <c r="K193" s="28" t="s">
        <v>62</v>
      </c>
      <c r="L193" s="2" t="s">
        <v>4</v>
      </c>
      <c r="Q193" s="1"/>
      <c r="R193" s="1"/>
      <c r="S193" s="1"/>
    </row>
    <row r="194" spans="1:19" x14ac:dyDescent="0.25">
      <c r="A194" s="15" t="s">
        <v>530</v>
      </c>
      <c r="B194" s="15" t="s">
        <v>529</v>
      </c>
      <c r="C194" s="2">
        <v>22880162</v>
      </c>
      <c r="D194" s="2" t="s">
        <v>107</v>
      </c>
      <c r="E194" s="2" t="s">
        <v>106</v>
      </c>
      <c r="F194" s="28">
        <v>50</v>
      </c>
      <c r="G194" s="28">
        <v>90</v>
      </c>
      <c r="H194" s="2" t="s">
        <v>4</v>
      </c>
      <c r="I194" s="2" t="s">
        <v>4</v>
      </c>
      <c r="J194" s="28">
        <v>27.777777777777779</v>
      </c>
      <c r="K194" s="28" t="s">
        <v>62</v>
      </c>
      <c r="L194" s="2" t="s">
        <v>4</v>
      </c>
      <c r="Q194" s="1"/>
      <c r="R194" s="1"/>
      <c r="S194" s="1"/>
    </row>
    <row r="195" spans="1:19" x14ac:dyDescent="0.25">
      <c r="A195" s="15" t="s">
        <v>528</v>
      </c>
      <c r="B195" s="15" t="s">
        <v>527</v>
      </c>
      <c r="C195" s="2">
        <v>22880162</v>
      </c>
      <c r="D195" s="2" t="s">
        <v>107</v>
      </c>
      <c r="E195" s="2" t="s">
        <v>106</v>
      </c>
      <c r="F195" s="28">
        <v>25</v>
      </c>
      <c r="G195" s="28">
        <v>40</v>
      </c>
      <c r="H195" s="2" t="s">
        <v>4</v>
      </c>
      <c r="I195" s="2" t="s">
        <v>4</v>
      </c>
      <c r="J195" s="28">
        <v>31.25</v>
      </c>
      <c r="K195" s="28" t="s">
        <v>62</v>
      </c>
      <c r="L195" s="2" t="s">
        <v>4</v>
      </c>
      <c r="Q195" s="1"/>
      <c r="R195" s="1"/>
      <c r="S195" s="1"/>
    </row>
    <row r="196" spans="1:19" x14ac:dyDescent="0.25">
      <c r="A196" s="15" t="s">
        <v>526</v>
      </c>
      <c r="B196" s="15" t="s">
        <v>525</v>
      </c>
      <c r="C196" s="2">
        <v>22880162</v>
      </c>
      <c r="D196" s="2" t="s">
        <v>107</v>
      </c>
      <c r="E196" s="2" t="s">
        <v>106</v>
      </c>
      <c r="F196" s="28">
        <v>25</v>
      </c>
      <c r="G196" s="28">
        <v>10</v>
      </c>
      <c r="H196" s="2" t="s">
        <v>4</v>
      </c>
      <c r="I196" s="2" t="s">
        <v>4</v>
      </c>
      <c r="J196" s="28">
        <v>125</v>
      </c>
      <c r="K196" s="28" t="s">
        <v>62</v>
      </c>
      <c r="L196" s="2" t="s">
        <v>4</v>
      </c>
      <c r="Q196" s="1"/>
      <c r="R196" s="1"/>
      <c r="S196" s="1"/>
    </row>
    <row r="197" spans="1:19" x14ac:dyDescent="0.25">
      <c r="A197" s="15" t="s">
        <v>524</v>
      </c>
      <c r="B197" s="15" t="s">
        <v>523</v>
      </c>
      <c r="C197" s="2">
        <v>22880162</v>
      </c>
      <c r="D197" s="2" t="s">
        <v>107</v>
      </c>
      <c r="E197" s="2" t="s">
        <v>106</v>
      </c>
      <c r="F197" s="28">
        <v>25</v>
      </c>
      <c r="G197" s="28">
        <v>90</v>
      </c>
      <c r="H197" s="2" t="s">
        <v>4</v>
      </c>
      <c r="I197" s="2" t="s">
        <v>4</v>
      </c>
      <c r="J197" s="28">
        <v>13.888888888888889</v>
      </c>
      <c r="K197" s="28" t="s">
        <v>62</v>
      </c>
      <c r="L197" s="2" t="s">
        <v>4</v>
      </c>
      <c r="Q197" s="1"/>
      <c r="R197" s="1"/>
      <c r="S197" s="1"/>
    </row>
    <row r="198" spans="1:19" x14ac:dyDescent="0.25">
      <c r="A198" s="15" t="s">
        <v>522</v>
      </c>
      <c r="B198" s="15" t="s">
        <v>521</v>
      </c>
      <c r="C198" s="2">
        <v>22880162</v>
      </c>
      <c r="D198" s="2" t="s">
        <v>107</v>
      </c>
      <c r="E198" s="2" t="s">
        <v>106</v>
      </c>
      <c r="F198" s="28">
        <v>25</v>
      </c>
      <c r="G198" s="28">
        <v>70</v>
      </c>
      <c r="H198" s="2" t="s">
        <v>4</v>
      </c>
      <c r="I198" s="2" t="s">
        <v>4</v>
      </c>
      <c r="J198" s="28">
        <v>17.857142857142858</v>
      </c>
      <c r="K198" s="28" t="s">
        <v>62</v>
      </c>
      <c r="L198" s="2" t="s">
        <v>4</v>
      </c>
      <c r="Q198" s="1"/>
      <c r="R198" s="1"/>
      <c r="S198" s="1"/>
    </row>
    <row r="199" spans="1:19" x14ac:dyDescent="0.25">
      <c r="A199" s="15" t="s">
        <v>520</v>
      </c>
      <c r="B199" s="15" t="s">
        <v>519</v>
      </c>
      <c r="C199" s="2">
        <v>22880162</v>
      </c>
      <c r="D199" s="2" t="s">
        <v>107</v>
      </c>
      <c r="E199" s="2" t="s">
        <v>106</v>
      </c>
      <c r="F199" s="28">
        <v>25</v>
      </c>
      <c r="G199" s="28">
        <v>70</v>
      </c>
      <c r="H199" s="2" t="s">
        <v>4</v>
      </c>
      <c r="I199" s="2" t="s">
        <v>4</v>
      </c>
      <c r="J199" s="28">
        <v>17.857142857142858</v>
      </c>
      <c r="K199" s="28" t="s">
        <v>62</v>
      </c>
      <c r="L199" s="2" t="s">
        <v>4</v>
      </c>
      <c r="Q199" s="1"/>
      <c r="R199" s="1"/>
      <c r="S199" s="1"/>
    </row>
    <row r="200" spans="1:19" x14ac:dyDescent="0.25">
      <c r="A200" s="15" t="s">
        <v>518</v>
      </c>
      <c r="B200" s="15" t="s">
        <v>517</v>
      </c>
      <c r="C200" s="2">
        <v>22880162</v>
      </c>
      <c r="D200" s="2" t="s">
        <v>107</v>
      </c>
      <c r="E200" s="2" t="s">
        <v>106</v>
      </c>
      <c r="F200" s="28">
        <v>25</v>
      </c>
      <c r="G200" s="28">
        <v>45</v>
      </c>
      <c r="H200" s="2" t="s">
        <v>4</v>
      </c>
      <c r="I200" s="2" t="s">
        <v>4</v>
      </c>
      <c r="J200" s="28">
        <v>27.777777777777779</v>
      </c>
      <c r="K200" s="28" t="s">
        <v>62</v>
      </c>
      <c r="L200" s="2" t="s">
        <v>4</v>
      </c>
      <c r="Q200" s="1"/>
      <c r="R200" s="1"/>
      <c r="S200" s="1"/>
    </row>
    <row r="201" spans="1:19" x14ac:dyDescent="0.25">
      <c r="A201" s="15" t="s">
        <v>516</v>
      </c>
      <c r="B201" s="15" t="s">
        <v>515</v>
      </c>
      <c r="C201" s="2">
        <v>22880162</v>
      </c>
      <c r="D201" s="2" t="s">
        <v>107</v>
      </c>
      <c r="E201" s="2" t="s">
        <v>106</v>
      </c>
      <c r="F201" s="28">
        <v>25</v>
      </c>
      <c r="G201" s="28">
        <v>85</v>
      </c>
      <c r="H201" s="2" t="s">
        <v>4</v>
      </c>
      <c r="I201" s="2" t="s">
        <v>4</v>
      </c>
      <c r="J201" s="28">
        <v>14.705882352941178</v>
      </c>
      <c r="K201" s="28" t="s">
        <v>62</v>
      </c>
      <c r="L201" s="2" t="s">
        <v>4</v>
      </c>
      <c r="Q201" s="1"/>
      <c r="R201" s="1"/>
      <c r="S201" s="1"/>
    </row>
    <row r="202" spans="1:19" x14ac:dyDescent="0.25">
      <c r="A202" s="15" t="s">
        <v>514</v>
      </c>
      <c r="B202" s="15" t="s">
        <v>513</v>
      </c>
      <c r="C202" s="2">
        <v>22880162</v>
      </c>
      <c r="D202" s="2" t="s">
        <v>107</v>
      </c>
      <c r="E202" s="2" t="s">
        <v>106</v>
      </c>
      <c r="F202" s="28">
        <v>25</v>
      </c>
      <c r="G202" s="28">
        <v>40</v>
      </c>
      <c r="H202" s="2" t="s">
        <v>4</v>
      </c>
      <c r="I202" s="2" t="s">
        <v>4</v>
      </c>
      <c r="J202" s="28">
        <v>31.25</v>
      </c>
      <c r="K202" s="28" t="s">
        <v>62</v>
      </c>
      <c r="L202" s="2" t="s">
        <v>4</v>
      </c>
      <c r="Q202" s="1"/>
      <c r="R202" s="1"/>
      <c r="S202" s="1"/>
    </row>
    <row r="203" spans="1:19" x14ac:dyDescent="0.25">
      <c r="A203" s="15" t="s">
        <v>512</v>
      </c>
      <c r="B203" s="15" t="s">
        <v>511</v>
      </c>
      <c r="C203" s="2">
        <v>22880162</v>
      </c>
      <c r="D203" s="2" t="s">
        <v>107</v>
      </c>
      <c r="E203" s="2" t="s">
        <v>106</v>
      </c>
      <c r="F203" s="28">
        <v>25</v>
      </c>
      <c r="G203" s="28">
        <v>69</v>
      </c>
      <c r="H203" s="2" t="s">
        <v>4</v>
      </c>
      <c r="I203" s="2" t="s">
        <v>4</v>
      </c>
      <c r="J203" s="28">
        <v>18.115942028985508</v>
      </c>
      <c r="K203" s="28" t="s">
        <v>62</v>
      </c>
      <c r="L203" s="2" t="s">
        <v>4</v>
      </c>
      <c r="Q203" s="1"/>
      <c r="R203" s="1"/>
      <c r="S203" s="1"/>
    </row>
    <row r="204" spans="1:19" x14ac:dyDescent="0.25">
      <c r="A204" s="15" t="s">
        <v>510</v>
      </c>
      <c r="B204" s="15" t="s">
        <v>509</v>
      </c>
      <c r="C204" s="2">
        <v>22880162</v>
      </c>
      <c r="D204" s="2" t="s">
        <v>107</v>
      </c>
      <c r="E204" s="2" t="s">
        <v>106</v>
      </c>
      <c r="F204" s="28">
        <v>50</v>
      </c>
      <c r="G204" s="28">
        <v>63</v>
      </c>
      <c r="H204" s="2" t="s">
        <v>4</v>
      </c>
      <c r="I204" s="2" t="s">
        <v>4</v>
      </c>
      <c r="J204" s="28">
        <v>39.682539682539684</v>
      </c>
      <c r="K204" s="28" t="s">
        <v>62</v>
      </c>
      <c r="L204" s="2" t="s">
        <v>4</v>
      </c>
      <c r="Q204" s="1"/>
      <c r="R204" s="1"/>
      <c r="S204" s="1"/>
    </row>
    <row r="205" spans="1:19" x14ac:dyDescent="0.25">
      <c r="A205" s="15" t="s">
        <v>508</v>
      </c>
      <c r="B205" s="15" t="s">
        <v>507</v>
      </c>
      <c r="C205" s="2">
        <v>22880162</v>
      </c>
      <c r="D205" s="2" t="s">
        <v>107</v>
      </c>
      <c r="E205" s="2" t="s">
        <v>106</v>
      </c>
      <c r="F205" s="28">
        <v>50</v>
      </c>
      <c r="G205" s="28">
        <v>65</v>
      </c>
      <c r="H205" s="2" t="s">
        <v>4</v>
      </c>
      <c r="I205" s="2" t="s">
        <v>4</v>
      </c>
      <c r="J205" s="28">
        <v>38.461538461538467</v>
      </c>
      <c r="K205" s="28" t="s">
        <v>62</v>
      </c>
      <c r="L205" s="2" t="s">
        <v>4</v>
      </c>
      <c r="Q205" s="1"/>
      <c r="R205" s="1"/>
      <c r="S205" s="1"/>
    </row>
    <row r="206" spans="1:19" x14ac:dyDescent="0.25">
      <c r="A206" s="15" t="s">
        <v>506</v>
      </c>
      <c r="B206" s="15" t="s">
        <v>505</v>
      </c>
      <c r="C206" s="2">
        <v>22880162</v>
      </c>
      <c r="D206" s="2" t="s">
        <v>107</v>
      </c>
      <c r="E206" s="2" t="s">
        <v>106</v>
      </c>
      <c r="F206" s="28">
        <v>50</v>
      </c>
      <c r="G206" s="28">
        <v>59</v>
      </c>
      <c r="H206" s="2" t="s">
        <v>4</v>
      </c>
      <c r="I206" s="2" t="s">
        <v>4</v>
      </c>
      <c r="J206" s="28">
        <v>42.372881355932201</v>
      </c>
      <c r="K206" s="28" t="s">
        <v>62</v>
      </c>
      <c r="L206" s="2" t="s">
        <v>4</v>
      </c>
      <c r="Q206" s="1"/>
      <c r="R206" s="1"/>
      <c r="S206" s="1"/>
    </row>
    <row r="207" spans="1:19" x14ac:dyDescent="0.25">
      <c r="A207" s="15" t="s">
        <v>504</v>
      </c>
      <c r="B207" s="15" t="s">
        <v>503</v>
      </c>
      <c r="C207" s="2">
        <v>22880162</v>
      </c>
      <c r="D207" s="2" t="s">
        <v>107</v>
      </c>
      <c r="E207" s="2" t="s">
        <v>106</v>
      </c>
      <c r="F207" s="28">
        <v>25</v>
      </c>
      <c r="G207" s="28">
        <v>42</v>
      </c>
      <c r="H207" s="2" t="s">
        <v>4</v>
      </c>
      <c r="I207" s="2" t="s">
        <v>4</v>
      </c>
      <c r="J207" s="28">
        <v>29.761904761904763</v>
      </c>
      <c r="K207" s="28" t="s">
        <v>62</v>
      </c>
      <c r="L207" s="2" t="s">
        <v>4</v>
      </c>
      <c r="Q207" s="1"/>
      <c r="R207" s="1"/>
      <c r="S207" s="1"/>
    </row>
    <row r="208" spans="1:19" x14ac:dyDescent="0.25">
      <c r="A208" s="15" t="s">
        <v>502</v>
      </c>
      <c r="B208" s="15" t="s">
        <v>501</v>
      </c>
      <c r="C208" s="2">
        <v>22880162</v>
      </c>
      <c r="D208" s="2" t="s">
        <v>107</v>
      </c>
      <c r="E208" s="2" t="s">
        <v>106</v>
      </c>
      <c r="F208" s="28">
        <v>50</v>
      </c>
      <c r="G208" s="28">
        <v>52</v>
      </c>
      <c r="H208" s="2" t="s">
        <v>4</v>
      </c>
      <c r="I208" s="2" t="s">
        <v>4</v>
      </c>
      <c r="J208" s="28">
        <v>48.07692307692308</v>
      </c>
      <c r="K208" s="28" t="s">
        <v>62</v>
      </c>
      <c r="L208" s="2" t="s">
        <v>4</v>
      </c>
      <c r="Q208" s="1"/>
      <c r="R208" s="1"/>
      <c r="S208" s="1"/>
    </row>
    <row r="209" spans="1:19" x14ac:dyDescent="0.25">
      <c r="A209" s="15" t="s">
        <v>500</v>
      </c>
      <c r="B209" s="15" t="s">
        <v>499</v>
      </c>
      <c r="C209" s="2">
        <v>22880162</v>
      </c>
      <c r="D209" s="2" t="s">
        <v>107</v>
      </c>
      <c r="E209" s="2" t="s">
        <v>106</v>
      </c>
      <c r="F209" s="28">
        <v>25</v>
      </c>
      <c r="G209" s="28">
        <v>78</v>
      </c>
      <c r="H209" s="2" t="s">
        <v>4</v>
      </c>
      <c r="I209" s="2" t="s">
        <v>4</v>
      </c>
      <c r="J209" s="28">
        <v>16.025641025641026</v>
      </c>
      <c r="K209" s="28" t="s">
        <v>62</v>
      </c>
      <c r="L209" s="2" t="s">
        <v>4</v>
      </c>
      <c r="Q209" s="1"/>
      <c r="R209" s="1"/>
      <c r="S209" s="1"/>
    </row>
    <row r="210" spans="1:19" x14ac:dyDescent="0.25">
      <c r="A210" s="15" t="s">
        <v>498</v>
      </c>
      <c r="B210" s="15" t="s">
        <v>497</v>
      </c>
      <c r="C210" s="2">
        <v>22880162</v>
      </c>
      <c r="D210" s="2" t="s">
        <v>107</v>
      </c>
      <c r="E210" s="2" t="s">
        <v>106</v>
      </c>
      <c r="F210" s="28">
        <v>25</v>
      </c>
      <c r="G210" s="28">
        <v>69</v>
      </c>
      <c r="H210" s="2" t="s">
        <v>4</v>
      </c>
      <c r="I210" s="2" t="s">
        <v>4</v>
      </c>
      <c r="J210" s="28">
        <v>18.115942028985508</v>
      </c>
      <c r="K210" s="28" t="s">
        <v>62</v>
      </c>
      <c r="L210" s="2" t="s">
        <v>4</v>
      </c>
      <c r="Q210" s="1"/>
      <c r="R210" s="1"/>
      <c r="S210" s="1"/>
    </row>
    <row r="211" spans="1:19" x14ac:dyDescent="0.25">
      <c r="A211" s="15" t="s">
        <v>496</v>
      </c>
      <c r="B211" s="15" t="s">
        <v>495</v>
      </c>
      <c r="C211" s="2">
        <v>22880162</v>
      </c>
      <c r="D211" s="2" t="s">
        <v>107</v>
      </c>
      <c r="E211" s="2" t="s">
        <v>106</v>
      </c>
      <c r="F211" s="28">
        <v>25</v>
      </c>
      <c r="G211" s="28">
        <v>59</v>
      </c>
      <c r="H211" s="2" t="s">
        <v>4</v>
      </c>
      <c r="I211" s="2" t="s">
        <v>4</v>
      </c>
      <c r="J211" s="28">
        <v>21.1864406779661</v>
      </c>
      <c r="K211" s="28" t="s">
        <v>62</v>
      </c>
      <c r="L211" s="2" t="s">
        <v>4</v>
      </c>
      <c r="Q211" s="1"/>
      <c r="R211" s="1"/>
      <c r="S211" s="1"/>
    </row>
    <row r="212" spans="1:19" x14ac:dyDescent="0.25">
      <c r="A212" s="15" t="s">
        <v>494</v>
      </c>
      <c r="B212" s="15" t="s">
        <v>493</v>
      </c>
      <c r="C212" s="2">
        <v>22880162</v>
      </c>
      <c r="D212" s="2" t="s">
        <v>107</v>
      </c>
      <c r="E212" s="2" t="s">
        <v>106</v>
      </c>
      <c r="F212" s="28">
        <v>25</v>
      </c>
      <c r="G212" s="28">
        <v>82</v>
      </c>
      <c r="H212" s="2" t="s">
        <v>4</v>
      </c>
      <c r="I212" s="2" t="s">
        <v>4</v>
      </c>
      <c r="J212" s="28">
        <v>15.24390243902439</v>
      </c>
      <c r="K212" s="28" t="s">
        <v>62</v>
      </c>
      <c r="L212" s="2" t="s">
        <v>4</v>
      </c>
      <c r="Q212" s="1"/>
      <c r="R212" s="1"/>
      <c r="S212" s="1"/>
    </row>
    <row r="213" spans="1:19" x14ac:dyDescent="0.25">
      <c r="A213" s="15" t="s">
        <v>492</v>
      </c>
      <c r="B213" s="15" t="s">
        <v>491</v>
      </c>
      <c r="C213" s="2">
        <v>22880162</v>
      </c>
      <c r="D213" s="2" t="s">
        <v>107</v>
      </c>
      <c r="E213" s="2" t="s">
        <v>106</v>
      </c>
      <c r="F213" s="28">
        <v>25</v>
      </c>
      <c r="G213" s="28">
        <v>65</v>
      </c>
      <c r="H213" s="2" t="s">
        <v>4</v>
      </c>
      <c r="I213" s="2" t="s">
        <v>4</v>
      </c>
      <c r="J213" s="28">
        <v>19.230769230769234</v>
      </c>
      <c r="K213" s="28" t="s">
        <v>62</v>
      </c>
      <c r="L213" s="2" t="s">
        <v>4</v>
      </c>
      <c r="Q213" s="1"/>
      <c r="R213" s="1"/>
      <c r="S213" s="1"/>
    </row>
    <row r="214" spans="1:19" x14ac:dyDescent="0.25">
      <c r="A214" s="15" t="s">
        <v>490</v>
      </c>
      <c r="B214" s="15" t="s">
        <v>489</v>
      </c>
      <c r="C214" s="2">
        <v>22880162</v>
      </c>
      <c r="D214" s="2" t="s">
        <v>125</v>
      </c>
      <c r="E214" s="2" t="s">
        <v>106</v>
      </c>
      <c r="F214" s="28">
        <v>2.7938163531383871</v>
      </c>
      <c r="G214" s="28">
        <v>66</v>
      </c>
      <c r="H214" s="2" t="s">
        <v>4</v>
      </c>
      <c r="I214" s="2" t="s">
        <v>4</v>
      </c>
      <c r="J214" s="28">
        <v>2.1165275402563539</v>
      </c>
      <c r="K214" s="28" t="s">
        <v>62</v>
      </c>
      <c r="L214" s="2" t="s">
        <v>3</v>
      </c>
      <c r="Q214" s="1"/>
      <c r="R214" s="1"/>
      <c r="S214" s="1"/>
    </row>
    <row r="215" spans="1:19" x14ac:dyDescent="0.25">
      <c r="A215" s="15" t="s">
        <v>488</v>
      </c>
      <c r="B215" s="15" t="s">
        <v>487</v>
      </c>
      <c r="C215" s="2">
        <v>16973741</v>
      </c>
      <c r="D215" s="2" t="s">
        <v>272</v>
      </c>
      <c r="E215" s="2" t="s">
        <v>106</v>
      </c>
      <c r="F215" s="28">
        <v>20</v>
      </c>
      <c r="G215" s="28">
        <v>48</v>
      </c>
      <c r="H215" s="2" t="s">
        <v>4</v>
      </c>
      <c r="I215" s="2" t="s">
        <v>4</v>
      </c>
      <c r="J215" s="28">
        <v>20.833333333333336</v>
      </c>
      <c r="K215" s="28" t="s">
        <v>62</v>
      </c>
      <c r="L215" s="2" t="s">
        <v>4</v>
      </c>
      <c r="Q215" s="1"/>
      <c r="R215" s="1"/>
      <c r="S215" s="1"/>
    </row>
    <row r="216" spans="1:19" x14ac:dyDescent="0.25">
      <c r="A216" s="15" t="s">
        <v>486</v>
      </c>
      <c r="B216" s="15" t="s">
        <v>485</v>
      </c>
      <c r="C216" s="2">
        <v>28425301</v>
      </c>
      <c r="D216" s="2" t="s">
        <v>345</v>
      </c>
      <c r="E216" s="2" t="s">
        <v>64</v>
      </c>
      <c r="F216" s="28" t="s">
        <v>63</v>
      </c>
      <c r="G216" s="28" t="s">
        <v>62</v>
      </c>
      <c r="H216" s="2" t="s">
        <v>4</v>
      </c>
      <c r="I216" s="2" t="s">
        <v>4</v>
      </c>
      <c r="J216" s="28" t="s">
        <v>62</v>
      </c>
      <c r="K216" s="28">
        <v>0.7</v>
      </c>
      <c r="L216" s="2" t="s">
        <v>3</v>
      </c>
      <c r="Q216" s="1"/>
      <c r="R216" s="1"/>
      <c r="S216" s="1"/>
    </row>
    <row r="217" spans="1:19" x14ac:dyDescent="0.25">
      <c r="A217" s="15" t="s">
        <v>484</v>
      </c>
      <c r="B217" s="15" t="s">
        <v>483</v>
      </c>
      <c r="C217" s="2">
        <v>27516227</v>
      </c>
      <c r="D217" s="2" t="s">
        <v>345</v>
      </c>
      <c r="E217" s="2" t="s">
        <v>106</v>
      </c>
      <c r="F217" s="28">
        <v>30</v>
      </c>
      <c r="G217" s="28">
        <v>45</v>
      </c>
      <c r="H217" s="2" t="s">
        <v>4</v>
      </c>
      <c r="I217" s="2" t="s">
        <v>4</v>
      </c>
      <c r="J217" s="28">
        <v>33.333333333333336</v>
      </c>
      <c r="K217" s="28" t="s">
        <v>62</v>
      </c>
      <c r="L217" s="2" t="s">
        <v>4</v>
      </c>
      <c r="Q217" s="1"/>
      <c r="R217" s="1"/>
      <c r="S217" s="1"/>
    </row>
    <row r="218" spans="1:19" x14ac:dyDescent="0.25">
      <c r="A218" s="15" t="s">
        <v>482</v>
      </c>
      <c r="B218" s="15" t="s">
        <v>481</v>
      </c>
      <c r="C218" s="2">
        <v>27516227</v>
      </c>
      <c r="D218" s="2" t="s">
        <v>345</v>
      </c>
      <c r="E218" s="2" t="s">
        <v>106</v>
      </c>
      <c r="F218" s="28">
        <v>30</v>
      </c>
      <c r="G218" s="28">
        <v>40</v>
      </c>
      <c r="H218" s="2" t="s">
        <v>4</v>
      </c>
      <c r="I218" s="2" t="s">
        <v>4</v>
      </c>
      <c r="J218" s="28">
        <v>37.5</v>
      </c>
      <c r="K218" s="28" t="s">
        <v>62</v>
      </c>
      <c r="L218" s="2" t="s">
        <v>4</v>
      </c>
      <c r="Q218" s="1"/>
      <c r="R218" s="1"/>
      <c r="S218" s="1"/>
    </row>
    <row r="219" spans="1:19" x14ac:dyDescent="0.25">
      <c r="A219" s="15" t="s">
        <v>480</v>
      </c>
      <c r="B219" s="15" t="s">
        <v>479</v>
      </c>
      <c r="C219" s="2">
        <v>25001308</v>
      </c>
      <c r="D219" s="2" t="s">
        <v>311</v>
      </c>
      <c r="E219" s="2" t="s">
        <v>64</v>
      </c>
      <c r="F219" s="28" t="s">
        <v>63</v>
      </c>
      <c r="G219" s="28" t="s">
        <v>62</v>
      </c>
      <c r="H219" s="2" t="s">
        <v>4</v>
      </c>
      <c r="I219" s="2" t="s">
        <v>4</v>
      </c>
      <c r="J219" s="28" t="s">
        <v>62</v>
      </c>
      <c r="K219" s="28">
        <v>78.47</v>
      </c>
      <c r="L219" s="2" t="s">
        <v>4</v>
      </c>
      <c r="Q219" s="1"/>
      <c r="R219" s="1"/>
      <c r="S219" s="1"/>
    </row>
    <row r="220" spans="1:19" x14ac:dyDescent="0.25">
      <c r="A220" s="15" t="s">
        <v>478</v>
      </c>
      <c r="B220" s="15" t="s">
        <v>477</v>
      </c>
      <c r="C220" s="2">
        <v>25001308</v>
      </c>
      <c r="D220" s="2" t="s">
        <v>311</v>
      </c>
      <c r="E220" s="2" t="s">
        <v>64</v>
      </c>
      <c r="F220" s="28" t="s">
        <v>63</v>
      </c>
      <c r="G220" s="28" t="s">
        <v>62</v>
      </c>
      <c r="H220" s="2" t="s">
        <v>4</v>
      </c>
      <c r="I220" s="2" t="s">
        <v>4</v>
      </c>
      <c r="J220" s="28" t="s">
        <v>62</v>
      </c>
      <c r="K220" s="28" t="s">
        <v>62</v>
      </c>
      <c r="L220" s="2" t="s">
        <v>4</v>
      </c>
      <c r="Q220" s="1"/>
      <c r="R220" s="1"/>
      <c r="S220" s="1"/>
    </row>
    <row r="221" spans="1:19" x14ac:dyDescent="0.25">
      <c r="A221" s="15" t="s">
        <v>476</v>
      </c>
      <c r="B221" s="15" t="s">
        <v>475</v>
      </c>
      <c r="C221" s="2">
        <v>25001308</v>
      </c>
      <c r="D221" s="2" t="s">
        <v>311</v>
      </c>
      <c r="E221" s="2" t="s">
        <v>64</v>
      </c>
      <c r="F221" s="28" t="s">
        <v>63</v>
      </c>
      <c r="G221" s="28" t="s">
        <v>62</v>
      </c>
      <c r="H221" s="2" t="s">
        <v>4</v>
      </c>
      <c r="I221" s="2" t="s">
        <v>4</v>
      </c>
      <c r="J221" s="28" t="s">
        <v>62</v>
      </c>
      <c r="K221" s="28">
        <v>4.6500000000000004</v>
      </c>
      <c r="L221" s="2" t="s">
        <v>3</v>
      </c>
      <c r="Q221" s="1"/>
      <c r="R221" s="1"/>
      <c r="S221" s="1"/>
    </row>
    <row r="222" spans="1:19" x14ac:dyDescent="0.25">
      <c r="A222" s="15" t="s">
        <v>474</v>
      </c>
      <c r="B222" s="15" t="s">
        <v>473</v>
      </c>
      <c r="C222" s="2">
        <v>18830244</v>
      </c>
      <c r="D222" s="2" t="s">
        <v>470</v>
      </c>
      <c r="E222" s="2" t="s">
        <v>64</v>
      </c>
      <c r="F222" s="28" t="s">
        <v>63</v>
      </c>
      <c r="G222" s="28" t="s">
        <v>62</v>
      </c>
      <c r="H222" s="2" t="s">
        <v>4</v>
      </c>
      <c r="I222" s="2" t="s">
        <v>4</v>
      </c>
      <c r="J222" s="28" t="s">
        <v>62</v>
      </c>
      <c r="K222" s="28" t="s">
        <v>62</v>
      </c>
      <c r="L222" s="2" t="s">
        <v>4</v>
      </c>
      <c r="Q222" s="1"/>
      <c r="R222" s="1"/>
      <c r="S222" s="1"/>
    </row>
    <row r="223" spans="1:19" x14ac:dyDescent="0.25">
      <c r="A223" s="15" t="s">
        <v>472</v>
      </c>
      <c r="B223" s="15" t="s">
        <v>471</v>
      </c>
      <c r="C223" s="2">
        <v>18830244</v>
      </c>
      <c r="D223" s="2" t="s">
        <v>470</v>
      </c>
      <c r="E223" s="2" t="s">
        <v>64</v>
      </c>
      <c r="F223" s="28" t="s">
        <v>63</v>
      </c>
      <c r="G223" s="28" t="s">
        <v>62</v>
      </c>
      <c r="H223" s="2" t="s">
        <v>4</v>
      </c>
      <c r="I223" s="2" t="s">
        <v>4</v>
      </c>
      <c r="J223" s="28" t="s">
        <v>62</v>
      </c>
      <c r="K223" s="28" t="s">
        <v>62</v>
      </c>
      <c r="L223" s="2" t="s">
        <v>4</v>
      </c>
      <c r="Q223" s="1"/>
      <c r="R223" s="1"/>
      <c r="S223" s="1"/>
    </row>
    <row r="224" spans="1:19" x14ac:dyDescent="0.25">
      <c r="A224" s="15" t="s">
        <v>469</v>
      </c>
      <c r="B224" s="15" t="s">
        <v>468</v>
      </c>
      <c r="C224" s="2">
        <v>22716645</v>
      </c>
      <c r="D224" s="2" t="s">
        <v>107</v>
      </c>
      <c r="E224" s="2" t="s">
        <v>106</v>
      </c>
      <c r="F224" s="28">
        <v>9.2661230541141588</v>
      </c>
      <c r="G224" s="28">
        <v>53</v>
      </c>
      <c r="H224" s="2" t="s">
        <v>4</v>
      </c>
      <c r="I224" s="2" t="s">
        <v>4</v>
      </c>
      <c r="J224" s="28">
        <v>8.7416255227492066</v>
      </c>
      <c r="K224" s="28" t="s">
        <v>62</v>
      </c>
      <c r="L224" s="2" t="s">
        <v>3</v>
      </c>
      <c r="Q224" s="1"/>
      <c r="R224" s="1"/>
      <c r="S224" s="1"/>
    </row>
    <row r="225" spans="1:19" x14ac:dyDescent="0.25">
      <c r="A225" s="15" t="s">
        <v>467</v>
      </c>
      <c r="B225" s="15" t="s">
        <v>466</v>
      </c>
      <c r="C225" s="2">
        <v>28784680</v>
      </c>
      <c r="D225" s="2" t="s">
        <v>125</v>
      </c>
      <c r="E225" s="2" t="s">
        <v>64</v>
      </c>
      <c r="F225" s="28" t="s">
        <v>63</v>
      </c>
      <c r="G225" s="28" t="s">
        <v>62</v>
      </c>
      <c r="H225" s="2" t="s">
        <v>4</v>
      </c>
      <c r="I225" s="2" t="s">
        <v>4</v>
      </c>
      <c r="J225" s="28" t="s">
        <v>62</v>
      </c>
      <c r="K225" s="28">
        <v>1.2</v>
      </c>
      <c r="L225" s="2" t="s">
        <v>3</v>
      </c>
      <c r="Q225" s="1"/>
      <c r="R225" s="1"/>
      <c r="S225" s="1"/>
    </row>
    <row r="226" spans="1:19" x14ac:dyDescent="0.25">
      <c r="A226" s="15" t="s">
        <v>465</v>
      </c>
      <c r="B226" s="15" t="s">
        <v>464</v>
      </c>
      <c r="C226" s="2">
        <v>28784680</v>
      </c>
      <c r="D226" s="2" t="s">
        <v>125</v>
      </c>
      <c r="E226" s="2" t="s">
        <v>64</v>
      </c>
      <c r="F226" s="28" t="s">
        <v>63</v>
      </c>
      <c r="G226" s="28" t="s">
        <v>62</v>
      </c>
      <c r="H226" s="2" t="s">
        <v>4</v>
      </c>
      <c r="I226" s="2" t="s">
        <v>4</v>
      </c>
      <c r="J226" s="28" t="s">
        <v>62</v>
      </c>
      <c r="K226" s="28">
        <v>2.6</v>
      </c>
      <c r="L226" s="2" t="s">
        <v>3</v>
      </c>
      <c r="Q226" s="1"/>
      <c r="R226" s="1"/>
      <c r="S226" s="1"/>
    </row>
    <row r="227" spans="1:19" x14ac:dyDescent="0.25">
      <c r="A227" s="15" t="s">
        <v>463</v>
      </c>
      <c r="B227" s="15" t="s">
        <v>462</v>
      </c>
      <c r="C227" s="2">
        <v>28784680</v>
      </c>
      <c r="D227" s="2" t="s">
        <v>125</v>
      </c>
      <c r="E227" s="2" t="s">
        <v>64</v>
      </c>
      <c r="F227" s="28" t="s">
        <v>63</v>
      </c>
      <c r="G227" s="28" t="s">
        <v>62</v>
      </c>
      <c r="H227" s="2" t="s">
        <v>4</v>
      </c>
      <c r="I227" s="2" t="s">
        <v>4</v>
      </c>
      <c r="J227" s="28" t="s">
        <v>62</v>
      </c>
      <c r="K227" s="28">
        <v>4.7</v>
      </c>
      <c r="L227" s="2" t="s">
        <v>3</v>
      </c>
      <c r="Q227" s="1"/>
      <c r="R227" s="1"/>
      <c r="S227" s="1"/>
    </row>
    <row r="228" spans="1:19" x14ac:dyDescent="0.25">
      <c r="A228" s="15" t="s">
        <v>461</v>
      </c>
      <c r="B228" s="15" t="s">
        <v>460</v>
      </c>
      <c r="C228" s="2">
        <v>28784680</v>
      </c>
      <c r="D228" s="2" t="s">
        <v>125</v>
      </c>
      <c r="E228" s="2" t="s">
        <v>64</v>
      </c>
      <c r="F228" s="28" t="s">
        <v>63</v>
      </c>
      <c r="G228" s="28" t="s">
        <v>62</v>
      </c>
      <c r="H228" s="2" t="s">
        <v>4</v>
      </c>
      <c r="I228" s="2" t="s">
        <v>4</v>
      </c>
      <c r="J228" s="28" t="s">
        <v>62</v>
      </c>
      <c r="K228" s="28">
        <v>7.1</v>
      </c>
      <c r="L228" s="2" t="s">
        <v>3</v>
      </c>
      <c r="Q228" s="1"/>
      <c r="R228" s="1"/>
      <c r="S228" s="1"/>
    </row>
    <row r="229" spans="1:19" x14ac:dyDescent="0.25">
      <c r="A229" s="15" t="s">
        <v>459</v>
      </c>
      <c r="B229" s="15" t="s">
        <v>458</v>
      </c>
      <c r="C229" s="2">
        <v>28784680</v>
      </c>
      <c r="D229" s="2" t="s">
        <v>125</v>
      </c>
      <c r="E229" s="2" t="s">
        <v>64</v>
      </c>
      <c r="F229" s="28" t="s">
        <v>63</v>
      </c>
      <c r="G229" s="28" t="s">
        <v>62</v>
      </c>
      <c r="H229" s="2" t="s">
        <v>4</v>
      </c>
      <c r="I229" s="2" t="s">
        <v>4</v>
      </c>
      <c r="J229" s="28" t="s">
        <v>62</v>
      </c>
      <c r="K229" s="28">
        <v>1.8</v>
      </c>
      <c r="L229" s="2" t="s">
        <v>3</v>
      </c>
      <c r="Q229" s="1"/>
      <c r="R229" s="1"/>
      <c r="S229" s="1"/>
    </row>
    <row r="230" spans="1:19" x14ac:dyDescent="0.25">
      <c r="A230" s="15" t="s">
        <v>457</v>
      </c>
      <c r="B230" s="15" t="s">
        <v>456</v>
      </c>
      <c r="C230" s="2">
        <v>24324737</v>
      </c>
      <c r="D230" s="2" t="s">
        <v>308</v>
      </c>
      <c r="E230" s="2" t="s">
        <v>106</v>
      </c>
      <c r="F230" s="28">
        <v>13</v>
      </c>
      <c r="G230" s="28">
        <v>28</v>
      </c>
      <c r="H230" s="2" t="s">
        <v>4</v>
      </c>
      <c r="I230" s="2" t="s">
        <v>4</v>
      </c>
      <c r="J230" s="28">
        <v>23.214285714285715</v>
      </c>
      <c r="K230" s="28" t="s">
        <v>62</v>
      </c>
      <c r="L230" s="2" t="s">
        <v>4</v>
      </c>
      <c r="Q230" s="1"/>
      <c r="R230" s="1"/>
      <c r="S230" s="1"/>
    </row>
    <row r="231" spans="1:19" x14ac:dyDescent="0.25">
      <c r="A231" s="15" t="s">
        <v>455</v>
      </c>
      <c r="B231" s="15" t="s">
        <v>454</v>
      </c>
      <c r="C231" s="2">
        <v>23796320</v>
      </c>
      <c r="D231" s="2" t="s">
        <v>308</v>
      </c>
      <c r="E231" s="2" t="s">
        <v>64</v>
      </c>
      <c r="F231" s="28" t="s">
        <v>63</v>
      </c>
      <c r="G231" s="28" t="s">
        <v>62</v>
      </c>
      <c r="H231" s="2" t="s">
        <v>4</v>
      </c>
      <c r="I231" s="2" t="s">
        <v>4</v>
      </c>
      <c r="J231" s="28" t="s">
        <v>62</v>
      </c>
      <c r="K231" s="28">
        <v>47.19</v>
      </c>
      <c r="L231" s="2" t="s">
        <v>4</v>
      </c>
      <c r="Q231" s="1"/>
      <c r="R231" s="1"/>
      <c r="S231" s="1"/>
    </row>
    <row r="232" spans="1:19" x14ac:dyDescent="0.25">
      <c r="A232" s="15" t="s">
        <v>453</v>
      </c>
      <c r="B232" s="15" t="s">
        <v>452</v>
      </c>
      <c r="C232" s="2">
        <v>23796320</v>
      </c>
      <c r="D232" s="2" t="s">
        <v>308</v>
      </c>
      <c r="E232" s="2" t="s">
        <v>64</v>
      </c>
      <c r="F232" s="28" t="s">
        <v>63</v>
      </c>
      <c r="G232" s="28" t="s">
        <v>62</v>
      </c>
      <c r="H232" s="2" t="s">
        <v>4</v>
      </c>
      <c r="I232" s="2" t="s">
        <v>4</v>
      </c>
      <c r="J232" s="28" t="s">
        <v>62</v>
      </c>
      <c r="K232" s="28">
        <v>12.5</v>
      </c>
      <c r="L232" s="2" t="s">
        <v>4</v>
      </c>
      <c r="Q232" s="1"/>
      <c r="R232" s="1"/>
      <c r="S232" s="1"/>
    </row>
    <row r="233" spans="1:19" x14ac:dyDescent="0.25">
      <c r="A233" s="15" t="s">
        <v>451</v>
      </c>
      <c r="B233" s="15" t="s">
        <v>450</v>
      </c>
      <c r="C233" s="2">
        <v>25550323</v>
      </c>
      <c r="D233" s="2" t="s">
        <v>316</v>
      </c>
      <c r="E233" s="2" t="s">
        <v>64</v>
      </c>
      <c r="F233" s="28" t="s">
        <v>63</v>
      </c>
      <c r="G233" s="28" t="s">
        <v>62</v>
      </c>
      <c r="H233" s="2" t="s">
        <v>4</v>
      </c>
      <c r="I233" s="2" t="s">
        <v>4</v>
      </c>
      <c r="J233" s="28" t="s">
        <v>62</v>
      </c>
      <c r="K233" s="28">
        <v>1.25</v>
      </c>
      <c r="L233" s="2" t="s">
        <v>3</v>
      </c>
      <c r="Q233" s="1"/>
      <c r="R233" s="1"/>
      <c r="S233" s="1"/>
    </row>
    <row r="234" spans="1:19" x14ac:dyDescent="0.25">
      <c r="A234" s="15" t="s">
        <v>449</v>
      </c>
      <c r="B234" s="15" t="s">
        <v>448</v>
      </c>
      <c r="C234" s="2">
        <v>26849778</v>
      </c>
      <c r="D234" s="2" t="s">
        <v>345</v>
      </c>
      <c r="E234" s="2" t="s">
        <v>64</v>
      </c>
      <c r="F234" s="28" t="s">
        <v>63</v>
      </c>
      <c r="G234" s="28" t="s">
        <v>62</v>
      </c>
      <c r="H234" s="2" t="s">
        <v>4</v>
      </c>
      <c r="I234" s="2" t="s">
        <v>4</v>
      </c>
      <c r="J234" s="28" t="s">
        <v>62</v>
      </c>
      <c r="K234" s="28">
        <v>0.254</v>
      </c>
      <c r="L234" s="2" t="s">
        <v>3</v>
      </c>
      <c r="Q234" s="1"/>
      <c r="R234" s="1"/>
      <c r="S234" s="1"/>
    </row>
    <row r="235" spans="1:19" x14ac:dyDescent="0.25">
      <c r="A235" s="15" t="s">
        <v>447</v>
      </c>
      <c r="B235" s="15" t="s">
        <v>446</v>
      </c>
      <c r="C235" s="2">
        <v>26849778</v>
      </c>
      <c r="D235" s="2" t="s">
        <v>345</v>
      </c>
      <c r="E235" s="2" t="s">
        <v>64</v>
      </c>
      <c r="F235" s="28" t="s">
        <v>63</v>
      </c>
      <c r="G235" s="28" t="s">
        <v>62</v>
      </c>
      <c r="H235" s="2" t="s">
        <v>4</v>
      </c>
      <c r="I235" s="2" t="s">
        <v>4</v>
      </c>
      <c r="J235" s="28" t="s">
        <v>62</v>
      </c>
      <c r="K235" s="28">
        <v>0.10199999999999999</v>
      </c>
      <c r="L235" s="2" t="s">
        <v>3</v>
      </c>
      <c r="Q235" s="1"/>
      <c r="R235" s="1"/>
      <c r="S235" s="1"/>
    </row>
    <row r="236" spans="1:19" x14ac:dyDescent="0.25">
      <c r="A236" s="15" t="s">
        <v>445</v>
      </c>
      <c r="B236" s="15" t="s">
        <v>444</v>
      </c>
      <c r="C236" s="2">
        <v>26849778</v>
      </c>
      <c r="D236" s="2" t="s">
        <v>345</v>
      </c>
      <c r="E236" s="2" t="s">
        <v>64</v>
      </c>
      <c r="F236" s="28" t="s">
        <v>63</v>
      </c>
      <c r="G236" s="28" t="s">
        <v>62</v>
      </c>
      <c r="H236" s="2" t="s">
        <v>4</v>
      </c>
      <c r="I236" s="2" t="s">
        <v>4</v>
      </c>
      <c r="J236" s="28" t="s">
        <v>62</v>
      </c>
      <c r="K236" s="28">
        <v>5.8999999999999997E-2</v>
      </c>
      <c r="L236" s="2" t="s">
        <v>3</v>
      </c>
      <c r="Q236" s="1"/>
      <c r="R236" s="1"/>
      <c r="S236" s="1"/>
    </row>
    <row r="237" spans="1:19" x14ac:dyDescent="0.25">
      <c r="A237" s="15" t="s">
        <v>443</v>
      </c>
      <c r="B237" s="15" t="s">
        <v>442</v>
      </c>
      <c r="C237" s="2">
        <v>26849778</v>
      </c>
      <c r="D237" s="2" t="s">
        <v>345</v>
      </c>
      <c r="E237" s="2" t="s">
        <v>64</v>
      </c>
      <c r="F237" s="28" t="s">
        <v>63</v>
      </c>
      <c r="G237" s="28" t="s">
        <v>62</v>
      </c>
      <c r="H237" s="2" t="s">
        <v>4</v>
      </c>
      <c r="I237" s="2" t="s">
        <v>4</v>
      </c>
      <c r="J237" s="28" t="s">
        <v>62</v>
      </c>
      <c r="K237" s="28">
        <v>0.14699999999999999</v>
      </c>
      <c r="L237" s="2" t="s">
        <v>3</v>
      </c>
      <c r="Q237" s="1"/>
      <c r="R237" s="1"/>
      <c r="S237" s="1"/>
    </row>
    <row r="238" spans="1:19" x14ac:dyDescent="0.25">
      <c r="A238" s="15" t="s">
        <v>441</v>
      </c>
      <c r="B238" s="15" t="s">
        <v>440</v>
      </c>
      <c r="C238" s="2">
        <v>26849778</v>
      </c>
      <c r="D238" s="2" t="s">
        <v>345</v>
      </c>
      <c r="E238" s="2" t="s">
        <v>64</v>
      </c>
      <c r="F238" s="28" t="s">
        <v>63</v>
      </c>
      <c r="G238" s="28" t="s">
        <v>62</v>
      </c>
      <c r="H238" s="2" t="s">
        <v>4</v>
      </c>
      <c r="I238" s="2" t="s">
        <v>4</v>
      </c>
      <c r="J238" s="28" t="s">
        <v>62</v>
      </c>
      <c r="K238" s="28">
        <v>0.14000000000000001</v>
      </c>
      <c r="L238" s="2" t="s">
        <v>3</v>
      </c>
      <c r="Q238" s="1"/>
      <c r="R238" s="1"/>
      <c r="S238" s="1"/>
    </row>
    <row r="239" spans="1:19" x14ac:dyDescent="0.25">
      <c r="A239" s="15" t="s">
        <v>439</v>
      </c>
      <c r="B239" s="15" t="s">
        <v>438</v>
      </c>
      <c r="C239" s="2">
        <v>26849778</v>
      </c>
      <c r="D239" s="2" t="s">
        <v>345</v>
      </c>
      <c r="E239" s="2" t="s">
        <v>64</v>
      </c>
      <c r="F239" s="28" t="s">
        <v>63</v>
      </c>
      <c r="G239" s="28" t="s">
        <v>62</v>
      </c>
      <c r="H239" s="2" t="s">
        <v>4</v>
      </c>
      <c r="I239" s="2" t="s">
        <v>4</v>
      </c>
      <c r="J239" s="28" t="s">
        <v>62</v>
      </c>
      <c r="K239" s="28">
        <v>0.26600000000000001</v>
      </c>
      <c r="L239" s="2" t="s">
        <v>3</v>
      </c>
      <c r="Q239" s="1"/>
      <c r="R239" s="1"/>
      <c r="S239" s="1"/>
    </row>
    <row r="240" spans="1:19" x14ac:dyDescent="0.25">
      <c r="A240" s="15" t="s">
        <v>437</v>
      </c>
      <c r="B240" s="15" t="s">
        <v>436</v>
      </c>
      <c r="C240" s="2">
        <v>26849778</v>
      </c>
      <c r="D240" s="2" t="s">
        <v>345</v>
      </c>
      <c r="E240" s="2" t="s">
        <v>64</v>
      </c>
      <c r="F240" s="28" t="s">
        <v>63</v>
      </c>
      <c r="G240" s="28" t="s">
        <v>62</v>
      </c>
      <c r="H240" s="2" t="s">
        <v>4</v>
      </c>
      <c r="I240" s="2" t="s">
        <v>4</v>
      </c>
      <c r="J240" s="28" t="s">
        <v>62</v>
      </c>
      <c r="K240" s="28">
        <v>0.28100000000000003</v>
      </c>
      <c r="L240" s="2" t="s">
        <v>3</v>
      </c>
      <c r="Q240" s="1"/>
      <c r="R240" s="1"/>
      <c r="S240" s="1"/>
    </row>
    <row r="241" spans="1:19" x14ac:dyDescent="0.25">
      <c r="A241" s="15" t="s">
        <v>435</v>
      </c>
      <c r="B241" s="15" t="s">
        <v>434</v>
      </c>
      <c r="C241" s="2">
        <v>29053275</v>
      </c>
      <c r="D241" s="2" t="s">
        <v>125</v>
      </c>
      <c r="E241" s="2" t="s">
        <v>64</v>
      </c>
      <c r="F241" s="28" t="s">
        <v>63</v>
      </c>
      <c r="G241" s="28" t="s">
        <v>62</v>
      </c>
      <c r="H241" s="2" t="s">
        <v>4</v>
      </c>
      <c r="I241" s="2" t="s">
        <v>4</v>
      </c>
      <c r="J241" s="28" t="s">
        <v>62</v>
      </c>
      <c r="K241" s="28">
        <v>5.8999999999999997E-2</v>
      </c>
      <c r="L241" s="2" t="s">
        <v>3</v>
      </c>
      <c r="Q241" s="1"/>
      <c r="R241" s="1"/>
      <c r="S241" s="1"/>
    </row>
    <row r="242" spans="1:19" x14ac:dyDescent="0.25">
      <c r="A242" s="15" t="s">
        <v>433</v>
      </c>
      <c r="B242" s="15" t="s">
        <v>432</v>
      </c>
      <c r="C242" s="2">
        <v>29053275</v>
      </c>
      <c r="D242" s="2" t="s">
        <v>125</v>
      </c>
      <c r="E242" s="2" t="s">
        <v>64</v>
      </c>
      <c r="F242" s="28" t="s">
        <v>63</v>
      </c>
      <c r="G242" s="28" t="s">
        <v>62</v>
      </c>
      <c r="H242" s="2" t="s">
        <v>4</v>
      </c>
      <c r="I242" s="2" t="s">
        <v>4</v>
      </c>
      <c r="J242" s="28" t="s">
        <v>62</v>
      </c>
      <c r="K242" s="28">
        <v>0.107</v>
      </c>
      <c r="L242" s="2" t="s">
        <v>3</v>
      </c>
      <c r="Q242" s="1"/>
      <c r="R242" s="1"/>
      <c r="S242" s="1"/>
    </row>
    <row r="243" spans="1:19" x14ac:dyDescent="0.25">
      <c r="A243" s="15" t="s">
        <v>431</v>
      </c>
      <c r="B243" s="15" t="s">
        <v>430</v>
      </c>
      <c r="C243" s="2">
        <v>29053275</v>
      </c>
      <c r="D243" s="2" t="s">
        <v>125</v>
      </c>
      <c r="E243" s="2" t="s">
        <v>64</v>
      </c>
      <c r="F243" s="28" t="s">
        <v>63</v>
      </c>
      <c r="G243" s="28" t="s">
        <v>62</v>
      </c>
      <c r="H243" s="2" t="s">
        <v>4</v>
      </c>
      <c r="I243" s="2" t="s">
        <v>4</v>
      </c>
      <c r="J243" s="28" t="s">
        <v>62</v>
      </c>
      <c r="K243" s="28">
        <v>1.7999999999999999E-2</v>
      </c>
      <c r="L243" s="2" t="s">
        <v>3</v>
      </c>
      <c r="Q243" s="1"/>
      <c r="R243" s="1"/>
      <c r="S243" s="1"/>
    </row>
    <row r="244" spans="1:19" x14ac:dyDescent="0.25">
      <c r="A244" s="15" t="s">
        <v>429</v>
      </c>
      <c r="B244" s="15" t="s">
        <v>428</v>
      </c>
      <c r="C244" s="2">
        <v>29053275</v>
      </c>
      <c r="D244" s="2" t="s">
        <v>125</v>
      </c>
      <c r="E244" s="2" t="s">
        <v>64</v>
      </c>
      <c r="F244" s="28" t="s">
        <v>63</v>
      </c>
      <c r="G244" s="28" t="s">
        <v>62</v>
      </c>
      <c r="H244" s="2" t="s">
        <v>4</v>
      </c>
      <c r="I244" s="2" t="s">
        <v>4</v>
      </c>
      <c r="J244" s="28" t="s">
        <v>62</v>
      </c>
      <c r="K244" s="28">
        <v>1.2999999999999999E-2</v>
      </c>
      <c r="L244" s="2" t="s">
        <v>3</v>
      </c>
      <c r="Q244" s="1"/>
      <c r="R244" s="1"/>
      <c r="S244" s="1"/>
    </row>
    <row r="245" spans="1:19" x14ac:dyDescent="0.25">
      <c r="A245" s="15" t="s">
        <v>427</v>
      </c>
      <c r="B245" s="15" t="s">
        <v>426</v>
      </c>
      <c r="C245" s="2">
        <v>16565079</v>
      </c>
      <c r="D245" s="2" t="s">
        <v>272</v>
      </c>
      <c r="E245" s="2" t="s">
        <v>106</v>
      </c>
      <c r="F245" s="28">
        <v>20</v>
      </c>
      <c r="G245" s="28">
        <v>0</v>
      </c>
      <c r="H245" s="2" t="s">
        <v>4</v>
      </c>
      <c r="I245" s="2" t="s">
        <v>3</v>
      </c>
      <c r="J245" s="28" t="s">
        <v>62</v>
      </c>
      <c r="K245" s="28" t="s">
        <v>62</v>
      </c>
      <c r="L245" s="2" t="s">
        <v>4</v>
      </c>
      <c r="Q245" s="1"/>
      <c r="R245" s="1"/>
      <c r="S245" s="1"/>
    </row>
    <row r="246" spans="1:19" x14ac:dyDescent="0.25">
      <c r="A246" s="15" t="s">
        <v>425</v>
      </c>
      <c r="B246" s="15" t="s">
        <v>424</v>
      </c>
      <c r="C246" s="2">
        <v>26988341</v>
      </c>
      <c r="D246" s="2" t="s">
        <v>345</v>
      </c>
      <c r="E246" s="2" t="s">
        <v>106</v>
      </c>
      <c r="F246" s="28">
        <v>7.5</v>
      </c>
      <c r="G246" s="28">
        <v>56</v>
      </c>
      <c r="H246" s="2" t="s">
        <v>4</v>
      </c>
      <c r="I246" s="2" t="s">
        <v>4</v>
      </c>
      <c r="J246" s="28">
        <v>6.6964285714285721</v>
      </c>
      <c r="K246" s="28" t="s">
        <v>62</v>
      </c>
      <c r="L246" s="2" t="s">
        <v>3</v>
      </c>
      <c r="Q246" s="1"/>
      <c r="R246" s="1"/>
      <c r="S246" s="1"/>
    </row>
    <row r="247" spans="1:19" x14ac:dyDescent="0.25">
      <c r="A247" s="15" t="s">
        <v>423</v>
      </c>
      <c r="B247" s="15" t="s">
        <v>422</v>
      </c>
      <c r="C247" s="2">
        <v>26988341</v>
      </c>
      <c r="D247" s="2" t="s">
        <v>345</v>
      </c>
      <c r="E247" s="2" t="s">
        <v>106</v>
      </c>
      <c r="F247" s="28">
        <v>300</v>
      </c>
      <c r="G247" s="28">
        <v>79.5</v>
      </c>
      <c r="H247" s="2" t="s">
        <v>4</v>
      </c>
      <c r="I247" s="2" t="s">
        <v>4</v>
      </c>
      <c r="J247" s="28">
        <v>188.67924528301887</v>
      </c>
      <c r="K247" s="28" t="s">
        <v>62</v>
      </c>
      <c r="L247" s="2" t="s">
        <v>4</v>
      </c>
      <c r="Q247" s="1"/>
      <c r="R247" s="1"/>
      <c r="S247" s="1"/>
    </row>
    <row r="248" spans="1:19" x14ac:dyDescent="0.25">
      <c r="A248" s="15" t="s">
        <v>421</v>
      </c>
      <c r="B248" s="15" t="s">
        <v>420</v>
      </c>
      <c r="C248" s="2">
        <v>25027937</v>
      </c>
      <c r="D248" s="2" t="s">
        <v>311</v>
      </c>
      <c r="E248" s="2" t="s">
        <v>106</v>
      </c>
      <c r="F248" s="28">
        <v>5</v>
      </c>
      <c r="G248" s="28">
        <v>53</v>
      </c>
      <c r="H248" s="2" t="s">
        <v>4</v>
      </c>
      <c r="I248" s="2" t="s">
        <v>4</v>
      </c>
      <c r="J248" s="28">
        <v>4.716981132075472</v>
      </c>
      <c r="K248" s="28" t="s">
        <v>62</v>
      </c>
      <c r="L248" s="2" t="s">
        <v>3</v>
      </c>
      <c r="Q248" s="1"/>
      <c r="R248" s="1"/>
      <c r="S248" s="1"/>
    </row>
    <row r="249" spans="1:19" x14ac:dyDescent="0.25">
      <c r="A249" s="15" t="s">
        <v>419</v>
      </c>
      <c r="B249" s="15" t="s">
        <v>418</v>
      </c>
      <c r="C249" s="2">
        <v>25027937</v>
      </c>
      <c r="D249" s="2" t="s">
        <v>311</v>
      </c>
      <c r="E249" s="2" t="s">
        <v>106</v>
      </c>
      <c r="F249" s="28">
        <v>5</v>
      </c>
      <c r="G249" s="28">
        <v>80</v>
      </c>
      <c r="H249" s="2" t="s">
        <v>4</v>
      </c>
      <c r="I249" s="2" t="s">
        <v>4</v>
      </c>
      <c r="J249" s="28">
        <v>3.125</v>
      </c>
      <c r="K249" s="28" t="s">
        <v>62</v>
      </c>
      <c r="L249" s="2" t="s">
        <v>3</v>
      </c>
      <c r="Q249" s="1"/>
      <c r="R249" s="1"/>
      <c r="S249" s="1"/>
    </row>
    <row r="250" spans="1:19" x14ac:dyDescent="0.25">
      <c r="A250" s="15" t="s">
        <v>417</v>
      </c>
      <c r="B250" s="15" t="s">
        <v>416</v>
      </c>
      <c r="C250" s="2">
        <v>25027937</v>
      </c>
      <c r="D250" s="2" t="s">
        <v>311</v>
      </c>
      <c r="E250" s="2" t="s">
        <v>106</v>
      </c>
      <c r="F250" s="28">
        <v>5</v>
      </c>
      <c r="G250" s="28">
        <v>90</v>
      </c>
      <c r="H250" s="2" t="s">
        <v>4</v>
      </c>
      <c r="I250" s="2" t="s">
        <v>4</v>
      </c>
      <c r="J250" s="28">
        <v>2.7777777777777777</v>
      </c>
      <c r="K250" s="28" t="s">
        <v>62</v>
      </c>
      <c r="L250" s="2" t="s">
        <v>3</v>
      </c>
      <c r="Q250" s="1"/>
      <c r="R250" s="1"/>
      <c r="S250" s="1"/>
    </row>
    <row r="251" spans="1:19" x14ac:dyDescent="0.25">
      <c r="A251" s="15" t="s">
        <v>415</v>
      </c>
      <c r="B251" s="15" t="s">
        <v>414</v>
      </c>
      <c r="C251" s="2">
        <v>25027937</v>
      </c>
      <c r="D251" s="2" t="s">
        <v>311</v>
      </c>
      <c r="E251" s="2" t="s">
        <v>106</v>
      </c>
      <c r="F251" s="28">
        <v>5</v>
      </c>
      <c r="G251" s="28">
        <v>70</v>
      </c>
      <c r="H251" s="2" t="s">
        <v>4</v>
      </c>
      <c r="I251" s="2" t="s">
        <v>4</v>
      </c>
      <c r="J251" s="28">
        <v>3.5714285714285716</v>
      </c>
      <c r="K251" s="28" t="s">
        <v>62</v>
      </c>
      <c r="L251" s="2" t="s">
        <v>3</v>
      </c>
      <c r="Q251" s="1"/>
      <c r="R251" s="1"/>
      <c r="S251" s="1"/>
    </row>
    <row r="252" spans="1:19" x14ac:dyDescent="0.25">
      <c r="A252" s="15" t="s">
        <v>413</v>
      </c>
      <c r="B252" s="15" t="s">
        <v>412</v>
      </c>
      <c r="C252" s="2">
        <v>25027937</v>
      </c>
      <c r="D252" s="2" t="s">
        <v>311</v>
      </c>
      <c r="E252" s="2" t="s">
        <v>106</v>
      </c>
      <c r="F252" s="28">
        <v>5</v>
      </c>
      <c r="G252" s="28">
        <v>99.9</v>
      </c>
      <c r="H252" s="2" t="s">
        <v>3</v>
      </c>
      <c r="I252" s="2" t="s">
        <v>4</v>
      </c>
      <c r="J252" s="28" t="s">
        <v>62</v>
      </c>
      <c r="K252" s="28" t="s">
        <v>62</v>
      </c>
      <c r="L252" s="2" t="s">
        <v>3</v>
      </c>
      <c r="Q252" s="1"/>
      <c r="R252" s="1"/>
      <c r="S252" s="1"/>
    </row>
    <row r="253" spans="1:19" x14ac:dyDescent="0.25">
      <c r="A253" s="15" t="s">
        <v>411</v>
      </c>
      <c r="B253" s="15" t="s">
        <v>410</v>
      </c>
      <c r="C253" s="2">
        <v>25027937</v>
      </c>
      <c r="D253" s="2" t="s">
        <v>311</v>
      </c>
      <c r="E253" s="2" t="s">
        <v>106</v>
      </c>
      <c r="F253" s="28">
        <v>10</v>
      </c>
      <c r="G253" s="28">
        <v>40</v>
      </c>
      <c r="H253" s="2" t="s">
        <v>4</v>
      </c>
      <c r="I253" s="2" t="s">
        <v>4</v>
      </c>
      <c r="J253" s="28">
        <v>12.5</v>
      </c>
      <c r="K253" s="28" t="s">
        <v>62</v>
      </c>
      <c r="L253" s="2" t="s">
        <v>4</v>
      </c>
      <c r="Q253" s="1"/>
      <c r="R253" s="1"/>
      <c r="S253" s="1"/>
    </row>
    <row r="254" spans="1:19" x14ac:dyDescent="0.25">
      <c r="A254" s="15" t="s">
        <v>409</v>
      </c>
      <c r="B254" s="15" t="s">
        <v>408</v>
      </c>
      <c r="C254" s="2">
        <v>25027937</v>
      </c>
      <c r="D254" s="2" t="s">
        <v>311</v>
      </c>
      <c r="E254" s="2" t="s">
        <v>106</v>
      </c>
      <c r="F254" s="28">
        <v>5</v>
      </c>
      <c r="G254" s="28">
        <v>90</v>
      </c>
      <c r="H254" s="2" t="s">
        <v>4</v>
      </c>
      <c r="I254" s="2" t="s">
        <v>4</v>
      </c>
      <c r="J254" s="28">
        <v>2.7777777777777777</v>
      </c>
      <c r="K254" s="28" t="s">
        <v>62</v>
      </c>
      <c r="L254" s="2" t="s">
        <v>3</v>
      </c>
      <c r="Q254" s="1"/>
      <c r="R254" s="1"/>
      <c r="S254" s="1"/>
    </row>
    <row r="255" spans="1:19" x14ac:dyDescent="0.25">
      <c r="A255" s="15" t="s">
        <v>407</v>
      </c>
      <c r="B255" s="15" t="s">
        <v>406</v>
      </c>
      <c r="C255" s="2">
        <v>25027937</v>
      </c>
      <c r="D255" s="2" t="s">
        <v>311</v>
      </c>
      <c r="E255" s="2" t="s">
        <v>106</v>
      </c>
      <c r="F255" s="28">
        <v>100</v>
      </c>
      <c r="G255" s="28">
        <v>75</v>
      </c>
      <c r="H255" s="2" t="s">
        <v>4</v>
      </c>
      <c r="I255" s="2" t="s">
        <v>4</v>
      </c>
      <c r="J255" s="28">
        <v>66.666666666666657</v>
      </c>
      <c r="K255" s="28" t="s">
        <v>62</v>
      </c>
      <c r="L255" s="2" t="s">
        <v>4</v>
      </c>
      <c r="Q255" s="1"/>
      <c r="R255" s="1"/>
      <c r="S255" s="1"/>
    </row>
    <row r="256" spans="1:19" x14ac:dyDescent="0.25">
      <c r="A256" s="15" t="s">
        <v>405</v>
      </c>
      <c r="B256" s="15" t="s">
        <v>359</v>
      </c>
      <c r="C256" s="2">
        <v>25027937</v>
      </c>
      <c r="D256" s="2" t="s">
        <v>311</v>
      </c>
      <c r="E256" s="2" t="s">
        <v>106</v>
      </c>
      <c r="F256" s="28">
        <v>10</v>
      </c>
      <c r="G256" s="28">
        <v>47</v>
      </c>
      <c r="H256" s="2" t="s">
        <v>4</v>
      </c>
      <c r="I256" s="2" t="s">
        <v>4</v>
      </c>
      <c r="J256" s="28">
        <v>10.638297872340425</v>
      </c>
      <c r="K256" s="28" t="s">
        <v>62</v>
      </c>
      <c r="L256" s="2" t="s">
        <v>4</v>
      </c>
      <c r="Q256" s="1"/>
      <c r="R256" s="1"/>
      <c r="S256" s="1"/>
    </row>
    <row r="257" spans="1:19" x14ac:dyDescent="0.25">
      <c r="A257" s="15" t="s">
        <v>404</v>
      </c>
      <c r="B257" s="15" t="s">
        <v>403</v>
      </c>
      <c r="C257" s="2">
        <v>25027937</v>
      </c>
      <c r="D257" s="2" t="s">
        <v>311</v>
      </c>
      <c r="E257" s="2" t="s">
        <v>106</v>
      </c>
      <c r="F257" s="28" t="s">
        <v>63</v>
      </c>
      <c r="G257" s="28">
        <v>0</v>
      </c>
      <c r="H257" s="2" t="s">
        <v>4</v>
      </c>
      <c r="I257" s="2" t="s">
        <v>3</v>
      </c>
      <c r="J257" s="28" t="s">
        <v>62</v>
      </c>
      <c r="K257" s="28">
        <v>0</v>
      </c>
      <c r="L257" s="2" t="s">
        <v>4</v>
      </c>
      <c r="Q257" s="1"/>
      <c r="R257" s="1"/>
      <c r="S257" s="1"/>
    </row>
    <row r="258" spans="1:19" x14ac:dyDescent="0.25">
      <c r="A258" s="15" t="s">
        <v>402</v>
      </c>
      <c r="B258" s="15" t="s">
        <v>401</v>
      </c>
      <c r="C258" s="2">
        <v>19524644</v>
      </c>
      <c r="D258" s="2" t="s">
        <v>400</v>
      </c>
      <c r="E258" s="2" t="s">
        <v>106</v>
      </c>
      <c r="F258" s="28">
        <v>268.81720430107526</v>
      </c>
      <c r="G258" s="28">
        <v>41</v>
      </c>
      <c r="H258" s="2" t="s">
        <v>4</v>
      </c>
      <c r="I258" s="2" t="s">
        <v>4</v>
      </c>
      <c r="J258" s="28">
        <v>327.82585890375032</v>
      </c>
      <c r="K258" s="28" t="s">
        <v>62</v>
      </c>
      <c r="L258" s="2" t="s">
        <v>4</v>
      </c>
      <c r="Q258" s="1"/>
      <c r="R258" s="1"/>
      <c r="S258" s="1"/>
    </row>
    <row r="259" spans="1:19" x14ac:dyDescent="0.25">
      <c r="A259" s="15" t="s">
        <v>399</v>
      </c>
      <c r="B259" s="15" t="s">
        <v>398</v>
      </c>
      <c r="C259" s="2">
        <v>9593157</v>
      </c>
      <c r="D259" s="2" t="s">
        <v>389</v>
      </c>
      <c r="E259" s="2" t="s">
        <v>106</v>
      </c>
      <c r="F259" s="28">
        <v>470</v>
      </c>
      <c r="G259" s="28">
        <v>40.391264465142527</v>
      </c>
      <c r="H259" s="2" t="s">
        <v>4</v>
      </c>
      <c r="I259" s="2" t="s">
        <v>4</v>
      </c>
      <c r="J259" s="28">
        <v>581.80897060750328</v>
      </c>
      <c r="K259" s="28" t="s">
        <v>62</v>
      </c>
      <c r="L259" s="2" t="s">
        <v>4</v>
      </c>
      <c r="Q259" s="1"/>
      <c r="R259" s="1"/>
      <c r="S259" s="1"/>
    </row>
    <row r="260" spans="1:19" x14ac:dyDescent="0.25">
      <c r="A260" s="15" t="s">
        <v>397</v>
      </c>
      <c r="B260" s="15" t="s">
        <v>396</v>
      </c>
      <c r="C260" s="2">
        <v>9593157</v>
      </c>
      <c r="D260" s="2" t="s">
        <v>389</v>
      </c>
      <c r="E260" s="2" t="s">
        <v>106</v>
      </c>
      <c r="F260" s="28">
        <v>940</v>
      </c>
      <c r="G260" s="28">
        <v>55.655517922664409</v>
      </c>
      <c r="H260" s="2" t="s">
        <v>4</v>
      </c>
      <c r="I260" s="2" t="s">
        <v>4</v>
      </c>
      <c r="J260" s="28">
        <v>844.48050713153725</v>
      </c>
      <c r="K260" s="28" t="s">
        <v>62</v>
      </c>
      <c r="L260" s="2" t="s">
        <v>4</v>
      </c>
      <c r="Q260" s="1"/>
      <c r="R260" s="1"/>
      <c r="S260" s="1"/>
    </row>
    <row r="261" spans="1:19" x14ac:dyDescent="0.25">
      <c r="A261" s="15" t="s">
        <v>395</v>
      </c>
      <c r="B261" s="15" t="s">
        <v>394</v>
      </c>
      <c r="C261" s="2">
        <v>9593157</v>
      </c>
      <c r="D261" s="2" t="s">
        <v>389</v>
      </c>
      <c r="E261" s="2" t="s">
        <v>106</v>
      </c>
      <c r="F261" s="28">
        <v>3750</v>
      </c>
      <c r="G261" s="28">
        <v>46.277871860005646</v>
      </c>
      <c r="H261" s="2" t="s">
        <v>4</v>
      </c>
      <c r="I261" s="2" t="s">
        <v>4</v>
      </c>
      <c r="J261" s="28">
        <v>4051.6124113745523</v>
      </c>
      <c r="K261" s="28" t="s">
        <v>62</v>
      </c>
      <c r="L261" s="2" t="s">
        <v>4</v>
      </c>
      <c r="Q261" s="1"/>
      <c r="R261" s="1"/>
      <c r="S261" s="1"/>
    </row>
    <row r="262" spans="1:19" x14ac:dyDescent="0.25">
      <c r="A262" s="15" t="s">
        <v>393</v>
      </c>
      <c r="B262" s="15" t="s">
        <v>392</v>
      </c>
      <c r="C262" s="2">
        <v>9593157</v>
      </c>
      <c r="D262" s="2" t="s">
        <v>389</v>
      </c>
      <c r="E262" s="2" t="s">
        <v>106</v>
      </c>
      <c r="F262" s="28">
        <v>3750</v>
      </c>
      <c r="G262" s="28">
        <v>54.91285633643804</v>
      </c>
      <c r="H262" s="2" t="s">
        <v>4</v>
      </c>
      <c r="I262" s="2" t="s">
        <v>4</v>
      </c>
      <c r="J262" s="28">
        <v>3414.5009476693763</v>
      </c>
      <c r="K262" s="28" t="s">
        <v>62</v>
      </c>
      <c r="L262" s="2" t="s">
        <v>4</v>
      </c>
      <c r="Q262" s="1"/>
      <c r="R262" s="1"/>
      <c r="S262" s="1"/>
    </row>
    <row r="263" spans="1:19" x14ac:dyDescent="0.25">
      <c r="A263" s="15" t="s">
        <v>391</v>
      </c>
      <c r="B263" s="15" t="s">
        <v>390</v>
      </c>
      <c r="C263" s="2">
        <v>9593157</v>
      </c>
      <c r="D263" s="2" t="s">
        <v>389</v>
      </c>
      <c r="E263" s="2" t="s">
        <v>106</v>
      </c>
      <c r="F263" s="28">
        <v>15000</v>
      </c>
      <c r="G263" s="28">
        <v>48.844552639006487</v>
      </c>
      <c r="H263" s="2" t="s">
        <v>4</v>
      </c>
      <c r="I263" s="2" t="s">
        <v>4</v>
      </c>
      <c r="J263" s="28">
        <v>15354.834049622594</v>
      </c>
      <c r="K263" s="28" t="s">
        <v>62</v>
      </c>
      <c r="L263" s="2" t="s">
        <v>4</v>
      </c>
      <c r="Q263" s="1"/>
      <c r="R263" s="1"/>
      <c r="S263" s="1"/>
    </row>
    <row r="264" spans="1:19" x14ac:dyDescent="0.25">
      <c r="A264" s="15" t="s">
        <v>388</v>
      </c>
      <c r="B264" s="15" t="s">
        <v>387</v>
      </c>
      <c r="C264" s="2">
        <v>20008784</v>
      </c>
      <c r="D264" s="2" t="s">
        <v>122</v>
      </c>
      <c r="E264" s="2" t="s">
        <v>106</v>
      </c>
      <c r="F264" s="28">
        <v>1560</v>
      </c>
      <c r="G264" s="28">
        <v>41</v>
      </c>
      <c r="H264" s="2" t="s">
        <v>4</v>
      </c>
      <c r="I264" s="2" t="s">
        <v>4</v>
      </c>
      <c r="J264" s="28">
        <v>1902.439024390244</v>
      </c>
      <c r="K264" s="28" t="s">
        <v>62</v>
      </c>
      <c r="L264" s="2" t="s">
        <v>4</v>
      </c>
      <c r="Q264" s="1"/>
      <c r="R264" s="1"/>
      <c r="S264" s="1"/>
    </row>
    <row r="265" spans="1:19" x14ac:dyDescent="0.25">
      <c r="A265" s="15" t="s">
        <v>386</v>
      </c>
      <c r="B265" s="15" t="s">
        <v>385</v>
      </c>
      <c r="C265" s="2">
        <v>15917561</v>
      </c>
      <c r="D265" s="2" t="s">
        <v>267</v>
      </c>
      <c r="E265" s="2" t="s">
        <v>106</v>
      </c>
      <c r="F265" s="28">
        <v>24.360535931790501</v>
      </c>
      <c r="G265" s="28">
        <v>36</v>
      </c>
      <c r="H265" s="2" t="s">
        <v>4</v>
      </c>
      <c r="I265" s="2" t="s">
        <v>4</v>
      </c>
      <c r="J265" s="28">
        <v>33.834077683042359</v>
      </c>
      <c r="K265" s="28" t="s">
        <v>62</v>
      </c>
      <c r="L265" s="2" t="s">
        <v>4</v>
      </c>
      <c r="Q265" s="1"/>
      <c r="R265" s="1"/>
      <c r="S265" s="1"/>
    </row>
    <row r="266" spans="1:19" x14ac:dyDescent="0.25">
      <c r="A266" s="15" t="s">
        <v>384</v>
      </c>
      <c r="B266" s="15" t="s">
        <v>383</v>
      </c>
      <c r="C266" s="2">
        <v>25215504</v>
      </c>
      <c r="D266" s="2" t="s">
        <v>311</v>
      </c>
      <c r="E266" s="2" t="s">
        <v>106</v>
      </c>
      <c r="F266" s="28">
        <v>1100</v>
      </c>
      <c r="G266" s="28">
        <v>43</v>
      </c>
      <c r="H266" s="2" t="s">
        <v>4</v>
      </c>
      <c r="I266" s="2" t="s">
        <v>4</v>
      </c>
      <c r="J266" s="28">
        <v>1279.0697674418604</v>
      </c>
      <c r="K266" s="28" t="s">
        <v>62</v>
      </c>
      <c r="L266" s="2" t="s">
        <v>4</v>
      </c>
      <c r="Q266" s="1"/>
      <c r="R266" s="1"/>
      <c r="S266" s="1"/>
    </row>
    <row r="267" spans="1:19" x14ac:dyDescent="0.25">
      <c r="A267" s="15" t="s">
        <v>382</v>
      </c>
      <c r="B267" s="15" t="s">
        <v>381</v>
      </c>
      <c r="C267" s="2">
        <v>27354249</v>
      </c>
      <c r="D267" s="2" t="s">
        <v>345</v>
      </c>
      <c r="E267" s="2" t="s">
        <v>106</v>
      </c>
      <c r="F267" s="28">
        <v>10000</v>
      </c>
      <c r="G267" s="28">
        <v>85</v>
      </c>
      <c r="H267" s="2" t="s">
        <v>4</v>
      </c>
      <c r="I267" s="2" t="s">
        <v>4</v>
      </c>
      <c r="J267" s="28">
        <v>5882.3529411764712</v>
      </c>
      <c r="K267" s="28" t="s">
        <v>62</v>
      </c>
      <c r="L267" s="2" t="s">
        <v>4</v>
      </c>
      <c r="Q267" s="1"/>
      <c r="R267" s="1"/>
      <c r="S267" s="1"/>
    </row>
    <row r="268" spans="1:19" x14ac:dyDescent="0.25">
      <c r="A268" s="15" t="s">
        <v>380</v>
      </c>
      <c r="B268" s="15" t="s">
        <v>379</v>
      </c>
      <c r="C268" s="2">
        <v>27354249</v>
      </c>
      <c r="D268" s="2" t="s">
        <v>345</v>
      </c>
      <c r="E268" s="2" t="s">
        <v>106</v>
      </c>
      <c r="F268" s="28">
        <v>50000</v>
      </c>
      <c r="G268" s="28">
        <v>0</v>
      </c>
      <c r="H268" s="2" t="s">
        <v>4</v>
      </c>
      <c r="I268" s="2" t="s">
        <v>3</v>
      </c>
      <c r="J268" s="28" t="s">
        <v>62</v>
      </c>
      <c r="K268" s="28" t="s">
        <v>62</v>
      </c>
      <c r="L268" s="2" t="s">
        <v>4</v>
      </c>
      <c r="Q268" s="1"/>
      <c r="R268" s="1"/>
      <c r="S268" s="1"/>
    </row>
    <row r="269" spans="1:19" x14ac:dyDescent="0.25">
      <c r="A269" s="15" t="s">
        <v>378</v>
      </c>
      <c r="B269" s="15" t="s">
        <v>377</v>
      </c>
      <c r="C269" s="2">
        <v>27354249</v>
      </c>
      <c r="D269" s="2" t="s">
        <v>345</v>
      </c>
      <c r="E269" s="2" t="s">
        <v>106</v>
      </c>
      <c r="F269" s="28">
        <v>30</v>
      </c>
      <c r="G269" s="28">
        <v>0</v>
      </c>
      <c r="H269" s="2" t="s">
        <v>4</v>
      </c>
      <c r="I269" s="2" t="s">
        <v>3</v>
      </c>
      <c r="J269" s="28" t="s">
        <v>62</v>
      </c>
      <c r="K269" s="28" t="s">
        <v>62</v>
      </c>
      <c r="L269" s="2" t="s">
        <v>4</v>
      </c>
      <c r="Q269" s="1"/>
      <c r="R269" s="1"/>
      <c r="S269" s="1"/>
    </row>
    <row r="270" spans="1:19" x14ac:dyDescent="0.25">
      <c r="A270" s="15" t="s">
        <v>376</v>
      </c>
      <c r="B270" s="15" t="s">
        <v>375</v>
      </c>
      <c r="C270" s="2">
        <v>30367535</v>
      </c>
      <c r="D270" s="2" t="s">
        <v>65</v>
      </c>
      <c r="E270" s="2" t="s">
        <v>106</v>
      </c>
      <c r="F270" s="28">
        <v>20</v>
      </c>
      <c r="G270" s="28">
        <v>90</v>
      </c>
      <c r="H270" s="2" t="s">
        <v>4</v>
      </c>
      <c r="I270" s="2" t="s">
        <v>4</v>
      </c>
      <c r="J270" s="28">
        <v>11.111111111111111</v>
      </c>
      <c r="K270" s="28" t="s">
        <v>62</v>
      </c>
      <c r="L270" s="2" t="s">
        <v>4</v>
      </c>
      <c r="Q270" s="1"/>
      <c r="R270" s="1"/>
      <c r="S270" s="1"/>
    </row>
    <row r="271" spans="1:19" x14ac:dyDescent="0.25">
      <c r="A271" s="15" t="s">
        <v>374</v>
      </c>
      <c r="B271" s="15" t="s">
        <v>373</v>
      </c>
      <c r="C271" s="2">
        <v>28803120</v>
      </c>
      <c r="D271" s="2" t="s">
        <v>125</v>
      </c>
      <c r="E271" s="2" t="s">
        <v>106</v>
      </c>
      <c r="F271" s="28">
        <v>10</v>
      </c>
      <c r="G271" s="28">
        <v>76</v>
      </c>
      <c r="H271" s="2" t="s">
        <v>4</v>
      </c>
      <c r="I271" s="2" t="s">
        <v>4</v>
      </c>
      <c r="J271" s="28">
        <v>6.5789473684210531</v>
      </c>
      <c r="K271" s="28" t="s">
        <v>62</v>
      </c>
      <c r="L271" s="2" t="s">
        <v>3</v>
      </c>
      <c r="Q271" s="1"/>
      <c r="R271" s="1"/>
      <c r="S271" s="1"/>
    </row>
    <row r="272" spans="1:19" x14ac:dyDescent="0.25">
      <c r="A272" s="15" t="s">
        <v>372</v>
      </c>
      <c r="B272" s="15" t="s">
        <v>371</v>
      </c>
      <c r="C272" s="2">
        <v>28803120</v>
      </c>
      <c r="D272" s="2" t="s">
        <v>125</v>
      </c>
      <c r="E272" s="2" t="s">
        <v>106</v>
      </c>
      <c r="F272" s="28">
        <v>12.5</v>
      </c>
      <c r="G272" s="28">
        <v>50</v>
      </c>
      <c r="H272" s="2" t="s">
        <v>4</v>
      </c>
      <c r="I272" s="2" t="s">
        <v>4</v>
      </c>
      <c r="J272" s="28">
        <v>12.5</v>
      </c>
      <c r="K272" s="28" t="s">
        <v>62</v>
      </c>
      <c r="L272" s="2" t="s">
        <v>4</v>
      </c>
      <c r="Q272" s="1"/>
      <c r="R272" s="1"/>
      <c r="S272" s="1"/>
    </row>
    <row r="273" spans="1:19" x14ac:dyDescent="0.25">
      <c r="A273" s="15" t="s">
        <v>370</v>
      </c>
      <c r="B273" s="15" t="s">
        <v>369</v>
      </c>
      <c r="C273" s="2">
        <v>28803120</v>
      </c>
      <c r="D273" s="2" t="s">
        <v>125</v>
      </c>
      <c r="E273" s="2" t="s">
        <v>106</v>
      </c>
      <c r="F273" s="28">
        <v>10</v>
      </c>
      <c r="G273" s="28">
        <v>62</v>
      </c>
      <c r="H273" s="2" t="s">
        <v>4</v>
      </c>
      <c r="I273" s="2" t="s">
        <v>4</v>
      </c>
      <c r="J273" s="28">
        <v>8.064516129032258</v>
      </c>
      <c r="K273" s="28" t="s">
        <v>62</v>
      </c>
      <c r="L273" s="2" t="s">
        <v>3</v>
      </c>
      <c r="Q273" s="1"/>
      <c r="R273" s="1"/>
      <c r="S273" s="1"/>
    </row>
    <row r="274" spans="1:19" x14ac:dyDescent="0.25">
      <c r="A274" s="15" t="s">
        <v>368</v>
      </c>
      <c r="B274" s="15" t="s">
        <v>367</v>
      </c>
      <c r="C274" s="2">
        <v>20181044</v>
      </c>
      <c r="D274" s="2" t="s">
        <v>122</v>
      </c>
      <c r="E274" s="2" t="s">
        <v>106</v>
      </c>
      <c r="F274" s="28">
        <v>20</v>
      </c>
      <c r="G274" s="28">
        <v>74</v>
      </c>
      <c r="H274" s="2" t="s">
        <v>4</v>
      </c>
      <c r="I274" s="2" t="s">
        <v>4</v>
      </c>
      <c r="J274" s="28">
        <v>13.513513513513512</v>
      </c>
      <c r="K274" s="28" t="s">
        <v>62</v>
      </c>
      <c r="L274" s="2" t="s">
        <v>4</v>
      </c>
      <c r="Q274" s="1"/>
      <c r="R274" s="1"/>
      <c r="S274" s="1"/>
    </row>
    <row r="275" spans="1:19" x14ac:dyDescent="0.25">
      <c r="A275" s="15" t="s">
        <v>366</v>
      </c>
      <c r="B275" s="15" t="s">
        <v>365</v>
      </c>
      <c r="C275" s="2">
        <v>16410552</v>
      </c>
      <c r="D275" s="2" t="s">
        <v>272</v>
      </c>
      <c r="E275" s="2" t="s">
        <v>106</v>
      </c>
      <c r="F275" s="28">
        <v>5000</v>
      </c>
      <c r="G275" s="28">
        <v>33</v>
      </c>
      <c r="H275" s="2" t="s">
        <v>4</v>
      </c>
      <c r="I275" s="2" t="s">
        <v>4</v>
      </c>
      <c r="J275" s="28">
        <v>7575.757575757576</v>
      </c>
      <c r="K275" s="28" t="s">
        <v>62</v>
      </c>
      <c r="L275" s="2" t="s">
        <v>4</v>
      </c>
      <c r="Q275" s="1"/>
      <c r="R275" s="1"/>
      <c r="S275" s="1"/>
    </row>
    <row r="276" spans="1:19" x14ac:dyDescent="0.25">
      <c r="A276" s="15" t="s">
        <v>364</v>
      </c>
      <c r="B276" s="15" t="s">
        <v>363</v>
      </c>
      <c r="C276" s="2">
        <v>16410552</v>
      </c>
      <c r="D276" s="2" t="s">
        <v>272</v>
      </c>
      <c r="E276" s="2" t="s">
        <v>106</v>
      </c>
      <c r="F276" s="28">
        <v>100</v>
      </c>
      <c r="G276" s="28">
        <v>64</v>
      </c>
      <c r="H276" s="2" t="s">
        <v>4</v>
      </c>
      <c r="I276" s="2" t="s">
        <v>4</v>
      </c>
      <c r="J276" s="28">
        <v>78.125</v>
      </c>
      <c r="K276" s="28" t="s">
        <v>62</v>
      </c>
      <c r="L276" s="2" t="s">
        <v>4</v>
      </c>
      <c r="Q276" s="1"/>
      <c r="R276" s="1"/>
      <c r="S276" s="1"/>
    </row>
    <row r="277" spans="1:19" x14ac:dyDescent="0.25">
      <c r="A277" s="15" t="s">
        <v>362</v>
      </c>
      <c r="B277" s="15" t="s">
        <v>361</v>
      </c>
      <c r="C277" s="2">
        <v>16410552</v>
      </c>
      <c r="D277" s="2" t="s">
        <v>272</v>
      </c>
      <c r="E277" s="2" t="s">
        <v>106</v>
      </c>
      <c r="F277" s="28">
        <v>10</v>
      </c>
      <c r="G277" s="28">
        <v>45</v>
      </c>
      <c r="H277" s="2" t="s">
        <v>4</v>
      </c>
      <c r="I277" s="2" t="s">
        <v>4</v>
      </c>
      <c r="J277" s="28">
        <v>11.111111111111111</v>
      </c>
      <c r="K277" s="28" t="s">
        <v>62</v>
      </c>
      <c r="L277" s="2" t="s">
        <v>4</v>
      </c>
      <c r="Q277" s="1"/>
      <c r="R277" s="1"/>
      <c r="S277" s="1"/>
    </row>
    <row r="278" spans="1:19" x14ac:dyDescent="0.25">
      <c r="A278" s="15" t="s">
        <v>360</v>
      </c>
      <c r="B278" s="15" t="s">
        <v>359</v>
      </c>
      <c r="C278" s="2">
        <v>11207614</v>
      </c>
      <c r="D278" s="2" t="s">
        <v>356</v>
      </c>
      <c r="E278" s="2" t="s">
        <v>106</v>
      </c>
      <c r="F278" s="28">
        <v>500</v>
      </c>
      <c r="G278" s="28">
        <v>85</v>
      </c>
      <c r="H278" s="2" t="s">
        <v>4</v>
      </c>
      <c r="I278" s="2" t="s">
        <v>4</v>
      </c>
      <c r="J278" s="28">
        <v>294.11764705882354</v>
      </c>
      <c r="K278" s="28" t="s">
        <v>62</v>
      </c>
      <c r="L278" s="2" t="s">
        <v>4</v>
      </c>
      <c r="Q278" s="1"/>
      <c r="R278" s="1"/>
      <c r="S278" s="1"/>
    </row>
    <row r="279" spans="1:19" x14ac:dyDescent="0.25">
      <c r="A279" s="15" t="s">
        <v>358</v>
      </c>
      <c r="B279" s="15" t="s">
        <v>357</v>
      </c>
      <c r="C279" s="2">
        <v>11207614</v>
      </c>
      <c r="D279" s="2" t="s">
        <v>356</v>
      </c>
      <c r="E279" s="2" t="s">
        <v>106</v>
      </c>
      <c r="F279" s="28">
        <v>6.9271266278747579</v>
      </c>
      <c r="G279" s="28">
        <v>69</v>
      </c>
      <c r="H279" s="2" t="s">
        <v>4</v>
      </c>
      <c r="I279" s="2" t="s">
        <v>4</v>
      </c>
      <c r="J279" s="28">
        <v>5.0196569767208388</v>
      </c>
      <c r="K279" s="28" t="s">
        <v>62</v>
      </c>
      <c r="L279" s="2" t="s">
        <v>3</v>
      </c>
      <c r="Q279" s="1"/>
      <c r="R279" s="1"/>
      <c r="S279" s="1"/>
    </row>
    <row r="280" spans="1:19" x14ac:dyDescent="0.25">
      <c r="A280" s="15" t="s">
        <v>355</v>
      </c>
      <c r="B280" s="15" t="s">
        <v>354</v>
      </c>
      <c r="C280" s="2">
        <v>21909260</v>
      </c>
      <c r="D280" s="2" t="s">
        <v>303</v>
      </c>
      <c r="E280" s="2" t="s">
        <v>106</v>
      </c>
      <c r="F280" s="28">
        <v>5</v>
      </c>
      <c r="G280" s="28">
        <v>66</v>
      </c>
      <c r="H280" s="2" t="s">
        <v>4</v>
      </c>
      <c r="I280" s="2" t="s">
        <v>4</v>
      </c>
      <c r="J280" s="28">
        <v>3.7878787878787881</v>
      </c>
      <c r="K280" s="28" t="s">
        <v>62</v>
      </c>
      <c r="L280" s="2" t="s">
        <v>3</v>
      </c>
      <c r="Q280" s="1"/>
      <c r="R280" s="1"/>
      <c r="S280" s="1"/>
    </row>
    <row r="281" spans="1:19" x14ac:dyDescent="0.25">
      <c r="A281" s="15" t="s">
        <v>353</v>
      </c>
      <c r="B281" s="15" t="s">
        <v>352</v>
      </c>
      <c r="C281" s="2">
        <v>25883118</v>
      </c>
      <c r="D281" s="2" t="s">
        <v>316</v>
      </c>
      <c r="E281" s="2" t="s">
        <v>106</v>
      </c>
      <c r="F281" s="28">
        <v>200</v>
      </c>
      <c r="G281" s="28">
        <v>56</v>
      </c>
      <c r="H281" s="2" t="s">
        <v>4</v>
      </c>
      <c r="I281" s="2" t="s">
        <v>4</v>
      </c>
      <c r="J281" s="28">
        <v>178.57142857142858</v>
      </c>
      <c r="K281" s="28" t="s">
        <v>62</v>
      </c>
      <c r="L281" s="2" t="s">
        <v>4</v>
      </c>
      <c r="Q281" s="1"/>
      <c r="R281" s="1"/>
      <c r="S281" s="1"/>
    </row>
    <row r="282" spans="1:19" x14ac:dyDescent="0.25">
      <c r="A282" s="15" t="s">
        <v>351</v>
      </c>
      <c r="B282" s="15" t="s">
        <v>350</v>
      </c>
      <c r="C282" s="2">
        <v>16968227</v>
      </c>
      <c r="D282" s="2" t="s">
        <v>272</v>
      </c>
      <c r="E282" s="2" t="s">
        <v>106</v>
      </c>
      <c r="F282" s="28">
        <v>5</v>
      </c>
      <c r="G282" s="28">
        <v>86</v>
      </c>
      <c r="H282" s="2" t="s">
        <v>4</v>
      </c>
      <c r="I282" s="2" t="s">
        <v>4</v>
      </c>
      <c r="J282" s="28">
        <v>2.9069767441860468</v>
      </c>
      <c r="K282" s="28" t="s">
        <v>62</v>
      </c>
      <c r="L282" s="2" t="s">
        <v>3</v>
      </c>
      <c r="Q282" s="1"/>
      <c r="R282" s="1"/>
      <c r="S282" s="1"/>
    </row>
    <row r="283" spans="1:19" x14ac:dyDescent="0.25">
      <c r="A283" s="15" t="s">
        <v>349</v>
      </c>
      <c r="B283" s="15" t="s">
        <v>348</v>
      </c>
      <c r="C283" s="2">
        <v>24958721</v>
      </c>
      <c r="D283" s="2" t="s">
        <v>311</v>
      </c>
      <c r="E283" s="2" t="s">
        <v>106</v>
      </c>
      <c r="F283" s="28">
        <v>4</v>
      </c>
      <c r="G283" s="28">
        <v>49</v>
      </c>
      <c r="H283" s="2" t="s">
        <v>4</v>
      </c>
      <c r="I283" s="2" t="s">
        <v>4</v>
      </c>
      <c r="J283" s="28">
        <v>4.0816326530612246</v>
      </c>
      <c r="K283" s="28" t="s">
        <v>62</v>
      </c>
      <c r="L283" s="2" t="s">
        <v>3</v>
      </c>
      <c r="Q283" s="1"/>
      <c r="R283" s="1"/>
      <c r="S283" s="1"/>
    </row>
    <row r="284" spans="1:19" x14ac:dyDescent="0.25">
      <c r="A284" s="15" t="s">
        <v>347</v>
      </c>
      <c r="B284" s="15" t="s">
        <v>346</v>
      </c>
      <c r="C284" s="2">
        <v>26381674</v>
      </c>
      <c r="D284" s="2" t="s">
        <v>345</v>
      </c>
      <c r="E284" s="2" t="s">
        <v>106</v>
      </c>
      <c r="F284" s="28">
        <v>10</v>
      </c>
      <c r="G284" s="28">
        <v>99.9</v>
      </c>
      <c r="H284" s="2" t="s">
        <v>3</v>
      </c>
      <c r="I284" s="2" t="s">
        <v>4</v>
      </c>
      <c r="J284" s="28" t="s">
        <v>62</v>
      </c>
      <c r="K284" s="28" t="s">
        <v>62</v>
      </c>
      <c r="L284" s="2" t="s">
        <v>3</v>
      </c>
      <c r="Q284" s="1"/>
      <c r="R284" s="1"/>
      <c r="S284" s="1"/>
    </row>
    <row r="285" spans="1:19" x14ac:dyDescent="0.25">
      <c r="A285" s="15" t="s">
        <v>344</v>
      </c>
      <c r="B285" s="15" t="s">
        <v>343</v>
      </c>
      <c r="C285" s="2">
        <v>31964747</v>
      </c>
      <c r="D285" s="2" t="s">
        <v>179</v>
      </c>
      <c r="E285" s="2" t="s">
        <v>106</v>
      </c>
      <c r="F285" s="28">
        <v>0.42183413481818949</v>
      </c>
      <c r="G285" s="28">
        <v>90</v>
      </c>
      <c r="H285" s="2" t="s">
        <v>4</v>
      </c>
      <c r="I285" s="2" t="s">
        <v>4</v>
      </c>
      <c r="J285" s="28">
        <v>0.23435229712121639</v>
      </c>
      <c r="K285" s="28" t="s">
        <v>62</v>
      </c>
      <c r="L285" s="2" t="s">
        <v>3</v>
      </c>
      <c r="Q285" s="1"/>
      <c r="R285" s="1"/>
      <c r="S285" s="1"/>
    </row>
    <row r="286" spans="1:19" x14ac:dyDescent="0.25">
      <c r="A286" s="15" t="s">
        <v>342</v>
      </c>
      <c r="B286" s="15" t="s">
        <v>341</v>
      </c>
      <c r="C286" s="2">
        <v>31097582</v>
      </c>
      <c r="D286" s="2" t="s">
        <v>130</v>
      </c>
      <c r="E286" s="2" t="s">
        <v>106</v>
      </c>
      <c r="F286" s="28">
        <v>200</v>
      </c>
      <c r="G286" s="28">
        <v>90</v>
      </c>
      <c r="H286" s="2" t="s">
        <v>4</v>
      </c>
      <c r="I286" s="2" t="s">
        <v>4</v>
      </c>
      <c r="J286" s="28">
        <v>111.11111111111111</v>
      </c>
      <c r="K286" s="28" t="s">
        <v>62</v>
      </c>
      <c r="L286" s="2" t="s">
        <v>4</v>
      </c>
      <c r="Q286" s="1"/>
      <c r="R286" s="1"/>
      <c r="S286" s="1"/>
    </row>
    <row r="287" spans="1:19" x14ac:dyDescent="0.25">
      <c r="A287" s="15" t="s">
        <v>340</v>
      </c>
      <c r="B287" s="15" t="s">
        <v>339</v>
      </c>
      <c r="C287" s="2">
        <v>31097582</v>
      </c>
      <c r="D287" s="2" t="s">
        <v>130</v>
      </c>
      <c r="E287" s="2" t="s">
        <v>106</v>
      </c>
      <c r="F287" s="28">
        <v>100</v>
      </c>
      <c r="G287" s="28">
        <v>90</v>
      </c>
      <c r="H287" s="2" t="s">
        <v>4</v>
      </c>
      <c r="I287" s="2" t="s">
        <v>4</v>
      </c>
      <c r="J287" s="28">
        <v>55.555555555555557</v>
      </c>
      <c r="K287" s="28" t="s">
        <v>62</v>
      </c>
      <c r="L287" s="2" t="s">
        <v>4</v>
      </c>
      <c r="Q287" s="1"/>
      <c r="R287" s="1"/>
      <c r="S287" s="1"/>
    </row>
    <row r="288" spans="1:19" x14ac:dyDescent="0.25">
      <c r="A288" s="15" t="s">
        <v>338</v>
      </c>
      <c r="B288" s="15" t="s">
        <v>337</v>
      </c>
      <c r="C288" s="2">
        <v>31097582</v>
      </c>
      <c r="D288" s="2" t="s">
        <v>130</v>
      </c>
      <c r="E288" s="2" t="s">
        <v>106</v>
      </c>
      <c r="F288" s="28" t="s">
        <v>63</v>
      </c>
      <c r="G288" s="28">
        <v>0</v>
      </c>
      <c r="H288" s="2" t="s">
        <v>4</v>
      </c>
      <c r="I288" s="2" t="s">
        <v>3</v>
      </c>
      <c r="J288" s="28" t="s">
        <v>62</v>
      </c>
      <c r="K288" s="28">
        <v>0</v>
      </c>
      <c r="L288" s="2" t="s">
        <v>4</v>
      </c>
      <c r="Q288" s="1"/>
      <c r="R288" s="1"/>
      <c r="S288" s="1"/>
    </row>
    <row r="289" spans="1:19" x14ac:dyDescent="0.25">
      <c r="A289" s="15" t="s">
        <v>336</v>
      </c>
      <c r="B289" s="15" t="s">
        <v>335</v>
      </c>
      <c r="C289" s="2">
        <v>30311994</v>
      </c>
      <c r="D289" s="2" t="s">
        <v>130</v>
      </c>
      <c r="E289" s="2" t="s">
        <v>106</v>
      </c>
      <c r="F289" s="28">
        <v>20</v>
      </c>
      <c r="G289" s="28">
        <v>83</v>
      </c>
      <c r="H289" s="2" t="s">
        <v>4</v>
      </c>
      <c r="I289" s="2" t="s">
        <v>4</v>
      </c>
      <c r="J289" s="28">
        <v>12.048192771084338</v>
      </c>
      <c r="K289" s="28" t="s">
        <v>62</v>
      </c>
      <c r="L289" s="2" t="s">
        <v>4</v>
      </c>
      <c r="Q289" s="1"/>
      <c r="R289" s="1"/>
      <c r="S289" s="1"/>
    </row>
    <row r="290" spans="1:19" x14ac:dyDescent="0.25">
      <c r="A290" s="15" t="s">
        <v>334</v>
      </c>
      <c r="B290" s="15" t="s">
        <v>333</v>
      </c>
      <c r="C290" s="2">
        <v>30311994</v>
      </c>
      <c r="D290" s="2" t="s">
        <v>130</v>
      </c>
      <c r="E290" s="2" t="s">
        <v>106</v>
      </c>
      <c r="F290" s="28">
        <v>50</v>
      </c>
      <c r="G290" s="28">
        <v>70</v>
      </c>
      <c r="H290" s="2" t="s">
        <v>4</v>
      </c>
      <c r="I290" s="2" t="s">
        <v>4</v>
      </c>
      <c r="J290" s="28">
        <v>35.714285714285715</v>
      </c>
      <c r="K290" s="28" t="s">
        <v>62</v>
      </c>
      <c r="L290" s="2" t="s">
        <v>4</v>
      </c>
      <c r="Q290" s="1"/>
      <c r="R290" s="1"/>
      <c r="S290" s="1"/>
    </row>
    <row r="291" spans="1:19" x14ac:dyDescent="0.25">
      <c r="A291" s="15" t="s">
        <v>332</v>
      </c>
      <c r="B291" s="15" t="s">
        <v>331</v>
      </c>
      <c r="C291" s="2">
        <v>30038048</v>
      </c>
      <c r="D291" s="2" t="s">
        <v>65</v>
      </c>
      <c r="E291" s="2" t="s">
        <v>106</v>
      </c>
      <c r="F291" s="28">
        <v>2120</v>
      </c>
      <c r="G291" s="28">
        <v>80</v>
      </c>
      <c r="H291" s="2" t="s">
        <v>4</v>
      </c>
      <c r="I291" s="2" t="s">
        <v>4</v>
      </c>
      <c r="J291" s="28">
        <v>1325</v>
      </c>
      <c r="K291" s="28" t="s">
        <v>62</v>
      </c>
      <c r="L291" s="2" t="s">
        <v>4</v>
      </c>
      <c r="Q291" s="1"/>
      <c r="R291" s="1"/>
      <c r="S291" s="1"/>
    </row>
    <row r="292" spans="1:19" x14ac:dyDescent="0.25">
      <c r="A292" s="15" t="s">
        <v>330</v>
      </c>
      <c r="B292" s="15" t="s">
        <v>329</v>
      </c>
      <c r="C292" s="2">
        <v>30038048</v>
      </c>
      <c r="D292" s="2" t="s">
        <v>65</v>
      </c>
      <c r="E292" s="2" t="s">
        <v>106</v>
      </c>
      <c r="F292" s="28">
        <v>200</v>
      </c>
      <c r="G292" s="28">
        <v>37</v>
      </c>
      <c r="H292" s="2" t="s">
        <v>4</v>
      </c>
      <c r="I292" s="2" t="s">
        <v>4</v>
      </c>
      <c r="J292" s="28">
        <v>270.27027027027026</v>
      </c>
      <c r="K292" s="28" t="s">
        <v>62</v>
      </c>
      <c r="L292" s="2" t="s">
        <v>4</v>
      </c>
      <c r="Q292" s="1"/>
      <c r="R292" s="1"/>
      <c r="S292" s="1"/>
    </row>
    <row r="293" spans="1:19" x14ac:dyDescent="0.25">
      <c r="A293" s="15" t="s">
        <v>328</v>
      </c>
      <c r="B293" s="15" t="s">
        <v>327</v>
      </c>
      <c r="C293" s="2">
        <v>30038048</v>
      </c>
      <c r="D293" s="2" t="s">
        <v>65</v>
      </c>
      <c r="E293" s="2" t="s">
        <v>106</v>
      </c>
      <c r="F293" s="28">
        <v>12.5</v>
      </c>
      <c r="G293" s="28">
        <v>61</v>
      </c>
      <c r="H293" s="2" t="s">
        <v>4</v>
      </c>
      <c r="I293" s="2" t="s">
        <v>4</v>
      </c>
      <c r="J293" s="28">
        <v>10.245901639344263</v>
      </c>
      <c r="K293" s="28" t="s">
        <v>62</v>
      </c>
      <c r="L293" s="2" t="s">
        <v>4</v>
      </c>
      <c r="Q293" s="1"/>
      <c r="R293" s="1"/>
      <c r="S293" s="1"/>
    </row>
    <row r="294" spans="1:19" x14ac:dyDescent="0.25">
      <c r="A294" s="15" t="s">
        <v>326</v>
      </c>
      <c r="B294" s="15" t="s">
        <v>325</v>
      </c>
      <c r="C294" s="2">
        <v>29706504</v>
      </c>
      <c r="D294" s="2" t="s">
        <v>65</v>
      </c>
      <c r="E294" s="2" t="s">
        <v>64</v>
      </c>
      <c r="F294" s="28" t="s">
        <v>63</v>
      </c>
      <c r="G294" s="28" t="s">
        <v>62</v>
      </c>
      <c r="H294" s="2" t="s">
        <v>4</v>
      </c>
      <c r="I294" s="2" t="s">
        <v>4</v>
      </c>
      <c r="J294" s="28" t="s">
        <v>62</v>
      </c>
      <c r="K294" s="28">
        <v>0.02</v>
      </c>
      <c r="L294" s="2" t="s">
        <v>3</v>
      </c>
      <c r="Q294" s="1"/>
      <c r="R294" s="1"/>
      <c r="S294" s="1"/>
    </row>
    <row r="295" spans="1:19" x14ac:dyDescent="0.25">
      <c r="A295" s="15" t="s">
        <v>324</v>
      </c>
      <c r="B295" s="15" t="s">
        <v>323</v>
      </c>
      <c r="C295" s="2">
        <v>29132924</v>
      </c>
      <c r="D295" s="2" t="s">
        <v>65</v>
      </c>
      <c r="E295" s="2" t="s">
        <v>106</v>
      </c>
      <c r="F295" s="28">
        <v>163.71971185330716</v>
      </c>
      <c r="G295" s="28">
        <v>66</v>
      </c>
      <c r="H295" s="2" t="s">
        <v>4</v>
      </c>
      <c r="I295" s="2" t="s">
        <v>4</v>
      </c>
      <c r="J295" s="28">
        <v>124.0300847373539</v>
      </c>
      <c r="K295" s="28" t="s">
        <v>62</v>
      </c>
      <c r="L295" s="2" t="s">
        <v>4</v>
      </c>
      <c r="Q295" s="1"/>
      <c r="R295" s="1"/>
      <c r="S295" s="1"/>
    </row>
    <row r="296" spans="1:19" x14ac:dyDescent="0.25">
      <c r="A296" s="15" t="s">
        <v>322</v>
      </c>
      <c r="B296" s="15" t="s">
        <v>321</v>
      </c>
      <c r="C296" s="2">
        <v>29040458</v>
      </c>
      <c r="D296" s="2" t="s">
        <v>125</v>
      </c>
      <c r="E296" s="2" t="s">
        <v>106</v>
      </c>
      <c r="F296" s="28">
        <v>2.5</v>
      </c>
      <c r="G296" s="28">
        <v>34</v>
      </c>
      <c r="H296" s="2" t="s">
        <v>4</v>
      </c>
      <c r="I296" s="2" t="s">
        <v>4</v>
      </c>
      <c r="J296" s="28">
        <v>3.6764705882352944</v>
      </c>
      <c r="K296" s="28" t="s">
        <v>62</v>
      </c>
      <c r="L296" s="2" t="s">
        <v>3</v>
      </c>
      <c r="Q296" s="1"/>
      <c r="R296" s="1"/>
      <c r="S296" s="1"/>
    </row>
    <row r="297" spans="1:19" x14ac:dyDescent="0.25">
      <c r="A297" s="15" t="s">
        <v>320</v>
      </c>
      <c r="B297" s="15" t="s">
        <v>319</v>
      </c>
      <c r="C297" s="2">
        <v>29040458</v>
      </c>
      <c r="D297" s="2" t="s">
        <v>125</v>
      </c>
      <c r="E297" s="2" t="s">
        <v>106</v>
      </c>
      <c r="F297" s="28">
        <v>2.5</v>
      </c>
      <c r="G297" s="28">
        <v>52</v>
      </c>
      <c r="H297" s="2" t="s">
        <v>4</v>
      </c>
      <c r="I297" s="2" t="s">
        <v>4</v>
      </c>
      <c r="J297" s="28">
        <v>2.4038461538461537</v>
      </c>
      <c r="K297" s="28" t="s">
        <v>62</v>
      </c>
      <c r="L297" s="2" t="s">
        <v>3</v>
      </c>
      <c r="Q297" s="1"/>
      <c r="R297" s="1"/>
      <c r="S297" s="1"/>
    </row>
    <row r="298" spans="1:19" x14ac:dyDescent="0.25">
      <c r="A298" s="15" t="s">
        <v>318</v>
      </c>
      <c r="B298" s="15" t="s">
        <v>317</v>
      </c>
      <c r="C298" s="2">
        <v>25854005</v>
      </c>
      <c r="D298" s="2" t="s">
        <v>316</v>
      </c>
      <c r="E298" s="2" t="s">
        <v>64</v>
      </c>
      <c r="F298" s="28" t="s">
        <v>63</v>
      </c>
      <c r="G298" s="28" t="s">
        <v>62</v>
      </c>
      <c r="H298" s="2" t="s">
        <v>4</v>
      </c>
      <c r="I298" s="2" t="s">
        <v>4</v>
      </c>
      <c r="J298" s="28" t="s">
        <v>62</v>
      </c>
      <c r="K298" s="28">
        <v>46.54</v>
      </c>
      <c r="L298" s="2" t="s">
        <v>4</v>
      </c>
      <c r="Q298" s="1"/>
      <c r="R298" s="1"/>
      <c r="S298" s="1"/>
    </row>
    <row r="299" spans="1:19" x14ac:dyDescent="0.25">
      <c r="A299" s="15" t="s">
        <v>315</v>
      </c>
      <c r="B299" s="15" t="s">
        <v>314</v>
      </c>
      <c r="C299" s="2">
        <v>25471819</v>
      </c>
      <c r="D299" s="2" t="s">
        <v>311</v>
      </c>
      <c r="E299" s="2" t="s">
        <v>106</v>
      </c>
      <c r="F299" s="28">
        <v>25</v>
      </c>
      <c r="G299" s="28">
        <v>72</v>
      </c>
      <c r="H299" s="2" t="s">
        <v>4</v>
      </c>
      <c r="I299" s="2" t="s">
        <v>4</v>
      </c>
      <c r="J299" s="28">
        <v>17.361111111111111</v>
      </c>
      <c r="K299" s="28" t="s">
        <v>62</v>
      </c>
      <c r="L299" s="2" t="s">
        <v>4</v>
      </c>
      <c r="Q299" s="1"/>
      <c r="R299" s="1"/>
      <c r="S299" s="1"/>
    </row>
    <row r="300" spans="1:19" x14ac:dyDescent="0.25">
      <c r="A300" s="15" t="s">
        <v>313</v>
      </c>
      <c r="B300" s="15" t="s">
        <v>312</v>
      </c>
      <c r="C300" s="2">
        <v>25114102</v>
      </c>
      <c r="D300" s="2" t="s">
        <v>311</v>
      </c>
      <c r="E300" s="2" t="s">
        <v>106</v>
      </c>
      <c r="F300" s="28">
        <v>10000</v>
      </c>
      <c r="G300" s="28">
        <v>45</v>
      </c>
      <c r="H300" s="2" t="s">
        <v>4</v>
      </c>
      <c r="I300" s="2" t="s">
        <v>4</v>
      </c>
      <c r="J300" s="28">
        <v>11111.111111111111</v>
      </c>
      <c r="K300" s="28" t="s">
        <v>62</v>
      </c>
      <c r="L300" s="2" t="s">
        <v>4</v>
      </c>
      <c r="Q300" s="1"/>
      <c r="R300" s="1"/>
      <c r="S300" s="1"/>
    </row>
    <row r="301" spans="1:19" x14ac:dyDescent="0.25">
      <c r="A301" s="15" t="s">
        <v>310</v>
      </c>
      <c r="B301" s="15" t="s">
        <v>309</v>
      </c>
      <c r="C301" s="2">
        <v>23700432</v>
      </c>
      <c r="D301" s="2" t="s">
        <v>308</v>
      </c>
      <c r="E301" s="2" t="s">
        <v>106</v>
      </c>
      <c r="F301" s="28">
        <v>100</v>
      </c>
      <c r="G301" s="28">
        <v>0</v>
      </c>
      <c r="H301" s="2" t="s">
        <v>4</v>
      </c>
      <c r="I301" s="2" t="s">
        <v>3</v>
      </c>
      <c r="J301" s="28" t="s">
        <v>62</v>
      </c>
      <c r="K301" s="28" t="s">
        <v>62</v>
      </c>
      <c r="L301" s="2" t="s">
        <v>4</v>
      </c>
      <c r="Q301" s="1"/>
      <c r="R301" s="1"/>
      <c r="S301" s="1"/>
    </row>
    <row r="302" spans="1:19" x14ac:dyDescent="0.25">
      <c r="A302" s="15" t="s">
        <v>307</v>
      </c>
      <c r="B302" s="15" t="s">
        <v>306</v>
      </c>
      <c r="C302" s="2">
        <v>23119027</v>
      </c>
      <c r="D302" s="2" t="s">
        <v>107</v>
      </c>
      <c r="E302" s="2" t="s">
        <v>106</v>
      </c>
      <c r="F302" s="28">
        <v>5</v>
      </c>
      <c r="G302" s="28">
        <v>63</v>
      </c>
      <c r="H302" s="2" t="s">
        <v>4</v>
      </c>
      <c r="I302" s="2" t="s">
        <v>4</v>
      </c>
      <c r="J302" s="28">
        <v>3.9682539682539679</v>
      </c>
      <c r="K302" s="28" t="s">
        <v>62</v>
      </c>
      <c r="L302" s="2" t="s">
        <v>3</v>
      </c>
      <c r="Q302" s="1"/>
      <c r="R302" s="1"/>
      <c r="S302" s="1"/>
    </row>
    <row r="303" spans="1:19" x14ac:dyDescent="0.25">
      <c r="A303" s="15" t="s">
        <v>305</v>
      </c>
      <c r="B303" s="15" t="s">
        <v>304</v>
      </c>
      <c r="C303" s="2">
        <v>21408144</v>
      </c>
      <c r="D303" s="2" t="s">
        <v>303</v>
      </c>
      <c r="E303" s="2" t="s">
        <v>106</v>
      </c>
      <c r="F303" s="28">
        <v>0.1</v>
      </c>
      <c r="G303" s="28">
        <v>90</v>
      </c>
      <c r="H303" s="2" t="s">
        <v>4</v>
      </c>
      <c r="I303" s="2" t="s">
        <v>4</v>
      </c>
      <c r="J303" s="28">
        <v>5.5555555555555559E-2</v>
      </c>
      <c r="K303" s="28" t="s">
        <v>62</v>
      </c>
      <c r="L303" s="2" t="s">
        <v>3</v>
      </c>
      <c r="Q303" s="1"/>
      <c r="R303" s="1"/>
      <c r="S303" s="1"/>
    </row>
    <row r="304" spans="1:19" x14ac:dyDescent="0.25">
      <c r="A304" s="15" t="s">
        <v>302</v>
      </c>
      <c r="B304" s="15" t="s">
        <v>301</v>
      </c>
      <c r="C304" s="2">
        <v>20532971</v>
      </c>
      <c r="D304" s="2" t="s">
        <v>122</v>
      </c>
      <c r="E304" s="2" t="s">
        <v>106</v>
      </c>
      <c r="F304" s="28">
        <v>7.656967840735069</v>
      </c>
      <c r="G304" s="28">
        <v>52</v>
      </c>
      <c r="H304" s="2" t="s">
        <v>4</v>
      </c>
      <c r="I304" s="2" t="s">
        <v>4</v>
      </c>
      <c r="J304" s="28">
        <v>7.362469077629874</v>
      </c>
      <c r="K304" s="28" t="s">
        <v>62</v>
      </c>
      <c r="L304" s="2" t="s">
        <v>3</v>
      </c>
      <c r="Q304" s="1"/>
      <c r="R304" s="1"/>
      <c r="S304" s="1"/>
    </row>
    <row r="305" spans="1:19" x14ac:dyDescent="0.25">
      <c r="A305" s="15" t="s">
        <v>300</v>
      </c>
      <c r="B305" s="15" t="s">
        <v>299</v>
      </c>
      <c r="C305" s="2">
        <v>16772415</v>
      </c>
      <c r="D305" s="2" t="s">
        <v>272</v>
      </c>
      <c r="E305" s="2" t="s">
        <v>106</v>
      </c>
      <c r="F305" s="28">
        <v>1000</v>
      </c>
      <c r="G305" s="28">
        <v>17.808219178082197</v>
      </c>
      <c r="H305" s="2" t="s">
        <v>4</v>
      </c>
      <c r="I305" s="2" t="s">
        <v>4</v>
      </c>
      <c r="J305" s="28">
        <v>2807.6923076923072</v>
      </c>
      <c r="K305" s="28" t="s">
        <v>62</v>
      </c>
      <c r="L305" s="2" t="s">
        <v>4</v>
      </c>
      <c r="Q305" s="1"/>
      <c r="R305" s="1"/>
      <c r="S305" s="1"/>
    </row>
    <row r="306" spans="1:19" x14ac:dyDescent="0.25">
      <c r="A306" s="15" t="s">
        <v>298</v>
      </c>
      <c r="B306" s="15" t="s">
        <v>297</v>
      </c>
      <c r="C306" s="2">
        <v>16772415</v>
      </c>
      <c r="D306" s="2" t="s">
        <v>272</v>
      </c>
      <c r="E306" s="2" t="s">
        <v>106</v>
      </c>
      <c r="F306" s="28">
        <v>5000</v>
      </c>
      <c r="G306" s="28">
        <v>80.393429851327667</v>
      </c>
      <c r="H306" s="2" t="s">
        <v>4</v>
      </c>
      <c r="I306" s="2" t="s">
        <v>4</v>
      </c>
      <c r="J306" s="28">
        <v>3109.7068561737869</v>
      </c>
      <c r="K306" s="28" t="s">
        <v>62</v>
      </c>
      <c r="L306" s="2" t="s">
        <v>4</v>
      </c>
      <c r="Q306" s="1"/>
      <c r="R306" s="1"/>
      <c r="S306" s="1"/>
    </row>
    <row r="307" spans="1:19" x14ac:dyDescent="0.25">
      <c r="A307" s="15" t="s">
        <v>296</v>
      </c>
      <c r="B307" s="15" t="s">
        <v>295</v>
      </c>
      <c r="C307" s="2">
        <v>16772415</v>
      </c>
      <c r="D307" s="2" t="s">
        <v>272</v>
      </c>
      <c r="E307" s="2" t="s">
        <v>106</v>
      </c>
      <c r="F307" s="28">
        <v>10000</v>
      </c>
      <c r="G307" s="28">
        <v>20.275271051093945</v>
      </c>
      <c r="H307" s="2" t="s">
        <v>4</v>
      </c>
      <c r="I307" s="2" t="s">
        <v>4</v>
      </c>
      <c r="J307" s="28">
        <v>24660.582772974703</v>
      </c>
      <c r="K307" s="28" t="s">
        <v>62</v>
      </c>
      <c r="L307" s="2" t="s">
        <v>4</v>
      </c>
      <c r="Q307" s="1"/>
      <c r="R307" s="1"/>
      <c r="S307" s="1"/>
    </row>
    <row r="308" spans="1:19" x14ac:dyDescent="0.25">
      <c r="A308" s="15" t="s">
        <v>294</v>
      </c>
      <c r="B308" s="15" t="s">
        <v>293</v>
      </c>
      <c r="C308" s="2">
        <v>16772415</v>
      </c>
      <c r="D308" s="2" t="s">
        <v>272</v>
      </c>
      <c r="E308" s="2" t="s">
        <v>106</v>
      </c>
      <c r="F308" s="28">
        <v>10000</v>
      </c>
      <c r="G308" s="28">
        <v>69.940920599883157</v>
      </c>
      <c r="H308" s="2" t="s">
        <v>4</v>
      </c>
      <c r="I308" s="2" t="s">
        <v>4</v>
      </c>
      <c r="J308" s="28">
        <v>7148.890745381972</v>
      </c>
      <c r="K308" s="28" t="s">
        <v>62</v>
      </c>
      <c r="L308" s="2" t="s">
        <v>4</v>
      </c>
      <c r="Q308" s="1"/>
      <c r="R308" s="1"/>
      <c r="S308" s="1"/>
    </row>
    <row r="309" spans="1:19" x14ac:dyDescent="0.25">
      <c r="A309" s="15" t="s">
        <v>292</v>
      </c>
      <c r="B309" s="15" t="s">
        <v>291</v>
      </c>
      <c r="C309" s="2">
        <v>16772415</v>
      </c>
      <c r="D309" s="2" t="s">
        <v>272</v>
      </c>
      <c r="E309" s="2" t="s">
        <v>106</v>
      </c>
      <c r="F309" s="28">
        <v>10000</v>
      </c>
      <c r="G309" s="28">
        <v>88.054275141206261</v>
      </c>
      <c r="H309" s="2" t="s">
        <v>4</v>
      </c>
      <c r="I309" s="2" t="s">
        <v>4</v>
      </c>
      <c r="J309" s="28">
        <v>5678.3160067831595</v>
      </c>
      <c r="K309" s="28" t="s">
        <v>62</v>
      </c>
      <c r="L309" s="2" t="s">
        <v>4</v>
      </c>
      <c r="Q309" s="1"/>
      <c r="R309" s="1"/>
      <c r="S309" s="1"/>
    </row>
    <row r="310" spans="1:19" x14ac:dyDescent="0.25">
      <c r="A310" s="15" t="s">
        <v>290</v>
      </c>
      <c r="B310" s="15" t="s">
        <v>289</v>
      </c>
      <c r="C310" s="2">
        <v>16772415</v>
      </c>
      <c r="D310" s="2" t="s">
        <v>272</v>
      </c>
      <c r="E310" s="2" t="s">
        <v>106</v>
      </c>
      <c r="F310" s="28">
        <v>10000</v>
      </c>
      <c r="G310" s="28">
        <v>0</v>
      </c>
      <c r="H310" s="2" t="s">
        <v>4</v>
      </c>
      <c r="I310" s="2" t="s">
        <v>3</v>
      </c>
      <c r="J310" s="28" t="s">
        <v>62</v>
      </c>
      <c r="K310" s="28" t="s">
        <v>62</v>
      </c>
      <c r="L310" s="2" t="s">
        <v>4</v>
      </c>
      <c r="Q310" s="1"/>
      <c r="R310" s="1"/>
      <c r="S310" s="1"/>
    </row>
    <row r="311" spans="1:19" x14ac:dyDescent="0.25">
      <c r="A311" s="15" t="s">
        <v>288</v>
      </c>
      <c r="B311" s="15" t="s">
        <v>287</v>
      </c>
      <c r="C311" s="2">
        <v>16772415</v>
      </c>
      <c r="D311" s="2" t="s">
        <v>272</v>
      </c>
      <c r="E311" s="2" t="s">
        <v>106</v>
      </c>
      <c r="F311" s="28">
        <v>10000</v>
      </c>
      <c r="G311" s="28">
        <v>15.341167305070446</v>
      </c>
      <c r="H311" s="2" t="s">
        <v>4</v>
      </c>
      <c r="I311" s="2" t="s">
        <v>4</v>
      </c>
      <c r="J311" s="28">
        <v>32592.044011849332</v>
      </c>
      <c r="K311" s="28" t="s">
        <v>62</v>
      </c>
      <c r="L311" s="2" t="s">
        <v>4</v>
      </c>
      <c r="Q311" s="1"/>
      <c r="R311" s="1"/>
      <c r="S311" s="1"/>
    </row>
    <row r="312" spans="1:19" x14ac:dyDescent="0.25">
      <c r="A312" s="15" t="s">
        <v>286</v>
      </c>
      <c r="B312" s="15" t="s">
        <v>285</v>
      </c>
      <c r="C312" s="2">
        <v>16772415</v>
      </c>
      <c r="D312" s="2" t="s">
        <v>272</v>
      </c>
      <c r="E312" s="2" t="s">
        <v>106</v>
      </c>
      <c r="F312" s="28">
        <v>10000</v>
      </c>
      <c r="G312" s="28">
        <v>0</v>
      </c>
      <c r="H312" s="2" t="s">
        <v>4</v>
      </c>
      <c r="I312" s="2" t="s">
        <v>3</v>
      </c>
      <c r="J312" s="28" t="s">
        <v>62</v>
      </c>
      <c r="K312" s="28" t="s">
        <v>62</v>
      </c>
      <c r="L312" s="2" t="s">
        <v>4</v>
      </c>
      <c r="Q312" s="1"/>
      <c r="R312" s="1"/>
      <c r="S312" s="1"/>
    </row>
    <row r="313" spans="1:19" x14ac:dyDescent="0.25">
      <c r="A313" s="15" t="s">
        <v>284</v>
      </c>
      <c r="B313" s="15" t="s">
        <v>283</v>
      </c>
      <c r="C313" s="2">
        <v>16772415</v>
      </c>
      <c r="D313" s="2" t="s">
        <v>272</v>
      </c>
      <c r="E313" s="2" t="s">
        <v>106</v>
      </c>
      <c r="F313" s="28">
        <v>10000</v>
      </c>
      <c r="G313" s="28">
        <v>0</v>
      </c>
      <c r="H313" s="2" t="s">
        <v>4</v>
      </c>
      <c r="I313" s="2" t="s">
        <v>3</v>
      </c>
      <c r="J313" s="28" t="s">
        <v>62</v>
      </c>
      <c r="K313" s="28" t="s">
        <v>62</v>
      </c>
      <c r="L313" s="2" t="s">
        <v>4</v>
      </c>
      <c r="Q313" s="1"/>
      <c r="R313" s="1"/>
      <c r="S313" s="1"/>
    </row>
    <row r="314" spans="1:19" x14ac:dyDescent="0.25">
      <c r="A314" s="15" t="s">
        <v>282</v>
      </c>
      <c r="B314" s="15" t="s">
        <v>281</v>
      </c>
      <c r="C314" s="2">
        <v>16772415</v>
      </c>
      <c r="D314" s="2" t="s">
        <v>272</v>
      </c>
      <c r="E314" s="2" t="s">
        <v>106</v>
      </c>
      <c r="F314" s="28">
        <v>10000</v>
      </c>
      <c r="G314" s="28">
        <v>44.231643186392269</v>
      </c>
      <c r="H314" s="2" t="s">
        <v>4</v>
      </c>
      <c r="I314" s="2" t="s">
        <v>4</v>
      </c>
      <c r="J314" s="28">
        <v>11304.124467928958</v>
      </c>
      <c r="K314" s="28" t="s">
        <v>62</v>
      </c>
      <c r="L314" s="2" t="s">
        <v>4</v>
      </c>
      <c r="Q314" s="1"/>
      <c r="R314" s="1"/>
      <c r="S314" s="1"/>
    </row>
    <row r="315" spans="1:19" x14ac:dyDescent="0.25">
      <c r="A315" s="15" t="s">
        <v>280</v>
      </c>
      <c r="B315" s="15" t="s">
        <v>279</v>
      </c>
      <c r="C315" s="2">
        <v>16772415</v>
      </c>
      <c r="D315" s="2" t="s">
        <v>272</v>
      </c>
      <c r="E315" s="2" t="s">
        <v>106</v>
      </c>
      <c r="F315" s="28">
        <v>10000</v>
      </c>
      <c r="G315" s="28">
        <v>50.334350451210796</v>
      </c>
      <c r="H315" s="2" t="s">
        <v>4</v>
      </c>
      <c r="I315" s="2" t="s">
        <v>4</v>
      </c>
      <c r="J315" s="28">
        <v>9933.5741003482544</v>
      </c>
      <c r="K315" s="28" t="s">
        <v>62</v>
      </c>
      <c r="L315" s="2" t="s">
        <v>4</v>
      </c>
      <c r="Q315" s="1"/>
      <c r="R315" s="1"/>
      <c r="S315" s="1"/>
    </row>
    <row r="316" spans="1:19" x14ac:dyDescent="0.25">
      <c r="A316" s="15" t="s">
        <v>278</v>
      </c>
      <c r="B316" s="15" t="s">
        <v>277</v>
      </c>
      <c r="C316" s="2">
        <v>16772415</v>
      </c>
      <c r="D316" s="2" t="s">
        <v>272</v>
      </c>
      <c r="E316" s="2" t="s">
        <v>106</v>
      </c>
      <c r="F316" s="28">
        <v>10000</v>
      </c>
      <c r="G316" s="28">
        <v>34.36343569434527</v>
      </c>
      <c r="H316" s="2" t="s">
        <v>4</v>
      </c>
      <c r="I316" s="2" t="s">
        <v>4</v>
      </c>
      <c r="J316" s="28">
        <v>14550.349518231622</v>
      </c>
      <c r="K316" s="28" t="s">
        <v>62</v>
      </c>
      <c r="L316" s="2" t="s">
        <v>4</v>
      </c>
      <c r="Q316" s="1"/>
      <c r="R316" s="1"/>
      <c r="S316" s="1"/>
    </row>
    <row r="317" spans="1:19" x14ac:dyDescent="0.25">
      <c r="A317" s="15" t="s">
        <v>276</v>
      </c>
      <c r="B317" s="15" t="s">
        <v>275</v>
      </c>
      <c r="C317" s="2">
        <v>16772415</v>
      </c>
      <c r="D317" s="2" t="s">
        <v>272</v>
      </c>
      <c r="E317" s="2" t="s">
        <v>106</v>
      </c>
      <c r="F317" s="28">
        <v>10000</v>
      </c>
      <c r="G317" s="28">
        <v>77.342076218918393</v>
      </c>
      <c r="H317" s="2" t="s">
        <v>4</v>
      </c>
      <c r="I317" s="2" t="s">
        <v>4</v>
      </c>
      <c r="J317" s="28">
        <v>6464.7863678334597</v>
      </c>
      <c r="K317" s="28" t="s">
        <v>62</v>
      </c>
      <c r="L317" s="2" t="s">
        <v>4</v>
      </c>
      <c r="Q317" s="1"/>
      <c r="R317" s="1"/>
      <c r="S317" s="1"/>
    </row>
    <row r="318" spans="1:19" x14ac:dyDescent="0.25">
      <c r="A318" s="15" t="s">
        <v>274</v>
      </c>
      <c r="B318" s="15" t="s">
        <v>273</v>
      </c>
      <c r="C318" s="2">
        <v>16368959</v>
      </c>
      <c r="D318" s="2" t="s">
        <v>272</v>
      </c>
      <c r="E318" s="2" t="s">
        <v>106</v>
      </c>
      <c r="F318" s="28">
        <v>67458</v>
      </c>
      <c r="G318" s="28">
        <v>0</v>
      </c>
      <c r="H318" s="2" t="s">
        <v>4</v>
      </c>
      <c r="I318" s="2" t="s">
        <v>3</v>
      </c>
      <c r="J318" s="28" t="s">
        <v>62</v>
      </c>
      <c r="K318" s="28" t="s">
        <v>62</v>
      </c>
      <c r="L318" s="2" t="s">
        <v>4</v>
      </c>
      <c r="Q318" s="1"/>
      <c r="R318" s="1"/>
      <c r="S318" s="1"/>
    </row>
    <row r="319" spans="1:19" x14ac:dyDescent="0.25">
      <c r="A319" s="15" t="s">
        <v>271</v>
      </c>
      <c r="B319" s="15" t="s">
        <v>270</v>
      </c>
      <c r="C319" s="2">
        <v>16172105</v>
      </c>
      <c r="D319" s="2" t="s">
        <v>267</v>
      </c>
      <c r="E319" s="2" t="s">
        <v>106</v>
      </c>
      <c r="F319" s="28">
        <v>100</v>
      </c>
      <c r="G319" s="28">
        <v>36</v>
      </c>
      <c r="H319" s="2" t="s">
        <v>4</v>
      </c>
      <c r="I319" s="2" t="s">
        <v>4</v>
      </c>
      <c r="J319" s="28">
        <v>138.88888888888889</v>
      </c>
      <c r="K319" s="28" t="s">
        <v>62</v>
      </c>
      <c r="L319" s="2" t="s">
        <v>4</v>
      </c>
      <c r="Q319" s="1"/>
      <c r="R319" s="1"/>
      <c r="S319" s="1"/>
    </row>
    <row r="320" spans="1:19" x14ac:dyDescent="0.25">
      <c r="A320" s="15" t="s">
        <v>269</v>
      </c>
      <c r="B320" s="15" t="s">
        <v>268</v>
      </c>
      <c r="C320" s="2">
        <v>16040974</v>
      </c>
      <c r="D320" s="2" t="s">
        <v>267</v>
      </c>
      <c r="E320" s="2" t="s">
        <v>106</v>
      </c>
      <c r="F320" s="28" t="s">
        <v>63</v>
      </c>
      <c r="G320" s="28">
        <v>0</v>
      </c>
      <c r="H320" s="2" t="s">
        <v>4</v>
      </c>
      <c r="I320" s="2" t="s">
        <v>3</v>
      </c>
      <c r="J320" s="28" t="s">
        <v>62</v>
      </c>
      <c r="K320" s="28">
        <v>0</v>
      </c>
      <c r="L320" s="2" t="s">
        <v>4</v>
      </c>
      <c r="Q320" s="1"/>
      <c r="R320" s="1"/>
      <c r="S320" s="1"/>
    </row>
    <row r="321" spans="1:19" x14ac:dyDescent="0.25">
      <c r="A321" s="15" t="s">
        <v>266</v>
      </c>
      <c r="B321" s="15" t="s">
        <v>265</v>
      </c>
      <c r="C321" s="2">
        <v>10103175</v>
      </c>
      <c r="D321" s="2" t="s">
        <v>256</v>
      </c>
      <c r="E321" s="2" t="s">
        <v>106</v>
      </c>
      <c r="F321" s="28">
        <v>2147.7663230240546</v>
      </c>
      <c r="G321" s="28">
        <v>0</v>
      </c>
      <c r="H321" s="2" t="s">
        <v>4</v>
      </c>
      <c r="I321" s="2" t="s">
        <v>3</v>
      </c>
      <c r="J321" s="28" t="s">
        <v>62</v>
      </c>
      <c r="K321" s="28" t="s">
        <v>62</v>
      </c>
      <c r="L321" s="2" t="s">
        <v>4</v>
      </c>
      <c r="Q321" s="1"/>
      <c r="R321" s="1"/>
      <c r="S321" s="1"/>
    </row>
    <row r="322" spans="1:19" x14ac:dyDescent="0.25">
      <c r="A322" s="15" t="s">
        <v>264</v>
      </c>
      <c r="B322" s="15" t="s">
        <v>263</v>
      </c>
      <c r="C322" s="2">
        <v>10103175</v>
      </c>
      <c r="D322" s="2" t="s">
        <v>256</v>
      </c>
      <c r="E322" s="2" t="s">
        <v>106</v>
      </c>
      <c r="F322" s="28">
        <v>2447.3813020068524</v>
      </c>
      <c r="G322" s="28">
        <v>32</v>
      </c>
      <c r="H322" s="2" t="s">
        <v>4</v>
      </c>
      <c r="I322" s="2" t="s">
        <v>4</v>
      </c>
      <c r="J322" s="28">
        <v>3824.0332843857068</v>
      </c>
      <c r="K322" s="28" t="s">
        <v>62</v>
      </c>
      <c r="L322" s="2" t="s">
        <v>4</v>
      </c>
      <c r="Q322" s="1"/>
      <c r="R322" s="1"/>
      <c r="S322" s="1"/>
    </row>
    <row r="323" spans="1:19" x14ac:dyDescent="0.25">
      <c r="A323" s="15" t="s">
        <v>262</v>
      </c>
      <c r="B323" s="15" t="s">
        <v>261</v>
      </c>
      <c r="C323" s="2">
        <v>10103175</v>
      </c>
      <c r="D323" s="2" t="s">
        <v>256</v>
      </c>
      <c r="E323" s="2" t="s">
        <v>106</v>
      </c>
      <c r="F323" s="28">
        <v>1939.1118867558657</v>
      </c>
      <c r="G323" s="28">
        <v>21</v>
      </c>
      <c r="H323" s="2" t="s">
        <v>4</v>
      </c>
      <c r="I323" s="2" t="s">
        <v>4</v>
      </c>
      <c r="J323" s="28">
        <v>4616.9330637044422</v>
      </c>
      <c r="K323" s="28" t="s">
        <v>62</v>
      </c>
      <c r="L323" s="2" t="s">
        <v>4</v>
      </c>
      <c r="Q323" s="1"/>
      <c r="R323" s="1"/>
      <c r="S323" s="1"/>
    </row>
    <row r="324" spans="1:19" x14ac:dyDescent="0.25">
      <c r="A324" s="15" t="s">
        <v>260</v>
      </c>
      <c r="B324" s="15" t="s">
        <v>259</v>
      </c>
      <c r="C324" s="2">
        <v>10103175</v>
      </c>
      <c r="D324" s="2" t="s">
        <v>256</v>
      </c>
      <c r="E324" s="2" t="s">
        <v>64</v>
      </c>
      <c r="F324" s="28" t="s">
        <v>63</v>
      </c>
      <c r="G324" s="28" t="s">
        <v>62</v>
      </c>
      <c r="H324" s="2" t="s">
        <v>4</v>
      </c>
      <c r="I324" s="2" t="s">
        <v>4</v>
      </c>
      <c r="J324" s="28" t="s">
        <v>62</v>
      </c>
      <c r="K324" s="28">
        <v>709.47144377438815</v>
      </c>
      <c r="L324" s="2" t="s">
        <v>4</v>
      </c>
      <c r="Q324" s="1"/>
      <c r="R324" s="1"/>
      <c r="S324" s="1"/>
    </row>
    <row r="325" spans="1:19" x14ac:dyDescent="0.25">
      <c r="A325" s="15" t="s">
        <v>258</v>
      </c>
      <c r="B325" s="15" t="s">
        <v>257</v>
      </c>
      <c r="C325" s="2">
        <v>10103175</v>
      </c>
      <c r="D325" s="2" t="s">
        <v>256</v>
      </c>
      <c r="E325" s="2" t="s">
        <v>64</v>
      </c>
      <c r="F325" s="28" t="s">
        <v>63</v>
      </c>
      <c r="G325" s="28" t="s">
        <v>62</v>
      </c>
      <c r="H325" s="2" t="s">
        <v>4</v>
      </c>
      <c r="I325" s="2" t="s">
        <v>4</v>
      </c>
      <c r="J325" s="28" t="s">
        <v>62</v>
      </c>
      <c r="K325" s="28">
        <v>486.35530200232478</v>
      </c>
      <c r="L325" s="2" t="s">
        <v>4</v>
      </c>
      <c r="Q325" s="1"/>
      <c r="R325" s="1"/>
      <c r="S325" s="1"/>
    </row>
    <row r="326" spans="1:19" x14ac:dyDescent="0.25">
      <c r="A326" s="15" t="s">
        <v>255</v>
      </c>
      <c r="B326" s="15" t="s">
        <v>254</v>
      </c>
      <c r="C326" s="2">
        <v>9302007</v>
      </c>
      <c r="D326" s="2" t="s">
        <v>249</v>
      </c>
      <c r="E326" s="2" t="s">
        <v>106</v>
      </c>
      <c r="F326" s="28">
        <v>1</v>
      </c>
      <c r="G326" s="28">
        <v>47</v>
      </c>
      <c r="H326" s="2" t="s">
        <v>4</v>
      </c>
      <c r="I326" s="2" t="s">
        <v>4</v>
      </c>
      <c r="J326" s="28">
        <v>1.0638297872340425</v>
      </c>
      <c r="K326" s="28" t="s">
        <v>62</v>
      </c>
      <c r="L326" s="2" t="s">
        <v>3</v>
      </c>
      <c r="Q326" s="1"/>
      <c r="R326" s="1"/>
      <c r="S326" s="1"/>
    </row>
    <row r="327" spans="1:19" x14ac:dyDescent="0.25">
      <c r="A327" s="15" t="s">
        <v>253</v>
      </c>
      <c r="B327" s="15" t="s">
        <v>252</v>
      </c>
      <c r="C327" s="2">
        <v>9302007</v>
      </c>
      <c r="D327" s="2" t="s">
        <v>249</v>
      </c>
      <c r="E327" s="2" t="s">
        <v>106</v>
      </c>
      <c r="F327" s="28">
        <v>50</v>
      </c>
      <c r="G327" s="28">
        <v>62</v>
      </c>
      <c r="H327" s="2" t="s">
        <v>4</v>
      </c>
      <c r="I327" s="2" t="s">
        <v>4</v>
      </c>
      <c r="J327" s="28">
        <v>40.322580645161288</v>
      </c>
      <c r="K327" s="28" t="s">
        <v>62</v>
      </c>
      <c r="L327" s="2" t="s">
        <v>4</v>
      </c>
      <c r="Q327" s="1"/>
      <c r="R327" s="1"/>
      <c r="S327" s="1"/>
    </row>
    <row r="328" spans="1:19" x14ac:dyDescent="0.25">
      <c r="A328" s="15" t="s">
        <v>251</v>
      </c>
      <c r="B328" s="15" t="s">
        <v>250</v>
      </c>
      <c r="C328" s="2">
        <v>9126319</v>
      </c>
      <c r="D328" s="2" t="s">
        <v>249</v>
      </c>
      <c r="E328" s="2" t="s">
        <v>106</v>
      </c>
      <c r="F328" s="28">
        <v>50</v>
      </c>
      <c r="G328" s="28">
        <v>72</v>
      </c>
      <c r="H328" s="2" t="s">
        <v>4</v>
      </c>
      <c r="I328" s="2" t="s">
        <v>4</v>
      </c>
      <c r="J328" s="28">
        <v>34.722222222222221</v>
      </c>
      <c r="K328" s="28" t="s">
        <v>62</v>
      </c>
      <c r="L328" s="2" t="s">
        <v>4</v>
      </c>
      <c r="Q328" s="1"/>
      <c r="R328" s="1"/>
      <c r="S328" s="1"/>
    </row>
    <row r="329" spans="1:19" x14ac:dyDescent="0.25">
      <c r="A329" s="15" t="s">
        <v>248</v>
      </c>
      <c r="B329" s="15" t="s">
        <v>247</v>
      </c>
      <c r="C329" s="2">
        <v>8606080</v>
      </c>
      <c r="D329" s="2" t="s">
        <v>236</v>
      </c>
      <c r="E329" s="2" t="s">
        <v>106</v>
      </c>
      <c r="F329" s="28">
        <v>100</v>
      </c>
      <c r="G329" s="28">
        <v>0</v>
      </c>
      <c r="H329" s="2" t="s">
        <v>4</v>
      </c>
      <c r="I329" s="2" t="s">
        <v>3</v>
      </c>
      <c r="J329" s="28" t="s">
        <v>62</v>
      </c>
      <c r="K329" s="28" t="s">
        <v>62</v>
      </c>
      <c r="L329" s="2" t="s">
        <v>4</v>
      </c>
      <c r="Q329" s="1"/>
      <c r="R329" s="1"/>
      <c r="S329" s="1"/>
    </row>
    <row r="330" spans="1:19" x14ac:dyDescent="0.25">
      <c r="A330" s="15" t="s">
        <v>246</v>
      </c>
      <c r="B330" s="15" t="s">
        <v>245</v>
      </c>
      <c r="C330" s="2">
        <v>8606080</v>
      </c>
      <c r="D330" s="2" t="s">
        <v>236</v>
      </c>
      <c r="E330" s="2" t="s">
        <v>106</v>
      </c>
      <c r="F330" s="28">
        <v>1</v>
      </c>
      <c r="G330" s="28">
        <v>100</v>
      </c>
      <c r="H330" s="2" t="s">
        <v>3</v>
      </c>
      <c r="I330" s="2" t="s">
        <v>4</v>
      </c>
      <c r="J330" s="28" t="s">
        <v>62</v>
      </c>
      <c r="K330" s="28" t="s">
        <v>62</v>
      </c>
      <c r="L330" s="2" t="s">
        <v>3</v>
      </c>
      <c r="Q330" s="1"/>
      <c r="R330" s="1"/>
      <c r="S330" s="1"/>
    </row>
    <row r="331" spans="1:19" x14ac:dyDescent="0.25">
      <c r="A331" s="15" t="s">
        <v>244</v>
      </c>
      <c r="B331" s="15" t="s">
        <v>243</v>
      </c>
      <c r="C331" s="2">
        <v>8606080</v>
      </c>
      <c r="D331" s="2" t="s">
        <v>236</v>
      </c>
      <c r="E331" s="2" t="s">
        <v>106</v>
      </c>
      <c r="F331" s="28">
        <v>1</v>
      </c>
      <c r="G331" s="28">
        <v>100</v>
      </c>
      <c r="H331" s="2" t="s">
        <v>3</v>
      </c>
      <c r="I331" s="2" t="s">
        <v>4</v>
      </c>
      <c r="J331" s="28" t="s">
        <v>62</v>
      </c>
      <c r="K331" s="28" t="s">
        <v>62</v>
      </c>
      <c r="L331" s="2" t="s">
        <v>3</v>
      </c>
      <c r="Q331" s="1"/>
      <c r="R331" s="1"/>
      <c r="S331" s="1"/>
    </row>
    <row r="332" spans="1:19" x14ac:dyDescent="0.25">
      <c r="A332" s="15" t="s">
        <v>242</v>
      </c>
      <c r="B332" s="15" t="s">
        <v>241</v>
      </c>
      <c r="C332" s="2">
        <v>8606080</v>
      </c>
      <c r="D332" s="2" t="s">
        <v>236</v>
      </c>
      <c r="E332" s="2" t="s">
        <v>106</v>
      </c>
      <c r="F332" s="28">
        <v>20000</v>
      </c>
      <c r="G332" s="28">
        <v>0</v>
      </c>
      <c r="H332" s="2" t="s">
        <v>4</v>
      </c>
      <c r="I332" s="2" t="s">
        <v>3</v>
      </c>
      <c r="J332" s="28" t="s">
        <v>62</v>
      </c>
      <c r="K332" s="28" t="s">
        <v>62</v>
      </c>
      <c r="L332" s="2" t="s">
        <v>4</v>
      </c>
      <c r="Q332" s="1"/>
      <c r="R332" s="1"/>
      <c r="S332" s="1"/>
    </row>
    <row r="333" spans="1:19" x14ac:dyDescent="0.25">
      <c r="A333" s="15" t="s">
        <v>240</v>
      </c>
      <c r="B333" s="15" t="s">
        <v>239</v>
      </c>
      <c r="C333" s="2">
        <v>8606080</v>
      </c>
      <c r="D333" s="2" t="s">
        <v>236</v>
      </c>
      <c r="E333" s="2" t="s">
        <v>106</v>
      </c>
      <c r="F333" s="28">
        <v>20000</v>
      </c>
      <c r="G333" s="28">
        <v>0</v>
      </c>
      <c r="H333" s="2" t="s">
        <v>4</v>
      </c>
      <c r="I333" s="2" t="s">
        <v>3</v>
      </c>
      <c r="J333" s="28" t="s">
        <v>62</v>
      </c>
      <c r="K333" s="28" t="s">
        <v>62</v>
      </c>
      <c r="L333" s="2" t="s">
        <v>4</v>
      </c>
      <c r="Q333" s="1"/>
      <c r="R333" s="1"/>
      <c r="S333" s="1"/>
    </row>
    <row r="334" spans="1:19" x14ac:dyDescent="0.25">
      <c r="A334" s="15" t="s">
        <v>238</v>
      </c>
      <c r="B334" s="15" t="s">
        <v>237</v>
      </c>
      <c r="C334" s="2">
        <v>8641784</v>
      </c>
      <c r="D334" s="2" t="s">
        <v>236</v>
      </c>
      <c r="E334" s="2" t="s">
        <v>106</v>
      </c>
      <c r="F334" s="28">
        <v>100</v>
      </c>
      <c r="G334" s="28">
        <v>21</v>
      </c>
      <c r="H334" s="2" t="s">
        <v>4</v>
      </c>
      <c r="I334" s="2" t="s">
        <v>4</v>
      </c>
      <c r="J334" s="28">
        <v>238.0952380952381</v>
      </c>
      <c r="K334" s="28" t="s">
        <v>62</v>
      </c>
      <c r="L334" s="2" t="s">
        <v>4</v>
      </c>
      <c r="Q334" s="1"/>
      <c r="R334" s="1"/>
      <c r="S334" s="1"/>
    </row>
    <row r="335" spans="1:19" x14ac:dyDescent="0.25">
      <c r="A335" s="15" t="s">
        <v>235</v>
      </c>
      <c r="B335" s="15" t="s">
        <v>234</v>
      </c>
      <c r="C335" s="2">
        <v>2666020</v>
      </c>
      <c r="D335" s="2" t="s">
        <v>233</v>
      </c>
      <c r="E335" s="2" t="s">
        <v>106</v>
      </c>
      <c r="F335" s="28">
        <v>0.1</v>
      </c>
      <c r="G335" s="28">
        <v>45</v>
      </c>
      <c r="H335" s="2" t="s">
        <v>4</v>
      </c>
      <c r="I335" s="2" t="s">
        <v>4</v>
      </c>
      <c r="J335" s="28">
        <v>0.11111111111111112</v>
      </c>
      <c r="K335" s="28" t="s">
        <v>62</v>
      </c>
      <c r="L335" s="2" t="s">
        <v>3</v>
      </c>
      <c r="Q335" s="1"/>
      <c r="R335" s="1"/>
      <c r="S335" s="1"/>
    </row>
    <row r="336" spans="1:19" x14ac:dyDescent="0.25">
      <c r="A336" s="15" t="s">
        <v>232</v>
      </c>
      <c r="B336" s="15" t="s">
        <v>231</v>
      </c>
      <c r="C336" s="2">
        <v>4026267</v>
      </c>
      <c r="D336" s="2" t="s">
        <v>222</v>
      </c>
      <c r="E336" s="2" t="s">
        <v>106</v>
      </c>
      <c r="F336" s="28">
        <v>10</v>
      </c>
      <c r="G336" s="28">
        <v>91</v>
      </c>
      <c r="H336" s="2" t="s">
        <v>3</v>
      </c>
      <c r="I336" s="2" t="s">
        <v>4</v>
      </c>
      <c r="J336" s="28" t="s">
        <v>62</v>
      </c>
      <c r="K336" s="28" t="s">
        <v>62</v>
      </c>
      <c r="L336" s="2" t="s">
        <v>3</v>
      </c>
      <c r="Q336" s="1"/>
      <c r="R336" s="1"/>
      <c r="S336" s="1"/>
    </row>
    <row r="337" spans="1:19" x14ac:dyDescent="0.25">
      <c r="A337" s="15" t="s">
        <v>230</v>
      </c>
      <c r="B337" s="15" t="s">
        <v>229</v>
      </c>
      <c r="C337" s="2">
        <v>4026267</v>
      </c>
      <c r="D337" s="2" t="s">
        <v>222</v>
      </c>
      <c r="E337" s="2" t="s">
        <v>106</v>
      </c>
      <c r="F337" s="28">
        <v>10</v>
      </c>
      <c r="G337" s="28">
        <v>88</v>
      </c>
      <c r="H337" s="2" t="s">
        <v>4</v>
      </c>
      <c r="I337" s="2" t="s">
        <v>4</v>
      </c>
      <c r="J337" s="28">
        <v>5.6818181818181825</v>
      </c>
      <c r="K337" s="28" t="s">
        <v>62</v>
      </c>
      <c r="L337" s="2" t="s">
        <v>3</v>
      </c>
      <c r="Q337" s="1"/>
      <c r="R337" s="1"/>
      <c r="S337" s="1"/>
    </row>
    <row r="338" spans="1:19" x14ac:dyDescent="0.25">
      <c r="A338" s="15" t="s">
        <v>228</v>
      </c>
      <c r="B338" s="15" t="s">
        <v>227</v>
      </c>
      <c r="C338" s="2">
        <v>4026267</v>
      </c>
      <c r="D338" s="2" t="s">
        <v>222</v>
      </c>
      <c r="E338" s="2" t="s">
        <v>106</v>
      </c>
      <c r="F338" s="28">
        <v>10</v>
      </c>
      <c r="G338" s="28">
        <v>97</v>
      </c>
      <c r="H338" s="2" t="s">
        <v>3</v>
      </c>
      <c r="I338" s="2" t="s">
        <v>4</v>
      </c>
      <c r="J338" s="28" t="s">
        <v>62</v>
      </c>
      <c r="K338" s="28" t="s">
        <v>62</v>
      </c>
      <c r="L338" s="2" t="s">
        <v>3</v>
      </c>
      <c r="Q338" s="1"/>
      <c r="R338" s="1"/>
      <c r="S338" s="1"/>
    </row>
    <row r="339" spans="1:19" x14ac:dyDescent="0.25">
      <c r="A339" s="15" t="s">
        <v>226</v>
      </c>
      <c r="B339" s="15" t="s">
        <v>225</v>
      </c>
      <c r="C339" s="2">
        <v>4026267</v>
      </c>
      <c r="D339" s="2" t="s">
        <v>222</v>
      </c>
      <c r="E339" s="2" t="s">
        <v>106</v>
      </c>
      <c r="F339" s="28">
        <v>100</v>
      </c>
      <c r="G339" s="28">
        <v>28</v>
      </c>
      <c r="H339" s="2" t="s">
        <v>4</v>
      </c>
      <c r="I339" s="2" t="s">
        <v>4</v>
      </c>
      <c r="J339" s="28">
        <v>178.57142857142858</v>
      </c>
      <c r="K339" s="28" t="s">
        <v>62</v>
      </c>
      <c r="L339" s="2" t="s">
        <v>4</v>
      </c>
      <c r="Q339" s="1"/>
      <c r="R339" s="1"/>
      <c r="S339" s="1"/>
    </row>
    <row r="340" spans="1:19" x14ac:dyDescent="0.25">
      <c r="A340" s="15" t="s">
        <v>224</v>
      </c>
      <c r="B340" s="15" t="s">
        <v>223</v>
      </c>
      <c r="C340" s="2">
        <v>4026267</v>
      </c>
      <c r="D340" s="2" t="s">
        <v>222</v>
      </c>
      <c r="E340" s="2" t="s">
        <v>106</v>
      </c>
      <c r="F340" s="28">
        <v>100</v>
      </c>
      <c r="G340" s="28">
        <v>3</v>
      </c>
      <c r="H340" s="2" t="s">
        <v>4</v>
      </c>
      <c r="I340" s="2" t="s">
        <v>3</v>
      </c>
      <c r="J340" s="28" t="s">
        <v>62</v>
      </c>
      <c r="K340" s="28" t="s">
        <v>62</v>
      </c>
      <c r="L340" s="2" t="s">
        <v>4</v>
      </c>
      <c r="Q340" s="1"/>
      <c r="R340" s="1"/>
      <c r="S340" s="1"/>
    </row>
    <row r="341" spans="1:19" x14ac:dyDescent="0.25">
      <c r="A341" s="15" t="s">
        <v>221</v>
      </c>
      <c r="B341" s="15" t="s">
        <v>220</v>
      </c>
      <c r="C341" s="2">
        <v>6840850</v>
      </c>
      <c r="D341" s="2" t="s">
        <v>110</v>
      </c>
      <c r="E341" s="2" t="s">
        <v>106</v>
      </c>
      <c r="F341" s="28">
        <v>250</v>
      </c>
      <c r="G341" s="28">
        <v>63</v>
      </c>
      <c r="H341" s="2" t="s">
        <v>4</v>
      </c>
      <c r="I341" s="2" t="s">
        <v>4</v>
      </c>
      <c r="J341" s="28">
        <v>198.4126984126984</v>
      </c>
      <c r="K341" s="28" t="s">
        <v>62</v>
      </c>
      <c r="L341" s="2" t="s">
        <v>4</v>
      </c>
      <c r="Q341" s="1"/>
      <c r="R341" s="1"/>
      <c r="S341" s="1"/>
    </row>
    <row r="342" spans="1:19" x14ac:dyDescent="0.25">
      <c r="A342" s="15" t="s">
        <v>219</v>
      </c>
      <c r="B342" s="15" t="s">
        <v>218</v>
      </c>
      <c r="C342" s="2">
        <v>32227948</v>
      </c>
      <c r="D342" s="2" t="s">
        <v>179</v>
      </c>
      <c r="E342" s="2" t="s">
        <v>106</v>
      </c>
      <c r="F342" s="28">
        <v>115.6136192843517</v>
      </c>
      <c r="G342" s="28">
        <v>0</v>
      </c>
      <c r="H342" s="2" t="s">
        <v>4</v>
      </c>
      <c r="I342" s="2" t="s">
        <v>3</v>
      </c>
      <c r="J342" s="28">
        <v>0</v>
      </c>
      <c r="K342" s="28" t="s">
        <v>62</v>
      </c>
      <c r="L342" s="2" t="s">
        <v>4</v>
      </c>
      <c r="Q342" s="1"/>
      <c r="R342" s="1"/>
      <c r="S342" s="1"/>
    </row>
    <row r="343" spans="1:19" x14ac:dyDescent="0.25">
      <c r="A343" s="15" t="s">
        <v>217</v>
      </c>
      <c r="B343" s="15" t="s">
        <v>216</v>
      </c>
      <c r="C343" s="2">
        <v>32227948</v>
      </c>
      <c r="D343" s="2" t="s">
        <v>179</v>
      </c>
      <c r="E343" s="2" t="s">
        <v>106</v>
      </c>
      <c r="F343" s="28">
        <v>120.64414320942376</v>
      </c>
      <c r="G343" s="28">
        <v>0</v>
      </c>
      <c r="H343" s="2" t="s">
        <v>4</v>
      </c>
      <c r="I343" s="2" t="s">
        <v>3</v>
      </c>
      <c r="J343" s="28" t="s">
        <v>62</v>
      </c>
      <c r="K343" s="28" t="s">
        <v>62</v>
      </c>
      <c r="L343" s="2" t="s">
        <v>4</v>
      </c>
      <c r="Q343" s="1"/>
      <c r="R343" s="1"/>
      <c r="S343" s="1"/>
    </row>
    <row r="344" spans="1:19" x14ac:dyDescent="0.25">
      <c r="A344" s="15" t="s">
        <v>215</v>
      </c>
      <c r="B344" s="15" t="s">
        <v>214</v>
      </c>
      <c r="C344" s="2">
        <v>32227948</v>
      </c>
      <c r="D344" s="2" t="s">
        <v>179</v>
      </c>
      <c r="E344" s="2" t="s">
        <v>106</v>
      </c>
      <c r="F344" s="28">
        <v>144.73623268954657</v>
      </c>
      <c r="G344" s="28">
        <v>0</v>
      </c>
      <c r="H344" s="2" t="s">
        <v>4</v>
      </c>
      <c r="I344" s="2" t="s">
        <v>3</v>
      </c>
      <c r="J344" s="28" t="s">
        <v>62</v>
      </c>
      <c r="K344" s="28" t="s">
        <v>62</v>
      </c>
      <c r="L344" s="2" t="s">
        <v>4</v>
      </c>
      <c r="Q344" s="1"/>
      <c r="R344" s="1"/>
      <c r="S344" s="1"/>
    </row>
    <row r="345" spans="1:19" x14ac:dyDescent="0.25">
      <c r="A345" s="15" t="s">
        <v>213</v>
      </c>
      <c r="B345" s="15" t="s">
        <v>212</v>
      </c>
      <c r="C345" s="2">
        <v>32227948</v>
      </c>
      <c r="D345" s="2" t="s">
        <v>179</v>
      </c>
      <c r="E345" s="2" t="s">
        <v>106</v>
      </c>
      <c r="F345" s="28">
        <v>144.32388589176287</v>
      </c>
      <c r="G345" s="28">
        <v>0</v>
      </c>
      <c r="H345" s="2" t="s">
        <v>4</v>
      </c>
      <c r="I345" s="2" t="s">
        <v>3</v>
      </c>
      <c r="J345" s="28" t="s">
        <v>62</v>
      </c>
      <c r="K345" s="28" t="s">
        <v>62</v>
      </c>
      <c r="L345" s="2" t="s">
        <v>4</v>
      </c>
      <c r="Q345" s="1"/>
      <c r="R345" s="1"/>
      <c r="S345" s="1"/>
    </row>
    <row r="346" spans="1:19" x14ac:dyDescent="0.25">
      <c r="A346" s="15" t="s">
        <v>211</v>
      </c>
      <c r="B346" s="15" t="s">
        <v>210</v>
      </c>
      <c r="C346" s="2">
        <v>32227948</v>
      </c>
      <c r="D346" s="2" t="s">
        <v>179</v>
      </c>
      <c r="E346" s="2" t="s">
        <v>106</v>
      </c>
      <c r="F346" s="28">
        <v>124.87044691132949</v>
      </c>
      <c r="G346" s="28">
        <v>0</v>
      </c>
      <c r="H346" s="2" t="s">
        <v>4</v>
      </c>
      <c r="I346" s="2" t="s">
        <v>3</v>
      </c>
      <c r="J346" s="28" t="s">
        <v>62</v>
      </c>
      <c r="K346" s="28" t="s">
        <v>62</v>
      </c>
      <c r="L346" s="2" t="s">
        <v>4</v>
      </c>
      <c r="Q346" s="1"/>
      <c r="R346" s="1"/>
      <c r="S346" s="1"/>
    </row>
    <row r="347" spans="1:19" x14ac:dyDescent="0.25">
      <c r="A347" s="15" t="s">
        <v>209</v>
      </c>
      <c r="B347" s="15" t="s">
        <v>208</v>
      </c>
      <c r="C347" s="2">
        <v>32227948</v>
      </c>
      <c r="D347" s="2" t="s">
        <v>179</v>
      </c>
      <c r="E347" s="2" t="s">
        <v>106</v>
      </c>
      <c r="F347" s="28">
        <v>131.27184035243866</v>
      </c>
      <c r="G347" s="28">
        <v>0</v>
      </c>
      <c r="H347" s="2" t="s">
        <v>4</v>
      </c>
      <c r="I347" s="2" t="s">
        <v>3</v>
      </c>
      <c r="J347" s="28" t="s">
        <v>62</v>
      </c>
      <c r="K347" s="28" t="s">
        <v>62</v>
      </c>
      <c r="L347" s="2" t="s">
        <v>4</v>
      </c>
      <c r="Q347" s="1"/>
      <c r="R347" s="1"/>
      <c r="S347" s="1"/>
    </row>
    <row r="348" spans="1:19" x14ac:dyDescent="0.25">
      <c r="A348" s="15" t="s">
        <v>207</v>
      </c>
      <c r="B348" s="15" t="s">
        <v>206</v>
      </c>
      <c r="C348" s="2">
        <v>32227948</v>
      </c>
      <c r="D348" s="2" t="s">
        <v>179</v>
      </c>
      <c r="E348" s="2" t="s">
        <v>106</v>
      </c>
      <c r="F348" s="28">
        <v>125.64897696602955</v>
      </c>
      <c r="G348" s="28">
        <v>0</v>
      </c>
      <c r="H348" s="2" t="s">
        <v>4</v>
      </c>
      <c r="I348" s="2" t="s">
        <v>3</v>
      </c>
      <c r="J348" s="28" t="s">
        <v>62</v>
      </c>
      <c r="K348" s="28" t="s">
        <v>62</v>
      </c>
      <c r="L348" s="2" t="s">
        <v>4</v>
      </c>
      <c r="Q348" s="1"/>
      <c r="R348" s="1"/>
      <c r="S348" s="1"/>
    </row>
    <row r="349" spans="1:19" x14ac:dyDescent="0.25">
      <c r="A349" s="15" t="s">
        <v>205</v>
      </c>
      <c r="B349" s="15" t="s">
        <v>204</v>
      </c>
      <c r="C349" s="2">
        <v>32227948</v>
      </c>
      <c r="D349" s="2" t="s">
        <v>179</v>
      </c>
      <c r="E349" s="2" t="s">
        <v>106</v>
      </c>
      <c r="F349" s="28">
        <v>107.08472543476398</v>
      </c>
      <c r="G349" s="28">
        <v>0</v>
      </c>
      <c r="H349" s="2" t="s">
        <v>4</v>
      </c>
      <c r="I349" s="2" t="s">
        <v>3</v>
      </c>
      <c r="J349" s="28" t="s">
        <v>62</v>
      </c>
      <c r="K349" s="28" t="s">
        <v>62</v>
      </c>
      <c r="L349" s="2" t="s">
        <v>4</v>
      </c>
      <c r="Q349" s="1"/>
      <c r="R349" s="1"/>
      <c r="S349" s="1"/>
    </row>
    <row r="350" spans="1:19" x14ac:dyDescent="0.25">
      <c r="A350" s="15" t="s">
        <v>203</v>
      </c>
      <c r="B350" s="15" t="s">
        <v>202</v>
      </c>
      <c r="C350" s="2">
        <v>32227948</v>
      </c>
      <c r="D350" s="2" t="s">
        <v>179</v>
      </c>
      <c r="E350" s="2" t="s">
        <v>106</v>
      </c>
      <c r="F350" s="28">
        <v>143.91471038603683</v>
      </c>
      <c r="G350" s="28">
        <v>90</v>
      </c>
      <c r="H350" s="2" t="s">
        <v>4</v>
      </c>
      <c r="I350" s="2" t="s">
        <v>4</v>
      </c>
      <c r="J350" s="28">
        <v>79.952616881131576</v>
      </c>
      <c r="K350" s="28" t="s">
        <v>62</v>
      </c>
      <c r="L350" s="2" t="s">
        <v>4</v>
      </c>
      <c r="Q350" s="1"/>
      <c r="R350" s="1"/>
      <c r="S350" s="1"/>
    </row>
    <row r="351" spans="1:19" x14ac:dyDescent="0.25">
      <c r="A351" s="15" t="s">
        <v>201</v>
      </c>
      <c r="B351" s="15" t="s">
        <v>200</v>
      </c>
      <c r="C351" s="2">
        <v>32227948</v>
      </c>
      <c r="D351" s="2" t="s">
        <v>179</v>
      </c>
      <c r="E351" s="2" t="s">
        <v>106</v>
      </c>
      <c r="F351" s="28">
        <v>130.9335826308747</v>
      </c>
      <c r="G351" s="28">
        <v>0</v>
      </c>
      <c r="H351" s="2" t="s">
        <v>4</v>
      </c>
      <c r="I351" s="2" t="s">
        <v>3</v>
      </c>
      <c r="J351" s="28" t="s">
        <v>62</v>
      </c>
      <c r="K351" s="28" t="s">
        <v>62</v>
      </c>
      <c r="L351" s="2" t="s">
        <v>4</v>
      </c>
      <c r="Q351" s="1"/>
      <c r="R351" s="1"/>
      <c r="S351" s="1"/>
    </row>
    <row r="352" spans="1:19" x14ac:dyDescent="0.25">
      <c r="A352" s="15" t="s">
        <v>199</v>
      </c>
      <c r="B352" s="15" t="s">
        <v>198</v>
      </c>
      <c r="C352" s="2">
        <v>32227948</v>
      </c>
      <c r="D352" s="2" t="s">
        <v>179</v>
      </c>
      <c r="E352" s="2" t="s">
        <v>106</v>
      </c>
      <c r="F352" s="28">
        <v>130.9335826308747</v>
      </c>
      <c r="G352" s="28">
        <v>0</v>
      </c>
      <c r="H352" s="2" t="s">
        <v>4</v>
      </c>
      <c r="I352" s="2" t="s">
        <v>3</v>
      </c>
      <c r="J352" s="28" t="s">
        <v>62</v>
      </c>
      <c r="K352" s="28" t="s">
        <v>62</v>
      </c>
      <c r="L352" s="2" t="s">
        <v>4</v>
      </c>
      <c r="Q352" s="1"/>
      <c r="R352" s="1"/>
      <c r="S352" s="1"/>
    </row>
    <row r="353" spans="1:19" x14ac:dyDescent="0.25">
      <c r="A353" s="15" t="s">
        <v>197</v>
      </c>
      <c r="B353" s="15" t="s">
        <v>196</v>
      </c>
      <c r="C353" s="2">
        <v>32227948</v>
      </c>
      <c r="D353" s="2" t="s">
        <v>179</v>
      </c>
      <c r="E353" s="2" t="s">
        <v>106</v>
      </c>
      <c r="F353" s="28">
        <v>111.14272504178967</v>
      </c>
      <c r="G353" s="28">
        <v>0</v>
      </c>
      <c r="H353" s="2" t="s">
        <v>4</v>
      </c>
      <c r="I353" s="2" t="s">
        <v>3</v>
      </c>
      <c r="J353" s="28" t="s">
        <v>62</v>
      </c>
      <c r="K353" s="28" t="s">
        <v>62</v>
      </c>
      <c r="L353" s="2" t="s">
        <v>4</v>
      </c>
      <c r="Q353" s="1"/>
      <c r="R353" s="1"/>
      <c r="S353" s="1"/>
    </row>
    <row r="354" spans="1:19" x14ac:dyDescent="0.25">
      <c r="A354" s="15" t="s">
        <v>195</v>
      </c>
      <c r="B354" s="15" t="s">
        <v>194</v>
      </c>
      <c r="C354" s="2">
        <v>32227948</v>
      </c>
      <c r="D354" s="2" t="s">
        <v>179</v>
      </c>
      <c r="E354" s="2" t="s">
        <v>106</v>
      </c>
      <c r="F354" s="28">
        <v>110.89941644727067</v>
      </c>
      <c r="G354" s="28">
        <v>0</v>
      </c>
      <c r="H354" s="2" t="s">
        <v>4</v>
      </c>
      <c r="I354" s="2" t="s">
        <v>3</v>
      </c>
      <c r="J354" s="28" t="s">
        <v>62</v>
      </c>
      <c r="K354" s="28" t="s">
        <v>62</v>
      </c>
      <c r="L354" s="2" t="s">
        <v>4</v>
      </c>
      <c r="Q354" s="1"/>
      <c r="R354" s="1"/>
      <c r="S354" s="1"/>
    </row>
    <row r="355" spans="1:19" x14ac:dyDescent="0.25">
      <c r="A355" s="15" t="s">
        <v>193</v>
      </c>
      <c r="B355" s="15" t="s">
        <v>192</v>
      </c>
      <c r="C355" s="2">
        <v>32227948</v>
      </c>
      <c r="D355" s="2" t="s">
        <v>179</v>
      </c>
      <c r="E355" s="2" t="s">
        <v>106</v>
      </c>
      <c r="F355" s="28">
        <v>113.25874867204118</v>
      </c>
      <c r="G355" s="28">
        <v>0</v>
      </c>
      <c r="H355" s="2" t="s">
        <v>4</v>
      </c>
      <c r="I355" s="2" t="s">
        <v>3</v>
      </c>
      <c r="J355" s="28" t="s">
        <v>62</v>
      </c>
      <c r="K355" s="28" t="s">
        <v>62</v>
      </c>
      <c r="L355" s="2" t="s">
        <v>4</v>
      </c>
      <c r="Q355" s="1"/>
      <c r="R355" s="1"/>
      <c r="S355" s="1"/>
    </row>
    <row r="356" spans="1:19" x14ac:dyDescent="0.25">
      <c r="A356" s="15" t="s">
        <v>191</v>
      </c>
      <c r="B356" s="15" t="s">
        <v>190</v>
      </c>
      <c r="C356" s="2">
        <v>32227948</v>
      </c>
      <c r="D356" s="2" t="s">
        <v>179</v>
      </c>
      <c r="E356" s="2" t="s">
        <v>106</v>
      </c>
      <c r="F356" s="28">
        <v>113.0058424020522</v>
      </c>
      <c r="G356" s="28">
        <v>0</v>
      </c>
      <c r="H356" s="2" t="s">
        <v>4</v>
      </c>
      <c r="I356" s="2" t="s">
        <v>3</v>
      </c>
      <c r="J356" s="28" t="s">
        <v>62</v>
      </c>
      <c r="K356" s="28" t="s">
        <v>62</v>
      </c>
      <c r="L356" s="2" t="s">
        <v>4</v>
      </c>
      <c r="Q356" s="1"/>
      <c r="R356" s="1"/>
      <c r="S356" s="1"/>
    </row>
    <row r="357" spans="1:19" x14ac:dyDescent="0.25">
      <c r="A357" s="15" t="s">
        <v>189</v>
      </c>
      <c r="B357" s="15" t="s">
        <v>188</v>
      </c>
      <c r="C357" s="2">
        <v>32227948</v>
      </c>
      <c r="D357" s="2" t="s">
        <v>179</v>
      </c>
      <c r="E357" s="2" t="s">
        <v>106</v>
      </c>
      <c r="F357" s="28">
        <v>105.82077769805946</v>
      </c>
      <c r="G357" s="28">
        <v>90</v>
      </c>
      <c r="H357" s="2" t="s">
        <v>4</v>
      </c>
      <c r="I357" s="2" t="s">
        <v>4</v>
      </c>
      <c r="J357" s="28">
        <v>58.78932094336637</v>
      </c>
      <c r="K357" s="28" t="s">
        <v>62</v>
      </c>
      <c r="L357" s="2" t="s">
        <v>4</v>
      </c>
      <c r="Q357" s="1"/>
      <c r="R357" s="1"/>
      <c r="S357" s="1"/>
    </row>
    <row r="358" spans="1:19" x14ac:dyDescent="0.25">
      <c r="A358" s="15" t="s">
        <v>187</v>
      </c>
      <c r="B358" s="15" t="s">
        <v>186</v>
      </c>
      <c r="C358" s="2">
        <v>32227948</v>
      </c>
      <c r="D358" s="2" t="s">
        <v>179</v>
      </c>
      <c r="E358" s="2" t="s">
        <v>106</v>
      </c>
      <c r="F358" s="28">
        <v>106.49150943195299</v>
      </c>
      <c r="G358" s="28">
        <v>90</v>
      </c>
      <c r="H358" s="2" t="s">
        <v>4</v>
      </c>
      <c r="I358" s="2" t="s">
        <v>4</v>
      </c>
      <c r="J358" s="28">
        <v>59.161949684418332</v>
      </c>
      <c r="K358" s="28" t="s">
        <v>62</v>
      </c>
      <c r="L358" s="2" t="s">
        <v>4</v>
      </c>
      <c r="Q358" s="1"/>
      <c r="R358" s="1"/>
      <c r="S358" s="1"/>
    </row>
    <row r="359" spans="1:19" x14ac:dyDescent="0.25">
      <c r="A359" s="15" t="s">
        <v>185</v>
      </c>
      <c r="B359" s="15" t="s">
        <v>184</v>
      </c>
      <c r="C359" s="2">
        <v>32227948</v>
      </c>
      <c r="D359" s="2" t="s">
        <v>179</v>
      </c>
      <c r="E359" s="2" t="s">
        <v>106</v>
      </c>
      <c r="F359" s="28">
        <v>113.51278948599141</v>
      </c>
      <c r="G359" s="28">
        <v>0</v>
      </c>
      <c r="H359" s="2" t="s">
        <v>4</v>
      </c>
      <c r="I359" s="2" t="s">
        <v>3</v>
      </c>
      <c r="J359" s="28" t="s">
        <v>62</v>
      </c>
      <c r="K359" s="28" t="s">
        <v>62</v>
      </c>
      <c r="L359" s="2" t="s">
        <v>4</v>
      </c>
      <c r="Q359" s="1"/>
      <c r="R359" s="1"/>
      <c r="S359" s="1"/>
    </row>
    <row r="360" spans="1:19" x14ac:dyDescent="0.25">
      <c r="A360" s="15" t="s">
        <v>183</v>
      </c>
      <c r="B360" s="15" t="s">
        <v>182</v>
      </c>
      <c r="C360" s="2">
        <v>32227948</v>
      </c>
      <c r="D360" s="2" t="s">
        <v>179</v>
      </c>
      <c r="E360" s="2" t="s">
        <v>106</v>
      </c>
      <c r="F360" s="28">
        <v>109.77093002322752</v>
      </c>
      <c r="G360" s="28">
        <v>0</v>
      </c>
      <c r="H360" s="2" t="s">
        <v>4</v>
      </c>
      <c r="I360" s="2" t="s">
        <v>3</v>
      </c>
      <c r="J360" s="28" t="s">
        <v>62</v>
      </c>
      <c r="K360" s="28" t="s">
        <v>62</v>
      </c>
      <c r="L360" s="2" t="s">
        <v>4</v>
      </c>
      <c r="Q360" s="1"/>
      <c r="R360" s="1"/>
      <c r="S360" s="1"/>
    </row>
    <row r="361" spans="1:19" x14ac:dyDescent="0.25">
      <c r="A361" s="15" t="s">
        <v>181</v>
      </c>
      <c r="B361" s="15" t="s">
        <v>180</v>
      </c>
      <c r="C361" s="2">
        <v>32227948</v>
      </c>
      <c r="D361" s="2" t="s">
        <v>179</v>
      </c>
      <c r="E361" s="2" t="s">
        <v>106</v>
      </c>
      <c r="F361" s="28">
        <v>100.73922442885898</v>
      </c>
      <c r="G361" s="28">
        <v>0</v>
      </c>
      <c r="H361" s="2" t="s">
        <v>4</v>
      </c>
      <c r="I361" s="2" t="s">
        <v>3</v>
      </c>
      <c r="J361" s="28" t="s">
        <v>62</v>
      </c>
      <c r="K361" s="28" t="s">
        <v>62</v>
      </c>
      <c r="L361" s="2" t="s">
        <v>4</v>
      </c>
      <c r="Q361" s="1"/>
      <c r="R361" s="1"/>
      <c r="S361" s="1"/>
    </row>
    <row r="362" spans="1:19" x14ac:dyDescent="0.25">
      <c r="A362" s="15" t="s">
        <v>178</v>
      </c>
      <c r="B362" s="15" t="s">
        <v>177</v>
      </c>
      <c r="C362" s="2">
        <v>32206238</v>
      </c>
      <c r="D362" s="2" t="s">
        <v>130</v>
      </c>
      <c r="E362" s="2" t="s">
        <v>106</v>
      </c>
      <c r="F362" s="28">
        <v>1</v>
      </c>
      <c r="G362" s="28">
        <v>67</v>
      </c>
      <c r="H362" s="2" t="s">
        <v>4</v>
      </c>
      <c r="I362" s="2" t="s">
        <v>4</v>
      </c>
      <c r="J362" s="28">
        <v>0.74626865671641796</v>
      </c>
      <c r="K362" s="28" t="s">
        <v>62</v>
      </c>
      <c r="L362" s="2" t="s">
        <v>3</v>
      </c>
      <c r="Q362" s="1"/>
      <c r="R362" s="1"/>
      <c r="S362" s="1"/>
    </row>
    <row r="363" spans="1:19" x14ac:dyDescent="0.25">
      <c r="A363" s="15" t="s">
        <v>176</v>
      </c>
      <c r="B363" s="15" t="s">
        <v>175</v>
      </c>
      <c r="C363" s="2">
        <v>32206238</v>
      </c>
      <c r="D363" s="2" t="s">
        <v>130</v>
      </c>
      <c r="E363" s="2" t="s">
        <v>106</v>
      </c>
      <c r="F363" s="28">
        <v>1</v>
      </c>
      <c r="G363" s="28">
        <v>94</v>
      </c>
      <c r="H363" s="2" t="s">
        <v>3</v>
      </c>
      <c r="I363" s="2" t="s">
        <v>4</v>
      </c>
      <c r="J363" s="28" t="s">
        <v>62</v>
      </c>
      <c r="K363" s="28" t="s">
        <v>62</v>
      </c>
      <c r="L363" s="2" t="s">
        <v>3</v>
      </c>
      <c r="Q363" s="1"/>
      <c r="R363" s="1"/>
      <c r="S363" s="1"/>
    </row>
    <row r="364" spans="1:19" x14ac:dyDescent="0.25">
      <c r="A364" s="15" t="s">
        <v>174</v>
      </c>
      <c r="B364" s="15" t="s">
        <v>173</v>
      </c>
      <c r="C364" s="2">
        <v>32206238</v>
      </c>
      <c r="D364" s="2" t="s">
        <v>130</v>
      </c>
      <c r="E364" s="2" t="s">
        <v>106</v>
      </c>
      <c r="F364" s="28">
        <v>1</v>
      </c>
      <c r="G364" s="28">
        <v>90</v>
      </c>
      <c r="H364" s="2" t="s">
        <v>4</v>
      </c>
      <c r="I364" s="2" t="s">
        <v>4</v>
      </c>
      <c r="J364" s="28">
        <v>0.55555555555555558</v>
      </c>
      <c r="K364" s="28" t="s">
        <v>62</v>
      </c>
      <c r="L364" s="2" t="s">
        <v>3</v>
      </c>
      <c r="Q364" s="1"/>
      <c r="R364" s="1"/>
      <c r="S364" s="1"/>
    </row>
    <row r="365" spans="1:19" x14ac:dyDescent="0.25">
      <c r="A365" s="15" t="s">
        <v>172</v>
      </c>
      <c r="B365" s="15" t="s">
        <v>171</v>
      </c>
      <c r="C365" s="2">
        <v>32206238</v>
      </c>
      <c r="D365" s="2" t="s">
        <v>130</v>
      </c>
      <c r="E365" s="2" t="s">
        <v>106</v>
      </c>
      <c r="F365" s="28">
        <v>2.5</v>
      </c>
      <c r="G365" s="28">
        <v>21</v>
      </c>
      <c r="H365" s="2" t="s">
        <v>4</v>
      </c>
      <c r="I365" s="2" t="s">
        <v>4</v>
      </c>
      <c r="J365" s="28">
        <v>5.9523809523809526</v>
      </c>
      <c r="K365" s="28" t="s">
        <v>62</v>
      </c>
      <c r="L365" s="2" t="s">
        <v>3</v>
      </c>
      <c r="Q365" s="1"/>
      <c r="R365" s="1"/>
      <c r="S365" s="1"/>
    </row>
    <row r="366" spans="1:19" x14ac:dyDescent="0.25">
      <c r="A366" s="15" t="s">
        <v>170</v>
      </c>
      <c r="B366" s="15" t="s">
        <v>169</v>
      </c>
      <c r="C366" s="2">
        <v>32206238</v>
      </c>
      <c r="D366" s="2" t="s">
        <v>130</v>
      </c>
      <c r="E366" s="2" t="s">
        <v>106</v>
      </c>
      <c r="F366" s="28">
        <v>2.5</v>
      </c>
      <c r="G366" s="28">
        <v>24</v>
      </c>
      <c r="H366" s="2" t="s">
        <v>4</v>
      </c>
      <c r="I366" s="2" t="s">
        <v>4</v>
      </c>
      <c r="J366" s="28">
        <v>5.2083333333333339</v>
      </c>
      <c r="K366" s="28" t="s">
        <v>62</v>
      </c>
      <c r="L366" s="2" t="s">
        <v>3</v>
      </c>
      <c r="Q366" s="1"/>
      <c r="R366" s="1"/>
      <c r="S366" s="1"/>
    </row>
    <row r="367" spans="1:19" x14ac:dyDescent="0.25">
      <c r="A367" s="15" t="s">
        <v>168</v>
      </c>
      <c r="B367" s="15" t="s">
        <v>167</v>
      </c>
      <c r="C367" s="2">
        <v>32206238</v>
      </c>
      <c r="D367" s="2" t="s">
        <v>130</v>
      </c>
      <c r="E367" s="2" t="s">
        <v>106</v>
      </c>
      <c r="F367" s="28">
        <v>2.5</v>
      </c>
      <c r="G367" s="28">
        <v>25</v>
      </c>
      <c r="H367" s="2" t="s">
        <v>4</v>
      </c>
      <c r="I367" s="2" t="s">
        <v>4</v>
      </c>
      <c r="J367" s="28">
        <v>5</v>
      </c>
      <c r="K367" s="28" t="s">
        <v>62</v>
      </c>
      <c r="L367" s="2" t="s">
        <v>3</v>
      </c>
      <c r="Q367" s="1"/>
      <c r="R367" s="1"/>
      <c r="S367" s="1"/>
    </row>
    <row r="368" spans="1:19" x14ac:dyDescent="0.25">
      <c r="A368" s="15" t="s">
        <v>166</v>
      </c>
      <c r="B368" s="15" t="s">
        <v>165</v>
      </c>
      <c r="C368" s="2">
        <v>32206238</v>
      </c>
      <c r="D368" s="2" t="s">
        <v>130</v>
      </c>
      <c r="E368" s="2" t="s">
        <v>106</v>
      </c>
      <c r="F368" s="28">
        <v>1</v>
      </c>
      <c r="G368" s="28">
        <v>62</v>
      </c>
      <c r="H368" s="2" t="s">
        <v>4</v>
      </c>
      <c r="I368" s="2" t="s">
        <v>4</v>
      </c>
      <c r="J368" s="28">
        <v>0.80645161290322576</v>
      </c>
      <c r="K368" s="28" t="s">
        <v>62</v>
      </c>
      <c r="L368" s="2" t="s">
        <v>3</v>
      </c>
      <c r="Q368" s="1"/>
      <c r="R368" s="1"/>
      <c r="S368" s="1"/>
    </row>
    <row r="369" spans="1:19" x14ac:dyDescent="0.25">
      <c r="A369" s="15" t="s">
        <v>164</v>
      </c>
      <c r="B369" s="15" t="s">
        <v>163</v>
      </c>
      <c r="C369" s="2">
        <v>32206238</v>
      </c>
      <c r="D369" s="2" t="s">
        <v>130</v>
      </c>
      <c r="E369" s="2" t="s">
        <v>106</v>
      </c>
      <c r="F369" s="28">
        <v>2.5</v>
      </c>
      <c r="G369" s="28">
        <v>51</v>
      </c>
      <c r="H369" s="2" t="s">
        <v>4</v>
      </c>
      <c r="I369" s="2" t="s">
        <v>4</v>
      </c>
      <c r="J369" s="28">
        <v>2.4509803921568625</v>
      </c>
      <c r="K369" s="28" t="s">
        <v>62</v>
      </c>
      <c r="L369" s="2" t="s">
        <v>3</v>
      </c>
      <c r="Q369" s="1"/>
      <c r="R369" s="1"/>
      <c r="S369" s="1"/>
    </row>
    <row r="370" spans="1:19" x14ac:dyDescent="0.25">
      <c r="A370" s="15" t="s">
        <v>162</v>
      </c>
      <c r="B370" s="15" t="s">
        <v>161</v>
      </c>
      <c r="C370" s="2">
        <v>32206238</v>
      </c>
      <c r="D370" s="2" t="s">
        <v>130</v>
      </c>
      <c r="E370" s="2" t="s">
        <v>106</v>
      </c>
      <c r="F370" s="28">
        <v>2.5</v>
      </c>
      <c r="G370" s="28">
        <v>81</v>
      </c>
      <c r="H370" s="2" t="s">
        <v>4</v>
      </c>
      <c r="I370" s="2" t="s">
        <v>4</v>
      </c>
      <c r="J370" s="28">
        <v>1.5432098765432098</v>
      </c>
      <c r="K370" s="28" t="s">
        <v>62</v>
      </c>
      <c r="L370" s="2" t="s">
        <v>3</v>
      </c>
      <c r="Q370" s="1"/>
      <c r="R370" s="1"/>
      <c r="S370" s="1"/>
    </row>
    <row r="371" spans="1:19" x14ac:dyDescent="0.25">
      <c r="A371" s="15" t="s">
        <v>160</v>
      </c>
      <c r="B371" s="15" t="s">
        <v>159</v>
      </c>
      <c r="C371" s="2">
        <v>32206238</v>
      </c>
      <c r="D371" s="2" t="s">
        <v>130</v>
      </c>
      <c r="E371" s="2" t="s">
        <v>106</v>
      </c>
      <c r="F371" s="28">
        <v>2.5</v>
      </c>
      <c r="G371" s="28">
        <v>51</v>
      </c>
      <c r="H371" s="2" t="s">
        <v>4</v>
      </c>
      <c r="I371" s="2" t="s">
        <v>4</v>
      </c>
      <c r="J371" s="28">
        <v>2.4509803921568625</v>
      </c>
      <c r="K371" s="28" t="s">
        <v>62</v>
      </c>
      <c r="L371" s="2" t="s">
        <v>3</v>
      </c>
      <c r="Q371" s="1"/>
      <c r="R371" s="1"/>
      <c r="S371" s="1"/>
    </row>
    <row r="372" spans="1:19" x14ac:dyDescent="0.25">
      <c r="A372" s="15" t="s">
        <v>158</v>
      </c>
      <c r="B372" s="15" t="s">
        <v>157</v>
      </c>
      <c r="C372" s="2">
        <v>32206238</v>
      </c>
      <c r="D372" s="2" t="s">
        <v>130</v>
      </c>
      <c r="E372" s="2" t="s">
        <v>106</v>
      </c>
      <c r="F372" s="28">
        <v>2.5</v>
      </c>
      <c r="G372" s="28">
        <v>25</v>
      </c>
      <c r="H372" s="2" t="s">
        <v>4</v>
      </c>
      <c r="I372" s="2" t="s">
        <v>4</v>
      </c>
      <c r="J372" s="28">
        <v>5</v>
      </c>
      <c r="K372" s="28" t="s">
        <v>62</v>
      </c>
      <c r="L372" s="2" t="s">
        <v>3</v>
      </c>
      <c r="Q372" s="1"/>
      <c r="R372" s="1"/>
      <c r="S372" s="1"/>
    </row>
    <row r="373" spans="1:19" x14ac:dyDescent="0.25">
      <c r="A373" s="15" t="s">
        <v>156</v>
      </c>
      <c r="B373" s="15" t="s">
        <v>155</v>
      </c>
      <c r="C373" s="2">
        <v>32206238</v>
      </c>
      <c r="D373" s="2" t="s">
        <v>130</v>
      </c>
      <c r="E373" s="2" t="s">
        <v>106</v>
      </c>
      <c r="F373" s="28">
        <v>1</v>
      </c>
      <c r="G373" s="28">
        <v>71</v>
      </c>
      <c r="H373" s="2" t="s">
        <v>4</v>
      </c>
      <c r="I373" s="2" t="s">
        <v>4</v>
      </c>
      <c r="J373" s="28">
        <v>0.70422535211267601</v>
      </c>
      <c r="K373" s="28" t="s">
        <v>62</v>
      </c>
      <c r="L373" s="2" t="s">
        <v>3</v>
      </c>
      <c r="Q373" s="1"/>
      <c r="R373" s="1"/>
      <c r="S373" s="1"/>
    </row>
    <row r="374" spans="1:19" x14ac:dyDescent="0.25">
      <c r="A374" s="15" t="s">
        <v>154</v>
      </c>
      <c r="B374" s="15" t="s">
        <v>153</v>
      </c>
      <c r="C374" s="2">
        <v>32206238</v>
      </c>
      <c r="D374" s="2" t="s">
        <v>130</v>
      </c>
      <c r="E374" s="2" t="s">
        <v>106</v>
      </c>
      <c r="F374" s="28">
        <v>2.5</v>
      </c>
      <c r="G374" s="28">
        <v>56</v>
      </c>
      <c r="H374" s="2" t="s">
        <v>4</v>
      </c>
      <c r="I374" s="2" t="s">
        <v>4</v>
      </c>
      <c r="J374" s="28">
        <v>2.2321428571428572</v>
      </c>
      <c r="K374" s="28" t="s">
        <v>62</v>
      </c>
      <c r="L374" s="2" t="s">
        <v>3</v>
      </c>
      <c r="Q374" s="1"/>
      <c r="R374" s="1"/>
      <c r="S374" s="1"/>
    </row>
    <row r="375" spans="1:19" x14ac:dyDescent="0.25">
      <c r="A375" s="15" t="s">
        <v>152</v>
      </c>
      <c r="B375" s="15" t="s">
        <v>151</v>
      </c>
      <c r="C375" s="2">
        <v>32206238</v>
      </c>
      <c r="D375" s="2" t="s">
        <v>130</v>
      </c>
      <c r="E375" s="2" t="s">
        <v>106</v>
      </c>
      <c r="F375" s="28">
        <v>1</v>
      </c>
      <c r="G375" s="28">
        <v>77</v>
      </c>
      <c r="H375" s="2" t="s">
        <v>4</v>
      </c>
      <c r="I375" s="2" t="s">
        <v>4</v>
      </c>
      <c r="J375" s="28">
        <v>0.64935064935064934</v>
      </c>
      <c r="K375" s="28" t="s">
        <v>62</v>
      </c>
      <c r="L375" s="2" t="s">
        <v>3</v>
      </c>
      <c r="Q375" s="1"/>
      <c r="R375" s="1"/>
      <c r="S375" s="1"/>
    </row>
    <row r="376" spans="1:19" x14ac:dyDescent="0.25">
      <c r="A376" s="15" t="s">
        <v>150</v>
      </c>
      <c r="B376" s="15" t="s">
        <v>149</v>
      </c>
      <c r="C376" s="2">
        <v>32206238</v>
      </c>
      <c r="D376" s="2" t="s">
        <v>130</v>
      </c>
      <c r="E376" s="2" t="s">
        <v>106</v>
      </c>
      <c r="F376" s="28">
        <v>2.5</v>
      </c>
      <c r="G376" s="28">
        <v>47</v>
      </c>
      <c r="H376" s="2" t="s">
        <v>4</v>
      </c>
      <c r="I376" s="2" t="s">
        <v>4</v>
      </c>
      <c r="J376" s="28">
        <v>2.6595744680851063</v>
      </c>
      <c r="K376" s="28" t="s">
        <v>62</v>
      </c>
      <c r="L376" s="2" t="s">
        <v>3</v>
      </c>
      <c r="Q376" s="1"/>
      <c r="R376" s="1"/>
      <c r="S376" s="1"/>
    </row>
    <row r="377" spans="1:19" x14ac:dyDescent="0.25">
      <c r="A377" s="15" t="s">
        <v>148</v>
      </c>
      <c r="B377" s="15" t="s">
        <v>147</v>
      </c>
      <c r="C377" s="2">
        <v>32206238</v>
      </c>
      <c r="D377" s="2" t="s">
        <v>130</v>
      </c>
      <c r="E377" s="2" t="s">
        <v>106</v>
      </c>
      <c r="F377" s="28">
        <v>2.5</v>
      </c>
      <c r="G377" s="28">
        <v>17</v>
      </c>
      <c r="H377" s="2" t="s">
        <v>4</v>
      </c>
      <c r="I377" s="2" t="s">
        <v>4</v>
      </c>
      <c r="J377" s="28">
        <v>7.3529411764705888</v>
      </c>
      <c r="K377" s="28" t="s">
        <v>62</v>
      </c>
      <c r="L377" s="2" t="s">
        <v>3</v>
      </c>
      <c r="Q377" s="1"/>
      <c r="R377" s="1"/>
      <c r="S377" s="1"/>
    </row>
    <row r="378" spans="1:19" x14ac:dyDescent="0.25">
      <c r="A378" s="15" t="s">
        <v>146</v>
      </c>
      <c r="B378" s="15" t="s">
        <v>145</v>
      </c>
      <c r="C378" s="2">
        <v>32206238</v>
      </c>
      <c r="D378" s="2" t="s">
        <v>130</v>
      </c>
      <c r="E378" s="2" t="s">
        <v>106</v>
      </c>
      <c r="F378" s="28">
        <v>1</v>
      </c>
      <c r="G378" s="28">
        <v>25</v>
      </c>
      <c r="H378" s="2" t="s">
        <v>4</v>
      </c>
      <c r="I378" s="2" t="s">
        <v>4</v>
      </c>
      <c r="J378" s="28">
        <v>2</v>
      </c>
      <c r="K378" s="28" t="s">
        <v>62</v>
      </c>
      <c r="L378" s="2" t="s">
        <v>3</v>
      </c>
      <c r="Q378" s="1"/>
      <c r="R378" s="1"/>
      <c r="S378" s="1"/>
    </row>
    <row r="379" spans="1:19" x14ac:dyDescent="0.25">
      <c r="A379" s="15" t="s">
        <v>144</v>
      </c>
      <c r="B379" s="15" t="s">
        <v>143</v>
      </c>
      <c r="C379" s="2">
        <v>32206238</v>
      </c>
      <c r="D379" s="2" t="s">
        <v>130</v>
      </c>
      <c r="E379" s="2" t="s">
        <v>106</v>
      </c>
      <c r="F379" s="28">
        <v>1</v>
      </c>
      <c r="G379" s="28">
        <v>78</v>
      </c>
      <c r="H379" s="2" t="s">
        <v>4</v>
      </c>
      <c r="I379" s="2" t="s">
        <v>4</v>
      </c>
      <c r="J379" s="28">
        <v>0.64102564102564108</v>
      </c>
      <c r="K379" s="28" t="s">
        <v>62</v>
      </c>
      <c r="L379" s="2" t="s">
        <v>3</v>
      </c>
      <c r="Q379" s="1"/>
      <c r="R379" s="1"/>
      <c r="S379" s="1"/>
    </row>
    <row r="380" spans="1:19" x14ac:dyDescent="0.25">
      <c r="A380" s="15" t="s">
        <v>142</v>
      </c>
      <c r="B380" s="15" t="s">
        <v>141</v>
      </c>
      <c r="C380" s="2">
        <v>32206238</v>
      </c>
      <c r="D380" s="2" t="s">
        <v>130</v>
      </c>
      <c r="E380" s="2" t="s">
        <v>106</v>
      </c>
      <c r="F380" s="28">
        <v>2.5</v>
      </c>
      <c r="G380" s="28">
        <v>12</v>
      </c>
      <c r="H380" s="2" t="s">
        <v>4</v>
      </c>
      <c r="I380" s="2" t="s">
        <v>4</v>
      </c>
      <c r="J380" s="28">
        <v>10.416666666666668</v>
      </c>
      <c r="K380" s="28" t="s">
        <v>62</v>
      </c>
      <c r="L380" s="2" t="s">
        <v>4</v>
      </c>
      <c r="Q380" s="1"/>
      <c r="R380" s="1"/>
      <c r="S380" s="1"/>
    </row>
    <row r="381" spans="1:19" x14ac:dyDescent="0.25">
      <c r="A381" s="15" t="s">
        <v>140</v>
      </c>
      <c r="B381" s="15" t="s">
        <v>139</v>
      </c>
      <c r="C381" s="2">
        <v>32206238</v>
      </c>
      <c r="D381" s="2" t="s">
        <v>130</v>
      </c>
      <c r="E381" s="2" t="s">
        <v>106</v>
      </c>
      <c r="F381" s="28">
        <v>1</v>
      </c>
      <c r="G381" s="28">
        <v>23</v>
      </c>
      <c r="H381" s="2" t="s">
        <v>4</v>
      </c>
      <c r="I381" s="2" t="s">
        <v>4</v>
      </c>
      <c r="J381" s="28">
        <v>2.1739130434782608</v>
      </c>
      <c r="K381" s="28" t="s">
        <v>62</v>
      </c>
      <c r="L381" s="2" t="s">
        <v>3</v>
      </c>
      <c r="Q381" s="1"/>
      <c r="R381" s="1"/>
      <c r="S381" s="1"/>
    </row>
    <row r="382" spans="1:19" x14ac:dyDescent="0.25">
      <c r="A382" s="15" t="s">
        <v>138</v>
      </c>
      <c r="B382" s="15" t="s">
        <v>137</v>
      </c>
      <c r="C382" s="2">
        <v>32206238</v>
      </c>
      <c r="D382" s="2" t="s">
        <v>130</v>
      </c>
      <c r="E382" s="2" t="s">
        <v>106</v>
      </c>
      <c r="F382" s="28">
        <v>2.5</v>
      </c>
      <c r="G382" s="28">
        <v>0</v>
      </c>
      <c r="H382" s="2" t="s">
        <v>4</v>
      </c>
      <c r="I382" s="2" t="s">
        <v>4</v>
      </c>
      <c r="J382" s="28" t="s">
        <v>62</v>
      </c>
      <c r="K382" s="28" t="s">
        <v>62</v>
      </c>
      <c r="L382" s="2" t="s">
        <v>4</v>
      </c>
      <c r="Q382" s="1"/>
      <c r="R382" s="1"/>
      <c r="S382" s="1"/>
    </row>
    <row r="383" spans="1:19" x14ac:dyDescent="0.25">
      <c r="A383" s="15" t="s">
        <v>136</v>
      </c>
      <c r="B383" s="15" t="s">
        <v>135</v>
      </c>
      <c r="C383" s="2">
        <v>32206238</v>
      </c>
      <c r="D383" s="2" t="s">
        <v>130</v>
      </c>
      <c r="E383" s="2" t="s">
        <v>106</v>
      </c>
      <c r="F383" s="28">
        <v>2.5</v>
      </c>
      <c r="G383" s="28">
        <v>20</v>
      </c>
      <c r="H383" s="2" t="s">
        <v>4</v>
      </c>
      <c r="I383" s="2" t="s">
        <v>4</v>
      </c>
      <c r="J383" s="28">
        <v>6.25</v>
      </c>
      <c r="K383" s="28" t="s">
        <v>62</v>
      </c>
      <c r="L383" s="2" t="s">
        <v>3</v>
      </c>
      <c r="Q383" s="1"/>
      <c r="R383" s="1"/>
      <c r="S383" s="1"/>
    </row>
    <row r="384" spans="1:19" x14ac:dyDescent="0.25">
      <c r="A384" s="15" t="s">
        <v>134</v>
      </c>
      <c r="B384" s="15" t="s">
        <v>133</v>
      </c>
      <c r="C384" s="2">
        <v>32206238</v>
      </c>
      <c r="D384" s="2" t="s">
        <v>130</v>
      </c>
      <c r="E384" s="2" t="s">
        <v>106</v>
      </c>
      <c r="F384" s="28">
        <v>2.5</v>
      </c>
      <c r="G384" s="28">
        <v>88</v>
      </c>
      <c r="H384" s="2" t="s">
        <v>4</v>
      </c>
      <c r="I384" s="2" t="s">
        <v>4</v>
      </c>
      <c r="J384" s="28">
        <v>1.4204545454545456</v>
      </c>
      <c r="K384" s="28" t="s">
        <v>62</v>
      </c>
      <c r="L384" s="2" t="s">
        <v>3</v>
      </c>
      <c r="Q384" s="1"/>
      <c r="R384" s="1"/>
      <c r="S384" s="1"/>
    </row>
    <row r="385" spans="1:19" x14ac:dyDescent="0.25">
      <c r="A385" s="15" t="s">
        <v>132</v>
      </c>
      <c r="B385" s="15" t="s">
        <v>131</v>
      </c>
      <c r="C385" s="2">
        <v>31647538</v>
      </c>
      <c r="D385" s="2" t="s">
        <v>130</v>
      </c>
      <c r="E385" s="2" t="s">
        <v>106</v>
      </c>
      <c r="F385" s="28">
        <v>0.5</v>
      </c>
      <c r="G385" s="28">
        <v>27</v>
      </c>
      <c r="H385" s="2" t="s">
        <v>4</v>
      </c>
      <c r="I385" s="2" t="s">
        <v>4</v>
      </c>
      <c r="J385" s="28">
        <v>0.92592592592592593</v>
      </c>
      <c r="K385" s="28" t="s">
        <v>62</v>
      </c>
      <c r="L385" s="2" t="s">
        <v>3</v>
      </c>
      <c r="Q385" s="1"/>
      <c r="R385" s="1"/>
      <c r="S385" s="1"/>
    </row>
    <row r="386" spans="1:19" x14ac:dyDescent="0.25">
      <c r="A386" s="15" t="s">
        <v>129</v>
      </c>
      <c r="B386" s="15" t="s">
        <v>128</v>
      </c>
      <c r="C386" s="2">
        <v>29322031</v>
      </c>
      <c r="D386" s="2" t="s">
        <v>125</v>
      </c>
      <c r="E386" s="2" t="s">
        <v>106</v>
      </c>
      <c r="F386" s="28">
        <v>5</v>
      </c>
      <c r="G386" s="28">
        <v>100</v>
      </c>
      <c r="H386" s="2" t="s">
        <v>3</v>
      </c>
      <c r="I386" s="2" t="s">
        <v>4</v>
      </c>
      <c r="J386" s="28" t="s">
        <v>62</v>
      </c>
      <c r="K386" s="28" t="s">
        <v>62</v>
      </c>
      <c r="L386" s="2" t="s">
        <v>3</v>
      </c>
      <c r="Q386" s="1"/>
      <c r="R386" s="1"/>
      <c r="S386" s="1"/>
    </row>
    <row r="387" spans="1:19" x14ac:dyDescent="0.25">
      <c r="A387" s="15" t="s">
        <v>127</v>
      </c>
      <c r="B387" s="15" t="s">
        <v>126</v>
      </c>
      <c r="C387" s="2">
        <v>29322031</v>
      </c>
      <c r="D387" s="2" t="s">
        <v>125</v>
      </c>
      <c r="E387" s="2" t="s">
        <v>106</v>
      </c>
      <c r="F387" s="28">
        <v>25</v>
      </c>
      <c r="G387" s="28">
        <v>78</v>
      </c>
      <c r="H387" s="2" t="s">
        <v>4</v>
      </c>
      <c r="I387" s="2" t="s">
        <v>4</v>
      </c>
      <c r="J387" s="28">
        <v>16.025641025641026</v>
      </c>
      <c r="K387" s="28" t="s">
        <v>62</v>
      </c>
      <c r="L387" s="2" t="s">
        <v>4</v>
      </c>
      <c r="Q387" s="1"/>
      <c r="R387" s="1"/>
      <c r="S387" s="1"/>
    </row>
    <row r="388" spans="1:19" x14ac:dyDescent="0.25">
      <c r="A388" s="15" t="s">
        <v>124</v>
      </c>
      <c r="B388" s="15" t="s">
        <v>123</v>
      </c>
      <c r="C388" s="2">
        <v>20888409</v>
      </c>
      <c r="D388" s="2" t="s">
        <v>122</v>
      </c>
      <c r="E388" s="2" t="s">
        <v>106</v>
      </c>
      <c r="F388" s="28">
        <v>250</v>
      </c>
      <c r="G388" s="28">
        <v>87</v>
      </c>
      <c r="H388" s="2" t="s">
        <v>4</v>
      </c>
      <c r="I388" s="2" t="s">
        <v>4</v>
      </c>
      <c r="J388" s="28">
        <v>143.67816091954023</v>
      </c>
      <c r="K388" s="28" t="s">
        <v>62</v>
      </c>
      <c r="L388" s="2" t="s">
        <v>4</v>
      </c>
      <c r="Q388" s="1"/>
      <c r="R388" s="1"/>
      <c r="S388" s="1"/>
    </row>
    <row r="389" spans="1:19" x14ac:dyDescent="0.25">
      <c r="A389" s="15" t="s">
        <v>121</v>
      </c>
      <c r="B389" s="15" t="s">
        <v>120</v>
      </c>
      <c r="C389" s="2">
        <v>7682281</v>
      </c>
      <c r="D389" s="2" t="s">
        <v>119</v>
      </c>
      <c r="E389" s="2" t="s">
        <v>106</v>
      </c>
      <c r="F389" s="28">
        <v>25</v>
      </c>
      <c r="G389" s="28">
        <v>73</v>
      </c>
      <c r="H389" s="2" t="s">
        <v>4</v>
      </c>
      <c r="I389" s="2" t="s">
        <v>4</v>
      </c>
      <c r="J389" s="28">
        <v>17.123287671232877</v>
      </c>
      <c r="K389" s="28" t="s">
        <v>62</v>
      </c>
      <c r="L389" s="2" t="s">
        <v>4</v>
      </c>
      <c r="Q389" s="1"/>
      <c r="R389" s="1"/>
      <c r="S389" s="1"/>
    </row>
    <row r="390" spans="1:19" x14ac:dyDescent="0.25">
      <c r="A390" s="15" t="s">
        <v>118</v>
      </c>
      <c r="B390" s="15" t="s">
        <v>117</v>
      </c>
      <c r="C390" s="2">
        <v>6642670</v>
      </c>
      <c r="D390" s="2" t="s">
        <v>110</v>
      </c>
      <c r="E390" s="2" t="s">
        <v>106</v>
      </c>
      <c r="F390" s="28">
        <v>1200</v>
      </c>
      <c r="G390" s="28">
        <v>73</v>
      </c>
      <c r="H390" s="2" t="s">
        <v>4</v>
      </c>
      <c r="I390" s="2" t="s">
        <v>4</v>
      </c>
      <c r="J390" s="28">
        <v>821.91780821917803</v>
      </c>
      <c r="K390" s="28" t="s">
        <v>62</v>
      </c>
      <c r="L390" s="2" t="s">
        <v>4</v>
      </c>
      <c r="Q390" s="1"/>
      <c r="R390" s="1"/>
      <c r="S390" s="1"/>
    </row>
    <row r="391" spans="1:19" x14ac:dyDescent="0.25">
      <c r="A391" s="15" t="s">
        <v>116</v>
      </c>
      <c r="B391" s="15" t="s">
        <v>115</v>
      </c>
      <c r="C391" s="2">
        <v>6642670</v>
      </c>
      <c r="D391" s="2" t="s">
        <v>110</v>
      </c>
      <c r="E391" s="2" t="s">
        <v>106</v>
      </c>
      <c r="F391" s="28">
        <v>1200</v>
      </c>
      <c r="G391" s="28">
        <v>5</v>
      </c>
      <c r="H391" s="2" t="s">
        <v>4</v>
      </c>
      <c r="I391" s="2" t="s">
        <v>3</v>
      </c>
      <c r="J391" s="28" t="s">
        <v>62</v>
      </c>
      <c r="K391" s="28" t="s">
        <v>62</v>
      </c>
      <c r="L391" s="2" t="s">
        <v>4</v>
      </c>
      <c r="Q391" s="1"/>
      <c r="R391" s="1"/>
      <c r="S391" s="1"/>
    </row>
    <row r="392" spans="1:19" x14ac:dyDescent="0.25">
      <c r="A392" s="15" t="s">
        <v>114</v>
      </c>
      <c r="B392" s="15" t="s">
        <v>113</v>
      </c>
      <c r="C392" s="2">
        <v>6642670</v>
      </c>
      <c r="D392" s="2" t="s">
        <v>110</v>
      </c>
      <c r="E392" s="2" t="s">
        <v>106</v>
      </c>
      <c r="F392" s="28">
        <v>1200</v>
      </c>
      <c r="G392" s="28">
        <v>0</v>
      </c>
      <c r="H392" s="2" t="s">
        <v>4</v>
      </c>
      <c r="I392" s="2" t="s">
        <v>3</v>
      </c>
      <c r="J392" s="28" t="s">
        <v>62</v>
      </c>
      <c r="K392" s="28" t="s">
        <v>62</v>
      </c>
      <c r="L392" s="2" t="s">
        <v>4</v>
      </c>
      <c r="Q392" s="1"/>
      <c r="R392" s="1"/>
      <c r="S392" s="1"/>
    </row>
    <row r="393" spans="1:19" x14ac:dyDescent="0.25">
      <c r="A393" s="15" t="s">
        <v>112</v>
      </c>
      <c r="B393" s="15" t="s">
        <v>111</v>
      </c>
      <c r="C393" s="2">
        <v>6642670</v>
      </c>
      <c r="D393" s="2" t="s">
        <v>110</v>
      </c>
      <c r="E393" s="2" t="s">
        <v>106</v>
      </c>
      <c r="F393" s="28">
        <v>1200</v>
      </c>
      <c r="G393" s="28">
        <v>26</v>
      </c>
      <c r="H393" s="2" t="s">
        <v>4</v>
      </c>
      <c r="I393" s="2" t="s">
        <v>4</v>
      </c>
      <c r="J393" s="28">
        <v>2307.6923076923076</v>
      </c>
      <c r="K393" s="28" t="s">
        <v>62</v>
      </c>
      <c r="L393" s="2" t="s">
        <v>4</v>
      </c>
      <c r="Q393" s="1"/>
      <c r="R393" s="1"/>
      <c r="S393" s="1"/>
    </row>
    <row r="394" spans="1:19" x14ac:dyDescent="0.25">
      <c r="A394" s="15" t="s">
        <v>109</v>
      </c>
      <c r="B394" s="15" t="s">
        <v>108</v>
      </c>
      <c r="C394" s="2">
        <v>22525317</v>
      </c>
      <c r="D394" s="2" t="s">
        <v>107</v>
      </c>
      <c r="E394" s="2" t="s">
        <v>106</v>
      </c>
      <c r="F394" s="28">
        <v>3.13</v>
      </c>
      <c r="G394" s="28">
        <v>100</v>
      </c>
      <c r="H394" s="2" t="s">
        <v>3</v>
      </c>
      <c r="I394" s="2" t="s">
        <v>4</v>
      </c>
      <c r="J394" s="28" t="s">
        <v>62</v>
      </c>
      <c r="K394" s="28" t="s">
        <v>62</v>
      </c>
      <c r="L394" s="2" t="s">
        <v>3</v>
      </c>
      <c r="Q394" s="1"/>
      <c r="R394" s="1"/>
      <c r="S394" s="1"/>
    </row>
    <row r="395" spans="1:19" x14ac:dyDescent="0.25">
      <c r="A395" s="15" t="s">
        <v>105</v>
      </c>
      <c r="B395" s="15" t="s">
        <v>104</v>
      </c>
      <c r="C395" s="2">
        <v>29232584</v>
      </c>
      <c r="D395" s="2" t="s">
        <v>65</v>
      </c>
      <c r="E395" s="2" t="s">
        <v>64</v>
      </c>
      <c r="F395" s="28" t="s">
        <v>63</v>
      </c>
      <c r="G395" s="28" t="s">
        <v>62</v>
      </c>
      <c r="H395" s="2" t="s">
        <v>4</v>
      </c>
      <c r="I395" s="2" t="s">
        <v>4</v>
      </c>
      <c r="J395" s="28" t="s">
        <v>62</v>
      </c>
      <c r="K395" s="28">
        <v>2.4</v>
      </c>
      <c r="L395" s="2" t="s">
        <v>3</v>
      </c>
      <c r="Q395" s="1"/>
      <c r="R395" s="1"/>
      <c r="S395" s="1"/>
    </row>
    <row r="396" spans="1:19" x14ac:dyDescent="0.25">
      <c r="A396" s="15" t="s">
        <v>103</v>
      </c>
      <c r="B396" s="15" t="s">
        <v>102</v>
      </c>
      <c r="C396" s="2">
        <v>29232584</v>
      </c>
      <c r="D396" s="2" t="s">
        <v>65</v>
      </c>
      <c r="E396" s="2" t="s">
        <v>64</v>
      </c>
      <c r="F396" s="28" t="s">
        <v>63</v>
      </c>
      <c r="G396" s="28" t="s">
        <v>62</v>
      </c>
      <c r="H396" s="2" t="s">
        <v>4</v>
      </c>
      <c r="I396" s="2" t="s">
        <v>4</v>
      </c>
      <c r="J396" s="28" t="s">
        <v>62</v>
      </c>
      <c r="K396" s="28">
        <v>8.6999999999999993</v>
      </c>
      <c r="L396" s="2" t="s">
        <v>3</v>
      </c>
      <c r="Q396" s="1"/>
      <c r="R396" s="1"/>
      <c r="S396" s="1"/>
    </row>
    <row r="397" spans="1:19" x14ac:dyDescent="0.25">
      <c r="A397" s="15" t="s">
        <v>101</v>
      </c>
      <c r="B397" s="15" t="s">
        <v>100</v>
      </c>
      <c r="C397" s="2">
        <v>29232584</v>
      </c>
      <c r="D397" s="2" t="s">
        <v>65</v>
      </c>
      <c r="E397" s="2" t="s">
        <v>64</v>
      </c>
      <c r="F397" s="28" t="s">
        <v>63</v>
      </c>
      <c r="G397" s="28" t="s">
        <v>62</v>
      </c>
      <c r="H397" s="2" t="s">
        <v>4</v>
      </c>
      <c r="I397" s="2" t="s">
        <v>4</v>
      </c>
      <c r="J397" s="28" t="s">
        <v>62</v>
      </c>
      <c r="K397" s="28">
        <v>2</v>
      </c>
      <c r="L397" s="2" t="s">
        <v>3</v>
      </c>
      <c r="Q397" s="1"/>
      <c r="R397" s="1"/>
      <c r="S397" s="1"/>
    </row>
    <row r="398" spans="1:19" x14ac:dyDescent="0.25">
      <c r="A398" s="15" t="s">
        <v>99</v>
      </c>
      <c r="B398" s="15" t="s">
        <v>98</v>
      </c>
      <c r="C398" s="2">
        <v>29232584</v>
      </c>
      <c r="D398" s="2" t="s">
        <v>65</v>
      </c>
      <c r="E398" s="2" t="s">
        <v>64</v>
      </c>
      <c r="F398" s="28" t="s">
        <v>63</v>
      </c>
      <c r="G398" s="28" t="s">
        <v>62</v>
      </c>
      <c r="H398" s="2" t="s">
        <v>4</v>
      </c>
      <c r="I398" s="2" t="s">
        <v>4</v>
      </c>
      <c r="J398" s="28" t="s">
        <v>62</v>
      </c>
      <c r="K398" s="28">
        <v>15</v>
      </c>
      <c r="L398" s="2" t="s">
        <v>4</v>
      </c>
      <c r="Q398" s="1"/>
      <c r="R398" s="1"/>
      <c r="S398" s="1"/>
    </row>
    <row r="399" spans="1:19" x14ac:dyDescent="0.25">
      <c r="A399" s="15" t="s">
        <v>97</v>
      </c>
      <c r="B399" s="15" t="s">
        <v>96</v>
      </c>
      <c r="C399" s="2">
        <v>29232584</v>
      </c>
      <c r="D399" s="2" t="s">
        <v>65</v>
      </c>
      <c r="E399" s="2" t="s">
        <v>64</v>
      </c>
      <c r="F399" s="28" t="s">
        <v>63</v>
      </c>
      <c r="G399" s="28" t="s">
        <v>62</v>
      </c>
      <c r="H399" s="2" t="s">
        <v>4</v>
      </c>
      <c r="I399" s="2" t="s">
        <v>4</v>
      </c>
      <c r="J399" s="28" t="s">
        <v>62</v>
      </c>
      <c r="K399" s="28">
        <v>11.6</v>
      </c>
      <c r="L399" s="2" t="s">
        <v>4</v>
      </c>
      <c r="Q399" s="1"/>
      <c r="R399" s="1"/>
      <c r="S399" s="1"/>
    </row>
    <row r="400" spans="1:19" x14ac:dyDescent="0.25">
      <c r="A400" s="15" t="s">
        <v>95</v>
      </c>
      <c r="B400" s="15" t="s">
        <v>94</v>
      </c>
      <c r="C400" s="2">
        <v>29232584</v>
      </c>
      <c r="D400" s="2" t="s">
        <v>65</v>
      </c>
      <c r="E400" s="2" t="s">
        <v>64</v>
      </c>
      <c r="F400" s="28" t="s">
        <v>63</v>
      </c>
      <c r="G400" s="28" t="s">
        <v>62</v>
      </c>
      <c r="H400" s="2" t="s">
        <v>4</v>
      </c>
      <c r="I400" s="2" t="s">
        <v>4</v>
      </c>
      <c r="J400" s="28" t="s">
        <v>62</v>
      </c>
      <c r="K400" s="28">
        <v>22.1</v>
      </c>
      <c r="L400" s="2" t="s">
        <v>4</v>
      </c>
      <c r="Q400" s="1"/>
      <c r="R400" s="1"/>
      <c r="S400" s="1"/>
    </row>
    <row r="401" spans="1:19" x14ac:dyDescent="0.25">
      <c r="A401" s="15" t="s">
        <v>93</v>
      </c>
      <c r="B401" s="15" t="s">
        <v>92</v>
      </c>
      <c r="C401" s="2">
        <v>29232584</v>
      </c>
      <c r="D401" s="2" t="s">
        <v>65</v>
      </c>
      <c r="E401" s="2" t="s">
        <v>64</v>
      </c>
      <c r="F401" s="28" t="s">
        <v>63</v>
      </c>
      <c r="G401" s="28" t="s">
        <v>62</v>
      </c>
      <c r="H401" s="2" t="s">
        <v>4</v>
      </c>
      <c r="I401" s="2" t="s">
        <v>4</v>
      </c>
      <c r="J401" s="28" t="s">
        <v>62</v>
      </c>
      <c r="K401" s="28">
        <v>12.8</v>
      </c>
      <c r="L401" s="2" t="s">
        <v>4</v>
      </c>
      <c r="Q401" s="1"/>
      <c r="R401" s="1"/>
      <c r="S401" s="1"/>
    </row>
    <row r="402" spans="1:19" x14ac:dyDescent="0.25">
      <c r="A402" s="15" t="s">
        <v>91</v>
      </c>
      <c r="B402" s="15" t="s">
        <v>90</v>
      </c>
      <c r="C402" s="2">
        <v>29232584</v>
      </c>
      <c r="D402" s="2" t="s">
        <v>65</v>
      </c>
      <c r="E402" s="2" t="s">
        <v>64</v>
      </c>
      <c r="F402" s="28" t="s">
        <v>63</v>
      </c>
      <c r="G402" s="28" t="s">
        <v>62</v>
      </c>
      <c r="H402" s="2" t="s">
        <v>4</v>
      </c>
      <c r="I402" s="2" t="s">
        <v>4</v>
      </c>
      <c r="J402" s="28" t="s">
        <v>62</v>
      </c>
      <c r="K402" s="28">
        <v>2.7</v>
      </c>
      <c r="L402" s="2" t="s">
        <v>3</v>
      </c>
      <c r="Q402" s="1"/>
      <c r="R402" s="1"/>
      <c r="S402" s="1"/>
    </row>
    <row r="403" spans="1:19" x14ac:dyDescent="0.25">
      <c r="A403" s="15" t="s">
        <v>89</v>
      </c>
      <c r="B403" s="15" t="s">
        <v>88</v>
      </c>
      <c r="C403" s="2">
        <v>29232584</v>
      </c>
      <c r="D403" s="2" t="s">
        <v>65</v>
      </c>
      <c r="E403" s="2" t="s">
        <v>64</v>
      </c>
      <c r="F403" s="28" t="s">
        <v>63</v>
      </c>
      <c r="G403" s="28" t="s">
        <v>62</v>
      </c>
      <c r="H403" s="2" t="s">
        <v>4</v>
      </c>
      <c r="I403" s="2" t="s">
        <v>4</v>
      </c>
      <c r="J403" s="28" t="s">
        <v>62</v>
      </c>
      <c r="K403" s="28">
        <v>27</v>
      </c>
      <c r="L403" s="2" t="s">
        <v>4</v>
      </c>
      <c r="Q403" s="1"/>
      <c r="R403" s="1"/>
      <c r="S403" s="1"/>
    </row>
    <row r="404" spans="1:19" x14ac:dyDescent="0.25">
      <c r="A404" s="15" t="s">
        <v>87</v>
      </c>
      <c r="B404" s="15" t="s">
        <v>86</v>
      </c>
      <c r="C404" s="2">
        <v>29232584</v>
      </c>
      <c r="D404" s="2" t="s">
        <v>65</v>
      </c>
      <c r="E404" s="2" t="s">
        <v>64</v>
      </c>
      <c r="F404" s="28" t="s">
        <v>63</v>
      </c>
      <c r="G404" s="28" t="s">
        <v>62</v>
      </c>
      <c r="H404" s="2" t="s">
        <v>4</v>
      </c>
      <c r="I404" s="2" t="s">
        <v>4</v>
      </c>
      <c r="J404" s="28" t="s">
        <v>62</v>
      </c>
      <c r="K404" s="28">
        <v>15.2</v>
      </c>
      <c r="L404" s="2" t="s">
        <v>4</v>
      </c>
      <c r="Q404" s="1"/>
      <c r="R404" s="1"/>
      <c r="S404" s="1"/>
    </row>
    <row r="405" spans="1:19" x14ac:dyDescent="0.25">
      <c r="A405" s="15" t="s">
        <v>85</v>
      </c>
      <c r="B405" s="15" t="s">
        <v>84</v>
      </c>
      <c r="C405" s="2">
        <v>29232584</v>
      </c>
      <c r="D405" s="2" t="s">
        <v>65</v>
      </c>
      <c r="E405" s="2" t="s">
        <v>64</v>
      </c>
      <c r="F405" s="28" t="s">
        <v>63</v>
      </c>
      <c r="G405" s="28" t="s">
        <v>62</v>
      </c>
      <c r="H405" s="2" t="s">
        <v>4</v>
      </c>
      <c r="I405" s="2" t="s">
        <v>4</v>
      </c>
      <c r="J405" s="28" t="s">
        <v>62</v>
      </c>
      <c r="K405" s="28">
        <v>4.2</v>
      </c>
      <c r="L405" s="2" t="s">
        <v>3</v>
      </c>
      <c r="Q405" s="1"/>
      <c r="R405" s="1"/>
      <c r="S405" s="1"/>
    </row>
    <row r="406" spans="1:19" x14ac:dyDescent="0.25">
      <c r="A406" s="15" t="s">
        <v>83</v>
      </c>
      <c r="B406" s="15" t="s">
        <v>82</v>
      </c>
      <c r="C406" s="2">
        <v>29232584</v>
      </c>
      <c r="D406" s="2" t="s">
        <v>65</v>
      </c>
      <c r="E406" s="2" t="s">
        <v>64</v>
      </c>
      <c r="F406" s="28" t="s">
        <v>63</v>
      </c>
      <c r="G406" s="28" t="s">
        <v>62</v>
      </c>
      <c r="H406" s="2" t="s">
        <v>4</v>
      </c>
      <c r="I406" s="2" t="s">
        <v>4</v>
      </c>
      <c r="J406" s="28" t="s">
        <v>62</v>
      </c>
      <c r="K406" s="28">
        <v>25</v>
      </c>
      <c r="L406" s="2" t="s">
        <v>4</v>
      </c>
      <c r="Q406" s="1"/>
      <c r="R406" s="1"/>
      <c r="S406" s="1"/>
    </row>
    <row r="407" spans="1:19" x14ac:dyDescent="0.25">
      <c r="A407" s="15" t="s">
        <v>81</v>
      </c>
      <c r="B407" s="15" t="s">
        <v>80</v>
      </c>
      <c r="C407" s="2">
        <v>29232584</v>
      </c>
      <c r="D407" s="2" t="s">
        <v>65</v>
      </c>
      <c r="E407" s="2" t="s">
        <v>64</v>
      </c>
      <c r="F407" s="28" t="s">
        <v>63</v>
      </c>
      <c r="G407" s="28" t="s">
        <v>62</v>
      </c>
      <c r="H407" s="2" t="s">
        <v>4</v>
      </c>
      <c r="I407" s="2" t="s">
        <v>4</v>
      </c>
      <c r="J407" s="28" t="s">
        <v>62</v>
      </c>
      <c r="K407" s="28">
        <v>25.8</v>
      </c>
      <c r="L407" s="2" t="s">
        <v>4</v>
      </c>
      <c r="Q407" s="1"/>
      <c r="R407" s="1"/>
      <c r="S407" s="1"/>
    </row>
    <row r="408" spans="1:19" x14ac:dyDescent="0.25">
      <c r="A408" s="15" t="s">
        <v>79</v>
      </c>
      <c r="B408" s="15" t="s">
        <v>78</v>
      </c>
      <c r="C408" s="2">
        <v>29232584</v>
      </c>
      <c r="D408" s="2" t="s">
        <v>65</v>
      </c>
      <c r="E408" s="2" t="s">
        <v>64</v>
      </c>
      <c r="F408" s="28" t="s">
        <v>63</v>
      </c>
      <c r="G408" s="28" t="s">
        <v>62</v>
      </c>
      <c r="H408" s="2" t="s">
        <v>4</v>
      </c>
      <c r="I408" s="2" t="s">
        <v>4</v>
      </c>
      <c r="J408" s="28" t="s">
        <v>62</v>
      </c>
      <c r="K408" s="28">
        <v>19.8</v>
      </c>
      <c r="L408" s="2" t="s">
        <v>4</v>
      </c>
      <c r="Q408" s="1"/>
      <c r="R408" s="1"/>
      <c r="S408" s="1"/>
    </row>
    <row r="409" spans="1:19" x14ac:dyDescent="0.25">
      <c r="A409" s="15" t="s">
        <v>77</v>
      </c>
      <c r="B409" s="15" t="s">
        <v>76</v>
      </c>
      <c r="C409" s="2">
        <v>29232584</v>
      </c>
      <c r="D409" s="2" t="s">
        <v>65</v>
      </c>
      <c r="E409" s="2" t="s">
        <v>64</v>
      </c>
      <c r="F409" s="28" t="s">
        <v>63</v>
      </c>
      <c r="G409" s="28" t="s">
        <v>62</v>
      </c>
      <c r="H409" s="2" t="s">
        <v>4</v>
      </c>
      <c r="I409" s="2" t="s">
        <v>4</v>
      </c>
      <c r="J409" s="28" t="s">
        <v>62</v>
      </c>
      <c r="K409" s="28">
        <v>24.9</v>
      </c>
      <c r="L409" s="2" t="s">
        <v>4</v>
      </c>
      <c r="Q409" s="1"/>
      <c r="R409" s="1"/>
      <c r="S409" s="1"/>
    </row>
    <row r="410" spans="1:19" x14ac:dyDescent="0.25">
      <c r="A410" s="15" t="s">
        <v>75</v>
      </c>
      <c r="B410" s="15" t="s">
        <v>74</v>
      </c>
      <c r="C410" s="2">
        <v>29232584</v>
      </c>
      <c r="D410" s="2" t="s">
        <v>65</v>
      </c>
      <c r="E410" s="2" t="s">
        <v>64</v>
      </c>
      <c r="F410" s="28" t="s">
        <v>63</v>
      </c>
      <c r="G410" s="28" t="s">
        <v>62</v>
      </c>
      <c r="H410" s="2" t="s">
        <v>4</v>
      </c>
      <c r="I410" s="2" t="s">
        <v>4</v>
      </c>
      <c r="J410" s="28" t="s">
        <v>62</v>
      </c>
      <c r="K410" s="28">
        <v>23.4</v>
      </c>
      <c r="L410" s="2" t="s">
        <v>4</v>
      </c>
      <c r="Q410" s="1"/>
      <c r="R410" s="1"/>
      <c r="S410" s="1"/>
    </row>
    <row r="411" spans="1:19" x14ac:dyDescent="0.25">
      <c r="A411" s="15" t="s">
        <v>73</v>
      </c>
      <c r="B411" s="15" t="s">
        <v>72</v>
      </c>
      <c r="C411" s="2">
        <v>29232584</v>
      </c>
      <c r="D411" s="2" t="s">
        <v>65</v>
      </c>
      <c r="E411" s="2" t="s">
        <v>64</v>
      </c>
      <c r="F411" s="28" t="s">
        <v>63</v>
      </c>
      <c r="G411" s="28" t="s">
        <v>62</v>
      </c>
      <c r="H411" s="2" t="s">
        <v>4</v>
      </c>
      <c r="I411" s="2" t="s">
        <v>4</v>
      </c>
      <c r="J411" s="28" t="s">
        <v>62</v>
      </c>
      <c r="K411" s="28">
        <v>10.6</v>
      </c>
      <c r="L411" s="2" t="s">
        <v>4</v>
      </c>
      <c r="Q411" s="1"/>
      <c r="R411" s="1"/>
      <c r="S411" s="1"/>
    </row>
    <row r="412" spans="1:19" x14ac:dyDescent="0.25">
      <c r="A412" s="15" t="s">
        <v>71</v>
      </c>
      <c r="B412" s="15" t="s">
        <v>70</v>
      </c>
      <c r="C412" s="2">
        <v>29232584</v>
      </c>
      <c r="D412" s="2" t="s">
        <v>65</v>
      </c>
      <c r="E412" s="2" t="s">
        <v>64</v>
      </c>
      <c r="F412" s="28" t="s">
        <v>63</v>
      </c>
      <c r="G412" s="28" t="s">
        <v>62</v>
      </c>
      <c r="H412" s="2" t="s">
        <v>4</v>
      </c>
      <c r="I412" s="2" t="s">
        <v>4</v>
      </c>
      <c r="J412" s="28" t="s">
        <v>62</v>
      </c>
      <c r="K412" s="28">
        <v>1</v>
      </c>
      <c r="L412" s="2" t="s">
        <v>3</v>
      </c>
      <c r="Q412" s="1"/>
      <c r="R412" s="1"/>
      <c r="S412" s="1"/>
    </row>
    <row r="413" spans="1:19" x14ac:dyDescent="0.25">
      <c r="A413" s="15" t="s">
        <v>69</v>
      </c>
      <c r="B413" s="15" t="s">
        <v>68</v>
      </c>
      <c r="C413" s="2">
        <v>29232584</v>
      </c>
      <c r="D413" s="2" t="s">
        <v>65</v>
      </c>
      <c r="E413" s="2" t="s">
        <v>64</v>
      </c>
      <c r="F413" s="28" t="s">
        <v>63</v>
      </c>
      <c r="G413" s="28" t="s">
        <v>62</v>
      </c>
      <c r="H413" s="2" t="s">
        <v>4</v>
      </c>
      <c r="I413" s="2" t="s">
        <v>4</v>
      </c>
      <c r="J413" s="28" t="s">
        <v>62</v>
      </c>
      <c r="K413" s="28">
        <v>25.4</v>
      </c>
      <c r="L413" s="2" t="s">
        <v>4</v>
      </c>
      <c r="Q413" s="1"/>
      <c r="R413" s="1"/>
      <c r="S413" s="1"/>
    </row>
    <row r="414" spans="1:19" x14ac:dyDescent="0.25">
      <c r="A414" s="15" t="s">
        <v>67</v>
      </c>
      <c r="B414" s="15" t="s">
        <v>66</v>
      </c>
      <c r="C414" s="2">
        <v>29232584</v>
      </c>
      <c r="D414" s="2" t="s">
        <v>65</v>
      </c>
      <c r="E414" s="2" t="s">
        <v>64</v>
      </c>
      <c r="F414" s="28" t="s">
        <v>63</v>
      </c>
      <c r="G414" s="28" t="s">
        <v>62</v>
      </c>
      <c r="H414" s="2" t="s">
        <v>4</v>
      </c>
      <c r="I414" s="2" t="s">
        <v>4</v>
      </c>
      <c r="J414" s="28" t="s">
        <v>62</v>
      </c>
      <c r="K414" s="28">
        <v>27.2</v>
      </c>
      <c r="L414" s="2" t="s">
        <v>4</v>
      </c>
      <c r="Q414" s="1"/>
      <c r="R414" s="1"/>
      <c r="S414" s="1"/>
    </row>
  </sheetData>
  <pageMargins left="0.7" right="0.7" top="0.75" bottom="0.75" header="0.3" footer="0.3"/>
  <pageSetup paperSize="9" scale="69" orientation="landscape" r:id="rId1"/>
  <headerFooter>
    <oddHeader>&amp;R&amp;"Calibri"&amp;8&amp;K000000 Begränsad delning&amp;1#_x000D_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7726-EC7B-4213-B1ED-6BAC8DA10E73}">
  <dimension ref="A1:D107"/>
  <sheetViews>
    <sheetView workbookViewId="0">
      <selection activeCell="G10" sqref="G10"/>
    </sheetView>
  </sheetViews>
  <sheetFormatPr defaultRowHeight="15" x14ac:dyDescent="0.25"/>
  <cols>
    <col min="1" max="1" width="24.140625" style="2" customWidth="1"/>
    <col min="2" max="2" width="26.28515625" style="2" customWidth="1"/>
    <col min="3" max="16384" width="9.140625" style="1"/>
  </cols>
  <sheetData>
    <row r="1" spans="1:4" x14ac:dyDescent="0.25">
      <c r="A1" s="47" t="s">
        <v>925</v>
      </c>
      <c r="B1" s="48"/>
    </row>
    <row r="2" spans="1:4" x14ac:dyDescent="0.25">
      <c r="A2" s="48"/>
      <c r="B2" s="48"/>
    </row>
    <row r="3" spans="1:4" x14ac:dyDescent="0.25">
      <c r="A3" s="4" t="s">
        <v>27</v>
      </c>
      <c r="B3" s="4" t="s">
        <v>28</v>
      </c>
      <c r="D3" s="3"/>
    </row>
    <row r="4" spans="1:4" x14ac:dyDescent="0.25">
      <c r="A4" s="30">
        <v>1</v>
      </c>
      <c r="B4" s="31">
        <v>1</v>
      </c>
    </row>
    <row r="5" spans="1:4" x14ac:dyDescent="0.25">
      <c r="A5" s="30">
        <v>0.99910900000000002</v>
      </c>
      <c r="B5" s="31">
        <v>1</v>
      </c>
      <c r="D5" s="9"/>
    </row>
    <row r="6" spans="1:4" x14ac:dyDescent="0.25">
      <c r="A6" s="30">
        <v>0.99643499999999996</v>
      </c>
      <c r="B6" s="31">
        <v>1</v>
      </c>
    </row>
    <row r="7" spans="1:4" x14ac:dyDescent="0.25">
      <c r="A7" s="30">
        <v>0.99287000000000003</v>
      </c>
      <c r="B7" s="31">
        <v>1</v>
      </c>
    </row>
    <row r="8" spans="1:4" x14ac:dyDescent="0.25">
      <c r="A8" s="30">
        <v>0.99108700000000005</v>
      </c>
      <c r="B8" s="31">
        <v>1</v>
      </c>
    </row>
    <row r="9" spans="1:4" x14ac:dyDescent="0.25">
      <c r="A9" s="30">
        <v>0.98484799999999995</v>
      </c>
      <c r="B9" s="31">
        <v>1</v>
      </c>
    </row>
    <row r="10" spans="1:4" x14ac:dyDescent="0.25">
      <c r="A10" s="30">
        <v>0.97771799999999998</v>
      </c>
      <c r="B10" s="31">
        <v>1</v>
      </c>
    </row>
    <row r="11" spans="1:4" x14ac:dyDescent="0.25">
      <c r="A11" s="30">
        <v>0.96702299999999997</v>
      </c>
      <c r="B11" s="31">
        <v>1</v>
      </c>
    </row>
    <row r="12" spans="1:4" x14ac:dyDescent="0.25">
      <c r="A12" s="30">
        <v>0.95721900000000004</v>
      </c>
      <c r="B12" s="31">
        <v>1</v>
      </c>
    </row>
    <row r="13" spans="1:4" x14ac:dyDescent="0.25">
      <c r="A13" s="30">
        <v>0.94206800000000002</v>
      </c>
      <c r="B13" s="31">
        <v>1</v>
      </c>
    </row>
    <row r="14" spans="1:4" x14ac:dyDescent="0.25">
      <c r="A14" s="30">
        <v>0.914439</v>
      </c>
      <c r="B14" s="31">
        <v>1</v>
      </c>
    </row>
    <row r="15" spans="1:4" x14ac:dyDescent="0.25">
      <c r="A15" s="30">
        <v>0.90017800000000003</v>
      </c>
      <c r="B15" s="31">
        <v>1</v>
      </c>
    </row>
    <row r="16" spans="1:4" x14ac:dyDescent="0.25">
      <c r="A16" s="30">
        <v>0.87522299999999997</v>
      </c>
      <c r="B16" s="31">
        <v>1</v>
      </c>
    </row>
    <row r="17" spans="1:2" x14ac:dyDescent="0.25">
      <c r="A17" s="30">
        <v>0.85204999999999997</v>
      </c>
      <c r="B17" s="31">
        <v>1</v>
      </c>
    </row>
    <row r="18" spans="1:2" x14ac:dyDescent="0.25">
      <c r="A18" s="30">
        <v>0.82352899999999996</v>
      </c>
      <c r="B18" s="31">
        <v>0.99910900000000002</v>
      </c>
    </row>
    <row r="19" spans="1:2" x14ac:dyDescent="0.25">
      <c r="A19" s="30">
        <v>0.79144400000000004</v>
      </c>
      <c r="B19" s="31">
        <v>0.99910900000000002</v>
      </c>
    </row>
    <row r="20" spans="1:2" x14ac:dyDescent="0.25">
      <c r="A20" s="30">
        <v>0.76559699999999997</v>
      </c>
      <c r="B20" s="31">
        <v>0.99910900000000002</v>
      </c>
    </row>
    <row r="21" spans="1:2" x14ac:dyDescent="0.25">
      <c r="A21" s="30">
        <v>0.73083799999999999</v>
      </c>
      <c r="B21" s="31">
        <v>0.99910900000000002</v>
      </c>
    </row>
    <row r="22" spans="1:2" x14ac:dyDescent="0.25">
      <c r="A22" s="30">
        <v>0.70231699999999997</v>
      </c>
      <c r="B22" s="31">
        <v>0.99910900000000002</v>
      </c>
    </row>
    <row r="23" spans="1:2" x14ac:dyDescent="0.25">
      <c r="A23" s="30">
        <v>0.67825299999999999</v>
      </c>
      <c r="B23" s="31">
        <v>0.99910900000000002</v>
      </c>
    </row>
    <row r="24" spans="1:2" x14ac:dyDescent="0.25">
      <c r="A24" s="30">
        <v>0.64438499999999999</v>
      </c>
      <c r="B24" s="31">
        <v>0.99821700000000002</v>
      </c>
    </row>
    <row r="25" spans="1:2" x14ac:dyDescent="0.25">
      <c r="A25" s="30">
        <v>0.62388600000000005</v>
      </c>
      <c r="B25" s="31">
        <v>0.99821700000000002</v>
      </c>
    </row>
    <row r="26" spans="1:2" x14ac:dyDescent="0.25">
      <c r="A26" s="30">
        <v>0.58823499999999995</v>
      </c>
      <c r="B26" s="31">
        <v>0.99732600000000005</v>
      </c>
    </row>
    <row r="27" spans="1:2" x14ac:dyDescent="0.25">
      <c r="A27" s="30">
        <v>0.55080200000000001</v>
      </c>
      <c r="B27" s="31">
        <v>0.99554399999999998</v>
      </c>
    </row>
    <row r="28" spans="1:2" x14ac:dyDescent="0.25">
      <c r="A28" s="30">
        <v>0.51604300000000003</v>
      </c>
      <c r="B28" s="31">
        <v>0.99376100000000001</v>
      </c>
    </row>
    <row r="29" spans="1:2" x14ac:dyDescent="0.25">
      <c r="A29" s="30">
        <v>0.49286999999999997</v>
      </c>
      <c r="B29" s="31">
        <v>0.99108700000000005</v>
      </c>
    </row>
    <row r="30" spans="1:2" x14ac:dyDescent="0.25">
      <c r="A30" s="30">
        <v>0.46702300000000002</v>
      </c>
      <c r="B30" s="31">
        <v>0.99108700000000005</v>
      </c>
    </row>
    <row r="31" spans="1:2" x14ac:dyDescent="0.25">
      <c r="A31" s="30">
        <v>0.43226399999999998</v>
      </c>
      <c r="B31" s="31">
        <v>0.98752200000000001</v>
      </c>
    </row>
    <row r="32" spans="1:2" x14ac:dyDescent="0.25">
      <c r="A32" s="30">
        <v>0.40909099999999998</v>
      </c>
      <c r="B32" s="31">
        <v>0.98573999999999995</v>
      </c>
    </row>
    <row r="33" spans="1:2" x14ac:dyDescent="0.25">
      <c r="A33" s="30">
        <v>0.384135</v>
      </c>
      <c r="B33" s="31">
        <v>0.983066</v>
      </c>
    </row>
    <row r="34" spans="1:2" x14ac:dyDescent="0.25">
      <c r="A34" s="30">
        <v>0.36898399999999998</v>
      </c>
      <c r="B34" s="31">
        <v>0.98039200000000004</v>
      </c>
    </row>
    <row r="35" spans="1:2" x14ac:dyDescent="0.25">
      <c r="A35" s="30">
        <v>0.34848499999999999</v>
      </c>
      <c r="B35" s="31">
        <v>0.97771799999999998</v>
      </c>
    </row>
    <row r="36" spans="1:2" x14ac:dyDescent="0.25">
      <c r="A36" s="30">
        <v>0.33689799999999998</v>
      </c>
      <c r="B36" s="31">
        <v>0.976827</v>
      </c>
    </row>
    <row r="37" spans="1:2" x14ac:dyDescent="0.25">
      <c r="A37" s="30">
        <v>0.31461699999999998</v>
      </c>
      <c r="B37" s="31">
        <v>0.97237099999999999</v>
      </c>
    </row>
    <row r="38" spans="1:2" x14ac:dyDescent="0.25">
      <c r="A38" s="30">
        <v>0.29233500000000001</v>
      </c>
      <c r="B38" s="31">
        <v>0.96702299999999997</v>
      </c>
    </row>
    <row r="39" spans="1:2" x14ac:dyDescent="0.25">
      <c r="A39" s="30">
        <v>0.28342200000000001</v>
      </c>
      <c r="B39" s="31">
        <v>0.959893</v>
      </c>
    </row>
    <row r="40" spans="1:2" x14ac:dyDescent="0.25">
      <c r="A40" s="30">
        <v>0.26738000000000001</v>
      </c>
      <c r="B40" s="31">
        <v>0.95543699999999998</v>
      </c>
    </row>
    <row r="41" spans="1:2" x14ac:dyDescent="0.25">
      <c r="A41" s="30">
        <v>0.25222800000000001</v>
      </c>
      <c r="B41" s="31">
        <v>0.95187200000000005</v>
      </c>
    </row>
    <row r="42" spans="1:2" x14ac:dyDescent="0.25">
      <c r="A42" s="30">
        <v>0.24064199999999999</v>
      </c>
      <c r="B42" s="31">
        <v>0.94919799999999999</v>
      </c>
    </row>
    <row r="43" spans="1:2" x14ac:dyDescent="0.25">
      <c r="A43" s="30">
        <v>0.226381</v>
      </c>
      <c r="B43" s="31">
        <v>0.94474199999999997</v>
      </c>
    </row>
    <row r="44" spans="1:2" x14ac:dyDescent="0.25">
      <c r="A44" s="30">
        <v>0.20766499999999999</v>
      </c>
      <c r="B44" s="31">
        <v>0.93850299999999998</v>
      </c>
    </row>
    <row r="45" spans="1:2" x14ac:dyDescent="0.25">
      <c r="A45" s="30">
        <v>0.19162199999999999</v>
      </c>
      <c r="B45" s="31">
        <v>0.92959000000000003</v>
      </c>
    </row>
    <row r="46" spans="1:2" x14ac:dyDescent="0.25">
      <c r="A46" s="30">
        <v>0.179144</v>
      </c>
      <c r="B46" s="31">
        <v>0.92780700000000005</v>
      </c>
    </row>
    <row r="47" spans="1:2" x14ac:dyDescent="0.25">
      <c r="A47" s="30">
        <v>0.16577500000000001</v>
      </c>
      <c r="B47" s="31">
        <v>0.92424200000000001</v>
      </c>
    </row>
    <row r="48" spans="1:2" x14ac:dyDescent="0.25">
      <c r="A48" s="30">
        <v>0.15151500000000001</v>
      </c>
      <c r="B48" s="31">
        <v>0.91978599999999999</v>
      </c>
    </row>
    <row r="49" spans="1:2" x14ac:dyDescent="0.25">
      <c r="A49" s="30">
        <v>0.13814599999999999</v>
      </c>
      <c r="B49" s="31">
        <v>0.91265600000000002</v>
      </c>
    </row>
    <row r="50" spans="1:2" x14ac:dyDescent="0.25">
      <c r="A50" s="30">
        <v>0.131907</v>
      </c>
      <c r="B50" s="31">
        <v>0.90374299999999996</v>
      </c>
    </row>
    <row r="51" spans="1:2" x14ac:dyDescent="0.25">
      <c r="A51" s="30">
        <v>0.120321</v>
      </c>
      <c r="B51" s="31">
        <v>0.89750399999999997</v>
      </c>
    </row>
    <row r="52" spans="1:2" x14ac:dyDescent="0.25">
      <c r="A52" s="30">
        <v>0.115865</v>
      </c>
      <c r="B52" s="31">
        <v>0.88770099999999996</v>
      </c>
    </row>
    <row r="53" spans="1:2" x14ac:dyDescent="0.25">
      <c r="A53" s="30">
        <v>0.10338700000000001</v>
      </c>
      <c r="B53" s="31">
        <v>0.88056999999999996</v>
      </c>
    </row>
    <row r="54" spans="1:2" x14ac:dyDescent="0.25">
      <c r="A54" s="30">
        <v>9.8039000000000001E-2</v>
      </c>
      <c r="B54" s="31">
        <v>0.87165800000000004</v>
      </c>
    </row>
    <row r="55" spans="1:2" x14ac:dyDescent="0.25">
      <c r="A55" s="30">
        <v>8.7344000000000005E-2</v>
      </c>
      <c r="B55" s="31">
        <v>0.85918000000000005</v>
      </c>
    </row>
    <row r="56" spans="1:2" x14ac:dyDescent="0.25">
      <c r="A56" s="30">
        <v>7.8431000000000001E-2</v>
      </c>
      <c r="B56" s="31">
        <v>0.84848500000000004</v>
      </c>
    </row>
    <row r="57" spans="1:2" x14ac:dyDescent="0.25">
      <c r="A57" s="30">
        <v>7.1301000000000003E-2</v>
      </c>
      <c r="B57" s="31">
        <v>0.84046299999999996</v>
      </c>
    </row>
    <row r="58" spans="1:2" x14ac:dyDescent="0.25">
      <c r="A58" s="30">
        <v>6.5953999999999999E-2</v>
      </c>
      <c r="B58" s="31">
        <v>0.83065999999999995</v>
      </c>
    </row>
    <row r="59" spans="1:2" x14ac:dyDescent="0.25">
      <c r="A59" s="30">
        <v>6.2389E-2</v>
      </c>
      <c r="B59" s="31">
        <v>0.81729099999999999</v>
      </c>
    </row>
    <row r="60" spans="1:2" x14ac:dyDescent="0.25">
      <c r="A60" s="30">
        <v>5.4366999999999999E-2</v>
      </c>
      <c r="B60" s="31">
        <v>0.80837800000000004</v>
      </c>
    </row>
    <row r="61" spans="1:2" x14ac:dyDescent="0.25">
      <c r="A61" s="30">
        <v>4.8127999999999997E-2</v>
      </c>
      <c r="B61" s="31">
        <v>0.79590000000000005</v>
      </c>
    </row>
    <row r="62" spans="1:2" x14ac:dyDescent="0.25">
      <c r="A62" s="30">
        <v>4.0998E-2</v>
      </c>
      <c r="B62" s="31">
        <v>0.78253099999999998</v>
      </c>
    </row>
    <row r="63" spans="1:2" x14ac:dyDescent="0.25">
      <c r="A63" s="30">
        <v>3.9216000000000001E-2</v>
      </c>
      <c r="B63" s="31">
        <v>0.77183599999999997</v>
      </c>
    </row>
    <row r="64" spans="1:2" x14ac:dyDescent="0.25">
      <c r="A64" s="30">
        <v>3.2976999999999999E-2</v>
      </c>
      <c r="B64" s="31">
        <v>0.75490199999999996</v>
      </c>
    </row>
    <row r="65" spans="1:2" x14ac:dyDescent="0.25">
      <c r="A65" s="30">
        <v>3.0303E-2</v>
      </c>
      <c r="B65" s="31">
        <v>0.74509800000000004</v>
      </c>
    </row>
    <row r="66" spans="1:2" x14ac:dyDescent="0.25">
      <c r="A66" s="30">
        <v>2.6738000000000001E-2</v>
      </c>
      <c r="B66" s="31">
        <v>0.72816400000000003</v>
      </c>
    </row>
    <row r="67" spans="1:2" x14ac:dyDescent="0.25">
      <c r="A67" s="30">
        <v>2.1389999999999999E-2</v>
      </c>
      <c r="B67" s="31">
        <v>0.71836</v>
      </c>
    </row>
    <row r="68" spans="1:2" x14ac:dyDescent="0.25">
      <c r="A68" s="30">
        <v>1.7825000000000001E-2</v>
      </c>
      <c r="B68" s="31">
        <v>0.69875200000000004</v>
      </c>
    </row>
    <row r="69" spans="1:2" x14ac:dyDescent="0.25">
      <c r="A69" s="30">
        <v>1.6934000000000001E-2</v>
      </c>
      <c r="B69" s="31">
        <v>0.68805700000000003</v>
      </c>
    </row>
    <row r="70" spans="1:2" x14ac:dyDescent="0.25">
      <c r="A70" s="30">
        <v>1.426E-2</v>
      </c>
      <c r="B70" s="31">
        <v>0.67023200000000005</v>
      </c>
    </row>
    <row r="71" spans="1:2" x14ac:dyDescent="0.25">
      <c r="A71" s="30">
        <v>1.2478E-2</v>
      </c>
      <c r="B71" s="31">
        <v>0.64527599999999996</v>
      </c>
    </row>
    <row r="72" spans="1:2" x14ac:dyDescent="0.25">
      <c r="A72" s="30">
        <v>6.2389999999999998E-3</v>
      </c>
      <c r="B72" s="31">
        <v>0.62121199999999999</v>
      </c>
    </row>
    <row r="73" spans="1:2" x14ac:dyDescent="0.25">
      <c r="A73" s="30">
        <v>6.2389999999999998E-3</v>
      </c>
      <c r="B73" s="31">
        <v>0.60160400000000003</v>
      </c>
    </row>
    <row r="74" spans="1:2" x14ac:dyDescent="0.25">
      <c r="A74" s="30">
        <v>6.2389999999999998E-3</v>
      </c>
      <c r="B74" s="31">
        <v>0.60071300000000005</v>
      </c>
    </row>
    <row r="75" spans="1:2" x14ac:dyDescent="0.25">
      <c r="A75" s="30">
        <v>6.2389999999999998E-3</v>
      </c>
      <c r="B75" s="31">
        <v>0.58199599999999996</v>
      </c>
    </row>
    <row r="76" spans="1:2" x14ac:dyDescent="0.25">
      <c r="A76" s="30">
        <v>5.3480000000000003E-3</v>
      </c>
      <c r="B76" s="31">
        <v>0.56684500000000004</v>
      </c>
    </row>
    <row r="77" spans="1:2" x14ac:dyDescent="0.25">
      <c r="A77" s="30">
        <v>3.565E-3</v>
      </c>
      <c r="B77" s="31">
        <v>0.54278099999999996</v>
      </c>
    </row>
    <row r="78" spans="1:2" x14ac:dyDescent="0.25">
      <c r="A78" s="30">
        <v>3.565E-3</v>
      </c>
      <c r="B78" s="31">
        <v>0.54188899999999995</v>
      </c>
    </row>
    <row r="79" spans="1:2" x14ac:dyDescent="0.25">
      <c r="A79" s="30">
        <v>2.6740000000000002E-3</v>
      </c>
      <c r="B79" s="31">
        <v>0.52406399999999997</v>
      </c>
    </row>
    <row r="80" spans="1:2" x14ac:dyDescent="0.25">
      <c r="A80" s="30">
        <v>1.7830000000000001E-3</v>
      </c>
      <c r="B80" s="31">
        <v>0.50802099999999994</v>
      </c>
    </row>
    <row r="81" spans="1:2" x14ac:dyDescent="0.25">
      <c r="A81" s="30">
        <v>8.9099999999999997E-4</v>
      </c>
      <c r="B81" s="31">
        <v>0.475045</v>
      </c>
    </row>
    <row r="82" spans="1:2" x14ac:dyDescent="0.25">
      <c r="A82" s="30">
        <v>8.9099999999999997E-4</v>
      </c>
      <c r="B82" s="31">
        <v>0.45721899999999999</v>
      </c>
    </row>
    <row r="83" spans="1:2" x14ac:dyDescent="0.25">
      <c r="A83" s="30">
        <v>8.9099999999999997E-4</v>
      </c>
      <c r="B83" s="31">
        <v>0.430481</v>
      </c>
    </row>
    <row r="84" spans="1:2" x14ac:dyDescent="0.25">
      <c r="A84" s="30">
        <v>8.9099999999999997E-4</v>
      </c>
      <c r="B84" s="31">
        <v>0.42959000000000003</v>
      </c>
    </row>
    <row r="85" spans="1:2" x14ac:dyDescent="0.25">
      <c r="A85" s="30">
        <v>8.9099999999999997E-4</v>
      </c>
      <c r="B85" s="31">
        <v>0.40196100000000001</v>
      </c>
    </row>
    <row r="86" spans="1:2" x14ac:dyDescent="0.25">
      <c r="A86" s="30">
        <v>8.9099999999999997E-4</v>
      </c>
      <c r="B86" s="31">
        <v>0.37967899999999999</v>
      </c>
    </row>
    <row r="87" spans="1:2" x14ac:dyDescent="0.25">
      <c r="A87" s="30">
        <v>8.9099999999999997E-4</v>
      </c>
      <c r="B87" s="31">
        <v>0.36185400000000001</v>
      </c>
    </row>
    <row r="88" spans="1:2" x14ac:dyDescent="0.25">
      <c r="A88" s="30">
        <v>8.9099999999999997E-4</v>
      </c>
      <c r="B88" s="31">
        <v>0.34046300000000002</v>
      </c>
    </row>
    <row r="89" spans="1:2" x14ac:dyDescent="0.25">
      <c r="A89" s="30">
        <v>8.9099999999999997E-4</v>
      </c>
      <c r="B89" s="31">
        <v>0.32263799999999998</v>
      </c>
    </row>
    <row r="90" spans="1:2" x14ac:dyDescent="0.25">
      <c r="A90" s="30">
        <v>8.9099999999999997E-4</v>
      </c>
      <c r="B90" s="31">
        <v>0.30213899999999999</v>
      </c>
    </row>
    <row r="91" spans="1:2" x14ac:dyDescent="0.25">
      <c r="A91" s="30">
        <v>8.9099999999999997E-4</v>
      </c>
      <c r="B91" s="31">
        <v>0.28431400000000001</v>
      </c>
    </row>
    <row r="92" spans="1:2" x14ac:dyDescent="0.25">
      <c r="A92" s="30">
        <v>8.9099999999999997E-4</v>
      </c>
      <c r="B92" s="31">
        <v>0.264706</v>
      </c>
    </row>
    <row r="93" spans="1:2" x14ac:dyDescent="0.25">
      <c r="A93" s="30">
        <v>8.9099999999999997E-4</v>
      </c>
      <c r="B93" s="31">
        <v>0.24420700000000001</v>
      </c>
    </row>
    <row r="94" spans="1:2" x14ac:dyDescent="0.25">
      <c r="A94" s="30">
        <v>0</v>
      </c>
      <c r="B94" s="31">
        <v>0.226381</v>
      </c>
    </row>
    <row r="95" spans="1:2" x14ac:dyDescent="0.25">
      <c r="A95" s="30">
        <v>0</v>
      </c>
      <c r="B95" s="31">
        <v>0.21301200000000001</v>
      </c>
    </row>
    <row r="96" spans="1:2" x14ac:dyDescent="0.25">
      <c r="A96" s="30">
        <v>0</v>
      </c>
      <c r="B96" s="31">
        <v>0.186275</v>
      </c>
    </row>
    <row r="97" spans="1:2" x14ac:dyDescent="0.25">
      <c r="A97" s="30">
        <v>0</v>
      </c>
      <c r="B97" s="31">
        <v>0.17379700000000001</v>
      </c>
    </row>
    <row r="98" spans="1:2" x14ac:dyDescent="0.25">
      <c r="A98" s="30">
        <v>0</v>
      </c>
      <c r="B98" s="31">
        <v>0.163102</v>
      </c>
    </row>
    <row r="99" spans="1:2" x14ac:dyDescent="0.25">
      <c r="A99" s="30">
        <v>0</v>
      </c>
      <c r="B99" s="31">
        <v>0.156863</v>
      </c>
    </row>
    <row r="100" spans="1:2" x14ac:dyDescent="0.25">
      <c r="A100" s="30">
        <v>0</v>
      </c>
      <c r="B100" s="31">
        <v>0.14260200000000001</v>
      </c>
    </row>
    <row r="101" spans="1:2" x14ac:dyDescent="0.25">
      <c r="A101" s="30">
        <v>0</v>
      </c>
      <c r="B101" s="31">
        <v>0.120321</v>
      </c>
    </row>
    <row r="102" spans="1:2" x14ac:dyDescent="0.25">
      <c r="A102" s="30">
        <v>0</v>
      </c>
      <c r="B102" s="31">
        <v>0.101604</v>
      </c>
    </row>
    <row r="103" spans="1:2" x14ac:dyDescent="0.25">
      <c r="A103" s="30">
        <v>0</v>
      </c>
      <c r="B103" s="31">
        <v>0.100713</v>
      </c>
    </row>
    <row r="104" spans="1:2" x14ac:dyDescent="0.25">
      <c r="A104" s="30">
        <v>0</v>
      </c>
      <c r="B104" s="31">
        <v>8.1995999999999999E-2</v>
      </c>
    </row>
    <row r="105" spans="1:2" x14ac:dyDescent="0.25">
      <c r="A105" s="30">
        <v>0</v>
      </c>
      <c r="B105" s="31">
        <v>6.6845000000000002E-2</v>
      </c>
    </row>
    <row r="106" spans="1:2" x14ac:dyDescent="0.25">
      <c r="A106" s="30">
        <v>0</v>
      </c>
      <c r="B106" s="31">
        <v>3.5651000000000002E-2</v>
      </c>
    </row>
    <row r="107" spans="1:2" x14ac:dyDescent="0.25">
      <c r="A107" s="30">
        <v>0</v>
      </c>
      <c r="B107" s="31">
        <v>0</v>
      </c>
    </row>
  </sheetData>
  <mergeCells count="1">
    <mergeCell ref="A1:B2"/>
  </mergeCells>
  <pageMargins left="0.7" right="0.7" top="0.75" bottom="0.75" header="0.3" footer="0.3"/>
  <headerFooter>
    <oddHeader>&amp;R&amp;"Calibri"&amp;8&amp;K000000 Begränsad delning&amp;1#_x000D_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84B5-4959-4594-9BD7-D8410227BFB7}">
  <dimension ref="A1:B80"/>
  <sheetViews>
    <sheetView workbookViewId="0">
      <selection sqref="A1:B2"/>
    </sheetView>
  </sheetViews>
  <sheetFormatPr defaultRowHeight="15" x14ac:dyDescent="0.25"/>
  <cols>
    <col min="1" max="1" width="25.5703125" style="2" customWidth="1"/>
    <col min="2" max="2" width="26.5703125" style="2" customWidth="1"/>
    <col min="3" max="16384" width="9.140625" style="1"/>
  </cols>
  <sheetData>
    <row r="1" spans="1:2" x14ac:dyDescent="0.25">
      <c r="A1" s="47" t="s">
        <v>4798</v>
      </c>
      <c r="B1" s="47"/>
    </row>
    <row r="2" spans="1:2" x14ac:dyDescent="0.25">
      <c r="A2" s="47"/>
      <c r="B2" s="47"/>
    </row>
    <row r="3" spans="1:2" x14ac:dyDescent="0.25">
      <c r="A3" s="4" t="s">
        <v>29</v>
      </c>
      <c r="B3" s="4" t="s">
        <v>30</v>
      </c>
    </row>
    <row r="4" spans="1:2" x14ac:dyDescent="0.25">
      <c r="A4" s="5">
        <v>0.98752200000000001</v>
      </c>
      <c r="B4" s="43">
        <v>0.69554300000000002</v>
      </c>
    </row>
    <row r="5" spans="1:2" x14ac:dyDescent="0.25">
      <c r="A5" s="5">
        <v>0.98573999999999995</v>
      </c>
      <c r="B5" s="43">
        <v>0.70670900000000003</v>
      </c>
    </row>
    <row r="6" spans="1:2" x14ac:dyDescent="0.25">
      <c r="A6" s="5">
        <v>0.983066</v>
      </c>
      <c r="B6" s="43">
        <v>0.71903499999999998</v>
      </c>
    </row>
    <row r="7" spans="1:2" x14ac:dyDescent="0.25">
      <c r="A7" s="5">
        <v>0.98039200000000004</v>
      </c>
      <c r="B7" s="43">
        <v>0.72655199999999998</v>
      </c>
    </row>
    <row r="8" spans="1:2" x14ac:dyDescent="0.25">
      <c r="A8" s="5">
        <v>0.97771799999999998</v>
      </c>
      <c r="B8" s="43">
        <v>0.73723099999999997</v>
      </c>
    </row>
    <row r="9" spans="1:2" x14ac:dyDescent="0.25">
      <c r="A9" s="5">
        <v>0.976827</v>
      </c>
      <c r="B9" s="43">
        <v>0.74355499999999997</v>
      </c>
    </row>
    <row r="10" spans="1:2" x14ac:dyDescent="0.25">
      <c r="A10" s="5">
        <v>0.97237099999999999</v>
      </c>
      <c r="B10" s="43">
        <v>0.75553999999999999</v>
      </c>
    </row>
    <row r="11" spans="1:2" x14ac:dyDescent="0.25">
      <c r="A11" s="5">
        <v>0.96702299999999997</v>
      </c>
      <c r="B11" s="43">
        <v>0.76787000000000005</v>
      </c>
    </row>
    <row r="12" spans="1:2" x14ac:dyDescent="0.25">
      <c r="A12" s="5">
        <v>0.959893</v>
      </c>
      <c r="B12" s="43">
        <v>0.77204300000000003</v>
      </c>
    </row>
    <row r="13" spans="1:2" x14ac:dyDescent="0.25">
      <c r="A13" s="5">
        <v>0.95543699999999998</v>
      </c>
      <c r="B13" s="43">
        <v>0.78134099999999995</v>
      </c>
    </row>
    <row r="14" spans="1:2" x14ac:dyDescent="0.25">
      <c r="A14" s="5">
        <v>0.95187200000000005</v>
      </c>
      <c r="B14" s="43">
        <v>0.79052599999999995</v>
      </c>
    </row>
    <row r="15" spans="1:2" x14ac:dyDescent="0.25">
      <c r="A15" s="5">
        <v>0.94919799999999999</v>
      </c>
      <c r="B15" s="43">
        <v>0.79775300000000005</v>
      </c>
    </row>
    <row r="16" spans="1:2" x14ac:dyDescent="0.25">
      <c r="A16" s="5">
        <v>0.94474199999999997</v>
      </c>
      <c r="B16" s="43">
        <v>0.806697</v>
      </c>
    </row>
    <row r="17" spans="1:2" x14ac:dyDescent="0.25">
      <c r="A17" s="5">
        <v>0.93850299999999998</v>
      </c>
      <c r="B17" s="43">
        <v>0.81881800000000005</v>
      </c>
    </row>
    <row r="18" spans="1:2" x14ac:dyDescent="0.25">
      <c r="A18" s="5">
        <v>0.92959000000000003</v>
      </c>
      <c r="B18" s="43">
        <v>0.829094</v>
      </c>
    </row>
    <row r="19" spans="1:2" x14ac:dyDescent="0.25">
      <c r="A19" s="5">
        <v>0.92780700000000005</v>
      </c>
      <c r="B19" s="43">
        <v>0.83816400000000002</v>
      </c>
    </row>
    <row r="20" spans="1:2" x14ac:dyDescent="0.25">
      <c r="A20" s="5">
        <v>0.92424200000000001</v>
      </c>
      <c r="B20" s="43">
        <v>0.84791499999999997</v>
      </c>
    </row>
    <row r="21" spans="1:2" x14ac:dyDescent="0.25">
      <c r="A21" s="5">
        <v>0.91978599999999999</v>
      </c>
      <c r="B21" s="43">
        <v>0.85856900000000003</v>
      </c>
    </row>
    <row r="22" spans="1:2" x14ac:dyDescent="0.25">
      <c r="A22" s="5">
        <v>0.91265600000000002</v>
      </c>
      <c r="B22" s="43">
        <v>0.868533</v>
      </c>
    </row>
    <row r="23" spans="1:2" x14ac:dyDescent="0.25">
      <c r="A23" s="5">
        <v>0.90374299999999996</v>
      </c>
      <c r="B23" s="43">
        <v>0.87263299999999999</v>
      </c>
    </row>
    <row r="24" spans="1:2" x14ac:dyDescent="0.25">
      <c r="A24" s="5">
        <v>0.89750399999999997</v>
      </c>
      <c r="B24" s="43">
        <v>0.88178599999999996</v>
      </c>
    </row>
    <row r="25" spans="1:2" x14ac:dyDescent="0.25">
      <c r="A25" s="5">
        <v>0.88770099999999996</v>
      </c>
      <c r="B25" s="43">
        <v>0.88454699999999997</v>
      </c>
    </row>
    <row r="26" spans="1:2" x14ac:dyDescent="0.25">
      <c r="A26" s="5">
        <v>0.88056999999999996</v>
      </c>
      <c r="B26" s="43">
        <v>0.89492799999999995</v>
      </c>
    </row>
    <row r="27" spans="1:2" x14ac:dyDescent="0.25">
      <c r="A27" s="5">
        <v>0.87165800000000004</v>
      </c>
      <c r="B27" s="43">
        <v>0.89889699999999995</v>
      </c>
    </row>
    <row r="28" spans="1:2" x14ac:dyDescent="0.25">
      <c r="A28" s="5">
        <v>0.85918000000000005</v>
      </c>
      <c r="B28" s="43">
        <v>0.907721</v>
      </c>
    </row>
    <row r="29" spans="1:2" x14ac:dyDescent="0.25">
      <c r="A29" s="5">
        <v>0.84848500000000004</v>
      </c>
      <c r="B29" s="43">
        <v>0.915385</v>
      </c>
    </row>
    <row r="30" spans="1:2" x14ac:dyDescent="0.25">
      <c r="A30" s="5">
        <v>0.84046299999999996</v>
      </c>
      <c r="B30" s="43">
        <v>0.92179900000000004</v>
      </c>
    </row>
    <row r="31" spans="1:2" x14ac:dyDescent="0.25">
      <c r="A31" s="5">
        <v>0.83065999999999995</v>
      </c>
      <c r="B31" s="43">
        <v>0.92644099999999996</v>
      </c>
    </row>
    <row r="32" spans="1:2" x14ac:dyDescent="0.25">
      <c r="A32" s="5">
        <v>0.81729099999999999</v>
      </c>
      <c r="B32" s="43">
        <v>0.92907799999999996</v>
      </c>
    </row>
    <row r="33" spans="1:2" x14ac:dyDescent="0.25">
      <c r="A33" s="5">
        <v>0.80837800000000004</v>
      </c>
      <c r="B33" s="43">
        <v>0.93698300000000001</v>
      </c>
    </row>
    <row r="34" spans="1:2" x14ac:dyDescent="0.25">
      <c r="A34" s="5">
        <v>0.79590000000000005</v>
      </c>
      <c r="B34" s="43">
        <v>0.94297799999999998</v>
      </c>
    </row>
    <row r="35" spans="1:2" x14ac:dyDescent="0.25">
      <c r="A35" s="5">
        <v>0.78253099999999998</v>
      </c>
      <c r="B35" s="43">
        <v>0.95021599999999995</v>
      </c>
    </row>
    <row r="36" spans="1:2" x14ac:dyDescent="0.25">
      <c r="A36" s="5">
        <v>0.77183599999999997</v>
      </c>
      <c r="B36" s="43">
        <v>0.95164800000000005</v>
      </c>
    </row>
    <row r="37" spans="1:2" x14ac:dyDescent="0.25">
      <c r="A37" s="5">
        <v>0.75490199999999996</v>
      </c>
      <c r="B37" s="43">
        <v>0.95814500000000002</v>
      </c>
    </row>
    <row r="38" spans="1:2" x14ac:dyDescent="0.25">
      <c r="A38" s="5">
        <v>0.74509800000000004</v>
      </c>
      <c r="B38" s="43">
        <v>0.96092</v>
      </c>
    </row>
    <row r="39" spans="1:2" x14ac:dyDescent="0.25">
      <c r="A39" s="5">
        <v>0.72816400000000003</v>
      </c>
      <c r="B39" s="43">
        <v>0.96458100000000002</v>
      </c>
    </row>
    <row r="40" spans="1:2" x14ac:dyDescent="0.25">
      <c r="A40" s="5">
        <v>0.71836</v>
      </c>
      <c r="B40" s="43">
        <v>0.97108399999999995</v>
      </c>
    </row>
    <row r="41" spans="1:2" x14ac:dyDescent="0.25">
      <c r="A41" s="5">
        <v>0.69875200000000004</v>
      </c>
      <c r="B41" s="43">
        <v>0.97512399999999999</v>
      </c>
    </row>
    <row r="42" spans="1:2" x14ac:dyDescent="0.25">
      <c r="A42" s="5">
        <v>0.68805700000000003</v>
      </c>
      <c r="B42" s="43">
        <v>0.97597999999999996</v>
      </c>
    </row>
    <row r="43" spans="1:2" x14ac:dyDescent="0.25">
      <c r="A43" s="5">
        <v>0.67023200000000005</v>
      </c>
      <c r="B43" s="43">
        <v>0.97916700000000001</v>
      </c>
    </row>
    <row r="44" spans="1:2" x14ac:dyDescent="0.25">
      <c r="A44" s="5">
        <v>0.64527599999999996</v>
      </c>
      <c r="B44" s="43">
        <v>0.98102999999999996</v>
      </c>
    </row>
    <row r="45" spans="1:2" x14ac:dyDescent="0.25">
      <c r="A45" s="5">
        <v>0.62121199999999999</v>
      </c>
      <c r="B45" s="43">
        <v>0.99005699999999996</v>
      </c>
    </row>
    <row r="46" spans="1:2" x14ac:dyDescent="0.25">
      <c r="A46" s="5">
        <v>0.60160400000000003</v>
      </c>
      <c r="B46" s="43">
        <v>0.98973599999999995</v>
      </c>
    </row>
    <row r="47" spans="1:2" x14ac:dyDescent="0.25">
      <c r="A47" s="5">
        <v>0.60071300000000005</v>
      </c>
      <c r="B47" s="43">
        <v>0.98972099999999996</v>
      </c>
    </row>
    <row r="48" spans="1:2" x14ac:dyDescent="0.25">
      <c r="A48" s="5">
        <v>0.58199599999999996</v>
      </c>
      <c r="B48" s="43">
        <v>0.989394</v>
      </c>
    </row>
    <row r="49" spans="1:2" x14ac:dyDescent="0.25">
      <c r="A49" s="5">
        <v>0.56684500000000004</v>
      </c>
      <c r="B49" s="43">
        <v>0.99065400000000003</v>
      </c>
    </row>
    <row r="50" spans="1:2" x14ac:dyDescent="0.25">
      <c r="A50" s="5">
        <v>0.54278099999999996</v>
      </c>
      <c r="B50" s="43">
        <v>0.993475</v>
      </c>
    </row>
    <row r="51" spans="1:2" x14ac:dyDescent="0.25">
      <c r="A51" s="5">
        <v>0.54188899999999995</v>
      </c>
      <c r="B51" s="43">
        <v>0.99346400000000001</v>
      </c>
    </row>
    <row r="52" spans="1:2" x14ac:dyDescent="0.25">
      <c r="A52" s="5">
        <v>0.52406399999999997</v>
      </c>
      <c r="B52" s="43">
        <v>0.99492400000000003</v>
      </c>
    </row>
    <row r="53" spans="1:2" x14ac:dyDescent="0.25">
      <c r="A53" s="5">
        <v>0.50802099999999994</v>
      </c>
      <c r="B53" s="43">
        <v>0.99650300000000003</v>
      </c>
    </row>
    <row r="54" spans="1:2" x14ac:dyDescent="0.25">
      <c r="A54" s="5">
        <v>0.475045</v>
      </c>
      <c r="B54" s="43">
        <v>0.99812699999999999</v>
      </c>
    </row>
    <row r="55" spans="1:2" x14ac:dyDescent="0.25">
      <c r="A55" s="5">
        <v>0.45721899999999999</v>
      </c>
      <c r="B55" s="43">
        <v>0.998054</v>
      </c>
    </row>
    <row r="56" spans="1:2" x14ac:dyDescent="0.25">
      <c r="A56" s="5">
        <v>0.430481</v>
      </c>
      <c r="B56" s="43">
        <v>0.99793399999999999</v>
      </c>
    </row>
    <row r="57" spans="1:2" x14ac:dyDescent="0.25">
      <c r="A57" s="5">
        <v>0.42959000000000003</v>
      </c>
      <c r="B57" s="43">
        <v>0.99792999999999998</v>
      </c>
    </row>
    <row r="58" spans="1:2" x14ac:dyDescent="0.25">
      <c r="A58" s="5">
        <v>0.40196100000000001</v>
      </c>
      <c r="B58" s="43">
        <v>0.99778800000000001</v>
      </c>
    </row>
    <row r="59" spans="1:2" x14ac:dyDescent="0.25">
      <c r="A59" s="5">
        <v>0.37967899999999999</v>
      </c>
      <c r="B59" s="43">
        <v>0.99765800000000004</v>
      </c>
    </row>
    <row r="60" spans="1:2" x14ac:dyDescent="0.25">
      <c r="A60" s="5">
        <v>0.36185400000000001</v>
      </c>
      <c r="B60" s="43">
        <v>0.99754299999999996</v>
      </c>
    </row>
    <row r="61" spans="1:2" x14ac:dyDescent="0.25">
      <c r="A61" s="5">
        <v>0.34046300000000002</v>
      </c>
      <c r="B61" s="43">
        <v>0.99738899999999997</v>
      </c>
    </row>
    <row r="62" spans="1:2" x14ac:dyDescent="0.25">
      <c r="A62" s="5">
        <v>0.32263799999999998</v>
      </c>
      <c r="B62" s="43">
        <v>0.99724500000000005</v>
      </c>
    </row>
    <row r="63" spans="1:2" x14ac:dyDescent="0.25">
      <c r="A63" s="5">
        <v>0.30213899999999999</v>
      </c>
      <c r="B63" s="43">
        <v>0.99705900000000003</v>
      </c>
    </row>
    <row r="64" spans="1:2" x14ac:dyDescent="0.25">
      <c r="A64" s="5">
        <v>0.28431400000000001</v>
      </c>
      <c r="B64" s="43">
        <v>0.99687499999999996</v>
      </c>
    </row>
    <row r="65" spans="1:2" x14ac:dyDescent="0.25">
      <c r="A65" s="5">
        <v>0.264706</v>
      </c>
      <c r="B65" s="43">
        <v>0.99664399999999997</v>
      </c>
    </row>
    <row r="66" spans="1:2" x14ac:dyDescent="0.25">
      <c r="A66" s="5">
        <v>0.24420700000000001</v>
      </c>
      <c r="B66" s="43">
        <v>0.99636400000000003</v>
      </c>
    </row>
    <row r="67" spans="1:2" x14ac:dyDescent="0.25">
      <c r="A67" s="5">
        <v>0.226381</v>
      </c>
      <c r="B67" s="43">
        <v>1</v>
      </c>
    </row>
    <row r="68" spans="1:2" x14ac:dyDescent="0.25">
      <c r="A68" s="5">
        <v>0.21301200000000001</v>
      </c>
      <c r="B68" s="43">
        <v>1</v>
      </c>
    </row>
    <row r="69" spans="1:2" x14ac:dyDescent="0.25">
      <c r="A69" s="5">
        <v>0.186275</v>
      </c>
      <c r="B69" s="43">
        <v>1</v>
      </c>
    </row>
    <row r="70" spans="1:2" x14ac:dyDescent="0.25">
      <c r="A70" s="5">
        <v>0.17379700000000001</v>
      </c>
      <c r="B70" s="43">
        <v>1</v>
      </c>
    </row>
    <row r="71" spans="1:2" x14ac:dyDescent="0.25">
      <c r="A71" s="5">
        <v>0.163102</v>
      </c>
      <c r="B71" s="43">
        <v>1</v>
      </c>
    </row>
    <row r="72" spans="1:2" x14ac:dyDescent="0.25">
      <c r="A72" s="5">
        <v>0.156863</v>
      </c>
      <c r="B72" s="43">
        <v>1</v>
      </c>
    </row>
    <row r="73" spans="1:2" x14ac:dyDescent="0.25">
      <c r="A73" s="5">
        <v>0.14260200000000001</v>
      </c>
      <c r="B73" s="43">
        <v>1</v>
      </c>
    </row>
    <row r="74" spans="1:2" x14ac:dyDescent="0.25">
      <c r="A74" s="5">
        <v>0.120321</v>
      </c>
      <c r="B74" s="43">
        <v>1</v>
      </c>
    </row>
    <row r="75" spans="1:2" x14ac:dyDescent="0.25">
      <c r="A75" s="5">
        <v>0.101604</v>
      </c>
      <c r="B75" s="43">
        <v>1</v>
      </c>
    </row>
    <row r="76" spans="1:2" x14ac:dyDescent="0.25">
      <c r="A76" s="5">
        <v>0.100713</v>
      </c>
      <c r="B76" s="43">
        <v>1</v>
      </c>
    </row>
    <row r="77" spans="1:2" x14ac:dyDescent="0.25">
      <c r="A77" s="5">
        <v>8.1995999999999999E-2</v>
      </c>
      <c r="B77" s="43">
        <v>1</v>
      </c>
    </row>
    <row r="78" spans="1:2" x14ac:dyDescent="0.25">
      <c r="A78" s="5">
        <v>6.6845000000000002E-2</v>
      </c>
      <c r="B78" s="43">
        <v>1</v>
      </c>
    </row>
    <row r="79" spans="1:2" x14ac:dyDescent="0.25">
      <c r="A79" s="5">
        <v>3.5651000000000002E-2</v>
      </c>
      <c r="B79" s="43">
        <v>1</v>
      </c>
    </row>
    <row r="80" spans="1:2" x14ac:dyDescent="0.25">
      <c r="A80" s="5">
        <v>0</v>
      </c>
      <c r="B80" s="43">
        <v>1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CD75-AD18-4594-8572-252AED21F1C4}">
  <dimension ref="A1:B55"/>
  <sheetViews>
    <sheetView workbookViewId="0">
      <selection activeCell="E14" sqref="E14"/>
    </sheetView>
  </sheetViews>
  <sheetFormatPr defaultRowHeight="15" x14ac:dyDescent="0.25"/>
  <cols>
    <col min="1" max="1" width="28.85546875" style="2" customWidth="1"/>
    <col min="2" max="2" width="22" style="2" customWidth="1"/>
    <col min="3" max="16384" width="9.140625" style="1"/>
  </cols>
  <sheetData>
    <row r="1" spans="1:2" x14ac:dyDescent="0.25">
      <c r="A1" s="47" t="s">
        <v>4794</v>
      </c>
      <c r="B1" s="47"/>
    </row>
    <row r="2" spans="1:2" x14ac:dyDescent="0.25">
      <c r="A2" s="47"/>
      <c r="B2" s="47"/>
    </row>
    <row r="3" spans="1:2" x14ac:dyDescent="0.25">
      <c r="A3" s="47"/>
      <c r="B3" s="47"/>
    </row>
    <row r="4" spans="1:2" x14ac:dyDescent="0.25">
      <c r="A4" s="4" t="s">
        <v>1290</v>
      </c>
      <c r="B4" s="4" t="s">
        <v>1291</v>
      </c>
    </row>
    <row r="5" spans="1:2" x14ac:dyDescent="0.25">
      <c r="A5" s="5">
        <v>0.5</v>
      </c>
      <c r="B5" s="43">
        <v>2189</v>
      </c>
    </row>
    <row r="6" spans="1:2" x14ac:dyDescent="0.25">
      <c r="A6" s="5">
        <v>0.51</v>
      </c>
      <c r="B6" s="43">
        <v>37126</v>
      </c>
    </row>
    <row r="7" spans="1:2" x14ac:dyDescent="0.25">
      <c r="A7" s="5">
        <v>0.52</v>
      </c>
      <c r="B7" s="43">
        <v>36712</v>
      </c>
    </row>
    <row r="8" spans="1:2" x14ac:dyDescent="0.25">
      <c r="A8" s="5">
        <v>0.53</v>
      </c>
      <c r="B8" s="43">
        <v>36389</v>
      </c>
    </row>
    <row r="9" spans="1:2" x14ac:dyDescent="0.25">
      <c r="A9" s="5">
        <v>0.54</v>
      </c>
      <c r="B9" s="43">
        <v>35655</v>
      </c>
    </row>
    <row r="10" spans="1:2" x14ac:dyDescent="0.25">
      <c r="A10" s="5">
        <v>0.55000000000000004</v>
      </c>
      <c r="B10" s="43">
        <v>35442</v>
      </c>
    </row>
    <row r="11" spans="1:2" x14ac:dyDescent="0.25">
      <c r="A11" s="5">
        <v>0.56000000000000005</v>
      </c>
      <c r="B11" s="43">
        <v>34401</v>
      </c>
    </row>
    <row r="12" spans="1:2" x14ac:dyDescent="0.25">
      <c r="A12" s="5">
        <v>0.56999999999999995</v>
      </c>
      <c r="B12" s="43">
        <v>33565</v>
      </c>
    </row>
    <row r="13" spans="1:2" x14ac:dyDescent="0.25">
      <c r="A13" s="5">
        <v>0.57999999999999996</v>
      </c>
      <c r="B13" s="43">
        <v>32102</v>
      </c>
    </row>
    <row r="14" spans="1:2" x14ac:dyDescent="0.25">
      <c r="A14" s="5">
        <v>0.59</v>
      </c>
      <c r="B14" s="43">
        <v>31544</v>
      </c>
    </row>
    <row r="15" spans="1:2" x14ac:dyDescent="0.25">
      <c r="A15" s="5">
        <v>0.6</v>
      </c>
      <c r="B15" s="43">
        <v>30244</v>
      </c>
    </row>
    <row r="16" spans="1:2" x14ac:dyDescent="0.25">
      <c r="A16" s="5">
        <v>0.61</v>
      </c>
      <c r="B16" s="43">
        <v>29076</v>
      </c>
    </row>
    <row r="17" spans="1:2" x14ac:dyDescent="0.25">
      <c r="A17" s="5">
        <v>0.62</v>
      </c>
      <c r="B17" s="43">
        <v>27616</v>
      </c>
    </row>
    <row r="18" spans="1:2" x14ac:dyDescent="0.25">
      <c r="A18" s="5">
        <v>0.63</v>
      </c>
      <c r="B18" s="43">
        <v>26083</v>
      </c>
    </row>
    <row r="19" spans="1:2" x14ac:dyDescent="0.25">
      <c r="A19" s="5">
        <v>0.64</v>
      </c>
      <c r="B19" s="43">
        <v>24637</v>
      </c>
    </row>
    <row r="20" spans="1:2" x14ac:dyDescent="0.25">
      <c r="A20" s="5">
        <v>0.65</v>
      </c>
      <c r="B20" s="43">
        <v>23664</v>
      </c>
    </row>
    <row r="21" spans="1:2" x14ac:dyDescent="0.25">
      <c r="A21" s="5">
        <v>0.66</v>
      </c>
      <c r="B21" s="43">
        <v>21580</v>
      </c>
    </row>
    <row r="22" spans="1:2" x14ac:dyDescent="0.25">
      <c r="A22" s="5">
        <v>0.67</v>
      </c>
      <c r="B22" s="43">
        <v>20354</v>
      </c>
    </row>
    <row r="23" spans="1:2" x14ac:dyDescent="0.25">
      <c r="A23" s="5">
        <v>0.68</v>
      </c>
      <c r="B23" s="43">
        <v>18787</v>
      </c>
    </row>
    <row r="24" spans="1:2" x14ac:dyDescent="0.25">
      <c r="A24" s="5">
        <v>0.69</v>
      </c>
      <c r="B24" s="43">
        <v>17353</v>
      </c>
    </row>
    <row r="25" spans="1:2" x14ac:dyDescent="0.25">
      <c r="A25" s="5">
        <v>0.7</v>
      </c>
      <c r="B25" s="43">
        <v>16315</v>
      </c>
    </row>
    <row r="26" spans="1:2" x14ac:dyDescent="0.25">
      <c r="A26" s="5">
        <v>0.71</v>
      </c>
      <c r="B26" s="43">
        <v>14681</v>
      </c>
    </row>
    <row r="27" spans="1:2" x14ac:dyDescent="0.25">
      <c r="A27" s="5">
        <v>0.72</v>
      </c>
      <c r="B27" s="43">
        <v>13512</v>
      </c>
    </row>
    <row r="28" spans="1:2" x14ac:dyDescent="0.25">
      <c r="A28" s="5">
        <v>0.73</v>
      </c>
      <c r="B28" s="43">
        <v>11966</v>
      </c>
    </row>
    <row r="29" spans="1:2" x14ac:dyDescent="0.25">
      <c r="A29" s="5">
        <v>0.74</v>
      </c>
      <c r="B29" s="43">
        <v>10512</v>
      </c>
    </row>
    <row r="30" spans="1:2" x14ac:dyDescent="0.25">
      <c r="A30" s="5">
        <v>0.75</v>
      </c>
      <c r="B30" s="43">
        <v>9081</v>
      </c>
    </row>
    <row r="31" spans="1:2" x14ac:dyDescent="0.25">
      <c r="A31" s="5">
        <v>0.76</v>
      </c>
      <c r="B31" s="43">
        <v>7912</v>
      </c>
    </row>
    <row r="32" spans="1:2" x14ac:dyDescent="0.25">
      <c r="A32" s="5">
        <v>0.77</v>
      </c>
      <c r="B32" s="43">
        <v>6883</v>
      </c>
    </row>
    <row r="33" spans="1:2" x14ac:dyDescent="0.25">
      <c r="A33" s="5">
        <v>0.78</v>
      </c>
      <c r="B33" s="43">
        <v>5833</v>
      </c>
    </row>
    <row r="34" spans="1:2" x14ac:dyDescent="0.25">
      <c r="A34" s="5">
        <v>0.79</v>
      </c>
      <c r="B34" s="43">
        <v>5027</v>
      </c>
    </row>
    <row r="35" spans="1:2" x14ac:dyDescent="0.25">
      <c r="A35" s="5">
        <v>0.8</v>
      </c>
      <c r="B35" s="43">
        <v>4256</v>
      </c>
    </row>
    <row r="36" spans="1:2" x14ac:dyDescent="0.25">
      <c r="A36" s="5">
        <v>0.81</v>
      </c>
      <c r="B36" s="43">
        <v>3708</v>
      </c>
    </row>
    <row r="37" spans="1:2" x14ac:dyDescent="0.25">
      <c r="A37" s="5">
        <v>0.82</v>
      </c>
      <c r="B37" s="43">
        <v>2823</v>
      </c>
    </row>
    <row r="38" spans="1:2" x14ac:dyDescent="0.25">
      <c r="A38" s="5">
        <v>0.83</v>
      </c>
      <c r="B38" s="43">
        <v>2513</v>
      </c>
    </row>
    <row r="39" spans="1:2" x14ac:dyDescent="0.25">
      <c r="A39" s="5">
        <v>0.84</v>
      </c>
      <c r="B39" s="43">
        <v>1834</v>
      </c>
    </row>
    <row r="40" spans="1:2" x14ac:dyDescent="0.25">
      <c r="A40" s="5">
        <v>0.85</v>
      </c>
      <c r="B40" s="43">
        <v>1463</v>
      </c>
    </row>
    <row r="41" spans="1:2" x14ac:dyDescent="0.25">
      <c r="A41" s="5">
        <v>0.86</v>
      </c>
      <c r="B41" s="43">
        <v>1236</v>
      </c>
    </row>
    <row r="42" spans="1:2" x14ac:dyDescent="0.25">
      <c r="A42" s="5">
        <v>0.87</v>
      </c>
      <c r="B42" s="43">
        <v>1014</v>
      </c>
    </row>
    <row r="43" spans="1:2" x14ac:dyDescent="0.25">
      <c r="A43" s="5">
        <v>0.88</v>
      </c>
      <c r="B43" s="43">
        <v>847</v>
      </c>
    </row>
    <row r="44" spans="1:2" x14ac:dyDescent="0.25">
      <c r="A44" s="5">
        <v>0.89</v>
      </c>
      <c r="B44" s="43">
        <v>641</v>
      </c>
    </row>
    <row r="45" spans="1:2" x14ac:dyDescent="0.25">
      <c r="A45" s="5">
        <v>0.9</v>
      </c>
      <c r="B45" s="43">
        <v>494</v>
      </c>
    </row>
    <row r="46" spans="1:2" x14ac:dyDescent="0.25">
      <c r="A46" s="5">
        <v>0.91</v>
      </c>
      <c r="B46" s="43">
        <v>346</v>
      </c>
    </row>
    <row r="47" spans="1:2" x14ac:dyDescent="0.25">
      <c r="A47" s="5">
        <v>0.92</v>
      </c>
      <c r="B47" s="43">
        <v>262</v>
      </c>
    </row>
    <row r="48" spans="1:2" x14ac:dyDescent="0.25">
      <c r="A48" s="5">
        <v>0.93</v>
      </c>
      <c r="B48" s="43">
        <v>190</v>
      </c>
    </row>
    <row r="49" spans="1:2" x14ac:dyDescent="0.25">
      <c r="A49" s="5">
        <v>0.94</v>
      </c>
      <c r="B49" s="43">
        <v>127</v>
      </c>
    </row>
    <row r="50" spans="1:2" x14ac:dyDescent="0.25">
      <c r="A50" s="5">
        <v>0.95</v>
      </c>
      <c r="B50" s="43">
        <v>109</v>
      </c>
    </row>
    <row r="51" spans="1:2" x14ac:dyDescent="0.25">
      <c r="A51" s="5">
        <v>0.96</v>
      </c>
      <c r="B51" s="43">
        <v>64</v>
      </c>
    </row>
    <row r="52" spans="1:2" x14ac:dyDescent="0.25">
      <c r="A52" s="5">
        <v>0.97</v>
      </c>
      <c r="B52" s="43">
        <v>35</v>
      </c>
    </row>
    <row r="53" spans="1:2" x14ac:dyDescent="0.25">
      <c r="A53" s="5">
        <v>0.98</v>
      </c>
      <c r="B53" s="43">
        <v>37</v>
      </c>
    </row>
    <row r="54" spans="1:2" x14ac:dyDescent="0.25">
      <c r="A54" s="5">
        <v>0.99</v>
      </c>
      <c r="B54" s="43">
        <v>7</v>
      </c>
    </row>
    <row r="55" spans="1:2" x14ac:dyDescent="0.25">
      <c r="A55" s="5">
        <v>1</v>
      </c>
      <c r="B55" s="43">
        <v>2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C22D-4D82-4409-BB76-FF72814EEFB8}">
  <dimension ref="A1:C3578"/>
  <sheetViews>
    <sheetView workbookViewId="0">
      <selection activeCell="E5" sqref="E5"/>
    </sheetView>
  </sheetViews>
  <sheetFormatPr defaultRowHeight="15" x14ac:dyDescent="0.25"/>
  <cols>
    <col min="1" max="1" width="17.140625" style="2" customWidth="1"/>
    <col min="2" max="2" width="28.28515625" style="17" customWidth="1"/>
    <col min="3" max="3" width="37" style="17" customWidth="1"/>
    <col min="4" max="16384" width="9.140625" style="1"/>
  </cols>
  <sheetData>
    <row r="1" spans="1:3" x14ac:dyDescent="0.25">
      <c r="A1" s="47" t="s">
        <v>4797</v>
      </c>
      <c r="B1" s="47"/>
      <c r="C1" s="47"/>
    </row>
    <row r="2" spans="1:3" x14ac:dyDescent="0.25">
      <c r="A2" s="47"/>
      <c r="B2" s="47"/>
      <c r="C2" s="47"/>
    </row>
    <row r="3" spans="1:3" x14ac:dyDescent="0.25">
      <c r="A3" s="44" t="s">
        <v>0</v>
      </c>
      <c r="B3" s="45" t="s">
        <v>1292</v>
      </c>
      <c r="C3" s="45" t="s">
        <v>4793</v>
      </c>
    </row>
    <row r="4" spans="1:3" x14ac:dyDescent="0.25">
      <c r="A4" s="46" t="s">
        <v>1293</v>
      </c>
      <c r="B4" s="35">
        <v>0.642045438289642</v>
      </c>
      <c r="C4" s="36">
        <v>0.59</v>
      </c>
    </row>
    <row r="5" spans="1:3" x14ac:dyDescent="0.25">
      <c r="A5" s="46" t="s">
        <v>1294</v>
      </c>
      <c r="B5" s="35">
        <v>0.64155846834182695</v>
      </c>
      <c r="C5" s="36">
        <v>0.51</v>
      </c>
    </row>
    <row r="6" spans="1:3" x14ac:dyDescent="0.25">
      <c r="A6" s="46" t="s">
        <v>1295</v>
      </c>
      <c r="B6" s="35">
        <v>0.64571428298950195</v>
      </c>
      <c r="C6" s="36">
        <v>0.54</v>
      </c>
    </row>
    <row r="7" spans="1:3" x14ac:dyDescent="0.25">
      <c r="A7" s="46" t="s">
        <v>1296</v>
      </c>
      <c r="B7" s="35">
        <v>0.41317364573478699</v>
      </c>
      <c r="C7" s="36">
        <v>0.35</v>
      </c>
    </row>
    <row r="8" spans="1:3" x14ac:dyDescent="0.25">
      <c r="A8" s="46" t="s">
        <v>1297</v>
      </c>
      <c r="B8" s="35">
        <v>0.67119562625884999</v>
      </c>
      <c r="C8" s="36">
        <v>0.53</v>
      </c>
    </row>
    <row r="9" spans="1:3" x14ac:dyDescent="0.25">
      <c r="A9" s="46" t="s">
        <v>1298</v>
      </c>
      <c r="B9" s="35">
        <v>0.67076921463012695</v>
      </c>
      <c r="C9" s="36">
        <v>0.13</v>
      </c>
    </row>
    <row r="10" spans="1:3" x14ac:dyDescent="0.25">
      <c r="A10" s="46" t="s">
        <v>982</v>
      </c>
      <c r="B10" s="35">
        <v>0.59103643894195501</v>
      </c>
      <c r="C10" s="36">
        <v>0.48</v>
      </c>
    </row>
    <row r="11" spans="1:3" x14ac:dyDescent="0.25">
      <c r="A11" s="46" t="s">
        <v>1299</v>
      </c>
      <c r="B11" s="35">
        <v>0.69018405675887995</v>
      </c>
      <c r="C11" s="36">
        <v>0.16</v>
      </c>
    </row>
    <row r="12" spans="1:3" x14ac:dyDescent="0.25">
      <c r="A12" s="46" t="s">
        <v>1300</v>
      </c>
      <c r="B12" s="35">
        <v>1</v>
      </c>
      <c r="C12" s="36">
        <v>0.2</v>
      </c>
    </row>
    <row r="13" spans="1:3" x14ac:dyDescent="0.25">
      <c r="A13" s="46" t="s">
        <v>1301</v>
      </c>
      <c r="B13" s="35">
        <v>1</v>
      </c>
      <c r="C13" s="36">
        <v>0.21</v>
      </c>
    </row>
    <row r="14" spans="1:3" x14ac:dyDescent="0.25">
      <c r="A14" s="46" t="s">
        <v>1302</v>
      </c>
      <c r="B14" s="35">
        <v>0.67857140302658003</v>
      </c>
      <c r="C14" s="36">
        <v>0.53</v>
      </c>
    </row>
    <row r="15" spans="1:3" x14ac:dyDescent="0.25">
      <c r="A15" s="46" t="s">
        <v>1303</v>
      </c>
      <c r="B15" s="35">
        <v>0.67076921463012695</v>
      </c>
      <c r="C15" s="36">
        <v>0.18</v>
      </c>
    </row>
    <row r="16" spans="1:3" x14ac:dyDescent="0.25">
      <c r="A16" s="46" t="s">
        <v>1304</v>
      </c>
      <c r="B16" s="35">
        <v>0.654654681682586</v>
      </c>
      <c r="C16" s="36">
        <v>0.09</v>
      </c>
    </row>
    <row r="17" spans="1:3" x14ac:dyDescent="0.25">
      <c r="A17" s="46" t="s">
        <v>1305</v>
      </c>
      <c r="B17" s="35">
        <v>0.69018405675887995</v>
      </c>
      <c r="C17" s="36">
        <v>0.14000000000000001</v>
      </c>
    </row>
    <row r="18" spans="1:3" x14ac:dyDescent="0.25">
      <c r="A18" s="46" t="s">
        <v>1306</v>
      </c>
      <c r="B18" s="35">
        <v>0.86707568168640103</v>
      </c>
      <c r="C18" s="36">
        <v>0.17</v>
      </c>
    </row>
    <row r="19" spans="1:3" x14ac:dyDescent="0.25">
      <c r="A19" s="46" t="s">
        <v>1307</v>
      </c>
      <c r="B19" s="35">
        <v>0.66176468133926303</v>
      </c>
      <c r="C19" s="36">
        <v>0.08</v>
      </c>
    </row>
    <row r="20" spans="1:3" x14ac:dyDescent="0.25">
      <c r="A20" s="46" t="s">
        <v>1308</v>
      </c>
      <c r="B20" s="35">
        <v>0.66871166229248002</v>
      </c>
      <c r="C20" s="36">
        <v>0.1</v>
      </c>
    </row>
    <row r="21" spans="1:3" x14ac:dyDescent="0.25">
      <c r="A21" s="46" t="s">
        <v>1309</v>
      </c>
      <c r="B21" s="35">
        <v>0.32802125811576799</v>
      </c>
      <c r="C21" s="36">
        <v>0.48</v>
      </c>
    </row>
    <row r="22" spans="1:3" x14ac:dyDescent="0.25">
      <c r="A22" s="46" t="s">
        <v>1310</v>
      </c>
      <c r="B22" s="35">
        <v>0.64485979080200195</v>
      </c>
      <c r="C22" s="36">
        <v>0.41</v>
      </c>
    </row>
    <row r="23" spans="1:3" x14ac:dyDescent="0.25">
      <c r="A23" s="46" t="s">
        <v>984</v>
      </c>
      <c r="B23" s="35">
        <v>0.57336956262588501</v>
      </c>
      <c r="C23" s="36">
        <v>0.52</v>
      </c>
    </row>
    <row r="24" spans="1:3" x14ac:dyDescent="0.25">
      <c r="A24" s="46" t="s">
        <v>1012</v>
      </c>
      <c r="B24" s="35">
        <v>0.63171356916427601</v>
      </c>
      <c r="C24" s="36">
        <v>0.41</v>
      </c>
    </row>
    <row r="25" spans="1:3" x14ac:dyDescent="0.25">
      <c r="A25" s="46" t="s">
        <v>1311</v>
      </c>
      <c r="B25" s="35">
        <v>0.65662652254104603</v>
      </c>
      <c r="C25" s="36">
        <v>0.13</v>
      </c>
    </row>
    <row r="26" spans="1:3" x14ac:dyDescent="0.25">
      <c r="A26" s="46" t="s">
        <v>1312</v>
      </c>
      <c r="B26" s="35">
        <v>0.65100669860839799</v>
      </c>
      <c r="C26" s="36">
        <v>0.17</v>
      </c>
    </row>
    <row r="27" spans="1:3" x14ac:dyDescent="0.25">
      <c r="A27" s="46" t="s">
        <v>1313</v>
      </c>
      <c r="B27" s="35">
        <v>0.85685074329376198</v>
      </c>
      <c r="C27" s="36">
        <v>0.17</v>
      </c>
    </row>
    <row r="28" spans="1:3" x14ac:dyDescent="0.25">
      <c r="A28" s="46" t="s">
        <v>1314</v>
      </c>
      <c r="B28" s="35">
        <v>0.61235952377319303</v>
      </c>
      <c r="C28" s="36">
        <v>0.05</v>
      </c>
    </row>
    <row r="29" spans="1:3" x14ac:dyDescent="0.25">
      <c r="A29" s="46" t="s">
        <v>1315</v>
      </c>
      <c r="B29" s="35">
        <v>0.654654681682586</v>
      </c>
      <c r="C29" s="36">
        <v>0.09</v>
      </c>
    </row>
    <row r="30" spans="1:3" x14ac:dyDescent="0.25">
      <c r="A30" s="46" t="s">
        <v>1316</v>
      </c>
      <c r="B30" s="35">
        <v>0.654654681682586</v>
      </c>
      <c r="C30" s="36">
        <v>0.08</v>
      </c>
    </row>
    <row r="31" spans="1:3" x14ac:dyDescent="0.25">
      <c r="A31" s="46" t="s">
        <v>1317</v>
      </c>
      <c r="B31" s="35">
        <v>0.63981044292449896</v>
      </c>
      <c r="C31" s="36">
        <v>0.2</v>
      </c>
    </row>
    <row r="32" spans="1:3" x14ac:dyDescent="0.25">
      <c r="A32" s="46" t="s">
        <v>1318</v>
      </c>
      <c r="B32" s="35">
        <v>0.83870965242385798</v>
      </c>
      <c r="C32" s="36">
        <v>0.11</v>
      </c>
    </row>
    <row r="33" spans="1:3" x14ac:dyDescent="0.25">
      <c r="A33" s="46" t="s">
        <v>1319</v>
      </c>
      <c r="B33" s="35">
        <v>0.63768118619918801</v>
      </c>
      <c r="C33" s="36">
        <v>0.09</v>
      </c>
    </row>
    <row r="34" spans="1:3" x14ac:dyDescent="0.25">
      <c r="A34" s="46" t="s">
        <v>1320</v>
      </c>
      <c r="B34" s="35">
        <v>0.894459128379821</v>
      </c>
      <c r="C34" s="36">
        <v>0.13</v>
      </c>
    </row>
    <row r="35" spans="1:3" x14ac:dyDescent="0.25">
      <c r="A35" s="46" t="s">
        <v>1321</v>
      </c>
      <c r="B35" s="35">
        <v>0.69113922119140603</v>
      </c>
      <c r="C35" s="36">
        <v>0.23</v>
      </c>
    </row>
    <row r="36" spans="1:3" x14ac:dyDescent="0.25">
      <c r="A36" s="46" t="s">
        <v>1322</v>
      </c>
      <c r="B36" s="35">
        <v>0.65454542636871305</v>
      </c>
      <c r="C36" s="36">
        <v>0.16</v>
      </c>
    </row>
    <row r="37" spans="1:3" x14ac:dyDescent="0.25">
      <c r="A37" s="46" t="s">
        <v>1323</v>
      </c>
      <c r="B37" s="35">
        <v>0.63662791252136197</v>
      </c>
      <c r="C37" s="36">
        <v>0.1</v>
      </c>
    </row>
    <row r="38" spans="1:3" x14ac:dyDescent="0.25">
      <c r="A38" s="46" t="s">
        <v>1324</v>
      </c>
      <c r="B38" s="35">
        <v>0.60411310195922796</v>
      </c>
      <c r="C38" s="36">
        <v>0.14000000000000001</v>
      </c>
    </row>
    <row r="39" spans="1:3" x14ac:dyDescent="0.25">
      <c r="A39" s="46" t="s">
        <v>1325</v>
      </c>
      <c r="B39" s="35">
        <v>0.654654681682586</v>
      </c>
      <c r="C39" s="36">
        <v>0.1</v>
      </c>
    </row>
    <row r="40" spans="1:3" x14ac:dyDescent="0.25">
      <c r="A40" s="46" t="s">
        <v>1326</v>
      </c>
      <c r="B40" s="35">
        <v>0.68556702136993397</v>
      </c>
      <c r="C40" s="36">
        <v>0.2</v>
      </c>
    </row>
    <row r="41" spans="1:3" x14ac:dyDescent="0.25">
      <c r="A41" s="46" t="s">
        <v>1327</v>
      </c>
      <c r="B41" s="35">
        <v>0.60559797286987305</v>
      </c>
      <c r="C41" s="36">
        <v>0.16</v>
      </c>
    </row>
    <row r="42" spans="1:3" x14ac:dyDescent="0.25">
      <c r="A42" s="46" t="s">
        <v>1328</v>
      </c>
      <c r="B42" s="35">
        <v>0.64781492948532104</v>
      </c>
      <c r="C42" s="36">
        <v>0.2</v>
      </c>
    </row>
    <row r="43" spans="1:3" x14ac:dyDescent="0.25">
      <c r="A43" s="46" t="s">
        <v>1329</v>
      </c>
      <c r="B43" s="35">
        <v>0.95151513814926103</v>
      </c>
      <c r="C43" s="36">
        <v>0.2</v>
      </c>
    </row>
    <row r="44" spans="1:3" x14ac:dyDescent="0.25">
      <c r="A44" s="46" t="s">
        <v>1330</v>
      </c>
      <c r="B44" s="35">
        <v>0.309248566627502</v>
      </c>
      <c r="C44" s="36">
        <v>0.45</v>
      </c>
    </row>
    <row r="45" spans="1:3" x14ac:dyDescent="0.25">
      <c r="A45" s="46" t="s">
        <v>1331</v>
      </c>
      <c r="B45" s="35">
        <v>0.67283952236175504</v>
      </c>
      <c r="C45" s="36">
        <v>0.1</v>
      </c>
    </row>
    <row r="46" spans="1:3" x14ac:dyDescent="0.25">
      <c r="A46" s="46" t="s">
        <v>1332</v>
      </c>
      <c r="B46" s="35">
        <v>0.49676585197448703</v>
      </c>
      <c r="C46" s="36">
        <v>0.44</v>
      </c>
    </row>
    <row r="47" spans="1:3" x14ac:dyDescent="0.25">
      <c r="A47" s="46" t="s">
        <v>1333</v>
      </c>
      <c r="B47" s="35">
        <v>0.64035087823867798</v>
      </c>
      <c r="C47" s="36">
        <v>0.1</v>
      </c>
    </row>
    <row r="48" spans="1:3" x14ac:dyDescent="0.25">
      <c r="A48" s="46" t="s">
        <v>1334</v>
      </c>
      <c r="B48" s="35">
        <v>0.579670310020446</v>
      </c>
      <c r="C48" s="36">
        <v>0.28999999999999998</v>
      </c>
    </row>
    <row r="49" spans="1:3" x14ac:dyDescent="0.25">
      <c r="A49" s="46" t="s">
        <v>988</v>
      </c>
      <c r="B49" s="35">
        <v>0.61442786455154397</v>
      </c>
      <c r="C49" s="36">
        <v>0.38</v>
      </c>
    </row>
    <row r="50" spans="1:3" x14ac:dyDescent="0.25">
      <c r="A50" s="46" t="s">
        <v>1335</v>
      </c>
      <c r="B50" s="35">
        <v>0.551252841949462</v>
      </c>
      <c r="C50" s="36">
        <v>0</v>
      </c>
    </row>
    <row r="51" spans="1:3" x14ac:dyDescent="0.25">
      <c r="A51" s="46" t="s">
        <v>1336</v>
      </c>
      <c r="B51" s="35">
        <v>0.51479291915893499</v>
      </c>
      <c r="C51" s="36">
        <v>0.08</v>
      </c>
    </row>
    <row r="52" spans="1:3" x14ac:dyDescent="0.25">
      <c r="A52" s="46" t="s">
        <v>1337</v>
      </c>
      <c r="B52" s="35">
        <v>0.645244240760803</v>
      </c>
      <c r="C52" s="36">
        <v>0.23</v>
      </c>
    </row>
    <row r="53" spans="1:3" x14ac:dyDescent="0.25">
      <c r="A53" s="46" t="s">
        <v>990</v>
      </c>
      <c r="B53" s="35">
        <v>0.56117022037506104</v>
      </c>
      <c r="C53" s="36">
        <v>0.44</v>
      </c>
    </row>
    <row r="54" spans="1:3" x14ac:dyDescent="0.25">
      <c r="A54" s="46" t="s">
        <v>992</v>
      </c>
      <c r="B54" s="35">
        <v>0.69326680898666304</v>
      </c>
      <c r="C54" s="36">
        <v>0.13</v>
      </c>
    </row>
    <row r="55" spans="1:3" x14ac:dyDescent="0.25">
      <c r="A55" s="46" t="s">
        <v>1338</v>
      </c>
      <c r="B55" s="35">
        <v>0.72300469875335605</v>
      </c>
      <c r="C55" s="36">
        <v>0.13</v>
      </c>
    </row>
    <row r="56" spans="1:3" x14ac:dyDescent="0.25">
      <c r="A56" s="46" t="s">
        <v>1339</v>
      </c>
      <c r="B56" s="35">
        <v>0.64975845813751198</v>
      </c>
      <c r="C56" s="36">
        <v>0.17</v>
      </c>
    </row>
    <row r="57" spans="1:3" x14ac:dyDescent="0.25">
      <c r="A57" s="46" t="s">
        <v>1340</v>
      </c>
      <c r="B57" s="35">
        <v>0.86542057991027799</v>
      </c>
      <c r="C57" s="36">
        <v>0.22</v>
      </c>
    </row>
    <row r="58" spans="1:3" x14ac:dyDescent="0.25">
      <c r="A58" s="46" t="s">
        <v>1341</v>
      </c>
      <c r="B58" s="35">
        <v>0.95473253726959195</v>
      </c>
      <c r="C58" s="36">
        <v>0.17</v>
      </c>
    </row>
    <row r="59" spans="1:3" x14ac:dyDescent="0.25">
      <c r="A59" s="46" t="s">
        <v>1342</v>
      </c>
      <c r="B59" s="35">
        <v>0.83423423767089799</v>
      </c>
      <c r="C59" s="36">
        <v>0.2</v>
      </c>
    </row>
    <row r="60" spans="1:3" x14ac:dyDescent="0.25">
      <c r="A60" s="46" t="s">
        <v>1343</v>
      </c>
      <c r="B60" s="35">
        <v>0.85451197624206499</v>
      </c>
      <c r="C60" s="36">
        <v>0.21</v>
      </c>
    </row>
    <row r="61" spans="1:3" x14ac:dyDescent="0.25">
      <c r="A61" s="46" t="s">
        <v>1344</v>
      </c>
      <c r="B61" s="35">
        <v>0.97929608821868896</v>
      </c>
      <c r="C61" s="36">
        <v>0.2</v>
      </c>
    </row>
    <row r="62" spans="1:3" x14ac:dyDescent="0.25">
      <c r="A62" s="46" t="s">
        <v>1345</v>
      </c>
      <c r="B62" s="35">
        <v>0.99789476394653298</v>
      </c>
      <c r="C62" s="36">
        <v>0.2</v>
      </c>
    </row>
    <row r="63" spans="1:3" x14ac:dyDescent="0.25">
      <c r="A63" s="46" t="s">
        <v>1346</v>
      </c>
      <c r="B63" s="35">
        <v>0.64975845813751198</v>
      </c>
      <c r="C63" s="36">
        <v>0.17</v>
      </c>
    </row>
    <row r="64" spans="1:3" x14ac:dyDescent="0.25">
      <c r="A64" s="46" t="s">
        <v>1347</v>
      </c>
      <c r="B64" s="35">
        <v>0.69018405675887995</v>
      </c>
      <c r="C64" s="36">
        <v>0.22</v>
      </c>
    </row>
    <row r="65" spans="1:3" x14ac:dyDescent="0.25">
      <c r="A65" s="46" t="s">
        <v>1348</v>
      </c>
      <c r="B65" s="35">
        <v>0.645244240760803</v>
      </c>
      <c r="C65" s="36">
        <v>0.23</v>
      </c>
    </row>
    <row r="66" spans="1:3" x14ac:dyDescent="0.25">
      <c r="A66" s="46" t="s">
        <v>1349</v>
      </c>
      <c r="B66" s="35">
        <v>0.667682945728302</v>
      </c>
      <c r="C66" s="36">
        <v>0.18</v>
      </c>
    </row>
    <row r="67" spans="1:3" x14ac:dyDescent="0.25">
      <c r="A67" s="46" t="s">
        <v>1350</v>
      </c>
      <c r="B67" s="35">
        <v>0.68404906988143899</v>
      </c>
      <c r="C67" s="36">
        <v>7.0000000000000007E-2</v>
      </c>
    </row>
    <row r="68" spans="1:3" x14ac:dyDescent="0.25">
      <c r="A68" s="46" t="s">
        <v>1351</v>
      </c>
      <c r="B68" s="35">
        <v>0.56327545642852705</v>
      </c>
      <c r="C68" s="36">
        <v>0.39</v>
      </c>
    </row>
    <row r="69" spans="1:3" x14ac:dyDescent="0.25">
      <c r="A69" s="46" t="s">
        <v>1352</v>
      </c>
      <c r="B69" s="35">
        <v>0.89962118864059404</v>
      </c>
      <c r="C69" s="36">
        <v>0.11</v>
      </c>
    </row>
    <row r="70" spans="1:3" x14ac:dyDescent="0.25">
      <c r="A70" s="46" t="s">
        <v>1353</v>
      </c>
      <c r="B70" s="35">
        <v>0.64370548725128096</v>
      </c>
      <c r="C70" s="36">
        <v>0.1</v>
      </c>
    </row>
    <row r="71" spans="1:3" x14ac:dyDescent="0.25">
      <c r="A71" s="46" t="s">
        <v>1354</v>
      </c>
      <c r="B71" s="35">
        <v>0.96311473846435502</v>
      </c>
      <c r="C71" s="36">
        <v>0.19</v>
      </c>
    </row>
    <row r="72" spans="1:3" x14ac:dyDescent="0.25">
      <c r="A72" s="46" t="s">
        <v>1355</v>
      </c>
      <c r="B72" s="35">
        <v>0.667452812194824</v>
      </c>
      <c r="C72" s="36">
        <v>0.12</v>
      </c>
    </row>
    <row r="73" spans="1:3" x14ac:dyDescent="0.25">
      <c r="A73" s="46" t="s">
        <v>1356</v>
      </c>
      <c r="B73" s="35">
        <v>0.67475730180740301</v>
      </c>
      <c r="C73" s="36">
        <v>0.12</v>
      </c>
    </row>
    <row r="74" spans="1:3" x14ac:dyDescent="0.25">
      <c r="A74" s="46" t="s">
        <v>1357</v>
      </c>
      <c r="B74" s="35">
        <v>0.69208210706710804</v>
      </c>
      <c r="C74" s="36">
        <v>0.15</v>
      </c>
    </row>
    <row r="75" spans="1:3" x14ac:dyDescent="0.25">
      <c r="A75" s="46" t="s">
        <v>1358</v>
      </c>
      <c r="B75" s="35">
        <v>0.95353537797927801</v>
      </c>
      <c r="C75" s="36">
        <v>0.21</v>
      </c>
    </row>
    <row r="76" spans="1:3" x14ac:dyDescent="0.25">
      <c r="A76" s="46" t="s">
        <v>1359</v>
      </c>
      <c r="B76" s="35">
        <v>0.75669640302658003</v>
      </c>
      <c r="C76" s="36">
        <v>0.1</v>
      </c>
    </row>
    <row r="77" spans="1:3" x14ac:dyDescent="0.25">
      <c r="A77" s="46" t="s">
        <v>1360</v>
      </c>
      <c r="B77" s="35">
        <v>0.92697769403457597</v>
      </c>
      <c r="C77" s="36">
        <v>0.23</v>
      </c>
    </row>
    <row r="78" spans="1:3" x14ac:dyDescent="0.25">
      <c r="A78" s="46" t="s">
        <v>1361</v>
      </c>
      <c r="B78" s="35">
        <v>0.894459128379821</v>
      </c>
      <c r="C78" s="36">
        <v>0.1</v>
      </c>
    </row>
    <row r="79" spans="1:3" x14ac:dyDescent="0.25">
      <c r="A79" s="46" t="s">
        <v>1362</v>
      </c>
      <c r="B79" s="35">
        <v>0.67220902442932096</v>
      </c>
      <c r="C79" s="36">
        <v>0.16</v>
      </c>
    </row>
    <row r="80" spans="1:3" x14ac:dyDescent="0.25">
      <c r="A80" s="46" t="s">
        <v>1363</v>
      </c>
      <c r="B80" s="35">
        <v>0.894459128379821</v>
      </c>
      <c r="C80" s="36">
        <v>0.11</v>
      </c>
    </row>
    <row r="81" spans="1:3" x14ac:dyDescent="0.25">
      <c r="A81" s="46" t="s">
        <v>1364</v>
      </c>
      <c r="B81" s="35">
        <v>0.61092150211334195</v>
      </c>
      <c r="C81" s="36">
        <v>0.16</v>
      </c>
    </row>
    <row r="82" spans="1:3" x14ac:dyDescent="0.25">
      <c r="A82" s="46" t="s">
        <v>1365</v>
      </c>
      <c r="B82" s="35">
        <v>0.68523001670837402</v>
      </c>
      <c r="C82" s="36">
        <v>0.15</v>
      </c>
    </row>
    <row r="83" spans="1:3" x14ac:dyDescent="0.25">
      <c r="A83" s="46" t="s">
        <v>1366</v>
      </c>
      <c r="B83" s="35">
        <v>0.67061609029769897</v>
      </c>
      <c r="C83" s="36">
        <v>0.14000000000000001</v>
      </c>
    </row>
    <row r="84" spans="1:3" x14ac:dyDescent="0.25">
      <c r="A84" s="46" t="s">
        <v>1367</v>
      </c>
      <c r="B84" s="35">
        <v>0.369658112525939</v>
      </c>
      <c r="C84" s="36">
        <v>0.23</v>
      </c>
    </row>
    <row r="85" spans="1:3" x14ac:dyDescent="0.25">
      <c r="A85" s="46" t="s">
        <v>1368</v>
      </c>
      <c r="B85" s="35">
        <v>0.64035087823867798</v>
      </c>
      <c r="C85" s="36">
        <v>0.11</v>
      </c>
    </row>
    <row r="86" spans="1:3" x14ac:dyDescent="0.25">
      <c r="A86" s="46" t="s">
        <v>1369</v>
      </c>
      <c r="B86" s="35">
        <v>0.494845360517501</v>
      </c>
      <c r="C86" s="36">
        <v>0.46</v>
      </c>
    </row>
    <row r="87" spans="1:3" x14ac:dyDescent="0.25">
      <c r="A87" s="46" t="s">
        <v>1370</v>
      </c>
      <c r="B87" s="35">
        <v>0.50988143682479803</v>
      </c>
      <c r="C87" s="36">
        <v>0.39</v>
      </c>
    </row>
    <row r="88" spans="1:3" x14ac:dyDescent="0.25">
      <c r="A88" s="46" t="s">
        <v>1371</v>
      </c>
      <c r="B88" s="35">
        <v>0.63171356916427601</v>
      </c>
      <c r="C88" s="36">
        <v>0.51</v>
      </c>
    </row>
    <row r="89" spans="1:3" x14ac:dyDescent="0.25">
      <c r="A89" s="46" t="s">
        <v>1372</v>
      </c>
      <c r="B89" s="35">
        <v>0.65463918447494496</v>
      </c>
      <c r="C89" s="36">
        <v>0.11</v>
      </c>
    </row>
    <row r="90" spans="1:3" x14ac:dyDescent="0.25">
      <c r="A90" s="46" t="s">
        <v>1373</v>
      </c>
      <c r="B90" s="35">
        <v>0.69055372476577703</v>
      </c>
      <c r="C90" s="36">
        <v>0.14000000000000001</v>
      </c>
    </row>
    <row r="91" spans="1:3" x14ac:dyDescent="0.25">
      <c r="A91" s="46" t="s">
        <v>1374</v>
      </c>
      <c r="B91" s="35">
        <v>0.55622488260269098</v>
      </c>
      <c r="C91" s="36">
        <v>0.12</v>
      </c>
    </row>
    <row r="92" spans="1:3" x14ac:dyDescent="0.25">
      <c r="A92" s="46" t="s">
        <v>1375</v>
      </c>
      <c r="B92" s="35">
        <v>0.62300318479537897</v>
      </c>
      <c r="C92" s="36">
        <v>0.19</v>
      </c>
    </row>
    <row r="93" spans="1:3" x14ac:dyDescent="0.25">
      <c r="A93" s="46" t="s">
        <v>1376</v>
      </c>
      <c r="B93" s="35">
        <v>0.64975845813751198</v>
      </c>
      <c r="C93" s="36">
        <v>0.15</v>
      </c>
    </row>
    <row r="94" spans="1:3" x14ac:dyDescent="0.25">
      <c r="A94" s="46" t="s">
        <v>1377</v>
      </c>
      <c r="B94" s="35">
        <v>0.65107911825179998</v>
      </c>
      <c r="C94" s="36">
        <v>0.15</v>
      </c>
    </row>
    <row r="95" spans="1:3" x14ac:dyDescent="0.25">
      <c r="A95" s="46" t="s">
        <v>1378</v>
      </c>
      <c r="B95" s="35">
        <v>0.670951128005981</v>
      </c>
      <c r="C95" s="36">
        <v>0.15</v>
      </c>
    </row>
    <row r="96" spans="1:3" x14ac:dyDescent="0.25">
      <c r="A96" s="46" t="s">
        <v>1379</v>
      </c>
      <c r="B96" s="35">
        <v>0.64975845813751198</v>
      </c>
      <c r="C96" s="36">
        <v>0.16</v>
      </c>
    </row>
    <row r="97" spans="1:3" x14ac:dyDescent="0.25">
      <c r="A97" s="46" t="s">
        <v>1380</v>
      </c>
      <c r="B97" s="35">
        <v>0.65454542636871305</v>
      </c>
      <c r="C97" s="36">
        <v>0.13</v>
      </c>
    </row>
    <row r="98" spans="1:3" x14ac:dyDescent="0.25">
      <c r="A98" s="46" t="s">
        <v>1381</v>
      </c>
      <c r="B98" s="35">
        <v>0.64845603704452504</v>
      </c>
      <c r="C98" s="36">
        <v>0.09</v>
      </c>
    </row>
    <row r="99" spans="1:3" x14ac:dyDescent="0.25">
      <c r="A99" s="46" t="s">
        <v>1382</v>
      </c>
      <c r="B99" s="35">
        <v>0.96465694904327304</v>
      </c>
      <c r="C99" s="36">
        <v>0.19</v>
      </c>
    </row>
    <row r="100" spans="1:3" x14ac:dyDescent="0.25">
      <c r="A100" s="46" t="s">
        <v>1383</v>
      </c>
      <c r="B100" s="35">
        <v>0.85582256317138605</v>
      </c>
      <c r="C100" s="36">
        <v>0.21</v>
      </c>
    </row>
    <row r="101" spans="1:3" x14ac:dyDescent="0.25">
      <c r="A101" s="46" t="s">
        <v>1384</v>
      </c>
      <c r="B101" s="35">
        <v>0.55241936445236195</v>
      </c>
      <c r="C101" s="36">
        <v>0.19</v>
      </c>
    </row>
    <row r="102" spans="1:3" x14ac:dyDescent="0.25">
      <c r="A102" s="46" t="s">
        <v>1385</v>
      </c>
      <c r="B102" s="35">
        <v>0.67688679695129395</v>
      </c>
      <c r="C102" s="36">
        <v>0.08</v>
      </c>
    </row>
    <row r="103" spans="1:3" x14ac:dyDescent="0.25">
      <c r="A103" s="46" t="s">
        <v>1386</v>
      </c>
      <c r="B103" s="35">
        <v>0.63679248094558705</v>
      </c>
      <c r="C103" s="36">
        <v>0.22</v>
      </c>
    </row>
    <row r="104" spans="1:3" x14ac:dyDescent="0.25">
      <c r="A104" s="46" t="s">
        <v>1387</v>
      </c>
      <c r="B104" s="35">
        <v>0.65662652254104603</v>
      </c>
      <c r="C104" s="36">
        <v>0.16</v>
      </c>
    </row>
    <row r="105" spans="1:3" x14ac:dyDescent="0.25">
      <c r="A105" s="46" t="s">
        <v>1388</v>
      </c>
      <c r="B105" s="35">
        <v>0.87732344865798895</v>
      </c>
      <c r="C105" s="36">
        <v>0.15</v>
      </c>
    </row>
    <row r="106" spans="1:3" x14ac:dyDescent="0.25">
      <c r="A106" s="46" t="s">
        <v>1389</v>
      </c>
      <c r="B106" s="35">
        <v>0.87962961196899403</v>
      </c>
      <c r="C106" s="36">
        <v>0.12</v>
      </c>
    </row>
    <row r="107" spans="1:3" x14ac:dyDescent="0.25">
      <c r="A107" s="46" t="s">
        <v>1390</v>
      </c>
      <c r="B107" s="35">
        <v>0.66273581981658902</v>
      </c>
      <c r="C107" s="36">
        <v>0.14000000000000001</v>
      </c>
    </row>
    <row r="108" spans="1:3" x14ac:dyDescent="0.25">
      <c r="A108" s="46" t="s">
        <v>1391</v>
      </c>
      <c r="B108" s="35">
        <v>0.59509199857711703</v>
      </c>
      <c r="C108" s="36">
        <v>0.13</v>
      </c>
    </row>
    <row r="109" spans="1:3" x14ac:dyDescent="0.25">
      <c r="A109" s="46" t="s">
        <v>1392</v>
      </c>
      <c r="B109" s="35">
        <v>0.76548671722412098</v>
      </c>
      <c r="C109" s="36">
        <v>0.15</v>
      </c>
    </row>
    <row r="110" spans="1:3" x14ac:dyDescent="0.25">
      <c r="A110" s="46" t="s">
        <v>1393</v>
      </c>
      <c r="B110" s="35">
        <v>0.64459931850433305</v>
      </c>
      <c r="C110" s="36">
        <v>0.09</v>
      </c>
    </row>
    <row r="111" spans="1:3" x14ac:dyDescent="0.25">
      <c r="A111" s="46" t="s">
        <v>1394</v>
      </c>
      <c r="B111" s="35">
        <v>0.68730652332305897</v>
      </c>
      <c r="C111" s="36">
        <v>0.14000000000000001</v>
      </c>
    </row>
    <row r="112" spans="1:3" x14ac:dyDescent="0.25">
      <c r="A112" s="46" t="s">
        <v>1395</v>
      </c>
      <c r="B112" s="35">
        <v>0.64792901277542103</v>
      </c>
      <c r="C112" s="36">
        <v>0</v>
      </c>
    </row>
    <row r="113" spans="1:3" x14ac:dyDescent="0.25">
      <c r="A113" s="46" t="s">
        <v>1396</v>
      </c>
      <c r="B113" s="35">
        <v>0.73989456892013505</v>
      </c>
      <c r="C113" s="36">
        <v>0.33</v>
      </c>
    </row>
    <row r="114" spans="1:3" x14ac:dyDescent="0.25">
      <c r="A114" s="46" t="s">
        <v>1397</v>
      </c>
      <c r="B114" s="35">
        <v>0.65750002861022905</v>
      </c>
      <c r="C114" s="36">
        <v>0.1</v>
      </c>
    </row>
    <row r="115" spans="1:3" x14ac:dyDescent="0.25">
      <c r="A115" s="46" t="s">
        <v>1398</v>
      </c>
      <c r="B115" s="35">
        <v>0.62783169746398904</v>
      </c>
      <c r="C115" s="36">
        <v>0.14000000000000001</v>
      </c>
    </row>
    <row r="116" spans="1:3" x14ac:dyDescent="0.25">
      <c r="A116" s="46" t="s">
        <v>1399</v>
      </c>
      <c r="B116" s="35">
        <v>0.66139954328536898</v>
      </c>
      <c r="C116" s="36">
        <v>0.16</v>
      </c>
    </row>
    <row r="117" spans="1:3" x14ac:dyDescent="0.25">
      <c r="A117" s="46" t="s">
        <v>1400</v>
      </c>
      <c r="B117" s="35">
        <v>0.69300228357314997</v>
      </c>
      <c r="C117" s="36">
        <v>0.18</v>
      </c>
    </row>
    <row r="118" spans="1:3" x14ac:dyDescent="0.25">
      <c r="A118" s="46" t="s">
        <v>1401</v>
      </c>
      <c r="B118" s="35">
        <v>0.66371679306030196</v>
      </c>
      <c r="C118" s="36">
        <v>0.14000000000000001</v>
      </c>
    </row>
    <row r="119" spans="1:3" x14ac:dyDescent="0.25">
      <c r="A119" s="46" t="s">
        <v>1402</v>
      </c>
      <c r="B119" s="35">
        <v>0.670454561710357</v>
      </c>
      <c r="C119" s="36">
        <v>7.0000000000000007E-2</v>
      </c>
    </row>
    <row r="120" spans="1:3" x14ac:dyDescent="0.25">
      <c r="A120" s="46" t="s">
        <v>1403</v>
      </c>
      <c r="B120" s="35">
        <v>0.67128026485443104</v>
      </c>
      <c r="C120" s="36">
        <v>0.1</v>
      </c>
    </row>
    <row r="121" spans="1:3" x14ac:dyDescent="0.25">
      <c r="A121" s="46" t="s">
        <v>1404</v>
      </c>
      <c r="B121" s="35">
        <v>0.96523517370223999</v>
      </c>
      <c r="C121" s="36">
        <v>0.18</v>
      </c>
    </row>
    <row r="122" spans="1:3" x14ac:dyDescent="0.25">
      <c r="A122" s="46" t="s">
        <v>1405</v>
      </c>
      <c r="B122" s="35">
        <v>0.72553193569183305</v>
      </c>
      <c r="C122" s="36">
        <v>0.09</v>
      </c>
    </row>
    <row r="123" spans="1:3" x14ac:dyDescent="0.25">
      <c r="A123" s="46" t="s">
        <v>1406</v>
      </c>
      <c r="B123" s="35">
        <v>0.67687076330184903</v>
      </c>
      <c r="C123" s="36">
        <v>0.1</v>
      </c>
    </row>
    <row r="124" spans="1:3" x14ac:dyDescent="0.25">
      <c r="A124" s="46" t="s">
        <v>1407</v>
      </c>
      <c r="B124" s="35">
        <v>0.68199998140335005</v>
      </c>
      <c r="C124" s="36">
        <v>0.1</v>
      </c>
    </row>
    <row r="125" spans="1:3" x14ac:dyDescent="0.25">
      <c r="A125" s="46" t="s">
        <v>1408</v>
      </c>
      <c r="B125" s="35">
        <v>0.97505199909210205</v>
      </c>
      <c r="C125" s="36">
        <v>0.2</v>
      </c>
    </row>
    <row r="126" spans="1:3" x14ac:dyDescent="0.25">
      <c r="A126" s="46" t="s">
        <v>1409</v>
      </c>
      <c r="B126" s="35">
        <v>0.65662652254104603</v>
      </c>
      <c r="C126" s="36">
        <v>0.16</v>
      </c>
    </row>
    <row r="127" spans="1:3" x14ac:dyDescent="0.25">
      <c r="A127" s="46" t="s">
        <v>1410</v>
      </c>
      <c r="B127" s="35">
        <v>0.65706050395965498</v>
      </c>
      <c r="C127" s="36">
        <v>0.06</v>
      </c>
    </row>
    <row r="128" spans="1:3" x14ac:dyDescent="0.25">
      <c r="A128" s="46" t="s">
        <v>1411</v>
      </c>
      <c r="B128" s="35">
        <v>0.59786474704742398</v>
      </c>
      <c r="C128" s="36">
        <v>0.14000000000000001</v>
      </c>
    </row>
    <row r="129" spans="1:3" x14ac:dyDescent="0.25">
      <c r="A129" s="46" t="s">
        <v>1412</v>
      </c>
      <c r="B129" s="35">
        <v>0.68711656332015902</v>
      </c>
      <c r="C129" s="36">
        <v>0.13</v>
      </c>
    </row>
    <row r="130" spans="1:3" x14ac:dyDescent="0.25">
      <c r="A130" s="46" t="s">
        <v>1413</v>
      </c>
      <c r="B130" s="35">
        <v>0.887218058109283</v>
      </c>
      <c r="C130" s="36">
        <v>0.16</v>
      </c>
    </row>
    <row r="131" spans="1:3" x14ac:dyDescent="0.25">
      <c r="A131" s="46" t="s">
        <v>1414</v>
      </c>
      <c r="B131" s="35">
        <v>0.59206801652908303</v>
      </c>
      <c r="C131" s="36">
        <v>0.13</v>
      </c>
    </row>
    <row r="132" spans="1:3" x14ac:dyDescent="0.25">
      <c r="A132" s="46" t="s">
        <v>1415</v>
      </c>
      <c r="B132" s="35">
        <v>0.6015625</v>
      </c>
      <c r="C132" s="36">
        <v>0.13</v>
      </c>
    </row>
    <row r="133" spans="1:3" x14ac:dyDescent="0.25">
      <c r="A133" s="46" t="s">
        <v>1416</v>
      </c>
      <c r="B133" s="35">
        <v>0.65789473056793202</v>
      </c>
      <c r="C133" s="36">
        <v>0.15</v>
      </c>
    </row>
    <row r="134" spans="1:3" x14ac:dyDescent="0.25">
      <c r="A134" s="46" t="s">
        <v>1417</v>
      </c>
      <c r="B134" s="35">
        <v>0.77981650829315097</v>
      </c>
      <c r="C134" s="36">
        <v>0.09</v>
      </c>
    </row>
    <row r="135" spans="1:3" x14ac:dyDescent="0.25">
      <c r="A135" s="46" t="s">
        <v>1418</v>
      </c>
      <c r="B135" s="35">
        <v>0.66751915216445901</v>
      </c>
      <c r="C135" s="36">
        <v>0.16</v>
      </c>
    </row>
    <row r="136" spans="1:3" x14ac:dyDescent="0.25">
      <c r="A136" s="46" t="s">
        <v>1419</v>
      </c>
      <c r="B136" s="35">
        <v>0.67340070009231501</v>
      </c>
      <c r="C136" s="36">
        <v>0.11</v>
      </c>
    </row>
    <row r="137" spans="1:3" x14ac:dyDescent="0.25">
      <c r="A137" s="46" t="s">
        <v>1420</v>
      </c>
      <c r="B137" s="35">
        <v>0.67874395847320501</v>
      </c>
      <c r="C137" s="36">
        <v>0.16</v>
      </c>
    </row>
    <row r="138" spans="1:3" x14ac:dyDescent="0.25">
      <c r="A138" s="46" t="s">
        <v>1421</v>
      </c>
      <c r="B138" s="35">
        <v>0.66871166229248002</v>
      </c>
      <c r="C138" s="36">
        <v>0.09</v>
      </c>
    </row>
    <row r="139" spans="1:3" x14ac:dyDescent="0.25">
      <c r="A139" s="46" t="s">
        <v>1422</v>
      </c>
      <c r="B139" s="35">
        <v>0.70277076959609897</v>
      </c>
      <c r="C139" s="36">
        <v>0.18</v>
      </c>
    </row>
    <row r="140" spans="1:3" x14ac:dyDescent="0.25">
      <c r="A140" s="46" t="s">
        <v>1423</v>
      </c>
      <c r="B140" s="35">
        <v>0.65714287757873502</v>
      </c>
      <c r="C140" s="36">
        <v>0.13</v>
      </c>
    </row>
    <row r="141" spans="1:3" x14ac:dyDescent="0.25">
      <c r="A141" s="46" t="s">
        <v>1424</v>
      </c>
      <c r="B141" s="35">
        <v>0.91828793287277199</v>
      </c>
      <c r="C141" s="36">
        <v>0.19</v>
      </c>
    </row>
    <row r="142" spans="1:3" x14ac:dyDescent="0.25">
      <c r="A142" s="46" t="s">
        <v>1425</v>
      </c>
      <c r="B142" s="35">
        <v>0.43095237016677801</v>
      </c>
      <c r="C142" s="36">
        <v>0.62</v>
      </c>
    </row>
    <row r="143" spans="1:3" x14ac:dyDescent="0.25">
      <c r="A143" s="46" t="s">
        <v>1426</v>
      </c>
      <c r="B143" s="35">
        <v>0.654654681682586</v>
      </c>
      <c r="C143" s="36">
        <v>0</v>
      </c>
    </row>
    <row r="144" spans="1:3" x14ac:dyDescent="0.25">
      <c r="A144" s="46" t="s">
        <v>1427</v>
      </c>
      <c r="B144" s="35">
        <v>0.516795873641967</v>
      </c>
      <c r="C144" s="36">
        <v>0.56000000000000005</v>
      </c>
    </row>
    <row r="145" spans="1:3" x14ac:dyDescent="0.25">
      <c r="A145" s="46" t="s">
        <v>1428</v>
      </c>
      <c r="B145" s="35">
        <v>0.51487416028976396</v>
      </c>
      <c r="C145" s="36">
        <v>0.61</v>
      </c>
    </row>
    <row r="146" spans="1:3" x14ac:dyDescent="0.25">
      <c r="A146" s="46" t="s">
        <v>1429</v>
      </c>
      <c r="B146" s="35">
        <v>0.66431927680969205</v>
      </c>
      <c r="C146" s="36">
        <v>0</v>
      </c>
    </row>
    <row r="147" spans="1:3" x14ac:dyDescent="0.25">
      <c r="A147" s="46" t="s">
        <v>1002</v>
      </c>
      <c r="B147" s="35">
        <v>0.53282827138900701</v>
      </c>
      <c r="C147" s="36">
        <v>0.38</v>
      </c>
    </row>
    <row r="148" spans="1:3" x14ac:dyDescent="0.25">
      <c r="A148" s="46" t="s">
        <v>1430</v>
      </c>
      <c r="B148" s="35">
        <v>0.47356322407722401</v>
      </c>
      <c r="C148" s="36">
        <v>0.44</v>
      </c>
    </row>
    <row r="149" spans="1:3" x14ac:dyDescent="0.25">
      <c r="A149" s="46" t="s">
        <v>1110</v>
      </c>
      <c r="B149" s="35">
        <v>0.65517240762710505</v>
      </c>
      <c r="C149" s="36">
        <v>0.41</v>
      </c>
    </row>
    <row r="150" spans="1:3" x14ac:dyDescent="0.25">
      <c r="A150" s="46" t="s">
        <v>1431</v>
      </c>
      <c r="B150" s="35">
        <v>0.50918632745742798</v>
      </c>
      <c r="C150" s="36">
        <v>0.42</v>
      </c>
    </row>
    <row r="151" spans="1:3" x14ac:dyDescent="0.25">
      <c r="A151" s="46" t="s">
        <v>1432</v>
      </c>
      <c r="B151" s="35">
        <v>0.48522168397903398</v>
      </c>
      <c r="C151" s="36">
        <v>0.41</v>
      </c>
    </row>
    <row r="152" spans="1:3" x14ac:dyDescent="0.25">
      <c r="A152" s="46" t="s">
        <v>1433</v>
      </c>
      <c r="B152" s="35">
        <v>0.69375002384185702</v>
      </c>
      <c r="C152" s="36">
        <v>0.09</v>
      </c>
    </row>
    <row r="153" spans="1:3" x14ac:dyDescent="0.25">
      <c r="A153" s="46" t="s">
        <v>1434</v>
      </c>
      <c r="B153" s="35">
        <v>0.57630521059036199</v>
      </c>
      <c r="C153" s="36">
        <v>0.13</v>
      </c>
    </row>
    <row r="154" spans="1:3" x14ac:dyDescent="0.25">
      <c r="A154" s="46" t="s">
        <v>1435</v>
      </c>
      <c r="B154" s="35">
        <v>0.59438776969909601</v>
      </c>
      <c r="C154" s="36">
        <v>0.24</v>
      </c>
    </row>
    <row r="155" spans="1:3" x14ac:dyDescent="0.25">
      <c r="A155" s="46" t="s">
        <v>1436</v>
      </c>
      <c r="B155" s="35">
        <v>0.55327868461608798</v>
      </c>
      <c r="C155" s="36">
        <v>0.1</v>
      </c>
    </row>
    <row r="156" spans="1:3" x14ac:dyDescent="0.25">
      <c r="A156" s="46" t="s">
        <v>1437</v>
      </c>
      <c r="B156" s="35">
        <v>0.62190079689025801</v>
      </c>
      <c r="C156" s="36">
        <v>0.3</v>
      </c>
    </row>
    <row r="157" spans="1:3" x14ac:dyDescent="0.25">
      <c r="A157" s="46" t="s">
        <v>1438</v>
      </c>
      <c r="B157" s="35">
        <v>1</v>
      </c>
      <c r="C157" s="36">
        <v>0.24</v>
      </c>
    </row>
    <row r="158" spans="1:3" x14ac:dyDescent="0.25">
      <c r="A158" s="46" t="s">
        <v>1439</v>
      </c>
      <c r="B158" s="35">
        <v>0.74468082189559903</v>
      </c>
      <c r="C158" s="36">
        <v>0.14000000000000001</v>
      </c>
    </row>
    <row r="159" spans="1:3" x14ac:dyDescent="0.25">
      <c r="A159" s="46" t="s">
        <v>1440</v>
      </c>
      <c r="B159" s="35">
        <v>0.59710741043090798</v>
      </c>
      <c r="C159" s="36">
        <v>0.33</v>
      </c>
    </row>
    <row r="160" spans="1:3" x14ac:dyDescent="0.25">
      <c r="A160" s="46" t="s">
        <v>1441</v>
      </c>
      <c r="B160" s="35">
        <v>1</v>
      </c>
      <c r="C160" s="36">
        <v>0.23</v>
      </c>
    </row>
    <row r="161" spans="1:3" x14ac:dyDescent="0.25">
      <c r="A161" s="46" t="s">
        <v>1442</v>
      </c>
      <c r="B161" s="35">
        <v>0.55069583654403598</v>
      </c>
      <c r="C161" s="36">
        <v>0.14000000000000001</v>
      </c>
    </row>
    <row r="162" spans="1:3" x14ac:dyDescent="0.25">
      <c r="A162" s="46" t="s">
        <v>1443</v>
      </c>
      <c r="B162" s="35">
        <v>0.57986110448837203</v>
      </c>
      <c r="C162" s="36">
        <v>0.12</v>
      </c>
    </row>
    <row r="163" spans="1:3" x14ac:dyDescent="0.25">
      <c r="A163" s="46" t="s">
        <v>1444</v>
      </c>
      <c r="B163" s="35">
        <v>0.68085104227065996</v>
      </c>
      <c r="C163" s="36">
        <v>0.25</v>
      </c>
    </row>
    <row r="164" spans="1:3" x14ac:dyDescent="0.25">
      <c r="A164" s="46" t="s">
        <v>1445</v>
      </c>
      <c r="B164" s="35">
        <v>0.57863503694534302</v>
      </c>
      <c r="C164" s="36">
        <v>0.14000000000000001</v>
      </c>
    </row>
    <row r="165" spans="1:3" x14ac:dyDescent="0.25">
      <c r="A165" s="46" t="s">
        <v>1446</v>
      </c>
      <c r="B165" s="35">
        <v>0.61165046691894498</v>
      </c>
      <c r="C165" s="36">
        <v>0.19</v>
      </c>
    </row>
    <row r="166" spans="1:3" x14ac:dyDescent="0.25">
      <c r="A166" s="46" t="s">
        <v>1447</v>
      </c>
      <c r="B166" s="35">
        <v>0.63771712779998702</v>
      </c>
      <c r="C166" s="36">
        <v>0.16</v>
      </c>
    </row>
    <row r="167" spans="1:3" x14ac:dyDescent="0.25">
      <c r="A167" s="46" t="s">
        <v>1448</v>
      </c>
      <c r="B167" s="35">
        <v>0.66904759407043402</v>
      </c>
      <c r="C167" s="36">
        <v>0.17</v>
      </c>
    </row>
    <row r="168" spans="1:3" x14ac:dyDescent="0.25">
      <c r="A168" s="46" t="s">
        <v>1449</v>
      </c>
      <c r="B168" s="35">
        <v>0.82938390970230103</v>
      </c>
      <c r="C168" s="36">
        <v>0.15</v>
      </c>
    </row>
    <row r="169" spans="1:3" x14ac:dyDescent="0.25">
      <c r="A169" s="46" t="s">
        <v>1450</v>
      </c>
      <c r="B169" s="35">
        <v>0.81206494569778398</v>
      </c>
      <c r="C169" s="36">
        <v>0.09</v>
      </c>
    </row>
    <row r="170" spans="1:3" x14ac:dyDescent="0.25">
      <c r="A170" s="46" t="s">
        <v>1451</v>
      </c>
      <c r="B170" s="35">
        <v>0.75268816947937001</v>
      </c>
      <c r="C170" s="36">
        <v>0.14000000000000001</v>
      </c>
    </row>
    <row r="171" spans="1:3" x14ac:dyDescent="0.25">
      <c r="A171" s="46" t="s">
        <v>1452</v>
      </c>
      <c r="B171" s="35">
        <v>0.67118644714355402</v>
      </c>
      <c r="C171" s="36">
        <v>0.16</v>
      </c>
    </row>
    <row r="172" spans="1:3" x14ac:dyDescent="0.25">
      <c r="A172" s="46" t="s">
        <v>1453</v>
      </c>
      <c r="B172" s="35">
        <v>0.73684209585189797</v>
      </c>
      <c r="C172" s="36">
        <v>7.0000000000000007E-2</v>
      </c>
    </row>
    <row r="173" spans="1:3" x14ac:dyDescent="0.25">
      <c r="A173" s="46" t="s">
        <v>1454</v>
      </c>
      <c r="B173" s="35">
        <v>0.70629370212554898</v>
      </c>
      <c r="C173" s="36">
        <v>0.19</v>
      </c>
    </row>
    <row r="174" spans="1:3" x14ac:dyDescent="0.25">
      <c r="A174" s="46" t="s">
        <v>1455</v>
      </c>
      <c r="B174" s="35">
        <v>0.60416668653488104</v>
      </c>
      <c r="C174" s="36">
        <v>0.11</v>
      </c>
    </row>
    <row r="175" spans="1:3" x14ac:dyDescent="0.25">
      <c r="A175" s="46" t="s">
        <v>1456</v>
      </c>
      <c r="B175" s="35">
        <v>0.62324649095535201</v>
      </c>
      <c r="C175" s="36">
        <v>0.15</v>
      </c>
    </row>
    <row r="176" spans="1:3" x14ac:dyDescent="0.25">
      <c r="A176" s="46" t="s">
        <v>1457</v>
      </c>
      <c r="B176" s="35">
        <v>0.58032131195068304</v>
      </c>
      <c r="C176" s="36">
        <v>0.15</v>
      </c>
    </row>
    <row r="177" spans="1:3" x14ac:dyDescent="0.25">
      <c r="A177" s="46" t="s">
        <v>1458</v>
      </c>
      <c r="B177" s="35">
        <v>0.64781492948532104</v>
      </c>
      <c r="C177" s="36">
        <v>0.14000000000000001</v>
      </c>
    </row>
    <row r="178" spans="1:3" x14ac:dyDescent="0.25">
      <c r="A178" s="46" t="s">
        <v>1459</v>
      </c>
      <c r="B178" s="35">
        <v>0.60084033012390103</v>
      </c>
      <c r="C178" s="36">
        <v>0.11</v>
      </c>
    </row>
    <row r="179" spans="1:3" x14ac:dyDescent="0.25">
      <c r="A179" s="46" t="s">
        <v>1460</v>
      </c>
      <c r="B179" s="35">
        <v>0.99163180589675903</v>
      </c>
      <c r="C179" s="36">
        <v>0.21</v>
      </c>
    </row>
    <row r="180" spans="1:3" x14ac:dyDescent="0.25">
      <c r="A180" s="46" t="s">
        <v>1461</v>
      </c>
      <c r="B180" s="35">
        <v>0.55647838115692105</v>
      </c>
      <c r="C180" s="36">
        <v>0.14000000000000001</v>
      </c>
    </row>
    <row r="181" spans="1:3" x14ac:dyDescent="0.25">
      <c r="A181" s="46" t="s">
        <v>1462</v>
      </c>
      <c r="B181" s="35">
        <v>0.96842104196548395</v>
      </c>
      <c r="C181" s="36">
        <v>0.26</v>
      </c>
    </row>
    <row r="182" spans="1:3" x14ac:dyDescent="0.25">
      <c r="A182" s="46" t="s">
        <v>1463</v>
      </c>
      <c r="B182" s="35">
        <v>0.827423155307769</v>
      </c>
      <c r="C182" s="36">
        <v>0.13</v>
      </c>
    </row>
    <row r="183" spans="1:3" x14ac:dyDescent="0.25">
      <c r="A183" s="46" t="s">
        <v>1464</v>
      </c>
      <c r="B183" s="35">
        <v>0.85158151388168302</v>
      </c>
      <c r="C183" s="36">
        <v>0.13</v>
      </c>
    </row>
    <row r="184" spans="1:3" x14ac:dyDescent="0.25">
      <c r="A184" s="46" t="s">
        <v>1465</v>
      </c>
      <c r="B184" s="35">
        <v>0.65853661298751798</v>
      </c>
      <c r="C184" s="36">
        <v>0.09</v>
      </c>
    </row>
    <row r="185" spans="1:3" x14ac:dyDescent="0.25">
      <c r="A185" s="46" t="s">
        <v>1466</v>
      </c>
      <c r="B185" s="35">
        <v>0.69168901443481401</v>
      </c>
      <c r="C185" s="36">
        <v>0.08</v>
      </c>
    </row>
    <row r="186" spans="1:3" x14ac:dyDescent="0.25">
      <c r="A186" s="46" t="s">
        <v>1467</v>
      </c>
      <c r="B186" s="35">
        <v>0.993710696697235</v>
      </c>
      <c r="C186" s="36">
        <v>0.18</v>
      </c>
    </row>
    <row r="187" spans="1:3" x14ac:dyDescent="0.25">
      <c r="A187" s="46" t="s">
        <v>1468</v>
      </c>
      <c r="B187" s="35">
        <v>0.70189702510833696</v>
      </c>
      <c r="C187" s="36">
        <v>0.17</v>
      </c>
    </row>
    <row r="188" spans="1:3" x14ac:dyDescent="0.25">
      <c r="A188" s="46" t="s">
        <v>1469</v>
      </c>
      <c r="B188" s="35">
        <v>0.85365855693817105</v>
      </c>
      <c r="C188" s="36">
        <v>0.11</v>
      </c>
    </row>
    <row r="189" spans="1:3" x14ac:dyDescent="0.25">
      <c r="A189" s="46" t="s">
        <v>1470</v>
      </c>
      <c r="B189" s="35">
        <v>0.77459013462066595</v>
      </c>
      <c r="C189" s="36">
        <v>0.11</v>
      </c>
    </row>
    <row r="190" spans="1:3" x14ac:dyDescent="0.25">
      <c r="A190" s="46" t="s">
        <v>1471</v>
      </c>
      <c r="B190" s="35">
        <v>0.69113147258758501</v>
      </c>
      <c r="C190" s="36">
        <v>0.1</v>
      </c>
    </row>
    <row r="191" spans="1:3" x14ac:dyDescent="0.25">
      <c r="A191" s="46" t="s">
        <v>1472</v>
      </c>
      <c r="B191" s="35">
        <v>0.67664670944213801</v>
      </c>
      <c r="C191" s="36">
        <v>0.11</v>
      </c>
    </row>
    <row r="192" spans="1:3" x14ac:dyDescent="0.25">
      <c r="A192" s="46" t="s">
        <v>1473</v>
      </c>
      <c r="B192" s="35">
        <v>0.47949525713920499</v>
      </c>
      <c r="C192" s="36">
        <v>0.28000000000000003</v>
      </c>
    </row>
    <row r="193" spans="1:3" x14ac:dyDescent="0.25">
      <c r="A193" s="46" t="s">
        <v>1474</v>
      </c>
      <c r="B193" s="35">
        <v>0.75321888923644997</v>
      </c>
      <c r="C193" s="36">
        <v>0.11</v>
      </c>
    </row>
    <row r="194" spans="1:3" x14ac:dyDescent="0.25">
      <c r="A194" s="46" t="s">
        <v>1475</v>
      </c>
      <c r="B194" s="35">
        <v>0.90285712480545</v>
      </c>
      <c r="C194" s="36">
        <v>0.16</v>
      </c>
    </row>
    <row r="195" spans="1:3" x14ac:dyDescent="0.25">
      <c r="A195" s="46" t="s">
        <v>1476</v>
      </c>
      <c r="B195" s="35">
        <v>0.62783169746398904</v>
      </c>
      <c r="C195" s="36">
        <v>0.12</v>
      </c>
    </row>
    <row r="196" spans="1:3" x14ac:dyDescent="0.25">
      <c r="A196" s="46" t="s">
        <v>1477</v>
      </c>
      <c r="B196" s="35">
        <v>0.64540815353393499</v>
      </c>
      <c r="C196" s="36">
        <v>0.13</v>
      </c>
    </row>
    <row r="197" spans="1:3" x14ac:dyDescent="0.25">
      <c r="A197" s="46" t="s">
        <v>1478</v>
      </c>
      <c r="B197" s="35">
        <v>0.64370548725128096</v>
      </c>
      <c r="C197" s="36">
        <v>0.14000000000000001</v>
      </c>
    </row>
    <row r="198" spans="1:3" x14ac:dyDescent="0.25">
      <c r="A198" s="46" t="s">
        <v>1479</v>
      </c>
      <c r="B198" s="35">
        <v>0.64285713434219305</v>
      </c>
      <c r="C198" s="36">
        <v>0.13</v>
      </c>
    </row>
    <row r="199" spans="1:3" x14ac:dyDescent="0.25">
      <c r="A199" s="46" t="s">
        <v>1480</v>
      </c>
      <c r="B199" s="35">
        <v>0.80320364236831598</v>
      </c>
      <c r="C199" s="36">
        <v>0.06</v>
      </c>
    </row>
    <row r="200" spans="1:3" x14ac:dyDescent="0.25">
      <c r="A200" s="46" t="s">
        <v>1481</v>
      </c>
      <c r="B200" s="35">
        <v>0.70558375120162897</v>
      </c>
      <c r="C200" s="36">
        <v>0.13</v>
      </c>
    </row>
    <row r="201" spans="1:3" x14ac:dyDescent="0.25">
      <c r="A201" s="46" t="s">
        <v>1482</v>
      </c>
      <c r="B201" s="35">
        <v>0.69005846977233798</v>
      </c>
      <c r="C201" s="36">
        <v>0.08</v>
      </c>
    </row>
    <row r="202" spans="1:3" x14ac:dyDescent="0.25">
      <c r="A202" s="46" t="s">
        <v>1483</v>
      </c>
      <c r="B202" s="35">
        <v>0.67595821619033802</v>
      </c>
      <c r="C202" s="36">
        <v>0.09</v>
      </c>
    </row>
    <row r="203" spans="1:3" x14ac:dyDescent="0.25">
      <c r="A203" s="46" t="s">
        <v>1484</v>
      </c>
      <c r="B203" s="35">
        <v>0.56712961196899403</v>
      </c>
      <c r="C203" s="36">
        <v>0.13</v>
      </c>
    </row>
    <row r="204" spans="1:3" x14ac:dyDescent="0.25">
      <c r="A204" s="46" t="s">
        <v>1485</v>
      </c>
      <c r="B204" s="35">
        <v>0.67687076330184903</v>
      </c>
      <c r="C204" s="36">
        <v>0</v>
      </c>
    </row>
    <row r="205" spans="1:3" x14ac:dyDescent="0.25">
      <c r="A205" s="46" t="s">
        <v>1486</v>
      </c>
      <c r="B205" s="35">
        <v>0.67462688684463501</v>
      </c>
      <c r="C205" s="36">
        <v>0.08</v>
      </c>
    </row>
    <row r="206" spans="1:3" x14ac:dyDescent="0.25">
      <c r="A206" s="46" t="s">
        <v>1487</v>
      </c>
      <c r="B206" s="35">
        <v>0.72570192813873202</v>
      </c>
      <c r="C206" s="36">
        <v>0.15</v>
      </c>
    </row>
    <row r="207" spans="1:3" x14ac:dyDescent="0.25">
      <c r="A207" s="46" t="s">
        <v>1488</v>
      </c>
      <c r="B207" s="35">
        <v>0.69999998807907104</v>
      </c>
      <c r="C207" s="36">
        <v>0.13</v>
      </c>
    </row>
    <row r="208" spans="1:3" x14ac:dyDescent="0.25">
      <c r="A208" s="46" t="s">
        <v>1489</v>
      </c>
      <c r="B208" s="35">
        <v>0.60752689838409402</v>
      </c>
      <c r="C208" s="36">
        <v>0.12</v>
      </c>
    </row>
    <row r="209" spans="1:3" x14ac:dyDescent="0.25">
      <c r="A209" s="46" t="s">
        <v>1490</v>
      </c>
      <c r="B209" s="35">
        <v>1</v>
      </c>
      <c r="C209" s="36">
        <v>0.2</v>
      </c>
    </row>
    <row r="210" spans="1:3" x14ac:dyDescent="0.25">
      <c r="A210" s="46" t="s">
        <v>1491</v>
      </c>
      <c r="B210" s="35">
        <v>0.638954877853393</v>
      </c>
      <c r="C210" s="36">
        <v>0.17</v>
      </c>
    </row>
    <row r="211" spans="1:3" x14ac:dyDescent="0.25">
      <c r="A211" s="46" t="s">
        <v>1492</v>
      </c>
      <c r="B211" s="35">
        <v>0.65835410356521595</v>
      </c>
      <c r="C211" s="36">
        <v>0.22</v>
      </c>
    </row>
    <row r="212" spans="1:3" x14ac:dyDescent="0.25">
      <c r="A212" s="46" t="s">
        <v>1493</v>
      </c>
      <c r="B212" s="35">
        <v>0.61312609910964899</v>
      </c>
      <c r="C212" s="36">
        <v>0.12</v>
      </c>
    </row>
    <row r="213" spans="1:3" x14ac:dyDescent="0.25">
      <c r="A213" s="46" t="s">
        <v>1494</v>
      </c>
      <c r="B213" s="35">
        <v>0.67261904478073098</v>
      </c>
      <c r="C213" s="36">
        <v>0.06</v>
      </c>
    </row>
    <row r="214" spans="1:3" x14ac:dyDescent="0.25">
      <c r="A214" s="46" t="s">
        <v>1495</v>
      </c>
      <c r="B214" s="35">
        <v>0.894459128379821</v>
      </c>
      <c r="C214" s="36">
        <v>0.12</v>
      </c>
    </row>
    <row r="215" spans="1:3" x14ac:dyDescent="0.25">
      <c r="A215" s="46" t="s">
        <v>1496</v>
      </c>
      <c r="B215" s="35">
        <v>0.894459128379821</v>
      </c>
      <c r="C215" s="36">
        <v>0.11</v>
      </c>
    </row>
    <row r="216" spans="1:3" x14ac:dyDescent="0.25">
      <c r="A216" s="46" t="s">
        <v>1497</v>
      </c>
      <c r="B216" s="35">
        <v>0.75166296958923295</v>
      </c>
      <c r="C216" s="36">
        <v>0.12</v>
      </c>
    </row>
    <row r="217" spans="1:3" x14ac:dyDescent="0.25">
      <c r="A217" s="46" t="s">
        <v>1498</v>
      </c>
      <c r="B217" s="35">
        <v>0.88311690092086703</v>
      </c>
      <c r="C217" s="36">
        <v>0.09</v>
      </c>
    </row>
    <row r="218" spans="1:3" x14ac:dyDescent="0.25">
      <c r="A218" s="46" t="s">
        <v>1499</v>
      </c>
      <c r="B218" s="35">
        <v>0.68321514129638605</v>
      </c>
      <c r="C218" s="36">
        <v>0.09</v>
      </c>
    </row>
    <row r="219" spans="1:3" x14ac:dyDescent="0.25">
      <c r="A219" s="46" t="s">
        <v>1500</v>
      </c>
      <c r="B219" s="35">
        <v>0.96652722358703602</v>
      </c>
      <c r="C219" s="36">
        <v>0.11</v>
      </c>
    </row>
    <row r="220" spans="1:3" x14ac:dyDescent="0.25">
      <c r="A220" s="46" t="s">
        <v>1501</v>
      </c>
      <c r="B220" s="35">
        <v>0.64133018255233698</v>
      </c>
      <c r="C220" s="36">
        <v>0.15</v>
      </c>
    </row>
    <row r="221" spans="1:3" x14ac:dyDescent="0.25">
      <c r="A221" s="46" t="s">
        <v>1502</v>
      </c>
      <c r="B221" s="35">
        <v>0.96835440397262496</v>
      </c>
      <c r="C221" s="36">
        <v>0.26</v>
      </c>
    </row>
    <row r="222" spans="1:3" x14ac:dyDescent="0.25">
      <c r="A222" s="46" t="s">
        <v>1503</v>
      </c>
      <c r="B222" s="35">
        <v>0.64285713434219305</v>
      </c>
      <c r="C222" s="36">
        <v>0.15</v>
      </c>
    </row>
    <row r="223" spans="1:3" x14ac:dyDescent="0.25">
      <c r="A223" s="46" t="s">
        <v>1504</v>
      </c>
      <c r="B223" s="35">
        <v>0.68170428276062001</v>
      </c>
      <c r="C223" s="36">
        <v>0.17</v>
      </c>
    </row>
    <row r="224" spans="1:3" x14ac:dyDescent="0.25">
      <c r="A224" s="46" t="s">
        <v>1008</v>
      </c>
      <c r="B224" s="35">
        <v>0.64380532503127996</v>
      </c>
      <c r="C224" s="36">
        <v>0.14000000000000001</v>
      </c>
    </row>
    <row r="225" spans="1:3" x14ac:dyDescent="0.25">
      <c r="A225" s="46" t="s">
        <v>1505</v>
      </c>
      <c r="B225" s="35">
        <v>0.63874346017837502</v>
      </c>
      <c r="C225" s="36">
        <v>0.15</v>
      </c>
    </row>
    <row r="226" spans="1:3" x14ac:dyDescent="0.25">
      <c r="A226" s="46" t="s">
        <v>1506</v>
      </c>
      <c r="B226" s="35">
        <v>0.56827306747436501</v>
      </c>
      <c r="C226" s="36">
        <v>0.17</v>
      </c>
    </row>
    <row r="227" spans="1:3" x14ac:dyDescent="0.25">
      <c r="A227" s="46" t="s">
        <v>1507</v>
      </c>
      <c r="B227" s="35">
        <v>0.602272748947143</v>
      </c>
      <c r="C227" s="36">
        <v>0.55000000000000004</v>
      </c>
    </row>
    <row r="228" spans="1:3" x14ac:dyDescent="0.25">
      <c r="A228" s="46" t="s">
        <v>1508</v>
      </c>
      <c r="B228" s="35">
        <v>0.57857143878936701</v>
      </c>
      <c r="C228" s="36">
        <v>0.7</v>
      </c>
    </row>
    <row r="229" spans="1:3" x14ac:dyDescent="0.25">
      <c r="A229" s="46" t="s">
        <v>1509</v>
      </c>
      <c r="B229" s="35">
        <v>0.60391199588775601</v>
      </c>
      <c r="C229" s="36">
        <v>0.46</v>
      </c>
    </row>
    <row r="230" spans="1:3" x14ac:dyDescent="0.25">
      <c r="A230" s="46" t="s">
        <v>1510</v>
      </c>
      <c r="B230" s="35">
        <v>0.34214001893997098</v>
      </c>
      <c r="C230" s="36">
        <v>0.47</v>
      </c>
    </row>
    <row r="231" spans="1:3" x14ac:dyDescent="0.25">
      <c r="A231" s="46" t="s">
        <v>1511</v>
      </c>
      <c r="B231" s="35">
        <v>0.647619068622589</v>
      </c>
      <c r="C231" s="36">
        <v>0</v>
      </c>
    </row>
    <row r="232" spans="1:3" x14ac:dyDescent="0.25">
      <c r="A232" s="46" t="s">
        <v>1512</v>
      </c>
      <c r="B232" s="35">
        <v>0.57894736528396595</v>
      </c>
      <c r="C232" s="36">
        <v>0.15</v>
      </c>
    </row>
    <row r="233" spans="1:3" x14ac:dyDescent="0.25">
      <c r="A233" s="46" t="s">
        <v>1513</v>
      </c>
      <c r="B233" s="35">
        <v>0.66903072595596302</v>
      </c>
      <c r="C233" s="36">
        <v>0</v>
      </c>
    </row>
    <row r="234" spans="1:3" x14ac:dyDescent="0.25">
      <c r="A234" s="46" t="s">
        <v>1514</v>
      </c>
      <c r="B234" s="35">
        <v>0.66903072595596302</v>
      </c>
      <c r="C234" s="36">
        <v>0.11</v>
      </c>
    </row>
    <row r="235" spans="1:3" x14ac:dyDescent="0.25">
      <c r="A235" s="46" t="s">
        <v>1515</v>
      </c>
      <c r="B235" s="35">
        <v>0.687192142009735</v>
      </c>
      <c r="C235" s="36">
        <v>0.14000000000000001</v>
      </c>
    </row>
    <row r="236" spans="1:3" x14ac:dyDescent="0.25">
      <c r="A236" s="46" t="s">
        <v>1516</v>
      </c>
      <c r="B236" s="35">
        <v>0.65311002731323198</v>
      </c>
      <c r="C236" s="36">
        <v>0</v>
      </c>
    </row>
    <row r="237" spans="1:3" x14ac:dyDescent="0.25">
      <c r="A237" s="46" t="s">
        <v>1517</v>
      </c>
      <c r="B237" s="35">
        <v>0.66745841503143299</v>
      </c>
      <c r="C237" s="36">
        <v>0</v>
      </c>
    </row>
    <row r="238" spans="1:3" x14ac:dyDescent="0.25">
      <c r="A238" s="46" t="s">
        <v>1518</v>
      </c>
      <c r="B238" s="35">
        <v>0.64756447076797397</v>
      </c>
      <c r="C238" s="36">
        <v>0.1</v>
      </c>
    </row>
    <row r="239" spans="1:3" x14ac:dyDescent="0.25">
      <c r="A239" s="46" t="s">
        <v>1519</v>
      </c>
      <c r="B239" s="35">
        <v>0.51771426200866699</v>
      </c>
      <c r="C239" s="36">
        <v>0.63</v>
      </c>
    </row>
    <row r="240" spans="1:3" x14ac:dyDescent="0.25">
      <c r="A240" s="46" t="s">
        <v>1010</v>
      </c>
      <c r="B240" s="35">
        <v>0.59773373603820801</v>
      </c>
      <c r="C240" s="36">
        <v>0.55000000000000004</v>
      </c>
    </row>
    <row r="241" spans="1:3" x14ac:dyDescent="0.25">
      <c r="A241" s="46" t="s">
        <v>1520</v>
      </c>
      <c r="B241" s="35">
        <v>0.596000015735626</v>
      </c>
      <c r="C241" s="36">
        <v>0.39</v>
      </c>
    </row>
    <row r="242" spans="1:3" x14ac:dyDescent="0.25">
      <c r="A242" s="46" t="s">
        <v>950</v>
      </c>
      <c r="B242" s="35">
        <v>0.57336956262588501</v>
      </c>
      <c r="C242" s="36">
        <v>0.42</v>
      </c>
    </row>
    <row r="243" spans="1:3" x14ac:dyDescent="0.25">
      <c r="A243" s="46" t="s">
        <v>1521</v>
      </c>
      <c r="B243" s="35">
        <v>0.42500001192092801</v>
      </c>
      <c r="C243" s="36">
        <v>0.43</v>
      </c>
    </row>
    <row r="244" spans="1:3" x14ac:dyDescent="0.25">
      <c r="A244" s="46" t="s">
        <v>1522</v>
      </c>
      <c r="B244" s="35">
        <v>0.65866667032241799</v>
      </c>
      <c r="C244" s="36">
        <v>0.5</v>
      </c>
    </row>
    <row r="245" spans="1:3" x14ac:dyDescent="0.25">
      <c r="A245" s="46" t="s">
        <v>1523</v>
      </c>
      <c r="B245" s="35">
        <v>0.75304877758026101</v>
      </c>
      <c r="C245" s="36">
        <v>0.54</v>
      </c>
    </row>
    <row r="246" spans="1:3" x14ac:dyDescent="0.25">
      <c r="A246" s="46" t="s">
        <v>1524</v>
      </c>
      <c r="B246" s="35">
        <v>0.65602838993072499</v>
      </c>
      <c r="C246" s="36">
        <v>0</v>
      </c>
    </row>
    <row r="247" spans="1:3" x14ac:dyDescent="0.25">
      <c r="A247" s="46" t="s">
        <v>1525</v>
      </c>
      <c r="B247" s="35">
        <v>0.597894728183746</v>
      </c>
      <c r="C247" s="36">
        <v>0.17</v>
      </c>
    </row>
    <row r="248" spans="1:3" x14ac:dyDescent="0.25">
      <c r="A248" s="46" t="s">
        <v>1526</v>
      </c>
      <c r="B248" s="35">
        <v>0.68421053886413497</v>
      </c>
      <c r="C248" s="36">
        <v>0.06</v>
      </c>
    </row>
    <row r="249" spans="1:3" x14ac:dyDescent="0.25">
      <c r="A249" s="46" t="s">
        <v>1527</v>
      </c>
      <c r="B249" s="35">
        <v>0.51204818487167303</v>
      </c>
      <c r="C249" s="36">
        <v>0.09</v>
      </c>
    </row>
    <row r="250" spans="1:3" x14ac:dyDescent="0.25">
      <c r="A250" s="46" t="s">
        <v>1528</v>
      </c>
      <c r="B250" s="35">
        <v>0.88185656070709195</v>
      </c>
      <c r="C250" s="36">
        <v>0.33</v>
      </c>
    </row>
    <row r="251" spans="1:3" x14ac:dyDescent="0.25">
      <c r="A251" s="46" t="s">
        <v>1529</v>
      </c>
      <c r="B251" s="35">
        <v>0.68904596567153897</v>
      </c>
      <c r="C251" s="36">
        <v>7.0000000000000007E-2</v>
      </c>
    </row>
    <row r="252" spans="1:3" x14ac:dyDescent="0.25">
      <c r="A252" s="46" t="s">
        <v>946</v>
      </c>
      <c r="B252" s="35">
        <v>0.66397851705551103</v>
      </c>
      <c r="C252" s="36">
        <v>0.38</v>
      </c>
    </row>
    <row r="253" spans="1:3" x14ac:dyDescent="0.25">
      <c r="A253" s="46" t="s">
        <v>1530</v>
      </c>
      <c r="B253" s="35">
        <v>0.96842104196548395</v>
      </c>
      <c r="C253" s="36">
        <v>0.28000000000000003</v>
      </c>
    </row>
    <row r="254" spans="1:3" x14ac:dyDescent="0.25">
      <c r="A254" s="46" t="s">
        <v>1531</v>
      </c>
      <c r="B254" s="35">
        <v>0.67398118972778298</v>
      </c>
      <c r="C254" s="36">
        <v>0.18</v>
      </c>
    </row>
    <row r="255" spans="1:3" x14ac:dyDescent="0.25">
      <c r="A255" s="46" t="s">
        <v>1532</v>
      </c>
      <c r="B255" s="35">
        <v>0.63033175468444802</v>
      </c>
      <c r="C255" s="36">
        <v>0.11</v>
      </c>
    </row>
    <row r="256" spans="1:3" x14ac:dyDescent="0.25">
      <c r="A256" s="46" t="s">
        <v>1018</v>
      </c>
      <c r="B256" s="35">
        <v>0.66187047958374001</v>
      </c>
      <c r="C256" s="36">
        <v>0.15</v>
      </c>
    </row>
    <row r="257" spans="1:3" x14ac:dyDescent="0.25">
      <c r="A257" s="46" t="s">
        <v>1533</v>
      </c>
      <c r="B257" s="35">
        <v>0.56338030099868697</v>
      </c>
      <c r="C257" s="36">
        <v>0.1</v>
      </c>
    </row>
    <row r="258" spans="1:3" x14ac:dyDescent="0.25">
      <c r="A258" s="46" t="s">
        <v>1534</v>
      </c>
      <c r="B258" s="35">
        <v>0.55598455667495705</v>
      </c>
      <c r="C258" s="36">
        <v>0.09</v>
      </c>
    </row>
    <row r="259" spans="1:3" x14ac:dyDescent="0.25">
      <c r="A259" s="46" t="s">
        <v>1535</v>
      </c>
      <c r="B259" s="35">
        <v>0.97520661354064897</v>
      </c>
      <c r="C259" s="36">
        <v>0.13</v>
      </c>
    </row>
    <row r="260" spans="1:3" x14ac:dyDescent="0.25">
      <c r="A260" s="46" t="s">
        <v>1536</v>
      </c>
      <c r="B260" s="35">
        <v>0.61872911453247004</v>
      </c>
      <c r="C260" s="36">
        <v>0.09</v>
      </c>
    </row>
    <row r="261" spans="1:3" x14ac:dyDescent="0.25">
      <c r="A261" s="46" t="s">
        <v>1537</v>
      </c>
      <c r="B261" s="35">
        <v>0.615023493766784</v>
      </c>
      <c r="C261" s="36">
        <v>7.0000000000000007E-2</v>
      </c>
    </row>
    <row r="262" spans="1:3" x14ac:dyDescent="0.25">
      <c r="A262" s="46" t="s">
        <v>1538</v>
      </c>
      <c r="B262" s="35">
        <v>0.62126243114471402</v>
      </c>
      <c r="C262" s="36">
        <v>0.25</v>
      </c>
    </row>
    <row r="263" spans="1:3" x14ac:dyDescent="0.25">
      <c r="A263" s="46" t="s">
        <v>1539</v>
      </c>
      <c r="B263" s="35">
        <v>0.80508476495742798</v>
      </c>
      <c r="C263" s="36">
        <v>0.19</v>
      </c>
    </row>
    <row r="264" spans="1:3" x14ac:dyDescent="0.25">
      <c r="A264" s="46" t="s">
        <v>1540</v>
      </c>
      <c r="B264" s="35">
        <v>0.981012642383575</v>
      </c>
      <c r="C264" s="36">
        <v>0.09</v>
      </c>
    </row>
    <row r="265" spans="1:3" x14ac:dyDescent="0.25">
      <c r="A265" s="46" t="s">
        <v>1541</v>
      </c>
      <c r="B265" s="35">
        <v>0.80086582899093595</v>
      </c>
      <c r="C265" s="36">
        <v>0.16</v>
      </c>
    </row>
    <row r="266" spans="1:3" x14ac:dyDescent="0.25">
      <c r="A266" s="46" t="s">
        <v>1542</v>
      </c>
      <c r="B266" s="35">
        <v>0.76923078298568703</v>
      </c>
      <c r="C266" s="36">
        <v>0.15</v>
      </c>
    </row>
    <row r="267" spans="1:3" x14ac:dyDescent="0.25">
      <c r="A267" s="46" t="s">
        <v>1543</v>
      </c>
      <c r="B267" s="35">
        <v>0.83135390281677202</v>
      </c>
      <c r="C267" s="36">
        <v>0.1</v>
      </c>
    </row>
    <row r="268" spans="1:3" x14ac:dyDescent="0.25">
      <c r="A268" s="46" t="s">
        <v>1544</v>
      </c>
      <c r="B268" s="35">
        <v>0.73800736665725697</v>
      </c>
      <c r="C268" s="36">
        <v>0</v>
      </c>
    </row>
    <row r="269" spans="1:3" x14ac:dyDescent="0.25">
      <c r="A269" s="46" t="s">
        <v>1545</v>
      </c>
      <c r="B269" s="35">
        <v>0.81896549463272095</v>
      </c>
      <c r="C269" s="36">
        <v>0.09</v>
      </c>
    </row>
    <row r="270" spans="1:3" x14ac:dyDescent="0.25">
      <c r="A270" s="46" t="s">
        <v>1546</v>
      </c>
      <c r="B270" s="35">
        <v>0.67287784814834595</v>
      </c>
      <c r="C270" s="36">
        <v>0.16</v>
      </c>
    </row>
    <row r="271" spans="1:3" x14ac:dyDescent="0.25">
      <c r="A271" s="46" t="s">
        <v>1547</v>
      </c>
      <c r="B271" s="35">
        <v>0.83478260040283203</v>
      </c>
      <c r="C271" s="36">
        <v>0.12</v>
      </c>
    </row>
    <row r="272" spans="1:3" x14ac:dyDescent="0.25">
      <c r="A272" s="46" t="s">
        <v>1548</v>
      </c>
      <c r="B272" s="35">
        <v>0.68192219734191895</v>
      </c>
      <c r="C272" s="36">
        <v>0.11</v>
      </c>
    </row>
    <row r="273" spans="1:3" x14ac:dyDescent="0.25">
      <c r="A273" s="46" t="s">
        <v>1549</v>
      </c>
      <c r="B273" s="35">
        <v>0.78475338220596302</v>
      </c>
      <c r="C273" s="36">
        <v>0.11</v>
      </c>
    </row>
    <row r="274" spans="1:3" x14ac:dyDescent="0.25">
      <c r="A274" s="46" t="s">
        <v>1550</v>
      </c>
      <c r="B274" s="35">
        <v>0.81978797912597601</v>
      </c>
      <c r="C274" s="36">
        <v>0.12</v>
      </c>
    </row>
    <row r="275" spans="1:3" x14ac:dyDescent="0.25">
      <c r="A275" s="46" t="s">
        <v>1551</v>
      </c>
      <c r="B275" s="35">
        <v>0.86219739913940396</v>
      </c>
      <c r="C275" s="36">
        <v>0.21</v>
      </c>
    </row>
    <row r="276" spans="1:3" x14ac:dyDescent="0.25">
      <c r="A276" s="46" t="s">
        <v>1552</v>
      </c>
      <c r="B276" s="35">
        <v>0.97925311326980502</v>
      </c>
      <c r="C276" s="36">
        <v>0.19</v>
      </c>
    </row>
    <row r="277" spans="1:3" x14ac:dyDescent="0.25">
      <c r="A277" s="46" t="s">
        <v>1553</v>
      </c>
      <c r="B277" s="35">
        <v>0.652968049049377</v>
      </c>
      <c r="C277" s="36">
        <v>0.17</v>
      </c>
    </row>
    <row r="278" spans="1:3" x14ac:dyDescent="0.25">
      <c r="A278" s="46" t="s">
        <v>1554</v>
      </c>
      <c r="B278" s="35">
        <v>0.670329689979553</v>
      </c>
      <c r="C278" s="36">
        <v>0.18</v>
      </c>
    </row>
    <row r="279" spans="1:3" x14ac:dyDescent="0.25">
      <c r="A279" s="46" t="s">
        <v>1555</v>
      </c>
      <c r="B279" s="35">
        <v>0.65728902816772405</v>
      </c>
      <c r="C279" s="36">
        <v>0.14000000000000001</v>
      </c>
    </row>
    <row r="280" spans="1:3" x14ac:dyDescent="0.25">
      <c r="A280" s="46" t="s">
        <v>1556</v>
      </c>
      <c r="B280" s="35">
        <v>0.644670069217681</v>
      </c>
      <c r="C280" s="36">
        <v>0.1</v>
      </c>
    </row>
    <row r="281" spans="1:3" x14ac:dyDescent="0.25">
      <c r="A281" s="46" t="s">
        <v>1557</v>
      </c>
      <c r="B281" s="35">
        <v>0.65038561820983798</v>
      </c>
      <c r="C281" s="36">
        <v>0.12</v>
      </c>
    </row>
    <row r="282" spans="1:3" x14ac:dyDescent="0.25">
      <c r="A282" s="46" t="s">
        <v>1558</v>
      </c>
      <c r="B282" s="35">
        <v>0.57118058204650801</v>
      </c>
      <c r="C282" s="36">
        <v>0.1</v>
      </c>
    </row>
    <row r="283" spans="1:3" x14ac:dyDescent="0.25">
      <c r="A283" s="46" t="s">
        <v>1559</v>
      </c>
      <c r="B283" s="35">
        <v>0.65217393636703402</v>
      </c>
      <c r="C283" s="36">
        <v>0.15</v>
      </c>
    </row>
    <row r="284" spans="1:3" x14ac:dyDescent="0.25">
      <c r="A284" s="46" t="s">
        <v>1560</v>
      </c>
      <c r="B284" s="35">
        <v>0.95407098531723</v>
      </c>
      <c r="C284" s="36">
        <v>0.13</v>
      </c>
    </row>
    <row r="285" spans="1:3" x14ac:dyDescent="0.25">
      <c r="A285" s="46" t="s">
        <v>1561</v>
      </c>
      <c r="B285" s="35">
        <v>0.64435946941375699</v>
      </c>
      <c r="C285" s="36">
        <v>0.09</v>
      </c>
    </row>
    <row r="286" spans="1:3" x14ac:dyDescent="0.25">
      <c r="A286" s="46" t="s">
        <v>1562</v>
      </c>
      <c r="B286" s="35">
        <v>0.63223141431808405</v>
      </c>
      <c r="C286" s="36">
        <v>0.3</v>
      </c>
    </row>
    <row r="287" spans="1:3" x14ac:dyDescent="0.25">
      <c r="A287" s="46" t="s">
        <v>1563</v>
      </c>
      <c r="B287" s="35">
        <v>0.57450330257415705</v>
      </c>
      <c r="C287" s="36">
        <v>0.17</v>
      </c>
    </row>
    <row r="288" spans="1:3" x14ac:dyDescent="0.25">
      <c r="A288" s="46" t="s">
        <v>1564</v>
      </c>
      <c r="B288" s="35">
        <v>0.71661239862442005</v>
      </c>
      <c r="C288" s="36">
        <v>0.17</v>
      </c>
    </row>
    <row r="289" spans="1:3" x14ac:dyDescent="0.25">
      <c r="A289" s="46" t="s">
        <v>1565</v>
      </c>
      <c r="B289" s="35">
        <v>0.884990274906158</v>
      </c>
      <c r="C289" s="36">
        <v>0.24</v>
      </c>
    </row>
    <row r="290" spans="1:3" x14ac:dyDescent="0.25">
      <c r="A290" s="46" t="s">
        <v>1566</v>
      </c>
      <c r="B290" s="35">
        <v>0.82159626483917203</v>
      </c>
      <c r="C290" s="36">
        <v>0.09</v>
      </c>
    </row>
    <row r="291" spans="1:3" x14ac:dyDescent="0.25">
      <c r="A291" s="46" t="s">
        <v>1567</v>
      </c>
      <c r="B291" s="35">
        <v>0.559800684452056</v>
      </c>
      <c r="C291" s="36">
        <v>0.18</v>
      </c>
    </row>
    <row r="292" spans="1:3" x14ac:dyDescent="0.25">
      <c r="A292" s="46" t="s">
        <v>1568</v>
      </c>
      <c r="B292" s="35">
        <v>0.64999997615814198</v>
      </c>
      <c r="C292" s="36">
        <v>0.17</v>
      </c>
    </row>
    <row r="293" spans="1:3" x14ac:dyDescent="0.25">
      <c r="A293" s="46" t="s">
        <v>1569</v>
      </c>
      <c r="B293" s="35">
        <v>0.83932852745056097</v>
      </c>
      <c r="C293" s="36">
        <v>0.2</v>
      </c>
    </row>
    <row r="294" spans="1:3" x14ac:dyDescent="0.25">
      <c r="A294" s="46" t="s">
        <v>1570</v>
      </c>
      <c r="B294" s="35">
        <v>0.82352942228317205</v>
      </c>
      <c r="C294" s="36">
        <v>0.18</v>
      </c>
    </row>
    <row r="295" spans="1:3" x14ac:dyDescent="0.25">
      <c r="A295" s="46" t="s">
        <v>1571</v>
      </c>
      <c r="B295" s="35">
        <v>0.65051019191741899</v>
      </c>
      <c r="C295" s="36">
        <v>0</v>
      </c>
    </row>
    <row r="296" spans="1:3" x14ac:dyDescent="0.25">
      <c r="A296" s="46" t="s">
        <v>1572</v>
      </c>
      <c r="B296" s="35">
        <v>0.66129034757614102</v>
      </c>
      <c r="C296" s="36">
        <v>0.09</v>
      </c>
    </row>
    <row r="297" spans="1:3" x14ac:dyDescent="0.25">
      <c r="A297" s="46" t="s">
        <v>1573</v>
      </c>
      <c r="B297" s="35">
        <v>0.69230771064758301</v>
      </c>
      <c r="C297" s="36">
        <v>0.11</v>
      </c>
    </row>
    <row r="298" spans="1:3" x14ac:dyDescent="0.25">
      <c r="A298" s="46" t="s">
        <v>1574</v>
      </c>
      <c r="B298" s="35">
        <v>0.81018519401550204</v>
      </c>
      <c r="C298" s="36">
        <v>0.13</v>
      </c>
    </row>
    <row r="299" spans="1:3" x14ac:dyDescent="0.25">
      <c r="A299" s="46" t="s">
        <v>1575</v>
      </c>
      <c r="B299" s="35">
        <v>0.79726654291152899</v>
      </c>
      <c r="C299" s="36">
        <v>0.11</v>
      </c>
    </row>
    <row r="300" spans="1:3" x14ac:dyDescent="0.25">
      <c r="A300" s="46" t="s">
        <v>1576</v>
      </c>
      <c r="B300" s="35">
        <v>0.68627452850341797</v>
      </c>
      <c r="C300" s="36">
        <v>0.1</v>
      </c>
    </row>
    <row r="301" spans="1:3" x14ac:dyDescent="0.25">
      <c r="A301" s="46" t="s">
        <v>1577</v>
      </c>
      <c r="B301" s="35">
        <v>0.62975776195526101</v>
      </c>
      <c r="C301" s="36">
        <v>0.13</v>
      </c>
    </row>
    <row r="302" spans="1:3" x14ac:dyDescent="0.25">
      <c r="A302" s="46" t="s">
        <v>1578</v>
      </c>
      <c r="B302" s="35">
        <v>0.66903072595596302</v>
      </c>
      <c r="C302" s="36">
        <v>0.14000000000000001</v>
      </c>
    </row>
    <row r="303" spans="1:3" x14ac:dyDescent="0.25">
      <c r="A303" s="46" t="s">
        <v>1579</v>
      </c>
      <c r="B303" s="35">
        <v>0.84337347745895297</v>
      </c>
      <c r="C303" s="36">
        <v>0.15</v>
      </c>
    </row>
    <row r="304" spans="1:3" x14ac:dyDescent="0.25">
      <c r="A304" s="46" t="s">
        <v>1580</v>
      </c>
      <c r="B304" s="35">
        <v>0.64038461446761996</v>
      </c>
      <c r="C304" s="36">
        <v>0.09</v>
      </c>
    </row>
    <row r="305" spans="1:3" x14ac:dyDescent="0.25">
      <c r="A305" s="46" t="s">
        <v>1581</v>
      </c>
      <c r="B305" s="35">
        <v>0.50468748807907104</v>
      </c>
      <c r="C305" s="36">
        <v>0.44</v>
      </c>
    </row>
    <row r="306" spans="1:3" x14ac:dyDescent="0.25">
      <c r="A306" s="46" t="s">
        <v>1582</v>
      </c>
      <c r="B306" s="35">
        <v>0.58032131195068304</v>
      </c>
      <c r="C306" s="36">
        <v>0.12</v>
      </c>
    </row>
    <row r="307" spans="1:3" x14ac:dyDescent="0.25">
      <c r="A307" s="46" t="s">
        <v>1583</v>
      </c>
      <c r="B307" s="35">
        <v>0.58005249500274603</v>
      </c>
      <c r="C307" s="36">
        <v>0.46</v>
      </c>
    </row>
    <row r="308" spans="1:3" x14ac:dyDescent="0.25">
      <c r="A308" s="46" t="s">
        <v>1584</v>
      </c>
      <c r="B308" s="35">
        <v>0.65895950794219904</v>
      </c>
      <c r="C308" s="36">
        <v>0.12</v>
      </c>
    </row>
    <row r="309" spans="1:3" x14ac:dyDescent="0.25">
      <c r="A309" s="46" t="s">
        <v>1585</v>
      </c>
      <c r="B309" s="35">
        <v>0.612479448318481</v>
      </c>
      <c r="C309" s="36">
        <v>0.28999999999999998</v>
      </c>
    </row>
    <row r="310" spans="1:3" x14ac:dyDescent="0.25">
      <c r="A310" s="46" t="s">
        <v>1586</v>
      </c>
      <c r="B310" s="35">
        <v>0.89285713434219305</v>
      </c>
      <c r="C310" s="36">
        <v>0.16</v>
      </c>
    </row>
    <row r="311" spans="1:3" x14ac:dyDescent="0.25">
      <c r="A311" s="46" t="s">
        <v>1587</v>
      </c>
      <c r="B311" s="35">
        <v>0.85152059793472201</v>
      </c>
      <c r="C311" s="36">
        <v>0.11</v>
      </c>
    </row>
    <row r="312" spans="1:3" x14ac:dyDescent="0.25">
      <c r="A312" s="46" t="s">
        <v>1588</v>
      </c>
      <c r="B312" s="35">
        <v>0.67961162328720004</v>
      </c>
      <c r="C312" s="36">
        <v>0.19</v>
      </c>
    </row>
    <row r="313" spans="1:3" x14ac:dyDescent="0.25">
      <c r="A313" s="46" t="s">
        <v>1589</v>
      </c>
      <c r="B313" s="35">
        <v>0.62135922908782903</v>
      </c>
      <c r="C313" s="36">
        <v>0.15</v>
      </c>
    </row>
    <row r="314" spans="1:3" x14ac:dyDescent="0.25">
      <c r="A314" s="46" t="s">
        <v>1590</v>
      </c>
      <c r="B314" s="35">
        <v>0.96530610322952204</v>
      </c>
      <c r="C314" s="36">
        <v>0.18</v>
      </c>
    </row>
    <row r="315" spans="1:3" x14ac:dyDescent="0.25">
      <c r="A315" s="46" t="s">
        <v>1591</v>
      </c>
      <c r="B315" s="35">
        <v>0.778270483016967</v>
      </c>
      <c r="C315" s="36">
        <v>0.12</v>
      </c>
    </row>
    <row r="316" spans="1:3" x14ac:dyDescent="0.25">
      <c r="A316" s="46" t="s">
        <v>1592</v>
      </c>
      <c r="B316" s="35">
        <v>0.85819071531295699</v>
      </c>
      <c r="C316" s="36">
        <v>0.14000000000000001</v>
      </c>
    </row>
    <row r="317" spans="1:3" x14ac:dyDescent="0.25">
      <c r="A317" s="46" t="s">
        <v>1593</v>
      </c>
      <c r="B317" s="35">
        <v>0.884543776512146</v>
      </c>
      <c r="C317" s="36">
        <v>0</v>
      </c>
    </row>
    <row r="318" spans="1:3" x14ac:dyDescent="0.25">
      <c r="A318" s="46" t="s">
        <v>1594</v>
      </c>
      <c r="B318" s="35">
        <v>0.88742965459823597</v>
      </c>
      <c r="C318" s="36">
        <v>0.1</v>
      </c>
    </row>
    <row r="319" spans="1:3" x14ac:dyDescent="0.25">
      <c r="A319" s="46" t="s">
        <v>1595</v>
      </c>
      <c r="B319" s="35">
        <v>0.67236465215682895</v>
      </c>
      <c r="C319" s="36">
        <v>0.12</v>
      </c>
    </row>
    <row r="320" spans="1:3" x14ac:dyDescent="0.25">
      <c r="A320" s="46" t="s">
        <v>1596</v>
      </c>
      <c r="B320" s="35">
        <v>0.67076921463012695</v>
      </c>
      <c r="C320" s="36">
        <v>0.1</v>
      </c>
    </row>
    <row r="321" spans="1:3" x14ac:dyDescent="0.25">
      <c r="A321" s="46" t="s">
        <v>1597</v>
      </c>
      <c r="B321" s="35">
        <v>0.53714287281036299</v>
      </c>
      <c r="C321" s="36">
        <v>0.14000000000000001</v>
      </c>
    </row>
    <row r="322" spans="1:3" x14ac:dyDescent="0.25">
      <c r="A322" s="46" t="s">
        <v>1598</v>
      </c>
      <c r="B322" s="35">
        <v>0.92348283529281605</v>
      </c>
      <c r="C322" s="36">
        <v>0.11</v>
      </c>
    </row>
    <row r="323" spans="1:3" x14ac:dyDescent="0.25">
      <c r="A323" s="46" t="s">
        <v>1599</v>
      </c>
      <c r="B323" s="35">
        <v>0.59447002410888605</v>
      </c>
      <c r="C323" s="36">
        <v>0</v>
      </c>
    </row>
    <row r="324" spans="1:3" x14ac:dyDescent="0.25">
      <c r="A324" s="46" t="s">
        <v>1600</v>
      </c>
      <c r="B324" s="35">
        <v>0.94211578369140603</v>
      </c>
      <c r="C324" s="36">
        <v>0.1</v>
      </c>
    </row>
    <row r="325" spans="1:3" x14ac:dyDescent="0.25">
      <c r="A325" s="46" t="s">
        <v>1601</v>
      </c>
      <c r="B325" s="35">
        <v>0.82439023256301802</v>
      </c>
      <c r="C325" s="36">
        <v>0.09</v>
      </c>
    </row>
    <row r="326" spans="1:3" x14ac:dyDescent="0.25">
      <c r="A326" s="46" t="s">
        <v>1602</v>
      </c>
      <c r="B326" s="35">
        <v>0.62244898080825795</v>
      </c>
      <c r="C326" s="36">
        <v>0.08</v>
      </c>
    </row>
    <row r="327" spans="1:3" x14ac:dyDescent="0.25">
      <c r="A327" s="46" t="s">
        <v>1603</v>
      </c>
      <c r="B327" s="35">
        <v>0.67334669828414895</v>
      </c>
      <c r="C327" s="36">
        <v>0.12</v>
      </c>
    </row>
    <row r="328" spans="1:3" x14ac:dyDescent="0.25">
      <c r="A328" s="46" t="s">
        <v>1604</v>
      </c>
      <c r="B328" s="35">
        <v>0.69709545373916604</v>
      </c>
      <c r="C328" s="36">
        <v>0.14000000000000001</v>
      </c>
    </row>
    <row r="329" spans="1:3" x14ac:dyDescent="0.25">
      <c r="A329" s="46" t="s">
        <v>1605</v>
      </c>
      <c r="B329" s="35">
        <v>0.67878788709640503</v>
      </c>
      <c r="C329" s="36">
        <v>0.12</v>
      </c>
    </row>
    <row r="330" spans="1:3" x14ac:dyDescent="0.25">
      <c r="A330" s="46" t="s">
        <v>1606</v>
      </c>
      <c r="B330" s="35">
        <v>0.73693084716796797</v>
      </c>
      <c r="C330" s="36">
        <v>0.33</v>
      </c>
    </row>
    <row r="331" spans="1:3" x14ac:dyDescent="0.25">
      <c r="A331" s="46" t="s">
        <v>1607</v>
      </c>
      <c r="B331" s="35">
        <v>0.89453858137130704</v>
      </c>
      <c r="C331" s="36">
        <v>0</v>
      </c>
    </row>
    <row r="332" spans="1:3" x14ac:dyDescent="0.25">
      <c r="A332" s="46" t="s">
        <v>1608</v>
      </c>
      <c r="B332" s="35">
        <v>0.62204724550247104</v>
      </c>
      <c r="C332" s="36">
        <v>0.17</v>
      </c>
    </row>
    <row r="333" spans="1:3" x14ac:dyDescent="0.25">
      <c r="A333" s="46" t="s">
        <v>1609</v>
      </c>
      <c r="B333" s="35">
        <v>0.61839079856872503</v>
      </c>
      <c r="C333" s="36">
        <v>0</v>
      </c>
    </row>
    <row r="334" spans="1:3" x14ac:dyDescent="0.25">
      <c r="A334" s="46" t="s">
        <v>1610</v>
      </c>
      <c r="B334" s="35">
        <v>0.55518394708633401</v>
      </c>
      <c r="C334" s="36">
        <v>0.21</v>
      </c>
    </row>
    <row r="335" spans="1:3" x14ac:dyDescent="0.25">
      <c r="A335" s="46" t="s">
        <v>1611</v>
      </c>
      <c r="B335" s="35">
        <v>0.73469388484954801</v>
      </c>
      <c r="C335" s="36">
        <v>0.19</v>
      </c>
    </row>
    <row r="336" spans="1:3" x14ac:dyDescent="0.25">
      <c r="A336" s="46" t="s">
        <v>1028</v>
      </c>
      <c r="B336" s="35">
        <v>0.67919796705245905</v>
      </c>
      <c r="C336" s="36">
        <v>0.19</v>
      </c>
    </row>
    <row r="337" spans="1:3" x14ac:dyDescent="0.25">
      <c r="A337" s="46" t="s">
        <v>1612</v>
      </c>
      <c r="B337" s="35">
        <v>0.80701756477355902</v>
      </c>
      <c r="C337" s="36">
        <v>0.16</v>
      </c>
    </row>
    <row r="338" spans="1:3" x14ac:dyDescent="0.25">
      <c r="A338" s="46" t="s">
        <v>1613</v>
      </c>
      <c r="B338" s="35">
        <v>0.88051950931548995</v>
      </c>
      <c r="C338" s="36">
        <v>0.12</v>
      </c>
    </row>
    <row r="339" spans="1:3" x14ac:dyDescent="0.25">
      <c r="A339" s="46" t="s">
        <v>1614</v>
      </c>
      <c r="B339" s="35">
        <v>0.78110599517822199</v>
      </c>
      <c r="C339" s="36">
        <v>0.15</v>
      </c>
    </row>
    <row r="340" spans="1:3" x14ac:dyDescent="0.25">
      <c r="A340" s="46" t="s">
        <v>1615</v>
      </c>
      <c r="B340" s="35">
        <v>0.60431653261184604</v>
      </c>
      <c r="C340" s="36">
        <v>0.13</v>
      </c>
    </row>
    <row r="341" spans="1:3" x14ac:dyDescent="0.25">
      <c r="A341" s="46" t="s">
        <v>1616</v>
      </c>
      <c r="B341" s="35">
        <v>0.6015625</v>
      </c>
      <c r="C341" s="36">
        <v>0.12</v>
      </c>
    </row>
    <row r="342" spans="1:3" x14ac:dyDescent="0.25">
      <c r="A342" s="46" t="s">
        <v>1617</v>
      </c>
      <c r="B342" s="35">
        <v>0.6015625</v>
      </c>
      <c r="C342" s="36">
        <v>0.14000000000000001</v>
      </c>
    </row>
    <row r="343" spans="1:3" x14ac:dyDescent="0.25">
      <c r="A343" s="46" t="s">
        <v>1618</v>
      </c>
      <c r="B343" s="35">
        <v>0.70870870351791304</v>
      </c>
      <c r="C343" s="36">
        <v>0.16</v>
      </c>
    </row>
    <row r="344" spans="1:3" x14ac:dyDescent="0.25">
      <c r="A344" s="46" t="s">
        <v>1619</v>
      </c>
      <c r="B344" s="35">
        <v>0.61564624309539795</v>
      </c>
      <c r="C344" s="36">
        <v>0.15</v>
      </c>
    </row>
    <row r="345" spans="1:3" x14ac:dyDescent="0.25">
      <c r="A345" s="46" t="s">
        <v>1620</v>
      </c>
      <c r="B345" s="35">
        <v>0.67266184091567904</v>
      </c>
      <c r="C345" s="36">
        <v>0.16</v>
      </c>
    </row>
    <row r="346" spans="1:3" x14ac:dyDescent="0.25">
      <c r="A346" s="46" t="s">
        <v>1621</v>
      </c>
      <c r="B346" s="35">
        <v>0.68787878751754705</v>
      </c>
      <c r="C346" s="36">
        <v>7.0000000000000007E-2</v>
      </c>
    </row>
    <row r="347" spans="1:3" x14ac:dyDescent="0.25">
      <c r="A347" s="46" t="s">
        <v>1622</v>
      </c>
      <c r="B347" s="35">
        <v>0.64852607250213601</v>
      </c>
      <c r="C347" s="36">
        <v>0.15</v>
      </c>
    </row>
    <row r="348" spans="1:3" x14ac:dyDescent="0.25">
      <c r="A348" s="46" t="s">
        <v>1623</v>
      </c>
      <c r="B348" s="35">
        <v>0.66273581981658902</v>
      </c>
      <c r="C348" s="36">
        <v>0.13</v>
      </c>
    </row>
    <row r="349" spans="1:3" x14ac:dyDescent="0.25">
      <c r="A349" s="46" t="s">
        <v>1624</v>
      </c>
      <c r="B349" s="35">
        <v>0.67892158031463601</v>
      </c>
      <c r="C349" s="36">
        <v>0.15</v>
      </c>
    </row>
    <row r="350" spans="1:3" x14ac:dyDescent="0.25">
      <c r="A350" s="46" t="s">
        <v>1625</v>
      </c>
      <c r="B350" s="35">
        <v>0.67228913307189897</v>
      </c>
      <c r="C350" s="36">
        <v>0.15</v>
      </c>
    </row>
    <row r="351" spans="1:3" x14ac:dyDescent="0.25">
      <c r="A351" s="46" t="s">
        <v>1626</v>
      </c>
      <c r="B351" s="35">
        <v>0.44122967123985202</v>
      </c>
      <c r="C351" s="36">
        <v>0.12</v>
      </c>
    </row>
    <row r="352" spans="1:3" x14ac:dyDescent="0.25">
      <c r="A352" s="46" t="s">
        <v>1627</v>
      </c>
      <c r="B352" s="35">
        <v>0.65825688838958696</v>
      </c>
      <c r="C352" s="36">
        <v>0</v>
      </c>
    </row>
    <row r="353" spans="1:3" x14ac:dyDescent="0.25">
      <c r="A353" s="46" t="s">
        <v>1628</v>
      </c>
      <c r="B353" s="35">
        <v>0.69727045297622603</v>
      </c>
      <c r="C353" s="36">
        <v>0</v>
      </c>
    </row>
    <row r="354" spans="1:3" x14ac:dyDescent="0.25">
      <c r="A354" s="46" t="s">
        <v>1629</v>
      </c>
      <c r="B354" s="35">
        <v>0.65060240030288696</v>
      </c>
      <c r="C354" s="36">
        <v>0</v>
      </c>
    </row>
    <row r="355" spans="1:3" x14ac:dyDescent="0.25">
      <c r="A355" s="46" t="s">
        <v>1630</v>
      </c>
      <c r="B355" s="35">
        <v>0.647619068622589</v>
      </c>
      <c r="C355" s="36">
        <v>0</v>
      </c>
    </row>
    <row r="356" spans="1:3" x14ac:dyDescent="0.25">
      <c r="A356" s="46" t="s">
        <v>1631</v>
      </c>
      <c r="B356" s="35">
        <v>0.66147857904434204</v>
      </c>
      <c r="C356" s="36">
        <v>0</v>
      </c>
    </row>
    <row r="357" spans="1:3" x14ac:dyDescent="0.25">
      <c r="A357" s="46" t="s">
        <v>1632</v>
      </c>
      <c r="B357" s="35">
        <v>0.665338635444641</v>
      </c>
      <c r="C357" s="36">
        <v>0.09</v>
      </c>
    </row>
    <row r="358" spans="1:3" x14ac:dyDescent="0.25">
      <c r="A358" s="46" t="s">
        <v>1633</v>
      </c>
      <c r="B358" s="35">
        <v>0.68301886320114102</v>
      </c>
      <c r="C358" s="36">
        <v>0</v>
      </c>
    </row>
    <row r="359" spans="1:3" x14ac:dyDescent="0.25">
      <c r="A359" s="46" t="s">
        <v>1634</v>
      </c>
      <c r="B359" s="35">
        <v>0.68382352590560902</v>
      </c>
      <c r="C359" s="36">
        <v>0</v>
      </c>
    </row>
    <row r="360" spans="1:3" x14ac:dyDescent="0.25">
      <c r="A360" s="46" t="s">
        <v>1635</v>
      </c>
      <c r="B360" s="35">
        <v>0.69638556241989102</v>
      </c>
      <c r="C360" s="36">
        <v>0.12</v>
      </c>
    </row>
    <row r="361" spans="1:3" x14ac:dyDescent="0.25">
      <c r="A361" s="46" t="s">
        <v>940</v>
      </c>
      <c r="B361" s="35">
        <v>0.61876833438873202</v>
      </c>
      <c r="C361" s="36">
        <v>0.4</v>
      </c>
    </row>
    <row r="362" spans="1:3" x14ac:dyDescent="0.25">
      <c r="A362" s="46" t="s">
        <v>1034</v>
      </c>
      <c r="B362" s="35">
        <v>0.574931859970092</v>
      </c>
      <c r="C362" s="36">
        <v>0.49</v>
      </c>
    </row>
    <row r="363" spans="1:3" x14ac:dyDescent="0.25">
      <c r="A363" s="46" t="s">
        <v>1036</v>
      </c>
      <c r="B363" s="35">
        <v>0.57906460762023904</v>
      </c>
      <c r="C363" s="36">
        <v>0.56000000000000005</v>
      </c>
    </row>
    <row r="364" spans="1:3" x14ac:dyDescent="0.25">
      <c r="A364" s="46" t="s">
        <v>968</v>
      </c>
      <c r="B364" s="35">
        <v>0.60113960504531805</v>
      </c>
      <c r="C364" s="36">
        <v>0.5</v>
      </c>
    </row>
    <row r="365" spans="1:3" x14ac:dyDescent="0.25">
      <c r="A365" s="46" t="s">
        <v>954</v>
      </c>
      <c r="B365" s="35">
        <v>0.66937667131423895</v>
      </c>
      <c r="C365" s="36">
        <v>0.45</v>
      </c>
    </row>
    <row r="366" spans="1:3" x14ac:dyDescent="0.25">
      <c r="A366" s="46" t="s">
        <v>1636</v>
      </c>
      <c r="B366" s="35">
        <v>0.642045438289642</v>
      </c>
      <c r="C366" s="36">
        <v>0.54</v>
      </c>
    </row>
    <row r="367" spans="1:3" x14ac:dyDescent="0.25">
      <c r="A367" s="46" t="s">
        <v>938</v>
      </c>
      <c r="B367" s="35">
        <v>0.66219836473464899</v>
      </c>
      <c r="C367" s="36">
        <v>0.45</v>
      </c>
    </row>
    <row r="368" spans="1:3" x14ac:dyDescent="0.25">
      <c r="A368" s="46" t="s">
        <v>1637</v>
      </c>
      <c r="B368" s="35">
        <v>0.73076921701431197</v>
      </c>
      <c r="C368" s="36">
        <v>0</v>
      </c>
    </row>
    <row r="369" spans="1:3" x14ac:dyDescent="0.25">
      <c r="A369" s="46" t="s">
        <v>1638</v>
      </c>
      <c r="B369" s="35">
        <v>0.47499999403953502</v>
      </c>
      <c r="C369" s="36">
        <v>7.0000000000000007E-2</v>
      </c>
    </row>
    <row r="370" spans="1:3" x14ac:dyDescent="0.25">
      <c r="A370" s="46" t="s">
        <v>1639</v>
      </c>
      <c r="B370" s="35">
        <v>0.47499999403953502</v>
      </c>
      <c r="C370" s="36">
        <v>0.06</v>
      </c>
    </row>
    <row r="371" spans="1:3" x14ac:dyDescent="0.25">
      <c r="A371" s="46" t="s">
        <v>1640</v>
      </c>
      <c r="B371" s="35">
        <v>1</v>
      </c>
      <c r="C371" s="36">
        <v>0.17</v>
      </c>
    </row>
    <row r="372" spans="1:3" x14ac:dyDescent="0.25">
      <c r="A372" s="46" t="s">
        <v>1641</v>
      </c>
      <c r="B372" s="35">
        <v>0.93801653385162298</v>
      </c>
      <c r="C372" s="36">
        <v>0.25</v>
      </c>
    </row>
    <row r="373" spans="1:3" x14ac:dyDescent="0.25">
      <c r="A373" s="46" t="s">
        <v>1642</v>
      </c>
      <c r="B373" s="35">
        <v>0.62463343143463101</v>
      </c>
      <c r="C373" s="36">
        <v>0.15</v>
      </c>
    </row>
    <row r="374" spans="1:3" x14ac:dyDescent="0.25">
      <c r="A374" s="46" t="s">
        <v>1643</v>
      </c>
      <c r="B374" s="35">
        <v>0.61061948537826505</v>
      </c>
      <c r="C374" s="36">
        <v>0.13</v>
      </c>
    </row>
    <row r="375" spans="1:3" x14ac:dyDescent="0.25">
      <c r="A375" s="46" t="s">
        <v>1644</v>
      </c>
      <c r="B375" s="35">
        <v>0.82375478744506803</v>
      </c>
      <c r="C375" s="36">
        <v>0.25</v>
      </c>
    </row>
    <row r="376" spans="1:3" x14ac:dyDescent="0.25">
      <c r="A376" s="46" t="s">
        <v>1645</v>
      </c>
      <c r="B376" s="35">
        <v>0.72606384754180897</v>
      </c>
      <c r="C376" s="36">
        <v>0.23</v>
      </c>
    </row>
    <row r="377" spans="1:3" x14ac:dyDescent="0.25">
      <c r="A377" s="46" t="s">
        <v>1646</v>
      </c>
      <c r="B377" s="35">
        <v>0.63033175468444802</v>
      </c>
      <c r="C377" s="36">
        <v>0.1</v>
      </c>
    </row>
    <row r="378" spans="1:3" x14ac:dyDescent="0.25">
      <c r="A378" s="46" t="s">
        <v>1647</v>
      </c>
      <c r="B378" s="35">
        <v>0.57028114795684803</v>
      </c>
      <c r="C378" s="36">
        <v>7.0000000000000007E-2</v>
      </c>
    </row>
    <row r="379" spans="1:3" x14ac:dyDescent="0.25">
      <c r="A379" s="46" t="s">
        <v>1648</v>
      </c>
      <c r="B379" s="35">
        <v>0.96687370538711503</v>
      </c>
      <c r="C379" s="36">
        <v>0.22</v>
      </c>
    </row>
    <row r="380" spans="1:3" x14ac:dyDescent="0.25">
      <c r="A380" s="46" t="s">
        <v>1649</v>
      </c>
      <c r="B380" s="35">
        <v>0.64527028799056996</v>
      </c>
      <c r="C380" s="36">
        <v>0.25</v>
      </c>
    </row>
    <row r="381" spans="1:3" x14ac:dyDescent="0.25">
      <c r="A381" s="46" t="s">
        <v>1650</v>
      </c>
      <c r="B381" s="35">
        <v>0.63679248094558705</v>
      </c>
      <c r="C381" s="36">
        <v>0.22</v>
      </c>
    </row>
    <row r="382" spans="1:3" x14ac:dyDescent="0.25">
      <c r="A382" s="46" t="s">
        <v>1651</v>
      </c>
      <c r="B382" s="35">
        <v>0.80459767580032304</v>
      </c>
      <c r="C382" s="36">
        <v>0.08</v>
      </c>
    </row>
    <row r="383" spans="1:3" x14ac:dyDescent="0.25">
      <c r="A383" s="46" t="s">
        <v>1652</v>
      </c>
      <c r="B383" s="35">
        <v>0.64133018255233698</v>
      </c>
      <c r="C383" s="36">
        <v>0</v>
      </c>
    </row>
    <row r="384" spans="1:3" x14ac:dyDescent="0.25">
      <c r="A384" s="46" t="s">
        <v>1653</v>
      </c>
      <c r="B384" s="35">
        <v>0.65016502141952504</v>
      </c>
      <c r="C384" s="36">
        <v>0.1</v>
      </c>
    </row>
    <row r="385" spans="1:3" x14ac:dyDescent="0.25">
      <c r="A385" s="46" t="s">
        <v>1654</v>
      </c>
      <c r="B385" s="35">
        <v>0.66319441795349099</v>
      </c>
      <c r="C385" s="36">
        <v>7.0000000000000007E-2</v>
      </c>
    </row>
    <row r="386" spans="1:3" x14ac:dyDescent="0.25">
      <c r="A386" s="46" t="s">
        <v>1655</v>
      </c>
      <c r="B386" s="35">
        <v>0.50123155117034901</v>
      </c>
      <c r="C386" s="36">
        <v>0.2</v>
      </c>
    </row>
    <row r="387" spans="1:3" x14ac:dyDescent="0.25">
      <c r="A387" s="46" t="s">
        <v>1656</v>
      </c>
      <c r="B387" s="35">
        <v>0.79464286565780595</v>
      </c>
      <c r="C387" s="36">
        <v>0.11</v>
      </c>
    </row>
    <row r="388" spans="1:3" x14ac:dyDescent="0.25">
      <c r="A388" s="46" t="s">
        <v>1657</v>
      </c>
      <c r="B388" s="35">
        <v>0.79464286565780595</v>
      </c>
      <c r="C388" s="36">
        <v>0.09</v>
      </c>
    </row>
    <row r="389" spans="1:3" x14ac:dyDescent="0.25">
      <c r="A389" s="46" t="s">
        <v>1658</v>
      </c>
      <c r="B389" s="35">
        <v>0.607064008712768</v>
      </c>
      <c r="C389" s="36">
        <v>0.12</v>
      </c>
    </row>
    <row r="390" spans="1:3" x14ac:dyDescent="0.25">
      <c r="A390" s="46" t="s">
        <v>1659</v>
      </c>
      <c r="B390" s="35">
        <v>0.66738659143447798</v>
      </c>
      <c r="C390" s="36">
        <v>0.06</v>
      </c>
    </row>
    <row r="391" spans="1:3" x14ac:dyDescent="0.25">
      <c r="A391" s="46" t="s">
        <v>1660</v>
      </c>
      <c r="B391" s="35">
        <v>0.74590164422988803</v>
      </c>
      <c r="C391" s="36">
        <v>0.09</v>
      </c>
    </row>
    <row r="392" spans="1:3" x14ac:dyDescent="0.25">
      <c r="A392" s="46" t="s">
        <v>1661</v>
      </c>
      <c r="B392" s="35">
        <v>0.84489053487777699</v>
      </c>
      <c r="C392" s="36">
        <v>0.19</v>
      </c>
    </row>
    <row r="393" spans="1:3" x14ac:dyDescent="0.25">
      <c r="A393" s="46" t="s">
        <v>1662</v>
      </c>
      <c r="B393" s="35">
        <v>0.88477367162704401</v>
      </c>
      <c r="C393" s="36">
        <v>0.22</v>
      </c>
    </row>
    <row r="394" spans="1:3" x14ac:dyDescent="0.25">
      <c r="A394" s="46" t="s">
        <v>1663</v>
      </c>
      <c r="B394" s="35">
        <v>0.81544256210327104</v>
      </c>
      <c r="C394" s="36">
        <v>0.27</v>
      </c>
    </row>
    <row r="395" spans="1:3" x14ac:dyDescent="0.25">
      <c r="A395" s="46" t="s">
        <v>1664</v>
      </c>
      <c r="B395" s="35">
        <v>0.613636374473571</v>
      </c>
      <c r="C395" s="36">
        <v>0.14000000000000001</v>
      </c>
    </row>
    <row r="396" spans="1:3" x14ac:dyDescent="0.25">
      <c r="A396" s="46" t="s">
        <v>1665</v>
      </c>
      <c r="B396" s="35">
        <v>0.99368423223495395</v>
      </c>
      <c r="C396" s="36">
        <v>0.19</v>
      </c>
    </row>
    <row r="397" spans="1:3" x14ac:dyDescent="0.25">
      <c r="A397" s="46" t="s">
        <v>1666</v>
      </c>
      <c r="B397" s="35">
        <v>0.65306121110916104</v>
      </c>
      <c r="C397" s="36">
        <v>0.17</v>
      </c>
    </row>
    <row r="398" spans="1:3" x14ac:dyDescent="0.25">
      <c r="A398" s="46" t="s">
        <v>1667</v>
      </c>
      <c r="B398" s="35">
        <v>0.79918032884597701</v>
      </c>
      <c r="C398" s="36">
        <v>0</v>
      </c>
    </row>
    <row r="399" spans="1:3" x14ac:dyDescent="0.25">
      <c r="A399" s="46" t="s">
        <v>1668</v>
      </c>
      <c r="B399" s="35">
        <v>0.66279071569442705</v>
      </c>
      <c r="C399" s="36">
        <v>0.06</v>
      </c>
    </row>
    <row r="400" spans="1:3" x14ac:dyDescent="0.25">
      <c r="A400" s="46" t="s">
        <v>1669</v>
      </c>
      <c r="B400" s="35">
        <v>0.60084033012390103</v>
      </c>
      <c r="C400" s="36">
        <v>0.1</v>
      </c>
    </row>
    <row r="401" spans="1:3" x14ac:dyDescent="0.25">
      <c r="A401" s="46" t="s">
        <v>1670</v>
      </c>
      <c r="B401" s="35">
        <v>0.60084033012390103</v>
      </c>
      <c r="C401" s="36">
        <v>7.0000000000000007E-2</v>
      </c>
    </row>
    <row r="402" spans="1:3" x14ac:dyDescent="0.25">
      <c r="A402" s="46" t="s">
        <v>1671</v>
      </c>
      <c r="B402" s="35">
        <v>0.94023907184600797</v>
      </c>
      <c r="C402" s="36">
        <v>0.19</v>
      </c>
    </row>
    <row r="403" spans="1:3" x14ac:dyDescent="0.25">
      <c r="A403" s="46" t="s">
        <v>1672</v>
      </c>
      <c r="B403" s="35">
        <v>0.57934510707855202</v>
      </c>
      <c r="C403" s="36">
        <v>0.09</v>
      </c>
    </row>
    <row r="404" spans="1:3" x14ac:dyDescent="0.25">
      <c r="A404" s="46" t="s">
        <v>1673</v>
      </c>
      <c r="B404" s="35">
        <v>0.58291459083557096</v>
      </c>
      <c r="C404" s="36">
        <v>0.08</v>
      </c>
    </row>
    <row r="405" spans="1:3" x14ac:dyDescent="0.25">
      <c r="A405" s="46" t="s">
        <v>1674</v>
      </c>
      <c r="B405" s="35">
        <v>0.60931897163391102</v>
      </c>
      <c r="C405" s="36">
        <v>0.32</v>
      </c>
    </row>
    <row r="406" spans="1:3" x14ac:dyDescent="0.25">
      <c r="A406" s="46" t="s">
        <v>1675</v>
      </c>
      <c r="B406" s="35">
        <v>0.58847737312316895</v>
      </c>
      <c r="C406" s="36">
        <v>0.23</v>
      </c>
    </row>
    <row r="407" spans="1:3" x14ac:dyDescent="0.25">
      <c r="A407" s="46" t="s">
        <v>1676</v>
      </c>
      <c r="B407" s="35">
        <v>0.54727792739868097</v>
      </c>
      <c r="C407" s="36">
        <v>0.14000000000000001</v>
      </c>
    </row>
    <row r="408" spans="1:3" x14ac:dyDescent="0.25">
      <c r="A408" s="46" t="s">
        <v>1677</v>
      </c>
      <c r="B408" s="35">
        <v>0.91407680511474598</v>
      </c>
      <c r="C408" s="36">
        <v>0.17</v>
      </c>
    </row>
    <row r="409" spans="1:3" x14ac:dyDescent="0.25">
      <c r="A409" s="46" t="s">
        <v>1678</v>
      </c>
      <c r="B409" s="35">
        <v>0.63126844167709295</v>
      </c>
      <c r="C409" s="36">
        <v>0.24</v>
      </c>
    </row>
    <row r="410" spans="1:3" x14ac:dyDescent="0.25">
      <c r="A410" s="46" t="s">
        <v>1679</v>
      </c>
      <c r="B410" s="35">
        <v>0.59509199857711703</v>
      </c>
      <c r="C410" s="36">
        <v>0.13</v>
      </c>
    </row>
    <row r="411" spans="1:3" x14ac:dyDescent="0.25">
      <c r="A411" s="46" t="s">
        <v>1680</v>
      </c>
      <c r="B411" s="35">
        <v>0.57142859697341897</v>
      </c>
      <c r="C411" s="36">
        <v>0.19</v>
      </c>
    </row>
    <row r="412" spans="1:3" x14ac:dyDescent="0.25">
      <c r="A412" s="46" t="s">
        <v>1681</v>
      </c>
      <c r="B412" s="35">
        <v>0.55647838115692105</v>
      </c>
      <c r="C412" s="36">
        <v>0.2</v>
      </c>
    </row>
    <row r="413" spans="1:3" x14ac:dyDescent="0.25">
      <c r="A413" s="46" t="s">
        <v>1682</v>
      </c>
      <c r="B413" s="35">
        <v>0.60098522901535001</v>
      </c>
      <c r="C413" s="36">
        <v>0.14000000000000001</v>
      </c>
    </row>
    <row r="414" spans="1:3" x14ac:dyDescent="0.25">
      <c r="A414" s="46" t="s">
        <v>1683</v>
      </c>
      <c r="B414" s="35">
        <v>0.81206494569778398</v>
      </c>
      <c r="C414" s="36">
        <v>0.1</v>
      </c>
    </row>
    <row r="415" spans="1:3" x14ac:dyDescent="0.25">
      <c r="A415" s="46" t="s">
        <v>1684</v>
      </c>
      <c r="B415" s="35">
        <v>0.51322752237319902</v>
      </c>
      <c r="C415" s="36">
        <v>0.23</v>
      </c>
    </row>
    <row r="416" spans="1:3" x14ac:dyDescent="0.25">
      <c r="A416" s="46" t="s">
        <v>1685</v>
      </c>
      <c r="B416" s="35">
        <v>0.51602566242217995</v>
      </c>
      <c r="C416" s="36">
        <v>0.19</v>
      </c>
    </row>
    <row r="417" spans="1:3" x14ac:dyDescent="0.25">
      <c r="A417" s="46" t="s">
        <v>1686</v>
      </c>
      <c r="B417" s="35">
        <v>0.85596710443496704</v>
      </c>
      <c r="C417" s="36">
        <v>0.34</v>
      </c>
    </row>
    <row r="418" spans="1:3" x14ac:dyDescent="0.25">
      <c r="A418" s="46" t="s">
        <v>1687</v>
      </c>
      <c r="B418" s="35">
        <v>0.76548671722412098</v>
      </c>
      <c r="C418" s="36">
        <v>0.11</v>
      </c>
    </row>
    <row r="419" spans="1:3" x14ac:dyDescent="0.25">
      <c r="A419" s="46" t="s">
        <v>1688</v>
      </c>
      <c r="B419" s="35">
        <v>0.62903225421905495</v>
      </c>
      <c r="C419" s="36">
        <v>0.04</v>
      </c>
    </row>
    <row r="420" spans="1:3" x14ac:dyDescent="0.25">
      <c r="A420" s="46" t="s">
        <v>1689</v>
      </c>
      <c r="B420" s="35">
        <v>0.71641790866851796</v>
      </c>
      <c r="C420" s="36">
        <v>0.09</v>
      </c>
    </row>
    <row r="421" spans="1:3" x14ac:dyDescent="0.25">
      <c r="A421" s="46" t="s">
        <v>1690</v>
      </c>
      <c r="B421" s="35">
        <v>0.68301886320114102</v>
      </c>
      <c r="C421" s="36">
        <v>0.12</v>
      </c>
    </row>
    <row r="422" spans="1:3" x14ac:dyDescent="0.25">
      <c r="A422" s="46" t="s">
        <v>1691</v>
      </c>
      <c r="B422" s="35">
        <v>0.66490763425827004</v>
      </c>
      <c r="C422" s="36">
        <v>0.27</v>
      </c>
    </row>
    <row r="423" spans="1:3" x14ac:dyDescent="0.25">
      <c r="A423" s="46" t="s">
        <v>1692</v>
      </c>
      <c r="B423" s="35">
        <v>0.84337347745895297</v>
      </c>
      <c r="C423" s="36">
        <v>0.13</v>
      </c>
    </row>
    <row r="424" spans="1:3" x14ac:dyDescent="0.25">
      <c r="A424" s="46" t="s">
        <v>1693</v>
      </c>
      <c r="B424" s="35">
        <v>0.86391752958297696</v>
      </c>
      <c r="C424" s="36">
        <v>0.32</v>
      </c>
    </row>
    <row r="425" spans="1:3" x14ac:dyDescent="0.25">
      <c r="A425" s="46" t="s">
        <v>1694</v>
      </c>
      <c r="B425" s="35">
        <v>0.66339063644409102</v>
      </c>
      <c r="C425" s="36">
        <v>0.09</v>
      </c>
    </row>
    <row r="426" spans="1:3" x14ac:dyDescent="0.25">
      <c r="A426" s="46" t="s">
        <v>1695</v>
      </c>
      <c r="B426" s="35">
        <v>0.59869492053985596</v>
      </c>
      <c r="C426" s="36">
        <v>0.15</v>
      </c>
    </row>
    <row r="427" spans="1:3" x14ac:dyDescent="0.25">
      <c r="A427" s="46" t="s">
        <v>1696</v>
      </c>
      <c r="B427" s="35">
        <v>0.97736626863479603</v>
      </c>
      <c r="C427" s="36">
        <v>0.14000000000000001</v>
      </c>
    </row>
    <row r="428" spans="1:3" x14ac:dyDescent="0.25">
      <c r="A428" s="46" t="s">
        <v>1697</v>
      </c>
      <c r="B428" s="35">
        <v>0.65384614467620805</v>
      </c>
      <c r="C428" s="36">
        <v>0.04</v>
      </c>
    </row>
    <row r="429" spans="1:3" x14ac:dyDescent="0.25">
      <c r="A429" s="46" t="s">
        <v>1698</v>
      </c>
      <c r="B429" s="35">
        <v>0.66546761989593495</v>
      </c>
      <c r="C429" s="36">
        <v>0.09</v>
      </c>
    </row>
    <row r="430" spans="1:3" x14ac:dyDescent="0.25">
      <c r="A430" s="46" t="s">
        <v>1699</v>
      </c>
      <c r="B430" s="35">
        <v>0.60194176435470503</v>
      </c>
      <c r="C430" s="36">
        <v>0.1</v>
      </c>
    </row>
    <row r="431" spans="1:3" x14ac:dyDescent="0.25">
      <c r="A431" s="46" t="s">
        <v>1700</v>
      </c>
      <c r="B431" s="35">
        <v>0.67437380552291804</v>
      </c>
      <c r="C431" s="36">
        <v>0.09</v>
      </c>
    </row>
    <row r="432" spans="1:3" x14ac:dyDescent="0.25">
      <c r="A432" s="46" t="s">
        <v>1701</v>
      </c>
      <c r="B432" s="35">
        <v>0.554887235164642</v>
      </c>
      <c r="C432" s="36">
        <v>0.17</v>
      </c>
    </row>
    <row r="433" spans="1:3" x14ac:dyDescent="0.25">
      <c r="A433" s="46" t="s">
        <v>1702</v>
      </c>
      <c r="B433" s="35">
        <v>0.56746762990951505</v>
      </c>
      <c r="C433" s="36">
        <v>0</v>
      </c>
    </row>
    <row r="434" spans="1:3" x14ac:dyDescent="0.25">
      <c r="A434" s="46" t="s">
        <v>1703</v>
      </c>
      <c r="B434" s="35">
        <v>0.88607597351074197</v>
      </c>
      <c r="C434" s="36">
        <v>0.1</v>
      </c>
    </row>
    <row r="435" spans="1:3" x14ac:dyDescent="0.25">
      <c r="A435" s="46" t="s">
        <v>1704</v>
      </c>
      <c r="B435" s="35">
        <v>0.96804511547088601</v>
      </c>
      <c r="C435" s="36">
        <v>0.21</v>
      </c>
    </row>
    <row r="436" spans="1:3" x14ac:dyDescent="0.25">
      <c r="A436" s="46" t="s">
        <v>1705</v>
      </c>
      <c r="B436" s="35">
        <v>0.41032999753951999</v>
      </c>
      <c r="C436" s="36">
        <v>0.41</v>
      </c>
    </row>
    <row r="437" spans="1:3" x14ac:dyDescent="0.25">
      <c r="A437" s="46" t="s">
        <v>1706</v>
      </c>
      <c r="B437" s="35">
        <v>0.60121458768844604</v>
      </c>
      <c r="C437" s="36">
        <v>0.21</v>
      </c>
    </row>
    <row r="438" spans="1:3" x14ac:dyDescent="0.25">
      <c r="A438" s="46" t="s">
        <v>1707</v>
      </c>
      <c r="B438" s="35">
        <v>0.67451822757720903</v>
      </c>
      <c r="C438" s="36">
        <v>0</v>
      </c>
    </row>
    <row r="439" spans="1:3" x14ac:dyDescent="0.25">
      <c r="A439" s="46" t="s">
        <v>1050</v>
      </c>
      <c r="B439" s="35">
        <v>0.62745100259780795</v>
      </c>
      <c r="C439" s="36">
        <v>0.22</v>
      </c>
    </row>
    <row r="440" spans="1:3" x14ac:dyDescent="0.25">
      <c r="A440" s="46" t="s">
        <v>1708</v>
      </c>
      <c r="B440" s="35">
        <v>0.71951222419738703</v>
      </c>
      <c r="C440" s="36">
        <v>0.13</v>
      </c>
    </row>
    <row r="441" spans="1:3" x14ac:dyDescent="0.25">
      <c r="A441" s="46" t="s">
        <v>1709</v>
      </c>
      <c r="B441" s="35">
        <v>0.64999997615814198</v>
      </c>
      <c r="C441" s="36">
        <v>0.17</v>
      </c>
    </row>
    <row r="442" spans="1:3" x14ac:dyDescent="0.25">
      <c r="A442" s="46" t="s">
        <v>1710</v>
      </c>
      <c r="B442" s="35">
        <v>0.682051301002502</v>
      </c>
      <c r="C442" s="36">
        <v>0.08</v>
      </c>
    </row>
    <row r="443" spans="1:3" x14ac:dyDescent="0.25">
      <c r="A443" s="46" t="s">
        <v>1711</v>
      </c>
      <c r="B443" s="35">
        <v>0.743644058704376</v>
      </c>
      <c r="C443" s="36">
        <v>0.08</v>
      </c>
    </row>
    <row r="444" spans="1:3" x14ac:dyDescent="0.25">
      <c r="A444" s="46" t="s">
        <v>1712</v>
      </c>
      <c r="B444" s="35">
        <v>0.47427293658256497</v>
      </c>
      <c r="C444" s="36">
        <v>0.19</v>
      </c>
    </row>
    <row r="445" spans="1:3" x14ac:dyDescent="0.25">
      <c r="A445" s="46" t="s">
        <v>1713</v>
      </c>
      <c r="B445" s="35">
        <v>0.48589342832565302</v>
      </c>
      <c r="C445" s="36">
        <v>0.31</v>
      </c>
    </row>
    <row r="446" spans="1:3" x14ac:dyDescent="0.25">
      <c r="A446" s="46" t="s">
        <v>1714</v>
      </c>
      <c r="B446" s="35">
        <v>0.93836981058120705</v>
      </c>
      <c r="C446" s="36">
        <v>0.21</v>
      </c>
    </row>
    <row r="447" spans="1:3" x14ac:dyDescent="0.25">
      <c r="A447" s="46" t="s">
        <v>1715</v>
      </c>
      <c r="B447" s="35">
        <v>0.704950511455535</v>
      </c>
      <c r="C447" s="36">
        <v>0.19</v>
      </c>
    </row>
    <row r="448" spans="1:3" x14ac:dyDescent="0.25">
      <c r="A448" s="46" t="s">
        <v>1716</v>
      </c>
      <c r="B448" s="35">
        <v>0.53234356641769398</v>
      </c>
      <c r="C448" s="36">
        <v>0.34</v>
      </c>
    </row>
    <row r="449" spans="1:3" x14ac:dyDescent="0.25">
      <c r="A449" s="46" t="s">
        <v>1717</v>
      </c>
      <c r="B449" s="35">
        <v>0.85606062412261896</v>
      </c>
      <c r="C449" s="36">
        <v>0.09</v>
      </c>
    </row>
    <row r="450" spans="1:3" x14ac:dyDescent="0.25">
      <c r="A450" s="46" t="s">
        <v>1718</v>
      </c>
      <c r="B450" s="35">
        <v>0.66823530197143499</v>
      </c>
      <c r="C450" s="36">
        <v>0.14000000000000001</v>
      </c>
    </row>
    <row r="451" spans="1:3" x14ac:dyDescent="0.25">
      <c r="A451" s="46" t="s">
        <v>1719</v>
      </c>
      <c r="B451" s="35">
        <v>0.76548671722412098</v>
      </c>
      <c r="C451" s="36">
        <v>0.11</v>
      </c>
    </row>
    <row r="452" spans="1:3" x14ac:dyDescent="0.25">
      <c r="A452" s="46" t="s">
        <v>1720</v>
      </c>
      <c r="B452" s="35">
        <v>0.66894197463989202</v>
      </c>
      <c r="C452" s="36">
        <v>0</v>
      </c>
    </row>
    <row r="453" spans="1:3" x14ac:dyDescent="0.25">
      <c r="A453" s="46" t="s">
        <v>1721</v>
      </c>
      <c r="B453" s="35">
        <v>0.58950614929199197</v>
      </c>
      <c r="C453" s="36">
        <v>0.13</v>
      </c>
    </row>
    <row r="454" spans="1:3" x14ac:dyDescent="0.25">
      <c r="A454" s="46" t="s">
        <v>1722</v>
      </c>
      <c r="B454" s="35">
        <v>0.69508194923400801</v>
      </c>
      <c r="C454" s="36">
        <v>0.21</v>
      </c>
    </row>
    <row r="455" spans="1:3" x14ac:dyDescent="0.25">
      <c r="A455" s="46" t="s">
        <v>1723</v>
      </c>
      <c r="B455" s="35">
        <v>0.91170823574066095</v>
      </c>
      <c r="C455" s="36">
        <v>0.17</v>
      </c>
    </row>
    <row r="456" spans="1:3" x14ac:dyDescent="0.25">
      <c r="A456" s="46" t="s">
        <v>1724</v>
      </c>
      <c r="B456" s="35">
        <v>0.70798319578170699</v>
      </c>
      <c r="C456" s="36">
        <v>0.11</v>
      </c>
    </row>
    <row r="457" spans="1:3" x14ac:dyDescent="0.25">
      <c r="A457" s="46" t="s">
        <v>1725</v>
      </c>
      <c r="B457" s="35">
        <v>0.63516068458557096</v>
      </c>
      <c r="C457" s="36">
        <v>0.13</v>
      </c>
    </row>
    <row r="458" spans="1:3" x14ac:dyDescent="0.25">
      <c r="A458" s="46" t="s">
        <v>1726</v>
      </c>
      <c r="B458" s="35">
        <v>0.62222224473953203</v>
      </c>
      <c r="C458" s="36">
        <v>0.13</v>
      </c>
    </row>
    <row r="459" spans="1:3" x14ac:dyDescent="0.25">
      <c r="A459" s="46" t="s">
        <v>1727</v>
      </c>
      <c r="B459" s="35">
        <v>0.62222224473953203</v>
      </c>
      <c r="C459" s="36">
        <v>0.13</v>
      </c>
    </row>
    <row r="460" spans="1:3" x14ac:dyDescent="0.25">
      <c r="A460" s="46" t="s">
        <v>1728</v>
      </c>
      <c r="B460" s="35">
        <v>0.62686568498611395</v>
      </c>
      <c r="C460" s="36">
        <v>0.13</v>
      </c>
    </row>
    <row r="461" spans="1:3" x14ac:dyDescent="0.25">
      <c r="A461" s="46" t="s">
        <v>1729</v>
      </c>
      <c r="B461" s="35">
        <v>0.66272187232971103</v>
      </c>
      <c r="C461" s="36">
        <v>0.08</v>
      </c>
    </row>
    <row r="462" spans="1:3" x14ac:dyDescent="0.25">
      <c r="A462" s="46" t="s">
        <v>1730</v>
      </c>
      <c r="B462" s="35">
        <v>0.89563566446304299</v>
      </c>
      <c r="C462" s="36">
        <v>0.21</v>
      </c>
    </row>
    <row r="463" spans="1:3" x14ac:dyDescent="0.25">
      <c r="A463" s="46" t="s">
        <v>1731</v>
      </c>
      <c r="B463" s="35">
        <v>0.96273291110992398</v>
      </c>
      <c r="C463" s="36">
        <v>0.22</v>
      </c>
    </row>
    <row r="464" spans="1:3" x14ac:dyDescent="0.25">
      <c r="A464" s="46" t="s">
        <v>1732</v>
      </c>
      <c r="B464" s="35">
        <v>0.75306123495101895</v>
      </c>
      <c r="C464" s="36">
        <v>0.17</v>
      </c>
    </row>
    <row r="465" spans="1:3" x14ac:dyDescent="0.25">
      <c r="A465" s="46" t="s">
        <v>1733</v>
      </c>
      <c r="B465" s="35">
        <v>0.67611336708068803</v>
      </c>
      <c r="C465" s="36">
        <v>0.11</v>
      </c>
    </row>
    <row r="466" spans="1:3" x14ac:dyDescent="0.25">
      <c r="A466" s="46" t="s">
        <v>1734</v>
      </c>
      <c r="B466" s="35">
        <v>0.94301992654800404</v>
      </c>
      <c r="C466" s="36">
        <v>0.18</v>
      </c>
    </row>
    <row r="467" spans="1:3" x14ac:dyDescent="0.25">
      <c r="A467" s="46" t="s">
        <v>1735</v>
      </c>
      <c r="B467" s="35">
        <v>0.59621453285217196</v>
      </c>
      <c r="C467" s="36">
        <v>0.12</v>
      </c>
    </row>
    <row r="468" spans="1:3" x14ac:dyDescent="0.25">
      <c r="A468" s="46" t="s">
        <v>1736</v>
      </c>
      <c r="B468" s="35">
        <v>0.818181812763214</v>
      </c>
      <c r="C468" s="36">
        <v>0.09</v>
      </c>
    </row>
    <row r="469" spans="1:3" x14ac:dyDescent="0.25">
      <c r="A469" s="46" t="s">
        <v>1737</v>
      </c>
      <c r="B469" s="35">
        <v>0.77647060155868497</v>
      </c>
      <c r="C469" s="36">
        <v>0.1</v>
      </c>
    </row>
    <row r="470" spans="1:3" x14ac:dyDescent="0.25">
      <c r="A470" s="46" t="s">
        <v>1738</v>
      </c>
      <c r="B470" s="35">
        <v>0.96638655662536599</v>
      </c>
      <c r="C470" s="36">
        <v>0.15</v>
      </c>
    </row>
    <row r="471" spans="1:3" x14ac:dyDescent="0.25">
      <c r="A471" s="46" t="s">
        <v>1739</v>
      </c>
      <c r="B471" s="35">
        <v>0.62004661560058505</v>
      </c>
      <c r="C471" s="36">
        <v>0.09</v>
      </c>
    </row>
    <row r="472" spans="1:3" x14ac:dyDescent="0.25">
      <c r="A472" s="46" t="s">
        <v>1740</v>
      </c>
      <c r="B472" s="35">
        <v>0.64383560419082597</v>
      </c>
      <c r="C472" s="36">
        <v>0.1</v>
      </c>
    </row>
    <row r="473" spans="1:3" x14ac:dyDescent="0.25">
      <c r="A473" s="46" t="s">
        <v>1741</v>
      </c>
      <c r="B473" s="35">
        <v>0.86595171689987105</v>
      </c>
      <c r="C473" s="36">
        <v>0.2</v>
      </c>
    </row>
    <row r="474" spans="1:3" x14ac:dyDescent="0.25">
      <c r="A474" s="46" t="s">
        <v>1742</v>
      </c>
      <c r="B474" s="35">
        <v>0.64733177423477095</v>
      </c>
      <c r="C474" s="36">
        <v>0</v>
      </c>
    </row>
    <row r="475" spans="1:3" x14ac:dyDescent="0.25">
      <c r="A475" s="46" t="s">
        <v>1743</v>
      </c>
      <c r="B475" s="35">
        <v>0.51302605867385798</v>
      </c>
      <c r="C475" s="36">
        <v>0.09</v>
      </c>
    </row>
    <row r="476" spans="1:3" x14ac:dyDescent="0.25">
      <c r="A476" s="46" t="s">
        <v>1744</v>
      </c>
      <c r="B476" s="35">
        <v>0.81404960155487005</v>
      </c>
      <c r="C476" s="36">
        <v>0.16</v>
      </c>
    </row>
    <row r="477" spans="1:3" x14ac:dyDescent="0.25">
      <c r="A477" s="46" t="s">
        <v>1745</v>
      </c>
      <c r="B477" s="35">
        <v>0.628517806529998</v>
      </c>
      <c r="C477" s="36">
        <v>0.13</v>
      </c>
    </row>
    <row r="478" spans="1:3" x14ac:dyDescent="0.25">
      <c r="A478" s="46" t="s">
        <v>1746</v>
      </c>
      <c r="B478" s="35">
        <v>0.49903661012649497</v>
      </c>
      <c r="C478" s="36">
        <v>0.09</v>
      </c>
    </row>
    <row r="479" spans="1:3" x14ac:dyDescent="0.25">
      <c r="A479" s="46" t="s">
        <v>1747</v>
      </c>
      <c r="B479" s="35">
        <v>0.662162184715271</v>
      </c>
      <c r="C479" s="36">
        <v>0.11</v>
      </c>
    </row>
    <row r="480" spans="1:3" x14ac:dyDescent="0.25">
      <c r="A480" s="46" t="s">
        <v>1748</v>
      </c>
      <c r="B480" s="35">
        <v>0.48262548446655201</v>
      </c>
      <c r="C480" s="36">
        <v>0.17</v>
      </c>
    </row>
    <row r="481" spans="1:3" x14ac:dyDescent="0.25">
      <c r="A481" s="46" t="s">
        <v>1749</v>
      </c>
      <c r="B481" s="35">
        <v>0.61198735237121504</v>
      </c>
      <c r="C481" s="36">
        <v>0.18</v>
      </c>
    </row>
    <row r="482" spans="1:3" x14ac:dyDescent="0.25">
      <c r="A482" s="46" t="s">
        <v>1750</v>
      </c>
      <c r="B482" s="35">
        <v>0.71382635831832797</v>
      </c>
      <c r="C482" s="36">
        <v>0.15</v>
      </c>
    </row>
    <row r="483" spans="1:3" x14ac:dyDescent="0.25">
      <c r="A483" s="46" t="s">
        <v>1751</v>
      </c>
      <c r="B483" s="35">
        <v>0.66438359022140503</v>
      </c>
      <c r="C483" s="36">
        <v>0.1</v>
      </c>
    </row>
    <row r="484" spans="1:3" x14ac:dyDescent="0.25">
      <c r="A484" s="46" t="s">
        <v>1752</v>
      </c>
      <c r="B484" s="35">
        <v>0.688212931156158</v>
      </c>
      <c r="C484" s="36">
        <v>0.09</v>
      </c>
    </row>
    <row r="485" spans="1:3" x14ac:dyDescent="0.25">
      <c r="A485" s="46" t="s">
        <v>1753</v>
      </c>
      <c r="B485" s="35">
        <v>0.60229885578155495</v>
      </c>
      <c r="C485" s="36">
        <v>0.14000000000000001</v>
      </c>
    </row>
    <row r="486" spans="1:3" x14ac:dyDescent="0.25">
      <c r="A486" s="46" t="s">
        <v>1754</v>
      </c>
      <c r="B486" s="35">
        <v>0.64893615245819003</v>
      </c>
      <c r="C486" s="36">
        <v>0.2</v>
      </c>
    </row>
    <row r="487" spans="1:3" x14ac:dyDescent="0.25">
      <c r="A487" s="46" t="s">
        <v>1755</v>
      </c>
      <c r="B487" s="35">
        <v>0.70050764083862305</v>
      </c>
      <c r="C487" s="36">
        <v>0.14000000000000001</v>
      </c>
    </row>
    <row r="488" spans="1:3" x14ac:dyDescent="0.25">
      <c r="A488" s="46" t="s">
        <v>1756</v>
      </c>
      <c r="B488" s="35">
        <v>0.64876031875610296</v>
      </c>
      <c r="C488" s="36">
        <v>0.34</v>
      </c>
    </row>
    <row r="489" spans="1:3" x14ac:dyDescent="0.25">
      <c r="A489" s="46" t="s">
        <v>1757</v>
      </c>
      <c r="B489" s="35">
        <v>0.57894736528396595</v>
      </c>
      <c r="C489" s="36">
        <v>0.22</v>
      </c>
    </row>
    <row r="490" spans="1:3" x14ac:dyDescent="0.25">
      <c r="A490" s="46" t="s">
        <v>1758</v>
      </c>
      <c r="B490" s="35">
        <v>0.96577948331832797</v>
      </c>
      <c r="C490" s="36">
        <v>0.25</v>
      </c>
    </row>
    <row r="491" spans="1:3" x14ac:dyDescent="0.25">
      <c r="A491" s="46" t="s">
        <v>1759</v>
      </c>
      <c r="B491" s="35">
        <v>0.30057802796363797</v>
      </c>
      <c r="C491" s="36">
        <v>0.47</v>
      </c>
    </row>
    <row r="492" spans="1:3" x14ac:dyDescent="0.25">
      <c r="A492" s="46" t="s">
        <v>1760</v>
      </c>
      <c r="B492" s="35">
        <v>0.647619068622589</v>
      </c>
      <c r="C492" s="36">
        <v>0</v>
      </c>
    </row>
    <row r="493" spans="1:3" x14ac:dyDescent="0.25">
      <c r="A493" s="46" t="s">
        <v>1761</v>
      </c>
      <c r="B493" s="35">
        <v>0.64482027292251498</v>
      </c>
      <c r="C493" s="36">
        <v>0.08</v>
      </c>
    </row>
    <row r="494" spans="1:3" x14ac:dyDescent="0.25">
      <c r="A494" s="46" t="s">
        <v>1762</v>
      </c>
      <c r="B494" s="35">
        <v>0.65550237894058205</v>
      </c>
      <c r="C494" s="36">
        <v>0</v>
      </c>
    </row>
    <row r="495" spans="1:3" x14ac:dyDescent="0.25">
      <c r="A495" s="46" t="s">
        <v>1763</v>
      </c>
      <c r="B495" s="35">
        <v>0.637931048870086</v>
      </c>
      <c r="C495" s="36">
        <v>0</v>
      </c>
    </row>
    <row r="496" spans="1:3" x14ac:dyDescent="0.25">
      <c r="A496" s="46" t="s">
        <v>1764</v>
      </c>
      <c r="B496" s="35">
        <v>0.68345326185226396</v>
      </c>
      <c r="C496" s="36">
        <v>0.09</v>
      </c>
    </row>
    <row r="497" spans="1:3" x14ac:dyDescent="0.25">
      <c r="A497" s="46" t="s">
        <v>1765</v>
      </c>
      <c r="B497" s="35">
        <v>0.66588783264160101</v>
      </c>
      <c r="C497" s="36">
        <v>0</v>
      </c>
    </row>
    <row r="498" spans="1:3" x14ac:dyDescent="0.25">
      <c r="A498" s="46" t="s">
        <v>1766</v>
      </c>
      <c r="B498" s="35">
        <v>0.66026872396469105</v>
      </c>
      <c r="C498" s="36">
        <v>0</v>
      </c>
    </row>
    <row r="499" spans="1:3" x14ac:dyDescent="0.25">
      <c r="A499" s="46" t="s">
        <v>1767</v>
      </c>
      <c r="B499" s="35">
        <v>0.68472903966903598</v>
      </c>
      <c r="C499" s="36">
        <v>0</v>
      </c>
    </row>
    <row r="500" spans="1:3" x14ac:dyDescent="0.25">
      <c r="A500" s="46" t="s">
        <v>1768</v>
      </c>
      <c r="B500" s="35">
        <v>0.65866667032241799</v>
      </c>
      <c r="C500" s="36">
        <v>0</v>
      </c>
    </row>
    <row r="501" spans="1:3" x14ac:dyDescent="0.25">
      <c r="A501" s="46" t="s">
        <v>1769</v>
      </c>
      <c r="B501" s="35">
        <v>0.65268063545226995</v>
      </c>
      <c r="C501" s="36">
        <v>0</v>
      </c>
    </row>
    <row r="502" spans="1:3" x14ac:dyDescent="0.25">
      <c r="A502" s="46" t="s">
        <v>1770</v>
      </c>
      <c r="B502" s="35">
        <v>0.510989010334014</v>
      </c>
      <c r="C502" s="36">
        <v>0.38</v>
      </c>
    </row>
    <row r="503" spans="1:3" x14ac:dyDescent="0.25">
      <c r="A503" s="46" t="s">
        <v>966</v>
      </c>
      <c r="B503" s="35">
        <v>0.65937501192092896</v>
      </c>
      <c r="C503" s="36">
        <v>0.52</v>
      </c>
    </row>
    <row r="504" spans="1:3" x14ac:dyDescent="0.25">
      <c r="A504" s="46" t="s">
        <v>1771</v>
      </c>
      <c r="B504" s="35">
        <v>0.57783019542694003</v>
      </c>
      <c r="C504" s="36">
        <v>0.8</v>
      </c>
    </row>
    <row r="505" spans="1:3" x14ac:dyDescent="0.25">
      <c r="A505" s="46" t="s">
        <v>1772</v>
      </c>
      <c r="B505" s="35">
        <v>0.66937667131423895</v>
      </c>
      <c r="C505" s="36">
        <v>0.3</v>
      </c>
    </row>
    <row r="506" spans="1:3" x14ac:dyDescent="0.25">
      <c r="A506" s="46" t="s">
        <v>1773</v>
      </c>
      <c r="B506" s="35">
        <v>0.39832869172096202</v>
      </c>
      <c r="C506" s="36">
        <v>0.41</v>
      </c>
    </row>
    <row r="507" spans="1:3" x14ac:dyDescent="0.25">
      <c r="A507" s="46" t="s">
        <v>1038</v>
      </c>
      <c r="B507" s="35">
        <v>0.58126723766326904</v>
      </c>
      <c r="C507" s="36">
        <v>0.53</v>
      </c>
    </row>
    <row r="508" spans="1:3" x14ac:dyDescent="0.25">
      <c r="A508" s="46" t="s">
        <v>1774</v>
      </c>
      <c r="B508" s="35">
        <v>0.429980278015136</v>
      </c>
      <c r="C508" s="36">
        <v>0.66</v>
      </c>
    </row>
    <row r="509" spans="1:3" x14ac:dyDescent="0.25">
      <c r="A509" s="46" t="s">
        <v>1775</v>
      </c>
      <c r="B509" s="35">
        <v>0.70333331823348999</v>
      </c>
      <c r="C509" s="36">
        <v>0.53</v>
      </c>
    </row>
    <row r="510" spans="1:3" x14ac:dyDescent="0.25">
      <c r="A510" s="46" t="s">
        <v>1776</v>
      </c>
      <c r="B510" s="35">
        <v>0.49115043878555298</v>
      </c>
      <c r="C510" s="36">
        <v>0.44</v>
      </c>
    </row>
    <row r="511" spans="1:3" x14ac:dyDescent="0.25">
      <c r="A511" s="46" t="s">
        <v>1777</v>
      </c>
      <c r="B511" s="35">
        <v>0.42592594027519198</v>
      </c>
      <c r="C511" s="36">
        <v>0.33</v>
      </c>
    </row>
    <row r="512" spans="1:3" x14ac:dyDescent="0.25">
      <c r="A512" s="46" t="s">
        <v>1778</v>
      </c>
      <c r="B512" s="35">
        <v>0.52789700031280495</v>
      </c>
      <c r="C512" s="36">
        <v>0.82</v>
      </c>
    </row>
    <row r="513" spans="1:3" x14ac:dyDescent="0.25">
      <c r="A513" s="46" t="s">
        <v>1779</v>
      </c>
      <c r="B513" s="35">
        <v>0.76413255929946899</v>
      </c>
      <c r="C513" s="36">
        <v>0</v>
      </c>
    </row>
    <row r="514" spans="1:3" x14ac:dyDescent="0.25">
      <c r="A514" s="46" t="s">
        <v>1780</v>
      </c>
      <c r="B514" s="35">
        <v>0.58196723461151101</v>
      </c>
      <c r="C514" s="36">
        <v>0.12</v>
      </c>
    </row>
    <row r="515" spans="1:3" x14ac:dyDescent="0.25">
      <c r="A515" s="46" t="s">
        <v>1781</v>
      </c>
      <c r="B515" s="35">
        <v>0.62237763404846103</v>
      </c>
      <c r="C515" s="36">
        <v>0</v>
      </c>
    </row>
    <row r="516" spans="1:3" x14ac:dyDescent="0.25">
      <c r="A516" s="46" t="s">
        <v>1782</v>
      </c>
      <c r="B516" s="35">
        <v>0.62796211242675704</v>
      </c>
      <c r="C516" s="36">
        <v>0.12</v>
      </c>
    </row>
    <row r="517" spans="1:3" x14ac:dyDescent="0.25">
      <c r="A517" s="46" t="s">
        <v>1783</v>
      </c>
      <c r="B517" s="35">
        <v>0.52905809879302901</v>
      </c>
      <c r="C517" s="36">
        <v>0.27</v>
      </c>
    </row>
    <row r="518" spans="1:3" x14ac:dyDescent="0.25">
      <c r="A518" s="46" t="s">
        <v>1784</v>
      </c>
      <c r="B518" s="35">
        <v>0.63168722391128496</v>
      </c>
      <c r="C518" s="36">
        <v>0.17</v>
      </c>
    </row>
    <row r="519" spans="1:3" x14ac:dyDescent="0.25">
      <c r="A519" s="46" t="s">
        <v>1785</v>
      </c>
      <c r="B519" s="35">
        <v>0.44166666269302302</v>
      </c>
      <c r="C519" s="36">
        <v>0.12</v>
      </c>
    </row>
    <row r="520" spans="1:3" x14ac:dyDescent="0.25">
      <c r="A520" s="46" t="s">
        <v>1786</v>
      </c>
      <c r="B520" s="35">
        <v>0.47499999403953502</v>
      </c>
      <c r="C520" s="36">
        <v>0.06</v>
      </c>
    </row>
    <row r="521" spans="1:3" x14ac:dyDescent="0.25">
      <c r="A521" s="46" t="s">
        <v>1787</v>
      </c>
      <c r="B521" s="35">
        <v>0.76377952098846402</v>
      </c>
      <c r="C521" s="36">
        <v>0.12</v>
      </c>
    </row>
    <row r="522" spans="1:3" x14ac:dyDescent="0.25">
      <c r="A522" s="46" t="s">
        <v>1788</v>
      </c>
      <c r="B522" s="35">
        <v>0.50584793090820301</v>
      </c>
      <c r="C522" s="36">
        <v>0</v>
      </c>
    </row>
    <row r="523" spans="1:3" x14ac:dyDescent="0.25">
      <c r="A523" s="46" t="s">
        <v>1789</v>
      </c>
      <c r="B523" s="35">
        <v>0.89452332258224398</v>
      </c>
      <c r="C523" s="36">
        <v>0.12</v>
      </c>
    </row>
    <row r="524" spans="1:3" x14ac:dyDescent="0.25">
      <c r="A524" s="46" t="s">
        <v>1790</v>
      </c>
      <c r="B524" s="35">
        <v>0.67989420890808105</v>
      </c>
      <c r="C524" s="36">
        <v>0.13</v>
      </c>
    </row>
    <row r="525" spans="1:3" x14ac:dyDescent="0.25">
      <c r="A525" s="46" t="s">
        <v>1791</v>
      </c>
      <c r="B525" s="35">
        <v>0.59441709518432595</v>
      </c>
      <c r="C525" s="36">
        <v>0.16</v>
      </c>
    </row>
    <row r="526" spans="1:3" x14ac:dyDescent="0.25">
      <c r="A526" s="46" t="s">
        <v>1062</v>
      </c>
      <c r="B526" s="35">
        <v>0.54102563858032204</v>
      </c>
      <c r="C526" s="36">
        <v>0.34</v>
      </c>
    </row>
    <row r="527" spans="1:3" x14ac:dyDescent="0.25">
      <c r="A527" s="46" t="s">
        <v>1066</v>
      </c>
      <c r="B527" s="35">
        <v>0.63841807842254605</v>
      </c>
      <c r="C527" s="36">
        <v>0.46</v>
      </c>
    </row>
    <row r="528" spans="1:3" x14ac:dyDescent="0.25">
      <c r="A528" s="46" t="s">
        <v>974</v>
      </c>
      <c r="B528" s="35">
        <v>0.51842749118804898</v>
      </c>
      <c r="C528" s="36">
        <v>0.32</v>
      </c>
    </row>
    <row r="529" spans="1:3" x14ac:dyDescent="0.25">
      <c r="A529" s="46" t="s">
        <v>1112</v>
      </c>
      <c r="B529" s="35">
        <v>0.65517240762710505</v>
      </c>
      <c r="C529" s="36">
        <v>0.39</v>
      </c>
    </row>
    <row r="530" spans="1:3" x14ac:dyDescent="0.25">
      <c r="A530" s="46" t="s">
        <v>1792</v>
      </c>
      <c r="B530" s="35">
        <v>0.64157706499099698</v>
      </c>
      <c r="C530" s="36">
        <v>0.08</v>
      </c>
    </row>
    <row r="531" spans="1:3" x14ac:dyDescent="0.25">
      <c r="A531" s="46" t="s">
        <v>1793</v>
      </c>
      <c r="B531" s="35">
        <v>0.53056234121322599</v>
      </c>
      <c r="C531" s="36">
        <v>0.08</v>
      </c>
    </row>
    <row r="532" spans="1:3" x14ac:dyDescent="0.25">
      <c r="A532" s="46" t="s">
        <v>1794</v>
      </c>
      <c r="B532" s="35">
        <v>0.52669900655746404</v>
      </c>
      <c r="C532" s="36">
        <v>0.08</v>
      </c>
    </row>
    <row r="533" spans="1:3" x14ac:dyDescent="0.25">
      <c r="A533" s="46" t="s">
        <v>1795</v>
      </c>
      <c r="B533" s="35">
        <v>0.57379770278930597</v>
      </c>
      <c r="C533" s="36">
        <v>0.17</v>
      </c>
    </row>
    <row r="534" spans="1:3" x14ac:dyDescent="0.25">
      <c r="A534" s="46" t="s">
        <v>1796</v>
      </c>
      <c r="B534" s="35">
        <v>0.636155605316162</v>
      </c>
      <c r="C534" s="36">
        <v>0.06</v>
      </c>
    </row>
    <row r="535" spans="1:3" x14ac:dyDescent="0.25">
      <c r="A535" s="46" t="s">
        <v>1797</v>
      </c>
      <c r="B535" s="35">
        <v>0.569416522979736</v>
      </c>
      <c r="C535" s="36">
        <v>7.0000000000000007E-2</v>
      </c>
    </row>
    <row r="536" spans="1:3" x14ac:dyDescent="0.25">
      <c r="A536" s="46" t="s">
        <v>1798</v>
      </c>
      <c r="B536" s="35">
        <v>0.57142859697341897</v>
      </c>
      <c r="C536" s="36">
        <v>0.04</v>
      </c>
    </row>
    <row r="537" spans="1:3" x14ac:dyDescent="0.25">
      <c r="A537" s="46" t="s">
        <v>1799</v>
      </c>
      <c r="B537" s="35">
        <v>0.41253262758254999</v>
      </c>
      <c r="C537" s="36">
        <v>0.1</v>
      </c>
    </row>
    <row r="538" spans="1:3" x14ac:dyDescent="0.25">
      <c r="A538" s="46" t="s">
        <v>1800</v>
      </c>
      <c r="B538" s="35">
        <v>0.51713395118713301</v>
      </c>
      <c r="C538" s="36">
        <v>0.31</v>
      </c>
    </row>
    <row r="539" spans="1:3" x14ac:dyDescent="0.25">
      <c r="A539" s="46" t="s">
        <v>1801</v>
      </c>
      <c r="B539" s="35">
        <v>1</v>
      </c>
      <c r="C539" s="36">
        <v>0.19</v>
      </c>
    </row>
    <row r="540" spans="1:3" x14ac:dyDescent="0.25">
      <c r="A540" s="46" t="s">
        <v>1802</v>
      </c>
      <c r="B540" s="35">
        <v>0.52669900655746404</v>
      </c>
      <c r="C540" s="36">
        <v>0.16</v>
      </c>
    </row>
    <row r="541" spans="1:3" x14ac:dyDescent="0.25">
      <c r="A541" s="46" t="s">
        <v>1803</v>
      </c>
      <c r="B541" s="35">
        <v>0.65974026918411199</v>
      </c>
      <c r="C541" s="36">
        <v>0.23</v>
      </c>
    </row>
    <row r="542" spans="1:3" x14ac:dyDescent="0.25">
      <c r="A542" s="46" t="s">
        <v>1804</v>
      </c>
      <c r="B542" s="35">
        <v>0.704057276248931</v>
      </c>
      <c r="C542" s="36">
        <v>0.21</v>
      </c>
    </row>
    <row r="543" spans="1:3" x14ac:dyDescent="0.25">
      <c r="A543" s="46" t="s">
        <v>1805</v>
      </c>
      <c r="B543" s="35">
        <v>0.64150941371917702</v>
      </c>
      <c r="C543" s="36">
        <v>0.18</v>
      </c>
    </row>
    <row r="544" spans="1:3" x14ac:dyDescent="0.25">
      <c r="A544" s="46" t="s">
        <v>1806</v>
      </c>
      <c r="B544" s="35">
        <v>0.66312056779861395</v>
      </c>
      <c r="C544" s="36">
        <v>0.25</v>
      </c>
    </row>
    <row r="545" spans="1:3" x14ac:dyDescent="0.25">
      <c r="A545" s="46" t="s">
        <v>1807</v>
      </c>
      <c r="B545" s="35">
        <v>0.59213250875473</v>
      </c>
      <c r="C545" s="36">
        <v>0.21</v>
      </c>
    </row>
    <row r="546" spans="1:3" x14ac:dyDescent="0.25">
      <c r="A546" s="46" t="s">
        <v>1808</v>
      </c>
      <c r="B546" s="35">
        <v>0.57509160041809004</v>
      </c>
      <c r="C546" s="36">
        <v>0.2</v>
      </c>
    </row>
    <row r="547" spans="1:3" x14ac:dyDescent="0.25">
      <c r="A547" s="46" t="s">
        <v>1809</v>
      </c>
      <c r="B547" s="35">
        <v>0.683693528175354</v>
      </c>
      <c r="C547" s="36">
        <v>0.13</v>
      </c>
    </row>
    <row r="548" spans="1:3" x14ac:dyDescent="0.25">
      <c r="A548" s="46" t="s">
        <v>1810</v>
      </c>
      <c r="B548" s="35">
        <v>0.75829386711120605</v>
      </c>
      <c r="C548" s="36">
        <v>0.15</v>
      </c>
    </row>
    <row r="549" spans="1:3" x14ac:dyDescent="0.25">
      <c r="A549" s="46" t="s">
        <v>1811</v>
      </c>
      <c r="B549" s="35">
        <v>0.787439584732055</v>
      </c>
      <c r="C549" s="36">
        <v>0.16</v>
      </c>
    </row>
    <row r="550" spans="1:3" x14ac:dyDescent="0.25">
      <c r="A550" s="46" t="s">
        <v>1812</v>
      </c>
      <c r="B550" s="35">
        <v>0.57377046346664395</v>
      </c>
      <c r="C550" s="36">
        <v>0.17</v>
      </c>
    </row>
    <row r="551" spans="1:3" x14ac:dyDescent="0.25">
      <c r="A551" s="46" t="s">
        <v>1813</v>
      </c>
      <c r="B551" s="35">
        <v>0.79741376638412398</v>
      </c>
      <c r="C551" s="36">
        <v>0.16</v>
      </c>
    </row>
    <row r="552" spans="1:3" x14ac:dyDescent="0.25">
      <c r="A552" s="46" t="s">
        <v>1814</v>
      </c>
      <c r="B552" s="35">
        <v>0.57843136787414495</v>
      </c>
      <c r="C552" s="36">
        <v>0.14000000000000001</v>
      </c>
    </row>
    <row r="553" spans="1:3" x14ac:dyDescent="0.25">
      <c r="A553" s="46" t="s">
        <v>1815</v>
      </c>
      <c r="B553" s="35">
        <v>0.68656718730926503</v>
      </c>
      <c r="C553" s="36">
        <v>0.11</v>
      </c>
    </row>
    <row r="554" spans="1:3" x14ac:dyDescent="0.25">
      <c r="A554" s="46" t="s">
        <v>1816</v>
      </c>
      <c r="B554" s="35">
        <v>0.68634688854217496</v>
      </c>
      <c r="C554" s="36">
        <v>0</v>
      </c>
    </row>
    <row r="555" spans="1:3" x14ac:dyDescent="0.25">
      <c r="A555" s="46" t="s">
        <v>1817</v>
      </c>
      <c r="B555" s="35">
        <v>0.80370372533798196</v>
      </c>
      <c r="C555" s="36">
        <v>0.26</v>
      </c>
    </row>
    <row r="556" spans="1:3" x14ac:dyDescent="0.25">
      <c r="A556" s="46" t="s">
        <v>1818</v>
      </c>
      <c r="B556" s="35">
        <v>0.48009368777275002</v>
      </c>
      <c r="C556" s="36">
        <v>0.12</v>
      </c>
    </row>
    <row r="557" spans="1:3" x14ac:dyDescent="0.25">
      <c r="A557" s="46" t="s">
        <v>1819</v>
      </c>
      <c r="B557" s="35">
        <v>0.63422816991805997</v>
      </c>
      <c r="C557" s="36">
        <v>0.05</v>
      </c>
    </row>
    <row r="558" spans="1:3" x14ac:dyDescent="0.25">
      <c r="A558" s="46" t="s">
        <v>1820</v>
      </c>
      <c r="B558" s="35">
        <v>0.66246056556701605</v>
      </c>
      <c r="C558" s="36">
        <v>0.13</v>
      </c>
    </row>
    <row r="559" spans="1:3" x14ac:dyDescent="0.25">
      <c r="A559" s="46" t="s">
        <v>1821</v>
      </c>
      <c r="B559" s="35">
        <v>0.97925311326980502</v>
      </c>
      <c r="C559" s="36">
        <v>0.18</v>
      </c>
    </row>
    <row r="560" spans="1:3" x14ac:dyDescent="0.25">
      <c r="A560" s="46" t="s">
        <v>1822</v>
      </c>
      <c r="B560" s="35">
        <v>0.56866955757141102</v>
      </c>
      <c r="C560" s="36">
        <v>0.09</v>
      </c>
    </row>
    <row r="561" spans="1:3" x14ac:dyDescent="0.25">
      <c r="A561" s="46" t="s">
        <v>1823</v>
      </c>
      <c r="B561" s="35">
        <v>0.65310490131378096</v>
      </c>
      <c r="C561" s="36">
        <v>0.06</v>
      </c>
    </row>
    <row r="562" spans="1:3" x14ac:dyDescent="0.25">
      <c r="A562" s="46" t="s">
        <v>1824</v>
      </c>
      <c r="B562" s="35">
        <v>0.67037039995193404</v>
      </c>
      <c r="C562" s="36">
        <v>0.1</v>
      </c>
    </row>
    <row r="563" spans="1:3" x14ac:dyDescent="0.25">
      <c r="A563" s="46" t="s">
        <v>1825</v>
      </c>
      <c r="B563" s="35">
        <v>0.67053365707397405</v>
      </c>
      <c r="C563" s="36">
        <v>0.19</v>
      </c>
    </row>
    <row r="564" spans="1:3" x14ac:dyDescent="0.25">
      <c r="A564" s="46" t="s">
        <v>1826</v>
      </c>
      <c r="B564" s="35">
        <v>0.45529800653457603</v>
      </c>
      <c r="C564" s="36">
        <v>0.26</v>
      </c>
    </row>
    <row r="565" spans="1:3" x14ac:dyDescent="0.25">
      <c r="A565" s="46" t="s">
        <v>1827</v>
      </c>
      <c r="B565" s="35">
        <v>0.98867923021316495</v>
      </c>
      <c r="C565" s="36">
        <v>0.18</v>
      </c>
    </row>
    <row r="566" spans="1:3" x14ac:dyDescent="0.25">
      <c r="A566" s="46" t="s">
        <v>1828</v>
      </c>
      <c r="B566" s="35">
        <v>0.93795621395110995</v>
      </c>
      <c r="C566" s="36">
        <v>0.19</v>
      </c>
    </row>
    <row r="567" spans="1:3" x14ac:dyDescent="0.25">
      <c r="A567" s="46" t="s">
        <v>1829</v>
      </c>
      <c r="B567" s="35">
        <v>0.96025103330612105</v>
      </c>
      <c r="C567" s="36">
        <v>0.25</v>
      </c>
    </row>
    <row r="568" spans="1:3" x14ac:dyDescent="0.25">
      <c r="A568" s="46" t="s">
        <v>1830</v>
      </c>
      <c r="B568" s="35">
        <v>0.48809522390365601</v>
      </c>
      <c r="C568" s="36">
        <v>0.16</v>
      </c>
    </row>
    <row r="569" spans="1:3" x14ac:dyDescent="0.25">
      <c r="A569" s="46" t="s">
        <v>1831</v>
      </c>
      <c r="B569" s="35">
        <v>0.55679285526275601</v>
      </c>
      <c r="C569" s="36">
        <v>0.2</v>
      </c>
    </row>
    <row r="570" spans="1:3" x14ac:dyDescent="0.25">
      <c r="A570" s="46" t="s">
        <v>1832</v>
      </c>
      <c r="B570" s="35">
        <v>0.65084743499755804</v>
      </c>
      <c r="C570" s="36">
        <v>0.06</v>
      </c>
    </row>
    <row r="571" spans="1:3" x14ac:dyDescent="0.25">
      <c r="A571" s="46" t="s">
        <v>1833</v>
      </c>
      <c r="B571" s="35">
        <v>0.70850199460983199</v>
      </c>
      <c r="C571" s="36">
        <v>0.08</v>
      </c>
    </row>
    <row r="572" spans="1:3" x14ac:dyDescent="0.25">
      <c r="A572" s="46" t="s">
        <v>1834</v>
      </c>
      <c r="B572" s="35">
        <v>0.55271565914153997</v>
      </c>
      <c r="C572" s="36">
        <v>0.15</v>
      </c>
    </row>
    <row r="573" spans="1:3" x14ac:dyDescent="0.25">
      <c r="A573" s="46" t="s">
        <v>1835</v>
      </c>
      <c r="B573" s="35">
        <v>0.47176685929298401</v>
      </c>
      <c r="C573" s="36">
        <v>0.15</v>
      </c>
    </row>
    <row r="574" spans="1:3" x14ac:dyDescent="0.25">
      <c r="A574" s="46" t="s">
        <v>1836</v>
      </c>
      <c r="B574" s="35">
        <v>0.58086562156677202</v>
      </c>
      <c r="C574" s="36">
        <v>0</v>
      </c>
    </row>
    <row r="575" spans="1:3" x14ac:dyDescent="0.25">
      <c r="A575" s="46" t="s">
        <v>1837</v>
      </c>
      <c r="B575" s="35">
        <v>0.57298475503921498</v>
      </c>
      <c r="C575" s="36">
        <v>0</v>
      </c>
    </row>
    <row r="576" spans="1:3" x14ac:dyDescent="0.25">
      <c r="A576" s="46" t="s">
        <v>1838</v>
      </c>
      <c r="B576" s="35">
        <v>0.87840670347213701</v>
      </c>
      <c r="C576" s="36">
        <v>0.32</v>
      </c>
    </row>
    <row r="577" spans="1:3" x14ac:dyDescent="0.25">
      <c r="A577" s="46" t="s">
        <v>1839</v>
      </c>
      <c r="B577" s="35">
        <v>0.545454561710357</v>
      </c>
      <c r="C577" s="36">
        <v>0.11</v>
      </c>
    </row>
    <row r="578" spans="1:3" x14ac:dyDescent="0.25">
      <c r="A578" s="46" t="s">
        <v>1840</v>
      </c>
      <c r="B578" s="35">
        <v>0.70155036449432295</v>
      </c>
      <c r="C578" s="36">
        <v>0.12</v>
      </c>
    </row>
    <row r="579" spans="1:3" x14ac:dyDescent="0.25">
      <c r="A579" s="46" t="s">
        <v>1841</v>
      </c>
      <c r="B579" s="35">
        <v>0.65957444906234697</v>
      </c>
      <c r="C579" s="36">
        <v>7.0000000000000007E-2</v>
      </c>
    </row>
    <row r="580" spans="1:3" x14ac:dyDescent="0.25">
      <c r="A580" s="46" t="s">
        <v>1842</v>
      </c>
      <c r="B580" s="35">
        <v>0.862068951129913</v>
      </c>
      <c r="C580" s="36">
        <v>0.13</v>
      </c>
    </row>
    <row r="581" spans="1:3" x14ac:dyDescent="0.25">
      <c r="A581" s="46" t="s">
        <v>1843</v>
      </c>
      <c r="B581" s="35">
        <v>0.85365855693817105</v>
      </c>
      <c r="C581" s="36">
        <v>0.11</v>
      </c>
    </row>
    <row r="582" spans="1:3" x14ac:dyDescent="0.25">
      <c r="A582" s="46" t="s">
        <v>1844</v>
      </c>
      <c r="B582" s="35">
        <v>0.66220736503600997</v>
      </c>
      <c r="C582" s="36">
        <v>0.09</v>
      </c>
    </row>
    <row r="583" spans="1:3" x14ac:dyDescent="0.25">
      <c r="A583" s="46" t="s">
        <v>1845</v>
      </c>
      <c r="B583" s="35">
        <v>0.65330189466476396</v>
      </c>
      <c r="C583" s="36">
        <v>0.13</v>
      </c>
    </row>
    <row r="584" spans="1:3" x14ac:dyDescent="0.25">
      <c r="A584" s="46" t="s">
        <v>1846</v>
      </c>
      <c r="B584" s="35">
        <v>0.65384614467620805</v>
      </c>
      <c r="C584" s="36">
        <v>0.09</v>
      </c>
    </row>
    <row r="585" spans="1:3" x14ac:dyDescent="0.25">
      <c r="A585" s="46" t="s">
        <v>1847</v>
      </c>
      <c r="B585" s="35">
        <v>0.58785247802734297</v>
      </c>
      <c r="C585" s="36">
        <v>0.13</v>
      </c>
    </row>
    <row r="586" spans="1:3" x14ac:dyDescent="0.25">
      <c r="A586" s="46" t="s">
        <v>1848</v>
      </c>
      <c r="B586" s="35">
        <v>0.61255413293838501</v>
      </c>
      <c r="C586" s="36">
        <v>0</v>
      </c>
    </row>
    <row r="587" spans="1:3" x14ac:dyDescent="0.25">
      <c r="A587" s="46" t="s">
        <v>1849</v>
      </c>
      <c r="B587" s="35">
        <v>0.98140496015548695</v>
      </c>
      <c r="C587" s="36">
        <v>0</v>
      </c>
    </row>
    <row r="588" spans="1:3" x14ac:dyDescent="0.25">
      <c r="A588" s="46" t="s">
        <v>1850</v>
      </c>
      <c r="B588" s="35">
        <v>0.57520663738250699</v>
      </c>
      <c r="C588" s="36">
        <v>0.17</v>
      </c>
    </row>
    <row r="589" spans="1:3" x14ac:dyDescent="0.25">
      <c r="A589" s="46" t="s">
        <v>1851</v>
      </c>
      <c r="B589" s="35">
        <v>0.55702477693557695</v>
      </c>
      <c r="C589" s="36">
        <v>0.16</v>
      </c>
    </row>
    <row r="590" spans="1:3" x14ac:dyDescent="0.25">
      <c r="A590" s="46" t="s">
        <v>1852</v>
      </c>
      <c r="B590" s="35">
        <v>0.65295630693435602</v>
      </c>
      <c r="C590" s="36">
        <v>0.08</v>
      </c>
    </row>
    <row r="591" spans="1:3" x14ac:dyDescent="0.25">
      <c r="A591" s="46" t="s">
        <v>1853</v>
      </c>
      <c r="B591" s="35">
        <v>0.639257311820983</v>
      </c>
      <c r="C591" s="36">
        <v>0.1</v>
      </c>
    </row>
    <row r="592" spans="1:3" x14ac:dyDescent="0.25">
      <c r="A592" s="46" t="s">
        <v>1854</v>
      </c>
      <c r="B592" s="35">
        <v>0.57781457901000899</v>
      </c>
      <c r="C592" s="36">
        <v>0.17</v>
      </c>
    </row>
    <row r="593" spans="1:3" x14ac:dyDescent="0.25">
      <c r="A593" s="46" t="s">
        <v>1855</v>
      </c>
      <c r="B593" s="35">
        <v>0.53442031145095803</v>
      </c>
      <c r="C593" s="36">
        <v>0.38</v>
      </c>
    </row>
    <row r="594" spans="1:3" x14ac:dyDescent="0.25">
      <c r="A594" s="46" t="s">
        <v>1856</v>
      </c>
      <c r="B594" s="35">
        <v>0.83478260040283203</v>
      </c>
      <c r="C594" s="36">
        <v>0.12</v>
      </c>
    </row>
    <row r="595" spans="1:3" x14ac:dyDescent="0.25">
      <c r="A595" s="46" t="s">
        <v>1857</v>
      </c>
      <c r="B595" s="35">
        <v>0.62285715341567904</v>
      </c>
      <c r="C595" s="36">
        <v>0.24</v>
      </c>
    </row>
    <row r="596" spans="1:3" x14ac:dyDescent="0.25">
      <c r="A596" s="46" t="s">
        <v>1858</v>
      </c>
      <c r="B596" s="35">
        <v>0.683127582073211</v>
      </c>
      <c r="C596" s="36">
        <v>0</v>
      </c>
    </row>
    <row r="597" spans="1:3" x14ac:dyDescent="0.25">
      <c r="A597" s="46" t="s">
        <v>1859</v>
      </c>
      <c r="B597" s="35">
        <v>0.66987180709838801</v>
      </c>
      <c r="C597" s="36">
        <v>0.3</v>
      </c>
    </row>
    <row r="598" spans="1:3" x14ac:dyDescent="0.25">
      <c r="A598" s="46" t="s">
        <v>1860</v>
      </c>
      <c r="B598" s="35">
        <v>0.46078431606292702</v>
      </c>
      <c r="C598" s="36">
        <v>0.35</v>
      </c>
    </row>
    <row r="599" spans="1:3" x14ac:dyDescent="0.25">
      <c r="A599" s="46" t="s">
        <v>1861</v>
      </c>
      <c r="B599" s="35">
        <v>0.57883369922637895</v>
      </c>
      <c r="C599" s="36">
        <v>0.26</v>
      </c>
    </row>
    <row r="600" spans="1:3" x14ac:dyDescent="0.25">
      <c r="A600" s="46" t="s">
        <v>1862</v>
      </c>
      <c r="B600" s="35">
        <v>0.69858157634735096</v>
      </c>
      <c r="C600" s="36">
        <v>0.1</v>
      </c>
    </row>
    <row r="601" spans="1:3" x14ac:dyDescent="0.25">
      <c r="A601" s="46" t="s">
        <v>1863</v>
      </c>
      <c r="B601" s="35">
        <v>0.55382436513900701</v>
      </c>
      <c r="C601" s="36">
        <v>0.23</v>
      </c>
    </row>
    <row r="602" spans="1:3" x14ac:dyDescent="0.25">
      <c r="A602" s="46" t="s">
        <v>1864</v>
      </c>
      <c r="B602" s="35">
        <v>0.49712643027305597</v>
      </c>
      <c r="C602" s="36">
        <v>0.28000000000000003</v>
      </c>
    </row>
    <row r="603" spans="1:3" x14ac:dyDescent="0.25">
      <c r="A603" s="46" t="s">
        <v>1865</v>
      </c>
      <c r="B603" s="35">
        <v>0.69281047582626298</v>
      </c>
      <c r="C603" s="36">
        <v>0.27</v>
      </c>
    </row>
    <row r="604" spans="1:3" x14ac:dyDescent="0.25">
      <c r="A604" s="46" t="s">
        <v>1866</v>
      </c>
      <c r="B604" s="35">
        <v>0.79034942388534501</v>
      </c>
      <c r="C604" s="36">
        <v>0.14000000000000001</v>
      </c>
    </row>
    <row r="605" spans="1:3" x14ac:dyDescent="0.25">
      <c r="A605" s="46" t="s">
        <v>1867</v>
      </c>
      <c r="B605" s="35">
        <v>0.64268583059310902</v>
      </c>
      <c r="C605" s="36">
        <v>0.17</v>
      </c>
    </row>
    <row r="606" spans="1:3" x14ac:dyDescent="0.25">
      <c r="A606" s="46" t="s">
        <v>1868</v>
      </c>
      <c r="B606" s="35">
        <v>0.64268583059310902</v>
      </c>
      <c r="C606" s="36">
        <v>0.17</v>
      </c>
    </row>
    <row r="607" spans="1:3" x14ac:dyDescent="0.25">
      <c r="A607" s="46" t="s">
        <v>1869</v>
      </c>
      <c r="B607" s="35">
        <v>0.63549160957336404</v>
      </c>
      <c r="C607" s="36">
        <v>0.16</v>
      </c>
    </row>
    <row r="608" spans="1:3" x14ac:dyDescent="0.25">
      <c r="A608" s="46" t="s">
        <v>1870</v>
      </c>
      <c r="B608" s="35">
        <v>0.98872178792953402</v>
      </c>
      <c r="C608" s="36">
        <v>0.17</v>
      </c>
    </row>
    <row r="609" spans="1:3" x14ac:dyDescent="0.25">
      <c r="A609" s="46" t="s">
        <v>1871</v>
      </c>
      <c r="B609" s="35">
        <v>0.921875</v>
      </c>
      <c r="C609" s="36">
        <v>0.15</v>
      </c>
    </row>
    <row r="610" spans="1:3" x14ac:dyDescent="0.25">
      <c r="A610" s="46" t="s">
        <v>1872</v>
      </c>
      <c r="B610" s="35">
        <v>0.66838043928146296</v>
      </c>
      <c r="C610" s="36">
        <v>0.09</v>
      </c>
    </row>
    <row r="611" spans="1:3" x14ac:dyDescent="0.25">
      <c r="A611" s="46" t="s">
        <v>1873</v>
      </c>
      <c r="B611" s="35">
        <v>0.58823531866073597</v>
      </c>
      <c r="C611" s="36">
        <v>0</v>
      </c>
    </row>
    <row r="612" spans="1:3" x14ac:dyDescent="0.25">
      <c r="A612" s="46" t="s">
        <v>1874</v>
      </c>
      <c r="B612" s="35">
        <v>0.65357965230941695</v>
      </c>
      <c r="C612" s="36">
        <v>0.21</v>
      </c>
    </row>
    <row r="613" spans="1:3" x14ac:dyDescent="0.25">
      <c r="A613" s="46" t="s">
        <v>1875</v>
      </c>
      <c r="B613" s="35">
        <v>0.66666668653488104</v>
      </c>
      <c r="C613" s="36">
        <v>0.26</v>
      </c>
    </row>
    <row r="614" spans="1:3" x14ac:dyDescent="0.25">
      <c r="A614" s="46" t="s">
        <v>1876</v>
      </c>
      <c r="B614" s="35">
        <v>0.620214402675628</v>
      </c>
      <c r="C614" s="36">
        <v>0</v>
      </c>
    </row>
    <row r="615" spans="1:3" x14ac:dyDescent="0.25">
      <c r="A615" s="46" t="s">
        <v>1877</v>
      </c>
      <c r="B615" s="35">
        <v>0.54231977462768499</v>
      </c>
      <c r="C615" s="36">
        <v>0.14000000000000001</v>
      </c>
    </row>
    <row r="616" spans="1:3" x14ac:dyDescent="0.25">
      <c r="A616" s="46" t="s">
        <v>1878</v>
      </c>
      <c r="B616" s="35">
        <v>0.553092181682586</v>
      </c>
      <c r="C616" s="36">
        <v>0</v>
      </c>
    </row>
    <row r="617" spans="1:3" x14ac:dyDescent="0.25">
      <c r="A617" s="46" t="s">
        <v>1879</v>
      </c>
      <c r="B617" s="35">
        <v>0.65377175807952803</v>
      </c>
      <c r="C617" s="36">
        <v>0.23</v>
      </c>
    </row>
    <row r="618" spans="1:3" x14ac:dyDescent="0.25">
      <c r="A618" s="46" t="s">
        <v>1880</v>
      </c>
      <c r="B618" s="35">
        <v>0.68136274814605702</v>
      </c>
      <c r="C618" s="36">
        <v>0.11</v>
      </c>
    </row>
    <row r="619" spans="1:3" x14ac:dyDescent="0.25">
      <c r="A619" s="46" t="s">
        <v>1881</v>
      </c>
      <c r="B619" s="35">
        <v>0.64818358421325595</v>
      </c>
      <c r="C619" s="36">
        <v>0.1</v>
      </c>
    </row>
    <row r="620" spans="1:3" x14ac:dyDescent="0.25">
      <c r="A620" s="46" t="s">
        <v>1882</v>
      </c>
      <c r="B620" s="35">
        <v>0.61538463830947798</v>
      </c>
      <c r="C620" s="36">
        <v>0.1</v>
      </c>
    </row>
    <row r="621" spans="1:3" x14ac:dyDescent="0.25">
      <c r="A621" s="46" t="s">
        <v>1883</v>
      </c>
      <c r="B621" s="35">
        <v>0.67065870761871305</v>
      </c>
      <c r="C621" s="36">
        <v>0.08</v>
      </c>
    </row>
    <row r="622" spans="1:3" x14ac:dyDescent="0.25">
      <c r="A622" s="46" t="s">
        <v>1884</v>
      </c>
      <c r="B622" s="35">
        <v>0.62453532218933105</v>
      </c>
      <c r="C622" s="36">
        <v>0.1</v>
      </c>
    </row>
    <row r="623" spans="1:3" x14ac:dyDescent="0.25">
      <c r="A623" s="46" t="s">
        <v>1885</v>
      </c>
      <c r="B623" s="35">
        <v>0.540419161319732</v>
      </c>
      <c r="C623" s="36">
        <v>0.16</v>
      </c>
    </row>
    <row r="624" spans="1:3" x14ac:dyDescent="0.25">
      <c r="A624" s="46" t="s">
        <v>1886</v>
      </c>
      <c r="B624" s="35">
        <v>0.65887850522994995</v>
      </c>
      <c r="C624" s="36">
        <v>0.05</v>
      </c>
    </row>
    <row r="625" spans="1:3" x14ac:dyDescent="0.25">
      <c r="A625" s="46" t="s">
        <v>1887</v>
      </c>
      <c r="B625" s="35">
        <v>0.45908182859420699</v>
      </c>
      <c r="C625" s="36">
        <v>0.28999999999999998</v>
      </c>
    </row>
    <row r="626" spans="1:3" x14ac:dyDescent="0.25">
      <c r="A626" s="46" t="s">
        <v>1888</v>
      </c>
      <c r="B626" s="35">
        <v>0.55794703960418701</v>
      </c>
      <c r="C626" s="36">
        <v>0.17</v>
      </c>
    </row>
    <row r="627" spans="1:3" x14ac:dyDescent="0.25">
      <c r="A627" s="46" t="s">
        <v>1889</v>
      </c>
      <c r="B627" s="35">
        <v>0.63205415010452204</v>
      </c>
      <c r="C627" s="36">
        <v>0.13</v>
      </c>
    </row>
    <row r="628" spans="1:3" x14ac:dyDescent="0.25">
      <c r="A628" s="46" t="s">
        <v>1890</v>
      </c>
      <c r="B628" s="35">
        <v>0.56027162075042702</v>
      </c>
      <c r="C628" s="36">
        <v>0.21</v>
      </c>
    </row>
    <row r="629" spans="1:3" x14ac:dyDescent="0.25">
      <c r="A629" s="46" t="s">
        <v>1891</v>
      </c>
      <c r="B629" s="35">
        <v>0.70135748386383001</v>
      </c>
      <c r="C629" s="36">
        <v>0.39</v>
      </c>
    </row>
    <row r="630" spans="1:3" x14ac:dyDescent="0.25">
      <c r="A630" s="46" t="s">
        <v>1892</v>
      </c>
      <c r="B630" s="35">
        <v>0.654654681682586</v>
      </c>
      <c r="C630" s="36">
        <v>0.25</v>
      </c>
    </row>
    <row r="631" spans="1:3" x14ac:dyDescent="0.25">
      <c r="A631" s="46" t="s">
        <v>1893</v>
      </c>
      <c r="B631" s="35">
        <v>0.68683272600173895</v>
      </c>
      <c r="C631" s="36">
        <v>0.09</v>
      </c>
    </row>
    <row r="632" spans="1:3" x14ac:dyDescent="0.25">
      <c r="A632" s="46" t="s">
        <v>1894</v>
      </c>
      <c r="B632" s="35">
        <v>0.54285717010498002</v>
      </c>
      <c r="C632" s="36">
        <v>0.14000000000000001</v>
      </c>
    </row>
    <row r="633" spans="1:3" x14ac:dyDescent="0.25">
      <c r="A633" s="46" t="s">
        <v>1895</v>
      </c>
      <c r="B633" s="35">
        <v>0.625</v>
      </c>
      <c r="C633" s="36">
        <v>0.1</v>
      </c>
    </row>
    <row r="634" spans="1:3" x14ac:dyDescent="0.25">
      <c r="A634" s="46" t="s">
        <v>1896</v>
      </c>
      <c r="B634" s="35">
        <v>0.77631580829620295</v>
      </c>
      <c r="C634" s="36">
        <v>0.13</v>
      </c>
    </row>
    <row r="635" spans="1:3" x14ac:dyDescent="0.25">
      <c r="A635" s="46" t="s">
        <v>1897</v>
      </c>
      <c r="B635" s="35">
        <v>0.69922876358032204</v>
      </c>
      <c r="C635" s="36">
        <v>0.13</v>
      </c>
    </row>
    <row r="636" spans="1:3" x14ac:dyDescent="0.25">
      <c r="A636" s="46" t="s">
        <v>1898</v>
      </c>
      <c r="B636" s="35">
        <v>0.615176141262054</v>
      </c>
      <c r="C636" s="36">
        <v>0.19</v>
      </c>
    </row>
    <row r="637" spans="1:3" x14ac:dyDescent="0.25">
      <c r="A637" s="46" t="s">
        <v>1899</v>
      </c>
      <c r="B637" s="35">
        <v>0.672801613807678</v>
      </c>
      <c r="C637" s="36">
        <v>0.15</v>
      </c>
    </row>
    <row r="638" spans="1:3" x14ac:dyDescent="0.25">
      <c r="A638" s="46" t="s">
        <v>1900</v>
      </c>
      <c r="B638" s="35">
        <v>0.49475890398025502</v>
      </c>
      <c r="C638" s="36">
        <v>0.18</v>
      </c>
    </row>
    <row r="639" spans="1:3" x14ac:dyDescent="0.25">
      <c r="A639" s="46" t="s">
        <v>1901</v>
      </c>
      <c r="B639" s="35">
        <v>0.65357965230941695</v>
      </c>
      <c r="C639" s="36">
        <v>0.12</v>
      </c>
    </row>
    <row r="640" spans="1:3" x14ac:dyDescent="0.25">
      <c r="A640" s="46" t="s">
        <v>1902</v>
      </c>
      <c r="B640" s="35">
        <v>0.55660378932952803</v>
      </c>
      <c r="C640" s="36">
        <v>0.18</v>
      </c>
    </row>
    <row r="641" spans="1:3" x14ac:dyDescent="0.25">
      <c r="A641" s="46" t="s">
        <v>1903</v>
      </c>
      <c r="B641" s="35">
        <v>0.72000002861022905</v>
      </c>
      <c r="C641" s="36">
        <v>0.23</v>
      </c>
    </row>
    <row r="642" spans="1:3" x14ac:dyDescent="0.25">
      <c r="A642" s="46" t="s">
        <v>1904</v>
      </c>
      <c r="B642" s="35">
        <v>0.79741376638412398</v>
      </c>
      <c r="C642" s="36">
        <v>0.15</v>
      </c>
    </row>
    <row r="643" spans="1:3" x14ac:dyDescent="0.25">
      <c r="A643" s="46" t="s">
        <v>1905</v>
      </c>
      <c r="B643" s="35">
        <v>0.667682945728302</v>
      </c>
      <c r="C643" s="36">
        <v>0.35</v>
      </c>
    </row>
    <row r="644" spans="1:3" x14ac:dyDescent="0.25">
      <c r="A644" s="46" t="s">
        <v>1906</v>
      </c>
      <c r="B644" s="35">
        <v>0.70396268367767301</v>
      </c>
      <c r="C644" s="36">
        <v>0.05</v>
      </c>
    </row>
    <row r="645" spans="1:3" x14ac:dyDescent="0.25">
      <c r="A645" s="46" t="s">
        <v>1907</v>
      </c>
      <c r="B645" s="35">
        <v>0.67625898122787398</v>
      </c>
      <c r="C645" s="36">
        <v>0.1</v>
      </c>
    </row>
    <row r="646" spans="1:3" x14ac:dyDescent="0.25">
      <c r="A646" s="46" t="s">
        <v>1908</v>
      </c>
      <c r="B646" s="35">
        <v>0.70163172483444203</v>
      </c>
      <c r="C646" s="36">
        <v>0.05</v>
      </c>
    </row>
    <row r="647" spans="1:3" x14ac:dyDescent="0.25">
      <c r="A647" s="46" t="s">
        <v>1909</v>
      </c>
      <c r="B647" s="35">
        <v>0.57575756311416604</v>
      </c>
      <c r="C647" s="36">
        <v>0</v>
      </c>
    </row>
    <row r="648" spans="1:3" x14ac:dyDescent="0.25">
      <c r="A648" s="46" t="s">
        <v>1910</v>
      </c>
      <c r="B648" s="35">
        <v>0.636363625526428</v>
      </c>
      <c r="C648" s="36">
        <v>0.27</v>
      </c>
    </row>
    <row r="649" spans="1:3" x14ac:dyDescent="0.25">
      <c r="A649" s="46" t="s">
        <v>1911</v>
      </c>
      <c r="B649" s="35">
        <v>0.68345326185226396</v>
      </c>
      <c r="C649" s="36">
        <v>0.17</v>
      </c>
    </row>
    <row r="650" spans="1:3" x14ac:dyDescent="0.25">
      <c r="A650" s="46" t="s">
        <v>1912</v>
      </c>
      <c r="B650" s="35">
        <v>0.59842520952224698</v>
      </c>
      <c r="C650" s="36">
        <v>0.24</v>
      </c>
    </row>
    <row r="651" spans="1:3" x14ac:dyDescent="0.25">
      <c r="A651" s="46" t="s">
        <v>1913</v>
      </c>
      <c r="B651" s="35">
        <v>0.58885020017623901</v>
      </c>
      <c r="C651" s="36">
        <v>0.14000000000000001</v>
      </c>
    </row>
    <row r="652" spans="1:3" x14ac:dyDescent="0.25">
      <c r="A652" s="46" t="s">
        <v>1914</v>
      </c>
      <c r="B652" s="35">
        <v>0.72297298908233598</v>
      </c>
      <c r="C652" s="36">
        <v>0.24</v>
      </c>
    </row>
    <row r="653" spans="1:3" x14ac:dyDescent="0.25">
      <c r="A653" s="46" t="s">
        <v>1915</v>
      </c>
      <c r="B653" s="35">
        <v>0.89543724060058505</v>
      </c>
      <c r="C653" s="36">
        <v>0.2</v>
      </c>
    </row>
    <row r="654" spans="1:3" x14ac:dyDescent="0.25">
      <c r="A654" s="46" t="s">
        <v>1916</v>
      </c>
      <c r="B654" s="35">
        <v>0.38565021753311102</v>
      </c>
      <c r="C654" s="36">
        <v>0.49</v>
      </c>
    </row>
    <row r="655" spans="1:3" x14ac:dyDescent="0.25">
      <c r="A655" s="46" t="s">
        <v>1917</v>
      </c>
      <c r="B655" s="35">
        <v>0.648018658161163</v>
      </c>
      <c r="C655" s="36">
        <v>0</v>
      </c>
    </row>
    <row r="656" spans="1:3" x14ac:dyDescent="0.25">
      <c r="A656" s="46" t="s">
        <v>1918</v>
      </c>
      <c r="B656" s="35">
        <v>0.647619068622589</v>
      </c>
      <c r="C656" s="36">
        <v>0</v>
      </c>
    </row>
    <row r="657" spans="1:3" x14ac:dyDescent="0.25">
      <c r="A657" s="46" t="s">
        <v>1919</v>
      </c>
      <c r="B657" s="35">
        <v>0.60752689838409402</v>
      </c>
      <c r="C657" s="36">
        <v>0</v>
      </c>
    </row>
    <row r="658" spans="1:3" x14ac:dyDescent="0.25">
      <c r="A658" s="46" t="s">
        <v>1920</v>
      </c>
      <c r="B658" s="35">
        <v>0.67602592706680298</v>
      </c>
      <c r="C658" s="36">
        <v>0</v>
      </c>
    </row>
    <row r="659" spans="1:3" x14ac:dyDescent="0.25">
      <c r="A659" s="46" t="s">
        <v>1921</v>
      </c>
      <c r="B659" s="35">
        <v>0.568897664546966</v>
      </c>
      <c r="C659" s="36">
        <v>0</v>
      </c>
    </row>
    <row r="660" spans="1:3" x14ac:dyDescent="0.25">
      <c r="A660" s="46" t="s">
        <v>1922</v>
      </c>
      <c r="B660" s="35">
        <v>0.64435946941375699</v>
      </c>
      <c r="C660" s="36">
        <v>0</v>
      </c>
    </row>
    <row r="661" spans="1:3" x14ac:dyDescent="0.25">
      <c r="A661" s="46" t="s">
        <v>1923</v>
      </c>
      <c r="B661" s="35">
        <v>0.63725489377975397</v>
      </c>
      <c r="C661" s="36">
        <v>0</v>
      </c>
    </row>
    <row r="662" spans="1:3" x14ac:dyDescent="0.25">
      <c r="A662" s="46" t="s">
        <v>1924</v>
      </c>
      <c r="B662" s="35">
        <v>0.64828896522521895</v>
      </c>
      <c r="C662" s="36">
        <v>0</v>
      </c>
    </row>
    <row r="663" spans="1:3" x14ac:dyDescent="0.25">
      <c r="A663" s="46" t="s">
        <v>1925</v>
      </c>
      <c r="B663" s="35">
        <v>0.64410477876663197</v>
      </c>
      <c r="C663" s="36">
        <v>0</v>
      </c>
    </row>
    <row r="664" spans="1:3" x14ac:dyDescent="0.25">
      <c r="A664" s="46" t="s">
        <v>1926</v>
      </c>
      <c r="B664" s="35">
        <v>0.64638781547546298</v>
      </c>
      <c r="C664" s="36">
        <v>0</v>
      </c>
    </row>
    <row r="665" spans="1:3" x14ac:dyDescent="0.25">
      <c r="A665" s="46" t="s">
        <v>1927</v>
      </c>
      <c r="B665" s="35">
        <v>0.667330682277679</v>
      </c>
      <c r="C665" s="36">
        <v>0</v>
      </c>
    </row>
    <row r="666" spans="1:3" x14ac:dyDescent="0.25">
      <c r="A666" s="46" t="s">
        <v>1928</v>
      </c>
      <c r="B666" s="35">
        <v>0.669322729110717</v>
      </c>
      <c r="C666" s="36">
        <v>0</v>
      </c>
    </row>
    <row r="667" spans="1:3" x14ac:dyDescent="0.25">
      <c r="A667" s="46" t="s">
        <v>1929</v>
      </c>
      <c r="B667" s="35">
        <v>0.60359114408492998</v>
      </c>
      <c r="C667" s="36">
        <v>0</v>
      </c>
    </row>
    <row r="668" spans="1:3" x14ac:dyDescent="0.25">
      <c r="A668" s="46" t="s">
        <v>1930</v>
      </c>
      <c r="B668" s="35">
        <v>0.65686273574829102</v>
      </c>
      <c r="C668" s="36">
        <v>0.3</v>
      </c>
    </row>
    <row r="669" spans="1:3" x14ac:dyDescent="0.25">
      <c r="A669" s="46" t="s">
        <v>1931</v>
      </c>
      <c r="B669" s="35">
        <v>0.65217393636703402</v>
      </c>
      <c r="C669" s="36">
        <v>0</v>
      </c>
    </row>
    <row r="670" spans="1:3" x14ac:dyDescent="0.25">
      <c r="A670" s="46" t="s">
        <v>1932</v>
      </c>
      <c r="B670" s="35">
        <v>0.65217393636703402</v>
      </c>
      <c r="C670" s="36">
        <v>0</v>
      </c>
    </row>
    <row r="671" spans="1:3" x14ac:dyDescent="0.25">
      <c r="A671" s="46" t="s">
        <v>1933</v>
      </c>
      <c r="B671" s="35">
        <v>0.65517240762710505</v>
      </c>
      <c r="C671" s="36">
        <v>0</v>
      </c>
    </row>
    <row r="672" spans="1:3" x14ac:dyDescent="0.25">
      <c r="A672" s="46" t="s">
        <v>1934</v>
      </c>
      <c r="B672" s="35">
        <v>0.65217393636703402</v>
      </c>
      <c r="C672" s="36">
        <v>0</v>
      </c>
    </row>
    <row r="673" spans="1:3" x14ac:dyDescent="0.25">
      <c r="A673" s="46" t="s">
        <v>1935</v>
      </c>
      <c r="B673" s="35">
        <v>0.62708336114883401</v>
      </c>
      <c r="C673" s="36">
        <v>0.09</v>
      </c>
    </row>
    <row r="674" spans="1:3" x14ac:dyDescent="0.25">
      <c r="A674" s="46" t="s">
        <v>1936</v>
      </c>
      <c r="B674" s="35">
        <v>0.63725489377975397</v>
      </c>
      <c r="C674" s="36">
        <v>0</v>
      </c>
    </row>
    <row r="675" spans="1:3" x14ac:dyDescent="0.25">
      <c r="A675" s="46" t="s">
        <v>1937</v>
      </c>
      <c r="B675" s="35">
        <v>0.52245342731475797</v>
      </c>
      <c r="C675" s="36">
        <v>0.57999999999999996</v>
      </c>
    </row>
    <row r="676" spans="1:3" x14ac:dyDescent="0.25">
      <c r="A676" s="46" t="s">
        <v>1938</v>
      </c>
      <c r="B676" s="35">
        <v>0.80971658229827803</v>
      </c>
      <c r="C676" s="36">
        <v>0</v>
      </c>
    </row>
    <row r="677" spans="1:3" x14ac:dyDescent="0.25">
      <c r="A677" s="46" t="s">
        <v>1939</v>
      </c>
      <c r="B677" s="35">
        <v>0.65268063545226995</v>
      </c>
      <c r="C677" s="36">
        <v>0</v>
      </c>
    </row>
    <row r="678" spans="1:3" x14ac:dyDescent="0.25">
      <c r="A678" s="46" t="s">
        <v>1940</v>
      </c>
      <c r="B678" s="35">
        <v>0.64638781547546298</v>
      </c>
      <c r="C678" s="36">
        <v>0</v>
      </c>
    </row>
    <row r="679" spans="1:3" x14ac:dyDescent="0.25">
      <c r="A679" s="46" t="s">
        <v>1941</v>
      </c>
      <c r="B679" s="35">
        <v>0.62753951549529996</v>
      </c>
      <c r="C679" s="36">
        <v>0</v>
      </c>
    </row>
    <row r="680" spans="1:3" x14ac:dyDescent="0.25">
      <c r="A680" s="46" t="s">
        <v>1942</v>
      </c>
      <c r="B680" s="35">
        <v>0.48953974246978699</v>
      </c>
      <c r="C680" s="36">
        <v>0.46</v>
      </c>
    </row>
    <row r="681" spans="1:3" x14ac:dyDescent="0.25">
      <c r="A681" s="46" t="s">
        <v>1943</v>
      </c>
      <c r="B681" s="35">
        <v>0.66752576828002896</v>
      </c>
      <c r="C681" s="36">
        <v>0</v>
      </c>
    </row>
    <row r="682" spans="1:3" x14ac:dyDescent="0.25">
      <c r="A682" s="46" t="s">
        <v>1944</v>
      </c>
      <c r="B682" s="35">
        <v>0.49492901563644398</v>
      </c>
      <c r="C682" s="36">
        <v>0.44</v>
      </c>
    </row>
    <row r="683" spans="1:3" x14ac:dyDescent="0.25">
      <c r="A683" s="46" t="s">
        <v>1945</v>
      </c>
      <c r="B683" s="35">
        <v>0.59686452150344804</v>
      </c>
      <c r="C683" s="36">
        <v>0.52</v>
      </c>
    </row>
    <row r="684" spans="1:3" x14ac:dyDescent="0.25">
      <c r="A684" s="46" t="s">
        <v>1946</v>
      </c>
      <c r="B684" s="35">
        <v>0.60744982957839899</v>
      </c>
      <c r="C684" s="36">
        <v>0.48</v>
      </c>
    </row>
    <row r="685" spans="1:3" x14ac:dyDescent="0.25">
      <c r="A685" s="46" t="s">
        <v>1156</v>
      </c>
      <c r="B685" s="35">
        <v>0.65129685401916504</v>
      </c>
      <c r="C685" s="36">
        <v>0.55000000000000004</v>
      </c>
    </row>
    <row r="686" spans="1:3" x14ac:dyDescent="0.25">
      <c r="A686" s="46" t="s">
        <v>1947</v>
      </c>
      <c r="B686" s="35">
        <v>0.48557692766189497</v>
      </c>
      <c r="C686" s="36">
        <v>0.63</v>
      </c>
    </row>
    <row r="687" spans="1:3" x14ac:dyDescent="0.25">
      <c r="A687" s="46" t="s">
        <v>936</v>
      </c>
      <c r="B687" s="35">
        <v>0.62952643632888705</v>
      </c>
      <c r="C687" s="36">
        <v>0.57999999999999996</v>
      </c>
    </row>
    <row r="688" spans="1:3" x14ac:dyDescent="0.25">
      <c r="A688" s="46" t="s">
        <v>1948</v>
      </c>
      <c r="B688" s="35">
        <v>0.49300700426101601</v>
      </c>
      <c r="C688" s="36">
        <v>0.43</v>
      </c>
    </row>
    <row r="689" spans="1:3" x14ac:dyDescent="0.25">
      <c r="A689" s="46" t="s">
        <v>1949</v>
      </c>
      <c r="B689" s="35">
        <v>0.774294674396514</v>
      </c>
      <c r="C689" s="36">
        <v>0.5</v>
      </c>
    </row>
    <row r="690" spans="1:3" x14ac:dyDescent="0.25">
      <c r="A690" s="46" t="s">
        <v>1950</v>
      </c>
      <c r="B690" s="35">
        <v>0.60485649108886697</v>
      </c>
      <c r="C690" s="36">
        <v>0.54</v>
      </c>
    </row>
    <row r="691" spans="1:3" x14ac:dyDescent="0.25">
      <c r="A691" s="46" t="s">
        <v>1951</v>
      </c>
      <c r="B691" s="35">
        <v>0.45483359694480802</v>
      </c>
      <c r="C691" s="36">
        <v>0.23</v>
      </c>
    </row>
    <row r="692" spans="1:3" x14ac:dyDescent="0.25">
      <c r="A692" s="46" t="s">
        <v>1952</v>
      </c>
      <c r="B692" s="35">
        <v>0.487640440464019</v>
      </c>
      <c r="C692" s="36">
        <v>0.5</v>
      </c>
    </row>
    <row r="693" spans="1:3" x14ac:dyDescent="0.25">
      <c r="A693" s="46" t="s">
        <v>1953</v>
      </c>
      <c r="B693" s="35">
        <v>0.79411762952804499</v>
      </c>
      <c r="C693" s="36">
        <v>0.12</v>
      </c>
    </row>
    <row r="694" spans="1:3" x14ac:dyDescent="0.25">
      <c r="A694" s="46" t="s">
        <v>1954</v>
      </c>
      <c r="B694" s="35">
        <v>0.60404038429260198</v>
      </c>
      <c r="C694" s="36">
        <v>0.23</v>
      </c>
    </row>
    <row r="695" spans="1:3" x14ac:dyDescent="0.25">
      <c r="A695" s="46" t="s">
        <v>1955</v>
      </c>
      <c r="B695" s="35">
        <v>0.761996150016784</v>
      </c>
      <c r="C695" s="36">
        <v>0</v>
      </c>
    </row>
    <row r="696" spans="1:3" x14ac:dyDescent="0.25">
      <c r="A696" s="46" t="s">
        <v>1956</v>
      </c>
      <c r="B696" s="35">
        <v>0.62420380115509</v>
      </c>
      <c r="C696" s="36">
        <v>0.2</v>
      </c>
    </row>
    <row r="697" spans="1:3" x14ac:dyDescent="0.25">
      <c r="A697" s="46" t="s">
        <v>1957</v>
      </c>
      <c r="B697" s="35">
        <v>0.57841140031814497</v>
      </c>
      <c r="C697" s="36">
        <v>0.14000000000000001</v>
      </c>
    </row>
    <row r="698" spans="1:3" x14ac:dyDescent="0.25">
      <c r="A698" s="46" t="s">
        <v>1958</v>
      </c>
      <c r="B698" s="35">
        <v>0.555012226104736</v>
      </c>
      <c r="C698" s="36">
        <v>0.17</v>
      </c>
    </row>
    <row r="699" spans="1:3" x14ac:dyDescent="0.25">
      <c r="A699" s="46" t="s">
        <v>1959</v>
      </c>
      <c r="B699" s="35">
        <v>0.64975845813751198</v>
      </c>
      <c r="C699" s="36">
        <v>0</v>
      </c>
    </row>
    <row r="700" spans="1:3" x14ac:dyDescent="0.25">
      <c r="A700" s="46" t="s">
        <v>1960</v>
      </c>
      <c r="B700" s="35">
        <v>0.65087282657623202</v>
      </c>
      <c r="C700" s="36">
        <v>0.14000000000000001</v>
      </c>
    </row>
    <row r="701" spans="1:3" x14ac:dyDescent="0.25">
      <c r="A701" s="46" t="s">
        <v>1961</v>
      </c>
      <c r="B701" s="35">
        <v>0.51479291915893499</v>
      </c>
      <c r="C701" s="36">
        <v>0.06</v>
      </c>
    </row>
    <row r="702" spans="1:3" x14ac:dyDescent="0.25">
      <c r="A702" s="46" t="s">
        <v>1962</v>
      </c>
      <c r="B702" s="35">
        <v>1</v>
      </c>
      <c r="C702" s="36">
        <v>0.47</v>
      </c>
    </row>
    <row r="703" spans="1:3" x14ac:dyDescent="0.25">
      <c r="A703" s="46" t="s">
        <v>1963</v>
      </c>
      <c r="B703" s="35">
        <v>0.52693206071853604</v>
      </c>
      <c r="C703" s="36">
        <v>0.06</v>
      </c>
    </row>
    <row r="704" spans="1:3" x14ac:dyDescent="0.25">
      <c r="A704" s="46" t="s">
        <v>1964</v>
      </c>
      <c r="B704" s="35">
        <v>0.57228916883468595</v>
      </c>
      <c r="C704" s="36">
        <v>0.21</v>
      </c>
    </row>
    <row r="705" spans="1:3" x14ac:dyDescent="0.25">
      <c r="A705" s="46" t="s">
        <v>1965</v>
      </c>
      <c r="B705" s="35">
        <v>0.58071279525756803</v>
      </c>
      <c r="C705" s="36">
        <v>0.17</v>
      </c>
    </row>
    <row r="706" spans="1:3" x14ac:dyDescent="0.25">
      <c r="A706" s="46" t="s">
        <v>1966</v>
      </c>
      <c r="B706" s="35">
        <v>0.52074688673019398</v>
      </c>
      <c r="C706" s="36">
        <v>0.15</v>
      </c>
    </row>
    <row r="707" spans="1:3" x14ac:dyDescent="0.25">
      <c r="A707" s="46" t="s">
        <v>1967</v>
      </c>
      <c r="B707" s="35">
        <v>0.94514769315719604</v>
      </c>
      <c r="C707" s="36">
        <v>0.15</v>
      </c>
    </row>
    <row r="708" spans="1:3" x14ac:dyDescent="0.25">
      <c r="A708" s="46" t="s">
        <v>1968</v>
      </c>
      <c r="B708" s="35">
        <v>0.726923048496246</v>
      </c>
      <c r="C708" s="36">
        <v>0.14000000000000001</v>
      </c>
    </row>
    <row r="709" spans="1:3" x14ac:dyDescent="0.25">
      <c r="A709" s="46" t="s">
        <v>1088</v>
      </c>
      <c r="B709" s="35">
        <v>0.62745100259780795</v>
      </c>
      <c r="C709" s="36">
        <v>0.22</v>
      </c>
    </row>
    <row r="710" spans="1:3" x14ac:dyDescent="0.25">
      <c r="A710" s="46" t="s">
        <v>1969</v>
      </c>
      <c r="B710" s="35">
        <v>0.87719297409057595</v>
      </c>
      <c r="C710" s="36">
        <v>0.19</v>
      </c>
    </row>
    <row r="711" spans="1:3" x14ac:dyDescent="0.25">
      <c r="A711" s="46" t="s">
        <v>1970</v>
      </c>
      <c r="B711" s="35">
        <v>0.76997578144073398</v>
      </c>
      <c r="C711" s="36">
        <v>0.18</v>
      </c>
    </row>
    <row r="712" spans="1:3" x14ac:dyDescent="0.25">
      <c r="A712" s="46" t="s">
        <v>1971</v>
      </c>
      <c r="B712" s="35">
        <v>0.5</v>
      </c>
      <c r="C712" s="36">
        <v>0.04</v>
      </c>
    </row>
    <row r="713" spans="1:3" x14ac:dyDescent="0.25">
      <c r="A713" s="46" t="s">
        <v>1972</v>
      </c>
      <c r="B713" s="35">
        <v>1</v>
      </c>
      <c r="C713" s="36">
        <v>0.16</v>
      </c>
    </row>
    <row r="714" spans="1:3" x14ac:dyDescent="0.25">
      <c r="A714" s="46" t="s">
        <v>1973</v>
      </c>
      <c r="B714" s="35">
        <v>0.62637364864349299</v>
      </c>
      <c r="C714" s="36">
        <v>0.23</v>
      </c>
    </row>
    <row r="715" spans="1:3" x14ac:dyDescent="0.25">
      <c r="A715" s="46" t="s">
        <v>1974</v>
      </c>
      <c r="B715" s="35">
        <v>0.56946825981140103</v>
      </c>
      <c r="C715" s="36">
        <v>0.09</v>
      </c>
    </row>
    <row r="716" spans="1:3" x14ac:dyDescent="0.25">
      <c r="A716" s="46" t="s">
        <v>1975</v>
      </c>
      <c r="B716" s="35">
        <v>0.68338555097579901</v>
      </c>
      <c r="C716" s="36">
        <v>0.26</v>
      </c>
    </row>
    <row r="717" spans="1:3" x14ac:dyDescent="0.25">
      <c r="A717" s="46" t="s">
        <v>1976</v>
      </c>
      <c r="B717" s="35">
        <v>0.67457628250122004</v>
      </c>
      <c r="C717" s="36">
        <v>0.06</v>
      </c>
    </row>
    <row r="718" spans="1:3" x14ac:dyDescent="0.25">
      <c r="A718" s="46" t="s">
        <v>1977</v>
      </c>
      <c r="B718" s="35">
        <v>0.64417177438735895</v>
      </c>
      <c r="C718" s="36">
        <v>0.14000000000000001</v>
      </c>
    </row>
    <row r="719" spans="1:3" x14ac:dyDescent="0.25">
      <c r="A719" s="46" t="s">
        <v>1978</v>
      </c>
      <c r="B719" s="35">
        <v>0.76811593770980802</v>
      </c>
      <c r="C719" s="36">
        <v>0.17</v>
      </c>
    </row>
    <row r="720" spans="1:3" x14ac:dyDescent="0.25">
      <c r="A720" s="46" t="s">
        <v>1979</v>
      </c>
      <c r="B720" s="35">
        <v>0.57711440324783303</v>
      </c>
      <c r="C720" s="36">
        <v>0.16</v>
      </c>
    </row>
    <row r="721" spans="1:3" x14ac:dyDescent="0.25">
      <c r="A721" s="46" t="s">
        <v>1980</v>
      </c>
      <c r="B721" s="35">
        <v>0.57142859697341897</v>
      </c>
      <c r="C721" s="36">
        <v>0.04</v>
      </c>
    </row>
    <row r="722" spans="1:3" x14ac:dyDescent="0.25">
      <c r="A722" s="46" t="s">
        <v>1981</v>
      </c>
      <c r="B722" s="35">
        <v>0.536127150058746</v>
      </c>
      <c r="C722" s="36">
        <v>0.46</v>
      </c>
    </row>
    <row r="723" spans="1:3" x14ac:dyDescent="0.25">
      <c r="A723" s="46" t="s">
        <v>1982</v>
      </c>
      <c r="B723" s="35">
        <v>0.50473934412002497</v>
      </c>
      <c r="C723" s="36">
        <v>0.25</v>
      </c>
    </row>
    <row r="724" spans="1:3" x14ac:dyDescent="0.25">
      <c r="A724" s="46" t="s">
        <v>1983</v>
      </c>
      <c r="B724" s="35">
        <v>0.90357142686843805</v>
      </c>
      <c r="C724" s="36">
        <v>0.19</v>
      </c>
    </row>
    <row r="725" spans="1:3" x14ac:dyDescent="0.25">
      <c r="A725" s="46" t="s">
        <v>1984</v>
      </c>
      <c r="B725" s="35">
        <v>0.665505230426788</v>
      </c>
      <c r="C725" s="36">
        <v>0.23</v>
      </c>
    </row>
    <row r="726" spans="1:3" x14ac:dyDescent="0.25">
      <c r="A726" s="46" t="s">
        <v>1985</v>
      </c>
      <c r="B726" s="35">
        <v>0.66101694107055597</v>
      </c>
      <c r="C726" s="36">
        <v>0.14000000000000001</v>
      </c>
    </row>
    <row r="727" spans="1:3" x14ac:dyDescent="0.25">
      <c r="A727" s="46" t="s">
        <v>1986</v>
      </c>
      <c r="B727" s="35">
        <v>0.48633879423141402</v>
      </c>
      <c r="C727" s="36">
        <v>0.04</v>
      </c>
    </row>
    <row r="728" spans="1:3" x14ac:dyDescent="0.25">
      <c r="A728" s="46" t="s">
        <v>1987</v>
      </c>
      <c r="B728" s="35">
        <v>0.72757476568222001</v>
      </c>
      <c r="C728" s="36">
        <v>0.25</v>
      </c>
    </row>
    <row r="729" spans="1:3" x14ac:dyDescent="0.25">
      <c r="A729" s="46" t="s">
        <v>1988</v>
      </c>
      <c r="B729" s="35">
        <v>0.72844827175140303</v>
      </c>
      <c r="C729" s="36">
        <v>0.3</v>
      </c>
    </row>
    <row r="730" spans="1:3" x14ac:dyDescent="0.25">
      <c r="A730" s="46" t="s">
        <v>1989</v>
      </c>
      <c r="B730" s="35">
        <v>0.79310345649719205</v>
      </c>
      <c r="C730" s="36">
        <v>0.17</v>
      </c>
    </row>
    <row r="731" spans="1:3" x14ac:dyDescent="0.25">
      <c r="A731" s="46" t="s">
        <v>1990</v>
      </c>
      <c r="B731" s="35">
        <v>0.62388592958450295</v>
      </c>
      <c r="C731" s="36">
        <v>0.11</v>
      </c>
    </row>
    <row r="732" spans="1:3" x14ac:dyDescent="0.25">
      <c r="A732" s="46" t="s">
        <v>1991</v>
      </c>
      <c r="B732" s="35">
        <v>0.63942307233810403</v>
      </c>
      <c r="C732" s="36">
        <v>0.25</v>
      </c>
    </row>
    <row r="733" spans="1:3" x14ac:dyDescent="0.25">
      <c r="A733" s="46" t="s">
        <v>1992</v>
      </c>
      <c r="B733" s="35">
        <v>0.643171787261962</v>
      </c>
      <c r="C733" s="36">
        <v>0.14000000000000001</v>
      </c>
    </row>
    <row r="734" spans="1:3" x14ac:dyDescent="0.25">
      <c r="A734" s="46" t="s">
        <v>1993</v>
      </c>
      <c r="B734" s="35">
        <v>0.69906544685363703</v>
      </c>
      <c r="C734" s="36">
        <v>0</v>
      </c>
    </row>
    <row r="735" spans="1:3" x14ac:dyDescent="0.25">
      <c r="A735" s="46" t="s">
        <v>1994</v>
      </c>
      <c r="B735" s="35">
        <v>0.73764258623123102</v>
      </c>
      <c r="C735" s="36">
        <v>0.45</v>
      </c>
    </row>
    <row r="736" spans="1:3" x14ac:dyDescent="0.25">
      <c r="A736" s="46" t="s">
        <v>1995</v>
      </c>
      <c r="B736" s="35">
        <v>0.82251083850860596</v>
      </c>
      <c r="C736" s="36">
        <v>0.08</v>
      </c>
    </row>
    <row r="737" spans="1:3" x14ac:dyDescent="0.25">
      <c r="A737" s="46" t="s">
        <v>1996</v>
      </c>
      <c r="B737" s="35">
        <v>0.50873786211013705</v>
      </c>
      <c r="C737" s="36">
        <v>0.06</v>
      </c>
    </row>
    <row r="738" spans="1:3" x14ac:dyDescent="0.25">
      <c r="A738" s="46" t="s">
        <v>1997</v>
      </c>
      <c r="B738" s="35">
        <v>0.68531471490859897</v>
      </c>
      <c r="C738" s="36">
        <v>0.13</v>
      </c>
    </row>
    <row r="739" spans="1:3" x14ac:dyDescent="0.25">
      <c r="A739" s="46" t="s">
        <v>1998</v>
      </c>
      <c r="B739" s="35">
        <v>0.96122449636459295</v>
      </c>
      <c r="C739" s="36">
        <v>0.19</v>
      </c>
    </row>
    <row r="740" spans="1:3" x14ac:dyDescent="0.25">
      <c r="A740" s="46" t="s">
        <v>1999</v>
      </c>
      <c r="B740" s="35">
        <v>0.51297712326049805</v>
      </c>
      <c r="C740" s="36">
        <v>0.12</v>
      </c>
    </row>
    <row r="741" spans="1:3" x14ac:dyDescent="0.25">
      <c r="A741" s="46" t="s">
        <v>2000</v>
      </c>
      <c r="B741" s="35">
        <v>0.812280714511871</v>
      </c>
      <c r="C741" s="36">
        <v>0.18</v>
      </c>
    </row>
    <row r="742" spans="1:3" x14ac:dyDescent="0.25">
      <c r="A742" s="46" t="s">
        <v>2001</v>
      </c>
      <c r="B742" s="35">
        <v>0.81273406744003296</v>
      </c>
      <c r="C742" s="36">
        <v>0.25</v>
      </c>
    </row>
    <row r="743" spans="1:3" x14ac:dyDescent="0.25">
      <c r="A743" s="46" t="s">
        <v>2002</v>
      </c>
      <c r="B743" s="35">
        <v>0.78947371244430498</v>
      </c>
      <c r="C743" s="36">
        <v>0.26</v>
      </c>
    </row>
    <row r="744" spans="1:3" x14ac:dyDescent="0.25">
      <c r="A744" s="46" t="s">
        <v>2003</v>
      </c>
      <c r="B744" s="35">
        <v>0.62374246120452803</v>
      </c>
      <c r="C744" s="36">
        <v>0.11</v>
      </c>
    </row>
    <row r="745" spans="1:3" x14ac:dyDescent="0.25">
      <c r="A745" s="46" t="s">
        <v>2004</v>
      </c>
      <c r="B745" s="35">
        <v>0.74441689252853305</v>
      </c>
      <c r="C745" s="36">
        <v>0.12</v>
      </c>
    </row>
    <row r="746" spans="1:3" x14ac:dyDescent="0.25">
      <c r="A746" s="46" t="s">
        <v>2005</v>
      </c>
      <c r="B746" s="35">
        <v>0.62857145071029596</v>
      </c>
      <c r="C746" s="36">
        <v>0.08</v>
      </c>
    </row>
    <row r="747" spans="1:3" x14ac:dyDescent="0.25">
      <c r="A747" s="46" t="s">
        <v>2006</v>
      </c>
      <c r="B747" s="35">
        <v>0.62465751171112005</v>
      </c>
      <c r="C747" s="36">
        <v>7.0000000000000007E-2</v>
      </c>
    </row>
    <row r="748" spans="1:3" x14ac:dyDescent="0.25">
      <c r="A748" s="46" t="s">
        <v>2007</v>
      </c>
      <c r="B748" s="35">
        <v>0.70342206954955999</v>
      </c>
      <c r="C748" s="36">
        <v>0.11</v>
      </c>
    </row>
    <row r="749" spans="1:3" x14ac:dyDescent="0.25">
      <c r="A749" s="46" t="s">
        <v>2008</v>
      </c>
      <c r="B749" s="35">
        <v>0.60043668746948198</v>
      </c>
      <c r="C749" s="36">
        <v>0.06</v>
      </c>
    </row>
    <row r="750" spans="1:3" x14ac:dyDescent="0.25">
      <c r="A750" s="46" t="s">
        <v>2009</v>
      </c>
      <c r="B750" s="35">
        <v>0.49085366725921598</v>
      </c>
      <c r="C750" s="36">
        <v>0.11</v>
      </c>
    </row>
    <row r="751" spans="1:3" x14ac:dyDescent="0.25">
      <c r="A751" s="46" t="s">
        <v>2010</v>
      </c>
      <c r="B751" s="35">
        <v>0.67368423938751198</v>
      </c>
      <c r="C751" s="36">
        <v>0.15</v>
      </c>
    </row>
    <row r="752" spans="1:3" x14ac:dyDescent="0.25">
      <c r="A752" s="46" t="s">
        <v>2011</v>
      </c>
      <c r="B752" s="35">
        <v>0.54135340452194203</v>
      </c>
      <c r="C752" s="36">
        <v>0.19</v>
      </c>
    </row>
    <row r="753" spans="1:3" x14ac:dyDescent="0.25">
      <c r="A753" s="46" t="s">
        <v>2012</v>
      </c>
      <c r="B753" s="35">
        <v>0.65277779102325395</v>
      </c>
      <c r="C753" s="36">
        <v>7.0000000000000007E-2</v>
      </c>
    </row>
    <row r="754" spans="1:3" x14ac:dyDescent="0.25">
      <c r="A754" s="46" t="s">
        <v>1090</v>
      </c>
      <c r="B754" s="35">
        <v>0.49295774102210999</v>
      </c>
      <c r="C754" s="36">
        <v>0.47</v>
      </c>
    </row>
    <row r="755" spans="1:3" x14ac:dyDescent="0.25">
      <c r="A755" s="46" t="s">
        <v>2013</v>
      </c>
      <c r="B755" s="35">
        <v>0.89690721035003595</v>
      </c>
      <c r="C755" s="36">
        <v>0.16</v>
      </c>
    </row>
    <row r="756" spans="1:3" x14ac:dyDescent="0.25">
      <c r="A756" s="46" t="s">
        <v>2014</v>
      </c>
      <c r="B756" s="35">
        <v>0.95546561479568404</v>
      </c>
      <c r="C756" s="36">
        <v>0.05</v>
      </c>
    </row>
    <row r="757" spans="1:3" x14ac:dyDescent="0.25">
      <c r="A757" s="46" t="s">
        <v>2015</v>
      </c>
      <c r="B757" s="35">
        <v>0.90751445293426503</v>
      </c>
      <c r="C757" s="36">
        <v>0</v>
      </c>
    </row>
    <row r="758" spans="1:3" x14ac:dyDescent="0.25">
      <c r="A758" s="46" t="s">
        <v>2016</v>
      </c>
      <c r="B758" s="35">
        <v>0.54250389337539595</v>
      </c>
      <c r="C758" s="36">
        <v>0.08</v>
      </c>
    </row>
    <row r="759" spans="1:3" x14ac:dyDescent="0.25">
      <c r="A759" s="46" t="s">
        <v>2017</v>
      </c>
      <c r="B759" s="35">
        <v>0.85431653261184604</v>
      </c>
      <c r="C759" s="36">
        <v>0.12</v>
      </c>
    </row>
    <row r="760" spans="1:3" x14ac:dyDescent="0.25">
      <c r="A760" s="46" t="s">
        <v>2018</v>
      </c>
      <c r="B760" s="35">
        <v>0.60098522901535001</v>
      </c>
      <c r="C760" s="36">
        <v>0.13</v>
      </c>
    </row>
    <row r="761" spans="1:3" x14ac:dyDescent="0.25">
      <c r="A761" s="46" t="s">
        <v>2019</v>
      </c>
      <c r="B761" s="35">
        <v>0.552412629127502</v>
      </c>
      <c r="C761" s="36">
        <v>0.15</v>
      </c>
    </row>
    <row r="762" spans="1:3" x14ac:dyDescent="0.25">
      <c r="A762" s="46" t="s">
        <v>2020</v>
      </c>
      <c r="B762" s="35">
        <v>0.42105263471603299</v>
      </c>
      <c r="C762" s="36">
        <v>0.14000000000000001</v>
      </c>
    </row>
    <row r="763" spans="1:3" x14ac:dyDescent="0.25">
      <c r="A763" s="46" t="s">
        <v>2021</v>
      </c>
      <c r="B763" s="35">
        <v>0.75564682483673096</v>
      </c>
      <c r="C763" s="36">
        <v>0.21</v>
      </c>
    </row>
    <row r="764" spans="1:3" x14ac:dyDescent="0.25">
      <c r="A764" s="46" t="s">
        <v>2022</v>
      </c>
      <c r="B764" s="35">
        <v>0.63178294897079401</v>
      </c>
      <c r="C764" s="36">
        <v>0.31</v>
      </c>
    </row>
    <row r="765" spans="1:3" x14ac:dyDescent="0.25">
      <c r="A765" s="46" t="s">
        <v>2023</v>
      </c>
      <c r="B765" s="35">
        <v>0.55454546213150002</v>
      </c>
      <c r="C765" s="36">
        <v>0.08</v>
      </c>
    </row>
    <row r="766" spans="1:3" x14ac:dyDescent="0.25">
      <c r="A766" s="46" t="s">
        <v>2024</v>
      </c>
      <c r="B766" s="35">
        <v>0.65084743499755804</v>
      </c>
      <c r="C766" s="36">
        <v>0.08</v>
      </c>
    </row>
    <row r="767" spans="1:3" x14ac:dyDescent="0.25">
      <c r="A767" s="46" t="s">
        <v>2025</v>
      </c>
      <c r="B767" s="35">
        <v>0.69582504034042303</v>
      </c>
      <c r="C767" s="36">
        <v>0.13</v>
      </c>
    </row>
    <row r="768" spans="1:3" x14ac:dyDescent="0.25">
      <c r="A768" s="46" t="s">
        <v>2026</v>
      </c>
      <c r="B768" s="35">
        <v>0.50671142339706399</v>
      </c>
      <c r="C768" s="36">
        <v>0.38</v>
      </c>
    </row>
    <row r="769" spans="1:3" x14ac:dyDescent="0.25">
      <c r="A769" s="46" t="s">
        <v>2027</v>
      </c>
      <c r="B769" s="35">
        <v>0.53689169883728005</v>
      </c>
      <c r="C769" s="36">
        <v>0.19</v>
      </c>
    </row>
    <row r="770" spans="1:3" x14ac:dyDescent="0.25">
      <c r="A770" s="46" t="s">
        <v>2028</v>
      </c>
      <c r="B770" s="35">
        <v>0.58098590373992898</v>
      </c>
      <c r="C770" s="36">
        <v>0.05</v>
      </c>
    </row>
    <row r="771" spans="1:3" x14ac:dyDescent="0.25">
      <c r="A771" s="46" t="s">
        <v>2029</v>
      </c>
      <c r="B771" s="35">
        <v>0.64829397201537997</v>
      </c>
      <c r="C771" s="36">
        <v>0.12</v>
      </c>
    </row>
    <row r="772" spans="1:3" x14ac:dyDescent="0.25">
      <c r="A772" s="46" t="s">
        <v>2030</v>
      </c>
      <c r="B772" s="35">
        <v>0.97330594062805098</v>
      </c>
      <c r="C772" s="36">
        <v>0.2</v>
      </c>
    </row>
    <row r="773" spans="1:3" x14ac:dyDescent="0.25">
      <c r="A773" s="46" t="s">
        <v>2031</v>
      </c>
      <c r="B773" s="35">
        <v>0.50595235824584905</v>
      </c>
      <c r="C773" s="36">
        <v>0.33</v>
      </c>
    </row>
    <row r="774" spans="1:3" x14ac:dyDescent="0.25">
      <c r="A774" s="46" t="s">
        <v>2032</v>
      </c>
      <c r="B774" s="35">
        <v>0.52866244316100997</v>
      </c>
      <c r="C774" s="36">
        <v>0.06</v>
      </c>
    </row>
    <row r="775" spans="1:3" x14ac:dyDescent="0.25">
      <c r="A775" s="46" t="s">
        <v>2033</v>
      </c>
      <c r="B775" s="35">
        <v>0.59866219758987405</v>
      </c>
      <c r="C775" s="36">
        <v>0.17</v>
      </c>
    </row>
    <row r="776" spans="1:3" x14ac:dyDescent="0.25">
      <c r="A776" s="46" t="s">
        <v>2034</v>
      </c>
      <c r="B776" s="35">
        <v>0.46276596188545199</v>
      </c>
      <c r="C776" s="36">
        <v>0.06</v>
      </c>
    </row>
    <row r="777" spans="1:3" x14ac:dyDescent="0.25">
      <c r="A777" s="46" t="s">
        <v>2035</v>
      </c>
      <c r="B777" s="35">
        <v>0.52564102411270097</v>
      </c>
      <c r="C777" s="36">
        <v>0.28000000000000003</v>
      </c>
    </row>
    <row r="778" spans="1:3" x14ac:dyDescent="0.25">
      <c r="A778" s="46" t="s">
        <v>2036</v>
      </c>
      <c r="B778" s="35">
        <v>0.61265820264816195</v>
      </c>
      <c r="C778" s="36">
        <v>0.11</v>
      </c>
    </row>
    <row r="779" spans="1:3" x14ac:dyDescent="0.25">
      <c r="A779" s="46" t="s">
        <v>2037</v>
      </c>
      <c r="B779" s="35">
        <v>0.65901637077331499</v>
      </c>
      <c r="C779" s="36">
        <v>0.32</v>
      </c>
    </row>
    <row r="780" spans="1:3" x14ac:dyDescent="0.25">
      <c r="A780" s="46" t="s">
        <v>2038</v>
      </c>
      <c r="B780" s="35">
        <v>0.65573769807815496</v>
      </c>
      <c r="C780" s="36">
        <v>0.32</v>
      </c>
    </row>
    <row r="781" spans="1:3" x14ac:dyDescent="0.25">
      <c r="A781" s="46" t="s">
        <v>2039</v>
      </c>
      <c r="B781" s="35">
        <v>0.625</v>
      </c>
      <c r="C781" s="36">
        <v>0</v>
      </c>
    </row>
    <row r="782" spans="1:3" x14ac:dyDescent="0.25">
      <c r="A782" s="46" t="s">
        <v>2040</v>
      </c>
      <c r="B782" s="35">
        <v>0.47427293658256497</v>
      </c>
      <c r="C782" s="36">
        <v>0.24</v>
      </c>
    </row>
    <row r="783" spans="1:3" x14ac:dyDescent="0.25">
      <c r="A783" s="46" t="s">
        <v>2041</v>
      </c>
      <c r="B783" s="35">
        <v>0.61007463932037298</v>
      </c>
      <c r="C783" s="36">
        <v>0.17</v>
      </c>
    </row>
    <row r="784" spans="1:3" x14ac:dyDescent="0.25">
      <c r="A784" s="46" t="s">
        <v>2042</v>
      </c>
      <c r="B784" s="35">
        <v>0.53021442890167203</v>
      </c>
      <c r="C784" s="36">
        <v>0.22</v>
      </c>
    </row>
    <row r="785" spans="1:3" x14ac:dyDescent="0.25">
      <c r="A785" s="46" t="s">
        <v>2043</v>
      </c>
      <c r="B785" s="35">
        <v>0.64332604408264105</v>
      </c>
      <c r="C785" s="36">
        <v>0.08</v>
      </c>
    </row>
    <row r="786" spans="1:3" x14ac:dyDescent="0.25">
      <c r="A786" s="46" t="s">
        <v>2044</v>
      </c>
      <c r="B786" s="35">
        <v>0.496855348348617</v>
      </c>
      <c r="C786" s="36">
        <v>0.1</v>
      </c>
    </row>
    <row r="787" spans="1:3" x14ac:dyDescent="0.25">
      <c r="A787" s="46" t="s">
        <v>2045</v>
      </c>
      <c r="B787" s="35">
        <v>0.61165046691894498</v>
      </c>
      <c r="C787" s="36">
        <v>0.31</v>
      </c>
    </row>
    <row r="788" spans="1:3" x14ac:dyDescent="0.25">
      <c r="A788" s="46" t="s">
        <v>2046</v>
      </c>
      <c r="B788" s="35">
        <v>0.61080074310302701</v>
      </c>
      <c r="C788" s="36">
        <v>0.12</v>
      </c>
    </row>
    <row r="789" spans="1:3" x14ac:dyDescent="0.25">
      <c r="A789" s="46" t="s">
        <v>2047</v>
      </c>
      <c r="B789" s="35">
        <v>0.57460319995880105</v>
      </c>
      <c r="C789" s="36">
        <v>0.13</v>
      </c>
    </row>
    <row r="790" spans="1:3" x14ac:dyDescent="0.25">
      <c r="A790" s="46" t="s">
        <v>2048</v>
      </c>
      <c r="B790" s="35">
        <v>0.88224297761917103</v>
      </c>
      <c r="C790" s="36">
        <v>0.2</v>
      </c>
    </row>
    <row r="791" spans="1:3" x14ac:dyDescent="0.25">
      <c r="A791" s="46" t="s">
        <v>2049</v>
      </c>
      <c r="B791" s="35">
        <v>0.66733872890472401</v>
      </c>
      <c r="C791" s="36">
        <v>0.21</v>
      </c>
    </row>
    <row r="792" spans="1:3" x14ac:dyDescent="0.25">
      <c r="A792" s="46" t="s">
        <v>2050</v>
      </c>
      <c r="B792" s="35">
        <v>0.61038959026336603</v>
      </c>
      <c r="C792" s="36">
        <v>0.23</v>
      </c>
    </row>
    <row r="793" spans="1:3" x14ac:dyDescent="0.25">
      <c r="A793" s="46" t="s">
        <v>2051</v>
      </c>
      <c r="B793" s="35">
        <v>0.63492065668106001</v>
      </c>
      <c r="C793" s="36">
        <v>0.31</v>
      </c>
    </row>
    <row r="794" spans="1:3" x14ac:dyDescent="0.25">
      <c r="A794" s="46" t="s">
        <v>2052</v>
      </c>
      <c r="B794" s="35">
        <v>0.67917448282241799</v>
      </c>
      <c r="C794" s="36">
        <v>0.28000000000000003</v>
      </c>
    </row>
    <row r="795" spans="1:3" x14ac:dyDescent="0.25">
      <c r="A795" s="46" t="s">
        <v>2053</v>
      </c>
      <c r="B795" s="35">
        <v>0.62903225421905495</v>
      </c>
      <c r="C795" s="36">
        <v>0.16</v>
      </c>
    </row>
    <row r="796" spans="1:3" x14ac:dyDescent="0.25">
      <c r="A796" s="46" t="s">
        <v>2054</v>
      </c>
      <c r="B796" s="35">
        <v>0.55081301927566495</v>
      </c>
      <c r="C796" s="36">
        <v>0.18</v>
      </c>
    </row>
    <row r="797" spans="1:3" x14ac:dyDescent="0.25">
      <c r="A797" s="46" t="s">
        <v>2055</v>
      </c>
      <c r="B797" s="35">
        <v>0.70037454366683904</v>
      </c>
      <c r="C797" s="36">
        <v>0.43</v>
      </c>
    </row>
    <row r="798" spans="1:3" x14ac:dyDescent="0.25">
      <c r="A798" s="46" t="s">
        <v>2056</v>
      </c>
      <c r="B798" s="35">
        <v>0.61428570747375399</v>
      </c>
      <c r="C798" s="36">
        <v>0</v>
      </c>
    </row>
    <row r="799" spans="1:3" x14ac:dyDescent="0.25">
      <c r="A799" s="46" t="s">
        <v>2057</v>
      </c>
      <c r="B799" s="35">
        <v>0.556263267993927</v>
      </c>
      <c r="C799" s="36">
        <v>0.22</v>
      </c>
    </row>
    <row r="800" spans="1:3" x14ac:dyDescent="0.25">
      <c r="A800" s="46" t="s">
        <v>2058</v>
      </c>
      <c r="B800" s="35">
        <v>0.39209726452827398</v>
      </c>
      <c r="C800" s="36">
        <v>0</v>
      </c>
    </row>
    <row r="801" spans="1:3" x14ac:dyDescent="0.25">
      <c r="A801" s="46" t="s">
        <v>2059</v>
      </c>
      <c r="B801" s="35">
        <v>0.57575756311416604</v>
      </c>
      <c r="C801" s="36">
        <v>0.34</v>
      </c>
    </row>
    <row r="802" spans="1:3" x14ac:dyDescent="0.25">
      <c r="A802" s="46" t="s">
        <v>2060</v>
      </c>
      <c r="B802" s="35">
        <v>0.74818402528762795</v>
      </c>
      <c r="C802" s="36">
        <v>0.3</v>
      </c>
    </row>
    <row r="803" spans="1:3" x14ac:dyDescent="0.25">
      <c r="A803" s="46" t="s">
        <v>2061</v>
      </c>
      <c r="B803" s="35">
        <v>0.56899005174636796</v>
      </c>
      <c r="C803" s="36">
        <v>0.17</v>
      </c>
    </row>
    <row r="804" spans="1:3" x14ac:dyDescent="0.25">
      <c r="A804" s="46" t="s">
        <v>2062</v>
      </c>
      <c r="B804" s="35">
        <v>0.65270936489105202</v>
      </c>
      <c r="C804" s="36">
        <v>0.08</v>
      </c>
    </row>
    <row r="805" spans="1:3" x14ac:dyDescent="0.25">
      <c r="A805" s="46" t="s">
        <v>2063</v>
      </c>
      <c r="B805" s="35">
        <v>0.59900987148284901</v>
      </c>
      <c r="C805" s="36">
        <v>0.24</v>
      </c>
    </row>
    <row r="806" spans="1:3" x14ac:dyDescent="0.25">
      <c r="A806" s="46" t="s">
        <v>2064</v>
      </c>
      <c r="B806" s="35">
        <v>0.64322918653488104</v>
      </c>
      <c r="C806" s="36">
        <v>0.17</v>
      </c>
    </row>
    <row r="807" spans="1:3" x14ac:dyDescent="0.25">
      <c r="A807" s="46" t="s">
        <v>2065</v>
      </c>
      <c r="B807" s="35">
        <v>0.48275861144065801</v>
      </c>
      <c r="C807" s="36">
        <v>0.34</v>
      </c>
    </row>
    <row r="808" spans="1:3" x14ac:dyDescent="0.25">
      <c r="A808" s="46" t="s">
        <v>2066</v>
      </c>
      <c r="B808" s="35">
        <v>0.67258381843566895</v>
      </c>
      <c r="C808" s="36">
        <v>0.11</v>
      </c>
    </row>
    <row r="809" spans="1:3" x14ac:dyDescent="0.25">
      <c r="A809" s="46" t="s">
        <v>2067</v>
      </c>
      <c r="B809" s="35">
        <v>0.68506491184234597</v>
      </c>
      <c r="C809" s="36">
        <v>0.47</v>
      </c>
    </row>
    <row r="810" spans="1:3" x14ac:dyDescent="0.25">
      <c r="A810" s="46" t="s">
        <v>2068</v>
      </c>
      <c r="B810" s="35">
        <v>0.64232212305068903</v>
      </c>
      <c r="C810" s="36">
        <v>0.08</v>
      </c>
    </row>
    <row r="811" spans="1:3" x14ac:dyDescent="0.25">
      <c r="A811" s="46" t="s">
        <v>2069</v>
      </c>
      <c r="B811" s="35">
        <v>0.64593303203582697</v>
      </c>
      <c r="C811" s="36">
        <v>0.14000000000000001</v>
      </c>
    </row>
    <row r="812" spans="1:3" x14ac:dyDescent="0.25">
      <c r="A812" s="46" t="s">
        <v>2070</v>
      </c>
      <c r="B812" s="35">
        <v>0.60402685403823797</v>
      </c>
      <c r="C812" s="36">
        <v>0.09</v>
      </c>
    </row>
    <row r="813" spans="1:3" x14ac:dyDescent="0.25">
      <c r="A813" s="46" t="s">
        <v>2071</v>
      </c>
      <c r="B813" s="35">
        <v>0.54316937923431396</v>
      </c>
      <c r="C813" s="36">
        <v>0.37</v>
      </c>
    </row>
    <row r="814" spans="1:3" x14ac:dyDescent="0.25">
      <c r="A814" s="46" t="s">
        <v>2072</v>
      </c>
      <c r="B814" s="35">
        <v>0.53169012069702104</v>
      </c>
      <c r="C814" s="36">
        <v>0.08</v>
      </c>
    </row>
    <row r="815" spans="1:3" x14ac:dyDescent="0.25">
      <c r="A815" s="46" t="s">
        <v>2073</v>
      </c>
      <c r="B815" s="35">
        <v>0.67258882522582997</v>
      </c>
      <c r="C815" s="36">
        <v>0.09</v>
      </c>
    </row>
    <row r="816" spans="1:3" x14ac:dyDescent="0.25">
      <c r="A816" s="46" t="s">
        <v>2074</v>
      </c>
      <c r="B816" s="35">
        <v>0.62937062978744496</v>
      </c>
      <c r="C816" s="36">
        <v>0.2</v>
      </c>
    </row>
    <row r="817" spans="1:3" x14ac:dyDescent="0.25">
      <c r="A817" s="46" t="s">
        <v>2075</v>
      </c>
      <c r="B817" s="35">
        <v>0.63327950239181496</v>
      </c>
      <c r="C817" s="36">
        <v>0.08</v>
      </c>
    </row>
    <row r="818" spans="1:3" x14ac:dyDescent="0.25">
      <c r="A818" s="46" t="s">
        <v>2076</v>
      </c>
      <c r="B818" s="35">
        <v>0.63843649625778198</v>
      </c>
      <c r="C818" s="36">
        <v>0.09</v>
      </c>
    </row>
    <row r="819" spans="1:3" x14ac:dyDescent="0.25">
      <c r="A819" s="46" t="s">
        <v>2077</v>
      </c>
      <c r="B819" s="35">
        <v>0.54897493124008101</v>
      </c>
      <c r="C819" s="36">
        <v>0</v>
      </c>
    </row>
    <row r="820" spans="1:3" x14ac:dyDescent="0.25">
      <c r="A820" s="46" t="s">
        <v>2078</v>
      </c>
      <c r="B820" s="35">
        <v>0.64006513357162398</v>
      </c>
      <c r="C820" s="36">
        <v>0.08</v>
      </c>
    </row>
    <row r="821" spans="1:3" x14ac:dyDescent="0.25">
      <c r="A821" s="46" t="s">
        <v>2079</v>
      </c>
      <c r="B821" s="35">
        <v>0.63157892227172796</v>
      </c>
      <c r="C821" s="36">
        <v>0.13</v>
      </c>
    </row>
    <row r="822" spans="1:3" x14ac:dyDescent="0.25">
      <c r="A822" s="46" t="s">
        <v>2080</v>
      </c>
      <c r="B822" s="35">
        <v>0.61212122440338101</v>
      </c>
      <c r="C822" s="36">
        <v>0.32</v>
      </c>
    </row>
    <row r="823" spans="1:3" x14ac:dyDescent="0.25">
      <c r="A823" s="46" t="s">
        <v>2081</v>
      </c>
      <c r="B823" s="35">
        <v>0.73106062412261896</v>
      </c>
      <c r="C823" s="36">
        <v>0.47</v>
      </c>
    </row>
    <row r="824" spans="1:3" x14ac:dyDescent="0.25">
      <c r="A824" s="46" t="s">
        <v>2082</v>
      </c>
      <c r="B824" s="35">
        <v>0.63613229990005404</v>
      </c>
      <c r="C824" s="36">
        <v>0.28000000000000003</v>
      </c>
    </row>
    <row r="825" spans="1:3" x14ac:dyDescent="0.25">
      <c r="A825" s="46" t="s">
        <v>2083</v>
      </c>
      <c r="B825" s="35">
        <v>0.610909104347229</v>
      </c>
      <c r="C825" s="36">
        <v>0.12</v>
      </c>
    </row>
    <row r="826" spans="1:3" x14ac:dyDescent="0.25">
      <c r="A826" s="46" t="s">
        <v>2084</v>
      </c>
      <c r="B826" s="35">
        <v>0.57731956243515004</v>
      </c>
      <c r="C826" s="36">
        <v>0.04</v>
      </c>
    </row>
    <row r="827" spans="1:3" x14ac:dyDescent="0.25">
      <c r="A827" s="46" t="s">
        <v>2085</v>
      </c>
      <c r="B827" s="35">
        <v>0.67594432830810502</v>
      </c>
      <c r="C827" s="36">
        <v>0.1</v>
      </c>
    </row>
    <row r="828" spans="1:3" x14ac:dyDescent="0.25">
      <c r="A828" s="46" t="s">
        <v>2086</v>
      </c>
      <c r="B828" s="35">
        <v>0.67462688684463501</v>
      </c>
      <c r="C828" s="36">
        <v>0.13</v>
      </c>
    </row>
    <row r="829" spans="1:3" x14ac:dyDescent="0.25">
      <c r="A829" s="46" t="s">
        <v>2087</v>
      </c>
      <c r="B829" s="35">
        <v>0.64122134447097701</v>
      </c>
      <c r="C829" s="36">
        <v>0.13</v>
      </c>
    </row>
    <row r="830" spans="1:3" x14ac:dyDescent="0.25">
      <c r="A830" s="46" t="s">
        <v>2088</v>
      </c>
      <c r="B830" s="35">
        <v>0.63039398193359297</v>
      </c>
      <c r="C830" s="36">
        <v>0.14000000000000001</v>
      </c>
    </row>
    <row r="831" spans="1:3" x14ac:dyDescent="0.25">
      <c r="A831" s="46" t="s">
        <v>2089</v>
      </c>
      <c r="B831" s="35">
        <v>0.63878327608108498</v>
      </c>
      <c r="C831" s="36">
        <v>0.14000000000000001</v>
      </c>
    </row>
    <row r="832" spans="1:3" x14ac:dyDescent="0.25">
      <c r="A832" s="46" t="s">
        <v>2090</v>
      </c>
      <c r="B832" s="35">
        <v>0.63757115602493197</v>
      </c>
      <c r="C832" s="36">
        <v>0.13</v>
      </c>
    </row>
    <row r="833" spans="1:3" x14ac:dyDescent="0.25">
      <c r="A833" s="46" t="s">
        <v>2091</v>
      </c>
      <c r="B833" s="35">
        <v>0.61764705181121804</v>
      </c>
      <c r="C833" s="36">
        <v>7.0000000000000007E-2</v>
      </c>
    </row>
    <row r="834" spans="1:3" x14ac:dyDescent="0.25">
      <c r="A834" s="46" t="s">
        <v>2092</v>
      </c>
      <c r="B834" s="35">
        <v>0.55882352590560902</v>
      </c>
      <c r="C834" s="36">
        <v>0.24</v>
      </c>
    </row>
    <row r="835" spans="1:3" x14ac:dyDescent="0.25">
      <c r="A835" s="46" t="s">
        <v>2093</v>
      </c>
      <c r="B835" s="35">
        <v>0.59774434566497803</v>
      </c>
      <c r="C835" s="36">
        <v>0.37</v>
      </c>
    </row>
    <row r="836" spans="1:3" x14ac:dyDescent="0.25">
      <c r="A836" s="46" t="s">
        <v>2094</v>
      </c>
      <c r="B836" s="35">
        <v>0.642553210258483</v>
      </c>
      <c r="C836" s="36">
        <v>0.04</v>
      </c>
    </row>
    <row r="837" spans="1:3" x14ac:dyDescent="0.25">
      <c r="A837" s="46" t="s">
        <v>2095</v>
      </c>
      <c r="B837" s="35">
        <v>0.65580445528030396</v>
      </c>
      <c r="C837" s="36">
        <v>0.19</v>
      </c>
    </row>
    <row r="838" spans="1:3" x14ac:dyDescent="0.25">
      <c r="A838" s="46" t="s">
        <v>2096</v>
      </c>
      <c r="B838" s="35">
        <v>0.53636366128921498</v>
      </c>
      <c r="C838" s="36">
        <v>0.08</v>
      </c>
    </row>
    <row r="839" spans="1:3" x14ac:dyDescent="0.25">
      <c r="A839" s="46" t="s">
        <v>2097</v>
      </c>
      <c r="B839" s="35">
        <v>0.699360370635986</v>
      </c>
      <c r="C839" s="36">
        <v>0.17</v>
      </c>
    </row>
    <row r="840" spans="1:3" x14ac:dyDescent="0.25">
      <c r="A840" s="46" t="s">
        <v>2098</v>
      </c>
      <c r="B840" s="35">
        <v>0.52258062362670898</v>
      </c>
      <c r="C840" s="36">
        <v>0.12</v>
      </c>
    </row>
    <row r="841" spans="1:3" x14ac:dyDescent="0.25">
      <c r="A841" s="46" t="s">
        <v>2099</v>
      </c>
      <c r="B841" s="35">
        <v>0.48196721076965299</v>
      </c>
      <c r="C841" s="36">
        <v>0.14000000000000001</v>
      </c>
    </row>
    <row r="842" spans="1:3" x14ac:dyDescent="0.25">
      <c r="A842" s="46" t="s">
        <v>2100</v>
      </c>
      <c r="B842" s="35">
        <v>0.66530615091323797</v>
      </c>
      <c r="C842" s="36">
        <v>0.16</v>
      </c>
    </row>
    <row r="843" spans="1:3" x14ac:dyDescent="0.25">
      <c r="A843" s="46" t="s">
        <v>2101</v>
      </c>
      <c r="B843" s="35">
        <v>0.79910713434219305</v>
      </c>
      <c r="C843" s="36">
        <v>0.15</v>
      </c>
    </row>
    <row r="844" spans="1:3" x14ac:dyDescent="0.25">
      <c r="A844" s="46" t="s">
        <v>2102</v>
      </c>
      <c r="B844" s="35">
        <v>0.63585436344146695</v>
      </c>
      <c r="C844" s="36">
        <v>0.11</v>
      </c>
    </row>
    <row r="845" spans="1:3" x14ac:dyDescent="0.25">
      <c r="A845" s="46" t="s">
        <v>2103</v>
      </c>
      <c r="B845" s="35">
        <v>0.55421686172485296</v>
      </c>
      <c r="C845" s="36">
        <v>0.14000000000000001</v>
      </c>
    </row>
    <row r="846" spans="1:3" x14ac:dyDescent="0.25">
      <c r="A846" s="46" t="s">
        <v>2104</v>
      </c>
      <c r="B846" s="35">
        <v>0.78854626417160001</v>
      </c>
      <c r="C846" s="36">
        <v>0.14000000000000001</v>
      </c>
    </row>
    <row r="847" spans="1:3" x14ac:dyDescent="0.25">
      <c r="A847" s="46" t="s">
        <v>2105</v>
      </c>
      <c r="B847" s="35">
        <v>0.625</v>
      </c>
      <c r="C847" s="36">
        <v>0.18</v>
      </c>
    </row>
    <row r="848" spans="1:3" x14ac:dyDescent="0.25">
      <c r="A848" s="46" t="s">
        <v>2106</v>
      </c>
      <c r="B848" s="35">
        <v>0.80701756477355902</v>
      </c>
      <c r="C848" s="36">
        <v>0.15</v>
      </c>
    </row>
    <row r="849" spans="1:3" x14ac:dyDescent="0.25">
      <c r="A849" s="46" t="s">
        <v>2107</v>
      </c>
      <c r="B849" s="35">
        <v>0.72000002861022905</v>
      </c>
      <c r="C849" s="36">
        <v>0.2</v>
      </c>
    </row>
    <row r="850" spans="1:3" x14ac:dyDescent="0.25">
      <c r="A850" s="46" t="s">
        <v>2108</v>
      </c>
      <c r="B850" s="35">
        <v>0.62586605548858598</v>
      </c>
      <c r="C850" s="36">
        <v>0.2</v>
      </c>
    </row>
    <row r="851" spans="1:3" x14ac:dyDescent="0.25">
      <c r="A851" s="46" t="s">
        <v>2109</v>
      </c>
      <c r="B851" s="35">
        <v>0.53597122430801303</v>
      </c>
      <c r="C851" s="36">
        <v>0.14000000000000001</v>
      </c>
    </row>
    <row r="852" spans="1:3" x14ac:dyDescent="0.25">
      <c r="A852" s="46" t="s">
        <v>2110</v>
      </c>
      <c r="B852" s="35">
        <v>0.61247217655181796</v>
      </c>
      <c r="C852" s="36">
        <v>0.3</v>
      </c>
    </row>
    <row r="853" spans="1:3" x14ac:dyDescent="0.25">
      <c r="A853" s="46" t="s">
        <v>2111</v>
      </c>
      <c r="B853" s="35">
        <v>0.74946469068527199</v>
      </c>
      <c r="C853" s="36">
        <v>0.14000000000000001</v>
      </c>
    </row>
    <row r="854" spans="1:3" x14ac:dyDescent="0.25">
      <c r="A854" s="46" t="s">
        <v>2112</v>
      </c>
      <c r="B854" s="35">
        <v>0.66071426868438698</v>
      </c>
      <c r="C854" s="36">
        <v>0.28000000000000003</v>
      </c>
    </row>
    <row r="855" spans="1:3" x14ac:dyDescent="0.25">
      <c r="A855" s="46" t="s">
        <v>2113</v>
      </c>
      <c r="B855" s="35">
        <v>0.74342107772827104</v>
      </c>
      <c r="C855" s="36">
        <v>0.12</v>
      </c>
    </row>
    <row r="856" spans="1:3" x14ac:dyDescent="0.25">
      <c r="A856" s="46" t="s">
        <v>2114</v>
      </c>
      <c r="B856" s="35">
        <v>0.55818963050842196</v>
      </c>
      <c r="C856" s="36">
        <v>0.15</v>
      </c>
    </row>
    <row r="857" spans="1:3" x14ac:dyDescent="0.25">
      <c r="A857" s="46" t="s">
        <v>2115</v>
      </c>
      <c r="B857" s="35">
        <v>0.38176637887954701</v>
      </c>
      <c r="C857" s="36">
        <v>0.06</v>
      </c>
    </row>
    <row r="858" spans="1:3" x14ac:dyDescent="0.25">
      <c r="A858" s="46" t="s">
        <v>2116</v>
      </c>
      <c r="B858" s="35">
        <v>0.55836850404739302</v>
      </c>
      <c r="C858" s="36">
        <v>0.28000000000000003</v>
      </c>
    </row>
    <row r="859" spans="1:3" x14ac:dyDescent="0.25">
      <c r="A859" s="46" t="s">
        <v>2117</v>
      </c>
      <c r="B859" s="35">
        <v>0.65217393636703402</v>
      </c>
      <c r="C859" s="36">
        <v>0</v>
      </c>
    </row>
    <row r="860" spans="1:3" x14ac:dyDescent="0.25">
      <c r="A860" s="46" t="s">
        <v>2118</v>
      </c>
      <c r="B860" s="35">
        <v>0.64383560419082597</v>
      </c>
      <c r="C860" s="36">
        <v>0</v>
      </c>
    </row>
    <row r="861" spans="1:3" x14ac:dyDescent="0.25">
      <c r="A861" s="46" t="s">
        <v>2119</v>
      </c>
      <c r="B861" s="35">
        <v>0.472271919250488</v>
      </c>
      <c r="C861" s="36">
        <v>7.0000000000000007E-2</v>
      </c>
    </row>
    <row r="862" spans="1:3" x14ac:dyDescent="0.25">
      <c r="A862" s="46" t="s">
        <v>2120</v>
      </c>
      <c r="B862" s="35">
        <v>0.64775413274765004</v>
      </c>
      <c r="C862" s="36">
        <v>0</v>
      </c>
    </row>
    <row r="863" spans="1:3" x14ac:dyDescent="0.25">
      <c r="A863" s="46" t="s">
        <v>2121</v>
      </c>
      <c r="B863" s="35">
        <v>0.66095888614654497</v>
      </c>
      <c r="C863" s="36">
        <v>0.08</v>
      </c>
    </row>
    <row r="864" spans="1:3" x14ac:dyDescent="0.25">
      <c r="A864" s="46" t="s">
        <v>2122</v>
      </c>
      <c r="B864" s="35">
        <v>0.54768389463424605</v>
      </c>
      <c r="C864" s="36">
        <v>0.08</v>
      </c>
    </row>
    <row r="865" spans="1:3" x14ac:dyDescent="0.25">
      <c r="A865" s="46" t="s">
        <v>2123</v>
      </c>
      <c r="B865" s="35">
        <v>0.66095888614654497</v>
      </c>
      <c r="C865" s="36">
        <v>0.05</v>
      </c>
    </row>
    <row r="866" spans="1:3" x14ac:dyDescent="0.25">
      <c r="A866" s="46" t="s">
        <v>2124</v>
      </c>
      <c r="B866" s="35">
        <v>0.691780805587768</v>
      </c>
      <c r="C866" s="36">
        <v>0</v>
      </c>
    </row>
    <row r="867" spans="1:3" x14ac:dyDescent="0.25">
      <c r="A867" s="46" t="s">
        <v>2125</v>
      </c>
      <c r="B867" s="35">
        <v>0.62043797969818104</v>
      </c>
      <c r="C867" s="36">
        <v>0.05</v>
      </c>
    </row>
    <row r="868" spans="1:3" x14ac:dyDescent="0.25">
      <c r="A868" s="46" t="s">
        <v>2126</v>
      </c>
      <c r="B868" s="35">
        <v>0.58171743154525701</v>
      </c>
      <c r="C868" s="36">
        <v>0</v>
      </c>
    </row>
    <row r="869" spans="1:3" x14ac:dyDescent="0.25">
      <c r="A869" s="46" t="s">
        <v>2127</v>
      </c>
      <c r="B869" s="35">
        <v>0.66551727056503296</v>
      </c>
      <c r="C869" s="36">
        <v>0.19</v>
      </c>
    </row>
    <row r="870" spans="1:3" x14ac:dyDescent="0.25">
      <c r="A870" s="46" t="s">
        <v>2128</v>
      </c>
      <c r="B870" s="35">
        <v>0.55594408512115401</v>
      </c>
      <c r="C870" s="36">
        <v>0.11</v>
      </c>
    </row>
    <row r="871" spans="1:3" x14ac:dyDescent="0.25">
      <c r="A871" s="46" t="s">
        <v>2129</v>
      </c>
      <c r="B871" s="35">
        <v>0.67595821619033802</v>
      </c>
      <c r="C871" s="36">
        <v>0.1</v>
      </c>
    </row>
    <row r="872" spans="1:3" x14ac:dyDescent="0.25">
      <c r="A872" s="46" t="s">
        <v>2130</v>
      </c>
      <c r="B872" s="35">
        <v>0.49686846137046797</v>
      </c>
      <c r="C872" s="36">
        <v>0.11</v>
      </c>
    </row>
    <row r="873" spans="1:3" x14ac:dyDescent="0.25">
      <c r="A873" s="46" t="s">
        <v>2131</v>
      </c>
      <c r="B873" s="35">
        <v>0.55622488260269098</v>
      </c>
      <c r="C873" s="36">
        <v>0.11</v>
      </c>
    </row>
    <row r="874" spans="1:3" x14ac:dyDescent="0.25">
      <c r="A874" s="46" t="s">
        <v>2132</v>
      </c>
      <c r="B874" s="35">
        <v>0.54082840681076005</v>
      </c>
      <c r="C874" s="36">
        <v>0.37</v>
      </c>
    </row>
    <row r="875" spans="1:3" x14ac:dyDescent="0.25">
      <c r="A875" s="46" t="s">
        <v>2133</v>
      </c>
      <c r="B875" s="35">
        <v>0.467153280973434</v>
      </c>
      <c r="C875" s="36">
        <v>0.2</v>
      </c>
    </row>
    <row r="876" spans="1:3" x14ac:dyDescent="0.25">
      <c r="A876" s="46" t="s">
        <v>2134</v>
      </c>
      <c r="B876" s="35">
        <v>0.533094823360443</v>
      </c>
      <c r="C876" s="36">
        <v>0.21</v>
      </c>
    </row>
    <row r="877" spans="1:3" x14ac:dyDescent="0.25">
      <c r="A877" s="46" t="s">
        <v>2135</v>
      </c>
      <c r="B877" s="35">
        <v>0.58175557851791304</v>
      </c>
      <c r="C877" s="36">
        <v>0.02</v>
      </c>
    </row>
    <row r="878" spans="1:3" x14ac:dyDescent="0.25">
      <c r="A878" s="46" t="s">
        <v>2136</v>
      </c>
      <c r="B878" s="35">
        <v>0.66461539268493597</v>
      </c>
      <c r="C878" s="36">
        <v>0.37</v>
      </c>
    </row>
    <row r="879" spans="1:3" x14ac:dyDescent="0.25">
      <c r="A879" s="46" t="s">
        <v>2137</v>
      </c>
      <c r="B879" s="35">
        <v>0.60121458768844604</v>
      </c>
      <c r="C879" s="36">
        <v>0.15</v>
      </c>
    </row>
    <row r="880" spans="1:3" x14ac:dyDescent="0.25">
      <c r="A880" s="46" t="s">
        <v>2138</v>
      </c>
      <c r="B880" s="35">
        <v>0.55595028400421098</v>
      </c>
      <c r="C880" s="36">
        <v>0.12</v>
      </c>
    </row>
    <row r="881" spans="1:3" x14ac:dyDescent="0.25">
      <c r="A881" s="46" t="s">
        <v>2139</v>
      </c>
      <c r="B881" s="35">
        <v>0.41011235117912198</v>
      </c>
      <c r="C881" s="36">
        <v>0.34</v>
      </c>
    </row>
    <row r="882" spans="1:3" x14ac:dyDescent="0.25">
      <c r="A882" s="46" t="s">
        <v>2140</v>
      </c>
      <c r="B882" s="35">
        <v>0.50108462572097701</v>
      </c>
      <c r="C882" s="36">
        <v>0.42</v>
      </c>
    </row>
    <row r="883" spans="1:3" x14ac:dyDescent="0.25">
      <c r="A883" s="46" t="s">
        <v>2141</v>
      </c>
      <c r="B883" s="35">
        <v>0.57425743341445901</v>
      </c>
      <c r="C883" s="36">
        <v>0.2</v>
      </c>
    </row>
    <row r="884" spans="1:3" x14ac:dyDescent="0.25">
      <c r="A884" s="46" t="s">
        <v>2142</v>
      </c>
      <c r="B884" s="35">
        <v>0.50503599643707198</v>
      </c>
      <c r="C884" s="36">
        <v>0.21</v>
      </c>
    </row>
    <row r="885" spans="1:3" x14ac:dyDescent="0.25">
      <c r="A885" s="46" t="s">
        <v>2143</v>
      </c>
      <c r="B885" s="35">
        <v>0.27992632985115001</v>
      </c>
      <c r="C885" s="36">
        <v>0.65</v>
      </c>
    </row>
    <row r="886" spans="1:3" x14ac:dyDescent="0.25">
      <c r="A886" s="46" t="s">
        <v>2144</v>
      </c>
      <c r="B886" s="35">
        <v>0.34960421919822599</v>
      </c>
      <c r="C886" s="36">
        <v>0.47</v>
      </c>
    </row>
    <row r="887" spans="1:3" x14ac:dyDescent="0.25">
      <c r="A887" s="46" t="s">
        <v>2145</v>
      </c>
      <c r="B887" s="35">
        <v>0.63617020845413197</v>
      </c>
      <c r="C887" s="36">
        <v>0</v>
      </c>
    </row>
    <row r="888" spans="1:3" x14ac:dyDescent="0.25">
      <c r="A888" s="46" t="s">
        <v>2146</v>
      </c>
      <c r="B888" s="35">
        <v>0.63461536169052102</v>
      </c>
      <c r="C888" s="36">
        <v>0</v>
      </c>
    </row>
    <row r="889" spans="1:3" x14ac:dyDescent="0.25">
      <c r="A889" s="46" t="s">
        <v>2147</v>
      </c>
      <c r="B889" s="35">
        <v>0.636363625526428</v>
      </c>
      <c r="C889" s="36">
        <v>0</v>
      </c>
    </row>
    <row r="890" spans="1:3" x14ac:dyDescent="0.25">
      <c r="A890" s="46" t="s">
        <v>2148</v>
      </c>
      <c r="B890" s="35">
        <v>0.636363625526428</v>
      </c>
      <c r="C890" s="36">
        <v>0</v>
      </c>
    </row>
    <row r="891" spans="1:3" x14ac:dyDescent="0.25">
      <c r="A891" s="46" t="s">
        <v>2149</v>
      </c>
      <c r="B891" s="35">
        <v>0.64634144306182795</v>
      </c>
      <c r="C891" s="36">
        <v>0</v>
      </c>
    </row>
    <row r="892" spans="1:3" x14ac:dyDescent="0.25">
      <c r="A892" s="46" t="s">
        <v>1102</v>
      </c>
      <c r="B892" s="35">
        <v>0.58966565132141102</v>
      </c>
      <c r="C892" s="36">
        <v>0.41</v>
      </c>
    </row>
    <row r="893" spans="1:3" x14ac:dyDescent="0.25">
      <c r="A893" s="46" t="s">
        <v>2150</v>
      </c>
      <c r="B893" s="35">
        <v>0.63420426845550504</v>
      </c>
      <c r="C893" s="36">
        <v>7.0000000000000007E-2</v>
      </c>
    </row>
    <row r="894" spans="1:3" x14ac:dyDescent="0.25">
      <c r="A894" s="46" t="s">
        <v>2151</v>
      </c>
      <c r="B894" s="35">
        <v>0.63461536169052102</v>
      </c>
      <c r="C894" s="36">
        <v>0</v>
      </c>
    </row>
    <row r="895" spans="1:3" x14ac:dyDescent="0.25">
      <c r="A895" s="46" t="s">
        <v>2152</v>
      </c>
      <c r="B895" s="35">
        <v>0.63617020845413197</v>
      </c>
      <c r="C895" s="36">
        <v>0</v>
      </c>
    </row>
    <row r="896" spans="1:3" x14ac:dyDescent="0.25">
      <c r="A896" s="46" t="s">
        <v>2153</v>
      </c>
      <c r="B896" s="35">
        <v>0.67053365707397405</v>
      </c>
      <c r="C896" s="36">
        <v>0</v>
      </c>
    </row>
    <row r="897" spans="1:3" x14ac:dyDescent="0.25">
      <c r="A897" s="46" t="s">
        <v>2154</v>
      </c>
      <c r="B897" s="35">
        <v>0.67517399787902799</v>
      </c>
      <c r="C897" s="36">
        <v>0</v>
      </c>
    </row>
    <row r="898" spans="1:3" x14ac:dyDescent="0.25">
      <c r="A898" s="46" t="s">
        <v>2155</v>
      </c>
      <c r="B898" s="35">
        <v>0.60639774799346902</v>
      </c>
      <c r="C898" s="36">
        <v>0</v>
      </c>
    </row>
    <row r="899" spans="1:3" x14ac:dyDescent="0.25">
      <c r="A899" s="46" t="s">
        <v>2156</v>
      </c>
      <c r="B899" s="35">
        <v>0.647619068622589</v>
      </c>
      <c r="C899" s="36">
        <v>0</v>
      </c>
    </row>
    <row r="900" spans="1:3" x14ac:dyDescent="0.25">
      <c r="A900" s="46" t="s">
        <v>2157</v>
      </c>
      <c r="B900" s="35">
        <v>0.65686273574829102</v>
      </c>
      <c r="C900" s="36">
        <v>0.3</v>
      </c>
    </row>
    <row r="901" spans="1:3" x14ac:dyDescent="0.25">
      <c r="A901" s="46" t="s">
        <v>2158</v>
      </c>
      <c r="B901" s="35">
        <v>0.63593381643295199</v>
      </c>
      <c r="C901" s="36">
        <v>0</v>
      </c>
    </row>
    <row r="902" spans="1:3" x14ac:dyDescent="0.25">
      <c r="A902" s="46" t="s">
        <v>2159</v>
      </c>
      <c r="B902" s="35">
        <v>0.64975845813751198</v>
      </c>
      <c r="C902" s="36">
        <v>0</v>
      </c>
    </row>
    <row r="903" spans="1:3" x14ac:dyDescent="0.25">
      <c r="A903" s="46" t="s">
        <v>2160</v>
      </c>
      <c r="B903" s="35">
        <v>0.50988143682479803</v>
      </c>
      <c r="C903" s="36">
        <v>0.55000000000000004</v>
      </c>
    </row>
    <row r="904" spans="1:3" x14ac:dyDescent="0.25">
      <c r="A904" s="46" t="s">
        <v>2161</v>
      </c>
      <c r="B904" s="35">
        <v>0.62708336114883401</v>
      </c>
      <c r="C904" s="36">
        <v>0.09</v>
      </c>
    </row>
    <row r="905" spans="1:3" x14ac:dyDescent="0.25">
      <c r="A905" s="46" t="s">
        <v>2162</v>
      </c>
      <c r="B905" s="35">
        <v>0.60887098312377896</v>
      </c>
      <c r="C905" s="36">
        <v>0</v>
      </c>
    </row>
    <row r="906" spans="1:3" x14ac:dyDescent="0.25">
      <c r="A906" s="46" t="s">
        <v>2163</v>
      </c>
      <c r="B906" s="35">
        <v>0.70069605112075795</v>
      </c>
      <c r="C906" s="36">
        <v>0</v>
      </c>
    </row>
    <row r="907" spans="1:3" x14ac:dyDescent="0.25">
      <c r="A907" s="46" t="s">
        <v>2164</v>
      </c>
      <c r="B907" s="35">
        <v>0.69003689289092995</v>
      </c>
      <c r="C907" s="36">
        <v>0</v>
      </c>
    </row>
    <row r="908" spans="1:3" x14ac:dyDescent="0.25">
      <c r="A908" s="46" t="s">
        <v>2165</v>
      </c>
      <c r="B908" s="35">
        <v>0.64683300256729104</v>
      </c>
      <c r="C908" s="36">
        <v>0</v>
      </c>
    </row>
    <row r="909" spans="1:3" x14ac:dyDescent="0.25">
      <c r="A909" s="46" t="s">
        <v>2166</v>
      </c>
      <c r="B909" s="35">
        <v>0.64975845813751198</v>
      </c>
      <c r="C909" s="36">
        <v>0</v>
      </c>
    </row>
    <row r="910" spans="1:3" x14ac:dyDescent="0.25">
      <c r="A910" s="46" t="s">
        <v>2167</v>
      </c>
      <c r="B910" s="35">
        <v>0.64651161432266202</v>
      </c>
      <c r="C910" s="36">
        <v>0</v>
      </c>
    </row>
    <row r="911" spans="1:3" x14ac:dyDescent="0.25">
      <c r="A911" s="46" t="s">
        <v>2168</v>
      </c>
      <c r="B911" s="35">
        <v>0.60359114408492998</v>
      </c>
      <c r="C911" s="36">
        <v>0</v>
      </c>
    </row>
    <row r="912" spans="1:3" x14ac:dyDescent="0.25">
      <c r="A912" s="46" t="s">
        <v>2169</v>
      </c>
      <c r="B912" s="35">
        <v>0.72468352317810003</v>
      </c>
      <c r="C912" s="36">
        <v>0</v>
      </c>
    </row>
    <row r="913" spans="1:3" x14ac:dyDescent="0.25">
      <c r="A913" s="46" t="s">
        <v>2170</v>
      </c>
      <c r="B913" s="35">
        <v>0.63926941156387296</v>
      </c>
      <c r="C913" s="36">
        <v>0</v>
      </c>
    </row>
    <row r="914" spans="1:3" x14ac:dyDescent="0.25">
      <c r="A914" s="46" t="s">
        <v>2171</v>
      </c>
      <c r="B914" s="35">
        <v>0.66588783264160101</v>
      </c>
      <c r="C914" s="36">
        <v>0</v>
      </c>
    </row>
    <row r="915" spans="1:3" x14ac:dyDescent="0.25">
      <c r="A915" s="46" t="s">
        <v>2172</v>
      </c>
      <c r="B915" s="35">
        <v>0.64719623327255205</v>
      </c>
      <c r="C915" s="36">
        <v>0</v>
      </c>
    </row>
    <row r="916" spans="1:3" x14ac:dyDescent="0.25">
      <c r="A916" s="46" t="s">
        <v>2173</v>
      </c>
      <c r="B916" s="35">
        <v>0.62753951549529996</v>
      </c>
      <c r="C916" s="36">
        <v>0</v>
      </c>
    </row>
    <row r="917" spans="1:3" x14ac:dyDescent="0.25">
      <c r="A917" s="46" t="s">
        <v>2174</v>
      </c>
      <c r="B917" s="35">
        <v>0.482954531908035</v>
      </c>
      <c r="C917" s="36">
        <v>0.45</v>
      </c>
    </row>
    <row r="918" spans="1:3" x14ac:dyDescent="0.25">
      <c r="A918" s="46" t="s">
        <v>1104</v>
      </c>
      <c r="B918" s="35">
        <v>0.60987651348114003</v>
      </c>
      <c r="C918" s="36">
        <v>0.4</v>
      </c>
    </row>
    <row r="919" spans="1:3" x14ac:dyDescent="0.25">
      <c r="A919" s="46" t="s">
        <v>972</v>
      </c>
      <c r="B919" s="35">
        <v>0.60427808761596602</v>
      </c>
      <c r="C919" s="36">
        <v>0.38</v>
      </c>
    </row>
    <row r="920" spans="1:3" x14ac:dyDescent="0.25">
      <c r="A920" s="46" t="s">
        <v>1106</v>
      </c>
      <c r="B920" s="35">
        <v>0.58666664361953702</v>
      </c>
      <c r="C920" s="36">
        <v>0.48</v>
      </c>
    </row>
    <row r="921" spans="1:3" x14ac:dyDescent="0.25">
      <c r="A921" s="46" t="s">
        <v>944</v>
      </c>
      <c r="B921" s="35">
        <v>0.61876833438873202</v>
      </c>
      <c r="C921" s="36">
        <v>0.31</v>
      </c>
    </row>
    <row r="922" spans="1:3" x14ac:dyDescent="0.25">
      <c r="A922" s="46" t="s">
        <v>2175</v>
      </c>
      <c r="B922" s="35">
        <v>0.56521737575530995</v>
      </c>
      <c r="C922" s="36">
        <v>0.42</v>
      </c>
    </row>
    <row r="923" spans="1:3" x14ac:dyDescent="0.25">
      <c r="A923" s="46" t="s">
        <v>2176</v>
      </c>
      <c r="B923" s="35">
        <v>0.62258952856063798</v>
      </c>
      <c r="C923" s="36">
        <v>0.57999999999999996</v>
      </c>
    </row>
    <row r="924" spans="1:3" x14ac:dyDescent="0.25">
      <c r="A924" s="46" t="s">
        <v>958</v>
      </c>
      <c r="B924" s="35">
        <v>0.54893618822097701</v>
      </c>
      <c r="C924" s="36">
        <v>0.44</v>
      </c>
    </row>
    <row r="925" spans="1:3" x14ac:dyDescent="0.25">
      <c r="A925" s="46" t="s">
        <v>978</v>
      </c>
      <c r="B925" s="35">
        <v>0.61988306045532204</v>
      </c>
      <c r="C925" s="36">
        <v>0.56999999999999995</v>
      </c>
    </row>
    <row r="926" spans="1:3" x14ac:dyDescent="0.25">
      <c r="A926" s="46" t="s">
        <v>2177</v>
      </c>
      <c r="B926" s="35">
        <v>0.77118641138076705</v>
      </c>
      <c r="C926" s="36">
        <v>0.46</v>
      </c>
    </row>
    <row r="927" spans="1:3" x14ac:dyDescent="0.25">
      <c r="A927" s="46" t="s">
        <v>2178</v>
      </c>
      <c r="B927" s="35">
        <v>0.61538463830947798</v>
      </c>
      <c r="C927" s="36">
        <v>0.45</v>
      </c>
    </row>
    <row r="928" spans="1:3" x14ac:dyDescent="0.25">
      <c r="A928" s="46" t="s">
        <v>2179</v>
      </c>
      <c r="B928" s="35">
        <v>0.42074927687644897</v>
      </c>
      <c r="C928" s="36">
        <v>0.3</v>
      </c>
    </row>
    <row r="929" spans="1:3" x14ac:dyDescent="0.25">
      <c r="A929" s="46" t="s">
        <v>2180</v>
      </c>
      <c r="B929" s="35">
        <v>0.65889215469360296</v>
      </c>
      <c r="C929" s="36">
        <v>0.6</v>
      </c>
    </row>
    <row r="930" spans="1:3" x14ac:dyDescent="0.25">
      <c r="A930" s="46" t="s">
        <v>2181</v>
      </c>
      <c r="B930" s="35">
        <v>0.59637188911437899</v>
      </c>
      <c r="C930" s="36">
        <v>0.4</v>
      </c>
    </row>
    <row r="931" spans="1:3" x14ac:dyDescent="0.25">
      <c r="A931" s="46" t="s">
        <v>2182</v>
      </c>
      <c r="B931" s="35">
        <v>0.44919168949127197</v>
      </c>
      <c r="C931" s="36">
        <v>0.31</v>
      </c>
    </row>
    <row r="932" spans="1:3" x14ac:dyDescent="0.25">
      <c r="A932" s="46" t="s">
        <v>2183</v>
      </c>
      <c r="B932" s="35">
        <v>0.72766882181167603</v>
      </c>
      <c r="C932" s="36">
        <v>0.45</v>
      </c>
    </row>
    <row r="933" spans="1:3" x14ac:dyDescent="0.25">
      <c r="A933" s="46" t="s">
        <v>2184</v>
      </c>
      <c r="B933" s="35">
        <v>0.442028999328613</v>
      </c>
      <c r="C933" s="36">
        <v>0.43</v>
      </c>
    </row>
    <row r="934" spans="1:3" x14ac:dyDescent="0.25">
      <c r="A934" s="46" t="s">
        <v>2185</v>
      </c>
      <c r="B934" s="35">
        <v>0.50810807943344105</v>
      </c>
      <c r="C934" s="36">
        <v>0.48</v>
      </c>
    </row>
    <row r="935" spans="1:3" x14ac:dyDescent="0.25">
      <c r="A935" s="46" t="s">
        <v>2186</v>
      </c>
      <c r="B935" s="35">
        <v>0.60767590999603205</v>
      </c>
      <c r="C935" s="36">
        <v>0.22</v>
      </c>
    </row>
    <row r="936" spans="1:3" x14ac:dyDescent="0.25">
      <c r="A936" s="46" t="s">
        <v>2187</v>
      </c>
      <c r="B936" s="35">
        <v>0.58490568399429299</v>
      </c>
      <c r="C936" s="36">
        <v>0.09</v>
      </c>
    </row>
    <row r="937" spans="1:3" x14ac:dyDescent="0.25">
      <c r="A937" s="46" t="s">
        <v>2188</v>
      </c>
      <c r="B937" s="35">
        <v>0.611713647842407</v>
      </c>
      <c r="C937" s="36">
        <v>0.13</v>
      </c>
    </row>
    <row r="938" spans="1:3" x14ac:dyDescent="0.25">
      <c r="A938" s="46" t="s">
        <v>2189</v>
      </c>
      <c r="B938" s="35">
        <v>0.55000001192092896</v>
      </c>
      <c r="C938" s="36">
        <v>0</v>
      </c>
    </row>
    <row r="939" spans="1:3" x14ac:dyDescent="0.25">
      <c r="A939" s="46" t="s">
        <v>2190</v>
      </c>
      <c r="B939" s="35">
        <v>0.69830507040023804</v>
      </c>
      <c r="C939" s="36">
        <v>0.11</v>
      </c>
    </row>
    <row r="940" spans="1:3" x14ac:dyDescent="0.25">
      <c r="A940" s="46" t="s">
        <v>2191</v>
      </c>
      <c r="B940" s="35">
        <v>0.53913044929504395</v>
      </c>
      <c r="C940" s="36">
        <v>0</v>
      </c>
    </row>
    <row r="941" spans="1:3" x14ac:dyDescent="0.25">
      <c r="A941" s="46" t="s">
        <v>2192</v>
      </c>
      <c r="B941" s="35">
        <v>0.73584908246993996</v>
      </c>
      <c r="C941" s="36">
        <v>0.3</v>
      </c>
    </row>
    <row r="942" spans="1:3" x14ac:dyDescent="0.25">
      <c r="A942" s="46" t="s">
        <v>1116</v>
      </c>
      <c r="B942" s="35">
        <v>0.55000001192092896</v>
      </c>
      <c r="C942" s="36">
        <v>0.25</v>
      </c>
    </row>
    <row r="943" spans="1:3" x14ac:dyDescent="0.25">
      <c r="A943" s="46" t="s">
        <v>2193</v>
      </c>
      <c r="B943" s="35">
        <v>0.97515529394149703</v>
      </c>
      <c r="C943" s="36">
        <v>0.2</v>
      </c>
    </row>
    <row r="944" spans="1:3" x14ac:dyDescent="0.25">
      <c r="A944" s="46" t="s">
        <v>2194</v>
      </c>
      <c r="B944" s="35">
        <v>0.90084385871887196</v>
      </c>
      <c r="C944" s="36">
        <v>0.34</v>
      </c>
    </row>
    <row r="945" spans="1:3" x14ac:dyDescent="0.25">
      <c r="A945" s="46" t="s">
        <v>2195</v>
      </c>
      <c r="B945" s="35">
        <v>0.84168338775634699</v>
      </c>
      <c r="C945" s="36">
        <v>0.32</v>
      </c>
    </row>
    <row r="946" spans="1:3" x14ac:dyDescent="0.25">
      <c r="A946" s="46" t="s">
        <v>2196</v>
      </c>
      <c r="B946" s="35">
        <v>0.85185188055038397</v>
      </c>
      <c r="C946" s="36">
        <v>0.15</v>
      </c>
    </row>
    <row r="947" spans="1:3" x14ac:dyDescent="0.25">
      <c r="A947" s="46" t="s">
        <v>2197</v>
      </c>
      <c r="B947" s="35">
        <v>0.90681004524230902</v>
      </c>
      <c r="C947" s="36">
        <v>0.16</v>
      </c>
    </row>
    <row r="948" spans="1:3" x14ac:dyDescent="0.25">
      <c r="A948" s="46" t="s">
        <v>2198</v>
      </c>
      <c r="B948" s="35">
        <v>0.88461536169052102</v>
      </c>
      <c r="C948" s="36">
        <v>0.16</v>
      </c>
    </row>
    <row r="949" spans="1:3" x14ac:dyDescent="0.25">
      <c r="A949" s="46" t="s">
        <v>2199</v>
      </c>
      <c r="B949" s="35">
        <v>0.55867767333984297</v>
      </c>
      <c r="C949" s="36">
        <v>0.18</v>
      </c>
    </row>
    <row r="950" spans="1:3" x14ac:dyDescent="0.25">
      <c r="A950" s="46" t="s">
        <v>2200</v>
      </c>
      <c r="B950" s="35">
        <v>0.64383560419082597</v>
      </c>
      <c r="C950" s="36">
        <v>0</v>
      </c>
    </row>
    <row r="951" spans="1:3" x14ac:dyDescent="0.25">
      <c r="A951" s="46" t="s">
        <v>2201</v>
      </c>
      <c r="B951" s="35">
        <v>0.49253731966018599</v>
      </c>
      <c r="C951" s="36">
        <v>0.27</v>
      </c>
    </row>
    <row r="952" spans="1:3" x14ac:dyDescent="0.25">
      <c r="A952" s="46" t="s">
        <v>2202</v>
      </c>
      <c r="B952" s="35">
        <v>0.50219297409057595</v>
      </c>
      <c r="C952" s="36">
        <v>0.3</v>
      </c>
    </row>
    <row r="953" spans="1:3" x14ac:dyDescent="0.25">
      <c r="A953" s="46" t="s">
        <v>2203</v>
      </c>
      <c r="B953" s="35">
        <v>0.42553192377090399</v>
      </c>
      <c r="C953" s="36">
        <v>0</v>
      </c>
    </row>
    <row r="954" spans="1:3" x14ac:dyDescent="0.25">
      <c r="A954" s="46" t="s">
        <v>2204</v>
      </c>
      <c r="B954" s="35">
        <v>0.65364581346511796</v>
      </c>
      <c r="C954" s="36">
        <v>0.26</v>
      </c>
    </row>
    <row r="955" spans="1:3" x14ac:dyDescent="0.25">
      <c r="A955" s="46" t="s">
        <v>2205</v>
      </c>
      <c r="B955" s="35">
        <v>0.50679612159729004</v>
      </c>
      <c r="C955" s="36">
        <v>0.38</v>
      </c>
    </row>
    <row r="956" spans="1:3" x14ac:dyDescent="0.25">
      <c r="A956" s="46" t="s">
        <v>2206</v>
      </c>
      <c r="B956" s="35">
        <v>0.54731458425521795</v>
      </c>
      <c r="C956" s="36">
        <v>0.26</v>
      </c>
    </row>
    <row r="957" spans="1:3" x14ac:dyDescent="0.25">
      <c r="A957" s="46" t="s">
        <v>2207</v>
      </c>
      <c r="B957" s="35">
        <v>0.68636363744735696</v>
      </c>
      <c r="C957" s="36">
        <v>0.13</v>
      </c>
    </row>
    <row r="958" spans="1:3" x14ac:dyDescent="0.25">
      <c r="A958" s="46" t="s">
        <v>2208</v>
      </c>
      <c r="B958" s="35">
        <v>0.67107439041137695</v>
      </c>
      <c r="C958" s="36">
        <v>0.28999999999999998</v>
      </c>
    </row>
    <row r="959" spans="1:3" x14ac:dyDescent="0.25">
      <c r="A959" s="46" t="s">
        <v>2209</v>
      </c>
      <c r="B959" s="35">
        <v>0.579734206199646</v>
      </c>
      <c r="C959" s="36">
        <v>0.18</v>
      </c>
    </row>
    <row r="960" spans="1:3" x14ac:dyDescent="0.25">
      <c r="A960" s="46" t="s">
        <v>2210</v>
      </c>
      <c r="B960" s="35">
        <v>0.45736435055732699</v>
      </c>
      <c r="C960" s="36">
        <v>0.1</v>
      </c>
    </row>
    <row r="961" spans="1:3" x14ac:dyDescent="0.25">
      <c r="A961" s="46" t="s">
        <v>2211</v>
      </c>
      <c r="B961" s="35">
        <v>0.54362416267394997</v>
      </c>
      <c r="C961" s="36">
        <v>0.53</v>
      </c>
    </row>
    <row r="962" spans="1:3" x14ac:dyDescent="0.25">
      <c r="A962" s="46" t="s">
        <v>2212</v>
      </c>
      <c r="B962" s="35">
        <v>0.63727957010269098</v>
      </c>
      <c r="C962" s="36">
        <v>0.05</v>
      </c>
    </row>
    <row r="963" spans="1:3" x14ac:dyDescent="0.25">
      <c r="A963" s="46" t="s">
        <v>2213</v>
      </c>
      <c r="B963" s="35">
        <v>0.68922305107116699</v>
      </c>
      <c r="C963" s="36">
        <v>0.08</v>
      </c>
    </row>
    <row r="964" spans="1:3" x14ac:dyDescent="0.25">
      <c r="A964" s="46" t="s">
        <v>2214</v>
      </c>
      <c r="B964" s="35">
        <v>0.49679487943649198</v>
      </c>
      <c r="C964" s="36">
        <v>0.04</v>
      </c>
    </row>
    <row r="965" spans="1:3" x14ac:dyDescent="0.25">
      <c r="A965" s="46" t="s">
        <v>2215</v>
      </c>
      <c r="B965" s="35">
        <v>0.74938577413558904</v>
      </c>
      <c r="C965" s="36">
        <v>0.19</v>
      </c>
    </row>
    <row r="966" spans="1:3" x14ac:dyDescent="0.25">
      <c r="A966" s="46" t="s">
        <v>2216</v>
      </c>
      <c r="B966" s="35">
        <v>0.47316104173660201</v>
      </c>
      <c r="C966" s="36">
        <v>0.11</v>
      </c>
    </row>
    <row r="967" spans="1:3" x14ac:dyDescent="0.25">
      <c r="A967" s="46" t="s">
        <v>2217</v>
      </c>
      <c r="B967" s="35">
        <v>0.44350960850715598</v>
      </c>
      <c r="C967" s="36">
        <v>0.27</v>
      </c>
    </row>
    <row r="968" spans="1:3" x14ac:dyDescent="0.25">
      <c r="A968" s="46" t="s">
        <v>2218</v>
      </c>
      <c r="B968" s="35">
        <v>0.66341465711593595</v>
      </c>
      <c r="C968" s="36">
        <v>0.33</v>
      </c>
    </row>
    <row r="969" spans="1:3" x14ac:dyDescent="0.25">
      <c r="A969" s="46" t="s">
        <v>2219</v>
      </c>
      <c r="B969" s="35">
        <v>0.60816323757171598</v>
      </c>
      <c r="C969" s="36">
        <v>0.38</v>
      </c>
    </row>
    <row r="970" spans="1:3" x14ac:dyDescent="0.25">
      <c r="A970" s="46" t="s">
        <v>2220</v>
      </c>
      <c r="B970" s="35">
        <v>0.61784899234771695</v>
      </c>
      <c r="C970" s="36">
        <v>0.09</v>
      </c>
    </row>
    <row r="971" spans="1:3" x14ac:dyDescent="0.25">
      <c r="A971" s="46" t="s">
        <v>2221</v>
      </c>
      <c r="B971" s="35">
        <v>0.55533200502395597</v>
      </c>
      <c r="C971" s="36">
        <v>0.11</v>
      </c>
    </row>
    <row r="972" spans="1:3" x14ac:dyDescent="0.25">
      <c r="A972" s="46" t="s">
        <v>2222</v>
      </c>
      <c r="B972" s="35">
        <v>0.63727957010269098</v>
      </c>
      <c r="C972" s="36">
        <v>0.09</v>
      </c>
    </row>
    <row r="973" spans="1:3" x14ac:dyDescent="0.25">
      <c r="A973" s="46" t="s">
        <v>2223</v>
      </c>
      <c r="B973" s="35">
        <v>0.62350594997405995</v>
      </c>
      <c r="C973" s="36">
        <v>0.03</v>
      </c>
    </row>
    <row r="974" spans="1:3" x14ac:dyDescent="0.25">
      <c r="A974" s="46" t="s">
        <v>2224</v>
      </c>
      <c r="B974" s="35">
        <v>0.96694213151931696</v>
      </c>
      <c r="C974" s="36">
        <v>0.22</v>
      </c>
    </row>
    <row r="975" spans="1:3" x14ac:dyDescent="0.25">
      <c r="A975" s="46" t="s">
        <v>2225</v>
      </c>
      <c r="B975" s="35">
        <v>0.97933882474899203</v>
      </c>
      <c r="C975" s="36">
        <v>0.17</v>
      </c>
    </row>
    <row r="976" spans="1:3" x14ac:dyDescent="0.25">
      <c r="A976" s="46" t="s">
        <v>2226</v>
      </c>
      <c r="B976" s="35">
        <v>0.66438359022140503</v>
      </c>
      <c r="C976" s="36">
        <v>0.41</v>
      </c>
    </row>
    <row r="977" spans="1:3" x14ac:dyDescent="0.25">
      <c r="A977" s="46" t="s">
        <v>2227</v>
      </c>
      <c r="B977" s="35">
        <v>1</v>
      </c>
      <c r="C977" s="36">
        <v>0.23</v>
      </c>
    </row>
    <row r="978" spans="1:3" x14ac:dyDescent="0.25">
      <c r="A978" s="46" t="s">
        <v>2228</v>
      </c>
      <c r="B978" s="35">
        <v>0.88185656070709195</v>
      </c>
      <c r="C978" s="36">
        <v>0.36</v>
      </c>
    </row>
    <row r="979" spans="1:3" x14ac:dyDescent="0.25">
      <c r="A979" s="46" t="s">
        <v>2229</v>
      </c>
      <c r="B979" s="35">
        <v>0.572265625</v>
      </c>
      <c r="C979" s="36">
        <v>0.43</v>
      </c>
    </row>
    <row r="980" spans="1:3" x14ac:dyDescent="0.25">
      <c r="A980" s="46" t="s">
        <v>2230</v>
      </c>
      <c r="B980" s="35">
        <v>0.56621879339218095</v>
      </c>
      <c r="C980" s="36">
        <v>0.41</v>
      </c>
    </row>
    <row r="981" spans="1:3" x14ac:dyDescent="0.25">
      <c r="A981" s="46" t="s">
        <v>2231</v>
      </c>
      <c r="B981" s="35">
        <v>0.50827425718307495</v>
      </c>
      <c r="C981" s="36">
        <v>0.28999999999999998</v>
      </c>
    </row>
    <row r="982" spans="1:3" x14ac:dyDescent="0.25">
      <c r="A982" s="46" t="s">
        <v>2232</v>
      </c>
      <c r="B982" s="35">
        <v>0.51437216997146595</v>
      </c>
      <c r="C982" s="36">
        <v>0.18</v>
      </c>
    </row>
    <row r="983" spans="1:3" x14ac:dyDescent="0.25">
      <c r="A983" s="46" t="s">
        <v>2233</v>
      </c>
      <c r="B983" s="35">
        <v>0.50480771064758301</v>
      </c>
      <c r="C983" s="36">
        <v>0.39</v>
      </c>
    </row>
    <row r="984" spans="1:3" x14ac:dyDescent="0.25">
      <c r="A984" s="46" t="s">
        <v>2234</v>
      </c>
      <c r="B984" s="35">
        <v>0.61927711963653498</v>
      </c>
      <c r="C984" s="36">
        <v>0.11</v>
      </c>
    </row>
    <row r="985" spans="1:3" x14ac:dyDescent="0.25">
      <c r="A985" s="46" t="s">
        <v>2235</v>
      </c>
      <c r="B985" s="35">
        <v>0.63834953308105402</v>
      </c>
      <c r="C985" s="36">
        <v>0.23</v>
      </c>
    </row>
    <row r="986" spans="1:3" x14ac:dyDescent="0.25">
      <c r="A986" s="46" t="s">
        <v>2236</v>
      </c>
      <c r="B986" s="35">
        <v>0.60323888063430697</v>
      </c>
      <c r="C986" s="36">
        <v>0.17</v>
      </c>
    </row>
    <row r="987" spans="1:3" x14ac:dyDescent="0.25">
      <c r="A987" s="46" t="s">
        <v>2237</v>
      </c>
      <c r="B987" s="35">
        <v>0.73869347572326605</v>
      </c>
      <c r="C987" s="36">
        <v>0.37</v>
      </c>
    </row>
    <row r="988" spans="1:3" x14ac:dyDescent="0.25">
      <c r="A988" s="46" t="s">
        <v>2238</v>
      </c>
      <c r="B988" s="35">
        <v>0.57307690382003695</v>
      </c>
      <c r="C988" s="36">
        <v>0.21</v>
      </c>
    </row>
    <row r="989" spans="1:3" x14ac:dyDescent="0.25">
      <c r="A989" s="46" t="s">
        <v>2239</v>
      </c>
      <c r="B989" s="35">
        <v>0.46153846383094699</v>
      </c>
      <c r="C989" s="36">
        <v>0.15</v>
      </c>
    </row>
    <row r="990" spans="1:3" x14ac:dyDescent="0.25">
      <c r="A990" s="46" t="s">
        <v>2240</v>
      </c>
      <c r="B990" s="35">
        <v>0.59393942356109597</v>
      </c>
      <c r="C990" s="36">
        <v>0</v>
      </c>
    </row>
    <row r="991" spans="1:3" x14ac:dyDescent="0.25">
      <c r="A991" s="46" t="s">
        <v>2241</v>
      </c>
      <c r="B991" s="35">
        <v>0.66089963912963801</v>
      </c>
      <c r="C991" s="36">
        <v>0.11</v>
      </c>
    </row>
    <row r="992" spans="1:3" x14ac:dyDescent="0.25">
      <c r="A992" s="46" t="s">
        <v>2242</v>
      </c>
      <c r="B992" s="35">
        <v>0.64309763908386197</v>
      </c>
      <c r="C992" s="36">
        <v>0.06</v>
      </c>
    </row>
    <row r="993" spans="1:3" x14ac:dyDescent="0.25">
      <c r="A993" s="46" t="s">
        <v>2243</v>
      </c>
      <c r="B993" s="35">
        <v>0.58029198646545399</v>
      </c>
      <c r="C993" s="36">
        <v>0.16</v>
      </c>
    </row>
    <row r="994" spans="1:3" x14ac:dyDescent="0.25">
      <c r="A994" s="46" t="s">
        <v>2244</v>
      </c>
      <c r="B994" s="35">
        <v>0.58383232355117798</v>
      </c>
      <c r="C994" s="36">
        <v>0.25</v>
      </c>
    </row>
    <row r="995" spans="1:3" x14ac:dyDescent="0.25">
      <c r="A995" s="46" t="s">
        <v>2245</v>
      </c>
      <c r="B995" s="35">
        <v>0.738461554050445</v>
      </c>
      <c r="C995" s="36">
        <v>0.25</v>
      </c>
    </row>
    <row r="996" spans="1:3" x14ac:dyDescent="0.25">
      <c r="A996" s="46" t="s">
        <v>2246</v>
      </c>
      <c r="B996" s="35">
        <v>0.59050446748733498</v>
      </c>
      <c r="C996" s="36">
        <v>0.26</v>
      </c>
    </row>
    <row r="997" spans="1:3" x14ac:dyDescent="0.25">
      <c r="A997" s="46" t="s">
        <v>2247</v>
      </c>
      <c r="B997" s="35">
        <v>0.64473682641982999</v>
      </c>
      <c r="C997" s="36">
        <v>0.12</v>
      </c>
    </row>
    <row r="998" spans="1:3" x14ac:dyDescent="0.25">
      <c r="A998" s="46" t="s">
        <v>2248</v>
      </c>
      <c r="B998" s="35">
        <v>0.65422397851943903</v>
      </c>
      <c r="C998" s="36">
        <v>0.11</v>
      </c>
    </row>
    <row r="999" spans="1:3" x14ac:dyDescent="0.25">
      <c r="A999" s="46" t="s">
        <v>2249</v>
      </c>
      <c r="B999" s="35">
        <v>0.63820225000381403</v>
      </c>
      <c r="C999" s="36">
        <v>0.09</v>
      </c>
    </row>
    <row r="1000" spans="1:3" x14ac:dyDescent="0.25">
      <c r="A1000" s="46" t="s">
        <v>2250</v>
      </c>
      <c r="B1000" s="35">
        <v>0.59464627504348699</v>
      </c>
      <c r="C1000" s="36">
        <v>0.14000000000000001</v>
      </c>
    </row>
    <row r="1001" spans="1:3" x14ac:dyDescent="0.25">
      <c r="A1001" s="46" t="s">
        <v>2251</v>
      </c>
      <c r="B1001" s="35">
        <v>0.56338030099868697</v>
      </c>
      <c r="C1001" s="36">
        <v>0.46</v>
      </c>
    </row>
    <row r="1002" spans="1:3" x14ac:dyDescent="0.25">
      <c r="A1002" s="46" t="s">
        <v>2252</v>
      </c>
      <c r="B1002" s="35">
        <v>0.954545438289642</v>
      </c>
      <c r="C1002" s="36">
        <v>0.13</v>
      </c>
    </row>
    <row r="1003" spans="1:3" x14ac:dyDescent="0.25">
      <c r="A1003" s="46" t="s">
        <v>2253</v>
      </c>
      <c r="B1003" s="35">
        <v>0.607064008712768</v>
      </c>
      <c r="C1003" s="36">
        <v>0.2</v>
      </c>
    </row>
    <row r="1004" spans="1:3" x14ac:dyDescent="0.25">
      <c r="A1004" s="46" t="s">
        <v>2254</v>
      </c>
      <c r="B1004" s="35">
        <v>0.607064008712768</v>
      </c>
      <c r="C1004" s="36">
        <v>0.17</v>
      </c>
    </row>
    <row r="1005" spans="1:3" x14ac:dyDescent="0.25">
      <c r="A1005" s="46" t="s">
        <v>2255</v>
      </c>
      <c r="B1005" s="35">
        <v>0.54518073797225897</v>
      </c>
      <c r="C1005" s="36">
        <v>0.08</v>
      </c>
    </row>
    <row r="1006" spans="1:3" x14ac:dyDescent="0.25">
      <c r="A1006" s="46" t="s">
        <v>2256</v>
      </c>
      <c r="B1006" s="35">
        <v>0.72535210847854603</v>
      </c>
      <c r="C1006" s="36">
        <v>0.32</v>
      </c>
    </row>
    <row r="1007" spans="1:3" x14ac:dyDescent="0.25">
      <c r="A1007" s="46" t="s">
        <v>2257</v>
      </c>
      <c r="B1007" s="35">
        <v>0.54432988166809004</v>
      </c>
      <c r="C1007" s="36">
        <v>0.14000000000000001</v>
      </c>
    </row>
    <row r="1008" spans="1:3" x14ac:dyDescent="0.25">
      <c r="A1008" s="46" t="s">
        <v>2258</v>
      </c>
      <c r="B1008" s="35">
        <v>0.53996735811233498</v>
      </c>
      <c r="C1008" s="36">
        <v>0.27</v>
      </c>
    </row>
    <row r="1009" spans="1:3" x14ac:dyDescent="0.25">
      <c r="A1009" s="46" t="s">
        <v>2259</v>
      </c>
      <c r="B1009" s="35">
        <v>0.51724135875701904</v>
      </c>
      <c r="C1009" s="36">
        <v>0.11</v>
      </c>
    </row>
    <row r="1010" spans="1:3" x14ac:dyDescent="0.25">
      <c r="A1010" s="46" t="s">
        <v>2260</v>
      </c>
      <c r="B1010" s="35">
        <v>0.56031125783920199</v>
      </c>
      <c r="C1010" s="36">
        <v>0.22</v>
      </c>
    </row>
    <row r="1011" spans="1:3" x14ac:dyDescent="0.25">
      <c r="A1011" s="46" t="s">
        <v>2261</v>
      </c>
      <c r="B1011" s="35">
        <v>0.58072918653488104</v>
      </c>
      <c r="C1011" s="36">
        <v>0.36</v>
      </c>
    </row>
    <row r="1012" spans="1:3" x14ac:dyDescent="0.25">
      <c r="A1012" s="46" t="s">
        <v>2262</v>
      </c>
      <c r="B1012" s="35">
        <v>0.71052628755569402</v>
      </c>
      <c r="C1012" s="36">
        <v>0.15</v>
      </c>
    </row>
    <row r="1013" spans="1:3" x14ac:dyDescent="0.25">
      <c r="A1013" s="46" t="s">
        <v>2263</v>
      </c>
      <c r="B1013" s="35">
        <v>0.605893194675445</v>
      </c>
      <c r="C1013" s="36">
        <v>0.12</v>
      </c>
    </row>
    <row r="1014" spans="1:3" x14ac:dyDescent="0.25">
      <c r="A1014" s="46" t="s">
        <v>2264</v>
      </c>
      <c r="B1014" s="35">
        <v>0.78039926290511996</v>
      </c>
      <c r="C1014" s="36">
        <v>0.23</v>
      </c>
    </row>
    <row r="1015" spans="1:3" x14ac:dyDescent="0.25">
      <c r="A1015" s="46" t="s">
        <v>2265</v>
      </c>
      <c r="B1015" s="35">
        <v>0.78260868787765503</v>
      </c>
      <c r="C1015" s="36">
        <v>0.21</v>
      </c>
    </row>
    <row r="1016" spans="1:3" x14ac:dyDescent="0.25">
      <c r="A1016" s="46" t="s">
        <v>2266</v>
      </c>
      <c r="B1016" s="35">
        <v>0.84335154294967596</v>
      </c>
      <c r="C1016" s="36">
        <v>0.18</v>
      </c>
    </row>
    <row r="1017" spans="1:3" x14ac:dyDescent="0.25">
      <c r="A1017" s="46" t="s">
        <v>2267</v>
      </c>
      <c r="B1017" s="35">
        <v>0.70257610082626298</v>
      </c>
      <c r="C1017" s="36">
        <v>0.12</v>
      </c>
    </row>
    <row r="1018" spans="1:3" x14ac:dyDescent="0.25">
      <c r="A1018" s="46" t="s">
        <v>2268</v>
      </c>
      <c r="B1018" s="35">
        <v>0.60869562625884999</v>
      </c>
      <c r="C1018" s="36">
        <v>0.06</v>
      </c>
    </row>
    <row r="1019" spans="1:3" x14ac:dyDescent="0.25">
      <c r="A1019" s="46" t="s">
        <v>2269</v>
      </c>
      <c r="B1019" s="35">
        <v>0.97520661354064897</v>
      </c>
      <c r="C1019" s="36">
        <v>0.09</v>
      </c>
    </row>
    <row r="1020" spans="1:3" x14ac:dyDescent="0.25">
      <c r="A1020" s="46" t="s">
        <v>2270</v>
      </c>
      <c r="B1020" s="35">
        <v>0.60737526416778498</v>
      </c>
      <c r="C1020" s="36">
        <v>0.09</v>
      </c>
    </row>
    <row r="1021" spans="1:3" x14ac:dyDescent="0.25">
      <c r="A1021" s="46" t="s">
        <v>2271</v>
      </c>
      <c r="B1021" s="35">
        <v>0.39090910553932101</v>
      </c>
      <c r="C1021" s="36">
        <v>0.03</v>
      </c>
    </row>
    <row r="1022" spans="1:3" x14ac:dyDescent="0.25">
      <c r="A1022" s="46" t="s">
        <v>2272</v>
      </c>
      <c r="B1022" s="35">
        <v>0.474662154912948</v>
      </c>
      <c r="C1022" s="36">
        <v>0.05</v>
      </c>
    </row>
    <row r="1023" spans="1:3" x14ac:dyDescent="0.25">
      <c r="A1023" s="46" t="s">
        <v>2273</v>
      </c>
      <c r="B1023" s="35">
        <v>0.63061565160751298</v>
      </c>
      <c r="C1023" s="36">
        <v>0.2</v>
      </c>
    </row>
    <row r="1024" spans="1:3" x14ac:dyDescent="0.25">
      <c r="A1024" s="46" t="s">
        <v>2274</v>
      </c>
      <c r="B1024" s="35">
        <v>0.685929656028747</v>
      </c>
      <c r="C1024" s="36">
        <v>0.05</v>
      </c>
    </row>
    <row r="1025" spans="1:3" x14ac:dyDescent="0.25">
      <c r="A1025" s="46" t="s">
        <v>2275</v>
      </c>
      <c r="B1025" s="35">
        <v>0.46026489138603199</v>
      </c>
      <c r="C1025" s="36">
        <v>0.31</v>
      </c>
    </row>
    <row r="1026" spans="1:3" x14ac:dyDescent="0.25">
      <c r="A1026" s="46" t="s">
        <v>2276</v>
      </c>
      <c r="B1026" s="35">
        <v>0.52212387323379505</v>
      </c>
      <c r="C1026" s="36">
        <v>0.23</v>
      </c>
    </row>
    <row r="1027" spans="1:3" x14ac:dyDescent="0.25">
      <c r="A1027" s="46" t="s">
        <v>2277</v>
      </c>
      <c r="B1027" s="35">
        <v>0.69072163105010898</v>
      </c>
      <c r="C1027" s="36">
        <v>0.19</v>
      </c>
    </row>
    <row r="1028" spans="1:3" x14ac:dyDescent="0.25">
      <c r="A1028" s="46" t="s">
        <v>2278</v>
      </c>
      <c r="B1028" s="35">
        <v>0.64111500978469804</v>
      </c>
      <c r="C1028" s="36">
        <v>0.19</v>
      </c>
    </row>
    <row r="1029" spans="1:3" x14ac:dyDescent="0.25">
      <c r="A1029" s="46" t="s">
        <v>2279</v>
      </c>
      <c r="B1029" s="35">
        <v>0.53251320123672397</v>
      </c>
      <c r="C1029" s="36">
        <v>0.32</v>
      </c>
    </row>
    <row r="1030" spans="1:3" x14ac:dyDescent="0.25">
      <c r="A1030" s="46" t="s">
        <v>2280</v>
      </c>
      <c r="B1030" s="35">
        <v>0.55602836608886697</v>
      </c>
      <c r="C1030" s="36">
        <v>0.25</v>
      </c>
    </row>
    <row r="1031" spans="1:3" x14ac:dyDescent="0.25">
      <c r="A1031" s="46" t="s">
        <v>2281</v>
      </c>
      <c r="B1031" s="35">
        <v>0.92367905378341597</v>
      </c>
      <c r="C1031" s="36">
        <v>0</v>
      </c>
    </row>
    <row r="1032" spans="1:3" x14ac:dyDescent="0.25">
      <c r="A1032" s="46" t="s">
        <v>2282</v>
      </c>
      <c r="B1032" s="35">
        <v>0.545454561710357</v>
      </c>
      <c r="C1032" s="36">
        <v>7.0000000000000007E-2</v>
      </c>
    </row>
    <row r="1033" spans="1:3" x14ac:dyDescent="0.25">
      <c r="A1033" s="46" t="s">
        <v>2283</v>
      </c>
      <c r="B1033" s="35">
        <v>0.95286887884140004</v>
      </c>
      <c r="C1033" s="36">
        <v>0.2</v>
      </c>
    </row>
    <row r="1034" spans="1:3" x14ac:dyDescent="0.25">
      <c r="A1034" s="46" t="s">
        <v>2284</v>
      </c>
      <c r="B1034" s="35">
        <v>0.75650119781494096</v>
      </c>
      <c r="C1034" s="36">
        <v>0.38</v>
      </c>
    </row>
    <row r="1035" spans="1:3" x14ac:dyDescent="0.25">
      <c r="A1035" s="46" t="s">
        <v>2285</v>
      </c>
      <c r="B1035" s="35">
        <v>0.91295939683914096</v>
      </c>
      <c r="C1035" s="36">
        <v>0.17</v>
      </c>
    </row>
    <row r="1036" spans="1:3" x14ac:dyDescent="0.25">
      <c r="A1036" s="46" t="s">
        <v>2286</v>
      </c>
      <c r="B1036" s="35">
        <v>0.75650119781494096</v>
      </c>
      <c r="C1036" s="36">
        <v>0.36</v>
      </c>
    </row>
    <row r="1037" spans="1:3" x14ac:dyDescent="0.25">
      <c r="A1037" s="46" t="s">
        <v>2287</v>
      </c>
      <c r="B1037" s="35">
        <v>0.31291028857231101</v>
      </c>
      <c r="C1037" s="36">
        <v>0.04</v>
      </c>
    </row>
    <row r="1038" spans="1:3" x14ac:dyDescent="0.25">
      <c r="A1038" s="46" t="s">
        <v>2288</v>
      </c>
      <c r="B1038" s="35">
        <v>0.75175642967224099</v>
      </c>
      <c r="C1038" s="36">
        <v>0.24</v>
      </c>
    </row>
    <row r="1039" spans="1:3" x14ac:dyDescent="0.25">
      <c r="A1039" s="46" t="s">
        <v>2289</v>
      </c>
      <c r="B1039" s="35">
        <v>0.62608695030212402</v>
      </c>
      <c r="C1039" s="36">
        <v>0.16</v>
      </c>
    </row>
    <row r="1040" spans="1:3" x14ac:dyDescent="0.25">
      <c r="A1040" s="46" t="s">
        <v>2290</v>
      </c>
      <c r="B1040" s="35">
        <v>0.51053482294082597</v>
      </c>
      <c r="C1040" s="36">
        <v>0.2</v>
      </c>
    </row>
    <row r="1041" spans="1:3" x14ac:dyDescent="0.25">
      <c r="A1041" s="46" t="s">
        <v>2291</v>
      </c>
      <c r="B1041" s="35">
        <v>0.728476822376251</v>
      </c>
      <c r="C1041" s="36">
        <v>0.2</v>
      </c>
    </row>
    <row r="1042" spans="1:3" x14ac:dyDescent="0.25">
      <c r="A1042" s="46" t="s">
        <v>2292</v>
      </c>
      <c r="B1042" s="35">
        <v>0.50335568189620905</v>
      </c>
      <c r="C1042" s="36">
        <v>0.03</v>
      </c>
    </row>
    <row r="1043" spans="1:3" x14ac:dyDescent="0.25">
      <c r="A1043" s="46" t="s">
        <v>2293</v>
      </c>
      <c r="B1043" s="35">
        <v>0.96804511547088601</v>
      </c>
      <c r="C1043" s="36">
        <v>0.15</v>
      </c>
    </row>
    <row r="1044" spans="1:3" x14ac:dyDescent="0.25">
      <c r="A1044" s="46" t="s">
        <v>2294</v>
      </c>
      <c r="B1044" s="35">
        <v>0.5</v>
      </c>
      <c r="C1044" s="36">
        <v>0.25</v>
      </c>
    </row>
    <row r="1045" spans="1:3" x14ac:dyDescent="0.25">
      <c r="A1045" s="46" t="s">
        <v>2295</v>
      </c>
      <c r="B1045" s="35">
        <v>0.58071279525756803</v>
      </c>
      <c r="C1045" s="36">
        <v>0.17</v>
      </c>
    </row>
    <row r="1046" spans="1:3" x14ac:dyDescent="0.25">
      <c r="A1046" s="46" t="s">
        <v>2296</v>
      </c>
      <c r="B1046" s="35">
        <v>0.90248566865920998</v>
      </c>
      <c r="C1046" s="36">
        <v>0.22</v>
      </c>
    </row>
    <row r="1047" spans="1:3" x14ac:dyDescent="0.25">
      <c r="A1047" s="46" t="s">
        <v>2297</v>
      </c>
      <c r="B1047" s="35">
        <v>0.59344261884689298</v>
      </c>
      <c r="C1047" s="36">
        <v>0.13</v>
      </c>
    </row>
    <row r="1048" spans="1:3" x14ac:dyDescent="0.25">
      <c r="A1048" s="46" t="s">
        <v>2298</v>
      </c>
      <c r="B1048" s="35">
        <v>0.80913978815078702</v>
      </c>
      <c r="C1048" s="36">
        <v>0.14000000000000001</v>
      </c>
    </row>
    <row r="1049" spans="1:3" x14ac:dyDescent="0.25">
      <c r="A1049" s="46" t="s">
        <v>2299</v>
      </c>
      <c r="B1049" s="35">
        <v>0.61056107282638505</v>
      </c>
      <c r="C1049" s="36">
        <v>0</v>
      </c>
    </row>
    <row r="1050" spans="1:3" x14ac:dyDescent="0.25">
      <c r="A1050" s="46" t="s">
        <v>2300</v>
      </c>
      <c r="B1050" s="35">
        <v>0.73839664459228505</v>
      </c>
      <c r="C1050" s="36">
        <v>0.13</v>
      </c>
    </row>
    <row r="1051" spans="1:3" x14ac:dyDescent="0.25">
      <c r="A1051" s="46" t="s">
        <v>2301</v>
      </c>
      <c r="B1051" s="35">
        <v>0.54862385988235396</v>
      </c>
      <c r="C1051" s="36">
        <v>0.27</v>
      </c>
    </row>
    <row r="1052" spans="1:3" x14ac:dyDescent="0.25">
      <c r="A1052" s="46" t="s">
        <v>2302</v>
      </c>
      <c r="B1052" s="35">
        <v>0.50314468145370395</v>
      </c>
      <c r="C1052" s="36">
        <v>0.3</v>
      </c>
    </row>
    <row r="1053" spans="1:3" x14ac:dyDescent="0.25">
      <c r="A1053" s="46" t="s">
        <v>2303</v>
      </c>
      <c r="B1053" s="35">
        <v>0.64814811944961503</v>
      </c>
      <c r="C1053" s="36">
        <v>0.16</v>
      </c>
    </row>
    <row r="1054" spans="1:3" x14ac:dyDescent="0.25">
      <c r="A1054" s="46" t="s">
        <v>2304</v>
      </c>
      <c r="B1054" s="35">
        <v>0.55357140302658003</v>
      </c>
      <c r="C1054" s="36">
        <v>0.06</v>
      </c>
    </row>
    <row r="1055" spans="1:3" x14ac:dyDescent="0.25">
      <c r="A1055" s="46" t="s">
        <v>2305</v>
      </c>
      <c r="B1055" s="35">
        <v>0.86419755220413197</v>
      </c>
      <c r="C1055" s="36">
        <v>0.23</v>
      </c>
    </row>
    <row r="1056" spans="1:3" x14ac:dyDescent="0.25">
      <c r="A1056" s="46" t="s">
        <v>2306</v>
      </c>
      <c r="B1056" s="35">
        <v>0.62363916635513295</v>
      </c>
      <c r="C1056" s="36">
        <v>0.27</v>
      </c>
    </row>
    <row r="1057" spans="1:3" x14ac:dyDescent="0.25">
      <c r="A1057" s="46" t="s">
        <v>2307</v>
      </c>
      <c r="B1057" s="35">
        <v>0.60912054777145297</v>
      </c>
      <c r="C1057" s="36">
        <v>0.25</v>
      </c>
    </row>
    <row r="1058" spans="1:3" x14ac:dyDescent="0.25">
      <c r="A1058" s="46" t="s">
        <v>2308</v>
      </c>
      <c r="B1058" s="35">
        <v>0.61452513933181696</v>
      </c>
      <c r="C1058" s="36">
        <v>0.19</v>
      </c>
    </row>
    <row r="1059" spans="1:3" x14ac:dyDescent="0.25">
      <c r="A1059" s="46" t="s">
        <v>2309</v>
      </c>
      <c r="B1059" s="35">
        <v>0.47140038013458202</v>
      </c>
      <c r="C1059" s="36">
        <v>0.28000000000000003</v>
      </c>
    </row>
    <row r="1060" spans="1:3" x14ac:dyDescent="0.25">
      <c r="A1060" s="46" t="s">
        <v>2310</v>
      </c>
      <c r="B1060" s="35">
        <v>0.78483605384826605</v>
      </c>
      <c r="C1060" s="36">
        <v>0.1</v>
      </c>
    </row>
    <row r="1061" spans="1:3" x14ac:dyDescent="0.25">
      <c r="A1061" s="46" t="s">
        <v>2311</v>
      </c>
      <c r="B1061" s="35">
        <v>0.61447560787200906</v>
      </c>
      <c r="C1061" s="36">
        <v>0.27</v>
      </c>
    </row>
    <row r="1062" spans="1:3" x14ac:dyDescent="0.25">
      <c r="A1062" s="46" t="s">
        <v>2312</v>
      </c>
      <c r="B1062" s="35">
        <v>0.65830719470977705</v>
      </c>
      <c r="C1062" s="36">
        <v>0.32</v>
      </c>
    </row>
    <row r="1063" spans="1:3" x14ac:dyDescent="0.25">
      <c r="A1063" s="46" t="s">
        <v>2313</v>
      </c>
      <c r="B1063" s="35">
        <v>0.688212931156158</v>
      </c>
      <c r="C1063" s="36">
        <v>0</v>
      </c>
    </row>
    <row r="1064" spans="1:3" x14ac:dyDescent="0.25">
      <c r="A1064" s="46" t="s">
        <v>2314</v>
      </c>
      <c r="B1064" s="35">
        <v>0.86391752958297696</v>
      </c>
      <c r="C1064" s="36">
        <v>0.16</v>
      </c>
    </row>
    <row r="1065" spans="1:3" x14ac:dyDescent="0.25">
      <c r="A1065" s="46" t="s">
        <v>2315</v>
      </c>
      <c r="B1065" s="35">
        <v>0.55974841117858798</v>
      </c>
      <c r="C1065" s="36">
        <v>0.22</v>
      </c>
    </row>
    <row r="1066" spans="1:3" x14ac:dyDescent="0.25">
      <c r="A1066" s="46" t="s">
        <v>2316</v>
      </c>
      <c r="B1066" s="35">
        <v>0.65853661298751798</v>
      </c>
      <c r="C1066" s="36">
        <v>0.06</v>
      </c>
    </row>
    <row r="1067" spans="1:3" x14ac:dyDescent="0.25">
      <c r="A1067" s="46" t="s">
        <v>2317</v>
      </c>
      <c r="B1067" s="35">
        <v>0.64516127109527499</v>
      </c>
      <c r="C1067" s="36">
        <v>0.12</v>
      </c>
    </row>
    <row r="1068" spans="1:3" x14ac:dyDescent="0.25">
      <c r="A1068" s="46" t="s">
        <v>2318</v>
      </c>
      <c r="B1068" s="35">
        <v>0.59130436182022095</v>
      </c>
      <c r="C1068" s="36">
        <v>0.14000000000000001</v>
      </c>
    </row>
    <row r="1069" spans="1:3" x14ac:dyDescent="0.25">
      <c r="A1069" s="46" t="s">
        <v>2319</v>
      </c>
      <c r="B1069" s="35">
        <v>0.56478404998779297</v>
      </c>
      <c r="C1069" s="36">
        <v>0.18</v>
      </c>
    </row>
    <row r="1070" spans="1:3" x14ac:dyDescent="0.25">
      <c r="A1070" s="46" t="s">
        <v>2320</v>
      </c>
      <c r="B1070" s="35">
        <v>0.53159850835800104</v>
      </c>
      <c r="C1070" s="36">
        <v>0.18</v>
      </c>
    </row>
    <row r="1071" spans="1:3" x14ac:dyDescent="0.25">
      <c r="A1071" s="46" t="s">
        <v>2321</v>
      </c>
      <c r="B1071" s="35">
        <v>0.59612280130386297</v>
      </c>
      <c r="C1071" s="36">
        <v>0.25</v>
      </c>
    </row>
    <row r="1072" spans="1:3" x14ac:dyDescent="0.25">
      <c r="A1072" s="46" t="s">
        <v>2322</v>
      </c>
      <c r="B1072" s="35">
        <v>0.66666668653488104</v>
      </c>
      <c r="C1072" s="36">
        <v>0.09</v>
      </c>
    </row>
    <row r="1073" spans="1:3" x14ac:dyDescent="0.25">
      <c r="A1073" s="46" t="s">
        <v>2323</v>
      </c>
      <c r="B1073" s="35">
        <v>0.63868612051010099</v>
      </c>
      <c r="C1073" s="36">
        <v>0.1</v>
      </c>
    </row>
    <row r="1074" spans="1:3" x14ac:dyDescent="0.25">
      <c r="A1074" s="46" t="s">
        <v>2324</v>
      </c>
      <c r="B1074" s="35">
        <v>0.68874174356460505</v>
      </c>
      <c r="C1074" s="36">
        <v>0.38</v>
      </c>
    </row>
    <row r="1075" spans="1:3" x14ac:dyDescent="0.25">
      <c r="A1075" s="46" t="s">
        <v>2325</v>
      </c>
      <c r="B1075" s="35">
        <v>0.63507109880447299</v>
      </c>
      <c r="C1075" s="36">
        <v>0.12</v>
      </c>
    </row>
    <row r="1076" spans="1:3" x14ac:dyDescent="0.25">
      <c r="A1076" s="46" t="s">
        <v>2326</v>
      </c>
      <c r="B1076" s="35">
        <v>0.49567100405692999</v>
      </c>
      <c r="C1076" s="36">
        <v>0.4</v>
      </c>
    </row>
    <row r="1077" spans="1:3" x14ac:dyDescent="0.25">
      <c r="A1077" s="46" t="s">
        <v>2327</v>
      </c>
      <c r="B1077" s="35">
        <v>0.683127582073211</v>
      </c>
      <c r="C1077" s="36">
        <v>0</v>
      </c>
    </row>
    <row r="1078" spans="1:3" x14ac:dyDescent="0.25">
      <c r="A1078" s="46" t="s">
        <v>2328</v>
      </c>
      <c r="B1078" s="35">
        <v>0.50381678342819203</v>
      </c>
      <c r="C1078" s="36">
        <v>0.04</v>
      </c>
    </row>
    <row r="1079" spans="1:3" x14ac:dyDescent="0.25">
      <c r="A1079" s="46" t="s">
        <v>2329</v>
      </c>
      <c r="B1079" s="35">
        <v>0.50381678342819203</v>
      </c>
      <c r="C1079" s="36">
        <v>0.06</v>
      </c>
    </row>
    <row r="1080" spans="1:3" x14ac:dyDescent="0.25">
      <c r="A1080" s="46" t="s">
        <v>2330</v>
      </c>
      <c r="B1080" s="35">
        <v>0.68700265884399403</v>
      </c>
      <c r="C1080" s="36">
        <v>0.19</v>
      </c>
    </row>
    <row r="1081" spans="1:3" x14ac:dyDescent="0.25">
      <c r="A1081" s="46" t="s">
        <v>2331</v>
      </c>
      <c r="B1081" s="35">
        <v>0.620214402675628</v>
      </c>
      <c r="C1081" s="36">
        <v>0</v>
      </c>
    </row>
    <row r="1082" spans="1:3" x14ac:dyDescent="0.25">
      <c r="A1082" s="46" t="s">
        <v>2332</v>
      </c>
      <c r="B1082" s="35">
        <v>0.61852431297302202</v>
      </c>
      <c r="C1082" s="36">
        <v>0.19</v>
      </c>
    </row>
    <row r="1083" spans="1:3" x14ac:dyDescent="0.25">
      <c r="A1083" s="46" t="s">
        <v>2333</v>
      </c>
      <c r="B1083" s="35">
        <v>0.44398340582847501</v>
      </c>
      <c r="C1083" s="36">
        <v>0.31</v>
      </c>
    </row>
    <row r="1084" spans="1:3" x14ac:dyDescent="0.25">
      <c r="A1084" s="46" t="s">
        <v>2334</v>
      </c>
      <c r="B1084" s="35">
        <v>0.41592919826507502</v>
      </c>
      <c r="C1084" s="36">
        <v>0.05</v>
      </c>
    </row>
    <row r="1085" spans="1:3" x14ac:dyDescent="0.25">
      <c r="A1085" s="46" t="s">
        <v>2335</v>
      </c>
      <c r="B1085" s="35">
        <v>0.652360498905181</v>
      </c>
      <c r="C1085" s="36">
        <v>0.33</v>
      </c>
    </row>
    <row r="1086" spans="1:3" x14ac:dyDescent="0.25">
      <c r="A1086" s="46" t="s">
        <v>2336</v>
      </c>
      <c r="B1086" s="35">
        <v>0.68120807409286499</v>
      </c>
      <c r="C1086" s="36">
        <v>0.05</v>
      </c>
    </row>
    <row r="1087" spans="1:3" x14ac:dyDescent="0.25">
      <c r="A1087" s="46" t="s">
        <v>2337</v>
      </c>
      <c r="B1087" s="35">
        <v>0.68453609943389804</v>
      </c>
      <c r="C1087" s="36">
        <v>0.11</v>
      </c>
    </row>
    <row r="1088" spans="1:3" x14ac:dyDescent="0.25">
      <c r="A1088" s="46" t="s">
        <v>2338</v>
      </c>
      <c r="B1088" s="35">
        <v>0.651960790157318</v>
      </c>
      <c r="C1088" s="36">
        <v>0.09</v>
      </c>
    </row>
    <row r="1089" spans="1:3" x14ac:dyDescent="0.25">
      <c r="A1089" s="46" t="s">
        <v>1132</v>
      </c>
      <c r="B1089" s="35">
        <v>0.652360498905181</v>
      </c>
      <c r="C1089" s="36">
        <v>0.18</v>
      </c>
    </row>
    <row r="1090" spans="1:3" x14ac:dyDescent="0.25">
      <c r="A1090" s="46" t="s">
        <v>2339</v>
      </c>
      <c r="B1090" s="35">
        <v>0.67324560880661</v>
      </c>
      <c r="C1090" s="36">
        <v>0</v>
      </c>
    </row>
    <row r="1091" spans="1:3" x14ac:dyDescent="0.25">
      <c r="A1091" s="46" t="s">
        <v>2340</v>
      </c>
      <c r="B1091" s="35">
        <v>0.63593381643295199</v>
      </c>
      <c r="C1091" s="36">
        <v>0</v>
      </c>
    </row>
    <row r="1092" spans="1:3" x14ac:dyDescent="0.25">
      <c r="A1092" s="46" t="s">
        <v>1134</v>
      </c>
      <c r="B1092" s="35">
        <v>0.63782054185867298</v>
      </c>
      <c r="C1092" s="36">
        <v>0.18</v>
      </c>
    </row>
    <row r="1093" spans="1:3" x14ac:dyDescent="0.25">
      <c r="A1093" s="46" t="s">
        <v>2341</v>
      </c>
      <c r="B1093" s="35">
        <v>0.52249133586883501</v>
      </c>
      <c r="C1093" s="36">
        <v>0.11</v>
      </c>
    </row>
    <row r="1094" spans="1:3" x14ac:dyDescent="0.25">
      <c r="A1094" s="46" t="s">
        <v>2342</v>
      </c>
      <c r="B1094" s="35">
        <v>0.60327196121215798</v>
      </c>
      <c r="C1094" s="36">
        <v>0.04</v>
      </c>
    </row>
    <row r="1095" spans="1:3" x14ac:dyDescent="0.25">
      <c r="A1095" s="46" t="s">
        <v>2343</v>
      </c>
      <c r="B1095" s="35">
        <v>0.61071425676345803</v>
      </c>
      <c r="C1095" s="36">
        <v>7.0000000000000007E-2</v>
      </c>
    </row>
    <row r="1096" spans="1:3" x14ac:dyDescent="0.25">
      <c r="A1096" s="46" t="s">
        <v>2344</v>
      </c>
      <c r="B1096" s="35">
        <v>0.88013696670532204</v>
      </c>
      <c r="C1096" s="36">
        <v>0.15</v>
      </c>
    </row>
    <row r="1097" spans="1:3" x14ac:dyDescent="0.25">
      <c r="A1097" s="46" t="s">
        <v>2345</v>
      </c>
      <c r="B1097" s="35">
        <v>0.66796875</v>
      </c>
      <c r="C1097" s="36">
        <v>0.12</v>
      </c>
    </row>
    <row r="1098" spans="1:3" x14ac:dyDescent="0.25">
      <c r="A1098" s="46" t="s">
        <v>2346</v>
      </c>
      <c r="B1098" s="35">
        <v>0.90057361125946001</v>
      </c>
      <c r="C1098" s="36">
        <v>0.21</v>
      </c>
    </row>
    <row r="1099" spans="1:3" x14ac:dyDescent="0.25">
      <c r="A1099" s="46" t="s">
        <v>2347</v>
      </c>
      <c r="B1099" s="35">
        <v>0.56790125370025601</v>
      </c>
      <c r="C1099" s="36">
        <v>0</v>
      </c>
    </row>
    <row r="1100" spans="1:3" x14ac:dyDescent="0.25">
      <c r="A1100" s="46" t="s">
        <v>2348</v>
      </c>
      <c r="B1100" s="35">
        <v>0.73430961370468095</v>
      </c>
      <c r="C1100" s="36">
        <v>0.11</v>
      </c>
    </row>
    <row r="1101" spans="1:3" x14ac:dyDescent="0.25">
      <c r="A1101" s="46" t="s">
        <v>2349</v>
      </c>
      <c r="B1101" s="35">
        <v>0.67146283388137795</v>
      </c>
      <c r="C1101" s="36">
        <v>0.18</v>
      </c>
    </row>
    <row r="1102" spans="1:3" x14ac:dyDescent="0.25">
      <c r="A1102" s="46" t="s">
        <v>2350</v>
      </c>
      <c r="B1102" s="35">
        <v>0.56713426113128595</v>
      </c>
      <c r="C1102" s="36">
        <v>0.22</v>
      </c>
    </row>
    <row r="1103" spans="1:3" x14ac:dyDescent="0.25">
      <c r="A1103" s="46" t="s">
        <v>2351</v>
      </c>
      <c r="B1103" s="35">
        <v>0.609460949897766</v>
      </c>
      <c r="C1103" s="36">
        <v>0</v>
      </c>
    </row>
    <row r="1104" spans="1:3" x14ac:dyDescent="0.25">
      <c r="A1104" s="46" t="s">
        <v>2352</v>
      </c>
      <c r="B1104" s="35">
        <v>0.67500001192092896</v>
      </c>
      <c r="C1104" s="36">
        <v>0.19</v>
      </c>
    </row>
    <row r="1105" spans="1:3" x14ac:dyDescent="0.25">
      <c r="A1105" s="46" t="s">
        <v>2353</v>
      </c>
      <c r="B1105" s="35">
        <v>0.55463916063308705</v>
      </c>
      <c r="C1105" s="36">
        <v>0.15</v>
      </c>
    </row>
    <row r="1106" spans="1:3" x14ac:dyDescent="0.25">
      <c r="A1106" s="46" t="s">
        <v>2354</v>
      </c>
      <c r="B1106" s="35">
        <v>0.502840936183929</v>
      </c>
      <c r="C1106" s="36">
        <v>0.19</v>
      </c>
    </row>
    <row r="1107" spans="1:3" x14ac:dyDescent="0.25">
      <c r="A1107" s="46" t="s">
        <v>2355</v>
      </c>
      <c r="B1107" s="35">
        <v>0.67898380756378096</v>
      </c>
      <c r="C1107" s="36">
        <v>0.05</v>
      </c>
    </row>
    <row r="1108" spans="1:3" x14ac:dyDescent="0.25">
      <c r="A1108" s="46" t="s">
        <v>2356</v>
      </c>
      <c r="B1108" s="35">
        <v>0.54320985078811601</v>
      </c>
      <c r="C1108" s="36">
        <v>0.39</v>
      </c>
    </row>
    <row r="1109" spans="1:3" x14ac:dyDescent="0.25">
      <c r="A1109" s="46" t="s">
        <v>2357</v>
      </c>
      <c r="B1109" s="35">
        <v>0.71799999475479104</v>
      </c>
      <c r="C1109" s="36">
        <v>0.13</v>
      </c>
    </row>
    <row r="1110" spans="1:3" x14ac:dyDescent="0.25">
      <c r="A1110" s="46" t="s">
        <v>2358</v>
      </c>
      <c r="B1110" s="35">
        <v>0.64539009332656805</v>
      </c>
      <c r="C1110" s="36">
        <v>0</v>
      </c>
    </row>
    <row r="1111" spans="1:3" x14ac:dyDescent="0.25">
      <c r="A1111" s="46" t="s">
        <v>2359</v>
      </c>
      <c r="B1111" s="35">
        <v>0.67898380756378096</v>
      </c>
      <c r="C1111" s="36">
        <v>0.08</v>
      </c>
    </row>
    <row r="1112" spans="1:3" x14ac:dyDescent="0.25">
      <c r="A1112" s="46" t="s">
        <v>2360</v>
      </c>
      <c r="B1112" s="35">
        <v>0.55102038383483798</v>
      </c>
      <c r="C1112" s="36">
        <v>0.11</v>
      </c>
    </row>
    <row r="1113" spans="1:3" x14ac:dyDescent="0.25">
      <c r="A1113" s="46" t="s">
        <v>2361</v>
      </c>
      <c r="B1113" s="35">
        <v>0.78352940082550004</v>
      </c>
      <c r="C1113" s="36">
        <v>0</v>
      </c>
    </row>
    <row r="1114" spans="1:3" x14ac:dyDescent="0.25">
      <c r="A1114" s="46" t="s">
        <v>2362</v>
      </c>
      <c r="B1114" s="35">
        <v>0.44090908765792802</v>
      </c>
      <c r="C1114" s="36">
        <v>0.15</v>
      </c>
    </row>
    <row r="1115" spans="1:3" x14ac:dyDescent="0.25">
      <c r="A1115" s="46" t="s">
        <v>2363</v>
      </c>
      <c r="B1115" s="35">
        <v>0.69494950771331698</v>
      </c>
      <c r="C1115" s="36">
        <v>0.12</v>
      </c>
    </row>
    <row r="1116" spans="1:3" x14ac:dyDescent="0.25">
      <c r="A1116" s="46" t="s">
        <v>1138</v>
      </c>
      <c r="B1116" s="35">
        <v>0.59514170885086004</v>
      </c>
      <c r="C1116" s="36">
        <v>0.15</v>
      </c>
    </row>
    <row r="1117" spans="1:3" x14ac:dyDescent="0.25">
      <c r="A1117" s="46" t="s">
        <v>2364</v>
      </c>
      <c r="B1117" s="35">
        <v>0.58237546682357699</v>
      </c>
      <c r="C1117" s="36">
        <v>0.13</v>
      </c>
    </row>
    <row r="1118" spans="1:3" x14ac:dyDescent="0.25">
      <c r="A1118" s="46" t="s">
        <v>2365</v>
      </c>
      <c r="B1118" s="35">
        <v>0.62683820724487305</v>
      </c>
      <c r="C1118" s="36">
        <v>0.11</v>
      </c>
    </row>
    <row r="1119" spans="1:3" x14ac:dyDescent="0.25">
      <c r="A1119" s="46" t="s">
        <v>2366</v>
      </c>
      <c r="B1119" s="35">
        <v>0.58646619319915705</v>
      </c>
      <c r="C1119" s="36">
        <v>0</v>
      </c>
    </row>
    <row r="1120" spans="1:3" x14ac:dyDescent="0.25">
      <c r="A1120" s="46" t="s">
        <v>2367</v>
      </c>
      <c r="B1120" s="35">
        <v>0.5703125</v>
      </c>
      <c r="C1120" s="36">
        <v>0.17</v>
      </c>
    </row>
    <row r="1121" spans="1:3" x14ac:dyDescent="0.25">
      <c r="A1121" s="46" t="s">
        <v>2368</v>
      </c>
      <c r="B1121" s="35">
        <v>0.97515529394149703</v>
      </c>
      <c r="C1121" s="36">
        <v>0.17</v>
      </c>
    </row>
    <row r="1122" spans="1:3" x14ac:dyDescent="0.25">
      <c r="A1122" s="46" t="s">
        <v>2369</v>
      </c>
      <c r="B1122" s="35">
        <v>0.55500823259353604</v>
      </c>
      <c r="C1122" s="36">
        <v>0.17</v>
      </c>
    </row>
    <row r="1123" spans="1:3" x14ac:dyDescent="0.25">
      <c r="A1123" s="46" t="s">
        <v>2370</v>
      </c>
      <c r="B1123" s="35">
        <v>0.60000002384185702</v>
      </c>
      <c r="C1123" s="36">
        <v>0.08</v>
      </c>
    </row>
    <row r="1124" spans="1:3" x14ac:dyDescent="0.25">
      <c r="A1124" s="46" t="s">
        <v>2371</v>
      </c>
      <c r="B1124" s="35">
        <v>0.67213112115859897</v>
      </c>
      <c r="C1124" s="36">
        <v>0.16</v>
      </c>
    </row>
    <row r="1125" spans="1:3" x14ac:dyDescent="0.25">
      <c r="A1125" s="46" t="s">
        <v>2372</v>
      </c>
      <c r="B1125" s="35">
        <v>0.61202186346053999</v>
      </c>
      <c r="C1125" s="36">
        <v>0.08</v>
      </c>
    </row>
    <row r="1126" spans="1:3" x14ac:dyDescent="0.25">
      <c r="A1126" s="46" t="s">
        <v>2373</v>
      </c>
      <c r="B1126" s="35">
        <v>0.68930041790008501</v>
      </c>
      <c r="C1126" s="36">
        <v>0.12</v>
      </c>
    </row>
    <row r="1127" spans="1:3" x14ac:dyDescent="0.25">
      <c r="A1127" s="46" t="s">
        <v>2374</v>
      </c>
      <c r="B1127" s="35">
        <v>0.59857904911041204</v>
      </c>
      <c r="C1127" s="36">
        <v>0.14000000000000001</v>
      </c>
    </row>
    <row r="1128" spans="1:3" x14ac:dyDescent="0.25">
      <c r="A1128" s="46" t="s">
        <v>2375</v>
      </c>
      <c r="B1128" s="35">
        <v>0.58021980524063099</v>
      </c>
      <c r="C1128" s="36">
        <v>0.12</v>
      </c>
    </row>
    <row r="1129" spans="1:3" x14ac:dyDescent="0.25">
      <c r="A1129" s="46" t="s">
        <v>2376</v>
      </c>
      <c r="B1129" s="35">
        <v>0.58111113309860196</v>
      </c>
      <c r="C1129" s="36">
        <v>0.1</v>
      </c>
    </row>
    <row r="1130" spans="1:3" x14ac:dyDescent="0.25">
      <c r="A1130" s="46" t="s">
        <v>2377</v>
      </c>
      <c r="B1130" s="35">
        <v>0.65148061513900701</v>
      </c>
      <c r="C1130" s="36">
        <v>0</v>
      </c>
    </row>
    <row r="1131" spans="1:3" x14ac:dyDescent="0.25">
      <c r="A1131" s="46" t="s">
        <v>2378</v>
      </c>
      <c r="B1131" s="35">
        <v>0.56713426113128595</v>
      </c>
      <c r="C1131" s="36">
        <v>0.2</v>
      </c>
    </row>
    <row r="1132" spans="1:3" x14ac:dyDescent="0.25">
      <c r="A1132" s="46" t="s">
        <v>2379</v>
      </c>
      <c r="B1132" s="35">
        <v>0.75983434915542603</v>
      </c>
      <c r="C1132" s="36">
        <v>0.15</v>
      </c>
    </row>
    <row r="1133" spans="1:3" x14ac:dyDescent="0.25">
      <c r="A1133" s="46" t="s">
        <v>2380</v>
      </c>
      <c r="B1133" s="35">
        <v>0.54269176721572798</v>
      </c>
      <c r="C1133" s="36">
        <v>0.34</v>
      </c>
    </row>
    <row r="1134" spans="1:3" x14ac:dyDescent="0.25">
      <c r="A1134" s="46" t="s">
        <v>2381</v>
      </c>
      <c r="B1134" s="35">
        <v>0.75720167160034102</v>
      </c>
      <c r="C1134" s="36">
        <v>0.13</v>
      </c>
    </row>
    <row r="1135" spans="1:3" x14ac:dyDescent="0.25">
      <c r="A1135" s="46" t="s">
        <v>2382</v>
      </c>
      <c r="B1135" s="35">
        <v>0.55081301927566495</v>
      </c>
      <c r="C1135" s="36">
        <v>0.2</v>
      </c>
    </row>
    <row r="1136" spans="1:3" x14ac:dyDescent="0.25">
      <c r="A1136" s="46" t="s">
        <v>2383</v>
      </c>
      <c r="B1136" s="35">
        <v>0.96714580059051503</v>
      </c>
      <c r="C1136" s="36">
        <v>0.17</v>
      </c>
    </row>
    <row r="1137" spans="1:3" x14ac:dyDescent="0.25">
      <c r="A1137" s="46" t="s">
        <v>2384</v>
      </c>
      <c r="B1137" s="35">
        <v>0.57580173015594405</v>
      </c>
      <c r="C1137" s="36">
        <v>0</v>
      </c>
    </row>
    <row r="1138" spans="1:3" x14ac:dyDescent="0.25">
      <c r="A1138" s="46" t="s">
        <v>2385</v>
      </c>
      <c r="B1138" s="35">
        <v>0.64309763908386197</v>
      </c>
      <c r="C1138" s="36">
        <v>0.06</v>
      </c>
    </row>
    <row r="1139" spans="1:3" x14ac:dyDescent="0.25">
      <c r="A1139" s="46" t="s">
        <v>2386</v>
      </c>
      <c r="B1139" s="35">
        <v>0.62798637151718095</v>
      </c>
      <c r="C1139" s="36">
        <v>7.0000000000000007E-2</v>
      </c>
    </row>
    <row r="1140" spans="1:3" x14ac:dyDescent="0.25">
      <c r="A1140" s="46" t="s">
        <v>2387</v>
      </c>
      <c r="B1140" s="35">
        <v>0.70694088935851995</v>
      </c>
      <c r="C1140" s="36">
        <v>0.11</v>
      </c>
    </row>
    <row r="1141" spans="1:3" x14ac:dyDescent="0.25">
      <c r="A1141" s="46" t="s">
        <v>2388</v>
      </c>
      <c r="B1141" s="35">
        <v>0.65376782417297297</v>
      </c>
      <c r="C1141" s="36">
        <v>0.19</v>
      </c>
    </row>
    <row r="1142" spans="1:3" x14ac:dyDescent="0.25">
      <c r="A1142" s="46" t="s">
        <v>2389</v>
      </c>
      <c r="B1142" s="35">
        <v>0.80263155698776201</v>
      </c>
      <c r="C1142" s="36">
        <v>0.15</v>
      </c>
    </row>
    <row r="1143" spans="1:3" x14ac:dyDescent="0.25">
      <c r="A1143" s="46" t="s">
        <v>2390</v>
      </c>
      <c r="B1143" s="35">
        <v>0.686936914920806</v>
      </c>
      <c r="C1143" s="36">
        <v>0.02</v>
      </c>
    </row>
    <row r="1144" spans="1:3" x14ac:dyDescent="0.25">
      <c r="A1144" s="46" t="s">
        <v>2391</v>
      </c>
      <c r="B1144" s="35">
        <v>0.53246754407882602</v>
      </c>
      <c r="C1144" s="36">
        <v>0.28999999999999998</v>
      </c>
    </row>
    <row r="1145" spans="1:3" x14ac:dyDescent="0.25">
      <c r="A1145" s="46" t="s">
        <v>2392</v>
      </c>
      <c r="B1145" s="35">
        <v>0.53634577989578203</v>
      </c>
      <c r="C1145" s="36">
        <v>7.0000000000000007E-2</v>
      </c>
    </row>
    <row r="1146" spans="1:3" x14ac:dyDescent="0.25">
      <c r="A1146" s="46" t="s">
        <v>2393</v>
      </c>
      <c r="B1146" s="35">
        <v>0.60150372982025102</v>
      </c>
      <c r="C1146" s="36">
        <v>0.31</v>
      </c>
    </row>
    <row r="1147" spans="1:3" x14ac:dyDescent="0.25">
      <c r="A1147" s="46" t="s">
        <v>2394</v>
      </c>
      <c r="B1147" s="35">
        <v>0.635658919811248</v>
      </c>
      <c r="C1147" s="36">
        <v>0.11</v>
      </c>
    </row>
    <row r="1148" spans="1:3" x14ac:dyDescent="0.25">
      <c r="A1148" s="46" t="s">
        <v>2395</v>
      </c>
      <c r="B1148" s="35">
        <v>0.49014776945114102</v>
      </c>
      <c r="C1148" s="36">
        <v>0.06</v>
      </c>
    </row>
    <row r="1149" spans="1:3" x14ac:dyDescent="0.25">
      <c r="A1149" s="46" t="s">
        <v>2396</v>
      </c>
      <c r="B1149" s="35">
        <v>0.647727251052856</v>
      </c>
      <c r="C1149" s="36">
        <v>0.09</v>
      </c>
    </row>
    <row r="1150" spans="1:3" x14ac:dyDescent="0.25">
      <c r="A1150" s="46" t="s">
        <v>2397</v>
      </c>
      <c r="B1150" s="35">
        <v>0.62388062477111805</v>
      </c>
      <c r="C1150" s="36">
        <v>0.12</v>
      </c>
    </row>
    <row r="1151" spans="1:3" x14ac:dyDescent="0.25">
      <c r="A1151" s="46" t="s">
        <v>2398</v>
      </c>
      <c r="B1151" s="35">
        <v>0.54291844367980902</v>
      </c>
      <c r="C1151" s="36">
        <v>0.12</v>
      </c>
    </row>
    <row r="1152" spans="1:3" x14ac:dyDescent="0.25">
      <c r="A1152" s="46" t="s">
        <v>2399</v>
      </c>
      <c r="B1152" s="35">
        <v>0.48681896924972501</v>
      </c>
      <c r="C1152" s="36">
        <v>0.36</v>
      </c>
    </row>
    <row r="1153" spans="1:3" x14ac:dyDescent="0.25">
      <c r="A1153" s="46" t="s">
        <v>2400</v>
      </c>
      <c r="B1153" s="35">
        <v>0.58085107803344704</v>
      </c>
      <c r="C1153" s="36">
        <v>0.28000000000000003</v>
      </c>
    </row>
    <row r="1154" spans="1:3" x14ac:dyDescent="0.25">
      <c r="A1154" s="46" t="s">
        <v>2401</v>
      </c>
      <c r="B1154" s="35">
        <v>0.64309763908386197</v>
      </c>
      <c r="C1154" s="36">
        <v>0.05</v>
      </c>
    </row>
    <row r="1155" spans="1:3" x14ac:dyDescent="0.25">
      <c r="A1155" s="46" t="s">
        <v>2402</v>
      </c>
      <c r="B1155" s="35">
        <v>0.81057268381118697</v>
      </c>
      <c r="C1155" s="36">
        <v>0.15</v>
      </c>
    </row>
    <row r="1156" spans="1:3" x14ac:dyDescent="0.25">
      <c r="A1156" s="46" t="s">
        <v>2403</v>
      </c>
      <c r="B1156" s="35">
        <v>0.63685637712478604</v>
      </c>
      <c r="C1156" s="36">
        <v>0.09</v>
      </c>
    </row>
    <row r="1157" spans="1:3" x14ac:dyDescent="0.25">
      <c r="A1157" s="46" t="s">
        <v>2404</v>
      </c>
      <c r="B1157" s="35">
        <v>0.61279463768005304</v>
      </c>
      <c r="C1157" s="36">
        <v>0.12</v>
      </c>
    </row>
    <row r="1158" spans="1:3" x14ac:dyDescent="0.25">
      <c r="A1158" s="46" t="s">
        <v>2405</v>
      </c>
      <c r="B1158" s="35">
        <v>0.56845754384994496</v>
      </c>
      <c r="C1158" s="36">
        <v>0.08</v>
      </c>
    </row>
    <row r="1159" spans="1:3" x14ac:dyDescent="0.25">
      <c r="A1159" s="46" t="s">
        <v>2406</v>
      </c>
      <c r="B1159" s="35">
        <v>0.53783231973648005</v>
      </c>
      <c r="C1159" s="36">
        <v>0.06</v>
      </c>
    </row>
    <row r="1160" spans="1:3" x14ac:dyDescent="0.25">
      <c r="A1160" s="46" t="s">
        <v>2407</v>
      </c>
      <c r="B1160" s="35">
        <v>0.59485530853271396</v>
      </c>
      <c r="C1160" s="36">
        <v>0.37</v>
      </c>
    </row>
    <row r="1161" spans="1:3" x14ac:dyDescent="0.25">
      <c r="A1161" s="46" t="s">
        <v>2408</v>
      </c>
      <c r="B1161" s="35">
        <v>0.61489361524581898</v>
      </c>
      <c r="C1161" s="36">
        <v>0.03</v>
      </c>
    </row>
    <row r="1162" spans="1:3" x14ac:dyDescent="0.25">
      <c r="A1162" s="46" t="s">
        <v>2409</v>
      </c>
      <c r="B1162" s="35">
        <v>0.36231884360313399</v>
      </c>
      <c r="C1162" s="36">
        <v>0.4</v>
      </c>
    </row>
    <row r="1163" spans="1:3" x14ac:dyDescent="0.25">
      <c r="A1163" s="46" t="s">
        <v>2410</v>
      </c>
      <c r="B1163" s="35">
        <v>0.63205415010452204</v>
      </c>
      <c r="C1163" s="36">
        <v>0.44</v>
      </c>
    </row>
    <row r="1164" spans="1:3" x14ac:dyDescent="0.25">
      <c r="A1164" s="46" t="s">
        <v>2411</v>
      </c>
      <c r="B1164" s="35">
        <v>0.61609196662902799</v>
      </c>
      <c r="C1164" s="36">
        <v>0</v>
      </c>
    </row>
    <row r="1165" spans="1:3" x14ac:dyDescent="0.25">
      <c r="A1165" s="46" t="s">
        <v>2412</v>
      </c>
      <c r="B1165" s="35">
        <v>0.66961652040481501</v>
      </c>
      <c r="C1165" s="36">
        <v>0.23</v>
      </c>
    </row>
    <row r="1166" spans="1:3" x14ac:dyDescent="0.25">
      <c r="A1166" s="46" t="s">
        <v>2413</v>
      </c>
      <c r="B1166" s="35">
        <v>0.49717512726783702</v>
      </c>
      <c r="C1166" s="36">
        <v>0.08</v>
      </c>
    </row>
    <row r="1167" spans="1:3" x14ac:dyDescent="0.25">
      <c r="A1167" s="46" t="s">
        <v>2414</v>
      </c>
      <c r="B1167" s="35">
        <v>0.53744494915008501</v>
      </c>
      <c r="C1167" s="36">
        <v>0.06</v>
      </c>
    </row>
    <row r="1168" spans="1:3" x14ac:dyDescent="0.25">
      <c r="A1168" s="46" t="s">
        <v>2415</v>
      </c>
      <c r="B1168" s="35">
        <v>0.57894736528396595</v>
      </c>
      <c r="C1168" s="36">
        <v>0.32</v>
      </c>
    </row>
    <row r="1169" spans="1:3" x14ac:dyDescent="0.25">
      <c r="A1169" s="46" t="s">
        <v>2416</v>
      </c>
      <c r="B1169" s="35">
        <v>0.64615386724472001</v>
      </c>
      <c r="C1169" s="36">
        <v>0.38</v>
      </c>
    </row>
    <row r="1170" spans="1:3" x14ac:dyDescent="0.25">
      <c r="A1170" s="46" t="s">
        <v>2417</v>
      </c>
      <c r="B1170" s="35">
        <v>0.66666668653488104</v>
      </c>
      <c r="C1170" s="36">
        <v>0.1</v>
      </c>
    </row>
    <row r="1171" spans="1:3" x14ac:dyDescent="0.25">
      <c r="A1171" s="46" t="s">
        <v>2418</v>
      </c>
      <c r="B1171" s="35">
        <v>0.67268621921539296</v>
      </c>
      <c r="C1171" s="36">
        <v>0.04</v>
      </c>
    </row>
    <row r="1172" spans="1:3" x14ac:dyDescent="0.25">
      <c r="A1172" s="46" t="s">
        <v>2419</v>
      </c>
      <c r="B1172" s="35">
        <v>0.45971563458442599</v>
      </c>
      <c r="C1172" s="36">
        <v>0.06</v>
      </c>
    </row>
    <row r="1173" spans="1:3" x14ac:dyDescent="0.25">
      <c r="A1173" s="46" t="s">
        <v>2420</v>
      </c>
      <c r="B1173" s="35">
        <v>0.70393377542495705</v>
      </c>
      <c r="C1173" s="36">
        <v>0.13</v>
      </c>
    </row>
    <row r="1174" spans="1:3" x14ac:dyDescent="0.25">
      <c r="A1174" s="46" t="s">
        <v>2421</v>
      </c>
      <c r="B1174" s="35">
        <v>0.38176637887954701</v>
      </c>
      <c r="C1174" s="36">
        <v>7.0000000000000007E-2</v>
      </c>
    </row>
    <row r="1175" spans="1:3" x14ac:dyDescent="0.25">
      <c r="A1175" s="46" t="s">
        <v>2422</v>
      </c>
      <c r="B1175" s="35">
        <v>0.64542937278747503</v>
      </c>
      <c r="C1175" s="36">
        <v>0.25</v>
      </c>
    </row>
    <row r="1176" spans="1:3" x14ac:dyDescent="0.25">
      <c r="A1176" s="46" t="s">
        <v>2423</v>
      </c>
      <c r="B1176" s="35">
        <v>0.51654678583145097</v>
      </c>
      <c r="C1176" s="36">
        <v>0.37</v>
      </c>
    </row>
    <row r="1177" spans="1:3" x14ac:dyDescent="0.25">
      <c r="A1177" s="46" t="s">
        <v>2424</v>
      </c>
      <c r="B1177" s="35">
        <v>0.66548043489456099</v>
      </c>
      <c r="C1177" s="36">
        <v>0.12</v>
      </c>
    </row>
    <row r="1178" spans="1:3" x14ac:dyDescent="0.25">
      <c r="A1178" s="46" t="s">
        <v>2425</v>
      </c>
      <c r="B1178" s="35">
        <v>0.63106793165206898</v>
      </c>
      <c r="C1178" s="36">
        <v>0.18</v>
      </c>
    </row>
    <row r="1179" spans="1:3" x14ac:dyDescent="0.25">
      <c r="A1179" s="46" t="s">
        <v>2426</v>
      </c>
      <c r="B1179" s="35">
        <v>0.488888889551162</v>
      </c>
      <c r="C1179" s="36">
        <v>0.2</v>
      </c>
    </row>
    <row r="1180" spans="1:3" x14ac:dyDescent="0.25">
      <c r="A1180" s="46" t="s">
        <v>2427</v>
      </c>
      <c r="B1180" s="35">
        <v>0.64666664600372303</v>
      </c>
      <c r="C1180" s="36">
        <v>0.05</v>
      </c>
    </row>
    <row r="1181" spans="1:3" x14ac:dyDescent="0.25">
      <c r="A1181" s="46" t="s">
        <v>2428</v>
      </c>
      <c r="B1181" s="35">
        <v>0.62695926427841098</v>
      </c>
      <c r="C1181" s="36">
        <v>7.0000000000000007E-2</v>
      </c>
    </row>
    <row r="1182" spans="1:3" x14ac:dyDescent="0.25">
      <c r="A1182" s="46" t="s">
        <v>2429</v>
      </c>
      <c r="B1182" s="35">
        <v>0.43544304370880099</v>
      </c>
      <c r="C1182" s="36">
        <v>0.05</v>
      </c>
    </row>
    <row r="1183" spans="1:3" x14ac:dyDescent="0.25">
      <c r="A1183" s="46" t="s">
        <v>2430</v>
      </c>
      <c r="B1183" s="35">
        <v>0.64705884456634499</v>
      </c>
      <c r="C1183" s="36">
        <v>0.05</v>
      </c>
    </row>
    <row r="1184" spans="1:3" x14ac:dyDescent="0.25">
      <c r="A1184" s="46" t="s">
        <v>2431</v>
      </c>
      <c r="B1184" s="35">
        <v>0.59219861030578602</v>
      </c>
      <c r="C1184" s="36">
        <v>0.04</v>
      </c>
    </row>
    <row r="1185" spans="1:3" x14ac:dyDescent="0.25">
      <c r="A1185" s="46" t="s">
        <v>2432</v>
      </c>
      <c r="B1185" s="35">
        <v>0.63727957010269098</v>
      </c>
      <c r="C1185" s="36">
        <v>0.04</v>
      </c>
    </row>
    <row r="1186" spans="1:3" x14ac:dyDescent="0.25">
      <c r="A1186" s="46" t="s">
        <v>2433</v>
      </c>
      <c r="B1186" s="35">
        <v>0.68641114234924305</v>
      </c>
      <c r="C1186" s="36">
        <v>0.12</v>
      </c>
    </row>
    <row r="1187" spans="1:3" x14ac:dyDescent="0.25">
      <c r="A1187" s="46" t="s">
        <v>2434</v>
      </c>
      <c r="B1187" s="35">
        <v>0.66440677642822199</v>
      </c>
      <c r="C1187" s="36">
        <v>0</v>
      </c>
    </row>
    <row r="1188" spans="1:3" x14ac:dyDescent="0.25">
      <c r="A1188" s="46" t="s">
        <v>2435</v>
      </c>
      <c r="B1188" s="35">
        <v>0.61279463768005304</v>
      </c>
      <c r="C1188" s="36">
        <v>0.09</v>
      </c>
    </row>
    <row r="1189" spans="1:3" x14ac:dyDescent="0.25">
      <c r="A1189" s="46" t="s">
        <v>2436</v>
      </c>
      <c r="B1189" s="35">
        <v>0.62299466133117598</v>
      </c>
      <c r="C1189" s="36">
        <v>0.12</v>
      </c>
    </row>
    <row r="1190" spans="1:3" x14ac:dyDescent="0.25">
      <c r="A1190" s="46" t="s">
        <v>2437</v>
      </c>
      <c r="B1190" s="35">
        <v>0.62857145071029596</v>
      </c>
      <c r="C1190" s="36">
        <v>0.36</v>
      </c>
    </row>
    <row r="1191" spans="1:3" x14ac:dyDescent="0.25">
      <c r="A1191" s="46" t="s">
        <v>2438</v>
      </c>
      <c r="B1191" s="35">
        <v>0.50186568498611395</v>
      </c>
      <c r="C1191" s="36">
        <v>0.23</v>
      </c>
    </row>
    <row r="1192" spans="1:3" x14ac:dyDescent="0.25">
      <c r="A1192" s="46" t="s">
        <v>2439</v>
      </c>
      <c r="B1192" s="35">
        <v>0.79017859697341897</v>
      </c>
      <c r="C1192" s="36">
        <v>0.13</v>
      </c>
    </row>
    <row r="1193" spans="1:3" x14ac:dyDescent="0.25">
      <c r="A1193" s="46" t="s">
        <v>2440</v>
      </c>
      <c r="B1193" s="35">
        <v>0.64935064315795898</v>
      </c>
      <c r="C1193" s="36">
        <v>0.12</v>
      </c>
    </row>
    <row r="1194" spans="1:3" x14ac:dyDescent="0.25">
      <c r="A1194" s="46" t="s">
        <v>2441</v>
      </c>
      <c r="B1194" s="35">
        <v>0.55622488260269098</v>
      </c>
      <c r="C1194" s="36">
        <v>0.13</v>
      </c>
    </row>
    <row r="1195" spans="1:3" x14ac:dyDescent="0.25">
      <c r="A1195" s="46" t="s">
        <v>2442</v>
      </c>
      <c r="B1195" s="35">
        <v>0.54935622215270996</v>
      </c>
      <c r="C1195" s="36">
        <v>0.23</v>
      </c>
    </row>
    <row r="1196" spans="1:3" x14ac:dyDescent="0.25">
      <c r="A1196" s="46" t="s">
        <v>2443</v>
      </c>
      <c r="B1196" s="35">
        <v>0.64741641283035201</v>
      </c>
      <c r="C1196" s="36">
        <v>0.06</v>
      </c>
    </row>
    <row r="1197" spans="1:3" x14ac:dyDescent="0.25">
      <c r="A1197" s="46" t="s">
        <v>2444</v>
      </c>
      <c r="B1197" s="35">
        <v>0.68736618757247903</v>
      </c>
      <c r="C1197" s="36">
        <v>0</v>
      </c>
    </row>
    <row r="1198" spans="1:3" x14ac:dyDescent="0.25">
      <c r="A1198" s="46" t="s">
        <v>2445</v>
      </c>
      <c r="B1198" s="35">
        <v>0.54128438234329201</v>
      </c>
      <c r="C1198" s="36">
        <v>0.28000000000000003</v>
      </c>
    </row>
    <row r="1199" spans="1:3" x14ac:dyDescent="0.25">
      <c r="A1199" s="46" t="s">
        <v>2446</v>
      </c>
      <c r="B1199" s="35">
        <v>0.58939093351364102</v>
      </c>
      <c r="C1199" s="36">
        <v>0.2</v>
      </c>
    </row>
    <row r="1200" spans="1:3" x14ac:dyDescent="0.25">
      <c r="A1200" s="46" t="s">
        <v>2447</v>
      </c>
      <c r="B1200" s="35">
        <v>0.47852760553359902</v>
      </c>
      <c r="C1200" s="36">
        <v>0.28000000000000003</v>
      </c>
    </row>
    <row r="1201" spans="1:3" x14ac:dyDescent="0.25">
      <c r="A1201" s="46" t="s">
        <v>2448</v>
      </c>
      <c r="B1201" s="35">
        <v>0.47505423426628102</v>
      </c>
      <c r="C1201" s="36">
        <v>0.36</v>
      </c>
    </row>
    <row r="1202" spans="1:3" x14ac:dyDescent="0.25">
      <c r="A1202" s="46" t="s">
        <v>2449</v>
      </c>
      <c r="B1202" s="35">
        <v>0.62252962589263905</v>
      </c>
      <c r="C1202" s="36">
        <v>0.2</v>
      </c>
    </row>
    <row r="1203" spans="1:3" x14ac:dyDescent="0.25">
      <c r="A1203" s="46" t="s">
        <v>2450</v>
      </c>
      <c r="B1203" s="35">
        <v>0.56404960155487005</v>
      </c>
      <c r="C1203" s="36">
        <v>0.21</v>
      </c>
    </row>
    <row r="1204" spans="1:3" x14ac:dyDescent="0.25">
      <c r="A1204" s="46" t="s">
        <v>2451</v>
      </c>
      <c r="B1204" s="35">
        <v>0.48181816935539201</v>
      </c>
      <c r="C1204" s="36">
        <v>0.21</v>
      </c>
    </row>
    <row r="1205" spans="1:3" x14ac:dyDescent="0.25">
      <c r="A1205" s="46" t="s">
        <v>2452</v>
      </c>
      <c r="B1205" s="35">
        <v>0.53726172447204501</v>
      </c>
      <c r="C1205" s="36">
        <v>0.39</v>
      </c>
    </row>
    <row r="1206" spans="1:3" x14ac:dyDescent="0.25">
      <c r="A1206" s="46" t="s">
        <v>2453</v>
      </c>
      <c r="B1206" s="35">
        <v>0.66233766078948897</v>
      </c>
      <c r="C1206" s="36">
        <v>0.24</v>
      </c>
    </row>
    <row r="1207" spans="1:3" x14ac:dyDescent="0.25">
      <c r="A1207" s="46" t="s">
        <v>2454</v>
      </c>
      <c r="B1207" s="35">
        <v>0.67666667699813798</v>
      </c>
      <c r="C1207" s="36">
        <v>0.04</v>
      </c>
    </row>
    <row r="1208" spans="1:3" x14ac:dyDescent="0.25">
      <c r="A1208" s="46" t="s">
        <v>1084</v>
      </c>
      <c r="B1208" s="35">
        <v>0.68044078350067105</v>
      </c>
      <c r="C1208" s="36">
        <v>0.46</v>
      </c>
    </row>
    <row r="1209" spans="1:3" x14ac:dyDescent="0.25">
      <c r="A1209" s="46" t="s">
        <v>2455</v>
      </c>
      <c r="B1209" s="35">
        <v>0.34736841917037897</v>
      </c>
      <c r="C1209" s="36">
        <v>0.52</v>
      </c>
    </row>
    <row r="1210" spans="1:3" x14ac:dyDescent="0.25">
      <c r="A1210" s="46" t="s">
        <v>2456</v>
      </c>
      <c r="B1210" s="35">
        <v>0.43107768893241799</v>
      </c>
      <c r="C1210" s="36">
        <v>0.65</v>
      </c>
    </row>
    <row r="1211" spans="1:3" x14ac:dyDescent="0.25">
      <c r="A1211" s="46" t="s">
        <v>2457</v>
      </c>
      <c r="B1211" s="35">
        <v>0.63617020845413197</v>
      </c>
      <c r="C1211" s="36">
        <v>0</v>
      </c>
    </row>
    <row r="1212" spans="1:3" x14ac:dyDescent="0.25">
      <c r="A1212" s="46" t="s">
        <v>2458</v>
      </c>
      <c r="B1212" s="35">
        <v>0.67981439828872603</v>
      </c>
      <c r="C1212" s="36">
        <v>7.0000000000000007E-2</v>
      </c>
    </row>
    <row r="1213" spans="1:3" x14ac:dyDescent="0.25">
      <c r="A1213" s="46" t="s">
        <v>2459</v>
      </c>
      <c r="B1213" s="35">
        <v>0.60000002384185702</v>
      </c>
      <c r="C1213" s="36">
        <v>0.4</v>
      </c>
    </row>
    <row r="1214" spans="1:3" x14ac:dyDescent="0.25">
      <c r="A1214" s="46" t="s">
        <v>2460</v>
      </c>
      <c r="B1214" s="35">
        <v>0.69739955663680997</v>
      </c>
      <c r="C1214" s="36">
        <v>0</v>
      </c>
    </row>
    <row r="1215" spans="1:3" x14ac:dyDescent="0.25">
      <c r="A1215" s="46" t="s">
        <v>2461</v>
      </c>
      <c r="B1215" s="35">
        <v>0.64435946941375699</v>
      </c>
      <c r="C1215" s="36">
        <v>0</v>
      </c>
    </row>
    <row r="1216" spans="1:3" x14ac:dyDescent="0.25">
      <c r="A1216" s="46" t="s">
        <v>2462</v>
      </c>
      <c r="B1216" s="35">
        <v>0.64206641912460305</v>
      </c>
      <c r="C1216" s="36">
        <v>0</v>
      </c>
    </row>
    <row r="1217" spans="1:3" x14ac:dyDescent="0.25">
      <c r="A1217" s="46" t="s">
        <v>2463</v>
      </c>
      <c r="B1217" s="35">
        <v>0.62477558851241999</v>
      </c>
      <c r="C1217" s="36">
        <v>0</v>
      </c>
    </row>
    <row r="1218" spans="1:3" x14ac:dyDescent="0.25">
      <c r="A1218" s="46" t="s">
        <v>2464</v>
      </c>
      <c r="B1218" s="35">
        <v>0.60639774799346902</v>
      </c>
      <c r="C1218" s="36">
        <v>0</v>
      </c>
    </row>
    <row r="1219" spans="1:3" x14ac:dyDescent="0.25">
      <c r="A1219" s="46" t="s">
        <v>2465</v>
      </c>
      <c r="B1219" s="35">
        <v>0.5</v>
      </c>
      <c r="C1219" s="36">
        <v>0.39</v>
      </c>
    </row>
    <row r="1220" spans="1:3" x14ac:dyDescent="0.25">
      <c r="A1220" s="46" t="s">
        <v>2466</v>
      </c>
      <c r="B1220" s="35">
        <v>0.46917808055877602</v>
      </c>
      <c r="C1220" s="36">
        <v>0.34</v>
      </c>
    </row>
    <row r="1221" spans="1:3" x14ac:dyDescent="0.25">
      <c r="A1221" s="46" t="s">
        <v>2467</v>
      </c>
      <c r="B1221" s="35">
        <v>0.66974598169326705</v>
      </c>
      <c r="C1221" s="36">
        <v>0</v>
      </c>
    </row>
    <row r="1222" spans="1:3" x14ac:dyDescent="0.25">
      <c r="A1222" s="46" t="s">
        <v>2468</v>
      </c>
      <c r="B1222" s="35">
        <v>0.582802534103393</v>
      </c>
      <c r="C1222" s="36">
        <v>0</v>
      </c>
    </row>
    <row r="1223" spans="1:3" x14ac:dyDescent="0.25">
      <c r="A1223" s="46" t="s">
        <v>2469</v>
      </c>
      <c r="B1223" s="35">
        <v>0.61297541856765703</v>
      </c>
      <c r="C1223" s="36">
        <v>0</v>
      </c>
    </row>
    <row r="1224" spans="1:3" x14ac:dyDescent="0.25">
      <c r="A1224" s="46" t="s">
        <v>2470</v>
      </c>
      <c r="B1224" s="35">
        <v>0.62753951549529996</v>
      </c>
      <c r="C1224" s="36">
        <v>0</v>
      </c>
    </row>
    <row r="1225" spans="1:3" x14ac:dyDescent="0.25">
      <c r="A1225" s="46" t="s">
        <v>2471</v>
      </c>
      <c r="B1225" s="35">
        <v>0.64084506034850997</v>
      </c>
      <c r="C1225" s="36">
        <v>0</v>
      </c>
    </row>
    <row r="1226" spans="1:3" x14ac:dyDescent="0.25">
      <c r="A1226" s="46" t="s">
        <v>2472</v>
      </c>
      <c r="B1226" s="35">
        <v>0.60829490423202504</v>
      </c>
      <c r="C1226" s="36">
        <v>0</v>
      </c>
    </row>
    <row r="1227" spans="1:3" x14ac:dyDescent="0.25">
      <c r="A1227" s="46" t="s">
        <v>2473</v>
      </c>
      <c r="B1227" s="35">
        <v>0.68301886320114102</v>
      </c>
      <c r="C1227" s="36">
        <v>0</v>
      </c>
    </row>
    <row r="1228" spans="1:3" x14ac:dyDescent="0.25">
      <c r="A1228" s="46" t="s">
        <v>2474</v>
      </c>
      <c r="B1228" s="35">
        <v>0.560796618461608</v>
      </c>
      <c r="C1228" s="36">
        <v>0.47</v>
      </c>
    </row>
    <row r="1229" spans="1:3" x14ac:dyDescent="0.25">
      <c r="A1229" s="46" t="s">
        <v>2475</v>
      </c>
      <c r="B1229" s="35">
        <v>0.60990101099014205</v>
      </c>
      <c r="C1229" s="36">
        <v>0</v>
      </c>
    </row>
    <row r="1230" spans="1:3" x14ac:dyDescent="0.25">
      <c r="A1230" s="46" t="s">
        <v>2476</v>
      </c>
      <c r="B1230" s="35">
        <v>0.65866667032241799</v>
      </c>
      <c r="C1230" s="36">
        <v>0</v>
      </c>
    </row>
    <row r="1231" spans="1:3" x14ac:dyDescent="0.25">
      <c r="A1231" s="46" t="s">
        <v>2477</v>
      </c>
      <c r="B1231" s="35">
        <v>0.5</v>
      </c>
      <c r="C1231" s="36">
        <v>0.4</v>
      </c>
    </row>
    <row r="1232" spans="1:3" x14ac:dyDescent="0.25">
      <c r="A1232" s="46" t="s">
        <v>2478</v>
      </c>
      <c r="B1232" s="35">
        <v>0.66744184494018499</v>
      </c>
      <c r="C1232" s="36">
        <v>0</v>
      </c>
    </row>
    <row r="1233" spans="1:3" x14ac:dyDescent="0.25">
      <c r="A1233" s="46" t="s">
        <v>2479</v>
      </c>
      <c r="B1233" s="35">
        <v>0.68301886320114102</v>
      </c>
      <c r="C1233" s="36">
        <v>0</v>
      </c>
    </row>
    <row r="1234" spans="1:3" x14ac:dyDescent="0.25">
      <c r="A1234" s="46" t="s">
        <v>2480</v>
      </c>
      <c r="B1234" s="35">
        <v>0.66839379072189298</v>
      </c>
      <c r="C1234" s="36">
        <v>0</v>
      </c>
    </row>
    <row r="1235" spans="1:3" x14ac:dyDescent="0.25">
      <c r="A1235" s="46" t="s">
        <v>2481</v>
      </c>
      <c r="B1235" s="35">
        <v>0.63926941156387296</v>
      </c>
      <c r="C1235" s="36">
        <v>0</v>
      </c>
    </row>
    <row r="1236" spans="1:3" x14ac:dyDescent="0.25">
      <c r="A1236" s="46" t="s">
        <v>2482</v>
      </c>
      <c r="B1236" s="35">
        <v>0.61784899234771695</v>
      </c>
      <c r="C1236" s="36">
        <v>0</v>
      </c>
    </row>
    <row r="1237" spans="1:3" x14ac:dyDescent="0.25">
      <c r="A1237" s="46" t="s">
        <v>2483</v>
      </c>
      <c r="B1237" s="35">
        <v>0.597276270389556</v>
      </c>
      <c r="C1237" s="36">
        <v>0</v>
      </c>
    </row>
    <row r="1238" spans="1:3" x14ac:dyDescent="0.25">
      <c r="A1238" s="46" t="s">
        <v>2484</v>
      </c>
      <c r="B1238" s="35">
        <v>0.63181149959564198</v>
      </c>
      <c r="C1238" s="36">
        <v>0</v>
      </c>
    </row>
    <row r="1239" spans="1:3" x14ac:dyDescent="0.25">
      <c r="A1239" s="46" t="s">
        <v>2485</v>
      </c>
      <c r="B1239" s="35">
        <v>0.65071767568588201</v>
      </c>
      <c r="C1239" s="36">
        <v>0</v>
      </c>
    </row>
    <row r="1240" spans="1:3" x14ac:dyDescent="0.25">
      <c r="A1240" s="46" t="s">
        <v>2486</v>
      </c>
      <c r="B1240" s="35">
        <v>0.67458432912826505</v>
      </c>
      <c r="C1240" s="36">
        <v>0</v>
      </c>
    </row>
    <row r="1241" spans="1:3" x14ac:dyDescent="0.25">
      <c r="A1241" s="46" t="s">
        <v>2487</v>
      </c>
      <c r="B1241" s="35">
        <v>0.61616164445876997</v>
      </c>
      <c r="C1241" s="36">
        <v>0</v>
      </c>
    </row>
    <row r="1242" spans="1:3" x14ac:dyDescent="0.25">
      <c r="A1242" s="46" t="s">
        <v>2488</v>
      </c>
      <c r="B1242" s="35">
        <v>0.65048545598983698</v>
      </c>
      <c r="C1242" s="36">
        <v>0</v>
      </c>
    </row>
    <row r="1243" spans="1:3" x14ac:dyDescent="0.25">
      <c r="A1243" s="46" t="s">
        <v>2489</v>
      </c>
      <c r="B1243" s="35">
        <v>0.85042732954025202</v>
      </c>
      <c r="C1243" s="36">
        <v>0</v>
      </c>
    </row>
    <row r="1244" spans="1:3" x14ac:dyDescent="0.25">
      <c r="A1244" s="46" t="s">
        <v>2490</v>
      </c>
      <c r="B1244" s="35">
        <v>0.5625</v>
      </c>
      <c r="C1244" s="36">
        <v>0</v>
      </c>
    </row>
    <row r="1245" spans="1:3" x14ac:dyDescent="0.25">
      <c r="A1245" s="46" t="s">
        <v>2491</v>
      </c>
      <c r="B1245" s="35">
        <v>0.66229510307312001</v>
      </c>
      <c r="C1245" s="36">
        <v>0.28000000000000003</v>
      </c>
    </row>
    <row r="1246" spans="1:3" x14ac:dyDescent="0.25">
      <c r="A1246" s="46" t="s">
        <v>2492</v>
      </c>
      <c r="B1246" s="35">
        <v>0.64434182643890303</v>
      </c>
      <c r="C1246" s="36">
        <v>0</v>
      </c>
    </row>
    <row r="1247" spans="1:3" x14ac:dyDescent="0.25">
      <c r="A1247" s="46" t="s">
        <v>2493</v>
      </c>
      <c r="B1247" s="35">
        <v>0.66401588916778498</v>
      </c>
      <c r="C1247" s="36">
        <v>0.24</v>
      </c>
    </row>
    <row r="1248" spans="1:3" x14ac:dyDescent="0.25">
      <c r="A1248" s="46" t="s">
        <v>2494</v>
      </c>
      <c r="B1248" s="35">
        <v>0.667452812194824</v>
      </c>
      <c r="C1248" s="36">
        <v>0</v>
      </c>
    </row>
    <row r="1249" spans="1:3" x14ac:dyDescent="0.25">
      <c r="A1249" s="46" t="s">
        <v>2495</v>
      </c>
      <c r="B1249" s="35">
        <v>0.52408760786056496</v>
      </c>
      <c r="C1249" s="36">
        <v>0</v>
      </c>
    </row>
    <row r="1250" spans="1:3" x14ac:dyDescent="0.25">
      <c r="A1250" s="46" t="s">
        <v>2496</v>
      </c>
      <c r="B1250" s="35">
        <v>0.51400732994079501</v>
      </c>
      <c r="C1250" s="36">
        <v>0.41</v>
      </c>
    </row>
    <row r="1251" spans="1:3" x14ac:dyDescent="0.25">
      <c r="A1251" s="46" t="s">
        <v>2497</v>
      </c>
      <c r="B1251" s="35">
        <v>0.57704919576644897</v>
      </c>
      <c r="C1251" s="36">
        <v>0.1</v>
      </c>
    </row>
    <row r="1252" spans="1:3" x14ac:dyDescent="0.25">
      <c r="A1252" s="46" t="s">
        <v>2498</v>
      </c>
      <c r="B1252" s="35">
        <v>0.55685132741928101</v>
      </c>
      <c r="C1252" s="36">
        <v>0.37</v>
      </c>
    </row>
    <row r="1253" spans="1:3" x14ac:dyDescent="0.25">
      <c r="A1253" s="46" t="s">
        <v>2499</v>
      </c>
      <c r="B1253" s="35">
        <v>0.46892654895782399</v>
      </c>
      <c r="C1253" s="36">
        <v>0.39</v>
      </c>
    </row>
    <row r="1254" spans="1:3" x14ac:dyDescent="0.25">
      <c r="A1254" s="46" t="s">
        <v>2500</v>
      </c>
      <c r="B1254" s="35">
        <v>0.54374998807907104</v>
      </c>
      <c r="C1254" s="36">
        <v>0.09</v>
      </c>
    </row>
    <row r="1255" spans="1:3" x14ac:dyDescent="0.25">
      <c r="A1255" s="46" t="s">
        <v>986</v>
      </c>
      <c r="B1255" s="35">
        <v>0.68611109256744296</v>
      </c>
      <c r="C1255" s="36">
        <v>0.59</v>
      </c>
    </row>
    <row r="1256" spans="1:3" x14ac:dyDescent="0.25">
      <c r="A1256" s="46" t="s">
        <v>942</v>
      </c>
      <c r="B1256" s="35">
        <v>0.64829397201537997</v>
      </c>
      <c r="C1256" s="36">
        <v>0.59</v>
      </c>
    </row>
    <row r="1257" spans="1:3" x14ac:dyDescent="0.25">
      <c r="A1257" s="46" t="s">
        <v>1150</v>
      </c>
      <c r="B1257" s="35">
        <v>0.58563536405563299</v>
      </c>
      <c r="C1257" s="36">
        <v>0.4</v>
      </c>
    </row>
    <row r="1258" spans="1:3" x14ac:dyDescent="0.25">
      <c r="A1258" s="46" t="s">
        <v>1152</v>
      </c>
      <c r="B1258" s="35">
        <v>0.54381442070007302</v>
      </c>
      <c r="C1258" s="36">
        <v>0.49</v>
      </c>
    </row>
    <row r="1259" spans="1:3" x14ac:dyDescent="0.25">
      <c r="A1259" s="46" t="s">
        <v>964</v>
      </c>
      <c r="B1259" s="35">
        <v>0.53937947750091497</v>
      </c>
      <c r="C1259" s="36">
        <v>0.42</v>
      </c>
    </row>
    <row r="1260" spans="1:3" x14ac:dyDescent="0.25">
      <c r="A1260" s="46" t="s">
        <v>2501</v>
      </c>
      <c r="B1260" s="35">
        <v>0.52893519401550204</v>
      </c>
      <c r="C1260" s="36">
        <v>0.57999999999999996</v>
      </c>
    </row>
    <row r="1261" spans="1:3" x14ac:dyDescent="0.25">
      <c r="A1261" s="46" t="s">
        <v>2502</v>
      </c>
      <c r="B1261" s="35">
        <v>0.54022985696792603</v>
      </c>
      <c r="C1261" s="36">
        <v>0.41</v>
      </c>
    </row>
    <row r="1262" spans="1:3" x14ac:dyDescent="0.25">
      <c r="A1262" s="46" t="s">
        <v>2503</v>
      </c>
      <c r="B1262" s="35">
        <v>0.51301115751266402</v>
      </c>
      <c r="C1262" s="36">
        <v>0.45</v>
      </c>
    </row>
    <row r="1263" spans="1:3" x14ac:dyDescent="0.25">
      <c r="A1263" s="46" t="s">
        <v>948</v>
      </c>
      <c r="B1263" s="35">
        <v>0.59745764732360795</v>
      </c>
      <c r="C1263" s="36">
        <v>0.39</v>
      </c>
    </row>
    <row r="1264" spans="1:3" x14ac:dyDescent="0.25">
      <c r="A1264" s="46" t="s">
        <v>2504</v>
      </c>
      <c r="B1264" s="35">
        <v>0.47262772917747498</v>
      </c>
      <c r="C1264" s="36">
        <v>0.39</v>
      </c>
    </row>
    <row r="1265" spans="1:3" x14ac:dyDescent="0.25">
      <c r="A1265" s="46" t="s">
        <v>2505</v>
      </c>
      <c r="B1265" s="35">
        <v>0.63171356916427601</v>
      </c>
      <c r="C1265" s="36">
        <v>0.34</v>
      </c>
    </row>
    <row r="1266" spans="1:3" x14ac:dyDescent="0.25">
      <c r="A1266" s="46" t="s">
        <v>2506</v>
      </c>
      <c r="B1266" s="35">
        <v>0.49567100405692999</v>
      </c>
      <c r="C1266" s="36">
        <v>0.44</v>
      </c>
    </row>
    <row r="1267" spans="1:3" x14ac:dyDescent="0.25">
      <c r="A1267" s="46" t="s">
        <v>2507</v>
      </c>
      <c r="B1267" s="35">
        <v>0.44779115915298401</v>
      </c>
      <c r="C1267" s="36">
        <v>0.56999999999999995</v>
      </c>
    </row>
    <row r="1268" spans="1:3" x14ac:dyDescent="0.25">
      <c r="A1268" s="46" t="s">
        <v>2508</v>
      </c>
      <c r="B1268" s="35">
        <v>0.48828125</v>
      </c>
      <c r="C1268" s="36">
        <v>0.45</v>
      </c>
    </row>
    <row r="1269" spans="1:3" x14ac:dyDescent="0.25">
      <c r="A1269" s="46" t="s">
        <v>2509</v>
      </c>
      <c r="B1269" s="35">
        <v>0.58130079507827703</v>
      </c>
      <c r="C1269" s="36">
        <v>0.23</v>
      </c>
    </row>
    <row r="1270" spans="1:3" x14ac:dyDescent="0.25">
      <c r="A1270" s="46" t="s">
        <v>2510</v>
      </c>
      <c r="B1270" s="35">
        <v>0.58446604013442904</v>
      </c>
      <c r="C1270" s="36">
        <v>0.48</v>
      </c>
    </row>
    <row r="1271" spans="1:3" x14ac:dyDescent="0.25">
      <c r="A1271" s="46" t="s">
        <v>2511</v>
      </c>
      <c r="B1271" s="35">
        <v>0.56106871366500799</v>
      </c>
      <c r="C1271" s="36">
        <v>0.34</v>
      </c>
    </row>
    <row r="1272" spans="1:3" x14ac:dyDescent="0.25">
      <c r="A1272" s="46" t="s">
        <v>2512</v>
      </c>
      <c r="B1272" s="35">
        <v>0.42900303006172102</v>
      </c>
      <c r="C1272" s="36">
        <v>0.08</v>
      </c>
    </row>
    <row r="1273" spans="1:3" x14ac:dyDescent="0.25">
      <c r="A1273" s="46" t="s">
        <v>2513</v>
      </c>
      <c r="B1273" s="35">
        <v>0.65133172273635798</v>
      </c>
      <c r="C1273" s="36">
        <v>0.09</v>
      </c>
    </row>
    <row r="1274" spans="1:3" x14ac:dyDescent="0.25">
      <c r="A1274" s="46" t="s">
        <v>2514</v>
      </c>
      <c r="B1274" s="35">
        <v>0.55230122804641701</v>
      </c>
      <c r="C1274" s="36">
        <v>0.02</v>
      </c>
    </row>
    <row r="1275" spans="1:3" x14ac:dyDescent="0.25">
      <c r="A1275" s="46" t="s">
        <v>2515</v>
      </c>
      <c r="B1275" s="35">
        <v>0.55578947067260698</v>
      </c>
      <c r="C1275" s="36">
        <v>0.03</v>
      </c>
    </row>
    <row r="1276" spans="1:3" x14ac:dyDescent="0.25">
      <c r="A1276" s="46" t="s">
        <v>2516</v>
      </c>
      <c r="B1276" s="35">
        <v>0.63366335630416804</v>
      </c>
      <c r="C1276" s="36">
        <v>0.09</v>
      </c>
    </row>
    <row r="1277" spans="1:3" x14ac:dyDescent="0.25">
      <c r="A1277" s="46" t="s">
        <v>2517</v>
      </c>
      <c r="B1277" s="35">
        <v>0.63097947835922197</v>
      </c>
      <c r="C1277" s="36">
        <v>0.35</v>
      </c>
    </row>
    <row r="1278" spans="1:3" x14ac:dyDescent="0.25">
      <c r="A1278" s="46" t="s">
        <v>2518</v>
      </c>
      <c r="B1278" s="35">
        <v>0.51936221122741699</v>
      </c>
      <c r="C1278" s="36">
        <v>0.23</v>
      </c>
    </row>
    <row r="1279" spans="1:3" x14ac:dyDescent="0.25">
      <c r="A1279" s="46" t="s">
        <v>2519</v>
      </c>
      <c r="B1279" s="35">
        <v>0.55000001192092896</v>
      </c>
      <c r="C1279" s="36">
        <v>0</v>
      </c>
    </row>
    <row r="1280" spans="1:3" x14ac:dyDescent="0.25">
      <c r="A1280" s="46" t="s">
        <v>2520</v>
      </c>
      <c r="B1280" s="35">
        <v>0.60606062412261896</v>
      </c>
      <c r="C1280" s="36">
        <v>0.15</v>
      </c>
    </row>
    <row r="1281" spans="1:3" x14ac:dyDescent="0.25">
      <c r="A1281" s="46" t="s">
        <v>2521</v>
      </c>
      <c r="B1281" s="35">
        <v>0.55500823259353604</v>
      </c>
      <c r="C1281" s="36">
        <v>0.14000000000000001</v>
      </c>
    </row>
    <row r="1282" spans="1:3" x14ac:dyDescent="0.25">
      <c r="A1282" s="46" t="s">
        <v>2522</v>
      </c>
      <c r="B1282" s="35">
        <v>0.43928572535514798</v>
      </c>
      <c r="C1282" s="36">
        <v>0.09</v>
      </c>
    </row>
    <row r="1283" spans="1:3" x14ac:dyDescent="0.25">
      <c r="A1283" s="46" t="s">
        <v>2523</v>
      </c>
      <c r="B1283" s="35">
        <v>0.85031849145889205</v>
      </c>
      <c r="C1283" s="36">
        <v>0.26</v>
      </c>
    </row>
    <row r="1284" spans="1:3" x14ac:dyDescent="0.25">
      <c r="A1284" s="46" t="s">
        <v>2524</v>
      </c>
      <c r="B1284" s="35">
        <v>0.44070512056350702</v>
      </c>
      <c r="C1284" s="36">
        <v>0.12</v>
      </c>
    </row>
    <row r="1285" spans="1:3" x14ac:dyDescent="0.25">
      <c r="A1285" s="46" t="s">
        <v>2525</v>
      </c>
      <c r="B1285" s="35">
        <v>0.33490565419196999</v>
      </c>
      <c r="C1285" s="36">
        <v>0.22</v>
      </c>
    </row>
    <row r="1286" spans="1:3" x14ac:dyDescent="0.25">
      <c r="A1286" s="46" t="s">
        <v>2526</v>
      </c>
      <c r="B1286" s="35">
        <v>0.59738135337829501</v>
      </c>
      <c r="C1286" s="36">
        <v>0</v>
      </c>
    </row>
    <row r="1287" spans="1:3" x14ac:dyDescent="0.25">
      <c r="A1287" s="46" t="s">
        <v>2527</v>
      </c>
      <c r="B1287" s="35">
        <v>0.45806452631950301</v>
      </c>
      <c r="C1287" s="36">
        <v>0</v>
      </c>
    </row>
    <row r="1288" spans="1:3" x14ac:dyDescent="0.25">
      <c r="A1288" s="46" t="s">
        <v>2528</v>
      </c>
      <c r="B1288" s="35">
        <v>0.68070173263549805</v>
      </c>
      <c r="C1288" s="36">
        <v>0</v>
      </c>
    </row>
    <row r="1289" spans="1:3" x14ac:dyDescent="0.25">
      <c r="A1289" s="46" t="s">
        <v>2529</v>
      </c>
      <c r="B1289" s="35">
        <v>0.543778777122497</v>
      </c>
      <c r="C1289" s="36">
        <v>0.26</v>
      </c>
    </row>
    <row r="1290" spans="1:3" x14ac:dyDescent="0.25">
      <c r="A1290" s="46" t="s">
        <v>2530</v>
      </c>
      <c r="B1290" s="35">
        <v>0.64169383049011197</v>
      </c>
      <c r="C1290" s="36">
        <v>0.11</v>
      </c>
    </row>
    <row r="1291" spans="1:3" x14ac:dyDescent="0.25">
      <c r="A1291" s="46" t="s">
        <v>2531</v>
      </c>
      <c r="B1291" s="35">
        <v>0.63581186532974199</v>
      </c>
      <c r="C1291" s="36">
        <v>0.24</v>
      </c>
    </row>
    <row r="1292" spans="1:3" x14ac:dyDescent="0.25">
      <c r="A1292" s="46" t="s">
        <v>2532</v>
      </c>
      <c r="B1292" s="35">
        <v>0.63939392566680897</v>
      </c>
      <c r="C1292" s="36">
        <v>0.22</v>
      </c>
    </row>
    <row r="1293" spans="1:3" x14ac:dyDescent="0.25">
      <c r="A1293" s="46" t="s">
        <v>2533</v>
      </c>
      <c r="B1293" s="35">
        <v>0.59183675050735396</v>
      </c>
      <c r="C1293" s="36">
        <v>0.28000000000000003</v>
      </c>
    </row>
    <row r="1294" spans="1:3" x14ac:dyDescent="0.25">
      <c r="A1294" s="46" t="s">
        <v>2534</v>
      </c>
      <c r="B1294" s="35">
        <v>0.89716309309005704</v>
      </c>
      <c r="C1294" s="36">
        <v>0.17</v>
      </c>
    </row>
    <row r="1295" spans="1:3" x14ac:dyDescent="0.25">
      <c r="A1295" s="46" t="s">
        <v>2535</v>
      </c>
      <c r="B1295" s="35">
        <v>0.52450090646743697</v>
      </c>
      <c r="C1295" s="36">
        <v>0.47</v>
      </c>
    </row>
    <row r="1296" spans="1:3" x14ac:dyDescent="0.25">
      <c r="A1296" s="46" t="s">
        <v>2536</v>
      </c>
      <c r="B1296" s="35">
        <v>0.43154245615005399</v>
      </c>
      <c r="C1296" s="36">
        <v>0.21</v>
      </c>
    </row>
    <row r="1297" spans="1:3" x14ac:dyDescent="0.25">
      <c r="A1297" s="46" t="s">
        <v>2537</v>
      </c>
      <c r="B1297" s="35">
        <v>0.629067242145538</v>
      </c>
      <c r="C1297" s="36">
        <v>0.23</v>
      </c>
    </row>
    <row r="1298" spans="1:3" x14ac:dyDescent="0.25">
      <c r="A1298" s="46" t="s">
        <v>2538</v>
      </c>
      <c r="B1298" s="35">
        <v>0.45634919404983498</v>
      </c>
      <c r="C1298" s="36">
        <v>0.34</v>
      </c>
    </row>
    <row r="1299" spans="1:3" x14ac:dyDescent="0.25">
      <c r="A1299" s="46" t="s">
        <v>2539</v>
      </c>
      <c r="B1299" s="35">
        <v>0.41335740685462902</v>
      </c>
      <c r="C1299" s="36">
        <v>0.14000000000000001</v>
      </c>
    </row>
    <row r="1300" spans="1:3" x14ac:dyDescent="0.25">
      <c r="A1300" s="46" t="s">
        <v>2540</v>
      </c>
      <c r="B1300" s="35">
        <v>0.77642273902893</v>
      </c>
      <c r="C1300" s="36">
        <v>0.11</v>
      </c>
    </row>
    <row r="1301" spans="1:3" x14ac:dyDescent="0.25">
      <c r="A1301" s="46" t="s">
        <v>2541</v>
      </c>
      <c r="B1301" s="35">
        <v>0.70930230617523105</v>
      </c>
      <c r="C1301" s="36">
        <v>0.02</v>
      </c>
    </row>
    <row r="1302" spans="1:3" x14ac:dyDescent="0.25">
      <c r="A1302" s="46" t="s">
        <v>2542</v>
      </c>
      <c r="B1302" s="35">
        <v>0.52357321977615301</v>
      </c>
      <c r="C1302" s="36">
        <v>0.46</v>
      </c>
    </row>
    <row r="1303" spans="1:3" x14ac:dyDescent="0.25">
      <c r="A1303" s="46" t="s">
        <v>2543</v>
      </c>
      <c r="B1303" s="35">
        <v>0.606312274932861</v>
      </c>
      <c r="C1303" s="36">
        <v>0.13</v>
      </c>
    </row>
    <row r="1304" spans="1:3" x14ac:dyDescent="0.25">
      <c r="A1304" s="46" t="s">
        <v>2544</v>
      </c>
      <c r="B1304" s="35">
        <v>0.58706468343734697</v>
      </c>
      <c r="C1304" s="36">
        <v>0.14000000000000001</v>
      </c>
    </row>
    <row r="1305" spans="1:3" x14ac:dyDescent="0.25">
      <c r="A1305" s="46" t="s">
        <v>2545</v>
      </c>
      <c r="B1305" s="35">
        <v>0.59224444627761796</v>
      </c>
      <c r="C1305" s="36">
        <v>0.09</v>
      </c>
    </row>
    <row r="1306" spans="1:3" x14ac:dyDescent="0.25">
      <c r="A1306" s="46" t="s">
        <v>2546</v>
      </c>
      <c r="B1306" s="35">
        <v>0.59389668703079201</v>
      </c>
      <c r="C1306" s="36">
        <v>0.1</v>
      </c>
    </row>
    <row r="1307" spans="1:3" x14ac:dyDescent="0.25">
      <c r="A1307" s="46" t="s">
        <v>2547</v>
      </c>
      <c r="B1307" s="35">
        <v>0.60492378473281805</v>
      </c>
      <c r="C1307" s="36">
        <v>0.13</v>
      </c>
    </row>
    <row r="1308" spans="1:3" x14ac:dyDescent="0.25">
      <c r="A1308" s="46" t="s">
        <v>2548</v>
      </c>
      <c r="B1308" s="35">
        <v>0.88925081491470304</v>
      </c>
      <c r="C1308" s="36">
        <v>0.09</v>
      </c>
    </row>
    <row r="1309" spans="1:3" x14ac:dyDescent="0.25">
      <c r="A1309" s="46" t="s">
        <v>2549</v>
      </c>
      <c r="B1309" s="35">
        <v>0.57855361700057895</v>
      </c>
      <c r="C1309" s="36">
        <v>0.14000000000000001</v>
      </c>
    </row>
    <row r="1310" spans="1:3" x14ac:dyDescent="0.25">
      <c r="A1310" s="46" t="s">
        <v>2550</v>
      </c>
      <c r="B1310" s="35">
        <v>0.51122194528579701</v>
      </c>
      <c r="C1310" s="36">
        <v>0.11</v>
      </c>
    </row>
    <row r="1311" spans="1:3" x14ac:dyDescent="0.25">
      <c r="A1311" s="46" t="s">
        <v>2551</v>
      </c>
      <c r="B1311" s="35">
        <v>0.55045872926712003</v>
      </c>
      <c r="C1311" s="36">
        <v>0.22</v>
      </c>
    </row>
    <row r="1312" spans="1:3" x14ac:dyDescent="0.25">
      <c r="A1312" s="46" t="s">
        <v>2552</v>
      </c>
      <c r="B1312" s="35">
        <v>0.57142859697341897</v>
      </c>
      <c r="C1312" s="36">
        <v>0</v>
      </c>
    </row>
    <row r="1313" spans="1:3" x14ac:dyDescent="0.25">
      <c r="A1313" s="46" t="s">
        <v>2553</v>
      </c>
      <c r="B1313" s="35">
        <v>0.90681004524230902</v>
      </c>
      <c r="C1313" s="36">
        <v>0.19</v>
      </c>
    </row>
    <row r="1314" spans="1:3" x14ac:dyDescent="0.25">
      <c r="A1314" s="46" t="s">
        <v>2554</v>
      </c>
      <c r="B1314" s="35">
        <v>0.55688625574111905</v>
      </c>
      <c r="C1314" s="36">
        <v>0.21</v>
      </c>
    </row>
    <row r="1315" spans="1:3" x14ac:dyDescent="0.25">
      <c r="A1315" s="46" t="s">
        <v>2555</v>
      </c>
      <c r="B1315" s="35">
        <v>0.57585471868515004</v>
      </c>
      <c r="C1315" s="36">
        <v>0.11</v>
      </c>
    </row>
    <row r="1316" spans="1:3" x14ac:dyDescent="0.25">
      <c r="A1316" s="46" t="s">
        <v>2556</v>
      </c>
      <c r="B1316" s="35">
        <v>0.57343751192092896</v>
      </c>
      <c r="C1316" s="36">
        <v>0.12</v>
      </c>
    </row>
    <row r="1317" spans="1:3" x14ac:dyDescent="0.25">
      <c r="A1317" s="46" t="s">
        <v>2557</v>
      </c>
      <c r="B1317" s="35">
        <v>0.44979920983314498</v>
      </c>
      <c r="C1317" s="36">
        <v>0.4</v>
      </c>
    </row>
    <row r="1318" spans="1:3" x14ac:dyDescent="0.25">
      <c r="A1318" s="46" t="s">
        <v>2558</v>
      </c>
      <c r="B1318" s="35">
        <v>0.55578947067260698</v>
      </c>
      <c r="C1318" s="36">
        <v>0.03</v>
      </c>
    </row>
    <row r="1319" spans="1:3" x14ac:dyDescent="0.25">
      <c r="A1319" s="46" t="s">
        <v>2559</v>
      </c>
      <c r="B1319" s="35">
        <v>0.97929608821868896</v>
      </c>
      <c r="C1319" s="36">
        <v>0.17</v>
      </c>
    </row>
    <row r="1320" spans="1:3" x14ac:dyDescent="0.25">
      <c r="A1320" s="46" t="s">
        <v>2560</v>
      </c>
      <c r="B1320" s="35">
        <v>0.65573769807815496</v>
      </c>
      <c r="C1320" s="36">
        <v>0.32</v>
      </c>
    </row>
    <row r="1321" spans="1:3" x14ac:dyDescent="0.25">
      <c r="A1321" s="46" t="s">
        <v>2561</v>
      </c>
      <c r="B1321" s="35">
        <v>0.48451730608940102</v>
      </c>
      <c r="C1321" s="36">
        <v>0.11</v>
      </c>
    </row>
    <row r="1322" spans="1:3" x14ac:dyDescent="0.25">
      <c r="A1322" s="46" t="s">
        <v>2562</v>
      </c>
      <c r="B1322" s="35">
        <v>0.58333331346511796</v>
      </c>
      <c r="C1322" s="36">
        <v>0.28000000000000003</v>
      </c>
    </row>
    <row r="1323" spans="1:3" x14ac:dyDescent="0.25">
      <c r="A1323" s="46" t="s">
        <v>2563</v>
      </c>
      <c r="B1323" s="35">
        <v>0.57059961557388295</v>
      </c>
      <c r="C1323" s="36">
        <v>0.37</v>
      </c>
    </row>
    <row r="1324" spans="1:3" x14ac:dyDescent="0.25">
      <c r="A1324" s="46" t="s">
        <v>2564</v>
      </c>
      <c r="B1324" s="35">
        <v>0.61927711963653498</v>
      </c>
      <c r="C1324" s="36">
        <v>0.14000000000000001</v>
      </c>
    </row>
    <row r="1325" spans="1:3" x14ac:dyDescent="0.25">
      <c r="A1325" s="46" t="s">
        <v>2565</v>
      </c>
      <c r="B1325" s="35">
        <v>0.64197528362274103</v>
      </c>
      <c r="C1325" s="36">
        <v>0.28000000000000003</v>
      </c>
    </row>
    <row r="1326" spans="1:3" x14ac:dyDescent="0.25">
      <c r="A1326" s="46" t="s">
        <v>2566</v>
      </c>
      <c r="B1326" s="35">
        <v>0.66750627756118697</v>
      </c>
      <c r="C1326" s="36">
        <v>0.28000000000000003</v>
      </c>
    </row>
    <row r="1327" spans="1:3" x14ac:dyDescent="0.25">
      <c r="A1327" s="46" t="s">
        <v>2567</v>
      </c>
      <c r="B1327" s="35">
        <v>0.57794678211212103</v>
      </c>
      <c r="C1327" s="36">
        <v>0.26</v>
      </c>
    </row>
    <row r="1328" spans="1:3" x14ac:dyDescent="0.25">
      <c r="A1328" s="46" t="s">
        <v>2568</v>
      </c>
      <c r="B1328" s="35">
        <v>0.54263567924499501</v>
      </c>
      <c r="C1328" s="36">
        <v>0.15</v>
      </c>
    </row>
    <row r="1329" spans="1:3" x14ac:dyDescent="0.25">
      <c r="A1329" s="46" t="s">
        <v>2569</v>
      </c>
      <c r="B1329" s="35">
        <v>0.67597764730453402</v>
      </c>
      <c r="C1329" s="36">
        <v>0.23</v>
      </c>
    </row>
    <row r="1330" spans="1:3" x14ac:dyDescent="0.25">
      <c r="A1330" s="46" t="s">
        <v>2570</v>
      </c>
      <c r="B1330" s="35">
        <v>0.64161849021911599</v>
      </c>
      <c r="C1330" s="36">
        <v>0.18</v>
      </c>
    </row>
    <row r="1331" spans="1:3" x14ac:dyDescent="0.25">
      <c r="A1331" s="46" t="s">
        <v>2571</v>
      </c>
      <c r="B1331" s="35">
        <v>0.59509199857711703</v>
      </c>
      <c r="C1331" s="36">
        <v>0.12</v>
      </c>
    </row>
    <row r="1332" spans="1:3" x14ac:dyDescent="0.25">
      <c r="A1332" s="46" t="s">
        <v>2572</v>
      </c>
      <c r="B1332" s="35">
        <v>0.69733655452728205</v>
      </c>
      <c r="C1332" s="36">
        <v>0.1</v>
      </c>
    </row>
    <row r="1333" spans="1:3" x14ac:dyDescent="0.25">
      <c r="A1333" s="46" t="s">
        <v>2573</v>
      </c>
      <c r="B1333" s="35">
        <v>0.491392791271209</v>
      </c>
      <c r="C1333" s="36">
        <v>0.26</v>
      </c>
    </row>
    <row r="1334" spans="1:3" x14ac:dyDescent="0.25">
      <c r="A1334" s="46" t="s">
        <v>2574</v>
      </c>
      <c r="B1334" s="35">
        <v>0.454175144433975</v>
      </c>
      <c r="C1334" s="36">
        <v>0.2</v>
      </c>
    </row>
    <row r="1335" spans="1:3" x14ac:dyDescent="0.25">
      <c r="A1335" s="46" t="s">
        <v>2575</v>
      </c>
      <c r="B1335" s="35">
        <v>0.59145301580428999</v>
      </c>
      <c r="C1335" s="36">
        <v>0.31</v>
      </c>
    </row>
    <row r="1336" spans="1:3" x14ac:dyDescent="0.25">
      <c r="A1336" s="46" t="s">
        <v>2576</v>
      </c>
      <c r="B1336" s="35">
        <v>0.63612568378448398</v>
      </c>
      <c r="C1336" s="36">
        <v>0.24</v>
      </c>
    </row>
    <row r="1337" spans="1:3" x14ac:dyDescent="0.25">
      <c r="A1337" s="46" t="s">
        <v>2577</v>
      </c>
      <c r="B1337" s="35">
        <v>0.74125874042510898</v>
      </c>
      <c r="C1337" s="36">
        <v>0.16</v>
      </c>
    </row>
    <row r="1338" spans="1:3" x14ac:dyDescent="0.25">
      <c r="A1338" s="46" t="s">
        <v>2578</v>
      </c>
      <c r="B1338" s="35">
        <v>0.63004481792449896</v>
      </c>
      <c r="C1338" s="36">
        <v>0</v>
      </c>
    </row>
    <row r="1339" spans="1:3" x14ac:dyDescent="0.25">
      <c r="A1339" s="46" t="s">
        <v>2579</v>
      </c>
      <c r="B1339" s="35">
        <v>0.67557251453399603</v>
      </c>
      <c r="C1339" s="36">
        <v>0.1</v>
      </c>
    </row>
    <row r="1340" spans="1:3" x14ac:dyDescent="0.25">
      <c r="A1340" s="46" t="s">
        <v>2580</v>
      </c>
      <c r="B1340" s="35">
        <v>0.74230766296386697</v>
      </c>
      <c r="C1340" s="36">
        <v>0.51</v>
      </c>
    </row>
    <row r="1341" spans="1:3" x14ac:dyDescent="0.25">
      <c r="A1341" s="46" t="s">
        <v>2581</v>
      </c>
      <c r="B1341" s="35">
        <v>0.86486488580703702</v>
      </c>
      <c r="C1341" s="36">
        <v>0.09</v>
      </c>
    </row>
    <row r="1342" spans="1:3" x14ac:dyDescent="0.25">
      <c r="A1342" s="46" t="s">
        <v>2582</v>
      </c>
      <c r="B1342" s="35">
        <v>0.75868058204650801</v>
      </c>
      <c r="C1342" s="36">
        <v>0.27</v>
      </c>
    </row>
    <row r="1343" spans="1:3" x14ac:dyDescent="0.25">
      <c r="A1343" s="46" t="s">
        <v>2583</v>
      </c>
      <c r="B1343" s="35">
        <v>0.80697053670883101</v>
      </c>
      <c r="C1343" s="36">
        <v>7.0000000000000007E-2</v>
      </c>
    </row>
    <row r="1344" spans="1:3" x14ac:dyDescent="0.25">
      <c r="A1344" s="46" t="s">
        <v>2584</v>
      </c>
      <c r="B1344" s="35">
        <v>0.45537066459655701</v>
      </c>
      <c r="C1344" s="36">
        <v>0.03</v>
      </c>
    </row>
    <row r="1345" spans="1:3" x14ac:dyDescent="0.25">
      <c r="A1345" s="46" t="s">
        <v>2585</v>
      </c>
      <c r="B1345" s="35">
        <v>0.71964681148528997</v>
      </c>
      <c r="C1345" s="36">
        <v>0</v>
      </c>
    </row>
    <row r="1346" spans="1:3" x14ac:dyDescent="0.25">
      <c r="A1346" s="46" t="s">
        <v>2586</v>
      </c>
      <c r="B1346" s="35">
        <v>0.47804054617881703</v>
      </c>
      <c r="C1346" s="36">
        <v>0.36</v>
      </c>
    </row>
    <row r="1347" spans="1:3" x14ac:dyDescent="0.25">
      <c r="A1347" s="46" t="s">
        <v>2587</v>
      </c>
      <c r="B1347" s="35">
        <v>0.607064008712768</v>
      </c>
      <c r="C1347" s="36">
        <v>0.18</v>
      </c>
    </row>
    <row r="1348" spans="1:3" x14ac:dyDescent="0.25">
      <c r="A1348" s="46" t="s">
        <v>2588</v>
      </c>
      <c r="B1348" s="35">
        <v>0.54396420717239302</v>
      </c>
      <c r="C1348" s="36">
        <v>0</v>
      </c>
    </row>
    <row r="1349" spans="1:3" x14ac:dyDescent="0.25">
      <c r="A1349" s="46" t="s">
        <v>2589</v>
      </c>
      <c r="B1349" s="35">
        <v>0.58627855777740401</v>
      </c>
      <c r="C1349" s="36">
        <v>0.04</v>
      </c>
    </row>
    <row r="1350" spans="1:3" x14ac:dyDescent="0.25">
      <c r="A1350" s="46" t="s">
        <v>2590</v>
      </c>
      <c r="B1350" s="35">
        <v>0.43965518474578802</v>
      </c>
      <c r="C1350" s="36">
        <v>0.04</v>
      </c>
    </row>
    <row r="1351" spans="1:3" x14ac:dyDescent="0.25">
      <c r="A1351" s="46" t="s">
        <v>2591</v>
      </c>
      <c r="B1351" s="35">
        <v>0.65217393636703402</v>
      </c>
      <c r="C1351" s="36">
        <v>0.11</v>
      </c>
    </row>
    <row r="1352" spans="1:3" x14ac:dyDescent="0.25">
      <c r="A1352" s="46" t="s">
        <v>2592</v>
      </c>
      <c r="B1352" s="35">
        <v>0.43529412150382901</v>
      </c>
      <c r="C1352" s="36">
        <v>0.05</v>
      </c>
    </row>
    <row r="1353" spans="1:3" x14ac:dyDescent="0.25">
      <c r="A1353" s="46" t="s">
        <v>2593</v>
      </c>
      <c r="B1353" s="35">
        <v>0.54620122909545898</v>
      </c>
      <c r="C1353" s="36">
        <v>0.27</v>
      </c>
    </row>
    <row r="1354" spans="1:3" x14ac:dyDescent="0.25">
      <c r="A1354" s="46" t="s">
        <v>2594</v>
      </c>
      <c r="B1354" s="35">
        <v>0.56140351295471103</v>
      </c>
      <c r="C1354" s="36">
        <v>0.23</v>
      </c>
    </row>
    <row r="1355" spans="1:3" x14ac:dyDescent="0.25">
      <c r="A1355" s="46" t="s">
        <v>2595</v>
      </c>
      <c r="B1355" s="35">
        <v>0.53382086753845204</v>
      </c>
      <c r="C1355" s="36">
        <v>0.22</v>
      </c>
    </row>
    <row r="1356" spans="1:3" x14ac:dyDescent="0.25">
      <c r="A1356" s="46" t="s">
        <v>2596</v>
      </c>
      <c r="B1356" s="35">
        <v>0.58785945177078203</v>
      </c>
      <c r="C1356" s="36">
        <v>0.4</v>
      </c>
    </row>
    <row r="1357" spans="1:3" x14ac:dyDescent="0.25">
      <c r="A1357" s="46" t="s">
        <v>2597</v>
      </c>
      <c r="B1357" s="35">
        <v>0.46028038859367298</v>
      </c>
      <c r="C1357" s="36">
        <v>0.41</v>
      </c>
    </row>
    <row r="1358" spans="1:3" x14ac:dyDescent="0.25">
      <c r="A1358" s="46" t="s">
        <v>2598</v>
      </c>
      <c r="B1358" s="35">
        <v>0.66413664817810003</v>
      </c>
      <c r="C1358" s="36">
        <v>0</v>
      </c>
    </row>
    <row r="1359" spans="1:3" x14ac:dyDescent="0.25">
      <c r="A1359" s="46" t="s">
        <v>2599</v>
      </c>
      <c r="B1359" s="35">
        <v>0.77304965257644598</v>
      </c>
      <c r="C1359" s="36">
        <v>0.15</v>
      </c>
    </row>
    <row r="1360" spans="1:3" x14ac:dyDescent="0.25">
      <c r="A1360" s="46" t="s">
        <v>2600</v>
      </c>
      <c r="B1360" s="35">
        <v>0.750871062278747</v>
      </c>
      <c r="C1360" s="36">
        <v>0.22</v>
      </c>
    </row>
    <row r="1361" spans="1:3" x14ac:dyDescent="0.25">
      <c r="A1361" s="46" t="s">
        <v>2601</v>
      </c>
      <c r="B1361" s="35">
        <v>0.89748954772949197</v>
      </c>
      <c r="C1361" s="36">
        <v>0.25</v>
      </c>
    </row>
    <row r="1362" spans="1:3" x14ac:dyDescent="0.25">
      <c r="A1362" s="46" t="s">
        <v>2602</v>
      </c>
      <c r="B1362" s="35">
        <v>0.81436079740524203</v>
      </c>
      <c r="C1362" s="36">
        <v>0.16</v>
      </c>
    </row>
    <row r="1363" spans="1:3" x14ac:dyDescent="0.25">
      <c r="A1363" s="46" t="s">
        <v>2603</v>
      </c>
      <c r="B1363" s="35">
        <v>0.80483269691467196</v>
      </c>
      <c r="C1363" s="36">
        <v>0.27</v>
      </c>
    </row>
    <row r="1364" spans="1:3" x14ac:dyDescent="0.25">
      <c r="A1364" s="46" t="s">
        <v>2604</v>
      </c>
      <c r="B1364" s="35">
        <v>0.47589099407196001</v>
      </c>
      <c r="C1364" s="36">
        <v>0.11</v>
      </c>
    </row>
    <row r="1365" spans="1:3" x14ac:dyDescent="0.25">
      <c r="A1365" s="46" t="s">
        <v>2605</v>
      </c>
      <c r="B1365" s="35">
        <v>0.55405408143997104</v>
      </c>
      <c r="C1365" s="36">
        <v>0.36</v>
      </c>
    </row>
    <row r="1366" spans="1:3" x14ac:dyDescent="0.25">
      <c r="A1366" s="46" t="s">
        <v>2606</v>
      </c>
      <c r="B1366" s="35">
        <v>0.841269850730896</v>
      </c>
      <c r="C1366" s="36">
        <v>0.28000000000000003</v>
      </c>
    </row>
    <row r="1367" spans="1:3" x14ac:dyDescent="0.25">
      <c r="A1367" s="46" t="s">
        <v>2607</v>
      </c>
      <c r="B1367" s="35">
        <v>0.63422816991805997</v>
      </c>
      <c r="C1367" s="36">
        <v>0.04</v>
      </c>
    </row>
    <row r="1368" spans="1:3" x14ac:dyDescent="0.25">
      <c r="A1368" s="46" t="s">
        <v>2608</v>
      </c>
      <c r="B1368" s="35">
        <v>0.50402575731277399</v>
      </c>
      <c r="C1368" s="36">
        <v>0.05</v>
      </c>
    </row>
    <row r="1369" spans="1:3" x14ac:dyDescent="0.25">
      <c r="A1369" s="46" t="s">
        <v>2609</v>
      </c>
      <c r="B1369" s="35">
        <v>0.70588237047195401</v>
      </c>
      <c r="C1369" s="36">
        <v>0.13</v>
      </c>
    </row>
    <row r="1370" spans="1:3" x14ac:dyDescent="0.25">
      <c r="A1370" s="46" t="s">
        <v>2610</v>
      </c>
      <c r="B1370" s="35">
        <v>0.52616280317306496</v>
      </c>
      <c r="C1370" s="36">
        <v>0.09</v>
      </c>
    </row>
    <row r="1371" spans="1:3" x14ac:dyDescent="0.25">
      <c r="A1371" s="46" t="s">
        <v>2611</v>
      </c>
      <c r="B1371" s="35">
        <v>0.46525096893310502</v>
      </c>
      <c r="C1371" s="36">
        <v>0.28999999999999998</v>
      </c>
    </row>
    <row r="1372" spans="1:3" x14ac:dyDescent="0.25">
      <c r="A1372" s="46" t="s">
        <v>2612</v>
      </c>
      <c r="B1372" s="35">
        <v>0.56869566440582198</v>
      </c>
      <c r="C1372" s="36">
        <v>0.08</v>
      </c>
    </row>
    <row r="1373" spans="1:3" x14ac:dyDescent="0.25">
      <c r="A1373" s="46" t="s">
        <v>2613</v>
      </c>
      <c r="B1373" s="35">
        <v>0.47285068035125699</v>
      </c>
      <c r="C1373" s="36">
        <v>0.26</v>
      </c>
    </row>
    <row r="1374" spans="1:3" x14ac:dyDescent="0.25">
      <c r="A1374" s="46" t="s">
        <v>2614</v>
      </c>
      <c r="B1374" s="35">
        <v>0.50657892227172796</v>
      </c>
      <c r="C1374" s="36">
        <v>0.19</v>
      </c>
    </row>
    <row r="1375" spans="1:3" x14ac:dyDescent="0.25">
      <c r="A1375" s="46" t="s">
        <v>2615</v>
      </c>
      <c r="B1375" s="35">
        <v>0.61392402648925704</v>
      </c>
      <c r="C1375" s="36">
        <v>7.0000000000000007E-2</v>
      </c>
    </row>
    <row r="1376" spans="1:3" x14ac:dyDescent="0.25">
      <c r="A1376" s="46" t="s">
        <v>2616</v>
      </c>
      <c r="B1376" s="35">
        <v>0.65666669607162398</v>
      </c>
      <c r="C1376" s="36">
        <v>0.03</v>
      </c>
    </row>
    <row r="1377" spans="1:3" x14ac:dyDescent="0.25">
      <c r="A1377" s="46" t="s">
        <v>2617</v>
      </c>
      <c r="B1377" s="35">
        <v>0.64950978755950906</v>
      </c>
      <c r="C1377" s="36">
        <v>0.15</v>
      </c>
    </row>
    <row r="1378" spans="1:3" x14ac:dyDescent="0.25">
      <c r="A1378" s="46" t="s">
        <v>2618</v>
      </c>
      <c r="B1378" s="35">
        <v>0.59388643503188998</v>
      </c>
      <c r="C1378" s="36">
        <v>7.0000000000000007E-2</v>
      </c>
    </row>
    <row r="1379" spans="1:3" x14ac:dyDescent="0.25">
      <c r="A1379" s="46" t="s">
        <v>2619</v>
      </c>
      <c r="B1379" s="35">
        <v>0.57212716341018599</v>
      </c>
      <c r="C1379" s="36">
        <v>0.08</v>
      </c>
    </row>
    <row r="1380" spans="1:3" x14ac:dyDescent="0.25">
      <c r="A1380" s="46" t="s">
        <v>2620</v>
      </c>
      <c r="B1380" s="35">
        <v>0.61746358871459905</v>
      </c>
      <c r="C1380" s="36">
        <v>0.1</v>
      </c>
    </row>
    <row r="1381" spans="1:3" x14ac:dyDescent="0.25">
      <c r="A1381" s="46" t="s">
        <v>2621</v>
      </c>
      <c r="B1381" s="35">
        <v>0.546511650085449</v>
      </c>
      <c r="C1381" s="36">
        <v>0.21</v>
      </c>
    </row>
    <row r="1382" spans="1:3" x14ac:dyDescent="0.25">
      <c r="A1382" s="46" t="s">
        <v>2622</v>
      </c>
      <c r="B1382" s="35">
        <v>0.55785834789276101</v>
      </c>
      <c r="C1382" s="36">
        <v>0.24</v>
      </c>
    </row>
    <row r="1383" spans="1:3" x14ac:dyDescent="0.25">
      <c r="A1383" s="46" t="s">
        <v>2623</v>
      </c>
      <c r="B1383" s="35">
        <v>0.67474049329757602</v>
      </c>
      <c r="C1383" s="36">
        <v>0.14000000000000001</v>
      </c>
    </row>
    <row r="1384" spans="1:3" x14ac:dyDescent="0.25">
      <c r="A1384" s="46" t="s">
        <v>2624</v>
      </c>
      <c r="B1384" s="35">
        <v>0.66315788030624301</v>
      </c>
      <c r="C1384" s="36">
        <v>0.17</v>
      </c>
    </row>
    <row r="1385" spans="1:3" x14ac:dyDescent="0.25">
      <c r="A1385" s="46" t="s">
        <v>2625</v>
      </c>
      <c r="B1385" s="35">
        <v>0.51985561847686701</v>
      </c>
      <c r="C1385" s="36">
        <v>0.24</v>
      </c>
    </row>
    <row r="1386" spans="1:3" x14ac:dyDescent="0.25">
      <c r="A1386" s="46" t="s">
        <v>2626</v>
      </c>
      <c r="B1386" s="35">
        <v>0.65277779102325395</v>
      </c>
      <c r="C1386" s="36">
        <v>0.06</v>
      </c>
    </row>
    <row r="1387" spans="1:3" x14ac:dyDescent="0.25">
      <c r="A1387" s="46" t="s">
        <v>2627</v>
      </c>
      <c r="B1387" s="35">
        <v>0.66506022214889504</v>
      </c>
      <c r="C1387" s="36">
        <v>0.23</v>
      </c>
    </row>
    <row r="1388" spans="1:3" x14ac:dyDescent="0.25">
      <c r="A1388" s="46" t="s">
        <v>2628</v>
      </c>
      <c r="B1388" s="35">
        <v>0.69055372476577703</v>
      </c>
      <c r="C1388" s="36">
        <v>0.17</v>
      </c>
    </row>
    <row r="1389" spans="1:3" x14ac:dyDescent="0.25">
      <c r="A1389" s="46" t="s">
        <v>2629</v>
      </c>
      <c r="B1389" s="35">
        <v>0.69375002384185702</v>
      </c>
      <c r="C1389" s="36">
        <v>0.2</v>
      </c>
    </row>
    <row r="1390" spans="1:3" x14ac:dyDescent="0.25">
      <c r="A1390" s="46" t="s">
        <v>2630</v>
      </c>
      <c r="B1390" s="35">
        <v>0.58885943889617898</v>
      </c>
      <c r="C1390" s="36">
        <v>0.4</v>
      </c>
    </row>
    <row r="1391" spans="1:3" x14ac:dyDescent="0.25">
      <c r="A1391" s="46" t="s">
        <v>2631</v>
      </c>
      <c r="B1391" s="35">
        <v>0.58090186119079501</v>
      </c>
      <c r="C1391" s="36">
        <v>0.42</v>
      </c>
    </row>
    <row r="1392" spans="1:3" x14ac:dyDescent="0.25">
      <c r="A1392" s="46" t="s">
        <v>2632</v>
      </c>
      <c r="B1392" s="35">
        <v>0.65148061513900701</v>
      </c>
      <c r="C1392" s="36">
        <v>0</v>
      </c>
    </row>
    <row r="1393" spans="1:3" x14ac:dyDescent="0.25">
      <c r="A1393" s="46" t="s">
        <v>2633</v>
      </c>
      <c r="B1393" s="35">
        <v>0.58483034372329701</v>
      </c>
      <c r="C1393" s="36">
        <v>0.02</v>
      </c>
    </row>
    <row r="1394" spans="1:3" x14ac:dyDescent="0.25">
      <c r="A1394" s="46" t="s">
        <v>2634</v>
      </c>
      <c r="B1394" s="35">
        <v>0.58483034372329701</v>
      </c>
      <c r="C1394" s="36">
        <v>0.02</v>
      </c>
    </row>
    <row r="1395" spans="1:3" x14ac:dyDescent="0.25">
      <c r="A1395" s="46" t="s">
        <v>2635</v>
      </c>
      <c r="B1395" s="35">
        <v>0.61904764175414995</v>
      </c>
      <c r="C1395" s="36">
        <v>0.12</v>
      </c>
    </row>
    <row r="1396" spans="1:3" x14ac:dyDescent="0.25">
      <c r="A1396" s="46" t="s">
        <v>2636</v>
      </c>
      <c r="B1396" s="35">
        <v>0.64429527521133401</v>
      </c>
      <c r="C1396" s="36">
        <v>0.06</v>
      </c>
    </row>
    <row r="1397" spans="1:3" x14ac:dyDescent="0.25">
      <c r="A1397" s="46" t="s">
        <v>2637</v>
      </c>
      <c r="B1397" s="35">
        <v>0.61002177000045699</v>
      </c>
      <c r="C1397" s="36">
        <v>0.22</v>
      </c>
    </row>
    <row r="1398" spans="1:3" x14ac:dyDescent="0.25">
      <c r="A1398" s="46" t="s">
        <v>2638</v>
      </c>
      <c r="B1398" s="35">
        <v>0.58470761775970403</v>
      </c>
      <c r="C1398" s="36">
        <v>0</v>
      </c>
    </row>
    <row r="1399" spans="1:3" x14ac:dyDescent="0.25">
      <c r="A1399" s="46" t="s">
        <v>2639</v>
      </c>
      <c r="B1399" s="35">
        <v>0.54437869787216098</v>
      </c>
      <c r="C1399" s="36">
        <v>0</v>
      </c>
    </row>
    <row r="1400" spans="1:3" x14ac:dyDescent="0.25">
      <c r="A1400" s="46" t="s">
        <v>2640</v>
      </c>
      <c r="B1400" s="35">
        <v>0.61038959026336603</v>
      </c>
      <c r="C1400" s="36">
        <v>0.09</v>
      </c>
    </row>
    <row r="1401" spans="1:3" x14ac:dyDescent="0.25">
      <c r="A1401" s="46" t="s">
        <v>2641</v>
      </c>
      <c r="B1401" s="35">
        <v>0.62435233592987005</v>
      </c>
      <c r="C1401" s="36">
        <v>0.28000000000000003</v>
      </c>
    </row>
    <row r="1402" spans="1:3" x14ac:dyDescent="0.25">
      <c r="A1402" s="46" t="s">
        <v>2642</v>
      </c>
      <c r="B1402" s="35">
        <v>0.93796992301940896</v>
      </c>
      <c r="C1402" s="36">
        <v>0.13</v>
      </c>
    </row>
    <row r="1403" spans="1:3" x14ac:dyDescent="0.25">
      <c r="A1403" s="46" t="s">
        <v>2643</v>
      </c>
      <c r="B1403" s="35">
        <v>0.61635220050811701</v>
      </c>
      <c r="C1403" s="36">
        <v>0</v>
      </c>
    </row>
    <row r="1404" spans="1:3" x14ac:dyDescent="0.25">
      <c r="A1404" s="46" t="s">
        <v>2644</v>
      </c>
      <c r="B1404" s="35">
        <v>0.44268774986267001</v>
      </c>
      <c r="C1404" s="36">
        <v>0.33</v>
      </c>
    </row>
    <row r="1405" spans="1:3" x14ac:dyDescent="0.25">
      <c r="A1405" s="46" t="s">
        <v>2645</v>
      </c>
      <c r="B1405" s="35">
        <v>0.54852783679962103</v>
      </c>
      <c r="C1405" s="36">
        <v>0.11</v>
      </c>
    </row>
    <row r="1406" spans="1:3" x14ac:dyDescent="0.25">
      <c r="A1406" s="46" t="s">
        <v>2646</v>
      </c>
      <c r="B1406" s="35">
        <v>0.51168227195739702</v>
      </c>
      <c r="C1406" s="36">
        <v>0.02</v>
      </c>
    </row>
    <row r="1407" spans="1:3" x14ac:dyDescent="0.25">
      <c r="A1407" s="46" t="s">
        <v>2647</v>
      </c>
      <c r="B1407" s="35">
        <v>0.57643759250640803</v>
      </c>
      <c r="C1407" s="36">
        <v>0.23</v>
      </c>
    </row>
    <row r="1408" spans="1:3" x14ac:dyDescent="0.25">
      <c r="A1408" s="46" t="s">
        <v>2648</v>
      </c>
      <c r="B1408" s="35">
        <v>0.56490725278854304</v>
      </c>
      <c r="C1408" s="36">
        <v>0.22</v>
      </c>
    </row>
    <row r="1409" spans="1:3" x14ac:dyDescent="0.25">
      <c r="A1409" s="46" t="s">
        <v>2649</v>
      </c>
      <c r="B1409" s="35">
        <v>0.54685777425765902</v>
      </c>
      <c r="C1409" s="36">
        <v>0.1</v>
      </c>
    </row>
    <row r="1410" spans="1:3" x14ac:dyDescent="0.25">
      <c r="A1410" s="46" t="s">
        <v>2650</v>
      </c>
      <c r="B1410" s="35">
        <v>0.94642859697341897</v>
      </c>
      <c r="C1410" s="36">
        <v>0.17</v>
      </c>
    </row>
    <row r="1411" spans="1:3" x14ac:dyDescent="0.25">
      <c r="A1411" s="46" t="s">
        <v>2651</v>
      </c>
      <c r="B1411" s="35">
        <v>0.55345910787582397</v>
      </c>
      <c r="C1411" s="36">
        <v>0.22</v>
      </c>
    </row>
    <row r="1412" spans="1:3" x14ac:dyDescent="0.25">
      <c r="A1412" s="46" t="s">
        <v>2652</v>
      </c>
      <c r="B1412" s="35">
        <v>0.56135404109954801</v>
      </c>
      <c r="C1412" s="36">
        <v>0.22</v>
      </c>
    </row>
    <row r="1413" spans="1:3" x14ac:dyDescent="0.25">
      <c r="A1413" s="46" t="s">
        <v>2653</v>
      </c>
      <c r="B1413" s="35">
        <v>0.48692151904106101</v>
      </c>
      <c r="C1413" s="36">
        <v>0.16</v>
      </c>
    </row>
    <row r="1414" spans="1:3" x14ac:dyDescent="0.25">
      <c r="A1414" s="46" t="s">
        <v>2654</v>
      </c>
      <c r="B1414" s="35">
        <v>0.63394683599472001</v>
      </c>
      <c r="C1414" s="36">
        <v>0.37</v>
      </c>
    </row>
    <row r="1415" spans="1:3" x14ac:dyDescent="0.25">
      <c r="A1415" s="46" t="s">
        <v>2655</v>
      </c>
      <c r="B1415" s="35">
        <v>0.54388487339019698</v>
      </c>
      <c r="C1415" s="36">
        <v>0.17</v>
      </c>
    </row>
    <row r="1416" spans="1:3" x14ac:dyDescent="0.25">
      <c r="A1416" s="46" t="s">
        <v>2656</v>
      </c>
      <c r="B1416" s="35">
        <v>0.57401317358016901</v>
      </c>
      <c r="C1416" s="36">
        <v>0.17</v>
      </c>
    </row>
    <row r="1417" spans="1:3" x14ac:dyDescent="0.25">
      <c r="A1417" s="46" t="s">
        <v>2657</v>
      </c>
      <c r="B1417" s="35">
        <v>0.55555558204650801</v>
      </c>
      <c r="C1417" s="36">
        <v>0.22</v>
      </c>
    </row>
    <row r="1418" spans="1:3" x14ac:dyDescent="0.25">
      <c r="A1418" s="46" t="s">
        <v>2658</v>
      </c>
      <c r="B1418" s="35">
        <v>0.62032085657119695</v>
      </c>
      <c r="C1418" s="36">
        <v>0.04</v>
      </c>
    </row>
    <row r="1419" spans="1:3" x14ac:dyDescent="0.25">
      <c r="A1419" s="46" t="s">
        <v>2659</v>
      </c>
      <c r="B1419" s="35">
        <v>0.70163935422897294</v>
      </c>
      <c r="C1419" s="36">
        <v>0.19</v>
      </c>
    </row>
    <row r="1420" spans="1:3" x14ac:dyDescent="0.25">
      <c r="A1420" s="46" t="s">
        <v>2660</v>
      </c>
      <c r="B1420" s="35">
        <v>0.58745872974395696</v>
      </c>
      <c r="C1420" s="36">
        <v>0.05</v>
      </c>
    </row>
    <row r="1421" spans="1:3" x14ac:dyDescent="0.25">
      <c r="A1421" s="46" t="s">
        <v>2661</v>
      </c>
      <c r="B1421" s="35">
        <v>0.50242716073989802</v>
      </c>
      <c r="C1421" s="36">
        <v>0.25</v>
      </c>
    </row>
    <row r="1422" spans="1:3" x14ac:dyDescent="0.25">
      <c r="A1422" s="46" t="s">
        <v>2662</v>
      </c>
      <c r="B1422" s="35">
        <v>0.65277779102325395</v>
      </c>
      <c r="C1422" s="36">
        <v>0.04</v>
      </c>
    </row>
    <row r="1423" spans="1:3" x14ac:dyDescent="0.25">
      <c r="A1423" s="46" t="s">
        <v>2663</v>
      </c>
      <c r="B1423" s="35">
        <v>0.55610561370849598</v>
      </c>
      <c r="C1423" s="36">
        <v>0.2</v>
      </c>
    </row>
    <row r="1424" spans="1:3" x14ac:dyDescent="0.25">
      <c r="A1424" s="46" t="s">
        <v>2664</v>
      </c>
      <c r="B1424" s="35">
        <v>0.609427630901336</v>
      </c>
      <c r="C1424" s="36">
        <v>0.17</v>
      </c>
    </row>
    <row r="1425" spans="1:3" x14ac:dyDescent="0.25">
      <c r="A1425" s="46" t="s">
        <v>2665</v>
      </c>
      <c r="B1425" s="35">
        <v>0.57276993989944402</v>
      </c>
      <c r="C1425" s="36">
        <v>0.13</v>
      </c>
    </row>
    <row r="1426" spans="1:3" x14ac:dyDescent="0.25">
      <c r="A1426" s="46" t="s">
        <v>2666</v>
      </c>
      <c r="B1426" s="35">
        <v>0.85687381029128995</v>
      </c>
      <c r="C1426" s="36">
        <v>0.21</v>
      </c>
    </row>
    <row r="1427" spans="1:3" x14ac:dyDescent="0.25">
      <c r="A1427" s="46" t="s">
        <v>2667</v>
      </c>
      <c r="B1427" s="35">
        <v>0.63727957010269098</v>
      </c>
      <c r="C1427" s="36">
        <v>0.05</v>
      </c>
    </row>
    <row r="1428" spans="1:3" x14ac:dyDescent="0.25">
      <c r="A1428" s="46" t="s">
        <v>2668</v>
      </c>
      <c r="B1428" s="35">
        <v>0.78067886829376198</v>
      </c>
      <c r="C1428" s="36">
        <v>0.13</v>
      </c>
    </row>
    <row r="1429" spans="1:3" x14ac:dyDescent="0.25">
      <c r="A1429" s="46" t="s">
        <v>2669</v>
      </c>
      <c r="B1429" s="35">
        <v>0.87172013521194402</v>
      </c>
      <c r="C1429" s="36">
        <v>0.06</v>
      </c>
    </row>
    <row r="1430" spans="1:3" x14ac:dyDescent="0.25">
      <c r="A1430" s="46" t="s">
        <v>2670</v>
      </c>
      <c r="B1430" s="35">
        <v>0.91131496429443304</v>
      </c>
      <c r="C1430" s="36">
        <v>0.11</v>
      </c>
    </row>
    <row r="1431" spans="1:3" x14ac:dyDescent="0.25">
      <c r="A1431" s="46" t="s">
        <v>2671</v>
      </c>
      <c r="B1431" s="35">
        <v>0.60571426153182895</v>
      </c>
      <c r="C1431" s="36">
        <v>0.26</v>
      </c>
    </row>
    <row r="1432" spans="1:3" x14ac:dyDescent="0.25">
      <c r="A1432" s="46" t="s">
        <v>2672</v>
      </c>
      <c r="B1432" s="35">
        <v>0.58098590373992898</v>
      </c>
      <c r="C1432" s="36">
        <v>0.06</v>
      </c>
    </row>
    <row r="1433" spans="1:3" x14ac:dyDescent="0.25">
      <c r="A1433" s="46" t="s">
        <v>2673</v>
      </c>
      <c r="B1433" s="35">
        <v>0.54971855878829901</v>
      </c>
      <c r="C1433" s="36">
        <v>0.19</v>
      </c>
    </row>
    <row r="1434" spans="1:3" x14ac:dyDescent="0.25">
      <c r="A1434" s="46" t="s">
        <v>2674</v>
      </c>
      <c r="B1434" s="35">
        <v>0.43902438879013</v>
      </c>
      <c r="C1434" s="36">
        <v>0.04</v>
      </c>
    </row>
    <row r="1435" spans="1:3" x14ac:dyDescent="0.25">
      <c r="A1435" s="46" t="s">
        <v>2675</v>
      </c>
      <c r="B1435" s="35">
        <v>0.61948251724243097</v>
      </c>
      <c r="C1435" s="36">
        <v>0.22</v>
      </c>
    </row>
    <row r="1436" spans="1:3" x14ac:dyDescent="0.25">
      <c r="A1436" s="46" t="s">
        <v>2676</v>
      </c>
      <c r="B1436" s="35">
        <v>0.69212412834167403</v>
      </c>
      <c r="C1436" s="36">
        <v>0.04</v>
      </c>
    </row>
    <row r="1437" spans="1:3" x14ac:dyDescent="0.25">
      <c r="A1437" s="46" t="s">
        <v>2677</v>
      </c>
      <c r="B1437" s="35">
        <v>0.72284644842147805</v>
      </c>
      <c r="C1437" s="36">
        <v>0.08</v>
      </c>
    </row>
    <row r="1438" spans="1:3" x14ac:dyDescent="0.25">
      <c r="A1438" s="46" t="s">
        <v>2678</v>
      </c>
      <c r="B1438" s="35">
        <v>0.61280000209808305</v>
      </c>
      <c r="C1438" s="36">
        <v>0.22</v>
      </c>
    </row>
    <row r="1439" spans="1:3" x14ac:dyDescent="0.25">
      <c r="A1439" s="46" t="s">
        <v>2679</v>
      </c>
      <c r="B1439" s="35">
        <v>0.58958333730697599</v>
      </c>
      <c r="C1439" s="36">
        <v>0.15</v>
      </c>
    </row>
    <row r="1440" spans="1:3" x14ac:dyDescent="0.25">
      <c r="A1440" s="46" t="s">
        <v>2680</v>
      </c>
      <c r="B1440" s="35">
        <v>0.688212931156158</v>
      </c>
      <c r="C1440" s="36">
        <v>0</v>
      </c>
    </row>
    <row r="1441" spans="1:3" x14ac:dyDescent="0.25">
      <c r="A1441" s="46" t="s">
        <v>2681</v>
      </c>
      <c r="B1441" s="35">
        <v>0.84951454401016202</v>
      </c>
      <c r="C1441" s="36">
        <v>0.06</v>
      </c>
    </row>
    <row r="1442" spans="1:3" x14ac:dyDescent="0.25">
      <c r="A1442" s="46" t="s">
        <v>2682</v>
      </c>
      <c r="B1442" s="35">
        <v>0.76754385232925404</v>
      </c>
      <c r="C1442" s="36">
        <v>0.14000000000000001</v>
      </c>
    </row>
    <row r="1443" spans="1:3" x14ac:dyDescent="0.25">
      <c r="A1443" s="46" t="s">
        <v>2683</v>
      </c>
      <c r="B1443" s="35">
        <v>0.50791138410568204</v>
      </c>
      <c r="C1443" s="36">
        <v>0.48</v>
      </c>
    </row>
    <row r="1444" spans="1:3" x14ac:dyDescent="0.25">
      <c r="A1444" s="46" t="s">
        <v>2684</v>
      </c>
      <c r="B1444" s="35">
        <v>0.53052163124084395</v>
      </c>
      <c r="C1444" s="36">
        <v>0.33</v>
      </c>
    </row>
    <row r="1445" spans="1:3" x14ac:dyDescent="0.25">
      <c r="A1445" s="46" t="s">
        <v>2685</v>
      </c>
      <c r="B1445" s="35">
        <v>0.58609271049499501</v>
      </c>
      <c r="C1445" s="36">
        <v>0.12</v>
      </c>
    </row>
    <row r="1446" spans="1:3" x14ac:dyDescent="0.25">
      <c r="A1446" s="46" t="s">
        <v>2686</v>
      </c>
      <c r="B1446" s="35">
        <v>0.60217392444610596</v>
      </c>
      <c r="C1446" s="36">
        <v>0.12</v>
      </c>
    </row>
    <row r="1447" spans="1:3" x14ac:dyDescent="0.25">
      <c r="A1447" s="46" t="s">
        <v>2687</v>
      </c>
      <c r="B1447" s="35">
        <v>0.60659343004226596</v>
      </c>
      <c r="C1447" s="36">
        <v>0.11</v>
      </c>
    </row>
    <row r="1448" spans="1:3" x14ac:dyDescent="0.25">
      <c r="A1448" s="46" t="s">
        <v>2688</v>
      </c>
      <c r="B1448" s="35">
        <v>0.72413790225982599</v>
      </c>
      <c r="C1448" s="36">
        <v>0.19</v>
      </c>
    </row>
    <row r="1449" spans="1:3" x14ac:dyDescent="0.25">
      <c r="A1449" s="46" t="s">
        <v>2689</v>
      </c>
      <c r="B1449" s="35">
        <v>0.62000000476837103</v>
      </c>
      <c r="C1449" s="36">
        <v>0.26</v>
      </c>
    </row>
    <row r="1450" spans="1:3" x14ac:dyDescent="0.25">
      <c r="A1450" s="46" t="s">
        <v>2690</v>
      </c>
      <c r="B1450" s="35">
        <v>0.79704016447067205</v>
      </c>
      <c r="C1450" s="36">
        <v>0.23</v>
      </c>
    </row>
    <row r="1451" spans="1:3" x14ac:dyDescent="0.25">
      <c r="A1451" s="46" t="s">
        <v>2691</v>
      </c>
      <c r="B1451" s="35">
        <v>0.64111500978469804</v>
      </c>
      <c r="C1451" s="36">
        <v>0.14000000000000001</v>
      </c>
    </row>
    <row r="1452" spans="1:3" x14ac:dyDescent="0.25">
      <c r="A1452" s="46" t="s">
        <v>2692</v>
      </c>
      <c r="B1452" s="35">
        <v>0.69551283121108998</v>
      </c>
      <c r="C1452" s="36">
        <v>0.3</v>
      </c>
    </row>
    <row r="1453" spans="1:3" x14ac:dyDescent="0.25">
      <c r="A1453" s="46" t="s">
        <v>2693</v>
      </c>
      <c r="B1453" s="35">
        <v>0.64963501691818204</v>
      </c>
      <c r="C1453" s="36">
        <v>0.13</v>
      </c>
    </row>
    <row r="1454" spans="1:3" x14ac:dyDescent="0.25">
      <c r="A1454" s="46" t="s">
        <v>2694</v>
      </c>
      <c r="B1454" s="35">
        <v>0.49514561891555697</v>
      </c>
      <c r="C1454" s="36">
        <v>0.26</v>
      </c>
    </row>
    <row r="1455" spans="1:3" x14ac:dyDescent="0.25">
      <c r="A1455" s="46" t="s">
        <v>2695</v>
      </c>
      <c r="B1455" s="35">
        <v>0.50699299573898304</v>
      </c>
      <c r="C1455" s="36">
        <v>0.34</v>
      </c>
    </row>
    <row r="1456" spans="1:3" x14ac:dyDescent="0.25">
      <c r="A1456" s="46" t="s">
        <v>2696</v>
      </c>
      <c r="B1456" s="35">
        <v>0.54705882072448697</v>
      </c>
      <c r="C1456" s="36">
        <v>0.39</v>
      </c>
    </row>
    <row r="1457" spans="1:3" x14ac:dyDescent="0.25">
      <c r="A1457" s="46" t="s">
        <v>2697</v>
      </c>
      <c r="B1457" s="35">
        <v>0.55375552177429199</v>
      </c>
      <c r="C1457" s="36">
        <v>0.37</v>
      </c>
    </row>
    <row r="1458" spans="1:3" x14ac:dyDescent="0.25">
      <c r="A1458" s="46" t="s">
        <v>2698</v>
      </c>
      <c r="B1458" s="35">
        <v>0.47569444775581299</v>
      </c>
      <c r="C1458" s="36">
        <v>0.63</v>
      </c>
    </row>
    <row r="1459" spans="1:3" x14ac:dyDescent="0.25">
      <c r="A1459" s="46" t="s">
        <v>2699</v>
      </c>
      <c r="B1459" s="35">
        <v>0.67229729890823298</v>
      </c>
      <c r="C1459" s="36">
        <v>0.05</v>
      </c>
    </row>
    <row r="1460" spans="1:3" x14ac:dyDescent="0.25">
      <c r="A1460" s="46" t="s">
        <v>2700</v>
      </c>
      <c r="B1460" s="35">
        <v>0.63934427499771096</v>
      </c>
      <c r="C1460" s="36">
        <v>0.22</v>
      </c>
    </row>
    <row r="1461" spans="1:3" x14ac:dyDescent="0.25">
      <c r="A1461" s="46" t="s">
        <v>2701</v>
      </c>
      <c r="B1461" s="35">
        <v>0.71794873476028398</v>
      </c>
      <c r="C1461" s="36">
        <v>0.19</v>
      </c>
    </row>
    <row r="1462" spans="1:3" x14ac:dyDescent="0.25">
      <c r="A1462" s="46" t="s">
        <v>2702</v>
      </c>
      <c r="B1462" s="35">
        <v>0.75522387027740401</v>
      </c>
      <c r="C1462" s="36">
        <v>0.2</v>
      </c>
    </row>
    <row r="1463" spans="1:3" x14ac:dyDescent="0.25">
      <c r="A1463" s="46" t="s">
        <v>2703</v>
      </c>
      <c r="B1463" s="35">
        <v>0.490835040807724</v>
      </c>
      <c r="C1463" s="36">
        <v>0.09</v>
      </c>
    </row>
    <row r="1464" spans="1:3" x14ac:dyDescent="0.25">
      <c r="A1464" s="46" t="s">
        <v>2704</v>
      </c>
      <c r="B1464" s="35">
        <v>0.50381678342819203</v>
      </c>
      <c r="C1464" s="36">
        <v>0.08</v>
      </c>
    </row>
    <row r="1465" spans="1:3" x14ac:dyDescent="0.25">
      <c r="A1465" s="46" t="s">
        <v>2705</v>
      </c>
      <c r="B1465" s="35">
        <v>0.43448275327682401</v>
      </c>
      <c r="C1465" s="36">
        <v>0.1</v>
      </c>
    </row>
    <row r="1466" spans="1:3" x14ac:dyDescent="0.25">
      <c r="A1466" s="46" t="s">
        <v>2706</v>
      </c>
      <c r="B1466" s="35">
        <v>0.451263546943664</v>
      </c>
      <c r="C1466" s="36">
        <v>0.21</v>
      </c>
    </row>
    <row r="1467" spans="1:3" x14ac:dyDescent="0.25">
      <c r="A1467" s="46" t="s">
        <v>2707</v>
      </c>
      <c r="B1467" s="35">
        <v>0.41722974181175199</v>
      </c>
      <c r="C1467" s="36">
        <v>0.13</v>
      </c>
    </row>
    <row r="1468" spans="1:3" x14ac:dyDescent="0.25">
      <c r="A1468" s="46" t="s">
        <v>2708</v>
      </c>
      <c r="B1468" s="35">
        <v>0.45103093981742798</v>
      </c>
      <c r="C1468" s="36">
        <v>0.34</v>
      </c>
    </row>
    <row r="1469" spans="1:3" x14ac:dyDescent="0.25">
      <c r="A1469" s="46" t="s">
        <v>2709</v>
      </c>
      <c r="B1469" s="35">
        <v>0.60447758436203003</v>
      </c>
      <c r="C1469" s="36">
        <v>0.09</v>
      </c>
    </row>
    <row r="1470" spans="1:3" x14ac:dyDescent="0.25">
      <c r="A1470" s="46" t="s">
        <v>2710</v>
      </c>
      <c r="B1470" s="35">
        <v>0.82697945833206099</v>
      </c>
      <c r="C1470" s="36">
        <v>0.06</v>
      </c>
    </row>
    <row r="1471" spans="1:3" x14ac:dyDescent="0.25">
      <c r="A1471" s="46" t="s">
        <v>2711</v>
      </c>
      <c r="B1471" s="35">
        <v>0.60034602880477905</v>
      </c>
      <c r="C1471" s="36">
        <v>0.08</v>
      </c>
    </row>
    <row r="1472" spans="1:3" x14ac:dyDescent="0.25">
      <c r="A1472" s="46" t="s">
        <v>2712</v>
      </c>
      <c r="B1472" s="35">
        <v>0.62790697813034002</v>
      </c>
      <c r="C1472" s="36">
        <v>0.17</v>
      </c>
    </row>
    <row r="1473" spans="1:3" x14ac:dyDescent="0.25">
      <c r="A1473" s="46" t="s">
        <v>2713</v>
      </c>
      <c r="B1473" s="35">
        <v>0.44839859008789001</v>
      </c>
      <c r="C1473" s="36">
        <v>0</v>
      </c>
    </row>
    <row r="1474" spans="1:3" x14ac:dyDescent="0.25">
      <c r="A1474" s="46" t="s">
        <v>2714</v>
      </c>
      <c r="B1474" s="35">
        <v>0.50627613067626898</v>
      </c>
      <c r="C1474" s="36">
        <v>0.43</v>
      </c>
    </row>
    <row r="1475" spans="1:3" x14ac:dyDescent="0.25">
      <c r="A1475" s="46" t="s">
        <v>2715</v>
      </c>
      <c r="B1475" s="35">
        <v>0.56010931730270297</v>
      </c>
      <c r="C1475" s="36">
        <v>0.41</v>
      </c>
    </row>
    <row r="1476" spans="1:3" x14ac:dyDescent="0.25">
      <c r="A1476" s="46" t="s">
        <v>2716</v>
      </c>
      <c r="B1476" s="35">
        <v>0.59919029474258401</v>
      </c>
      <c r="C1476" s="36">
        <v>0.21</v>
      </c>
    </row>
    <row r="1477" spans="1:3" x14ac:dyDescent="0.25">
      <c r="A1477" s="46" t="s">
        <v>2717</v>
      </c>
      <c r="B1477" s="35">
        <v>0.49731662869453402</v>
      </c>
      <c r="C1477" s="36">
        <v>0.35</v>
      </c>
    </row>
    <row r="1478" spans="1:3" x14ac:dyDescent="0.25">
      <c r="A1478" s="46" t="s">
        <v>2718</v>
      </c>
      <c r="B1478" s="35">
        <v>0.68693011999130205</v>
      </c>
      <c r="C1478" s="36">
        <v>0.13</v>
      </c>
    </row>
    <row r="1479" spans="1:3" x14ac:dyDescent="0.25">
      <c r="A1479" s="46" t="s">
        <v>2719</v>
      </c>
      <c r="B1479" s="35">
        <v>0.52032518386840798</v>
      </c>
      <c r="C1479" s="36">
        <v>0.34</v>
      </c>
    </row>
    <row r="1480" spans="1:3" x14ac:dyDescent="0.25">
      <c r="A1480" s="46" t="s">
        <v>2720</v>
      </c>
      <c r="B1480" s="35">
        <v>0.55645161867141701</v>
      </c>
      <c r="C1480" s="36">
        <v>7.0000000000000007E-2</v>
      </c>
    </row>
    <row r="1481" spans="1:3" x14ac:dyDescent="0.25">
      <c r="A1481" s="46" t="s">
        <v>2721</v>
      </c>
      <c r="B1481" s="35">
        <v>0.59029650688171298</v>
      </c>
      <c r="C1481" s="36">
        <v>0.49</v>
      </c>
    </row>
    <row r="1482" spans="1:3" x14ac:dyDescent="0.25">
      <c r="A1482" s="46" t="s">
        <v>2722</v>
      </c>
      <c r="B1482" s="35">
        <v>0.66726946830749501</v>
      </c>
      <c r="C1482" s="36">
        <v>0.1</v>
      </c>
    </row>
    <row r="1483" spans="1:3" x14ac:dyDescent="0.25">
      <c r="A1483" s="46" t="s">
        <v>2723</v>
      </c>
      <c r="B1483" s="35">
        <v>0.510978043079376</v>
      </c>
      <c r="C1483" s="36">
        <v>0.28000000000000003</v>
      </c>
    </row>
    <row r="1484" spans="1:3" x14ac:dyDescent="0.25">
      <c r="A1484" s="46" t="s">
        <v>2724</v>
      </c>
      <c r="B1484" s="35">
        <v>0.47969925403594899</v>
      </c>
      <c r="C1484" s="36">
        <v>0.21</v>
      </c>
    </row>
    <row r="1485" spans="1:3" x14ac:dyDescent="0.25">
      <c r="A1485" s="46" t="s">
        <v>2725</v>
      </c>
      <c r="B1485" s="35">
        <v>0.63529413938522294</v>
      </c>
      <c r="C1485" s="36">
        <v>0.22</v>
      </c>
    </row>
    <row r="1486" spans="1:3" x14ac:dyDescent="0.25">
      <c r="A1486" s="46" t="s">
        <v>2726</v>
      </c>
      <c r="B1486" s="35">
        <v>0.57142859697341897</v>
      </c>
      <c r="C1486" s="36">
        <v>0.25</v>
      </c>
    </row>
    <row r="1487" spans="1:3" x14ac:dyDescent="0.25">
      <c r="A1487" s="46" t="s">
        <v>2727</v>
      </c>
      <c r="B1487" s="35">
        <v>0.62376236915588301</v>
      </c>
      <c r="C1487" s="36">
        <v>0.2</v>
      </c>
    </row>
    <row r="1488" spans="1:3" x14ac:dyDescent="0.25">
      <c r="A1488" s="46" t="s">
        <v>2728</v>
      </c>
      <c r="B1488" s="35">
        <v>0.81967210769653298</v>
      </c>
      <c r="C1488" s="36">
        <v>0.11</v>
      </c>
    </row>
    <row r="1489" spans="1:3" x14ac:dyDescent="0.25">
      <c r="A1489" s="46" t="s">
        <v>2729</v>
      </c>
      <c r="B1489" s="35">
        <v>0.49295774102210999</v>
      </c>
      <c r="C1489" s="36">
        <v>0.41</v>
      </c>
    </row>
    <row r="1490" spans="1:3" x14ac:dyDescent="0.25">
      <c r="A1490" s="46" t="s">
        <v>2730</v>
      </c>
      <c r="B1490" s="35">
        <v>0.68407309055328303</v>
      </c>
      <c r="C1490" s="36">
        <v>0.22</v>
      </c>
    </row>
    <row r="1491" spans="1:3" x14ac:dyDescent="0.25">
      <c r="A1491" s="46" t="s">
        <v>2731</v>
      </c>
      <c r="B1491" s="35">
        <v>0.58483034372329701</v>
      </c>
      <c r="C1491" s="36">
        <v>0.02</v>
      </c>
    </row>
    <row r="1492" spans="1:3" x14ac:dyDescent="0.25">
      <c r="A1492" s="46" t="s">
        <v>2732</v>
      </c>
      <c r="B1492" s="35">
        <v>0.61782479286193803</v>
      </c>
      <c r="C1492" s="36">
        <v>0</v>
      </c>
    </row>
    <row r="1493" spans="1:3" x14ac:dyDescent="0.25">
      <c r="A1493" s="46" t="s">
        <v>2733</v>
      </c>
      <c r="B1493" s="35">
        <v>0.97579145431518499</v>
      </c>
      <c r="C1493" s="36">
        <v>0.18</v>
      </c>
    </row>
    <row r="1494" spans="1:3" x14ac:dyDescent="0.25">
      <c r="A1494" s="46" t="s">
        <v>2734</v>
      </c>
      <c r="B1494" s="35">
        <v>0.64485979080200195</v>
      </c>
      <c r="C1494" s="36">
        <v>0.28000000000000003</v>
      </c>
    </row>
    <row r="1495" spans="1:3" x14ac:dyDescent="0.25">
      <c r="A1495" s="46" t="s">
        <v>2735</v>
      </c>
      <c r="B1495" s="35">
        <v>0.76359337568283003</v>
      </c>
      <c r="C1495" s="36">
        <v>0.23</v>
      </c>
    </row>
    <row r="1496" spans="1:3" x14ac:dyDescent="0.25">
      <c r="A1496" s="46" t="s">
        <v>2736</v>
      </c>
      <c r="B1496" s="35">
        <v>0.44173914194107</v>
      </c>
      <c r="C1496" s="36">
        <v>0.13</v>
      </c>
    </row>
    <row r="1497" spans="1:3" x14ac:dyDescent="0.25">
      <c r="A1497" s="46" t="s">
        <v>2737</v>
      </c>
      <c r="B1497" s="35">
        <v>0.54586464166641202</v>
      </c>
      <c r="C1497" s="36">
        <v>0.08</v>
      </c>
    </row>
    <row r="1498" spans="1:3" x14ac:dyDescent="0.25">
      <c r="A1498" s="46" t="s">
        <v>2738</v>
      </c>
      <c r="B1498" s="35">
        <v>0.66666668653488104</v>
      </c>
      <c r="C1498" s="36">
        <v>0.27</v>
      </c>
    </row>
    <row r="1499" spans="1:3" x14ac:dyDescent="0.25">
      <c r="A1499" s="46" t="s">
        <v>2739</v>
      </c>
      <c r="B1499" s="35">
        <v>0.52949643135070801</v>
      </c>
      <c r="C1499" s="36">
        <v>0.21</v>
      </c>
    </row>
    <row r="1500" spans="1:3" x14ac:dyDescent="0.25">
      <c r="A1500" s="46" t="s">
        <v>2740</v>
      </c>
      <c r="B1500" s="35">
        <v>0.647727251052856</v>
      </c>
      <c r="C1500" s="36">
        <v>0.11</v>
      </c>
    </row>
    <row r="1501" spans="1:3" x14ac:dyDescent="0.25">
      <c r="A1501" s="46" t="s">
        <v>2741</v>
      </c>
      <c r="B1501" s="35">
        <v>0.89265537261962802</v>
      </c>
      <c r="C1501" s="36">
        <v>0</v>
      </c>
    </row>
    <row r="1502" spans="1:3" x14ac:dyDescent="0.25">
      <c r="A1502" s="46" t="s">
        <v>2742</v>
      </c>
      <c r="B1502" s="35">
        <v>0.60460251569747903</v>
      </c>
      <c r="C1502" s="36">
        <v>0.26</v>
      </c>
    </row>
    <row r="1503" spans="1:3" x14ac:dyDescent="0.25">
      <c r="A1503" s="46" t="s">
        <v>2743</v>
      </c>
      <c r="B1503" s="35">
        <v>0.59686887264251698</v>
      </c>
      <c r="C1503" s="36">
        <v>0.13</v>
      </c>
    </row>
    <row r="1504" spans="1:3" x14ac:dyDescent="0.25">
      <c r="A1504" s="46" t="s">
        <v>2744</v>
      </c>
      <c r="B1504" s="35">
        <v>0.80737704038619995</v>
      </c>
      <c r="C1504" s="36">
        <v>0</v>
      </c>
    </row>
    <row r="1505" spans="1:3" x14ac:dyDescent="0.25">
      <c r="A1505" s="46" t="s">
        <v>2745</v>
      </c>
      <c r="B1505" s="35">
        <v>0.61176472902297896</v>
      </c>
      <c r="C1505" s="36">
        <v>0.05</v>
      </c>
    </row>
    <row r="1506" spans="1:3" x14ac:dyDescent="0.25">
      <c r="A1506" s="46" t="s">
        <v>2746</v>
      </c>
      <c r="B1506" s="35">
        <v>0.65503877401351895</v>
      </c>
      <c r="C1506" s="36">
        <v>0.41</v>
      </c>
    </row>
    <row r="1507" spans="1:3" x14ac:dyDescent="0.25">
      <c r="A1507" s="46" t="s">
        <v>2747</v>
      </c>
      <c r="B1507" s="35">
        <v>0.63805967569351196</v>
      </c>
      <c r="C1507" s="36">
        <v>0.1</v>
      </c>
    </row>
    <row r="1508" spans="1:3" x14ac:dyDescent="0.25">
      <c r="A1508" s="46" t="s">
        <v>2748</v>
      </c>
      <c r="B1508" s="35">
        <v>0.61197340488433805</v>
      </c>
      <c r="C1508" s="36">
        <v>0.16</v>
      </c>
    </row>
    <row r="1509" spans="1:3" x14ac:dyDescent="0.25">
      <c r="A1509" s="46" t="s">
        <v>2749</v>
      </c>
      <c r="B1509" s="35">
        <v>0.63505744934081998</v>
      </c>
      <c r="C1509" s="36">
        <v>0.04</v>
      </c>
    </row>
    <row r="1510" spans="1:3" x14ac:dyDescent="0.25">
      <c r="A1510" s="46" t="s">
        <v>2750</v>
      </c>
      <c r="B1510" s="35">
        <v>0.70431894063949496</v>
      </c>
      <c r="C1510" s="36">
        <v>0.17</v>
      </c>
    </row>
    <row r="1511" spans="1:3" x14ac:dyDescent="0.25">
      <c r="A1511" s="46" t="s">
        <v>2751</v>
      </c>
      <c r="B1511" s="35">
        <v>0.93140792846679599</v>
      </c>
      <c r="C1511" s="36">
        <v>0.08</v>
      </c>
    </row>
    <row r="1512" spans="1:3" x14ac:dyDescent="0.25">
      <c r="A1512" s="46" t="s">
        <v>2752</v>
      </c>
      <c r="B1512" s="35">
        <v>0.71891891956329301</v>
      </c>
      <c r="C1512" s="36">
        <v>0.34</v>
      </c>
    </row>
    <row r="1513" spans="1:3" x14ac:dyDescent="0.25">
      <c r="A1513" s="46" t="s">
        <v>2753</v>
      </c>
      <c r="B1513" s="35">
        <v>0.89904761314392001</v>
      </c>
      <c r="C1513" s="36">
        <v>0.11</v>
      </c>
    </row>
    <row r="1514" spans="1:3" x14ac:dyDescent="0.25">
      <c r="A1514" s="46" t="s">
        <v>2754</v>
      </c>
      <c r="B1514" s="35">
        <v>0.54098361730575495</v>
      </c>
      <c r="C1514" s="36">
        <v>0</v>
      </c>
    </row>
    <row r="1515" spans="1:3" x14ac:dyDescent="0.25">
      <c r="A1515" s="46" t="s">
        <v>2755</v>
      </c>
      <c r="B1515" s="35">
        <v>0.53021442890167203</v>
      </c>
      <c r="C1515" s="36">
        <v>0.12</v>
      </c>
    </row>
    <row r="1516" spans="1:3" x14ac:dyDescent="0.25">
      <c r="A1516" s="46" t="s">
        <v>2756</v>
      </c>
      <c r="B1516" s="35">
        <v>0.56338030099868697</v>
      </c>
      <c r="C1516" s="36">
        <v>0.17</v>
      </c>
    </row>
    <row r="1517" spans="1:3" x14ac:dyDescent="0.25">
      <c r="A1517" s="46" t="s">
        <v>2757</v>
      </c>
      <c r="B1517" s="35">
        <v>0.51311951875686601</v>
      </c>
      <c r="C1517" s="36">
        <v>0.35</v>
      </c>
    </row>
    <row r="1518" spans="1:3" x14ac:dyDescent="0.25">
      <c r="A1518" s="46" t="s">
        <v>2758</v>
      </c>
      <c r="B1518" s="35">
        <v>0.67898380756378096</v>
      </c>
      <c r="C1518" s="36">
        <v>0.04</v>
      </c>
    </row>
    <row r="1519" spans="1:3" x14ac:dyDescent="0.25">
      <c r="A1519" s="46" t="s">
        <v>2759</v>
      </c>
      <c r="B1519" s="35">
        <v>0.67365968227386397</v>
      </c>
      <c r="C1519" s="36">
        <v>0.16</v>
      </c>
    </row>
    <row r="1520" spans="1:3" x14ac:dyDescent="0.25">
      <c r="A1520" s="46" t="s">
        <v>2760</v>
      </c>
      <c r="B1520" s="35">
        <v>0.64006513357162398</v>
      </c>
      <c r="C1520" s="36">
        <v>0.08</v>
      </c>
    </row>
    <row r="1521" spans="1:3" x14ac:dyDescent="0.25">
      <c r="A1521" s="46" t="s">
        <v>2761</v>
      </c>
      <c r="B1521" s="35">
        <v>0.682134568691253</v>
      </c>
      <c r="C1521" s="36">
        <v>0.1</v>
      </c>
    </row>
    <row r="1522" spans="1:3" x14ac:dyDescent="0.25">
      <c r="A1522" s="46" t="s">
        <v>2762</v>
      </c>
      <c r="B1522" s="35">
        <v>0.68055558204650801</v>
      </c>
      <c r="C1522" s="36">
        <v>0.09</v>
      </c>
    </row>
    <row r="1523" spans="1:3" x14ac:dyDescent="0.25">
      <c r="A1523" s="46" t="s">
        <v>2763</v>
      </c>
      <c r="B1523" s="35">
        <v>0.67441862821578902</v>
      </c>
      <c r="C1523" s="36">
        <v>0.15</v>
      </c>
    </row>
    <row r="1524" spans="1:3" x14ac:dyDescent="0.25">
      <c r="A1524" s="46" t="s">
        <v>2764</v>
      </c>
      <c r="B1524" s="35">
        <v>0.55319148302078203</v>
      </c>
      <c r="C1524" s="36">
        <v>0.19</v>
      </c>
    </row>
    <row r="1525" spans="1:3" x14ac:dyDescent="0.25">
      <c r="A1525" s="46" t="s">
        <v>2765</v>
      </c>
      <c r="B1525" s="35">
        <v>0.65837103128433205</v>
      </c>
      <c r="C1525" s="36">
        <v>0.13</v>
      </c>
    </row>
    <row r="1526" spans="1:3" x14ac:dyDescent="0.25">
      <c r="A1526" s="46" t="s">
        <v>2766</v>
      </c>
      <c r="B1526" s="35">
        <v>0.5285285115242</v>
      </c>
      <c r="C1526" s="36">
        <v>0.31</v>
      </c>
    </row>
    <row r="1527" spans="1:3" x14ac:dyDescent="0.25">
      <c r="A1527" s="46" t="s">
        <v>2767</v>
      </c>
      <c r="B1527" s="35">
        <v>0.44482365250587402</v>
      </c>
      <c r="C1527" s="36">
        <v>0.15</v>
      </c>
    </row>
    <row r="1528" spans="1:3" x14ac:dyDescent="0.25">
      <c r="A1528" s="46" t="s">
        <v>2768</v>
      </c>
      <c r="B1528" s="35">
        <v>0.55023181438446001</v>
      </c>
      <c r="C1528" s="36">
        <v>7.0000000000000007E-2</v>
      </c>
    </row>
    <row r="1529" spans="1:3" x14ac:dyDescent="0.25">
      <c r="A1529" s="46" t="s">
        <v>2769</v>
      </c>
      <c r="B1529" s="35">
        <v>0.44113475084304798</v>
      </c>
      <c r="C1529" s="36">
        <v>7.0000000000000007E-2</v>
      </c>
    </row>
    <row r="1530" spans="1:3" x14ac:dyDescent="0.25">
      <c r="A1530" s="46" t="s">
        <v>2770</v>
      </c>
      <c r="B1530" s="35">
        <v>0.84120172262191695</v>
      </c>
      <c r="C1530" s="36">
        <v>0.15</v>
      </c>
    </row>
    <row r="1531" spans="1:3" x14ac:dyDescent="0.25">
      <c r="A1531" s="46" t="s">
        <v>2771</v>
      </c>
      <c r="B1531" s="35">
        <v>0.85470086336135798</v>
      </c>
      <c r="C1531" s="36">
        <v>0</v>
      </c>
    </row>
    <row r="1532" spans="1:3" x14ac:dyDescent="0.25">
      <c r="A1532" s="46" t="s">
        <v>2772</v>
      </c>
      <c r="B1532" s="35">
        <v>0.95628416538238503</v>
      </c>
      <c r="C1532" s="36">
        <v>0.13</v>
      </c>
    </row>
    <row r="1533" spans="1:3" x14ac:dyDescent="0.25">
      <c r="A1533" s="46" t="s">
        <v>2773</v>
      </c>
      <c r="B1533" s="35">
        <v>0.59217876195907504</v>
      </c>
      <c r="C1533" s="36">
        <v>0</v>
      </c>
    </row>
    <row r="1534" spans="1:3" x14ac:dyDescent="0.25">
      <c r="A1534" s="46" t="s">
        <v>2774</v>
      </c>
      <c r="B1534" s="35">
        <v>0.97520661354064897</v>
      </c>
      <c r="C1534" s="36">
        <v>0.17</v>
      </c>
    </row>
    <row r="1535" spans="1:3" x14ac:dyDescent="0.25">
      <c r="A1535" s="46" t="s">
        <v>2775</v>
      </c>
      <c r="B1535" s="35">
        <v>0.87407410144805897</v>
      </c>
      <c r="C1535" s="36">
        <v>0.2</v>
      </c>
    </row>
    <row r="1536" spans="1:3" x14ac:dyDescent="0.25">
      <c r="A1536" s="46" t="s">
        <v>2776</v>
      </c>
      <c r="B1536" s="35">
        <v>0.61173814535140902</v>
      </c>
      <c r="C1536" s="36">
        <v>0</v>
      </c>
    </row>
    <row r="1537" spans="1:3" x14ac:dyDescent="0.25">
      <c r="A1537" s="46" t="s">
        <v>2777</v>
      </c>
      <c r="B1537" s="35">
        <v>0.62569832801818803</v>
      </c>
      <c r="C1537" s="36">
        <v>0.13</v>
      </c>
    </row>
    <row r="1538" spans="1:3" x14ac:dyDescent="0.25">
      <c r="A1538" s="46" t="s">
        <v>2778</v>
      </c>
      <c r="B1538" s="35">
        <v>0.91131496429443304</v>
      </c>
      <c r="C1538" s="36">
        <v>0.17</v>
      </c>
    </row>
    <row r="1539" spans="1:3" x14ac:dyDescent="0.25">
      <c r="A1539" s="46" t="s">
        <v>2779</v>
      </c>
      <c r="B1539" s="35">
        <v>0.65553236007690396</v>
      </c>
      <c r="C1539" s="36">
        <v>0.25</v>
      </c>
    </row>
    <row r="1540" spans="1:3" x14ac:dyDescent="0.25">
      <c r="A1540" s="46" t="s">
        <v>2780</v>
      </c>
      <c r="B1540" s="35">
        <v>0.70930230617523105</v>
      </c>
      <c r="C1540" s="36">
        <v>0.02</v>
      </c>
    </row>
    <row r="1541" spans="1:3" x14ac:dyDescent="0.25">
      <c r="A1541" s="46" t="s">
        <v>2781</v>
      </c>
      <c r="B1541" s="35">
        <v>0.55426359176635698</v>
      </c>
      <c r="C1541" s="36">
        <v>0.17</v>
      </c>
    </row>
    <row r="1542" spans="1:3" x14ac:dyDescent="0.25">
      <c r="A1542" s="46" t="s">
        <v>2782</v>
      </c>
      <c r="B1542" s="35">
        <v>0.51527494192123402</v>
      </c>
      <c r="C1542" s="36">
        <v>0.31</v>
      </c>
    </row>
    <row r="1543" spans="1:3" x14ac:dyDescent="0.25">
      <c r="A1543" s="46" t="s">
        <v>2783</v>
      </c>
      <c r="B1543" s="35">
        <v>0.55882352590560902</v>
      </c>
      <c r="C1543" s="36">
        <v>0.12</v>
      </c>
    </row>
    <row r="1544" spans="1:3" x14ac:dyDescent="0.25">
      <c r="A1544" s="46" t="s">
        <v>2784</v>
      </c>
      <c r="B1544" s="35">
        <v>0.55797100067138605</v>
      </c>
      <c r="C1544" s="36">
        <v>0.1</v>
      </c>
    </row>
    <row r="1545" spans="1:3" x14ac:dyDescent="0.25">
      <c r="A1545" s="46" t="s">
        <v>2785</v>
      </c>
      <c r="B1545" s="35">
        <v>0.63235294818878096</v>
      </c>
      <c r="C1545" s="36">
        <v>0.21</v>
      </c>
    </row>
    <row r="1546" spans="1:3" x14ac:dyDescent="0.25">
      <c r="A1546" s="46" t="s">
        <v>2786</v>
      </c>
      <c r="B1546" s="35">
        <v>0.62133890390396096</v>
      </c>
      <c r="C1546" s="36">
        <v>0.28000000000000003</v>
      </c>
    </row>
    <row r="1547" spans="1:3" x14ac:dyDescent="0.25">
      <c r="A1547" s="46" t="s">
        <v>2787</v>
      </c>
      <c r="B1547" s="35">
        <v>0.97757011651992798</v>
      </c>
      <c r="C1547" s="36">
        <v>0.18</v>
      </c>
    </row>
    <row r="1548" spans="1:3" x14ac:dyDescent="0.25">
      <c r="A1548" s="46" t="s">
        <v>2788</v>
      </c>
      <c r="B1548" s="35">
        <v>0.61398178339004505</v>
      </c>
      <c r="C1548" s="36">
        <v>0.06</v>
      </c>
    </row>
    <row r="1549" spans="1:3" x14ac:dyDescent="0.25">
      <c r="A1549" s="46" t="s">
        <v>2789</v>
      </c>
      <c r="B1549" s="35">
        <v>0.48257839679718001</v>
      </c>
      <c r="C1549" s="36">
        <v>0.33</v>
      </c>
    </row>
    <row r="1550" spans="1:3" x14ac:dyDescent="0.25">
      <c r="A1550" s="46" t="s">
        <v>2790</v>
      </c>
      <c r="B1550" s="35">
        <v>0.62099641561508101</v>
      </c>
      <c r="C1550" s="36">
        <v>0.15</v>
      </c>
    </row>
    <row r="1551" spans="1:3" x14ac:dyDescent="0.25">
      <c r="A1551" s="46" t="s">
        <v>2791</v>
      </c>
      <c r="B1551" s="35">
        <v>0.70909088850021296</v>
      </c>
      <c r="C1551" s="36">
        <v>0.02</v>
      </c>
    </row>
    <row r="1552" spans="1:3" x14ac:dyDescent="0.25">
      <c r="A1552" s="46" t="s">
        <v>2792</v>
      </c>
      <c r="B1552" s="35">
        <v>0.55807363986968905</v>
      </c>
      <c r="C1552" s="36">
        <v>0.28000000000000003</v>
      </c>
    </row>
    <row r="1553" spans="1:3" x14ac:dyDescent="0.25">
      <c r="A1553" s="46" t="s">
        <v>2793</v>
      </c>
      <c r="B1553" s="35">
        <v>0.50091409683227495</v>
      </c>
      <c r="C1553" s="36">
        <v>0.2</v>
      </c>
    </row>
    <row r="1554" spans="1:3" x14ac:dyDescent="0.25">
      <c r="A1554" s="46" t="s">
        <v>2794</v>
      </c>
      <c r="B1554" s="35">
        <v>0.633802831172943</v>
      </c>
      <c r="C1554" s="36">
        <v>0</v>
      </c>
    </row>
    <row r="1555" spans="1:3" x14ac:dyDescent="0.25">
      <c r="A1555" s="46" t="s">
        <v>2795</v>
      </c>
      <c r="B1555" s="35">
        <v>0.63727957010269098</v>
      </c>
      <c r="C1555" s="36">
        <v>0.05</v>
      </c>
    </row>
    <row r="1556" spans="1:3" x14ac:dyDescent="0.25">
      <c r="A1556" s="46" t="s">
        <v>2796</v>
      </c>
      <c r="B1556" s="35">
        <v>0.599431812763214</v>
      </c>
      <c r="C1556" s="36">
        <v>0</v>
      </c>
    </row>
    <row r="1557" spans="1:3" x14ac:dyDescent="0.25">
      <c r="A1557" s="46" t="s">
        <v>2797</v>
      </c>
      <c r="B1557" s="35">
        <v>0.63109755516052202</v>
      </c>
      <c r="C1557" s="36">
        <v>0.16</v>
      </c>
    </row>
    <row r="1558" spans="1:3" x14ac:dyDescent="0.25">
      <c r="A1558" s="46" t="s">
        <v>2798</v>
      </c>
      <c r="B1558" s="35">
        <v>0.65853661298751798</v>
      </c>
      <c r="C1558" s="36">
        <v>0.09</v>
      </c>
    </row>
    <row r="1559" spans="1:3" x14ac:dyDescent="0.25">
      <c r="A1559" s="46" t="s">
        <v>1178</v>
      </c>
      <c r="B1559" s="35">
        <v>0.64959013462066595</v>
      </c>
      <c r="C1559" s="36">
        <v>0.18</v>
      </c>
    </row>
    <row r="1560" spans="1:3" x14ac:dyDescent="0.25">
      <c r="A1560" s="46" t="s">
        <v>2799</v>
      </c>
      <c r="B1560" s="35">
        <v>0.60410559177398604</v>
      </c>
      <c r="C1560" s="36">
        <v>0.2</v>
      </c>
    </row>
    <row r="1561" spans="1:3" x14ac:dyDescent="0.25">
      <c r="A1561" s="46" t="s">
        <v>2800</v>
      </c>
      <c r="B1561" s="35">
        <v>0.662162184715271</v>
      </c>
      <c r="C1561" s="36">
        <v>0</v>
      </c>
    </row>
    <row r="1562" spans="1:3" x14ac:dyDescent="0.25">
      <c r="A1562" s="46" t="s">
        <v>2801</v>
      </c>
      <c r="B1562" s="35">
        <v>0.70169490575790405</v>
      </c>
      <c r="C1562" s="36">
        <v>0.05</v>
      </c>
    </row>
    <row r="1563" spans="1:3" x14ac:dyDescent="0.25">
      <c r="A1563" s="46" t="s">
        <v>2802</v>
      </c>
      <c r="B1563" s="35">
        <v>0.58940398693084695</v>
      </c>
      <c r="C1563" s="36">
        <v>0.08</v>
      </c>
    </row>
    <row r="1564" spans="1:3" x14ac:dyDescent="0.25">
      <c r="A1564" s="46" t="s">
        <v>2803</v>
      </c>
      <c r="B1564" s="35">
        <v>0.62888890504837003</v>
      </c>
      <c r="C1564" s="36">
        <v>0.12</v>
      </c>
    </row>
    <row r="1565" spans="1:3" x14ac:dyDescent="0.25">
      <c r="A1565" s="46" t="s">
        <v>2804</v>
      </c>
      <c r="B1565" s="35">
        <v>0.46464645862579301</v>
      </c>
      <c r="C1565" s="36">
        <v>0.14000000000000001</v>
      </c>
    </row>
    <row r="1566" spans="1:3" x14ac:dyDescent="0.25">
      <c r="A1566" s="46" t="s">
        <v>2805</v>
      </c>
      <c r="B1566" s="35">
        <v>0.52880656719207697</v>
      </c>
      <c r="C1566" s="36">
        <v>0.28000000000000003</v>
      </c>
    </row>
    <row r="1567" spans="1:3" x14ac:dyDescent="0.25">
      <c r="A1567" s="46" t="s">
        <v>2806</v>
      </c>
      <c r="B1567" s="35">
        <v>0.70270270109176602</v>
      </c>
      <c r="C1567" s="36">
        <v>0.13</v>
      </c>
    </row>
    <row r="1568" spans="1:3" x14ac:dyDescent="0.25">
      <c r="A1568" s="46" t="s">
        <v>2807</v>
      </c>
      <c r="B1568" s="35">
        <v>0.60736197233199996</v>
      </c>
      <c r="C1568" s="36">
        <v>0.24</v>
      </c>
    </row>
    <row r="1569" spans="1:3" x14ac:dyDescent="0.25">
      <c r="A1569" s="46" t="s">
        <v>2808</v>
      </c>
      <c r="B1569" s="35">
        <v>0.57084190845489502</v>
      </c>
      <c r="C1569" s="36">
        <v>0.09</v>
      </c>
    </row>
    <row r="1570" spans="1:3" x14ac:dyDescent="0.25">
      <c r="A1570" s="46" t="s">
        <v>2809</v>
      </c>
      <c r="B1570" s="35">
        <v>0.61489361524581898</v>
      </c>
      <c r="C1570" s="36">
        <v>0.03</v>
      </c>
    </row>
    <row r="1571" spans="1:3" x14ac:dyDescent="0.25">
      <c r="A1571" s="46" t="s">
        <v>2810</v>
      </c>
      <c r="B1571" s="35">
        <v>0.56991523504257202</v>
      </c>
      <c r="C1571" s="36">
        <v>0.34</v>
      </c>
    </row>
    <row r="1572" spans="1:3" x14ac:dyDescent="0.25">
      <c r="A1572" s="46" t="s">
        <v>2811</v>
      </c>
      <c r="B1572" s="35">
        <v>0.56987297534942605</v>
      </c>
      <c r="C1572" s="36">
        <v>0.31</v>
      </c>
    </row>
    <row r="1573" spans="1:3" x14ac:dyDescent="0.25">
      <c r="A1573" s="46" t="s">
        <v>2812</v>
      </c>
      <c r="B1573" s="35">
        <v>0.68023258447647095</v>
      </c>
      <c r="C1573" s="36">
        <v>0.17</v>
      </c>
    </row>
    <row r="1574" spans="1:3" x14ac:dyDescent="0.25">
      <c r="A1574" s="46" t="s">
        <v>2813</v>
      </c>
      <c r="B1574" s="35">
        <v>0.49803921580314597</v>
      </c>
      <c r="C1574" s="36">
        <v>0.06</v>
      </c>
    </row>
    <row r="1575" spans="1:3" x14ac:dyDescent="0.25">
      <c r="A1575" s="46" t="s">
        <v>2814</v>
      </c>
      <c r="B1575" s="35">
        <v>0.53392857313156095</v>
      </c>
      <c r="C1575" s="36">
        <v>0</v>
      </c>
    </row>
    <row r="1576" spans="1:3" x14ac:dyDescent="0.25">
      <c r="A1576" s="46" t="s">
        <v>2815</v>
      </c>
      <c r="B1576" s="35">
        <v>0.637711882591247</v>
      </c>
      <c r="C1576" s="36">
        <v>0.15</v>
      </c>
    </row>
    <row r="1577" spans="1:3" x14ac:dyDescent="0.25">
      <c r="A1577" s="46" t="s">
        <v>2816</v>
      </c>
      <c r="B1577" s="35">
        <v>0.448916405439376</v>
      </c>
      <c r="C1577" s="36">
        <v>0.16</v>
      </c>
    </row>
    <row r="1578" spans="1:3" x14ac:dyDescent="0.25">
      <c r="A1578" s="46" t="s">
        <v>2817</v>
      </c>
      <c r="B1578" s="35">
        <v>0.57855361700057895</v>
      </c>
      <c r="C1578" s="36">
        <v>0.49</v>
      </c>
    </row>
    <row r="1579" spans="1:3" x14ac:dyDescent="0.25">
      <c r="A1579" s="46" t="s">
        <v>2818</v>
      </c>
      <c r="B1579" s="35">
        <v>0.70164608955383301</v>
      </c>
      <c r="C1579" s="36">
        <v>0.12</v>
      </c>
    </row>
    <row r="1580" spans="1:3" x14ac:dyDescent="0.25">
      <c r="A1580" s="46" t="s">
        <v>2819</v>
      </c>
      <c r="B1580" s="35">
        <v>0.61666667461395197</v>
      </c>
      <c r="C1580" s="36">
        <v>0.2</v>
      </c>
    </row>
    <row r="1581" spans="1:3" x14ac:dyDescent="0.25">
      <c r="A1581" s="46" t="s">
        <v>2820</v>
      </c>
      <c r="B1581" s="35">
        <v>0.59712231159210205</v>
      </c>
      <c r="C1581" s="36">
        <v>0.34</v>
      </c>
    </row>
    <row r="1582" spans="1:3" x14ac:dyDescent="0.25">
      <c r="A1582" s="46" t="s">
        <v>2821</v>
      </c>
      <c r="B1582" s="35">
        <v>0.51515150070190396</v>
      </c>
      <c r="C1582" s="36">
        <v>0.44</v>
      </c>
    </row>
    <row r="1583" spans="1:3" x14ac:dyDescent="0.25">
      <c r="A1583" s="46" t="s">
        <v>2822</v>
      </c>
      <c r="B1583" s="35">
        <v>0.64214044809341397</v>
      </c>
      <c r="C1583" s="36">
        <v>0.28000000000000003</v>
      </c>
    </row>
    <row r="1584" spans="1:3" x14ac:dyDescent="0.25">
      <c r="A1584" s="46" t="s">
        <v>2823</v>
      </c>
      <c r="B1584" s="35">
        <v>0.61049282550811701</v>
      </c>
      <c r="C1584" s="36">
        <v>0.13</v>
      </c>
    </row>
    <row r="1585" spans="1:3" x14ac:dyDescent="0.25">
      <c r="A1585" s="46" t="s">
        <v>2824</v>
      </c>
      <c r="B1585" s="35">
        <v>0.66192167997360196</v>
      </c>
      <c r="C1585" s="36">
        <v>0.13</v>
      </c>
    </row>
    <row r="1586" spans="1:3" x14ac:dyDescent="0.25">
      <c r="A1586" s="46" t="s">
        <v>2825</v>
      </c>
      <c r="B1586" s="35">
        <v>0.41749176383018399</v>
      </c>
      <c r="C1586" s="36">
        <v>0.24</v>
      </c>
    </row>
    <row r="1587" spans="1:3" x14ac:dyDescent="0.25">
      <c r="A1587" s="46" t="s">
        <v>2826</v>
      </c>
      <c r="B1587" s="35">
        <v>0.47741934657096802</v>
      </c>
      <c r="C1587" s="36">
        <v>0.46</v>
      </c>
    </row>
    <row r="1588" spans="1:3" x14ac:dyDescent="0.25">
      <c r="A1588" s="46" t="s">
        <v>2827</v>
      </c>
      <c r="B1588" s="35">
        <v>0.53636366128921498</v>
      </c>
      <c r="C1588" s="36">
        <v>0.08</v>
      </c>
    </row>
    <row r="1589" spans="1:3" x14ac:dyDescent="0.25">
      <c r="A1589" s="46" t="s">
        <v>2828</v>
      </c>
      <c r="B1589" s="35">
        <v>0.49717512726783702</v>
      </c>
      <c r="C1589" s="36">
        <v>0.11</v>
      </c>
    </row>
    <row r="1590" spans="1:3" x14ac:dyDescent="0.25">
      <c r="A1590" s="46" t="s">
        <v>2829</v>
      </c>
      <c r="B1590" s="35">
        <v>0.66666668653488104</v>
      </c>
      <c r="C1590" s="36">
        <v>0.16</v>
      </c>
    </row>
    <row r="1591" spans="1:3" x14ac:dyDescent="0.25">
      <c r="A1591" s="46" t="s">
        <v>2830</v>
      </c>
      <c r="B1591" s="35">
        <v>0.625</v>
      </c>
      <c r="C1591" s="36">
        <v>0</v>
      </c>
    </row>
    <row r="1592" spans="1:3" x14ac:dyDescent="0.25">
      <c r="A1592" s="46" t="s">
        <v>2831</v>
      </c>
      <c r="B1592" s="35">
        <v>0.44513458013534501</v>
      </c>
      <c r="C1592" s="36">
        <v>0.35</v>
      </c>
    </row>
    <row r="1593" spans="1:3" x14ac:dyDescent="0.25">
      <c r="A1593" s="46" t="s">
        <v>2832</v>
      </c>
      <c r="B1593" s="35">
        <v>0.49026346206665</v>
      </c>
      <c r="C1593" s="36">
        <v>0.1</v>
      </c>
    </row>
    <row r="1594" spans="1:3" x14ac:dyDescent="0.25">
      <c r="A1594" s="46" t="s">
        <v>2833</v>
      </c>
      <c r="B1594" s="35">
        <v>0.632218837738037</v>
      </c>
      <c r="C1594" s="36">
        <v>0.08</v>
      </c>
    </row>
    <row r="1595" spans="1:3" x14ac:dyDescent="0.25">
      <c r="A1595" s="46" t="s">
        <v>2834</v>
      </c>
      <c r="B1595" s="35">
        <v>0.84221750497817904</v>
      </c>
      <c r="C1595" s="36">
        <v>0</v>
      </c>
    </row>
    <row r="1596" spans="1:3" x14ac:dyDescent="0.25">
      <c r="A1596" s="46" t="s">
        <v>2835</v>
      </c>
      <c r="B1596" s="35">
        <v>0.64718616008758501</v>
      </c>
      <c r="C1596" s="36">
        <v>0.18</v>
      </c>
    </row>
    <row r="1597" spans="1:3" x14ac:dyDescent="0.25">
      <c r="A1597" s="46" t="s">
        <v>2836</v>
      </c>
      <c r="B1597" s="35">
        <v>0.78854626417160001</v>
      </c>
      <c r="C1597" s="36">
        <v>0.09</v>
      </c>
    </row>
    <row r="1598" spans="1:3" x14ac:dyDescent="0.25">
      <c r="A1598" s="46" t="s">
        <v>2837</v>
      </c>
      <c r="B1598" s="35">
        <v>0.64272558689117398</v>
      </c>
      <c r="C1598" s="36">
        <v>0</v>
      </c>
    </row>
    <row r="1599" spans="1:3" x14ac:dyDescent="0.25">
      <c r="A1599" s="46" t="s">
        <v>2838</v>
      </c>
      <c r="B1599" s="35">
        <v>0.70723682641982999</v>
      </c>
      <c r="C1599" s="36">
        <v>0.13</v>
      </c>
    </row>
    <row r="1600" spans="1:3" x14ac:dyDescent="0.25">
      <c r="A1600" s="46" t="s">
        <v>2839</v>
      </c>
      <c r="B1600" s="35">
        <v>0.55769228935241699</v>
      </c>
      <c r="C1600" s="36">
        <v>0.1</v>
      </c>
    </row>
    <row r="1601" spans="1:3" x14ac:dyDescent="0.25">
      <c r="A1601" s="46" t="s">
        <v>2840</v>
      </c>
      <c r="B1601" s="35">
        <v>0.57873213291168202</v>
      </c>
      <c r="C1601" s="36">
        <v>0.19</v>
      </c>
    </row>
    <row r="1602" spans="1:3" x14ac:dyDescent="0.25">
      <c r="A1602" s="46" t="s">
        <v>2841</v>
      </c>
      <c r="B1602" s="35">
        <v>0.49443206191062899</v>
      </c>
      <c r="C1602" s="36">
        <v>0.24</v>
      </c>
    </row>
    <row r="1603" spans="1:3" x14ac:dyDescent="0.25">
      <c r="A1603" s="46" t="s">
        <v>2842</v>
      </c>
      <c r="B1603" s="35">
        <v>0.59818732738494795</v>
      </c>
      <c r="C1603" s="36">
        <v>0.25</v>
      </c>
    </row>
    <row r="1604" spans="1:3" x14ac:dyDescent="0.25">
      <c r="A1604" s="46" t="s">
        <v>2843</v>
      </c>
      <c r="B1604" s="35">
        <v>0.74308300018310502</v>
      </c>
      <c r="C1604" s="36">
        <v>0.1</v>
      </c>
    </row>
    <row r="1605" spans="1:3" x14ac:dyDescent="0.25">
      <c r="A1605" s="46" t="s">
        <v>2844</v>
      </c>
      <c r="B1605" s="35">
        <v>0.57489877939224199</v>
      </c>
      <c r="C1605" s="36">
        <v>0</v>
      </c>
    </row>
    <row r="1606" spans="1:3" x14ac:dyDescent="0.25">
      <c r="A1606" s="46" t="s">
        <v>2845</v>
      </c>
      <c r="B1606" s="35">
        <v>0.67006802558898904</v>
      </c>
      <c r="C1606" s="36">
        <v>0.09</v>
      </c>
    </row>
    <row r="1607" spans="1:3" x14ac:dyDescent="0.25">
      <c r="A1607" s="46" t="s">
        <v>2846</v>
      </c>
      <c r="B1607" s="35">
        <v>0.62893080711364702</v>
      </c>
      <c r="C1607" s="36">
        <v>0.12</v>
      </c>
    </row>
    <row r="1608" spans="1:3" x14ac:dyDescent="0.25">
      <c r="A1608" s="46" t="s">
        <v>2847</v>
      </c>
      <c r="B1608" s="35">
        <v>0.56893545389175404</v>
      </c>
      <c r="C1608" s="36">
        <v>0.1</v>
      </c>
    </row>
    <row r="1609" spans="1:3" x14ac:dyDescent="0.25">
      <c r="A1609" s="46" t="s">
        <v>2848</v>
      </c>
      <c r="B1609" s="35">
        <v>0.63231849670410101</v>
      </c>
      <c r="C1609" s="36">
        <v>0.08</v>
      </c>
    </row>
    <row r="1610" spans="1:3" x14ac:dyDescent="0.25">
      <c r="A1610" s="46" t="s">
        <v>2849</v>
      </c>
      <c r="B1610" s="35">
        <v>0.60067111253738403</v>
      </c>
      <c r="C1610" s="36">
        <v>0.27</v>
      </c>
    </row>
    <row r="1611" spans="1:3" x14ac:dyDescent="0.25">
      <c r="A1611" s="46" t="s">
        <v>2850</v>
      </c>
      <c r="B1611" s="35">
        <v>0.462000012397766</v>
      </c>
      <c r="C1611" s="36">
        <v>0.1</v>
      </c>
    </row>
    <row r="1612" spans="1:3" x14ac:dyDescent="0.25">
      <c r="A1612" s="46" t="s">
        <v>2851</v>
      </c>
      <c r="B1612" s="35">
        <v>0.511560678482055</v>
      </c>
      <c r="C1612" s="36">
        <v>0.49</v>
      </c>
    </row>
    <row r="1613" spans="1:3" x14ac:dyDescent="0.25">
      <c r="A1613" s="46" t="s">
        <v>2852</v>
      </c>
      <c r="B1613" s="35">
        <v>0.46724891662597601</v>
      </c>
      <c r="C1613" s="36">
        <v>0.26</v>
      </c>
    </row>
    <row r="1614" spans="1:3" x14ac:dyDescent="0.25">
      <c r="A1614" s="46" t="s">
        <v>2853</v>
      </c>
      <c r="B1614" s="35">
        <v>0.831578969955444</v>
      </c>
      <c r="C1614" s="36">
        <v>0</v>
      </c>
    </row>
    <row r="1615" spans="1:3" x14ac:dyDescent="0.25">
      <c r="A1615" s="46" t="s">
        <v>2854</v>
      </c>
      <c r="B1615" s="35">
        <v>0.65071767568588201</v>
      </c>
      <c r="C1615" s="36">
        <v>0</v>
      </c>
    </row>
    <row r="1616" spans="1:3" x14ac:dyDescent="0.25">
      <c r="A1616" s="46" t="s">
        <v>2855</v>
      </c>
      <c r="B1616" s="35">
        <v>0.65071767568588201</v>
      </c>
      <c r="C1616" s="36">
        <v>0</v>
      </c>
    </row>
    <row r="1617" spans="1:3" x14ac:dyDescent="0.25">
      <c r="A1617" s="46" t="s">
        <v>2856</v>
      </c>
      <c r="B1617" s="35">
        <v>0.59036141633987405</v>
      </c>
      <c r="C1617" s="36">
        <v>0.22</v>
      </c>
    </row>
    <row r="1618" spans="1:3" x14ac:dyDescent="0.25">
      <c r="A1618" s="46" t="s">
        <v>2857</v>
      </c>
      <c r="B1618" s="35">
        <v>0.44421488046646102</v>
      </c>
      <c r="C1618" s="36">
        <v>0.34</v>
      </c>
    </row>
    <row r="1619" spans="1:3" x14ac:dyDescent="0.25">
      <c r="A1619" s="46" t="s">
        <v>2858</v>
      </c>
      <c r="B1619" s="35">
        <v>0.59393942356109597</v>
      </c>
      <c r="C1619" s="36">
        <v>0.19</v>
      </c>
    </row>
    <row r="1620" spans="1:3" x14ac:dyDescent="0.25">
      <c r="A1620" s="46" t="s">
        <v>2859</v>
      </c>
      <c r="B1620" s="35">
        <v>0.48667600750923101</v>
      </c>
      <c r="C1620" s="36">
        <v>0.38</v>
      </c>
    </row>
    <row r="1621" spans="1:3" x14ac:dyDescent="0.25">
      <c r="A1621" s="46" t="s">
        <v>2860</v>
      </c>
      <c r="B1621" s="35">
        <v>0.58436214923858598</v>
      </c>
      <c r="C1621" s="36">
        <v>0.26</v>
      </c>
    </row>
    <row r="1622" spans="1:3" x14ac:dyDescent="0.25">
      <c r="A1622" s="46" t="s">
        <v>2861</v>
      </c>
      <c r="B1622" s="35">
        <v>0.60542798042297297</v>
      </c>
      <c r="C1622" s="36">
        <v>0.03</v>
      </c>
    </row>
    <row r="1623" spans="1:3" x14ac:dyDescent="0.25">
      <c r="A1623" s="46" t="s">
        <v>2862</v>
      </c>
      <c r="B1623" s="35">
        <v>0.47325581312179499</v>
      </c>
      <c r="C1623" s="36">
        <v>0.35</v>
      </c>
    </row>
    <row r="1624" spans="1:3" x14ac:dyDescent="0.25">
      <c r="A1624" s="46" t="s">
        <v>2863</v>
      </c>
      <c r="B1624" s="35">
        <v>0.63703703880310003</v>
      </c>
      <c r="C1624" s="36">
        <v>0.19</v>
      </c>
    </row>
    <row r="1625" spans="1:3" x14ac:dyDescent="0.25">
      <c r="A1625" s="46" t="s">
        <v>2864</v>
      </c>
      <c r="B1625" s="35">
        <v>0.636363625526428</v>
      </c>
      <c r="C1625" s="36">
        <v>0.23</v>
      </c>
    </row>
    <row r="1626" spans="1:3" x14ac:dyDescent="0.25">
      <c r="A1626" s="46" t="s">
        <v>2865</v>
      </c>
      <c r="B1626" s="35">
        <v>0.63452917337417603</v>
      </c>
      <c r="C1626" s="36">
        <v>0.06</v>
      </c>
    </row>
    <row r="1627" spans="1:3" x14ac:dyDescent="0.25">
      <c r="A1627" s="46" t="s">
        <v>2866</v>
      </c>
      <c r="B1627" s="35">
        <v>0.63616073131561202</v>
      </c>
      <c r="C1627" s="36">
        <v>0</v>
      </c>
    </row>
    <row r="1628" spans="1:3" x14ac:dyDescent="0.25">
      <c r="A1628" s="46" t="s">
        <v>2867</v>
      </c>
      <c r="B1628" s="35">
        <v>0.64222222566604603</v>
      </c>
      <c r="C1628" s="36">
        <v>0.05</v>
      </c>
    </row>
    <row r="1629" spans="1:3" x14ac:dyDescent="0.25">
      <c r="A1629" s="46" t="s">
        <v>2868</v>
      </c>
      <c r="B1629" s="35">
        <v>0.51502144336700395</v>
      </c>
      <c r="C1629" s="36">
        <v>0.09</v>
      </c>
    </row>
    <row r="1630" spans="1:3" x14ac:dyDescent="0.25">
      <c r="A1630" s="46" t="s">
        <v>2869</v>
      </c>
      <c r="B1630" s="35">
        <v>0.64222222566604603</v>
      </c>
      <c r="C1630" s="36">
        <v>0</v>
      </c>
    </row>
    <row r="1631" spans="1:3" x14ac:dyDescent="0.25">
      <c r="A1631" s="46" t="s">
        <v>2870</v>
      </c>
      <c r="B1631" s="35">
        <v>0.64757710695266701</v>
      </c>
      <c r="C1631" s="36">
        <v>0</v>
      </c>
    </row>
    <row r="1632" spans="1:3" x14ac:dyDescent="0.25">
      <c r="A1632" s="46" t="s">
        <v>2871</v>
      </c>
      <c r="B1632" s="35">
        <v>0.541401267051696</v>
      </c>
      <c r="C1632" s="36">
        <v>7.0000000000000007E-2</v>
      </c>
    </row>
    <row r="1633" spans="1:3" x14ac:dyDescent="0.25">
      <c r="A1633" s="46" t="s">
        <v>2872</v>
      </c>
      <c r="B1633" s="35">
        <v>0.518518507480621</v>
      </c>
      <c r="C1633" s="36">
        <v>0.38</v>
      </c>
    </row>
    <row r="1634" spans="1:3" x14ac:dyDescent="0.25">
      <c r="A1634" s="46" t="s">
        <v>2873</v>
      </c>
      <c r="B1634" s="35">
        <v>0.44561403989791798</v>
      </c>
      <c r="C1634" s="36">
        <v>0.08</v>
      </c>
    </row>
    <row r="1635" spans="1:3" x14ac:dyDescent="0.25">
      <c r="A1635" s="46" t="s">
        <v>2874</v>
      </c>
      <c r="B1635" s="35">
        <v>0.46966731548309298</v>
      </c>
      <c r="C1635" s="36">
        <v>0.33</v>
      </c>
    </row>
    <row r="1636" spans="1:3" x14ac:dyDescent="0.25">
      <c r="A1636" s="46" t="s">
        <v>2875</v>
      </c>
      <c r="B1636" s="35">
        <v>0.60249555110931396</v>
      </c>
      <c r="C1636" s="36">
        <v>0.19</v>
      </c>
    </row>
    <row r="1637" spans="1:3" x14ac:dyDescent="0.25">
      <c r="A1637" s="46" t="s">
        <v>2876</v>
      </c>
      <c r="B1637" s="35">
        <v>0.66420662403106601</v>
      </c>
      <c r="C1637" s="36">
        <v>0</v>
      </c>
    </row>
    <row r="1638" spans="1:3" x14ac:dyDescent="0.25">
      <c r="A1638" s="46" t="s">
        <v>2877</v>
      </c>
      <c r="B1638" s="35">
        <v>0.79741376638412398</v>
      </c>
      <c r="C1638" s="36">
        <v>0.12</v>
      </c>
    </row>
    <row r="1639" spans="1:3" x14ac:dyDescent="0.25">
      <c r="A1639" s="46" t="s">
        <v>2878</v>
      </c>
      <c r="B1639" s="35">
        <v>0.64516127109527499</v>
      </c>
      <c r="C1639" s="36">
        <v>0.09</v>
      </c>
    </row>
    <row r="1640" spans="1:3" x14ac:dyDescent="0.25">
      <c r="A1640" s="46" t="s">
        <v>2879</v>
      </c>
      <c r="B1640" s="35">
        <v>0.67202574014663696</v>
      </c>
      <c r="C1640" s="36">
        <v>0.16</v>
      </c>
    </row>
    <row r="1641" spans="1:3" x14ac:dyDescent="0.25">
      <c r="A1641" s="46" t="s">
        <v>2880</v>
      </c>
      <c r="B1641" s="35">
        <v>0.50837987661361606</v>
      </c>
      <c r="C1641" s="36">
        <v>0.18</v>
      </c>
    </row>
    <row r="1642" spans="1:3" x14ac:dyDescent="0.25">
      <c r="A1642" s="46" t="s">
        <v>2881</v>
      </c>
      <c r="B1642" s="35">
        <v>0.64293783903121904</v>
      </c>
      <c r="C1642" s="36">
        <v>0.24</v>
      </c>
    </row>
    <row r="1643" spans="1:3" x14ac:dyDescent="0.25">
      <c r="A1643" s="46" t="s">
        <v>2882</v>
      </c>
      <c r="B1643" s="35">
        <v>0.55755394697189298</v>
      </c>
      <c r="C1643" s="36">
        <v>0.12</v>
      </c>
    </row>
    <row r="1644" spans="1:3" x14ac:dyDescent="0.25">
      <c r="A1644" s="46" t="s">
        <v>2883</v>
      </c>
      <c r="B1644" s="35">
        <v>0.62700229883193903</v>
      </c>
      <c r="C1644" s="36">
        <v>0.26</v>
      </c>
    </row>
    <row r="1645" spans="1:3" x14ac:dyDescent="0.25">
      <c r="A1645" s="46" t="s">
        <v>2884</v>
      </c>
      <c r="B1645" s="35">
        <v>0.481751829385757</v>
      </c>
      <c r="C1645" s="36">
        <v>0.34</v>
      </c>
    </row>
    <row r="1646" spans="1:3" x14ac:dyDescent="0.25">
      <c r="A1646" s="46" t="s">
        <v>2885</v>
      </c>
      <c r="B1646" s="35">
        <v>0.55436444282531705</v>
      </c>
      <c r="C1646" s="36">
        <v>0.13</v>
      </c>
    </row>
    <row r="1647" spans="1:3" x14ac:dyDescent="0.25">
      <c r="A1647" s="46" t="s">
        <v>2886</v>
      </c>
      <c r="B1647" s="35">
        <v>0.61492538452148404</v>
      </c>
      <c r="C1647" s="36">
        <v>0.25</v>
      </c>
    </row>
    <row r="1648" spans="1:3" x14ac:dyDescent="0.25">
      <c r="A1648" s="46" t="s">
        <v>2887</v>
      </c>
      <c r="B1648" s="35">
        <v>0.54677754640579201</v>
      </c>
      <c r="C1648" s="36">
        <v>0.16</v>
      </c>
    </row>
    <row r="1649" spans="1:3" x14ac:dyDescent="0.25">
      <c r="A1649" s="46" t="s">
        <v>2888</v>
      </c>
      <c r="B1649" s="35">
        <v>0.50495052337646396</v>
      </c>
      <c r="C1649" s="36">
        <v>0.14000000000000001</v>
      </c>
    </row>
    <row r="1650" spans="1:3" x14ac:dyDescent="0.25">
      <c r="A1650" s="46" t="s">
        <v>2889</v>
      </c>
      <c r="B1650" s="35">
        <v>0.50884085893630904</v>
      </c>
      <c r="C1650" s="36">
        <v>0.18</v>
      </c>
    </row>
    <row r="1651" spans="1:3" x14ac:dyDescent="0.25">
      <c r="A1651" s="46" t="s">
        <v>2890</v>
      </c>
      <c r="B1651" s="35">
        <v>0.62172281742095903</v>
      </c>
      <c r="C1651" s="36">
        <v>0.67</v>
      </c>
    </row>
    <row r="1652" spans="1:3" x14ac:dyDescent="0.25">
      <c r="A1652" s="46" t="s">
        <v>2891</v>
      </c>
      <c r="B1652" s="35">
        <v>0.57534247636795</v>
      </c>
      <c r="C1652" s="36">
        <v>0.4</v>
      </c>
    </row>
    <row r="1653" spans="1:3" x14ac:dyDescent="0.25">
      <c r="A1653" s="46" t="s">
        <v>2892</v>
      </c>
      <c r="B1653" s="35">
        <v>0.50428396463394098</v>
      </c>
      <c r="C1653" s="36">
        <v>0.38</v>
      </c>
    </row>
    <row r="1654" spans="1:3" x14ac:dyDescent="0.25">
      <c r="A1654" s="46" t="s">
        <v>2893</v>
      </c>
      <c r="B1654" s="35">
        <v>0.56013363599777199</v>
      </c>
      <c r="C1654" s="36">
        <v>0</v>
      </c>
    </row>
    <row r="1655" spans="1:3" x14ac:dyDescent="0.25">
      <c r="A1655" s="46" t="s">
        <v>2894</v>
      </c>
      <c r="B1655" s="35">
        <v>0.63461536169052102</v>
      </c>
      <c r="C1655" s="36">
        <v>0</v>
      </c>
    </row>
    <row r="1656" spans="1:3" x14ac:dyDescent="0.25">
      <c r="A1656" s="46" t="s">
        <v>2895</v>
      </c>
      <c r="B1656" s="35">
        <v>0.63774400949478105</v>
      </c>
      <c r="C1656" s="36">
        <v>0</v>
      </c>
    </row>
    <row r="1657" spans="1:3" x14ac:dyDescent="0.25">
      <c r="A1657" s="46" t="s">
        <v>2896</v>
      </c>
      <c r="B1657" s="35">
        <v>0.64720809459686202</v>
      </c>
      <c r="C1657" s="36">
        <v>0</v>
      </c>
    </row>
    <row r="1658" spans="1:3" x14ac:dyDescent="0.25">
      <c r="A1658" s="46" t="s">
        <v>2897</v>
      </c>
      <c r="B1658" s="35">
        <v>0.64530891180038397</v>
      </c>
      <c r="C1658" s="36">
        <v>0</v>
      </c>
    </row>
    <row r="1659" spans="1:3" x14ac:dyDescent="0.25">
      <c r="A1659" s="46" t="s">
        <v>2898</v>
      </c>
      <c r="B1659" s="35">
        <v>0.63906580209732</v>
      </c>
      <c r="C1659" s="36">
        <v>0</v>
      </c>
    </row>
    <row r="1660" spans="1:3" x14ac:dyDescent="0.25">
      <c r="A1660" s="46" t="s">
        <v>2899</v>
      </c>
      <c r="B1660" s="35">
        <v>0.67602592706680298</v>
      </c>
      <c r="C1660" s="36">
        <v>0</v>
      </c>
    </row>
    <row r="1661" spans="1:3" x14ac:dyDescent="0.25">
      <c r="A1661" s="46" t="s">
        <v>2900</v>
      </c>
      <c r="B1661" s="35">
        <v>0.60533332824706998</v>
      </c>
      <c r="C1661" s="36">
        <v>0.4</v>
      </c>
    </row>
    <row r="1662" spans="1:3" x14ac:dyDescent="0.25">
      <c r="A1662" s="46" t="s">
        <v>2901</v>
      </c>
      <c r="B1662" s="35">
        <v>0.68269228935241699</v>
      </c>
      <c r="C1662" s="36">
        <v>0</v>
      </c>
    </row>
    <row r="1663" spans="1:3" x14ac:dyDescent="0.25">
      <c r="A1663" s="46" t="s">
        <v>2902</v>
      </c>
      <c r="B1663" s="35">
        <v>0.62955033779144198</v>
      </c>
      <c r="C1663" s="36">
        <v>0</v>
      </c>
    </row>
    <row r="1664" spans="1:3" x14ac:dyDescent="0.25">
      <c r="A1664" s="46" t="s">
        <v>2903</v>
      </c>
      <c r="B1664" s="35">
        <v>0.63048499822616499</v>
      </c>
      <c r="C1664" s="36">
        <v>0</v>
      </c>
    </row>
    <row r="1665" spans="1:3" x14ac:dyDescent="0.25">
      <c r="A1665" s="46" t="s">
        <v>2904</v>
      </c>
      <c r="B1665" s="35">
        <v>0.63481950759887695</v>
      </c>
      <c r="C1665" s="36">
        <v>0</v>
      </c>
    </row>
    <row r="1666" spans="1:3" x14ac:dyDescent="0.25">
      <c r="A1666" s="46" t="s">
        <v>2905</v>
      </c>
      <c r="B1666" s="35">
        <v>0.59306567907333296</v>
      </c>
      <c r="C1666" s="36">
        <v>0</v>
      </c>
    </row>
    <row r="1667" spans="1:3" x14ac:dyDescent="0.25">
      <c r="A1667" s="46" t="s">
        <v>2906</v>
      </c>
      <c r="B1667" s="35">
        <v>0.61966603994369496</v>
      </c>
      <c r="C1667" s="36">
        <v>0</v>
      </c>
    </row>
    <row r="1668" spans="1:3" x14ac:dyDescent="0.25">
      <c r="A1668" s="46" t="s">
        <v>2907</v>
      </c>
      <c r="B1668" s="35">
        <v>0.64435946941375699</v>
      </c>
      <c r="C1668" s="36">
        <v>0</v>
      </c>
    </row>
    <row r="1669" spans="1:3" x14ac:dyDescent="0.25">
      <c r="A1669" s="46" t="s">
        <v>2908</v>
      </c>
      <c r="B1669" s="35">
        <v>0.63048499822616499</v>
      </c>
      <c r="C1669" s="36">
        <v>0</v>
      </c>
    </row>
    <row r="1670" spans="1:3" x14ac:dyDescent="0.25">
      <c r="A1670" s="46" t="s">
        <v>2909</v>
      </c>
      <c r="B1670" s="35">
        <v>0.64980542659759499</v>
      </c>
      <c r="C1670" s="36">
        <v>0</v>
      </c>
    </row>
    <row r="1671" spans="1:3" x14ac:dyDescent="0.25">
      <c r="A1671" s="46" t="s">
        <v>2910</v>
      </c>
      <c r="B1671" s="35">
        <v>0.66355139017105103</v>
      </c>
      <c r="C1671" s="36">
        <v>0</v>
      </c>
    </row>
    <row r="1672" spans="1:3" x14ac:dyDescent="0.25">
      <c r="A1672" s="46" t="s">
        <v>2911</v>
      </c>
      <c r="B1672" s="35">
        <v>0.50165379047393799</v>
      </c>
      <c r="C1672" s="36">
        <v>0.63</v>
      </c>
    </row>
    <row r="1673" spans="1:3" x14ac:dyDescent="0.25">
      <c r="A1673" s="46" t="s">
        <v>2912</v>
      </c>
      <c r="B1673" s="35">
        <v>0.63821893930435103</v>
      </c>
      <c r="C1673" s="36">
        <v>0</v>
      </c>
    </row>
    <row r="1674" spans="1:3" x14ac:dyDescent="0.25">
      <c r="A1674" s="46" t="s">
        <v>2913</v>
      </c>
      <c r="B1674" s="35">
        <v>0.62756049633026101</v>
      </c>
      <c r="C1674" s="36">
        <v>0</v>
      </c>
    </row>
    <row r="1675" spans="1:3" x14ac:dyDescent="0.25">
      <c r="A1675" s="46" t="s">
        <v>2914</v>
      </c>
      <c r="B1675" s="35">
        <v>0.64220184087753296</v>
      </c>
      <c r="C1675" s="36">
        <v>0</v>
      </c>
    </row>
    <row r="1676" spans="1:3" x14ac:dyDescent="0.25">
      <c r="A1676" s="46" t="s">
        <v>2915</v>
      </c>
      <c r="B1676" s="35">
        <v>0.64102566242217995</v>
      </c>
      <c r="C1676" s="36">
        <v>0</v>
      </c>
    </row>
    <row r="1677" spans="1:3" x14ac:dyDescent="0.25">
      <c r="A1677" s="46" t="s">
        <v>2916</v>
      </c>
      <c r="B1677" s="35">
        <v>0.50717079639434803</v>
      </c>
      <c r="C1677" s="36">
        <v>0.56000000000000005</v>
      </c>
    </row>
    <row r="1678" spans="1:3" x14ac:dyDescent="0.25">
      <c r="A1678" s="46" t="s">
        <v>2917</v>
      </c>
      <c r="B1678" s="35">
        <v>0.64434182643890303</v>
      </c>
      <c r="C1678" s="36">
        <v>0</v>
      </c>
    </row>
    <row r="1679" spans="1:3" x14ac:dyDescent="0.25">
      <c r="A1679" s="46" t="s">
        <v>2918</v>
      </c>
      <c r="B1679" s="35">
        <v>0.64434182643890303</v>
      </c>
      <c r="C1679" s="36">
        <v>0</v>
      </c>
    </row>
    <row r="1680" spans="1:3" x14ac:dyDescent="0.25">
      <c r="A1680" s="46" t="s">
        <v>2919</v>
      </c>
      <c r="B1680" s="35">
        <v>0.63419115543365401</v>
      </c>
      <c r="C1680" s="36">
        <v>0</v>
      </c>
    </row>
    <row r="1681" spans="1:3" x14ac:dyDescent="0.25">
      <c r="A1681" s="46" t="s">
        <v>2920</v>
      </c>
      <c r="B1681" s="35">
        <v>0.64837396144866899</v>
      </c>
      <c r="C1681" s="36">
        <v>0</v>
      </c>
    </row>
    <row r="1682" spans="1:3" x14ac:dyDescent="0.25">
      <c r="A1682" s="46" t="s">
        <v>2921</v>
      </c>
      <c r="B1682" s="35">
        <v>0.66237115859985296</v>
      </c>
      <c r="C1682" s="36">
        <v>0</v>
      </c>
    </row>
    <row r="1683" spans="1:3" x14ac:dyDescent="0.25">
      <c r="A1683" s="46" t="s">
        <v>2922</v>
      </c>
      <c r="B1683" s="35">
        <v>0.79310345649719205</v>
      </c>
      <c r="C1683" s="36">
        <v>0</v>
      </c>
    </row>
    <row r="1684" spans="1:3" x14ac:dyDescent="0.25">
      <c r="A1684" s="46" t="s">
        <v>2923</v>
      </c>
      <c r="B1684" s="35">
        <v>0.66919189691543501</v>
      </c>
      <c r="C1684" s="36">
        <v>0</v>
      </c>
    </row>
    <row r="1685" spans="1:3" x14ac:dyDescent="0.25">
      <c r="A1685" s="46" t="s">
        <v>2924</v>
      </c>
      <c r="B1685" s="35">
        <v>0.64634144306182795</v>
      </c>
      <c r="C1685" s="36">
        <v>0</v>
      </c>
    </row>
    <row r="1686" spans="1:3" x14ac:dyDescent="0.25">
      <c r="A1686" s="46" t="s">
        <v>2925</v>
      </c>
      <c r="B1686" s="35">
        <v>0.66193854808807295</v>
      </c>
      <c r="C1686" s="36">
        <v>0</v>
      </c>
    </row>
    <row r="1687" spans="1:3" x14ac:dyDescent="0.25">
      <c r="A1687" s="46" t="s">
        <v>2926</v>
      </c>
      <c r="B1687" s="35">
        <v>0.60678642988204901</v>
      </c>
      <c r="C1687" s="36">
        <v>0</v>
      </c>
    </row>
    <row r="1688" spans="1:3" x14ac:dyDescent="0.25">
      <c r="A1688" s="46" t="s">
        <v>2927</v>
      </c>
      <c r="B1688" s="35">
        <v>0.51827675104141202</v>
      </c>
      <c r="C1688" s="36">
        <v>0.35</v>
      </c>
    </row>
    <row r="1689" spans="1:3" x14ac:dyDescent="0.25">
      <c r="A1689" s="46" t="s">
        <v>2928</v>
      </c>
      <c r="B1689" s="35">
        <v>0.50921052694320601</v>
      </c>
      <c r="C1689" s="36">
        <v>0.4</v>
      </c>
    </row>
    <row r="1690" spans="1:3" x14ac:dyDescent="0.25">
      <c r="A1690" s="46" t="s">
        <v>2929</v>
      </c>
      <c r="B1690" s="35">
        <v>0.65148061513900701</v>
      </c>
      <c r="C1690" s="36">
        <v>0</v>
      </c>
    </row>
    <row r="1691" spans="1:3" x14ac:dyDescent="0.25">
      <c r="A1691" s="46" t="s">
        <v>2930</v>
      </c>
      <c r="B1691" s="35">
        <v>0.65517240762710505</v>
      </c>
      <c r="C1691" s="36">
        <v>0</v>
      </c>
    </row>
    <row r="1692" spans="1:3" x14ac:dyDescent="0.25">
      <c r="A1692" s="46" t="s">
        <v>2931</v>
      </c>
      <c r="B1692" s="35">
        <v>0.75494068861007602</v>
      </c>
      <c r="C1692" s="36">
        <v>0</v>
      </c>
    </row>
    <row r="1693" spans="1:3" x14ac:dyDescent="0.25">
      <c r="A1693" s="46" t="s">
        <v>2932</v>
      </c>
      <c r="B1693" s="35">
        <v>0.63617885112762396</v>
      </c>
      <c r="C1693" s="36">
        <v>0</v>
      </c>
    </row>
    <row r="1694" spans="1:3" x14ac:dyDescent="0.25">
      <c r="A1694" s="46" t="s">
        <v>2933</v>
      </c>
      <c r="B1694" s="35">
        <v>0.64553987979888905</v>
      </c>
      <c r="C1694" s="36">
        <v>0</v>
      </c>
    </row>
    <row r="1695" spans="1:3" x14ac:dyDescent="0.25">
      <c r="A1695" s="46" t="s">
        <v>2934</v>
      </c>
      <c r="B1695" s="35">
        <v>0.69761902093887296</v>
      </c>
      <c r="C1695" s="36">
        <v>0</v>
      </c>
    </row>
    <row r="1696" spans="1:3" x14ac:dyDescent="0.25">
      <c r="A1696" s="46" t="s">
        <v>2935</v>
      </c>
      <c r="B1696" s="35">
        <v>0.66428571939468295</v>
      </c>
      <c r="C1696" s="36">
        <v>0</v>
      </c>
    </row>
    <row r="1697" spans="1:3" x14ac:dyDescent="0.25">
      <c r="A1697" s="46" t="s">
        <v>2936</v>
      </c>
      <c r="B1697" s="35">
        <v>0.64808362722396795</v>
      </c>
      <c r="C1697" s="36">
        <v>0</v>
      </c>
    </row>
    <row r="1698" spans="1:3" x14ac:dyDescent="0.25">
      <c r="A1698" s="46" t="s">
        <v>2937</v>
      </c>
      <c r="B1698" s="35">
        <v>0.65034967660903897</v>
      </c>
      <c r="C1698" s="36">
        <v>0</v>
      </c>
    </row>
    <row r="1699" spans="1:3" x14ac:dyDescent="0.25">
      <c r="A1699" s="46" t="s">
        <v>2938</v>
      </c>
      <c r="B1699" s="35">
        <v>0.63999998569488503</v>
      </c>
      <c r="C1699" s="36">
        <v>0</v>
      </c>
    </row>
    <row r="1700" spans="1:3" x14ac:dyDescent="0.25">
      <c r="A1700" s="46" t="s">
        <v>2939</v>
      </c>
      <c r="B1700" s="35">
        <v>0.65217393636703402</v>
      </c>
      <c r="C1700" s="36">
        <v>0</v>
      </c>
    </row>
    <row r="1701" spans="1:3" x14ac:dyDescent="0.25">
      <c r="A1701" s="46" t="s">
        <v>2940</v>
      </c>
      <c r="B1701" s="35">
        <v>0.62060892581939697</v>
      </c>
      <c r="C1701" s="36">
        <v>0.03</v>
      </c>
    </row>
    <row r="1702" spans="1:3" x14ac:dyDescent="0.25">
      <c r="A1702" s="46" t="s">
        <v>2941</v>
      </c>
      <c r="B1702" s="35">
        <v>0.67118644714355402</v>
      </c>
      <c r="C1702" s="36">
        <v>0</v>
      </c>
    </row>
    <row r="1703" spans="1:3" x14ac:dyDescent="0.25">
      <c r="A1703" s="46" t="s">
        <v>2942</v>
      </c>
      <c r="B1703" s="35">
        <v>0.65366971492767301</v>
      </c>
      <c r="C1703" s="36">
        <v>0</v>
      </c>
    </row>
    <row r="1704" spans="1:3" x14ac:dyDescent="0.25">
      <c r="A1704" s="46" t="s">
        <v>2943</v>
      </c>
      <c r="B1704" s="35">
        <v>0.65654206275939897</v>
      </c>
      <c r="C1704" s="36">
        <v>0</v>
      </c>
    </row>
    <row r="1705" spans="1:3" x14ac:dyDescent="0.25">
      <c r="A1705" s="46" t="s">
        <v>2944</v>
      </c>
      <c r="B1705" s="35">
        <v>0.60678642988204901</v>
      </c>
      <c r="C1705" s="36">
        <v>0</v>
      </c>
    </row>
    <row r="1706" spans="1:3" x14ac:dyDescent="0.25">
      <c r="A1706" s="46" t="s">
        <v>2945</v>
      </c>
      <c r="B1706" s="35">
        <v>0.511111140251159</v>
      </c>
      <c r="C1706" s="36">
        <v>0.35</v>
      </c>
    </row>
    <row r="1707" spans="1:3" x14ac:dyDescent="0.25">
      <c r="A1707" s="46" t="s">
        <v>2946</v>
      </c>
      <c r="B1707" s="35">
        <v>0.64597702026367099</v>
      </c>
      <c r="C1707" s="36">
        <v>0</v>
      </c>
    </row>
    <row r="1708" spans="1:3" x14ac:dyDescent="0.25">
      <c r="A1708" s="46" t="s">
        <v>2947</v>
      </c>
      <c r="B1708" s="35">
        <v>0.63532108068466098</v>
      </c>
      <c r="C1708" s="36">
        <v>0</v>
      </c>
    </row>
    <row r="1709" spans="1:3" x14ac:dyDescent="0.25">
      <c r="A1709" s="46" t="s">
        <v>2948</v>
      </c>
      <c r="B1709" s="35">
        <v>0.63080167770385698</v>
      </c>
      <c r="C1709" s="36">
        <v>0</v>
      </c>
    </row>
    <row r="1710" spans="1:3" x14ac:dyDescent="0.25">
      <c r="A1710" s="46" t="s">
        <v>2949</v>
      </c>
      <c r="B1710" s="35">
        <v>0.61609196662902799</v>
      </c>
      <c r="C1710" s="36">
        <v>0</v>
      </c>
    </row>
    <row r="1711" spans="1:3" x14ac:dyDescent="0.25">
      <c r="A1711" s="46" t="s">
        <v>2950</v>
      </c>
      <c r="B1711" s="35">
        <v>0.63666665554046598</v>
      </c>
      <c r="C1711" s="36">
        <v>0</v>
      </c>
    </row>
    <row r="1712" spans="1:3" x14ac:dyDescent="0.25">
      <c r="A1712" s="46" t="s">
        <v>2951</v>
      </c>
      <c r="B1712" s="35">
        <v>0.62639403343200595</v>
      </c>
      <c r="C1712" s="36">
        <v>0</v>
      </c>
    </row>
    <row r="1713" spans="1:3" x14ac:dyDescent="0.25">
      <c r="A1713" s="46" t="s">
        <v>2952</v>
      </c>
      <c r="B1713" s="35">
        <v>0.47948163747787398</v>
      </c>
      <c r="C1713" s="36">
        <v>0.37</v>
      </c>
    </row>
    <row r="1714" spans="1:3" x14ac:dyDescent="0.25">
      <c r="A1714" s="46" t="s">
        <v>2953</v>
      </c>
      <c r="B1714" s="35">
        <v>0.477806776762008</v>
      </c>
      <c r="C1714" s="36">
        <v>0.45</v>
      </c>
    </row>
    <row r="1715" spans="1:3" x14ac:dyDescent="0.25">
      <c r="A1715" s="46" t="s">
        <v>1190</v>
      </c>
      <c r="B1715" s="35">
        <v>0.60916441679000799</v>
      </c>
      <c r="C1715" s="36">
        <v>0.4</v>
      </c>
    </row>
    <row r="1716" spans="1:3" x14ac:dyDescent="0.25">
      <c r="A1716" s="46" t="s">
        <v>962</v>
      </c>
      <c r="B1716" s="35">
        <v>0.58854168653488104</v>
      </c>
      <c r="C1716" s="36">
        <v>0.56999999999999995</v>
      </c>
    </row>
    <row r="1717" spans="1:3" x14ac:dyDescent="0.25">
      <c r="A1717" s="46" t="s">
        <v>2954</v>
      </c>
      <c r="B1717" s="35">
        <v>0.48383501172065702</v>
      </c>
      <c r="C1717" s="36">
        <v>0.31</v>
      </c>
    </row>
    <row r="1718" spans="1:3" x14ac:dyDescent="0.25">
      <c r="A1718" s="46" t="s">
        <v>2955</v>
      </c>
      <c r="B1718" s="35">
        <v>0.435546875</v>
      </c>
      <c r="C1718" s="36">
        <v>0.4</v>
      </c>
    </row>
    <row r="1719" spans="1:3" x14ac:dyDescent="0.25">
      <c r="A1719" s="46" t="s">
        <v>2956</v>
      </c>
      <c r="B1719" s="35">
        <v>0.46190476417541498</v>
      </c>
      <c r="C1719" s="36">
        <v>0.46</v>
      </c>
    </row>
    <row r="1720" spans="1:3" x14ac:dyDescent="0.25">
      <c r="A1720" s="46" t="s">
        <v>2957</v>
      </c>
      <c r="B1720" s="35">
        <v>0.498007982969284</v>
      </c>
      <c r="C1720" s="36">
        <v>0.55000000000000004</v>
      </c>
    </row>
    <row r="1721" spans="1:3" x14ac:dyDescent="0.25">
      <c r="A1721" s="46" t="s">
        <v>2958</v>
      </c>
      <c r="B1721" s="35">
        <v>0.53687316179275502</v>
      </c>
      <c r="C1721" s="36">
        <v>0.55000000000000004</v>
      </c>
    </row>
    <row r="1722" spans="1:3" x14ac:dyDescent="0.25">
      <c r="A1722" s="46" t="s">
        <v>2959</v>
      </c>
      <c r="B1722" s="35">
        <v>0.45904761552810602</v>
      </c>
      <c r="C1722" s="36">
        <v>0.47</v>
      </c>
    </row>
    <row r="1723" spans="1:3" x14ac:dyDescent="0.25">
      <c r="A1723" s="46" t="s">
        <v>2960</v>
      </c>
      <c r="B1723" s="35">
        <v>0.47495681047439497</v>
      </c>
      <c r="C1723" s="36">
        <v>0.44</v>
      </c>
    </row>
    <row r="1724" spans="1:3" x14ac:dyDescent="0.25">
      <c r="A1724" s="46" t="s">
        <v>2961</v>
      </c>
      <c r="B1724" s="35">
        <v>0.77187502384185702</v>
      </c>
      <c r="C1724" s="36">
        <v>0.56999999999999995</v>
      </c>
    </row>
    <row r="1725" spans="1:3" x14ac:dyDescent="0.25">
      <c r="A1725" s="46" t="s">
        <v>2962</v>
      </c>
      <c r="B1725" s="35">
        <v>0.47266516089439298</v>
      </c>
      <c r="C1725" s="36">
        <v>0.28000000000000003</v>
      </c>
    </row>
    <row r="1726" spans="1:3" x14ac:dyDescent="0.25">
      <c r="A1726" s="46" t="s">
        <v>2963</v>
      </c>
      <c r="B1726" s="35">
        <v>0.53869044780731201</v>
      </c>
      <c r="C1726" s="36">
        <v>0.46</v>
      </c>
    </row>
    <row r="1727" spans="1:3" x14ac:dyDescent="0.25">
      <c r="A1727" s="46" t="s">
        <v>2964</v>
      </c>
      <c r="B1727" s="35">
        <v>0.72222220897674505</v>
      </c>
      <c r="C1727" s="36">
        <v>0.44</v>
      </c>
    </row>
    <row r="1728" spans="1:3" x14ac:dyDescent="0.25">
      <c r="A1728" s="46" t="s">
        <v>2965</v>
      </c>
      <c r="B1728" s="35">
        <v>0.52588558197021396</v>
      </c>
      <c r="C1728" s="36">
        <v>0.42</v>
      </c>
    </row>
    <row r="1729" spans="1:3" x14ac:dyDescent="0.25">
      <c r="A1729" s="46" t="s">
        <v>2966</v>
      </c>
      <c r="B1729" s="35">
        <v>0.50595235824584905</v>
      </c>
      <c r="C1729" s="36">
        <v>0.38</v>
      </c>
    </row>
    <row r="1730" spans="1:3" x14ac:dyDescent="0.25">
      <c r="A1730" s="46" t="s">
        <v>2967</v>
      </c>
      <c r="B1730" s="35">
        <v>0.54239255189895597</v>
      </c>
      <c r="C1730" s="36">
        <v>0.52</v>
      </c>
    </row>
    <row r="1731" spans="1:3" x14ac:dyDescent="0.25">
      <c r="A1731" s="46" t="s">
        <v>2968</v>
      </c>
      <c r="B1731" s="35">
        <v>0.49683544039726202</v>
      </c>
      <c r="C1731" s="36">
        <v>0.37</v>
      </c>
    </row>
    <row r="1732" spans="1:3" x14ac:dyDescent="0.25">
      <c r="A1732" s="46" t="s">
        <v>2969</v>
      </c>
      <c r="B1732" s="35">
        <v>0.52706551551818803</v>
      </c>
      <c r="C1732" s="36">
        <v>0.42</v>
      </c>
    </row>
    <row r="1733" spans="1:3" x14ac:dyDescent="0.25">
      <c r="A1733" s="46" t="s">
        <v>2970</v>
      </c>
      <c r="B1733" s="35">
        <v>0.45067265629768299</v>
      </c>
      <c r="C1733" s="36">
        <v>0.44</v>
      </c>
    </row>
    <row r="1734" spans="1:3" x14ac:dyDescent="0.25">
      <c r="A1734" s="46" t="s">
        <v>2971</v>
      </c>
      <c r="B1734" s="35">
        <v>0.70846396684646595</v>
      </c>
      <c r="C1734" s="36">
        <v>0.5</v>
      </c>
    </row>
    <row r="1735" spans="1:3" x14ac:dyDescent="0.25">
      <c r="A1735" s="46" t="s">
        <v>2972</v>
      </c>
      <c r="B1735" s="35">
        <v>0.50199997425079301</v>
      </c>
      <c r="C1735" s="36">
        <v>0.56000000000000005</v>
      </c>
    </row>
    <row r="1736" spans="1:3" x14ac:dyDescent="0.25">
      <c r="A1736" s="46" t="s">
        <v>2973</v>
      </c>
      <c r="B1736" s="35">
        <v>0.90853661298751798</v>
      </c>
      <c r="C1736" s="36">
        <v>0.11</v>
      </c>
    </row>
    <row r="1737" spans="1:3" x14ac:dyDescent="0.25">
      <c r="A1737" s="46" t="s">
        <v>2974</v>
      </c>
      <c r="B1737" s="35">
        <v>0.53779697418212802</v>
      </c>
      <c r="C1737" s="36">
        <v>0</v>
      </c>
    </row>
    <row r="1738" spans="1:3" x14ac:dyDescent="0.25">
      <c r="A1738" s="46" t="s">
        <v>2975</v>
      </c>
      <c r="B1738" s="35">
        <v>0.51937985420226995</v>
      </c>
      <c r="C1738" s="36">
        <v>0.02</v>
      </c>
    </row>
    <row r="1739" spans="1:3" x14ac:dyDescent="0.25">
      <c r="A1739" s="46" t="s">
        <v>2976</v>
      </c>
      <c r="B1739" s="35">
        <v>0.615916967391967</v>
      </c>
      <c r="C1739" s="36">
        <v>7.0000000000000007E-2</v>
      </c>
    </row>
    <row r="1740" spans="1:3" x14ac:dyDescent="0.25">
      <c r="A1740" s="46" t="s">
        <v>2977</v>
      </c>
      <c r="B1740" s="35">
        <v>0.65068495273589999</v>
      </c>
      <c r="C1740" s="36">
        <v>0.14000000000000001</v>
      </c>
    </row>
    <row r="1741" spans="1:3" x14ac:dyDescent="0.25">
      <c r="A1741" s="46" t="s">
        <v>2978</v>
      </c>
      <c r="B1741" s="35">
        <v>0.59233450889587402</v>
      </c>
      <c r="C1741" s="36">
        <v>0.15</v>
      </c>
    </row>
    <row r="1742" spans="1:3" x14ac:dyDescent="0.25">
      <c r="A1742" s="46" t="s">
        <v>2979</v>
      </c>
      <c r="B1742" s="35">
        <v>0.64417177438735895</v>
      </c>
      <c r="C1742" s="36">
        <v>7.0000000000000007E-2</v>
      </c>
    </row>
    <row r="1743" spans="1:3" x14ac:dyDescent="0.25">
      <c r="A1743" s="46" t="s">
        <v>2980</v>
      </c>
      <c r="B1743" s="35">
        <v>0.64417177438735895</v>
      </c>
      <c r="C1743" s="36">
        <v>0.08</v>
      </c>
    </row>
    <row r="1744" spans="1:3" x14ac:dyDescent="0.25">
      <c r="A1744" s="46" t="s">
        <v>2981</v>
      </c>
      <c r="B1744" s="35">
        <v>0.61111110448837203</v>
      </c>
      <c r="C1744" s="36">
        <v>0.08</v>
      </c>
    </row>
    <row r="1745" spans="1:3" x14ac:dyDescent="0.25">
      <c r="A1745" s="46" t="s">
        <v>2982</v>
      </c>
      <c r="B1745" s="35">
        <v>0.67474049329757602</v>
      </c>
      <c r="C1745" s="36">
        <v>0.14000000000000001</v>
      </c>
    </row>
    <row r="1746" spans="1:3" x14ac:dyDescent="0.25">
      <c r="A1746" s="46" t="s">
        <v>2983</v>
      </c>
      <c r="B1746" s="35">
        <v>0.49386504292488098</v>
      </c>
      <c r="C1746" s="36">
        <v>0.13</v>
      </c>
    </row>
    <row r="1747" spans="1:3" x14ac:dyDescent="0.25">
      <c r="A1747" s="46" t="s">
        <v>2984</v>
      </c>
      <c r="B1747" s="35">
        <v>0.75461256504058805</v>
      </c>
      <c r="C1747" s="36">
        <v>0.44</v>
      </c>
    </row>
    <row r="1748" spans="1:3" x14ac:dyDescent="0.25">
      <c r="A1748" s="46" t="s">
        <v>2985</v>
      </c>
      <c r="B1748" s="35">
        <v>0.43493151664733798</v>
      </c>
      <c r="C1748" s="36">
        <v>0.08</v>
      </c>
    </row>
    <row r="1749" spans="1:3" x14ac:dyDescent="0.25">
      <c r="A1749" s="46" t="s">
        <v>2986</v>
      </c>
      <c r="B1749" s="35">
        <v>0.45070421695709201</v>
      </c>
      <c r="C1749" s="36">
        <v>0.06</v>
      </c>
    </row>
    <row r="1750" spans="1:3" x14ac:dyDescent="0.25">
      <c r="A1750" s="46" t="s">
        <v>2987</v>
      </c>
      <c r="B1750" s="35">
        <v>0.64975845813751198</v>
      </c>
      <c r="C1750" s="36">
        <v>0.14000000000000001</v>
      </c>
    </row>
    <row r="1751" spans="1:3" x14ac:dyDescent="0.25">
      <c r="A1751" s="46" t="s">
        <v>2988</v>
      </c>
      <c r="B1751" s="35">
        <v>0.41489362716674799</v>
      </c>
      <c r="C1751" s="36">
        <v>0.39</v>
      </c>
    </row>
    <row r="1752" spans="1:3" x14ac:dyDescent="0.25">
      <c r="A1752" s="46" t="s">
        <v>2989</v>
      </c>
      <c r="B1752" s="35">
        <v>0.64222222566604603</v>
      </c>
      <c r="C1752" s="36">
        <v>0.24</v>
      </c>
    </row>
    <row r="1753" spans="1:3" x14ac:dyDescent="0.25">
      <c r="A1753" s="46" t="s">
        <v>2990</v>
      </c>
      <c r="B1753" s="35">
        <v>0.50473183393478305</v>
      </c>
      <c r="C1753" s="36">
        <v>0.1</v>
      </c>
    </row>
    <row r="1754" spans="1:3" x14ac:dyDescent="0.25">
      <c r="A1754" s="46" t="s">
        <v>2991</v>
      </c>
      <c r="B1754" s="35">
        <v>0.45806452631950301</v>
      </c>
      <c r="C1754" s="36">
        <v>0.06</v>
      </c>
    </row>
    <row r="1755" spans="1:3" x14ac:dyDescent="0.25">
      <c r="A1755" s="46" t="s">
        <v>2992</v>
      </c>
      <c r="B1755" s="35">
        <v>0.51152074337005604</v>
      </c>
      <c r="C1755" s="36">
        <v>0.3</v>
      </c>
    </row>
    <row r="1756" spans="1:3" x14ac:dyDescent="0.25">
      <c r="A1756" s="46" t="s">
        <v>2993</v>
      </c>
      <c r="B1756" s="35">
        <v>0.59011626243591297</v>
      </c>
      <c r="C1756" s="36">
        <v>0.16</v>
      </c>
    </row>
    <row r="1757" spans="1:3" x14ac:dyDescent="0.25">
      <c r="A1757" s="46" t="s">
        <v>2994</v>
      </c>
      <c r="B1757" s="35">
        <v>0.64169383049011197</v>
      </c>
      <c r="C1757" s="36">
        <v>0.12</v>
      </c>
    </row>
    <row r="1758" spans="1:3" x14ac:dyDescent="0.25">
      <c r="A1758" s="46" t="s">
        <v>2995</v>
      </c>
      <c r="B1758" s="35">
        <v>0.52459013462066595</v>
      </c>
      <c r="C1758" s="36">
        <v>0</v>
      </c>
    </row>
    <row r="1759" spans="1:3" x14ac:dyDescent="0.25">
      <c r="A1759" s="46" t="s">
        <v>2996</v>
      </c>
      <c r="B1759" s="35">
        <v>0.67692309617996205</v>
      </c>
      <c r="C1759" s="36">
        <v>0.28000000000000003</v>
      </c>
    </row>
    <row r="1760" spans="1:3" x14ac:dyDescent="0.25">
      <c r="A1760" s="46" t="s">
        <v>2997</v>
      </c>
      <c r="B1760" s="35">
        <v>0.65328466892242398</v>
      </c>
      <c r="C1760" s="36">
        <v>0.27</v>
      </c>
    </row>
    <row r="1761" spans="1:3" x14ac:dyDescent="0.25">
      <c r="A1761" s="46" t="s">
        <v>2998</v>
      </c>
      <c r="B1761" s="35">
        <v>0.66591930389404297</v>
      </c>
      <c r="C1761" s="36">
        <v>0.06</v>
      </c>
    </row>
    <row r="1762" spans="1:3" x14ac:dyDescent="0.25">
      <c r="A1762" s="46" t="s">
        <v>2999</v>
      </c>
      <c r="B1762" s="35">
        <v>0.77056276798248202</v>
      </c>
      <c r="C1762" s="36">
        <v>0.15</v>
      </c>
    </row>
    <row r="1763" spans="1:3" x14ac:dyDescent="0.25">
      <c r="A1763" s="46" t="s">
        <v>3000</v>
      </c>
      <c r="B1763" s="35">
        <v>0.57600951194763095</v>
      </c>
      <c r="C1763" s="36">
        <v>0</v>
      </c>
    </row>
    <row r="1764" spans="1:3" x14ac:dyDescent="0.25">
      <c r="A1764" s="46" t="s">
        <v>3001</v>
      </c>
      <c r="B1764" s="35">
        <v>0.50877195596694902</v>
      </c>
      <c r="C1764" s="36">
        <v>0.15</v>
      </c>
    </row>
    <row r="1765" spans="1:3" x14ac:dyDescent="0.25">
      <c r="A1765" s="46" t="s">
        <v>3002</v>
      </c>
      <c r="B1765" s="35">
        <v>0.64285713434219305</v>
      </c>
      <c r="C1765" s="36">
        <v>0</v>
      </c>
    </row>
    <row r="1766" spans="1:3" x14ac:dyDescent="0.25">
      <c r="A1766" s="46" t="s">
        <v>3003</v>
      </c>
      <c r="B1766" s="35">
        <v>0.86941581964492798</v>
      </c>
      <c r="C1766" s="36">
        <v>0.14000000000000001</v>
      </c>
    </row>
    <row r="1767" spans="1:3" x14ac:dyDescent="0.25">
      <c r="A1767" s="46" t="s">
        <v>3004</v>
      </c>
      <c r="B1767" s="35">
        <v>0.65860217809677102</v>
      </c>
      <c r="C1767" s="36">
        <v>0.33</v>
      </c>
    </row>
    <row r="1768" spans="1:3" x14ac:dyDescent="0.25">
      <c r="A1768" s="46" t="s">
        <v>3005</v>
      </c>
      <c r="B1768" s="35">
        <v>0.56475901603698697</v>
      </c>
      <c r="C1768" s="36">
        <v>0.23</v>
      </c>
    </row>
    <row r="1769" spans="1:3" x14ac:dyDescent="0.25">
      <c r="A1769" s="46" t="s">
        <v>3006</v>
      </c>
      <c r="B1769" s="35">
        <v>0.59523808956146196</v>
      </c>
      <c r="C1769" s="36">
        <v>0.23</v>
      </c>
    </row>
    <row r="1770" spans="1:3" x14ac:dyDescent="0.25">
      <c r="A1770" s="46" t="s">
        <v>3007</v>
      </c>
      <c r="B1770" s="35">
        <v>0.57968127727508501</v>
      </c>
      <c r="C1770" s="36">
        <v>0.14000000000000001</v>
      </c>
    </row>
    <row r="1771" spans="1:3" x14ac:dyDescent="0.25">
      <c r="A1771" s="46" t="s">
        <v>3008</v>
      </c>
      <c r="B1771" s="35">
        <v>0.43543544411659202</v>
      </c>
      <c r="C1771" s="36">
        <v>0.04</v>
      </c>
    </row>
    <row r="1772" spans="1:3" x14ac:dyDescent="0.25">
      <c r="A1772" s="46" t="s">
        <v>3009</v>
      </c>
      <c r="B1772" s="35">
        <v>0.45265588164329501</v>
      </c>
      <c r="C1772" s="36">
        <v>0.23</v>
      </c>
    </row>
    <row r="1773" spans="1:3" x14ac:dyDescent="0.25">
      <c r="A1773" s="46" t="s">
        <v>3010</v>
      </c>
      <c r="B1773" s="35">
        <v>0.61189359426498402</v>
      </c>
      <c r="C1773" s="36">
        <v>0.28000000000000003</v>
      </c>
    </row>
    <row r="1774" spans="1:3" x14ac:dyDescent="0.25">
      <c r="A1774" s="46" t="s">
        <v>3011</v>
      </c>
      <c r="B1774" s="35">
        <v>0.613636374473571</v>
      </c>
      <c r="C1774" s="36">
        <v>0.23</v>
      </c>
    </row>
    <row r="1775" spans="1:3" x14ac:dyDescent="0.25">
      <c r="A1775" s="46" t="s">
        <v>3012</v>
      </c>
      <c r="B1775" s="35">
        <v>0.707386374473571</v>
      </c>
      <c r="C1775" s="36">
        <v>0.2</v>
      </c>
    </row>
    <row r="1776" spans="1:3" x14ac:dyDescent="0.25">
      <c r="A1776" s="46" t="s">
        <v>3013</v>
      </c>
      <c r="B1776" s="35">
        <v>0.40968343615531899</v>
      </c>
      <c r="C1776" s="36">
        <v>0.32</v>
      </c>
    </row>
    <row r="1777" spans="1:3" x14ac:dyDescent="0.25">
      <c r="A1777" s="46" t="s">
        <v>3014</v>
      </c>
      <c r="B1777" s="35">
        <v>0.41261261701583801</v>
      </c>
      <c r="C1777" s="36">
        <v>0.11</v>
      </c>
    </row>
    <row r="1778" spans="1:3" x14ac:dyDescent="0.25">
      <c r="A1778" s="46" t="s">
        <v>1196</v>
      </c>
      <c r="B1778" s="35">
        <v>0.579487204551696</v>
      </c>
      <c r="C1778" s="36">
        <v>0.35</v>
      </c>
    </row>
    <row r="1779" spans="1:3" x14ac:dyDescent="0.25">
      <c r="A1779" s="46" t="s">
        <v>3015</v>
      </c>
      <c r="B1779" s="35">
        <v>0.74257427453994695</v>
      </c>
      <c r="C1779" s="36">
        <v>0.17</v>
      </c>
    </row>
    <row r="1780" spans="1:3" x14ac:dyDescent="0.25">
      <c r="A1780" s="46" t="s">
        <v>3016</v>
      </c>
      <c r="B1780" s="35">
        <v>0.77479338645935003</v>
      </c>
      <c r="C1780" s="36">
        <v>0.17</v>
      </c>
    </row>
    <row r="1781" spans="1:3" x14ac:dyDescent="0.25">
      <c r="A1781" s="46" t="s">
        <v>3017</v>
      </c>
      <c r="B1781" s="35">
        <v>0.63496142625808705</v>
      </c>
      <c r="C1781" s="36">
        <v>0.51</v>
      </c>
    </row>
    <row r="1782" spans="1:3" x14ac:dyDescent="0.25">
      <c r="A1782" s="46" t="s">
        <v>3018</v>
      </c>
      <c r="B1782" s="35">
        <v>0.45925927162170399</v>
      </c>
      <c r="C1782" s="36">
        <v>7.0000000000000007E-2</v>
      </c>
    </row>
    <row r="1783" spans="1:3" x14ac:dyDescent="0.25">
      <c r="A1783" s="46" t="s">
        <v>1198</v>
      </c>
      <c r="B1783" s="35">
        <v>0.56521737575530995</v>
      </c>
      <c r="C1783" s="36">
        <v>0.5</v>
      </c>
    </row>
    <row r="1784" spans="1:3" x14ac:dyDescent="0.25">
      <c r="A1784" s="46" t="s">
        <v>3019</v>
      </c>
      <c r="B1784" s="35">
        <v>0.64285713434219305</v>
      </c>
      <c r="C1784" s="36">
        <v>0.11</v>
      </c>
    </row>
    <row r="1785" spans="1:3" x14ac:dyDescent="0.25">
      <c r="A1785" s="46" t="s">
        <v>3020</v>
      </c>
      <c r="B1785" s="35">
        <v>0.64492756128311102</v>
      </c>
      <c r="C1785" s="36">
        <v>0.13</v>
      </c>
    </row>
    <row r="1786" spans="1:3" x14ac:dyDescent="0.25">
      <c r="A1786" s="46" t="s">
        <v>3021</v>
      </c>
      <c r="B1786" s="35">
        <v>0.882956862449646</v>
      </c>
      <c r="C1786" s="36">
        <v>0.25</v>
      </c>
    </row>
    <row r="1787" spans="1:3" x14ac:dyDescent="0.25">
      <c r="A1787" s="46" t="s">
        <v>3022</v>
      </c>
      <c r="B1787" s="35">
        <v>0.74947810173034601</v>
      </c>
      <c r="C1787" s="36">
        <v>0.31</v>
      </c>
    </row>
    <row r="1788" spans="1:3" x14ac:dyDescent="0.25">
      <c r="A1788" s="46" t="s">
        <v>3023</v>
      </c>
      <c r="B1788" s="35">
        <v>0.459807068109512</v>
      </c>
      <c r="C1788" s="36">
        <v>0.09</v>
      </c>
    </row>
    <row r="1789" spans="1:3" x14ac:dyDescent="0.25">
      <c r="A1789" s="46" t="s">
        <v>3024</v>
      </c>
      <c r="B1789" s="35">
        <v>0.56915742158889704</v>
      </c>
      <c r="C1789" s="36">
        <v>0.12</v>
      </c>
    </row>
    <row r="1790" spans="1:3" x14ac:dyDescent="0.25">
      <c r="A1790" s="46" t="s">
        <v>3025</v>
      </c>
      <c r="B1790" s="35">
        <v>0.47536233067512501</v>
      </c>
      <c r="C1790" s="36">
        <v>0.22</v>
      </c>
    </row>
    <row r="1791" spans="1:3" x14ac:dyDescent="0.25">
      <c r="A1791" s="46" t="s">
        <v>3026</v>
      </c>
      <c r="B1791" s="35">
        <v>0.85422742366790705</v>
      </c>
      <c r="C1791" s="36">
        <v>0.09</v>
      </c>
    </row>
    <row r="1792" spans="1:3" x14ac:dyDescent="0.25">
      <c r="A1792" s="46" t="s">
        <v>3027</v>
      </c>
      <c r="B1792" s="35">
        <v>0.82400000095367398</v>
      </c>
      <c r="C1792" s="36">
        <v>0.14000000000000001</v>
      </c>
    </row>
    <row r="1793" spans="1:3" x14ac:dyDescent="0.25">
      <c r="A1793" s="46" t="s">
        <v>3028</v>
      </c>
      <c r="B1793" s="35">
        <v>0.59738135337829501</v>
      </c>
      <c r="C1793" s="36">
        <v>0</v>
      </c>
    </row>
    <row r="1794" spans="1:3" x14ac:dyDescent="0.25">
      <c r="A1794" s="46" t="s">
        <v>3029</v>
      </c>
      <c r="B1794" s="35">
        <v>0.57909214496612504</v>
      </c>
      <c r="C1794" s="36">
        <v>0.11</v>
      </c>
    </row>
    <row r="1795" spans="1:3" x14ac:dyDescent="0.25">
      <c r="A1795" s="46" t="s">
        <v>3030</v>
      </c>
      <c r="B1795" s="35">
        <v>0.70342206954955999</v>
      </c>
      <c r="C1795" s="36">
        <v>0.15</v>
      </c>
    </row>
    <row r="1796" spans="1:3" x14ac:dyDescent="0.25">
      <c r="A1796" s="46" t="s">
        <v>3031</v>
      </c>
      <c r="B1796" s="35">
        <v>0.56879431009292603</v>
      </c>
      <c r="C1796" s="36">
        <v>0.31</v>
      </c>
    </row>
    <row r="1797" spans="1:3" x14ac:dyDescent="0.25">
      <c r="A1797" s="46" t="s">
        <v>3032</v>
      </c>
      <c r="B1797" s="35">
        <v>0.63519310951232899</v>
      </c>
      <c r="C1797" s="36">
        <v>0.03</v>
      </c>
    </row>
    <row r="1798" spans="1:3" x14ac:dyDescent="0.25">
      <c r="A1798" s="46" t="s">
        <v>3033</v>
      </c>
      <c r="B1798" s="35">
        <v>0.69508194923400801</v>
      </c>
      <c r="C1798" s="36">
        <v>0.3</v>
      </c>
    </row>
    <row r="1799" spans="1:3" x14ac:dyDescent="0.25">
      <c r="A1799" s="46" t="s">
        <v>3034</v>
      </c>
      <c r="B1799" s="35">
        <v>0.65814697742462103</v>
      </c>
      <c r="C1799" s="36">
        <v>0.32</v>
      </c>
    </row>
    <row r="1800" spans="1:3" x14ac:dyDescent="0.25">
      <c r="A1800" s="46" t="s">
        <v>3035</v>
      </c>
      <c r="B1800" s="35">
        <v>0.51358693838119496</v>
      </c>
      <c r="C1800" s="36">
        <v>0.12</v>
      </c>
    </row>
    <row r="1801" spans="1:3" x14ac:dyDescent="0.25">
      <c r="A1801" s="46" t="s">
        <v>3036</v>
      </c>
      <c r="B1801" s="35">
        <v>0.64552843570709195</v>
      </c>
      <c r="C1801" s="36">
        <v>0.18</v>
      </c>
    </row>
    <row r="1802" spans="1:3" x14ac:dyDescent="0.25">
      <c r="A1802" s="46" t="s">
        <v>3037</v>
      </c>
      <c r="B1802" s="35">
        <v>0.59724611043929998</v>
      </c>
      <c r="C1802" s="36">
        <v>0.23</v>
      </c>
    </row>
    <row r="1803" spans="1:3" x14ac:dyDescent="0.25">
      <c r="A1803" s="46" t="s">
        <v>3038</v>
      </c>
      <c r="B1803" s="35">
        <v>0.63980263471603305</v>
      </c>
      <c r="C1803" s="36">
        <v>0.28000000000000003</v>
      </c>
    </row>
    <row r="1804" spans="1:3" x14ac:dyDescent="0.25">
      <c r="A1804" s="46" t="s">
        <v>3039</v>
      </c>
      <c r="B1804" s="35">
        <v>0.52820515632629395</v>
      </c>
      <c r="C1804" s="36">
        <v>0.24</v>
      </c>
    </row>
    <row r="1805" spans="1:3" x14ac:dyDescent="0.25">
      <c r="A1805" s="46" t="s">
        <v>3040</v>
      </c>
      <c r="B1805" s="35">
        <v>0.60136675834655695</v>
      </c>
      <c r="C1805" s="36">
        <v>0.28999999999999998</v>
      </c>
    </row>
    <row r="1806" spans="1:3" x14ac:dyDescent="0.25">
      <c r="A1806" s="46" t="s">
        <v>3041</v>
      </c>
      <c r="B1806" s="35">
        <v>0.57565218210220304</v>
      </c>
      <c r="C1806" s="36">
        <v>0.27</v>
      </c>
    </row>
    <row r="1807" spans="1:3" x14ac:dyDescent="0.25">
      <c r="A1807" s="46" t="s">
        <v>3042</v>
      </c>
      <c r="B1807" s="35">
        <v>0.68652850389480502</v>
      </c>
      <c r="C1807" s="36">
        <v>0.23</v>
      </c>
    </row>
    <row r="1808" spans="1:3" x14ac:dyDescent="0.25">
      <c r="A1808" s="46" t="s">
        <v>3043</v>
      </c>
      <c r="B1808" s="35">
        <v>0.63362067937850897</v>
      </c>
      <c r="C1808" s="36">
        <v>0.15</v>
      </c>
    </row>
    <row r="1809" spans="1:3" x14ac:dyDescent="0.25">
      <c r="A1809" s="46" t="s">
        <v>3044</v>
      </c>
      <c r="B1809" s="35">
        <v>0.47511312365531899</v>
      </c>
      <c r="C1809" s="36">
        <v>0.41</v>
      </c>
    </row>
    <row r="1810" spans="1:3" x14ac:dyDescent="0.25">
      <c r="A1810" s="46" t="s">
        <v>3045</v>
      </c>
      <c r="B1810" s="35">
        <v>0.471153855323791</v>
      </c>
      <c r="C1810" s="36">
        <v>0.23</v>
      </c>
    </row>
    <row r="1811" spans="1:3" x14ac:dyDescent="0.25">
      <c r="A1811" s="46" t="s">
        <v>3046</v>
      </c>
      <c r="B1811" s="35">
        <v>0.57267439365386896</v>
      </c>
      <c r="C1811" s="36">
        <v>0.46</v>
      </c>
    </row>
    <row r="1812" spans="1:3" x14ac:dyDescent="0.25">
      <c r="A1812" s="46" t="s">
        <v>3047</v>
      </c>
      <c r="B1812" s="35">
        <v>0.78761059045791604</v>
      </c>
      <c r="C1812" s="36">
        <v>0.15</v>
      </c>
    </row>
    <row r="1813" spans="1:3" x14ac:dyDescent="0.25">
      <c r="A1813" s="46" t="s">
        <v>3048</v>
      </c>
      <c r="B1813" s="35">
        <v>0.79741376638412398</v>
      </c>
      <c r="C1813" s="36">
        <v>0.1</v>
      </c>
    </row>
    <row r="1814" spans="1:3" x14ac:dyDescent="0.25">
      <c r="A1814" s="46" t="s">
        <v>3049</v>
      </c>
      <c r="B1814" s="35">
        <v>0.40000000596046398</v>
      </c>
      <c r="C1814" s="36">
        <v>0.02</v>
      </c>
    </row>
    <row r="1815" spans="1:3" x14ac:dyDescent="0.25">
      <c r="A1815" s="46" t="s">
        <v>3050</v>
      </c>
      <c r="B1815" s="35">
        <v>0.67374515533447199</v>
      </c>
      <c r="C1815" s="36">
        <v>0.13</v>
      </c>
    </row>
    <row r="1816" spans="1:3" x14ac:dyDescent="0.25">
      <c r="A1816" s="46" t="s">
        <v>3051</v>
      </c>
      <c r="B1816" s="35">
        <v>0.49103942513465798</v>
      </c>
      <c r="C1816" s="36">
        <v>0.05</v>
      </c>
    </row>
    <row r="1817" spans="1:3" x14ac:dyDescent="0.25">
      <c r="A1817" s="46" t="s">
        <v>3052</v>
      </c>
      <c r="B1817" s="35">
        <v>0.80786025524139404</v>
      </c>
      <c r="C1817" s="36">
        <v>0.11</v>
      </c>
    </row>
    <row r="1818" spans="1:3" x14ac:dyDescent="0.25">
      <c r="A1818" s="46" t="s">
        <v>3053</v>
      </c>
      <c r="B1818" s="35">
        <v>0.65460526943206698</v>
      </c>
      <c r="C1818" s="36">
        <v>0.33</v>
      </c>
    </row>
    <row r="1819" spans="1:3" x14ac:dyDescent="0.25">
      <c r="A1819" s="46" t="s">
        <v>3054</v>
      </c>
      <c r="B1819" s="35">
        <v>0.43820226192474299</v>
      </c>
      <c r="C1819" s="36">
        <v>0.18</v>
      </c>
    </row>
    <row r="1820" spans="1:3" x14ac:dyDescent="0.25">
      <c r="A1820" s="46" t="s">
        <v>3055</v>
      </c>
      <c r="B1820" s="35">
        <v>0.45258620381355202</v>
      </c>
      <c r="C1820" s="36">
        <v>0.06</v>
      </c>
    </row>
    <row r="1821" spans="1:3" x14ac:dyDescent="0.25">
      <c r="A1821" s="46" t="s">
        <v>3056</v>
      </c>
      <c r="B1821" s="35">
        <v>0.51399999856948797</v>
      </c>
      <c r="C1821" s="36">
        <v>0.13</v>
      </c>
    </row>
    <row r="1822" spans="1:3" x14ac:dyDescent="0.25">
      <c r="A1822" s="46" t="s">
        <v>3057</v>
      </c>
      <c r="B1822" s="35">
        <v>0.52749997377395597</v>
      </c>
      <c r="C1822" s="36">
        <v>0.06</v>
      </c>
    </row>
    <row r="1823" spans="1:3" x14ac:dyDescent="0.25">
      <c r="A1823" s="46" t="s">
        <v>3058</v>
      </c>
      <c r="B1823" s="35">
        <v>0.41592919826507502</v>
      </c>
      <c r="C1823" s="36">
        <v>0.08</v>
      </c>
    </row>
    <row r="1824" spans="1:3" x14ac:dyDescent="0.25">
      <c r="A1824" s="46" t="s">
        <v>3059</v>
      </c>
      <c r="B1824" s="35">
        <v>0.62222224473953203</v>
      </c>
      <c r="C1824" s="36">
        <v>0.37</v>
      </c>
    </row>
    <row r="1825" spans="1:3" x14ac:dyDescent="0.25">
      <c r="A1825" s="46" t="s">
        <v>3060</v>
      </c>
      <c r="B1825" s="35">
        <v>0.60422164201736395</v>
      </c>
      <c r="C1825" s="36">
        <v>0.26</v>
      </c>
    </row>
    <row r="1826" spans="1:3" x14ac:dyDescent="0.25">
      <c r="A1826" s="46" t="s">
        <v>3061</v>
      </c>
      <c r="B1826" s="35">
        <v>0.55164319276809604</v>
      </c>
      <c r="C1826" s="36">
        <v>0.44</v>
      </c>
    </row>
    <row r="1827" spans="1:3" x14ac:dyDescent="0.25">
      <c r="A1827" s="46" t="s">
        <v>3062</v>
      </c>
      <c r="B1827" s="35">
        <v>0.45807769894599898</v>
      </c>
      <c r="C1827" s="36">
        <v>0.28000000000000003</v>
      </c>
    </row>
    <row r="1828" spans="1:3" x14ac:dyDescent="0.25">
      <c r="A1828" s="46" t="s">
        <v>3063</v>
      </c>
      <c r="B1828" s="35">
        <v>0.50227272510528498</v>
      </c>
      <c r="C1828" s="36">
        <v>0.37</v>
      </c>
    </row>
    <row r="1829" spans="1:3" x14ac:dyDescent="0.25">
      <c r="A1829" s="46" t="s">
        <v>3064</v>
      </c>
      <c r="B1829" s="35">
        <v>0.59633028507232599</v>
      </c>
      <c r="C1829" s="36">
        <v>0</v>
      </c>
    </row>
    <row r="1830" spans="1:3" x14ac:dyDescent="0.25">
      <c r="A1830" s="46" t="s">
        <v>3065</v>
      </c>
      <c r="B1830" s="35">
        <v>0.46843177080154402</v>
      </c>
      <c r="C1830" s="36">
        <v>0.1</v>
      </c>
    </row>
    <row r="1831" spans="1:3" x14ac:dyDescent="0.25">
      <c r="A1831" s="46" t="s">
        <v>3066</v>
      </c>
      <c r="B1831" s="35">
        <v>0.68595039844512895</v>
      </c>
      <c r="C1831" s="36">
        <v>0.16</v>
      </c>
    </row>
    <row r="1832" spans="1:3" x14ac:dyDescent="0.25">
      <c r="A1832" s="46" t="s">
        <v>3067</v>
      </c>
      <c r="B1832" s="35">
        <v>0.86580884456634499</v>
      </c>
      <c r="C1832" s="36">
        <v>0.18</v>
      </c>
    </row>
    <row r="1833" spans="1:3" x14ac:dyDescent="0.25">
      <c r="A1833" s="46" t="s">
        <v>3068</v>
      </c>
      <c r="B1833" s="35">
        <v>0.66445183753967196</v>
      </c>
      <c r="C1833" s="36">
        <v>0.1</v>
      </c>
    </row>
    <row r="1834" spans="1:3" x14ac:dyDescent="0.25">
      <c r="A1834" s="46" t="s">
        <v>3069</v>
      </c>
      <c r="B1834" s="35">
        <v>0.54178673028945901</v>
      </c>
      <c r="C1834" s="36">
        <v>0.16</v>
      </c>
    </row>
    <row r="1835" spans="1:3" x14ac:dyDescent="0.25">
      <c r="A1835" s="46" t="s">
        <v>3070</v>
      </c>
      <c r="B1835" s="35">
        <v>0.46506550908088601</v>
      </c>
      <c r="C1835" s="36">
        <v>0.11</v>
      </c>
    </row>
    <row r="1836" spans="1:3" x14ac:dyDescent="0.25">
      <c r="A1836" s="46" t="s">
        <v>3071</v>
      </c>
      <c r="B1836" s="35">
        <v>0.64059197902679399</v>
      </c>
      <c r="C1836" s="36">
        <v>0.26</v>
      </c>
    </row>
    <row r="1837" spans="1:3" x14ac:dyDescent="0.25">
      <c r="A1837" s="46" t="s">
        <v>3072</v>
      </c>
      <c r="B1837" s="35">
        <v>0.62328040599822998</v>
      </c>
      <c r="C1837" s="36">
        <v>0.27</v>
      </c>
    </row>
    <row r="1838" spans="1:3" x14ac:dyDescent="0.25">
      <c r="A1838" s="46" t="s">
        <v>3073</v>
      </c>
      <c r="B1838" s="35">
        <v>0.62222224473953203</v>
      </c>
      <c r="C1838" s="36">
        <v>0.31</v>
      </c>
    </row>
    <row r="1839" spans="1:3" x14ac:dyDescent="0.25">
      <c r="A1839" s="46" t="s">
        <v>3074</v>
      </c>
      <c r="B1839" s="35">
        <v>0.79464286565780595</v>
      </c>
      <c r="C1839" s="36">
        <v>0.08</v>
      </c>
    </row>
    <row r="1840" spans="1:3" x14ac:dyDescent="0.25">
      <c r="A1840" s="46" t="s">
        <v>3075</v>
      </c>
      <c r="B1840" s="35">
        <v>0.43949043750762901</v>
      </c>
      <c r="C1840" s="36">
        <v>0.17</v>
      </c>
    </row>
    <row r="1841" spans="1:3" x14ac:dyDescent="0.25">
      <c r="A1841" s="46" t="s">
        <v>3076</v>
      </c>
      <c r="B1841" s="35">
        <v>0.75868058204650801</v>
      </c>
      <c r="C1841" s="36">
        <v>0.3</v>
      </c>
    </row>
    <row r="1842" spans="1:3" x14ac:dyDescent="0.25">
      <c r="A1842" s="46" t="s">
        <v>3077</v>
      </c>
      <c r="B1842" s="35">
        <v>0.623188376426696</v>
      </c>
      <c r="C1842" s="36">
        <v>0.16</v>
      </c>
    </row>
    <row r="1843" spans="1:3" x14ac:dyDescent="0.25">
      <c r="A1843" s="46" t="s">
        <v>3078</v>
      </c>
      <c r="B1843" s="35">
        <v>0.66799205541610696</v>
      </c>
      <c r="C1843" s="36">
        <v>0.25</v>
      </c>
    </row>
    <row r="1844" spans="1:3" x14ac:dyDescent="0.25">
      <c r="A1844" s="46" t="s">
        <v>3079</v>
      </c>
      <c r="B1844" s="35">
        <v>0.64350455999374301</v>
      </c>
      <c r="C1844" s="36">
        <v>0.19</v>
      </c>
    </row>
    <row r="1845" spans="1:3" x14ac:dyDescent="0.25">
      <c r="A1845" s="46" t="s">
        <v>3080</v>
      </c>
      <c r="B1845" s="35">
        <v>0.62725448608398404</v>
      </c>
      <c r="C1845" s="36">
        <v>0.27</v>
      </c>
    </row>
    <row r="1846" spans="1:3" x14ac:dyDescent="0.25">
      <c r="A1846" s="46" t="s">
        <v>3081</v>
      </c>
      <c r="B1846" s="35">
        <v>0.546012282371521</v>
      </c>
      <c r="C1846" s="36">
        <v>0.17</v>
      </c>
    </row>
    <row r="1847" spans="1:3" x14ac:dyDescent="0.25">
      <c r="A1847" s="46" t="s">
        <v>3082</v>
      </c>
      <c r="B1847" s="35">
        <v>0.53925925493240301</v>
      </c>
      <c r="C1847" s="36">
        <v>0</v>
      </c>
    </row>
    <row r="1848" spans="1:3" x14ac:dyDescent="0.25">
      <c r="A1848" s="46" t="s">
        <v>3083</v>
      </c>
      <c r="B1848" s="35">
        <v>0.89733839035034102</v>
      </c>
      <c r="C1848" s="36">
        <v>0.14000000000000001</v>
      </c>
    </row>
    <row r="1849" spans="1:3" x14ac:dyDescent="0.25">
      <c r="A1849" s="46" t="s">
        <v>3084</v>
      </c>
      <c r="B1849" s="35">
        <v>0.61368209123611395</v>
      </c>
      <c r="C1849" s="36">
        <v>0.21</v>
      </c>
    </row>
    <row r="1850" spans="1:3" x14ac:dyDescent="0.25">
      <c r="A1850" s="46" t="s">
        <v>3085</v>
      </c>
      <c r="B1850" s="35">
        <v>0.43965518474578802</v>
      </c>
      <c r="C1850" s="36">
        <v>0.05</v>
      </c>
    </row>
    <row r="1851" spans="1:3" x14ac:dyDescent="0.25">
      <c r="A1851" s="46" t="s">
        <v>1202</v>
      </c>
      <c r="B1851" s="35">
        <v>0.58118361234664895</v>
      </c>
      <c r="C1851" s="36">
        <v>0.18</v>
      </c>
    </row>
    <row r="1852" spans="1:3" x14ac:dyDescent="0.25">
      <c r="A1852" s="46" t="s">
        <v>3086</v>
      </c>
      <c r="B1852" s="35">
        <v>0.58600002527236905</v>
      </c>
      <c r="C1852" s="36">
        <v>0.02</v>
      </c>
    </row>
    <row r="1853" spans="1:3" x14ac:dyDescent="0.25">
      <c r="A1853" s="46" t="s">
        <v>3087</v>
      </c>
      <c r="B1853" s="35">
        <v>0.70930230617523105</v>
      </c>
      <c r="C1853" s="36">
        <v>0.02</v>
      </c>
    </row>
    <row r="1854" spans="1:3" x14ac:dyDescent="0.25">
      <c r="A1854" s="46" t="s">
        <v>3088</v>
      </c>
      <c r="B1854" s="35">
        <v>0.54175150394439697</v>
      </c>
      <c r="C1854" s="36">
        <v>0.28000000000000003</v>
      </c>
    </row>
    <row r="1855" spans="1:3" x14ac:dyDescent="0.25">
      <c r="A1855" s="46" t="s">
        <v>3089</v>
      </c>
      <c r="B1855" s="35">
        <v>0.52395206689834595</v>
      </c>
      <c r="C1855" s="36">
        <v>0.2</v>
      </c>
    </row>
    <row r="1856" spans="1:3" x14ac:dyDescent="0.25">
      <c r="A1856" s="46" t="s">
        <v>3090</v>
      </c>
      <c r="B1856" s="35">
        <v>0.55555558204650801</v>
      </c>
      <c r="C1856" s="36">
        <v>0.21</v>
      </c>
    </row>
    <row r="1857" spans="1:3" x14ac:dyDescent="0.25">
      <c r="A1857" s="46" t="s">
        <v>3091</v>
      </c>
      <c r="B1857" s="35">
        <v>0.59076923131942705</v>
      </c>
      <c r="C1857" s="36">
        <v>0.33</v>
      </c>
    </row>
    <row r="1858" spans="1:3" x14ac:dyDescent="0.25">
      <c r="A1858" s="46" t="s">
        <v>3092</v>
      </c>
      <c r="B1858" s="35">
        <v>0.56372547149658203</v>
      </c>
      <c r="C1858" s="36">
        <v>0.35</v>
      </c>
    </row>
    <row r="1859" spans="1:3" x14ac:dyDescent="0.25">
      <c r="A1859" s="46" t="s">
        <v>3093</v>
      </c>
      <c r="B1859" s="35">
        <v>0.57371795177459695</v>
      </c>
      <c r="C1859" s="36">
        <v>0.39</v>
      </c>
    </row>
    <row r="1860" spans="1:3" x14ac:dyDescent="0.25">
      <c r="A1860" s="46" t="s">
        <v>3094</v>
      </c>
      <c r="B1860" s="35">
        <v>0.49169436097144997</v>
      </c>
      <c r="C1860" s="36">
        <v>0.43</v>
      </c>
    </row>
    <row r="1861" spans="1:3" x14ac:dyDescent="0.25">
      <c r="A1861" s="46" t="s">
        <v>3095</v>
      </c>
      <c r="B1861" s="35">
        <v>0.52108430862426702</v>
      </c>
      <c r="C1861" s="36">
        <v>0.27</v>
      </c>
    </row>
    <row r="1862" spans="1:3" x14ac:dyDescent="0.25">
      <c r="A1862" s="46" t="s">
        <v>3096</v>
      </c>
      <c r="B1862" s="35">
        <v>0.48351648449897699</v>
      </c>
      <c r="C1862" s="36">
        <v>0.25</v>
      </c>
    </row>
    <row r="1863" spans="1:3" x14ac:dyDescent="0.25">
      <c r="A1863" s="46" t="s">
        <v>3097</v>
      </c>
      <c r="B1863" s="35">
        <v>0.70689654350280695</v>
      </c>
      <c r="C1863" s="36">
        <v>0.49</v>
      </c>
    </row>
    <row r="1864" spans="1:3" x14ac:dyDescent="0.25">
      <c r="A1864" s="46" t="s">
        <v>3098</v>
      </c>
      <c r="B1864" s="35">
        <v>0.94320487976074197</v>
      </c>
      <c r="C1864" s="36">
        <v>0.18</v>
      </c>
    </row>
    <row r="1865" spans="1:3" x14ac:dyDescent="0.25">
      <c r="A1865" s="46" t="s">
        <v>3099</v>
      </c>
      <c r="B1865" s="35">
        <v>0.59220778942108099</v>
      </c>
      <c r="C1865" s="36">
        <v>0.28999999999999998</v>
      </c>
    </row>
    <row r="1866" spans="1:3" x14ac:dyDescent="0.25">
      <c r="A1866" s="46" t="s">
        <v>3100</v>
      </c>
      <c r="B1866" s="35">
        <v>0.44776120781898499</v>
      </c>
      <c r="C1866" s="36">
        <v>0.04</v>
      </c>
    </row>
    <row r="1867" spans="1:3" x14ac:dyDescent="0.25">
      <c r="A1867" s="46" t="s">
        <v>3101</v>
      </c>
      <c r="B1867" s="35">
        <v>0.65813952684402399</v>
      </c>
      <c r="C1867" s="36">
        <v>0.16</v>
      </c>
    </row>
    <row r="1868" spans="1:3" x14ac:dyDescent="0.25">
      <c r="A1868" s="46" t="s">
        <v>3102</v>
      </c>
      <c r="B1868" s="35">
        <v>0.88185656070709195</v>
      </c>
      <c r="C1868" s="36">
        <v>0.35</v>
      </c>
    </row>
    <row r="1869" spans="1:3" x14ac:dyDescent="0.25">
      <c r="A1869" s="46" t="s">
        <v>3103</v>
      </c>
      <c r="B1869" s="35">
        <v>0.50673401355743397</v>
      </c>
      <c r="C1869" s="36">
        <v>0.23</v>
      </c>
    </row>
    <row r="1870" spans="1:3" x14ac:dyDescent="0.25">
      <c r="A1870" s="46" t="s">
        <v>3104</v>
      </c>
      <c r="B1870" s="35">
        <v>0.52527076005935602</v>
      </c>
      <c r="C1870" s="36">
        <v>0.09</v>
      </c>
    </row>
    <row r="1871" spans="1:3" x14ac:dyDescent="0.25">
      <c r="A1871" s="46" t="s">
        <v>3105</v>
      </c>
      <c r="B1871" s="35">
        <v>0.73333334922790505</v>
      </c>
      <c r="C1871" s="36">
        <v>0.2</v>
      </c>
    </row>
    <row r="1872" spans="1:3" x14ac:dyDescent="0.25">
      <c r="A1872" s="46" t="s">
        <v>3106</v>
      </c>
      <c r="B1872" s="35">
        <v>0.53426790237426702</v>
      </c>
      <c r="C1872" s="36">
        <v>0.22</v>
      </c>
    </row>
    <row r="1873" spans="1:3" x14ac:dyDescent="0.25">
      <c r="A1873" s="46" t="s">
        <v>3107</v>
      </c>
      <c r="B1873" s="35">
        <v>0.66261398792266801</v>
      </c>
      <c r="C1873" s="36">
        <v>0.36</v>
      </c>
    </row>
    <row r="1874" spans="1:3" x14ac:dyDescent="0.25">
      <c r="A1874" s="46" t="s">
        <v>3108</v>
      </c>
      <c r="B1874" s="35">
        <v>0.56805807352065996</v>
      </c>
      <c r="C1874" s="36">
        <v>0.08</v>
      </c>
    </row>
    <row r="1875" spans="1:3" x14ac:dyDescent="0.25">
      <c r="A1875" s="46" t="s">
        <v>3109</v>
      </c>
      <c r="B1875" s="35">
        <v>0.53394496440887396</v>
      </c>
      <c r="C1875" s="36">
        <v>0.14000000000000001</v>
      </c>
    </row>
    <row r="1876" spans="1:3" x14ac:dyDescent="0.25">
      <c r="A1876" s="46" t="s">
        <v>3110</v>
      </c>
      <c r="B1876" s="35">
        <v>0.57884234189987105</v>
      </c>
      <c r="C1876" s="36">
        <v>0.02</v>
      </c>
    </row>
    <row r="1877" spans="1:3" x14ac:dyDescent="0.25">
      <c r="A1877" s="46" t="s">
        <v>3111</v>
      </c>
      <c r="B1877" s="35">
        <v>0.49386504292488098</v>
      </c>
      <c r="C1877" s="36">
        <v>0.13</v>
      </c>
    </row>
    <row r="1878" spans="1:3" x14ac:dyDescent="0.25">
      <c r="A1878" s="46" t="s">
        <v>3112</v>
      </c>
      <c r="B1878" s="35">
        <v>0.47539150714874201</v>
      </c>
      <c r="C1878" s="36">
        <v>0.11</v>
      </c>
    </row>
    <row r="1879" spans="1:3" x14ac:dyDescent="0.25">
      <c r="A1879" s="46" t="s">
        <v>3113</v>
      </c>
      <c r="B1879" s="35">
        <v>0.55060726404189997</v>
      </c>
      <c r="C1879" s="36">
        <v>0.3</v>
      </c>
    </row>
    <row r="1880" spans="1:3" x14ac:dyDescent="0.25">
      <c r="A1880" s="46" t="s">
        <v>3114</v>
      </c>
      <c r="B1880" s="35">
        <v>0.532786905765533</v>
      </c>
      <c r="C1880" s="36">
        <v>0.2</v>
      </c>
    </row>
    <row r="1881" spans="1:3" x14ac:dyDescent="0.25">
      <c r="A1881" s="46" t="s">
        <v>3115</v>
      </c>
      <c r="B1881" s="35">
        <v>0.63157892227172796</v>
      </c>
      <c r="C1881" s="36">
        <v>0.44</v>
      </c>
    </row>
    <row r="1882" spans="1:3" x14ac:dyDescent="0.25">
      <c r="A1882" s="46" t="s">
        <v>3116</v>
      </c>
      <c r="B1882" s="35">
        <v>0.685929656028747</v>
      </c>
      <c r="C1882" s="36">
        <v>0.05</v>
      </c>
    </row>
    <row r="1883" spans="1:3" x14ac:dyDescent="0.25">
      <c r="A1883" s="46" t="s">
        <v>1206</v>
      </c>
      <c r="B1883" s="35">
        <v>0.52112674713134699</v>
      </c>
      <c r="C1883" s="36">
        <v>0.17</v>
      </c>
    </row>
    <row r="1884" spans="1:3" x14ac:dyDescent="0.25">
      <c r="A1884" s="46" t="s">
        <v>3117</v>
      </c>
      <c r="B1884" s="35">
        <v>0.62005650997161799</v>
      </c>
      <c r="C1884" s="36">
        <v>0.21</v>
      </c>
    </row>
    <row r="1885" spans="1:3" x14ac:dyDescent="0.25">
      <c r="A1885" s="46" t="s">
        <v>3118</v>
      </c>
      <c r="B1885" s="35">
        <v>0.522413790225982</v>
      </c>
      <c r="C1885" s="36">
        <v>0.3</v>
      </c>
    </row>
    <row r="1886" spans="1:3" x14ac:dyDescent="0.25">
      <c r="A1886" s="46" t="s">
        <v>3119</v>
      </c>
      <c r="B1886" s="35">
        <v>0.74476987123489302</v>
      </c>
      <c r="C1886" s="36">
        <v>0.12</v>
      </c>
    </row>
    <row r="1887" spans="1:3" x14ac:dyDescent="0.25">
      <c r="A1887" s="46" t="s">
        <v>3120</v>
      </c>
      <c r="B1887" s="35">
        <v>0.66322010755538896</v>
      </c>
      <c r="C1887" s="36">
        <v>0.17</v>
      </c>
    </row>
    <row r="1888" spans="1:3" x14ac:dyDescent="0.25">
      <c r="A1888" s="46" t="s">
        <v>3121</v>
      </c>
      <c r="B1888" s="35">
        <v>0.45322245359420699</v>
      </c>
      <c r="C1888" s="36">
        <v>0.23</v>
      </c>
    </row>
    <row r="1889" spans="1:3" x14ac:dyDescent="0.25">
      <c r="A1889" s="46" t="s">
        <v>3122</v>
      </c>
      <c r="B1889" s="35">
        <v>0.64116096496581998</v>
      </c>
      <c r="C1889" s="36">
        <v>0.06</v>
      </c>
    </row>
    <row r="1890" spans="1:3" x14ac:dyDescent="0.25">
      <c r="A1890" s="46" t="s">
        <v>3123</v>
      </c>
      <c r="B1890" s="35">
        <v>0.68085104227065996</v>
      </c>
      <c r="C1890" s="36">
        <v>0.06</v>
      </c>
    </row>
    <row r="1891" spans="1:3" x14ac:dyDescent="0.25">
      <c r="A1891" s="46" t="s">
        <v>3124</v>
      </c>
      <c r="B1891" s="35">
        <v>0.48633879423141402</v>
      </c>
      <c r="C1891" s="36">
        <v>0.16</v>
      </c>
    </row>
    <row r="1892" spans="1:3" x14ac:dyDescent="0.25">
      <c r="A1892" s="46" t="s">
        <v>3125</v>
      </c>
      <c r="B1892" s="35">
        <v>0.61224490404128995</v>
      </c>
      <c r="C1892" s="36">
        <v>0.16</v>
      </c>
    </row>
    <row r="1893" spans="1:3" x14ac:dyDescent="0.25">
      <c r="A1893" s="46" t="s">
        <v>3126</v>
      </c>
      <c r="B1893" s="35">
        <v>0.31441047787666299</v>
      </c>
      <c r="C1893" s="36">
        <v>0.04</v>
      </c>
    </row>
    <row r="1894" spans="1:3" x14ac:dyDescent="0.25">
      <c r="A1894" s="46" t="s">
        <v>3127</v>
      </c>
      <c r="B1894" s="35">
        <v>0.69055372476577703</v>
      </c>
      <c r="C1894" s="36">
        <v>0.27</v>
      </c>
    </row>
    <row r="1895" spans="1:3" x14ac:dyDescent="0.25">
      <c r="A1895" s="46" t="s">
        <v>3128</v>
      </c>
      <c r="B1895" s="35">
        <v>0.64026403427124001</v>
      </c>
      <c r="C1895" s="36">
        <v>0.06</v>
      </c>
    </row>
    <row r="1896" spans="1:3" x14ac:dyDescent="0.25">
      <c r="A1896" s="46" t="s">
        <v>3129</v>
      </c>
      <c r="B1896" s="35">
        <v>0.58600002527236905</v>
      </c>
      <c r="C1896" s="36">
        <v>0.02</v>
      </c>
    </row>
    <row r="1897" spans="1:3" x14ac:dyDescent="0.25">
      <c r="A1897" s="46" t="s">
        <v>3130</v>
      </c>
      <c r="B1897" s="35">
        <v>0.39931741356849598</v>
      </c>
      <c r="C1897" s="36">
        <v>0.1</v>
      </c>
    </row>
    <row r="1898" spans="1:3" x14ac:dyDescent="0.25">
      <c r="A1898" s="46" t="s">
        <v>3131</v>
      </c>
      <c r="B1898" s="35">
        <v>0.60538119077682495</v>
      </c>
      <c r="C1898" s="36">
        <v>0</v>
      </c>
    </row>
    <row r="1899" spans="1:3" x14ac:dyDescent="0.25">
      <c r="A1899" s="46" t="s">
        <v>3132</v>
      </c>
      <c r="B1899" s="35">
        <v>0.588304102420806</v>
      </c>
      <c r="C1899" s="36">
        <v>0.18</v>
      </c>
    </row>
    <row r="1900" spans="1:3" x14ac:dyDescent="0.25">
      <c r="A1900" s="46" t="s">
        <v>3133</v>
      </c>
      <c r="B1900" s="35">
        <v>0.54481792449951105</v>
      </c>
      <c r="C1900" s="36">
        <v>0.12</v>
      </c>
    </row>
    <row r="1901" spans="1:3" x14ac:dyDescent="0.25">
      <c r="A1901" s="46" t="s">
        <v>3134</v>
      </c>
      <c r="B1901" s="35">
        <v>0.99742931127548196</v>
      </c>
      <c r="C1901" s="36">
        <v>0.12</v>
      </c>
    </row>
    <row r="1902" spans="1:3" x14ac:dyDescent="0.25">
      <c r="A1902" s="46" t="s">
        <v>3135</v>
      </c>
      <c r="B1902" s="35">
        <v>0.67500001192092896</v>
      </c>
      <c r="C1902" s="36">
        <v>0.05</v>
      </c>
    </row>
    <row r="1903" spans="1:3" x14ac:dyDescent="0.25">
      <c r="A1903" s="46" t="s">
        <v>3136</v>
      </c>
      <c r="B1903" s="35">
        <v>0.54626864194869995</v>
      </c>
      <c r="C1903" s="36">
        <v>7.0000000000000007E-2</v>
      </c>
    </row>
    <row r="1904" spans="1:3" x14ac:dyDescent="0.25">
      <c r="A1904" s="46" t="s">
        <v>3137</v>
      </c>
      <c r="B1904" s="35">
        <v>0.87060999870300204</v>
      </c>
      <c r="C1904" s="36">
        <v>0.18</v>
      </c>
    </row>
    <row r="1905" spans="1:3" x14ac:dyDescent="0.25">
      <c r="A1905" s="46" t="s">
        <v>3138</v>
      </c>
      <c r="B1905" s="35">
        <v>0.76738607883453303</v>
      </c>
      <c r="C1905" s="36">
        <v>0.36</v>
      </c>
    </row>
    <row r="1906" spans="1:3" x14ac:dyDescent="0.25">
      <c r="A1906" s="46" t="s">
        <v>3139</v>
      </c>
      <c r="B1906" s="35">
        <v>0.50887572765350297</v>
      </c>
      <c r="C1906" s="36">
        <v>0</v>
      </c>
    </row>
    <row r="1907" spans="1:3" x14ac:dyDescent="0.25">
      <c r="A1907" s="46" t="s">
        <v>3140</v>
      </c>
      <c r="B1907" s="35">
        <v>0.67241376638412398</v>
      </c>
      <c r="C1907" s="36">
        <v>0.31</v>
      </c>
    </row>
    <row r="1908" spans="1:3" x14ac:dyDescent="0.25">
      <c r="A1908" s="46" t="s">
        <v>3141</v>
      </c>
      <c r="B1908" s="35">
        <v>0.72098213434219305</v>
      </c>
      <c r="C1908" s="36">
        <v>0.18</v>
      </c>
    </row>
    <row r="1909" spans="1:3" x14ac:dyDescent="0.25">
      <c r="A1909" s="46" t="s">
        <v>3142</v>
      </c>
      <c r="B1909" s="35">
        <v>0.67241376638412398</v>
      </c>
      <c r="C1909" s="36">
        <v>0.3</v>
      </c>
    </row>
    <row r="1910" spans="1:3" x14ac:dyDescent="0.25">
      <c r="A1910" s="46" t="s">
        <v>3143</v>
      </c>
      <c r="B1910" s="35">
        <v>0.61194032430648804</v>
      </c>
      <c r="C1910" s="36">
        <v>0.08</v>
      </c>
    </row>
    <row r="1911" spans="1:3" x14ac:dyDescent="0.25">
      <c r="A1911" s="46" t="s">
        <v>3144</v>
      </c>
      <c r="B1911" s="35">
        <v>0.50279331207275302</v>
      </c>
      <c r="C1911" s="36">
        <v>0.24</v>
      </c>
    </row>
    <row r="1912" spans="1:3" x14ac:dyDescent="0.25">
      <c r="A1912" s="46" t="s">
        <v>3145</v>
      </c>
      <c r="B1912" s="35">
        <v>0.74418604373931796</v>
      </c>
      <c r="C1912" s="36">
        <v>0.36</v>
      </c>
    </row>
    <row r="1913" spans="1:3" x14ac:dyDescent="0.25">
      <c r="A1913" s="46" t="s">
        <v>3146</v>
      </c>
      <c r="B1913" s="35">
        <v>0.52531647682189897</v>
      </c>
      <c r="C1913" s="36">
        <v>0.08</v>
      </c>
    </row>
    <row r="1914" spans="1:3" x14ac:dyDescent="0.25">
      <c r="A1914" s="46" t="s">
        <v>3147</v>
      </c>
      <c r="B1914" s="35">
        <v>0.56022411584854104</v>
      </c>
      <c r="C1914" s="36">
        <v>0.24</v>
      </c>
    </row>
    <row r="1915" spans="1:3" x14ac:dyDescent="0.25">
      <c r="A1915" s="46" t="s">
        <v>3148</v>
      </c>
      <c r="B1915" s="35">
        <v>0.58663880825042702</v>
      </c>
      <c r="C1915" s="36">
        <v>0.08</v>
      </c>
    </row>
    <row r="1916" spans="1:3" x14ac:dyDescent="0.25">
      <c r="A1916" s="46" t="s">
        <v>3149</v>
      </c>
      <c r="B1916" s="35">
        <v>0.77525252103805498</v>
      </c>
      <c r="C1916" s="36">
        <v>0.25</v>
      </c>
    </row>
    <row r="1917" spans="1:3" x14ac:dyDescent="0.25">
      <c r="A1917" s="46" t="s">
        <v>3150</v>
      </c>
      <c r="B1917" s="35">
        <v>0.49130433797836298</v>
      </c>
      <c r="C1917" s="36">
        <v>0.03</v>
      </c>
    </row>
    <row r="1918" spans="1:3" x14ac:dyDescent="0.25">
      <c r="A1918" s="46" t="s">
        <v>3151</v>
      </c>
      <c r="B1918" s="35">
        <v>0.589347064495086</v>
      </c>
      <c r="C1918" s="36">
        <v>7.0000000000000007E-2</v>
      </c>
    </row>
    <row r="1919" spans="1:3" x14ac:dyDescent="0.25">
      <c r="A1919" s="46" t="s">
        <v>3152</v>
      </c>
      <c r="B1919" s="35">
        <v>0.58230090141296298</v>
      </c>
      <c r="C1919" s="36">
        <v>0.12</v>
      </c>
    </row>
    <row r="1920" spans="1:3" x14ac:dyDescent="0.25">
      <c r="A1920" s="46" t="s">
        <v>3153</v>
      </c>
      <c r="B1920" s="35">
        <v>0.93112242221832198</v>
      </c>
      <c r="C1920" s="36">
        <v>0.19</v>
      </c>
    </row>
    <row r="1921" spans="1:3" x14ac:dyDescent="0.25">
      <c r="A1921" s="46" t="s">
        <v>3154</v>
      </c>
      <c r="B1921" s="35">
        <v>0.50304257869720403</v>
      </c>
      <c r="C1921" s="36">
        <v>0.13</v>
      </c>
    </row>
    <row r="1922" spans="1:3" x14ac:dyDescent="0.25">
      <c r="A1922" s="46" t="s">
        <v>3155</v>
      </c>
      <c r="B1922" s="35">
        <v>0.56472259759902899</v>
      </c>
      <c r="C1922" s="36">
        <v>0.26</v>
      </c>
    </row>
    <row r="1923" spans="1:3" x14ac:dyDescent="0.25">
      <c r="A1923" s="46" t="s">
        <v>3156</v>
      </c>
      <c r="B1923" s="35">
        <v>0.62298387289047197</v>
      </c>
      <c r="C1923" s="36">
        <v>0.3</v>
      </c>
    </row>
    <row r="1924" spans="1:3" x14ac:dyDescent="0.25">
      <c r="A1924" s="46" t="s">
        <v>3157</v>
      </c>
      <c r="B1924" s="35">
        <v>0.48780488967895502</v>
      </c>
      <c r="C1924" s="36">
        <v>0.18</v>
      </c>
    </row>
    <row r="1925" spans="1:3" x14ac:dyDescent="0.25">
      <c r="A1925" s="46" t="s">
        <v>3158</v>
      </c>
      <c r="B1925" s="35">
        <v>0.54951459169387795</v>
      </c>
      <c r="C1925" s="36">
        <v>0.11</v>
      </c>
    </row>
    <row r="1926" spans="1:3" x14ac:dyDescent="0.25">
      <c r="A1926" s="46" t="s">
        <v>3159</v>
      </c>
      <c r="B1926" s="35">
        <v>0.47836539149284302</v>
      </c>
      <c r="C1926" s="36">
        <v>0.36</v>
      </c>
    </row>
    <row r="1927" spans="1:3" x14ac:dyDescent="0.25">
      <c r="A1927" s="46" t="s">
        <v>3160</v>
      </c>
      <c r="B1927" s="35">
        <v>0.57924526929855302</v>
      </c>
      <c r="C1927" s="36">
        <v>0.18</v>
      </c>
    </row>
    <row r="1928" spans="1:3" x14ac:dyDescent="0.25">
      <c r="A1928" s="46" t="s">
        <v>3161</v>
      </c>
      <c r="B1928" s="35">
        <v>0.70163935422897294</v>
      </c>
      <c r="C1928" s="36">
        <v>0.19</v>
      </c>
    </row>
    <row r="1929" spans="1:3" x14ac:dyDescent="0.25">
      <c r="A1929" s="46" t="s">
        <v>3162</v>
      </c>
      <c r="B1929" s="35">
        <v>0.45945945382118197</v>
      </c>
      <c r="C1929" s="36">
        <v>0.45</v>
      </c>
    </row>
    <row r="1930" spans="1:3" x14ac:dyDescent="0.25">
      <c r="A1930" s="46" t="s">
        <v>3163</v>
      </c>
      <c r="B1930" s="35">
        <v>0.46798780560493403</v>
      </c>
      <c r="C1930" s="36">
        <v>0.39</v>
      </c>
    </row>
    <row r="1931" spans="1:3" x14ac:dyDescent="0.25">
      <c r="A1931" s="46" t="s">
        <v>3164</v>
      </c>
      <c r="B1931" s="35">
        <v>0.50315457582473699</v>
      </c>
      <c r="C1931" s="36">
        <v>0.2</v>
      </c>
    </row>
    <row r="1932" spans="1:3" x14ac:dyDescent="0.25">
      <c r="A1932" s="46" t="s">
        <v>3165</v>
      </c>
      <c r="B1932" s="35">
        <v>0.69113147258758501</v>
      </c>
      <c r="C1932" s="36">
        <v>0.53</v>
      </c>
    </row>
    <row r="1933" spans="1:3" x14ac:dyDescent="0.25">
      <c r="A1933" s="46" t="s">
        <v>3166</v>
      </c>
      <c r="B1933" s="35">
        <v>0.50632911920547397</v>
      </c>
      <c r="C1933" s="36">
        <v>0.22</v>
      </c>
    </row>
    <row r="1934" spans="1:3" x14ac:dyDescent="0.25">
      <c r="A1934" s="46" t="s">
        <v>3167</v>
      </c>
      <c r="B1934" s="35">
        <v>0.60751563310623102</v>
      </c>
      <c r="C1934" s="36">
        <v>0.02</v>
      </c>
    </row>
    <row r="1935" spans="1:3" x14ac:dyDescent="0.25">
      <c r="A1935" s="46" t="s">
        <v>3168</v>
      </c>
      <c r="B1935" s="35">
        <v>0.49473685026168801</v>
      </c>
      <c r="C1935" s="36">
        <v>0.16</v>
      </c>
    </row>
    <row r="1936" spans="1:3" x14ac:dyDescent="0.25">
      <c r="A1936" s="46" t="s">
        <v>3169</v>
      </c>
      <c r="B1936" s="35">
        <v>0.55610561370849598</v>
      </c>
      <c r="C1936" s="36">
        <v>0.21</v>
      </c>
    </row>
    <row r="1937" spans="1:3" x14ac:dyDescent="0.25">
      <c r="A1937" s="46" t="s">
        <v>3170</v>
      </c>
      <c r="B1937" s="35">
        <v>0.71374046802520696</v>
      </c>
      <c r="C1937" s="36">
        <v>0.2</v>
      </c>
    </row>
    <row r="1938" spans="1:3" x14ac:dyDescent="0.25">
      <c r="A1938" s="46" t="s">
        <v>3171</v>
      </c>
      <c r="B1938" s="35">
        <v>0.72842639684677102</v>
      </c>
      <c r="C1938" s="36">
        <v>0.16</v>
      </c>
    </row>
    <row r="1939" spans="1:3" x14ac:dyDescent="0.25">
      <c r="A1939" s="46" t="s">
        <v>3172</v>
      </c>
      <c r="B1939" s="35">
        <v>0.47965115308761502</v>
      </c>
      <c r="C1939" s="36">
        <v>0.32</v>
      </c>
    </row>
    <row r="1940" spans="1:3" x14ac:dyDescent="0.25">
      <c r="A1940" s="46" t="s">
        <v>3173</v>
      </c>
      <c r="B1940" s="35">
        <v>0.78125</v>
      </c>
      <c r="C1940" s="36">
        <v>0.15</v>
      </c>
    </row>
    <row r="1941" spans="1:3" x14ac:dyDescent="0.25">
      <c r="A1941" s="46" t="s">
        <v>3174</v>
      </c>
      <c r="B1941" s="35">
        <v>0.55807363986968905</v>
      </c>
      <c r="C1941" s="36">
        <v>0.18</v>
      </c>
    </row>
    <row r="1942" spans="1:3" x14ac:dyDescent="0.25">
      <c r="A1942" s="46" t="s">
        <v>3175</v>
      </c>
      <c r="B1942" s="35">
        <v>0.46845793724059998</v>
      </c>
      <c r="C1942" s="36">
        <v>0.05</v>
      </c>
    </row>
    <row r="1943" spans="1:3" x14ac:dyDescent="0.25">
      <c r="A1943" s="46" t="s">
        <v>3176</v>
      </c>
      <c r="B1943" s="35">
        <v>0.59480518102645796</v>
      </c>
      <c r="C1943" s="36">
        <v>0.26</v>
      </c>
    </row>
    <row r="1944" spans="1:3" x14ac:dyDescent="0.25">
      <c r="A1944" s="46" t="s">
        <v>3177</v>
      </c>
      <c r="B1944" s="35">
        <v>0.49478390812873801</v>
      </c>
      <c r="C1944" s="36">
        <v>0.16</v>
      </c>
    </row>
    <row r="1945" spans="1:3" x14ac:dyDescent="0.25">
      <c r="A1945" s="46" t="s">
        <v>3178</v>
      </c>
      <c r="B1945" s="35">
        <v>0.54411762952804499</v>
      </c>
      <c r="C1945" s="36">
        <v>0.15</v>
      </c>
    </row>
    <row r="1946" spans="1:3" x14ac:dyDescent="0.25">
      <c r="A1946" s="46" t="s">
        <v>3179</v>
      </c>
      <c r="B1946" s="35">
        <v>0.51456308364868097</v>
      </c>
      <c r="C1946" s="36">
        <v>0.19</v>
      </c>
    </row>
    <row r="1947" spans="1:3" x14ac:dyDescent="0.25">
      <c r="A1947" s="46" t="s">
        <v>3180</v>
      </c>
      <c r="B1947" s="35">
        <v>0.50403225421905495</v>
      </c>
      <c r="C1947" s="36">
        <v>0.28999999999999998</v>
      </c>
    </row>
    <row r="1948" spans="1:3" x14ac:dyDescent="0.25">
      <c r="A1948" s="46" t="s">
        <v>3181</v>
      </c>
      <c r="B1948" s="35">
        <v>0.52100843191146795</v>
      </c>
      <c r="C1948" s="36">
        <v>0.15</v>
      </c>
    </row>
    <row r="1949" spans="1:3" x14ac:dyDescent="0.25">
      <c r="A1949" s="46" t="s">
        <v>3182</v>
      </c>
      <c r="B1949" s="35">
        <v>0.681318700313568</v>
      </c>
      <c r="C1949" s="36">
        <v>0.45</v>
      </c>
    </row>
    <row r="1950" spans="1:3" x14ac:dyDescent="0.25">
      <c r="A1950" s="46" t="s">
        <v>3183</v>
      </c>
      <c r="B1950" s="35">
        <v>0.52212387323379505</v>
      </c>
      <c r="C1950" s="36">
        <v>0.32</v>
      </c>
    </row>
    <row r="1951" spans="1:3" x14ac:dyDescent="0.25">
      <c r="A1951" s="46" t="s">
        <v>3184</v>
      </c>
      <c r="B1951" s="35">
        <v>0.63190186023712103</v>
      </c>
      <c r="C1951" s="36">
        <v>0.26</v>
      </c>
    </row>
    <row r="1952" spans="1:3" x14ac:dyDescent="0.25">
      <c r="A1952" s="46" t="s">
        <v>3185</v>
      </c>
      <c r="B1952" s="35">
        <v>0.68126523494720403</v>
      </c>
      <c r="C1952" s="36">
        <v>0.04</v>
      </c>
    </row>
    <row r="1953" spans="1:3" x14ac:dyDescent="0.25">
      <c r="A1953" s="46" t="s">
        <v>3186</v>
      </c>
      <c r="B1953" s="35">
        <v>0.57931035757064797</v>
      </c>
      <c r="C1953" s="36">
        <v>0.26</v>
      </c>
    </row>
    <row r="1954" spans="1:3" x14ac:dyDescent="0.25">
      <c r="A1954" s="46" t="s">
        <v>3187</v>
      </c>
      <c r="B1954" s="35">
        <v>0.57894736528396595</v>
      </c>
      <c r="C1954" s="36">
        <v>0.05</v>
      </c>
    </row>
    <row r="1955" spans="1:3" x14ac:dyDescent="0.25">
      <c r="A1955" s="46" t="s">
        <v>3188</v>
      </c>
      <c r="B1955" s="35">
        <v>0.59041392803192105</v>
      </c>
      <c r="C1955" s="36">
        <v>0.12</v>
      </c>
    </row>
    <row r="1956" spans="1:3" x14ac:dyDescent="0.25">
      <c r="A1956" s="46" t="s">
        <v>3189</v>
      </c>
      <c r="B1956" s="35">
        <v>0.43544304370880099</v>
      </c>
      <c r="C1956" s="36">
        <v>0.06</v>
      </c>
    </row>
    <row r="1957" spans="1:3" x14ac:dyDescent="0.25">
      <c r="A1957" s="46" t="s">
        <v>3190</v>
      </c>
      <c r="B1957" s="35">
        <v>0.54847645759582497</v>
      </c>
      <c r="C1957" s="36">
        <v>0.09</v>
      </c>
    </row>
    <row r="1958" spans="1:3" x14ac:dyDescent="0.25">
      <c r="A1958" s="46" t="s">
        <v>3191</v>
      </c>
      <c r="B1958" s="35">
        <v>0.67774933576583796</v>
      </c>
      <c r="C1958" s="36">
        <v>0.27</v>
      </c>
    </row>
    <row r="1959" spans="1:3" x14ac:dyDescent="0.25">
      <c r="A1959" s="46" t="s">
        <v>3192</v>
      </c>
      <c r="B1959" s="35">
        <v>0.62956809997558505</v>
      </c>
      <c r="C1959" s="36">
        <v>0.18</v>
      </c>
    </row>
    <row r="1960" spans="1:3" x14ac:dyDescent="0.25">
      <c r="A1960" s="46" t="s">
        <v>3193</v>
      </c>
      <c r="B1960" s="35">
        <v>0.77777779102325395</v>
      </c>
      <c r="C1960" s="36">
        <v>0.13</v>
      </c>
    </row>
    <row r="1961" spans="1:3" x14ac:dyDescent="0.25">
      <c r="A1961" s="46" t="s">
        <v>3194</v>
      </c>
      <c r="B1961" s="35">
        <v>0.56072354316711404</v>
      </c>
      <c r="C1961" s="36">
        <v>0.11</v>
      </c>
    </row>
    <row r="1962" spans="1:3" x14ac:dyDescent="0.25">
      <c r="A1962" s="46" t="s">
        <v>3195</v>
      </c>
      <c r="B1962" s="35">
        <v>0.62962961196899403</v>
      </c>
      <c r="C1962" s="36">
        <v>0</v>
      </c>
    </row>
    <row r="1963" spans="1:3" x14ac:dyDescent="0.25">
      <c r="A1963" s="46" t="s">
        <v>3196</v>
      </c>
      <c r="B1963" s="35">
        <v>0.59354835748672397</v>
      </c>
      <c r="C1963" s="36">
        <v>0.09</v>
      </c>
    </row>
    <row r="1964" spans="1:3" x14ac:dyDescent="0.25">
      <c r="A1964" s="46" t="s">
        <v>3197</v>
      </c>
      <c r="B1964" s="35">
        <v>0.96280992031097401</v>
      </c>
      <c r="C1964" s="36">
        <v>0.22</v>
      </c>
    </row>
    <row r="1965" spans="1:3" x14ac:dyDescent="0.25">
      <c r="A1965" s="46" t="s">
        <v>3198</v>
      </c>
      <c r="B1965" s="35">
        <v>0.52786886692047097</v>
      </c>
      <c r="C1965" s="36">
        <v>0.31</v>
      </c>
    </row>
    <row r="1966" spans="1:3" x14ac:dyDescent="0.25">
      <c r="A1966" s="46" t="s">
        <v>3199</v>
      </c>
      <c r="B1966" s="35">
        <v>0.57364338636398304</v>
      </c>
      <c r="C1966" s="36">
        <v>0</v>
      </c>
    </row>
    <row r="1967" spans="1:3" x14ac:dyDescent="0.25">
      <c r="A1967" s="46" t="s">
        <v>3200</v>
      </c>
      <c r="B1967" s="35">
        <v>0.46724137663841198</v>
      </c>
      <c r="C1967" s="36">
        <v>0.03</v>
      </c>
    </row>
    <row r="1968" spans="1:3" x14ac:dyDescent="0.25">
      <c r="A1968" s="46" t="s">
        <v>3201</v>
      </c>
      <c r="B1968" s="35">
        <v>0.52006983757018999</v>
      </c>
      <c r="C1968" s="36">
        <v>0.14000000000000001</v>
      </c>
    </row>
    <row r="1969" spans="1:3" x14ac:dyDescent="0.25">
      <c r="A1969" s="46" t="s">
        <v>3202</v>
      </c>
      <c r="B1969" s="35">
        <v>0.466824650764465</v>
      </c>
      <c r="C1969" s="36">
        <v>0.05</v>
      </c>
    </row>
    <row r="1970" spans="1:3" x14ac:dyDescent="0.25">
      <c r="A1970" s="46" t="s">
        <v>3203</v>
      </c>
      <c r="B1970" s="35">
        <v>0.73839664459228505</v>
      </c>
      <c r="C1970" s="36">
        <v>0.13</v>
      </c>
    </row>
    <row r="1971" spans="1:3" x14ac:dyDescent="0.25">
      <c r="A1971" s="46" t="s">
        <v>3204</v>
      </c>
      <c r="B1971" s="35">
        <v>0.61320751905441195</v>
      </c>
      <c r="C1971" s="36">
        <v>0.16</v>
      </c>
    </row>
    <row r="1972" spans="1:3" x14ac:dyDescent="0.25">
      <c r="A1972" s="46" t="s">
        <v>3205</v>
      </c>
      <c r="B1972" s="35">
        <v>0.50381678342819203</v>
      </c>
      <c r="C1972" s="36">
        <v>0.05</v>
      </c>
    </row>
    <row r="1973" spans="1:3" x14ac:dyDescent="0.25">
      <c r="A1973" s="46" t="s">
        <v>3206</v>
      </c>
      <c r="B1973" s="35">
        <v>0.50381678342819203</v>
      </c>
      <c r="C1973" s="36">
        <v>0.11</v>
      </c>
    </row>
    <row r="1974" spans="1:3" x14ac:dyDescent="0.25">
      <c r="A1974" s="46" t="s">
        <v>3207</v>
      </c>
      <c r="B1974" s="35">
        <v>0.45955881476402199</v>
      </c>
      <c r="C1974" s="36">
        <v>0.26</v>
      </c>
    </row>
    <row r="1975" spans="1:3" x14ac:dyDescent="0.25">
      <c r="A1975" s="46" t="s">
        <v>3208</v>
      </c>
      <c r="B1975" s="35">
        <v>0.53736656904220503</v>
      </c>
      <c r="C1975" s="36">
        <v>0.09</v>
      </c>
    </row>
    <row r="1976" spans="1:3" x14ac:dyDescent="0.25">
      <c r="A1976" s="46" t="s">
        <v>3209</v>
      </c>
      <c r="B1976" s="35">
        <v>0.49171271920204102</v>
      </c>
      <c r="C1976" s="36">
        <v>0.21</v>
      </c>
    </row>
    <row r="1977" spans="1:3" x14ac:dyDescent="0.25">
      <c r="A1977" s="46" t="s">
        <v>3210</v>
      </c>
      <c r="B1977" s="35">
        <v>0.69745224714279097</v>
      </c>
      <c r="C1977" s="36">
        <v>0.28999999999999998</v>
      </c>
    </row>
    <row r="1978" spans="1:3" x14ac:dyDescent="0.25">
      <c r="A1978" s="46" t="s">
        <v>3211</v>
      </c>
      <c r="B1978" s="35">
        <v>0.43289226293563798</v>
      </c>
      <c r="C1978" s="36">
        <v>0.37</v>
      </c>
    </row>
    <row r="1979" spans="1:3" x14ac:dyDescent="0.25">
      <c r="A1979" s="46" t="s">
        <v>3212</v>
      </c>
      <c r="B1979" s="35">
        <v>0.80168777704238803</v>
      </c>
      <c r="C1979" s="36">
        <v>0.15</v>
      </c>
    </row>
    <row r="1980" spans="1:3" x14ac:dyDescent="0.25">
      <c r="A1980" s="46" t="s">
        <v>3213</v>
      </c>
      <c r="B1980" s="35">
        <v>0.66576820611953702</v>
      </c>
      <c r="C1980" s="36">
        <v>0.16</v>
      </c>
    </row>
    <row r="1981" spans="1:3" x14ac:dyDescent="0.25">
      <c r="A1981" s="46" t="s">
        <v>3214</v>
      </c>
      <c r="B1981" s="35">
        <v>0.44540727138519198</v>
      </c>
      <c r="C1981" s="36">
        <v>0.1</v>
      </c>
    </row>
    <row r="1982" spans="1:3" x14ac:dyDescent="0.25">
      <c r="A1982" s="46" t="s">
        <v>3215</v>
      </c>
      <c r="B1982" s="35">
        <v>0.49295774102210999</v>
      </c>
      <c r="C1982" s="36">
        <v>0.39</v>
      </c>
    </row>
    <row r="1983" spans="1:3" x14ac:dyDescent="0.25">
      <c r="A1983" s="46" t="s">
        <v>3216</v>
      </c>
      <c r="B1983" s="35">
        <v>0.551383376121521</v>
      </c>
      <c r="C1983" s="36">
        <v>0.43</v>
      </c>
    </row>
    <row r="1984" spans="1:3" x14ac:dyDescent="0.25">
      <c r="A1984" s="46" t="s">
        <v>3217</v>
      </c>
      <c r="B1984" s="35">
        <v>0.62626260519027699</v>
      </c>
      <c r="C1984" s="36">
        <v>0.26</v>
      </c>
    </row>
    <row r="1985" spans="1:3" x14ac:dyDescent="0.25">
      <c r="A1985" s="46" t="s">
        <v>3218</v>
      </c>
      <c r="B1985" s="35">
        <v>0.47627416253089899</v>
      </c>
      <c r="C1985" s="36">
        <v>0.44</v>
      </c>
    </row>
    <row r="1986" spans="1:3" x14ac:dyDescent="0.25">
      <c r="A1986" s="46" t="s">
        <v>3219</v>
      </c>
      <c r="B1986" s="35">
        <v>0.62218046188354403</v>
      </c>
      <c r="C1986" s="36">
        <v>0</v>
      </c>
    </row>
    <row r="1987" spans="1:3" x14ac:dyDescent="0.25">
      <c r="A1987" s="46" t="s">
        <v>3220</v>
      </c>
      <c r="B1987" s="35">
        <v>0.55017298460006703</v>
      </c>
      <c r="C1987" s="36">
        <v>0.32</v>
      </c>
    </row>
    <row r="1988" spans="1:3" x14ac:dyDescent="0.25">
      <c r="A1988" s="46" t="s">
        <v>3221</v>
      </c>
      <c r="B1988" s="35">
        <v>0.63852816820144598</v>
      </c>
      <c r="C1988" s="36">
        <v>0.41</v>
      </c>
    </row>
    <row r="1989" spans="1:3" x14ac:dyDescent="0.25">
      <c r="A1989" s="46" t="s">
        <v>3222</v>
      </c>
      <c r="B1989" s="35">
        <v>0.50481432676315297</v>
      </c>
      <c r="C1989" s="36">
        <v>0.39</v>
      </c>
    </row>
    <row r="1990" spans="1:3" x14ac:dyDescent="0.25">
      <c r="A1990" s="46" t="s">
        <v>3223</v>
      </c>
      <c r="B1990" s="35">
        <v>0.60000002384185702</v>
      </c>
      <c r="C1990" s="36">
        <v>0.22</v>
      </c>
    </row>
    <row r="1991" spans="1:3" x14ac:dyDescent="0.25">
      <c r="A1991" s="46" t="s">
        <v>3224</v>
      </c>
      <c r="B1991" s="35">
        <v>0.63210701942443803</v>
      </c>
      <c r="C1991" s="36">
        <v>0.47</v>
      </c>
    </row>
    <row r="1992" spans="1:3" x14ac:dyDescent="0.25">
      <c r="A1992" s="46" t="s">
        <v>3225</v>
      </c>
      <c r="B1992" s="35">
        <v>0.52313882112502996</v>
      </c>
      <c r="C1992" s="36">
        <v>0.31</v>
      </c>
    </row>
    <row r="1993" spans="1:3" x14ac:dyDescent="0.25">
      <c r="A1993" s="46" t="s">
        <v>3226</v>
      </c>
      <c r="B1993" s="35">
        <v>0.70779222249984697</v>
      </c>
      <c r="C1993" s="36">
        <v>0.25</v>
      </c>
    </row>
    <row r="1994" spans="1:3" x14ac:dyDescent="0.25">
      <c r="A1994" s="46" t="s">
        <v>3227</v>
      </c>
      <c r="B1994" s="35">
        <v>0.51292246580123901</v>
      </c>
      <c r="C1994" s="36">
        <v>0.32</v>
      </c>
    </row>
    <row r="1995" spans="1:3" x14ac:dyDescent="0.25">
      <c r="A1995" s="46" t="s">
        <v>3228</v>
      </c>
      <c r="B1995" s="35">
        <v>0.639928698539733</v>
      </c>
      <c r="C1995" s="36">
        <v>0.27</v>
      </c>
    </row>
    <row r="1996" spans="1:3" x14ac:dyDescent="0.25">
      <c r="A1996" s="46" t="s">
        <v>3229</v>
      </c>
      <c r="B1996" s="35">
        <v>0.545634925365448</v>
      </c>
      <c r="C1996" s="36">
        <v>0.2</v>
      </c>
    </row>
    <row r="1997" spans="1:3" x14ac:dyDescent="0.25">
      <c r="A1997" s="46" t="s">
        <v>3230</v>
      </c>
      <c r="B1997" s="35">
        <v>0.65263158082962003</v>
      </c>
      <c r="C1997" s="36">
        <v>0.12</v>
      </c>
    </row>
    <row r="1998" spans="1:3" x14ac:dyDescent="0.25">
      <c r="A1998" s="46" t="s">
        <v>3231</v>
      </c>
      <c r="B1998" s="35">
        <v>0.54756873846053999</v>
      </c>
      <c r="C1998" s="36">
        <v>0.41</v>
      </c>
    </row>
    <row r="1999" spans="1:3" x14ac:dyDescent="0.25">
      <c r="A1999" s="46" t="s">
        <v>3232</v>
      </c>
      <c r="B1999" s="35">
        <v>0.625</v>
      </c>
      <c r="C1999" s="36">
        <v>0.06</v>
      </c>
    </row>
    <row r="2000" spans="1:3" x14ac:dyDescent="0.25">
      <c r="A2000" s="46" t="s">
        <v>3233</v>
      </c>
      <c r="B2000" s="35">
        <v>0.64175826311111395</v>
      </c>
      <c r="C2000" s="36">
        <v>0.17</v>
      </c>
    </row>
    <row r="2001" spans="1:3" x14ac:dyDescent="0.25">
      <c r="A2001" s="46" t="s">
        <v>3234</v>
      </c>
      <c r="B2001" s="35">
        <v>0.91131496429443304</v>
      </c>
      <c r="C2001" s="36">
        <v>0.19</v>
      </c>
    </row>
    <row r="2002" spans="1:3" x14ac:dyDescent="0.25">
      <c r="A2002" s="46" t="s">
        <v>3235</v>
      </c>
      <c r="B2002" s="35">
        <v>0.46728971600532498</v>
      </c>
      <c r="C2002" s="36">
        <v>0.21</v>
      </c>
    </row>
    <row r="2003" spans="1:3" x14ac:dyDescent="0.25">
      <c r="A2003" s="46" t="s">
        <v>3236</v>
      </c>
      <c r="B2003" s="35">
        <v>0.64485979080200195</v>
      </c>
      <c r="C2003" s="36">
        <v>0.15</v>
      </c>
    </row>
    <row r="2004" spans="1:3" x14ac:dyDescent="0.25">
      <c r="A2004" s="46" t="s">
        <v>3237</v>
      </c>
      <c r="B2004" s="35">
        <v>0.64200478792190496</v>
      </c>
      <c r="C2004" s="36">
        <v>0.16</v>
      </c>
    </row>
    <row r="2005" spans="1:3" x14ac:dyDescent="0.25">
      <c r="A2005" s="46" t="s">
        <v>3238</v>
      </c>
      <c r="B2005" s="35">
        <v>0.58823531866073597</v>
      </c>
      <c r="C2005" s="36">
        <v>0.09</v>
      </c>
    </row>
    <row r="2006" spans="1:3" x14ac:dyDescent="0.25">
      <c r="A2006" s="46" t="s">
        <v>3239</v>
      </c>
      <c r="B2006" s="35">
        <v>0.415789484977722</v>
      </c>
      <c r="C2006" s="36">
        <v>0.33</v>
      </c>
    </row>
    <row r="2007" spans="1:3" x14ac:dyDescent="0.25">
      <c r="A2007" s="46" t="s">
        <v>3240</v>
      </c>
      <c r="B2007" s="35">
        <v>0.76304346323013295</v>
      </c>
      <c r="C2007" s="36">
        <v>0.11</v>
      </c>
    </row>
    <row r="2008" spans="1:3" x14ac:dyDescent="0.25">
      <c r="A2008" s="46" t="s">
        <v>3241</v>
      </c>
      <c r="B2008" s="35">
        <v>0.51428574323654097</v>
      </c>
      <c r="C2008" s="36">
        <v>0.45</v>
      </c>
    </row>
    <row r="2009" spans="1:3" x14ac:dyDescent="0.25">
      <c r="A2009" s="46" t="s">
        <v>3242</v>
      </c>
      <c r="B2009" s="35">
        <v>0.90076333284377996</v>
      </c>
      <c r="C2009" s="36">
        <v>0.14000000000000001</v>
      </c>
    </row>
    <row r="2010" spans="1:3" x14ac:dyDescent="0.25">
      <c r="A2010" s="46" t="s">
        <v>3243</v>
      </c>
      <c r="B2010" s="35">
        <v>0.67171716690063399</v>
      </c>
      <c r="C2010" s="36">
        <v>0</v>
      </c>
    </row>
    <row r="2011" spans="1:3" x14ac:dyDescent="0.25">
      <c r="A2011" s="46" t="s">
        <v>3244</v>
      </c>
      <c r="B2011" s="35">
        <v>0.94400000572204501</v>
      </c>
      <c r="C2011" s="36">
        <v>0.18</v>
      </c>
    </row>
    <row r="2012" spans="1:3" x14ac:dyDescent="0.25">
      <c r="A2012" s="46" t="s">
        <v>3245</v>
      </c>
      <c r="B2012" s="35">
        <v>0.53043478727340698</v>
      </c>
      <c r="C2012" s="36">
        <v>0.3</v>
      </c>
    </row>
    <row r="2013" spans="1:3" x14ac:dyDescent="0.25">
      <c r="A2013" s="46" t="s">
        <v>3246</v>
      </c>
      <c r="B2013" s="35">
        <v>0.75147926807403498</v>
      </c>
      <c r="C2013" s="36">
        <v>0.14000000000000001</v>
      </c>
    </row>
    <row r="2014" spans="1:3" x14ac:dyDescent="0.25">
      <c r="A2014" s="46" t="s">
        <v>3247</v>
      </c>
      <c r="B2014" s="35">
        <v>0.60188084840774503</v>
      </c>
      <c r="C2014" s="36">
        <v>0</v>
      </c>
    </row>
    <row r="2015" spans="1:3" x14ac:dyDescent="0.25">
      <c r="A2015" s="46" t="s">
        <v>3248</v>
      </c>
      <c r="B2015" s="35">
        <v>0.54766732454299905</v>
      </c>
      <c r="C2015" s="36">
        <v>0.08</v>
      </c>
    </row>
    <row r="2016" spans="1:3" x14ac:dyDescent="0.25">
      <c r="A2016" s="46" t="s">
        <v>3249</v>
      </c>
      <c r="B2016" s="35">
        <v>0.76886790990829401</v>
      </c>
      <c r="C2016" s="36">
        <v>0.33</v>
      </c>
    </row>
    <row r="2017" spans="1:3" x14ac:dyDescent="0.25">
      <c r="A2017" s="46" t="s">
        <v>3250</v>
      </c>
      <c r="B2017" s="35">
        <v>0.67898380756378096</v>
      </c>
      <c r="C2017" s="36">
        <v>0.08</v>
      </c>
    </row>
    <row r="2018" spans="1:3" x14ac:dyDescent="0.25">
      <c r="A2018" s="46" t="s">
        <v>3251</v>
      </c>
      <c r="B2018" s="35">
        <v>0.55000001192092896</v>
      </c>
      <c r="C2018" s="36">
        <v>0</v>
      </c>
    </row>
    <row r="2019" spans="1:3" x14ac:dyDescent="0.25">
      <c r="A2019" s="46" t="s">
        <v>3252</v>
      </c>
      <c r="B2019" s="35">
        <v>0.58843535184860196</v>
      </c>
      <c r="C2019" s="36">
        <v>0.15</v>
      </c>
    </row>
    <row r="2020" spans="1:3" x14ac:dyDescent="0.25">
      <c r="A2020" s="46" t="s">
        <v>3253</v>
      </c>
      <c r="B2020" s="35">
        <v>0.67898380756378096</v>
      </c>
      <c r="C2020" s="36">
        <v>0.06</v>
      </c>
    </row>
    <row r="2021" spans="1:3" x14ac:dyDescent="0.25">
      <c r="A2021" s="46" t="s">
        <v>3254</v>
      </c>
      <c r="B2021" s="35">
        <v>0.54766732454299905</v>
      </c>
      <c r="C2021" s="36">
        <v>0.08</v>
      </c>
    </row>
    <row r="2022" spans="1:3" x14ac:dyDescent="0.25">
      <c r="A2022" s="46" t="s">
        <v>3255</v>
      </c>
      <c r="B2022" s="35">
        <v>0.55208331346511796</v>
      </c>
      <c r="C2022" s="36">
        <v>0.17</v>
      </c>
    </row>
    <row r="2023" spans="1:3" x14ac:dyDescent="0.25">
      <c r="A2023" s="46" t="s">
        <v>3256</v>
      </c>
      <c r="B2023" s="35">
        <v>0.67898380756378096</v>
      </c>
      <c r="C2023" s="36">
        <v>0.06</v>
      </c>
    </row>
    <row r="2024" spans="1:3" x14ac:dyDescent="0.25">
      <c r="A2024" s="46" t="s">
        <v>3257</v>
      </c>
      <c r="B2024" s="35">
        <v>0.63618290424346902</v>
      </c>
      <c r="C2024" s="36">
        <v>0.38</v>
      </c>
    </row>
    <row r="2025" spans="1:3" x14ac:dyDescent="0.25">
      <c r="A2025" s="46" t="s">
        <v>3258</v>
      </c>
      <c r="B2025" s="35">
        <v>0.67898380756378096</v>
      </c>
      <c r="C2025" s="36">
        <v>7.0000000000000007E-2</v>
      </c>
    </row>
    <row r="2026" spans="1:3" x14ac:dyDescent="0.25">
      <c r="A2026" s="46" t="s">
        <v>3259</v>
      </c>
      <c r="B2026" s="35">
        <v>0.79340660572052002</v>
      </c>
      <c r="C2026" s="36">
        <v>0.23</v>
      </c>
    </row>
    <row r="2027" spans="1:3" x14ac:dyDescent="0.25">
      <c r="A2027" s="46" t="s">
        <v>3260</v>
      </c>
      <c r="B2027" s="35">
        <v>0.60751563310623102</v>
      </c>
      <c r="C2027" s="36">
        <v>0.04</v>
      </c>
    </row>
    <row r="2028" spans="1:3" x14ac:dyDescent="0.25">
      <c r="A2028" s="46" t="s">
        <v>3261</v>
      </c>
      <c r="B2028" s="35">
        <v>0.60751563310623102</v>
      </c>
      <c r="C2028" s="36">
        <v>0.02</v>
      </c>
    </row>
    <row r="2029" spans="1:3" x14ac:dyDescent="0.25">
      <c r="A2029" s="46" t="s">
        <v>3262</v>
      </c>
      <c r="B2029" s="35">
        <v>0.43220338225364602</v>
      </c>
      <c r="C2029" s="36">
        <v>0.12</v>
      </c>
    </row>
    <row r="2030" spans="1:3" x14ac:dyDescent="0.25">
      <c r="A2030" s="46" t="s">
        <v>3263</v>
      </c>
      <c r="B2030" s="35">
        <v>0.410876125097274</v>
      </c>
      <c r="C2030" s="36">
        <v>0.31</v>
      </c>
    </row>
    <row r="2031" spans="1:3" x14ac:dyDescent="0.25">
      <c r="A2031" s="46" t="s">
        <v>3264</v>
      </c>
      <c r="B2031" s="35">
        <v>0.54985338449478105</v>
      </c>
      <c r="C2031" s="36">
        <v>0.24</v>
      </c>
    </row>
    <row r="2032" spans="1:3" x14ac:dyDescent="0.25">
      <c r="A2032" s="46" t="s">
        <v>3265</v>
      </c>
      <c r="B2032" s="35">
        <v>0.90769231319427401</v>
      </c>
      <c r="C2032" s="36">
        <v>0.17</v>
      </c>
    </row>
    <row r="2033" spans="1:3" x14ac:dyDescent="0.25">
      <c r="A2033" s="46" t="s">
        <v>3266</v>
      </c>
      <c r="B2033" s="35">
        <v>0.57525086402893</v>
      </c>
      <c r="C2033" s="36">
        <v>0.13</v>
      </c>
    </row>
    <row r="2034" spans="1:3" x14ac:dyDescent="0.25">
      <c r="A2034" s="46" t="s">
        <v>3267</v>
      </c>
      <c r="B2034" s="35">
        <v>0.62767708301544101</v>
      </c>
      <c r="C2034" s="36">
        <v>0.13</v>
      </c>
    </row>
    <row r="2035" spans="1:3" x14ac:dyDescent="0.25">
      <c r="A2035" s="46" t="s">
        <v>3268</v>
      </c>
      <c r="B2035" s="35">
        <v>0.65467625856399503</v>
      </c>
      <c r="C2035" s="36">
        <v>0.21</v>
      </c>
    </row>
    <row r="2036" spans="1:3" x14ac:dyDescent="0.25">
      <c r="A2036" s="46" t="s">
        <v>3269</v>
      </c>
      <c r="B2036" s="35">
        <v>0.51428574323654097</v>
      </c>
      <c r="C2036" s="36">
        <v>0.12</v>
      </c>
    </row>
    <row r="2037" spans="1:3" x14ac:dyDescent="0.25">
      <c r="A2037" s="46" t="s">
        <v>3270</v>
      </c>
      <c r="B2037" s="35">
        <v>0.710382521152496</v>
      </c>
      <c r="C2037" s="36">
        <v>0.16</v>
      </c>
    </row>
    <row r="2038" spans="1:3" x14ac:dyDescent="0.25">
      <c r="A2038" s="46" t="s">
        <v>3271</v>
      </c>
      <c r="B2038" s="35">
        <v>0.513863205909729</v>
      </c>
      <c r="C2038" s="36">
        <v>0.2</v>
      </c>
    </row>
    <row r="2039" spans="1:3" x14ac:dyDescent="0.25">
      <c r="A2039" s="46" t="s">
        <v>3272</v>
      </c>
      <c r="B2039" s="35">
        <v>0.86889457702636697</v>
      </c>
      <c r="C2039" s="36">
        <v>0.13</v>
      </c>
    </row>
    <row r="2040" spans="1:3" x14ac:dyDescent="0.25">
      <c r="A2040" s="46" t="s">
        <v>3273</v>
      </c>
      <c r="B2040" s="35">
        <v>0.545193672180175</v>
      </c>
      <c r="C2040" s="36">
        <v>0.12</v>
      </c>
    </row>
    <row r="2041" spans="1:3" x14ac:dyDescent="0.25">
      <c r="A2041" s="46" t="s">
        <v>3274</v>
      </c>
      <c r="B2041" s="35">
        <v>0.46153846383094699</v>
      </c>
      <c r="C2041" s="36">
        <v>0.32</v>
      </c>
    </row>
    <row r="2042" spans="1:3" x14ac:dyDescent="0.25">
      <c r="A2042" s="46" t="s">
        <v>3275</v>
      </c>
      <c r="B2042" s="35">
        <v>0.51744186878204301</v>
      </c>
      <c r="C2042" s="36">
        <v>0.1</v>
      </c>
    </row>
    <row r="2043" spans="1:3" x14ac:dyDescent="0.25">
      <c r="A2043" s="46" t="s">
        <v>3276</v>
      </c>
      <c r="B2043" s="35">
        <v>0.65853661298751798</v>
      </c>
      <c r="C2043" s="36">
        <v>0.13</v>
      </c>
    </row>
    <row r="2044" spans="1:3" x14ac:dyDescent="0.25">
      <c r="A2044" s="46" t="s">
        <v>3277</v>
      </c>
      <c r="B2044" s="35">
        <v>0.63157892227172796</v>
      </c>
      <c r="C2044" s="36">
        <v>0.13</v>
      </c>
    </row>
    <row r="2045" spans="1:3" x14ac:dyDescent="0.25">
      <c r="A2045" s="46" t="s">
        <v>3278</v>
      </c>
      <c r="B2045" s="35">
        <v>0.54692083597183205</v>
      </c>
      <c r="C2045" s="36">
        <v>0.15</v>
      </c>
    </row>
    <row r="2046" spans="1:3" x14ac:dyDescent="0.25">
      <c r="A2046" s="46" t="s">
        <v>3279</v>
      </c>
      <c r="B2046" s="35">
        <v>0.67761808633804299</v>
      </c>
      <c r="C2046" s="36">
        <v>0.17</v>
      </c>
    </row>
    <row r="2047" spans="1:3" x14ac:dyDescent="0.25">
      <c r="A2047" s="46" t="s">
        <v>3280</v>
      </c>
      <c r="B2047" s="35">
        <v>0.65259742736816395</v>
      </c>
      <c r="C2047" s="36">
        <v>0.28999999999999998</v>
      </c>
    </row>
    <row r="2048" spans="1:3" x14ac:dyDescent="0.25">
      <c r="A2048" s="46" t="s">
        <v>3281</v>
      </c>
      <c r="B2048" s="35">
        <v>0.51081532239913896</v>
      </c>
      <c r="C2048" s="36">
        <v>0.12</v>
      </c>
    </row>
    <row r="2049" spans="1:3" x14ac:dyDescent="0.25">
      <c r="A2049" s="46" t="s">
        <v>3282</v>
      </c>
      <c r="B2049" s="35">
        <v>0.79148936271667403</v>
      </c>
      <c r="C2049" s="36">
        <v>0.17</v>
      </c>
    </row>
    <row r="2050" spans="1:3" x14ac:dyDescent="0.25">
      <c r="A2050" s="46" t="s">
        <v>3283</v>
      </c>
      <c r="B2050" s="35">
        <v>0.56292903423309304</v>
      </c>
      <c r="C2050" s="36">
        <v>0.12</v>
      </c>
    </row>
    <row r="2051" spans="1:3" x14ac:dyDescent="0.25">
      <c r="A2051" s="46" t="s">
        <v>3284</v>
      </c>
      <c r="B2051" s="35">
        <v>0.55524080991744995</v>
      </c>
      <c r="C2051" s="36">
        <v>0.18</v>
      </c>
    </row>
    <row r="2052" spans="1:3" x14ac:dyDescent="0.25">
      <c r="A2052" s="46" t="s">
        <v>3285</v>
      </c>
      <c r="B2052" s="35">
        <v>0.66312056779861395</v>
      </c>
      <c r="C2052" s="36">
        <v>0.1</v>
      </c>
    </row>
    <row r="2053" spans="1:3" x14ac:dyDescent="0.25">
      <c r="A2053" s="46" t="s">
        <v>3286</v>
      </c>
      <c r="B2053" s="35">
        <v>0.65290522575378396</v>
      </c>
      <c r="C2053" s="36">
        <v>0.27</v>
      </c>
    </row>
    <row r="2054" spans="1:3" x14ac:dyDescent="0.25">
      <c r="A2054" s="46" t="s">
        <v>3287</v>
      </c>
      <c r="B2054" s="35">
        <v>0.57322174310684204</v>
      </c>
      <c r="C2054" s="36">
        <v>0.3</v>
      </c>
    </row>
    <row r="2055" spans="1:3" x14ac:dyDescent="0.25">
      <c r="A2055" s="46" t="s">
        <v>3288</v>
      </c>
      <c r="B2055" s="35">
        <v>0.66532260179519598</v>
      </c>
      <c r="C2055" s="36">
        <v>0.25</v>
      </c>
    </row>
    <row r="2056" spans="1:3" x14ac:dyDescent="0.25">
      <c r="A2056" s="46" t="s">
        <v>3289</v>
      </c>
      <c r="B2056" s="35">
        <v>0.615916967391967</v>
      </c>
      <c r="C2056" s="36">
        <v>7.0000000000000007E-2</v>
      </c>
    </row>
    <row r="2057" spans="1:3" x14ac:dyDescent="0.25">
      <c r="A2057" s="46" t="s">
        <v>3290</v>
      </c>
      <c r="B2057" s="35">
        <v>0.70671379566192605</v>
      </c>
      <c r="C2057" s="36">
        <v>0.15</v>
      </c>
    </row>
    <row r="2058" spans="1:3" x14ac:dyDescent="0.25">
      <c r="A2058" s="46" t="s">
        <v>3291</v>
      </c>
      <c r="B2058" s="35">
        <v>0.64965194463729803</v>
      </c>
      <c r="C2058" s="36">
        <v>0.06</v>
      </c>
    </row>
    <row r="2059" spans="1:3" x14ac:dyDescent="0.25">
      <c r="A2059" s="46" t="s">
        <v>3292</v>
      </c>
      <c r="B2059" s="35">
        <v>0.62264150381088201</v>
      </c>
      <c r="C2059" s="36">
        <v>0.03</v>
      </c>
    </row>
    <row r="2060" spans="1:3" x14ac:dyDescent="0.25">
      <c r="A2060" s="46" t="s">
        <v>3293</v>
      </c>
      <c r="B2060" s="35">
        <v>0.60501569509506203</v>
      </c>
      <c r="C2060" s="36">
        <v>0.17</v>
      </c>
    </row>
    <row r="2061" spans="1:3" x14ac:dyDescent="0.25">
      <c r="A2061" s="46" t="s">
        <v>3294</v>
      </c>
      <c r="B2061" s="35">
        <v>0.60580915212631203</v>
      </c>
      <c r="C2061" s="36">
        <v>0.21</v>
      </c>
    </row>
    <row r="2062" spans="1:3" x14ac:dyDescent="0.25">
      <c r="A2062" s="46" t="s">
        <v>3295</v>
      </c>
      <c r="B2062" s="35">
        <v>0.43165466189384399</v>
      </c>
      <c r="C2062" s="36">
        <v>0.4</v>
      </c>
    </row>
    <row r="2063" spans="1:3" x14ac:dyDescent="0.25">
      <c r="A2063" s="46" t="s">
        <v>3296</v>
      </c>
      <c r="B2063" s="35">
        <v>0.49249249696731501</v>
      </c>
      <c r="C2063" s="36">
        <v>0.25</v>
      </c>
    </row>
    <row r="2064" spans="1:3" x14ac:dyDescent="0.25">
      <c r="A2064" s="46" t="s">
        <v>3297</v>
      </c>
      <c r="B2064" s="35">
        <v>0.70135748386383001</v>
      </c>
      <c r="C2064" s="36">
        <v>0.4</v>
      </c>
    </row>
    <row r="2065" spans="1:3" x14ac:dyDescent="0.25">
      <c r="A2065" s="46" t="s">
        <v>3298</v>
      </c>
      <c r="B2065" s="35">
        <v>0.78427422046661299</v>
      </c>
      <c r="C2065" s="36">
        <v>7.0000000000000007E-2</v>
      </c>
    </row>
    <row r="2066" spans="1:3" x14ac:dyDescent="0.25">
      <c r="A2066" s="46" t="s">
        <v>3299</v>
      </c>
      <c r="B2066" s="35">
        <v>0.62518739700317305</v>
      </c>
      <c r="C2066" s="36">
        <v>0.14000000000000001</v>
      </c>
    </row>
    <row r="2067" spans="1:3" x14ac:dyDescent="0.25">
      <c r="A2067" s="46" t="s">
        <v>3300</v>
      </c>
      <c r="B2067" s="35">
        <v>0.63309353590011597</v>
      </c>
      <c r="C2067" s="36">
        <v>0.27</v>
      </c>
    </row>
    <row r="2068" spans="1:3" x14ac:dyDescent="0.25">
      <c r="A2068" s="46" t="s">
        <v>3301</v>
      </c>
      <c r="B2068" s="35">
        <v>0.83204132318496704</v>
      </c>
      <c r="C2068" s="36">
        <v>0.18</v>
      </c>
    </row>
    <row r="2069" spans="1:3" x14ac:dyDescent="0.25">
      <c r="A2069" s="46" t="s">
        <v>3302</v>
      </c>
      <c r="B2069" s="35">
        <v>0.55150216817855802</v>
      </c>
      <c r="C2069" s="36">
        <v>0.28000000000000003</v>
      </c>
    </row>
    <row r="2070" spans="1:3" x14ac:dyDescent="0.25">
      <c r="A2070" s="46" t="s">
        <v>3303</v>
      </c>
      <c r="B2070" s="35">
        <v>0.35840708017349199</v>
      </c>
      <c r="C2070" s="36">
        <v>0.04</v>
      </c>
    </row>
    <row r="2071" spans="1:3" x14ac:dyDescent="0.25">
      <c r="A2071" s="46" t="s">
        <v>3304</v>
      </c>
      <c r="B2071" s="35">
        <v>0.74935400485992398</v>
      </c>
      <c r="C2071" s="36">
        <v>0.04</v>
      </c>
    </row>
    <row r="2072" spans="1:3" x14ac:dyDescent="0.25">
      <c r="A2072" s="46" t="s">
        <v>3305</v>
      </c>
      <c r="B2072" s="35">
        <v>0.64566928148269598</v>
      </c>
      <c r="C2072" s="36">
        <v>0.22</v>
      </c>
    </row>
    <row r="2073" spans="1:3" x14ac:dyDescent="0.25">
      <c r="A2073" s="46" t="s">
        <v>3306</v>
      </c>
      <c r="B2073" s="35">
        <v>0.55853313207626298</v>
      </c>
      <c r="C2073" s="36">
        <v>0.33</v>
      </c>
    </row>
    <row r="2074" spans="1:3" x14ac:dyDescent="0.25">
      <c r="A2074" s="46" t="s">
        <v>3307</v>
      </c>
      <c r="B2074" s="35">
        <v>0.73983740806579501</v>
      </c>
      <c r="C2074" s="36">
        <v>0.13</v>
      </c>
    </row>
    <row r="2075" spans="1:3" x14ac:dyDescent="0.25">
      <c r="A2075" s="46" t="s">
        <v>3308</v>
      </c>
      <c r="B2075" s="35">
        <v>0.62738853693008401</v>
      </c>
      <c r="C2075" s="36">
        <v>0.37</v>
      </c>
    </row>
    <row r="2076" spans="1:3" x14ac:dyDescent="0.25">
      <c r="A2076" s="46" t="s">
        <v>3309</v>
      </c>
      <c r="B2076" s="35">
        <v>0.68571430444717396</v>
      </c>
      <c r="C2076" s="36">
        <v>0</v>
      </c>
    </row>
    <row r="2077" spans="1:3" x14ac:dyDescent="0.25">
      <c r="A2077" s="46" t="s">
        <v>3310</v>
      </c>
      <c r="B2077" s="35">
        <v>0.615916967391967</v>
      </c>
      <c r="C2077" s="36">
        <v>0.06</v>
      </c>
    </row>
    <row r="2078" spans="1:3" x14ac:dyDescent="0.25">
      <c r="A2078" s="46" t="s">
        <v>3311</v>
      </c>
      <c r="B2078" s="35">
        <v>0.68683272600173895</v>
      </c>
      <c r="C2078" s="36">
        <v>0</v>
      </c>
    </row>
    <row r="2079" spans="1:3" x14ac:dyDescent="0.25">
      <c r="A2079" s="46" t="s">
        <v>3312</v>
      </c>
      <c r="B2079" s="35">
        <v>0.662162184715271</v>
      </c>
      <c r="C2079" s="36">
        <v>0</v>
      </c>
    </row>
    <row r="2080" spans="1:3" x14ac:dyDescent="0.25">
      <c r="A2080" s="46" t="s">
        <v>3313</v>
      </c>
      <c r="B2080" s="35">
        <v>0.58881580829620295</v>
      </c>
      <c r="C2080" s="36">
        <v>0.21</v>
      </c>
    </row>
    <row r="2081" spans="1:3" x14ac:dyDescent="0.25">
      <c r="A2081" s="46" t="s">
        <v>3314</v>
      </c>
      <c r="B2081" s="35">
        <v>0.48018649220466603</v>
      </c>
      <c r="C2081" s="36">
        <v>0.11</v>
      </c>
    </row>
    <row r="2082" spans="1:3" x14ac:dyDescent="0.25">
      <c r="A2082" s="46" t="s">
        <v>3315</v>
      </c>
      <c r="B2082" s="35">
        <v>0.54612547159194902</v>
      </c>
      <c r="C2082" s="36">
        <v>0.37</v>
      </c>
    </row>
    <row r="2083" spans="1:3" x14ac:dyDescent="0.25">
      <c r="A2083" s="46" t="s">
        <v>3316</v>
      </c>
      <c r="B2083" s="35">
        <v>0.47194245457649198</v>
      </c>
      <c r="C2083" s="36">
        <v>0.13</v>
      </c>
    </row>
    <row r="2084" spans="1:3" x14ac:dyDescent="0.25">
      <c r="A2084" s="46" t="s">
        <v>3317</v>
      </c>
      <c r="B2084" s="35">
        <v>0.58333331346511796</v>
      </c>
      <c r="C2084" s="36">
        <v>0</v>
      </c>
    </row>
    <row r="2085" spans="1:3" x14ac:dyDescent="0.25">
      <c r="A2085" s="46" t="s">
        <v>3318</v>
      </c>
      <c r="B2085" s="35">
        <v>0.66883116960525502</v>
      </c>
      <c r="C2085" s="36">
        <v>0</v>
      </c>
    </row>
    <row r="2086" spans="1:3" x14ac:dyDescent="0.25">
      <c r="A2086" s="46" t="s">
        <v>3319</v>
      </c>
      <c r="B2086" s="35">
        <v>0.57885903120040805</v>
      </c>
      <c r="C2086" s="36">
        <v>0.22</v>
      </c>
    </row>
    <row r="2087" spans="1:3" x14ac:dyDescent="0.25">
      <c r="A2087" s="46" t="s">
        <v>3320</v>
      </c>
      <c r="B2087" s="35">
        <v>0.44657096266746499</v>
      </c>
      <c r="C2087" s="36">
        <v>0.15</v>
      </c>
    </row>
    <row r="2088" spans="1:3" x14ac:dyDescent="0.25">
      <c r="A2088" s="46" t="s">
        <v>3321</v>
      </c>
      <c r="B2088" s="35">
        <v>0.51063829660415605</v>
      </c>
      <c r="C2088" s="36">
        <v>0.13</v>
      </c>
    </row>
    <row r="2089" spans="1:3" x14ac:dyDescent="0.25">
      <c r="A2089" s="46" t="s">
        <v>3322</v>
      </c>
      <c r="B2089" s="35">
        <v>0.53783231973648005</v>
      </c>
      <c r="C2089" s="36">
        <v>7.0000000000000007E-2</v>
      </c>
    </row>
    <row r="2090" spans="1:3" x14ac:dyDescent="0.25">
      <c r="A2090" s="46" t="s">
        <v>3323</v>
      </c>
      <c r="B2090" s="35">
        <v>0.519650638103485</v>
      </c>
      <c r="C2090" s="36">
        <v>0.06</v>
      </c>
    </row>
    <row r="2091" spans="1:3" x14ac:dyDescent="0.25">
      <c r="A2091" s="46" t="s">
        <v>3324</v>
      </c>
      <c r="B2091" s="35">
        <v>0.57330417633056596</v>
      </c>
      <c r="C2091" s="36">
        <v>0.33</v>
      </c>
    </row>
    <row r="2092" spans="1:3" x14ac:dyDescent="0.25">
      <c r="A2092" s="46" t="s">
        <v>3325</v>
      </c>
      <c r="B2092" s="35">
        <v>0.61423218250274603</v>
      </c>
      <c r="C2092" s="36">
        <v>0.17</v>
      </c>
    </row>
    <row r="2093" spans="1:3" x14ac:dyDescent="0.25">
      <c r="A2093" s="46" t="s">
        <v>3326</v>
      </c>
      <c r="B2093" s="35">
        <v>0.610759496688842</v>
      </c>
      <c r="C2093" s="36">
        <v>0.04</v>
      </c>
    </row>
    <row r="2094" spans="1:3" x14ac:dyDescent="0.25">
      <c r="A2094" s="46" t="s">
        <v>3327</v>
      </c>
      <c r="B2094" s="35">
        <v>0.55268818140029896</v>
      </c>
      <c r="C2094" s="36">
        <v>0.31</v>
      </c>
    </row>
    <row r="2095" spans="1:3" x14ac:dyDescent="0.25">
      <c r="A2095" s="46" t="s">
        <v>3328</v>
      </c>
      <c r="B2095" s="35">
        <v>0.58376961946487405</v>
      </c>
      <c r="C2095" s="36">
        <v>0.21</v>
      </c>
    </row>
    <row r="2096" spans="1:3" x14ac:dyDescent="0.25">
      <c r="A2096" s="46" t="s">
        <v>3329</v>
      </c>
      <c r="B2096" s="35">
        <v>0.34782609343528698</v>
      </c>
      <c r="C2096" s="36">
        <v>0.27</v>
      </c>
    </row>
    <row r="2097" spans="1:3" x14ac:dyDescent="0.25">
      <c r="A2097" s="46" t="s">
        <v>3330</v>
      </c>
      <c r="B2097" s="35">
        <v>0.93582886457443204</v>
      </c>
      <c r="C2097" s="36">
        <v>0</v>
      </c>
    </row>
    <row r="2098" spans="1:3" x14ac:dyDescent="0.25">
      <c r="A2098" s="46" t="s">
        <v>3331</v>
      </c>
      <c r="B2098" s="35">
        <v>0.69848155975341797</v>
      </c>
      <c r="C2098" s="36">
        <v>0.1</v>
      </c>
    </row>
    <row r="2099" spans="1:3" x14ac:dyDescent="0.25">
      <c r="A2099" s="46" t="s">
        <v>3332</v>
      </c>
      <c r="B2099" s="35">
        <v>0.76586431264877297</v>
      </c>
      <c r="C2099" s="36">
        <v>0.06</v>
      </c>
    </row>
    <row r="2100" spans="1:3" x14ac:dyDescent="0.25">
      <c r="A2100" s="46" t="s">
        <v>3333</v>
      </c>
      <c r="B2100" s="35">
        <v>0.62352943420410101</v>
      </c>
      <c r="C2100" s="36">
        <v>0.15</v>
      </c>
    </row>
    <row r="2101" spans="1:3" x14ac:dyDescent="0.25">
      <c r="A2101" s="46" t="s">
        <v>3334</v>
      </c>
      <c r="B2101" s="35">
        <v>0.63519310951232899</v>
      </c>
      <c r="C2101" s="36">
        <v>0.23</v>
      </c>
    </row>
    <row r="2102" spans="1:3" x14ac:dyDescent="0.25">
      <c r="A2102" s="46" t="s">
        <v>3335</v>
      </c>
      <c r="B2102" s="35">
        <v>0.60000002384185702</v>
      </c>
      <c r="C2102" s="36">
        <v>0.12</v>
      </c>
    </row>
    <row r="2103" spans="1:3" x14ac:dyDescent="0.25">
      <c r="A2103" s="46" t="s">
        <v>3336</v>
      </c>
      <c r="B2103" s="35">
        <v>0.58842444419860795</v>
      </c>
      <c r="C2103" s="36">
        <v>0.16</v>
      </c>
    </row>
    <row r="2104" spans="1:3" x14ac:dyDescent="0.25">
      <c r="A2104" s="46" t="s">
        <v>3337</v>
      </c>
      <c r="B2104" s="35">
        <v>0.570637106895446</v>
      </c>
      <c r="C2104" s="36">
        <v>0.14000000000000001</v>
      </c>
    </row>
    <row r="2105" spans="1:3" x14ac:dyDescent="0.25">
      <c r="A2105" s="46" t="s">
        <v>3338</v>
      </c>
      <c r="B2105" s="35">
        <v>0.59442061185836703</v>
      </c>
      <c r="C2105" s="36">
        <v>0.11</v>
      </c>
    </row>
    <row r="2106" spans="1:3" x14ac:dyDescent="0.25">
      <c r="A2106" s="46" t="s">
        <v>3339</v>
      </c>
      <c r="B2106" s="35">
        <v>0.67622953653335505</v>
      </c>
      <c r="C2106" s="36">
        <v>0.28000000000000003</v>
      </c>
    </row>
    <row r="2107" spans="1:3" x14ac:dyDescent="0.25">
      <c r="A2107" s="46" t="s">
        <v>3340</v>
      </c>
      <c r="B2107" s="35">
        <v>0.64214044809341397</v>
      </c>
      <c r="C2107" s="36">
        <v>0.25</v>
      </c>
    </row>
    <row r="2108" spans="1:3" x14ac:dyDescent="0.25">
      <c r="A2108" s="46" t="s">
        <v>3341</v>
      </c>
      <c r="B2108" s="35">
        <v>0.48692151904106101</v>
      </c>
      <c r="C2108" s="36">
        <v>0.25</v>
      </c>
    </row>
    <row r="2109" spans="1:3" x14ac:dyDescent="0.25">
      <c r="A2109" s="46" t="s">
        <v>3342</v>
      </c>
      <c r="B2109" s="35">
        <v>0.82635980844497603</v>
      </c>
      <c r="C2109" s="36">
        <v>0</v>
      </c>
    </row>
    <row r="2110" spans="1:3" x14ac:dyDescent="0.25">
      <c r="A2110" s="46" t="s">
        <v>3343</v>
      </c>
      <c r="B2110" s="35">
        <v>0.49275362491607599</v>
      </c>
      <c r="C2110" s="36">
        <v>0.51</v>
      </c>
    </row>
    <row r="2111" spans="1:3" x14ac:dyDescent="0.25">
      <c r="A2111" s="46" t="s">
        <v>3344</v>
      </c>
      <c r="B2111" s="35">
        <v>0.71844661235809304</v>
      </c>
      <c r="C2111" s="36">
        <v>0.09</v>
      </c>
    </row>
    <row r="2112" spans="1:3" x14ac:dyDescent="0.25">
      <c r="A2112" s="46" t="s">
        <v>3345</v>
      </c>
      <c r="B2112" s="35">
        <v>0.487025946378707</v>
      </c>
      <c r="C2112" s="36">
        <v>0.23</v>
      </c>
    </row>
    <row r="2113" spans="1:3" x14ac:dyDescent="0.25">
      <c r="A2113" s="46" t="s">
        <v>3346</v>
      </c>
      <c r="B2113" s="35">
        <v>0.77867203950881902</v>
      </c>
      <c r="C2113" s="36">
        <v>0.08</v>
      </c>
    </row>
    <row r="2114" spans="1:3" x14ac:dyDescent="0.25">
      <c r="A2114" s="46" t="s">
        <v>3347</v>
      </c>
      <c r="B2114" s="35">
        <v>0.62413793802261297</v>
      </c>
      <c r="C2114" s="36">
        <v>0.14000000000000001</v>
      </c>
    </row>
    <row r="2115" spans="1:3" x14ac:dyDescent="0.25">
      <c r="A2115" s="46" t="s">
        <v>3348</v>
      </c>
      <c r="B2115" s="35">
        <v>0.66784453392028797</v>
      </c>
      <c r="C2115" s="36">
        <v>0.03</v>
      </c>
    </row>
    <row r="2116" spans="1:3" x14ac:dyDescent="0.25">
      <c r="A2116" s="46" t="s">
        <v>3349</v>
      </c>
      <c r="B2116" s="35">
        <v>0.75675678253173795</v>
      </c>
      <c r="C2116" s="36">
        <v>0.19</v>
      </c>
    </row>
    <row r="2117" spans="1:3" x14ac:dyDescent="0.25">
      <c r="A2117" s="46" t="s">
        <v>3350</v>
      </c>
      <c r="B2117" s="35">
        <v>0.63812154531478804</v>
      </c>
      <c r="C2117" s="36">
        <v>0.25</v>
      </c>
    </row>
    <row r="2118" spans="1:3" x14ac:dyDescent="0.25">
      <c r="A2118" s="46" t="s">
        <v>3351</v>
      </c>
      <c r="B2118" s="35">
        <v>0.64375001192092896</v>
      </c>
      <c r="C2118" s="36">
        <v>0.05</v>
      </c>
    </row>
    <row r="2119" spans="1:3" x14ac:dyDescent="0.25">
      <c r="A2119" s="46" t="s">
        <v>3352</v>
      </c>
      <c r="B2119" s="35">
        <v>0.63414633274078303</v>
      </c>
      <c r="C2119" s="36">
        <v>0.05</v>
      </c>
    </row>
    <row r="2120" spans="1:3" x14ac:dyDescent="0.25">
      <c r="A2120" s="46" t="s">
        <v>3353</v>
      </c>
      <c r="B2120" s="35">
        <v>0.484472036361694</v>
      </c>
      <c r="C2120" s="36">
        <v>0.23</v>
      </c>
    </row>
    <row r="2121" spans="1:3" x14ac:dyDescent="0.25">
      <c r="A2121" s="46" t="s">
        <v>3354</v>
      </c>
      <c r="B2121" s="35">
        <v>0.63450837135314897</v>
      </c>
      <c r="C2121" s="36">
        <v>0</v>
      </c>
    </row>
    <row r="2122" spans="1:3" x14ac:dyDescent="0.25">
      <c r="A2122" s="46" t="s">
        <v>3355</v>
      </c>
      <c r="B2122" s="35">
        <v>0.55489611625671298</v>
      </c>
      <c r="C2122" s="36">
        <v>0.28999999999999998</v>
      </c>
    </row>
    <row r="2123" spans="1:3" x14ac:dyDescent="0.25">
      <c r="A2123" s="46" t="s">
        <v>3356</v>
      </c>
      <c r="B2123" s="35">
        <v>0.673539519309997</v>
      </c>
      <c r="C2123" s="36">
        <v>0.05</v>
      </c>
    </row>
    <row r="2124" spans="1:3" x14ac:dyDescent="0.25">
      <c r="A2124" s="46" t="s">
        <v>3357</v>
      </c>
      <c r="B2124" s="35">
        <v>0.623632371425628</v>
      </c>
      <c r="C2124" s="36">
        <v>0.13</v>
      </c>
    </row>
    <row r="2125" spans="1:3" x14ac:dyDescent="0.25">
      <c r="A2125" s="46" t="s">
        <v>3358</v>
      </c>
      <c r="B2125" s="35">
        <v>0.46330934762954701</v>
      </c>
      <c r="C2125" s="36">
        <v>0.15</v>
      </c>
    </row>
    <row r="2126" spans="1:3" x14ac:dyDescent="0.25">
      <c r="A2126" s="46" t="s">
        <v>3359</v>
      </c>
      <c r="B2126" s="35">
        <v>0.59285712242126398</v>
      </c>
      <c r="C2126" s="36">
        <v>0.17</v>
      </c>
    </row>
    <row r="2127" spans="1:3" x14ac:dyDescent="0.25">
      <c r="A2127" s="46" t="s">
        <v>3360</v>
      </c>
      <c r="B2127" s="35">
        <v>0.47857141494750899</v>
      </c>
      <c r="C2127" s="36">
        <v>0.12</v>
      </c>
    </row>
    <row r="2128" spans="1:3" x14ac:dyDescent="0.25">
      <c r="A2128" s="46" t="s">
        <v>3361</v>
      </c>
      <c r="B2128" s="35">
        <v>0.66125291585922197</v>
      </c>
      <c r="C2128" s="36">
        <v>0</v>
      </c>
    </row>
    <row r="2129" spans="1:3" x14ac:dyDescent="0.25">
      <c r="A2129" s="46" t="s">
        <v>3362</v>
      </c>
      <c r="B2129" s="35">
        <v>0.73983740806579501</v>
      </c>
      <c r="C2129" s="36">
        <v>0.13</v>
      </c>
    </row>
    <row r="2130" spans="1:3" x14ac:dyDescent="0.25">
      <c r="A2130" s="46" t="s">
        <v>3363</v>
      </c>
      <c r="B2130" s="35">
        <v>0.58420270681381203</v>
      </c>
      <c r="C2130" s="36">
        <v>0.31</v>
      </c>
    </row>
    <row r="2131" spans="1:3" x14ac:dyDescent="0.25">
      <c r="A2131" s="46" t="s">
        <v>3364</v>
      </c>
      <c r="B2131" s="35">
        <v>0.62762761116027799</v>
      </c>
      <c r="C2131" s="36">
        <v>0.09</v>
      </c>
    </row>
    <row r="2132" spans="1:3" x14ac:dyDescent="0.25">
      <c r="A2132" s="46" t="s">
        <v>3365</v>
      </c>
      <c r="B2132" s="35">
        <v>0.80349344015121404</v>
      </c>
      <c r="C2132" s="36">
        <v>0.09</v>
      </c>
    </row>
    <row r="2133" spans="1:3" x14ac:dyDescent="0.25">
      <c r="A2133" s="46" t="s">
        <v>3366</v>
      </c>
      <c r="B2133" s="35">
        <v>0.91408932209014804</v>
      </c>
      <c r="C2133" s="36">
        <v>0.06</v>
      </c>
    </row>
    <row r="2134" spans="1:3" x14ac:dyDescent="0.25">
      <c r="A2134" s="46" t="s">
        <v>3367</v>
      </c>
      <c r="B2134" s="35">
        <v>0.57114624977111805</v>
      </c>
      <c r="C2134" s="36">
        <v>0.11</v>
      </c>
    </row>
    <row r="2135" spans="1:3" x14ac:dyDescent="0.25">
      <c r="A2135" s="46" t="s">
        <v>3368</v>
      </c>
      <c r="B2135" s="35">
        <v>0.58709675073623602</v>
      </c>
      <c r="C2135" s="36">
        <v>0.05</v>
      </c>
    </row>
    <row r="2136" spans="1:3" x14ac:dyDescent="0.25">
      <c r="A2136" s="46" t="s">
        <v>3369</v>
      </c>
      <c r="B2136" s="35">
        <v>0.63667821884155196</v>
      </c>
      <c r="C2136" s="36">
        <v>0.2</v>
      </c>
    </row>
    <row r="2137" spans="1:3" x14ac:dyDescent="0.25">
      <c r="A2137" s="46" t="s">
        <v>3370</v>
      </c>
      <c r="B2137" s="35">
        <v>0.52857142686843805</v>
      </c>
      <c r="C2137" s="36">
        <v>0.05</v>
      </c>
    </row>
    <row r="2138" spans="1:3" x14ac:dyDescent="0.25">
      <c r="A2138" s="46" t="s">
        <v>3371</v>
      </c>
      <c r="B2138" s="35">
        <v>0.59139782190322798</v>
      </c>
      <c r="C2138" s="36">
        <v>0.13</v>
      </c>
    </row>
    <row r="2139" spans="1:3" x14ac:dyDescent="0.25">
      <c r="A2139" s="46" t="s">
        <v>3372</v>
      </c>
      <c r="B2139" s="35">
        <v>0.62978720664978005</v>
      </c>
      <c r="C2139" s="36">
        <v>0.11</v>
      </c>
    </row>
    <row r="2140" spans="1:3" x14ac:dyDescent="0.25">
      <c r="A2140" s="46" t="s">
        <v>3373</v>
      </c>
      <c r="B2140" s="35">
        <v>0.63057327270507801</v>
      </c>
      <c r="C2140" s="36">
        <v>0.43</v>
      </c>
    </row>
    <row r="2141" spans="1:3" x14ac:dyDescent="0.25">
      <c r="A2141" s="46" t="s">
        <v>3374</v>
      </c>
      <c r="B2141" s="35">
        <v>0.43544304370880099</v>
      </c>
      <c r="C2141" s="36">
        <v>0.06</v>
      </c>
    </row>
    <row r="2142" spans="1:3" x14ac:dyDescent="0.25">
      <c r="A2142" s="46" t="s">
        <v>3375</v>
      </c>
      <c r="B2142" s="35">
        <v>0.60928964614868097</v>
      </c>
      <c r="C2142" s="36">
        <v>0.26</v>
      </c>
    </row>
    <row r="2143" spans="1:3" x14ac:dyDescent="0.25">
      <c r="A2143" s="46" t="s">
        <v>3376</v>
      </c>
      <c r="B2143" s="35">
        <v>0.462328761816024</v>
      </c>
      <c r="C2143" s="36">
        <v>0.17</v>
      </c>
    </row>
    <row r="2144" spans="1:3" x14ac:dyDescent="0.25">
      <c r="A2144" s="46" t="s">
        <v>3377</v>
      </c>
      <c r="B2144" s="35">
        <v>0.49648711085319502</v>
      </c>
      <c r="C2144" s="36">
        <v>0.23</v>
      </c>
    </row>
    <row r="2145" spans="1:3" x14ac:dyDescent="0.25">
      <c r="A2145" s="46" t="s">
        <v>3378</v>
      </c>
      <c r="B2145" s="35">
        <v>0.56969696283340399</v>
      </c>
      <c r="C2145" s="36">
        <v>0.26</v>
      </c>
    </row>
    <row r="2146" spans="1:3" x14ac:dyDescent="0.25">
      <c r="A2146" s="46" t="s">
        <v>3379</v>
      </c>
      <c r="B2146" s="35">
        <v>0.59063136577606201</v>
      </c>
      <c r="C2146" s="36">
        <v>0.19</v>
      </c>
    </row>
    <row r="2147" spans="1:3" x14ac:dyDescent="0.25">
      <c r="A2147" s="46" t="s">
        <v>3380</v>
      </c>
      <c r="B2147" s="35">
        <v>0.43935927748680098</v>
      </c>
      <c r="C2147" s="36">
        <v>0.25</v>
      </c>
    </row>
    <row r="2148" spans="1:3" x14ac:dyDescent="0.25">
      <c r="A2148" s="46" t="s">
        <v>3381</v>
      </c>
      <c r="B2148" s="35">
        <v>0.60810810327529896</v>
      </c>
      <c r="C2148" s="36">
        <v>0.13</v>
      </c>
    </row>
    <row r="2149" spans="1:3" x14ac:dyDescent="0.25">
      <c r="A2149" s="46" t="s">
        <v>3382</v>
      </c>
      <c r="B2149" s="35">
        <v>0.58333331346511796</v>
      </c>
      <c r="C2149" s="36">
        <v>0.32</v>
      </c>
    </row>
    <row r="2150" spans="1:3" x14ac:dyDescent="0.25">
      <c r="A2150" s="46" t="s">
        <v>3383</v>
      </c>
      <c r="B2150" s="35">
        <v>0.48677247762679998</v>
      </c>
      <c r="C2150" s="36">
        <v>0.14000000000000001</v>
      </c>
    </row>
    <row r="2151" spans="1:3" x14ac:dyDescent="0.25">
      <c r="A2151" s="46" t="s">
        <v>3384</v>
      </c>
      <c r="B2151" s="35">
        <v>0.71428573131561202</v>
      </c>
      <c r="C2151" s="36">
        <v>0.13</v>
      </c>
    </row>
    <row r="2152" spans="1:3" x14ac:dyDescent="0.25">
      <c r="A2152" s="46" t="s">
        <v>3385</v>
      </c>
      <c r="B2152" s="35">
        <v>0.53064274787902799</v>
      </c>
      <c r="C2152" s="36">
        <v>0.28000000000000003</v>
      </c>
    </row>
    <row r="2153" spans="1:3" x14ac:dyDescent="0.25">
      <c r="A2153" s="46" t="s">
        <v>3386</v>
      </c>
      <c r="B2153" s="35">
        <v>0.606525897979736</v>
      </c>
      <c r="C2153" s="36">
        <v>0.12</v>
      </c>
    </row>
    <row r="2154" spans="1:3" x14ac:dyDescent="0.25">
      <c r="A2154" s="46" t="s">
        <v>3387</v>
      </c>
      <c r="B2154" s="35">
        <v>0.45787546038627602</v>
      </c>
      <c r="C2154" s="36">
        <v>0.22</v>
      </c>
    </row>
    <row r="2155" spans="1:3" x14ac:dyDescent="0.25">
      <c r="A2155" s="46" t="s">
        <v>3388</v>
      </c>
      <c r="B2155" s="35">
        <v>0.47505423426628102</v>
      </c>
      <c r="C2155" s="36">
        <v>0.4</v>
      </c>
    </row>
    <row r="2156" spans="1:3" x14ac:dyDescent="0.25">
      <c r="A2156" s="46" t="s">
        <v>3389</v>
      </c>
      <c r="B2156" s="35">
        <v>0.60542798042297297</v>
      </c>
      <c r="C2156" s="36">
        <v>0.02</v>
      </c>
    </row>
    <row r="2157" spans="1:3" x14ac:dyDescent="0.25">
      <c r="A2157" s="46" t="s">
        <v>3390</v>
      </c>
      <c r="B2157" s="35">
        <v>0.59586465358734098</v>
      </c>
      <c r="C2157" s="36">
        <v>0.26</v>
      </c>
    </row>
    <row r="2158" spans="1:3" x14ac:dyDescent="0.25">
      <c r="A2158" s="46" t="s">
        <v>3391</v>
      </c>
      <c r="B2158" s="35">
        <v>0.51256281137466397</v>
      </c>
      <c r="C2158" s="36">
        <v>0.28000000000000003</v>
      </c>
    </row>
    <row r="2159" spans="1:3" x14ac:dyDescent="0.25">
      <c r="A2159" s="46" t="s">
        <v>3392</v>
      </c>
      <c r="B2159" s="35">
        <v>0.57904410362243597</v>
      </c>
      <c r="C2159" s="36">
        <v>0.08</v>
      </c>
    </row>
    <row r="2160" spans="1:3" x14ac:dyDescent="0.25">
      <c r="A2160" s="46" t="s">
        <v>3393</v>
      </c>
      <c r="B2160" s="35">
        <v>0.65068495273589999</v>
      </c>
      <c r="C2160" s="36">
        <v>0.05</v>
      </c>
    </row>
    <row r="2161" spans="1:3" x14ac:dyDescent="0.25">
      <c r="A2161" s="46" t="s">
        <v>3394</v>
      </c>
      <c r="B2161" s="35">
        <v>0.49107143282890298</v>
      </c>
      <c r="C2161" s="36">
        <v>0.22</v>
      </c>
    </row>
    <row r="2162" spans="1:3" x14ac:dyDescent="0.25">
      <c r="A2162" s="46" t="s">
        <v>3395</v>
      </c>
      <c r="B2162" s="35">
        <v>0.65681821107864302</v>
      </c>
      <c r="C2162" s="36">
        <v>0.05</v>
      </c>
    </row>
    <row r="2163" spans="1:3" x14ac:dyDescent="0.25">
      <c r="A2163" s="46" t="s">
        <v>3396</v>
      </c>
      <c r="B2163" s="35">
        <v>0.62700229883193903</v>
      </c>
      <c r="C2163" s="36">
        <v>0.27</v>
      </c>
    </row>
    <row r="2164" spans="1:3" x14ac:dyDescent="0.25">
      <c r="A2164" s="46" t="s">
        <v>956</v>
      </c>
      <c r="B2164" s="35">
        <v>0.410468310117721</v>
      </c>
      <c r="C2164" s="36">
        <v>0.28999999999999998</v>
      </c>
    </row>
    <row r="2165" spans="1:3" x14ac:dyDescent="0.25">
      <c r="A2165" s="46" t="s">
        <v>3397</v>
      </c>
      <c r="B2165" s="35">
        <v>0.56026059389114302</v>
      </c>
      <c r="C2165" s="36">
        <v>0.26</v>
      </c>
    </row>
    <row r="2166" spans="1:3" x14ac:dyDescent="0.25">
      <c r="A2166" s="46" t="s">
        <v>3398</v>
      </c>
      <c r="B2166" s="35">
        <v>0.623352169990539</v>
      </c>
      <c r="C2166" s="36">
        <v>0.3</v>
      </c>
    </row>
    <row r="2167" spans="1:3" x14ac:dyDescent="0.25">
      <c r="A2167" s="46" t="s">
        <v>3399</v>
      </c>
      <c r="B2167" s="35">
        <v>0.50204920768737704</v>
      </c>
      <c r="C2167" s="36">
        <v>0.26</v>
      </c>
    </row>
    <row r="2168" spans="1:3" x14ac:dyDescent="0.25">
      <c r="A2168" s="46" t="s">
        <v>3400</v>
      </c>
      <c r="B2168" s="35">
        <v>0.381228268146514</v>
      </c>
      <c r="C2168" s="36">
        <v>0.35</v>
      </c>
    </row>
    <row r="2169" spans="1:3" x14ac:dyDescent="0.25">
      <c r="A2169" s="46" t="s">
        <v>3401</v>
      </c>
      <c r="B2169" s="35">
        <v>0.54189944267272905</v>
      </c>
      <c r="C2169" s="36">
        <v>0.61</v>
      </c>
    </row>
    <row r="2170" spans="1:3" x14ac:dyDescent="0.25">
      <c r="A2170" s="46" t="s">
        <v>3402</v>
      </c>
      <c r="B2170" s="35">
        <v>0.32490012049674899</v>
      </c>
      <c r="C2170" s="36">
        <v>0.44</v>
      </c>
    </row>
    <row r="2171" spans="1:3" x14ac:dyDescent="0.25">
      <c r="A2171" s="46" t="s">
        <v>3403</v>
      </c>
      <c r="B2171" s="35">
        <v>0.61520189046859697</v>
      </c>
      <c r="C2171" s="36">
        <v>0</v>
      </c>
    </row>
    <row r="2172" spans="1:3" x14ac:dyDescent="0.25">
      <c r="A2172" s="46" t="s">
        <v>3404</v>
      </c>
      <c r="B2172" s="35">
        <v>0.49146109819412198</v>
      </c>
      <c r="C2172" s="36">
        <v>0.2</v>
      </c>
    </row>
    <row r="2173" spans="1:3" x14ac:dyDescent="0.25">
      <c r="A2173" s="46" t="s">
        <v>3405</v>
      </c>
      <c r="B2173" s="35">
        <v>0.51351350545883101</v>
      </c>
      <c r="C2173" s="36">
        <v>0.15</v>
      </c>
    </row>
    <row r="2174" spans="1:3" x14ac:dyDescent="0.25">
      <c r="A2174" s="46" t="s">
        <v>3406</v>
      </c>
      <c r="B2174" s="35">
        <v>0.52982455492019598</v>
      </c>
      <c r="C2174" s="36">
        <v>0.15</v>
      </c>
    </row>
    <row r="2175" spans="1:3" x14ac:dyDescent="0.25">
      <c r="A2175" s="46" t="s">
        <v>3407</v>
      </c>
      <c r="B2175" s="35">
        <v>0.50930625200271595</v>
      </c>
      <c r="C2175" s="36">
        <v>0.15</v>
      </c>
    </row>
    <row r="2176" spans="1:3" x14ac:dyDescent="0.25">
      <c r="A2176" s="46" t="s">
        <v>3408</v>
      </c>
      <c r="B2176" s="35">
        <v>0.67602592706680298</v>
      </c>
      <c r="C2176" s="36">
        <v>0</v>
      </c>
    </row>
    <row r="2177" spans="1:3" x14ac:dyDescent="0.25">
      <c r="A2177" s="46" t="s">
        <v>3409</v>
      </c>
      <c r="B2177" s="35">
        <v>0.55734407901763905</v>
      </c>
      <c r="C2177" s="36">
        <v>0</v>
      </c>
    </row>
    <row r="2178" spans="1:3" x14ac:dyDescent="0.25">
      <c r="A2178" s="46" t="s">
        <v>3410</v>
      </c>
      <c r="B2178" s="35">
        <v>0.64044946432113603</v>
      </c>
      <c r="C2178" s="36">
        <v>0</v>
      </c>
    </row>
    <row r="2179" spans="1:3" x14ac:dyDescent="0.25">
      <c r="A2179" s="46" t="s">
        <v>3411</v>
      </c>
      <c r="B2179" s="35">
        <v>0.65653496980667103</v>
      </c>
      <c r="C2179" s="36">
        <v>0</v>
      </c>
    </row>
    <row r="2180" spans="1:3" x14ac:dyDescent="0.25">
      <c r="A2180" s="46" t="s">
        <v>3412</v>
      </c>
      <c r="B2180" s="35">
        <v>0.62149530649185103</v>
      </c>
      <c r="C2180" s="36">
        <v>0</v>
      </c>
    </row>
    <row r="2181" spans="1:3" x14ac:dyDescent="0.25">
      <c r="A2181" s="46" t="s">
        <v>3413</v>
      </c>
      <c r="B2181" s="35">
        <v>0.636363625526428</v>
      </c>
      <c r="C2181" s="36">
        <v>0</v>
      </c>
    </row>
    <row r="2182" spans="1:3" x14ac:dyDescent="0.25">
      <c r="A2182" s="46" t="s">
        <v>3414</v>
      </c>
      <c r="B2182" s="35">
        <v>0.53783231973648005</v>
      </c>
      <c r="C2182" s="36">
        <v>0</v>
      </c>
    </row>
    <row r="2183" spans="1:3" x14ac:dyDescent="0.25">
      <c r="A2183" s="46" t="s">
        <v>3415</v>
      </c>
      <c r="B2183" s="35">
        <v>0.64150941371917702</v>
      </c>
      <c r="C2183" s="36">
        <v>0</v>
      </c>
    </row>
    <row r="2184" spans="1:3" x14ac:dyDescent="0.25">
      <c r="A2184" s="46" t="s">
        <v>3416</v>
      </c>
      <c r="B2184" s="35">
        <v>0.59045726060867298</v>
      </c>
      <c r="C2184" s="36">
        <v>0</v>
      </c>
    </row>
    <row r="2185" spans="1:3" x14ac:dyDescent="0.25">
      <c r="A2185" s="46" t="s">
        <v>3417</v>
      </c>
      <c r="B2185" s="35">
        <v>0.59147423505783003</v>
      </c>
      <c r="C2185" s="36">
        <v>0</v>
      </c>
    </row>
    <row r="2186" spans="1:3" x14ac:dyDescent="0.25">
      <c r="A2186" s="46" t="s">
        <v>3418</v>
      </c>
      <c r="B2186" s="35">
        <v>0.61046510934829701</v>
      </c>
      <c r="C2186" s="36">
        <v>0</v>
      </c>
    </row>
    <row r="2187" spans="1:3" x14ac:dyDescent="0.25">
      <c r="A2187" s="46" t="s">
        <v>3419</v>
      </c>
      <c r="B2187" s="35">
        <v>0.54514479637145996</v>
      </c>
      <c r="C2187" s="36">
        <v>0</v>
      </c>
    </row>
    <row r="2188" spans="1:3" x14ac:dyDescent="0.25">
      <c r="A2188" s="46" t="s">
        <v>3420</v>
      </c>
      <c r="B2188" s="35">
        <v>0.60555553436279297</v>
      </c>
      <c r="C2188" s="36">
        <v>0</v>
      </c>
    </row>
    <row r="2189" spans="1:3" x14ac:dyDescent="0.25">
      <c r="A2189" s="46" t="s">
        <v>3421</v>
      </c>
      <c r="B2189" s="35">
        <v>0.637931048870086</v>
      </c>
      <c r="C2189" s="36">
        <v>0</v>
      </c>
    </row>
    <row r="2190" spans="1:3" x14ac:dyDescent="0.25">
      <c r="A2190" s="46" t="s">
        <v>3422</v>
      </c>
      <c r="B2190" s="35">
        <v>0.70293611288070601</v>
      </c>
      <c r="C2190" s="36">
        <v>0</v>
      </c>
    </row>
    <row r="2191" spans="1:3" x14ac:dyDescent="0.25">
      <c r="A2191" s="46" t="s">
        <v>3423</v>
      </c>
      <c r="B2191" s="35">
        <v>0.65245902538299505</v>
      </c>
      <c r="C2191" s="36">
        <v>0.33</v>
      </c>
    </row>
    <row r="2192" spans="1:3" x14ac:dyDescent="0.25">
      <c r="A2192" s="46" t="s">
        <v>3424</v>
      </c>
      <c r="B2192" s="35">
        <v>0.61609196662902799</v>
      </c>
      <c r="C2192" s="36">
        <v>0</v>
      </c>
    </row>
    <row r="2193" spans="1:3" x14ac:dyDescent="0.25">
      <c r="A2193" s="46" t="s">
        <v>3425</v>
      </c>
      <c r="B2193" s="35">
        <v>0.63593381643295199</v>
      </c>
      <c r="C2193" s="36">
        <v>0</v>
      </c>
    </row>
    <row r="2194" spans="1:3" x14ac:dyDescent="0.25">
      <c r="A2194" s="46" t="s">
        <v>3426</v>
      </c>
      <c r="B2194" s="35">
        <v>0.64302599430084195</v>
      </c>
      <c r="C2194" s="36">
        <v>0</v>
      </c>
    </row>
    <row r="2195" spans="1:3" x14ac:dyDescent="0.25">
      <c r="A2195" s="46" t="s">
        <v>3427</v>
      </c>
      <c r="B2195" s="35">
        <v>0.624708652496337</v>
      </c>
      <c r="C2195" s="36">
        <v>0</v>
      </c>
    </row>
    <row r="2196" spans="1:3" x14ac:dyDescent="0.25">
      <c r="A2196" s="46" t="s">
        <v>3428</v>
      </c>
      <c r="B2196" s="35">
        <v>0.69397592544555597</v>
      </c>
      <c r="C2196" s="36">
        <v>0</v>
      </c>
    </row>
    <row r="2197" spans="1:3" x14ac:dyDescent="0.25">
      <c r="A2197" s="46" t="s">
        <v>3429</v>
      </c>
      <c r="B2197" s="35">
        <v>0.510989010334014</v>
      </c>
      <c r="C2197" s="36">
        <v>0.6</v>
      </c>
    </row>
    <row r="2198" spans="1:3" x14ac:dyDescent="0.25">
      <c r="A2198" s="46" t="s">
        <v>3430</v>
      </c>
      <c r="B2198" s="35">
        <v>0.68301886320114102</v>
      </c>
      <c r="C2198" s="36">
        <v>0</v>
      </c>
    </row>
    <row r="2199" spans="1:3" x14ac:dyDescent="0.25">
      <c r="A2199" s="46" t="s">
        <v>3431</v>
      </c>
      <c r="B2199" s="35">
        <v>0.68511450290679898</v>
      </c>
      <c r="C2199" s="36">
        <v>0</v>
      </c>
    </row>
    <row r="2200" spans="1:3" x14ac:dyDescent="0.25">
      <c r="A2200" s="46" t="s">
        <v>3432</v>
      </c>
      <c r="B2200" s="35">
        <v>0.52678573131561202</v>
      </c>
      <c r="C2200" s="36">
        <v>0.46</v>
      </c>
    </row>
    <row r="2201" spans="1:3" x14ac:dyDescent="0.25">
      <c r="A2201" s="46" t="s">
        <v>3433</v>
      </c>
      <c r="B2201" s="35">
        <v>0.60383385419845503</v>
      </c>
      <c r="C2201" s="36">
        <v>0</v>
      </c>
    </row>
    <row r="2202" spans="1:3" x14ac:dyDescent="0.25">
      <c r="A2202" s="46" t="s">
        <v>3434</v>
      </c>
      <c r="B2202" s="35">
        <v>0.57683742046356201</v>
      </c>
      <c r="C2202" s="36">
        <v>0</v>
      </c>
    </row>
    <row r="2203" spans="1:3" x14ac:dyDescent="0.25">
      <c r="A2203" s="46" t="s">
        <v>3435</v>
      </c>
      <c r="B2203" s="35">
        <v>0.63532108068466098</v>
      </c>
      <c r="C2203" s="36">
        <v>0</v>
      </c>
    </row>
    <row r="2204" spans="1:3" x14ac:dyDescent="0.25">
      <c r="A2204" s="46" t="s">
        <v>3436</v>
      </c>
      <c r="B2204" s="35">
        <v>0.55387932062149003</v>
      </c>
      <c r="C2204" s="36">
        <v>0.09</v>
      </c>
    </row>
    <row r="2205" spans="1:3" x14ac:dyDescent="0.25">
      <c r="A2205" s="46" t="s">
        <v>3437</v>
      </c>
      <c r="B2205" s="35">
        <v>0.81196582317352295</v>
      </c>
      <c r="C2205" s="36">
        <v>0.12</v>
      </c>
    </row>
    <row r="2206" spans="1:3" x14ac:dyDescent="0.25">
      <c r="A2206" s="46" t="s">
        <v>3438</v>
      </c>
      <c r="B2206" s="35">
        <v>0.60694444179534901</v>
      </c>
      <c r="C2206" s="36">
        <v>0</v>
      </c>
    </row>
    <row r="2207" spans="1:3" x14ac:dyDescent="0.25">
      <c r="A2207" s="46" t="s">
        <v>3439</v>
      </c>
      <c r="B2207" s="35">
        <v>0.63849765062332098</v>
      </c>
      <c r="C2207" s="36">
        <v>0</v>
      </c>
    </row>
    <row r="2208" spans="1:3" x14ac:dyDescent="0.25">
      <c r="A2208" s="46" t="s">
        <v>3440</v>
      </c>
      <c r="B2208" s="35">
        <v>0.58333331346511796</v>
      </c>
      <c r="C2208" s="36">
        <v>0</v>
      </c>
    </row>
    <row r="2209" spans="1:3" x14ac:dyDescent="0.25">
      <c r="A2209" s="46" t="s">
        <v>3441</v>
      </c>
      <c r="B2209" s="35">
        <v>0.58112776279449396</v>
      </c>
      <c r="C2209" s="36">
        <v>0</v>
      </c>
    </row>
    <row r="2210" spans="1:3" x14ac:dyDescent="0.25">
      <c r="A2210" s="46" t="s">
        <v>3442</v>
      </c>
      <c r="B2210" s="35">
        <v>0.69824558496475198</v>
      </c>
      <c r="C2210" s="36">
        <v>0</v>
      </c>
    </row>
    <row r="2211" spans="1:3" x14ac:dyDescent="0.25">
      <c r="A2211" s="46" t="s">
        <v>3443</v>
      </c>
      <c r="B2211" s="35">
        <v>0.5</v>
      </c>
      <c r="C2211" s="36">
        <v>0.35</v>
      </c>
    </row>
    <row r="2212" spans="1:3" x14ac:dyDescent="0.25">
      <c r="A2212" s="46" t="s">
        <v>3444</v>
      </c>
      <c r="B2212" s="35">
        <v>0.72496026754379195</v>
      </c>
      <c r="C2212" s="36">
        <v>0</v>
      </c>
    </row>
    <row r="2213" spans="1:3" x14ac:dyDescent="0.25">
      <c r="A2213" s="46" t="s">
        <v>3445</v>
      </c>
      <c r="B2213" s="35">
        <v>0.52339690923690796</v>
      </c>
      <c r="C2213" s="36">
        <v>0.1</v>
      </c>
    </row>
    <row r="2214" spans="1:3" x14ac:dyDescent="0.25">
      <c r="A2214" s="46" t="s">
        <v>3446</v>
      </c>
      <c r="B2214" s="35">
        <v>0.592077076435089</v>
      </c>
      <c r="C2214" s="36">
        <v>0</v>
      </c>
    </row>
    <row r="2215" spans="1:3" x14ac:dyDescent="0.25">
      <c r="A2215" s="46" t="s">
        <v>3447</v>
      </c>
      <c r="B2215" s="35">
        <v>0.64539009332656805</v>
      </c>
      <c r="C2215" s="36">
        <v>0</v>
      </c>
    </row>
    <row r="2216" spans="1:3" x14ac:dyDescent="0.25">
      <c r="A2216" s="46" t="s">
        <v>3448</v>
      </c>
      <c r="B2216" s="35">
        <v>0.67446810007095304</v>
      </c>
      <c r="C2216" s="36">
        <v>0</v>
      </c>
    </row>
    <row r="2217" spans="1:3" x14ac:dyDescent="0.25">
      <c r="A2217" s="46" t="s">
        <v>3449</v>
      </c>
      <c r="B2217" s="35">
        <v>0.67346936464309604</v>
      </c>
      <c r="C2217" s="36">
        <v>0</v>
      </c>
    </row>
    <row r="2218" spans="1:3" x14ac:dyDescent="0.25">
      <c r="A2218" s="46" t="s">
        <v>3450</v>
      </c>
      <c r="B2218" s="35">
        <v>0.64653241634368896</v>
      </c>
      <c r="C2218" s="36">
        <v>0</v>
      </c>
    </row>
    <row r="2219" spans="1:3" x14ac:dyDescent="0.25">
      <c r="A2219" s="46" t="s">
        <v>3451</v>
      </c>
      <c r="B2219" s="35">
        <v>0.62800872325897195</v>
      </c>
      <c r="C2219" s="36">
        <v>0</v>
      </c>
    </row>
    <row r="2220" spans="1:3" x14ac:dyDescent="0.25">
      <c r="A2220" s="46" t="s">
        <v>3452</v>
      </c>
      <c r="B2220" s="35">
        <v>0.69565218687057495</v>
      </c>
      <c r="C2220" s="36">
        <v>0</v>
      </c>
    </row>
    <row r="2221" spans="1:3" x14ac:dyDescent="0.25">
      <c r="A2221" s="46" t="s">
        <v>3453</v>
      </c>
      <c r="B2221" s="35">
        <v>0.64102566242217995</v>
      </c>
      <c r="C2221" s="36">
        <v>0</v>
      </c>
    </row>
    <row r="2222" spans="1:3" x14ac:dyDescent="0.25">
      <c r="A2222" s="46" t="s">
        <v>3454</v>
      </c>
      <c r="B2222" s="35">
        <v>0.57763975858688299</v>
      </c>
      <c r="C2222" s="36">
        <v>0</v>
      </c>
    </row>
    <row r="2223" spans="1:3" x14ac:dyDescent="0.25">
      <c r="A2223" s="46" t="s">
        <v>3455</v>
      </c>
      <c r="B2223" s="35">
        <v>0.48700410127639698</v>
      </c>
      <c r="C2223" s="36">
        <v>0.48</v>
      </c>
    </row>
    <row r="2224" spans="1:3" x14ac:dyDescent="0.25">
      <c r="A2224" s="46" t="s">
        <v>3456</v>
      </c>
      <c r="B2224" s="35">
        <v>0.63205415010452204</v>
      </c>
      <c r="C2224" s="36">
        <v>0</v>
      </c>
    </row>
    <row r="2225" spans="1:3" x14ac:dyDescent="0.25">
      <c r="A2225" s="46" t="s">
        <v>3457</v>
      </c>
      <c r="B2225" s="35">
        <v>0.52294558286666804</v>
      </c>
      <c r="C2225" s="36">
        <v>0.39</v>
      </c>
    </row>
    <row r="2226" spans="1:3" x14ac:dyDescent="0.25">
      <c r="A2226" s="46" t="s">
        <v>3458</v>
      </c>
      <c r="B2226" s="35">
        <v>0.63205415010452204</v>
      </c>
      <c r="C2226" s="36">
        <v>0</v>
      </c>
    </row>
    <row r="2227" spans="1:3" x14ac:dyDescent="0.25">
      <c r="A2227" s="46" t="s">
        <v>3459</v>
      </c>
      <c r="B2227" s="35">
        <v>0.64088398218154896</v>
      </c>
      <c r="C2227" s="36">
        <v>0</v>
      </c>
    </row>
    <row r="2228" spans="1:3" x14ac:dyDescent="0.25">
      <c r="A2228" s="46" t="s">
        <v>3460</v>
      </c>
      <c r="B2228" s="35">
        <v>0.36652541160583402</v>
      </c>
      <c r="C2228" s="36">
        <v>0.37</v>
      </c>
    </row>
    <row r="2229" spans="1:3" x14ac:dyDescent="0.25">
      <c r="A2229" s="46" t="s">
        <v>1227</v>
      </c>
      <c r="B2229" s="35">
        <v>0.60000002384185702</v>
      </c>
      <c r="C2229" s="36">
        <v>0.59</v>
      </c>
    </row>
    <row r="2230" spans="1:3" x14ac:dyDescent="0.25">
      <c r="A2230" s="46" t="s">
        <v>3461</v>
      </c>
      <c r="B2230" s="35">
        <v>0.642045438289642</v>
      </c>
      <c r="C2230" s="36">
        <v>0.53</v>
      </c>
    </row>
    <row r="2231" spans="1:3" x14ac:dyDescent="0.25">
      <c r="A2231" s="46" t="s">
        <v>3462</v>
      </c>
      <c r="B2231" s="35">
        <v>0.49707603454589799</v>
      </c>
      <c r="C2231" s="36">
        <v>0.56000000000000005</v>
      </c>
    </row>
    <row r="2232" spans="1:3" x14ac:dyDescent="0.25">
      <c r="A2232" s="46" t="s">
        <v>3463</v>
      </c>
      <c r="B2232" s="35">
        <v>0.48784193396568298</v>
      </c>
      <c r="C2232" s="36">
        <v>0.41</v>
      </c>
    </row>
    <row r="2233" spans="1:3" x14ac:dyDescent="0.25">
      <c r="A2233" s="46" t="s">
        <v>1231</v>
      </c>
      <c r="B2233" s="35">
        <v>0.61596012115478505</v>
      </c>
      <c r="C2233" s="36">
        <v>0.46</v>
      </c>
    </row>
    <row r="2234" spans="1:3" x14ac:dyDescent="0.25">
      <c r="A2234" s="46" t="s">
        <v>1233</v>
      </c>
      <c r="B2234" s="35">
        <v>0.600566565990448</v>
      </c>
      <c r="C2234" s="36">
        <v>0.43</v>
      </c>
    </row>
    <row r="2235" spans="1:3" x14ac:dyDescent="0.25">
      <c r="A2235" s="46" t="s">
        <v>3464</v>
      </c>
      <c r="B2235" s="35">
        <v>0.60243904590606601</v>
      </c>
      <c r="C2235" s="36">
        <v>0.49</v>
      </c>
    </row>
    <row r="2236" spans="1:3" x14ac:dyDescent="0.25">
      <c r="A2236" s="46" t="s">
        <v>3465</v>
      </c>
      <c r="B2236" s="35">
        <v>0.63661974668502797</v>
      </c>
      <c r="C2236" s="36">
        <v>0.47</v>
      </c>
    </row>
    <row r="2237" spans="1:3" x14ac:dyDescent="0.25">
      <c r="A2237" s="46" t="s">
        <v>3466</v>
      </c>
      <c r="B2237" s="35">
        <v>0.649425268173217</v>
      </c>
      <c r="C2237" s="36">
        <v>0.55000000000000004</v>
      </c>
    </row>
    <row r="2238" spans="1:3" x14ac:dyDescent="0.25">
      <c r="A2238" s="46" t="s">
        <v>1235</v>
      </c>
      <c r="B2238" s="35">
        <v>0.57266813516616799</v>
      </c>
      <c r="C2238" s="36">
        <v>0.48</v>
      </c>
    </row>
    <row r="2239" spans="1:3" x14ac:dyDescent="0.25">
      <c r="A2239" s="46" t="s">
        <v>952</v>
      </c>
      <c r="B2239" s="35">
        <v>0.56460672616958596</v>
      </c>
      <c r="C2239" s="36">
        <v>0.57999999999999996</v>
      </c>
    </row>
    <row r="2240" spans="1:3" x14ac:dyDescent="0.25">
      <c r="A2240" s="46" t="s">
        <v>3467</v>
      </c>
      <c r="B2240" s="35">
        <v>0.599320888519287</v>
      </c>
      <c r="C2240" s="36">
        <v>0.6</v>
      </c>
    </row>
    <row r="2241" spans="1:3" x14ac:dyDescent="0.25">
      <c r="A2241" s="46" t="s">
        <v>3468</v>
      </c>
      <c r="B2241" s="35">
        <v>0.42574256658553999</v>
      </c>
      <c r="C2241" s="36">
        <v>0.46</v>
      </c>
    </row>
    <row r="2242" spans="1:3" x14ac:dyDescent="0.25">
      <c r="A2242" s="46" t="s">
        <v>3469</v>
      </c>
      <c r="B2242" s="35">
        <v>0.59956711530685403</v>
      </c>
      <c r="C2242" s="36">
        <v>0.56999999999999995</v>
      </c>
    </row>
    <row r="2243" spans="1:3" x14ac:dyDescent="0.25">
      <c r="A2243" s="46" t="s">
        <v>3470</v>
      </c>
      <c r="B2243" s="35">
        <v>0.44117647409438998</v>
      </c>
      <c r="C2243" s="36">
        <v>0.24</v>
      </c>
    </row>
    <row r="2244" spans="1:3" x14ac:dyDescent="0.25">
      <c r="A2244" s="46" t="s">
        <v>3471</v>
      </c>
      <c r="B2244" s="35">
        <v>0.492236018180847</v>
      </c>
      <c r="C2244" s="36">
        <v>0.46</v>
      </c>
    </row>
    <row r="2245" spans="1:3" x14ac:dyDescent="0.25">
      <c r="A2245" s="46" t="s">
        <v>3472</v>
      </c>
      <c r="B2245" s="35">
        <v>0.55234658718109098</v>
      </c>
      <c r="C2245" s="36">
        <v>0.49</v>
      </c>
    </row>
    <row r="2246" spans="1:3" x14ac:dyDescent="0.25">
      <c r="A2246" s="46" t="s">
        <v>3473</v>
      </c>
      <c r="B2246" s="35">
        <v>0.65891474485397294</v>
      </c>
      <c r="C2246" s="36">
        <v>0.43</v>
      </c>
    </row>
    <row r="2247" spans="1:3" x14ac:dyDescent="0.25">
      <c r="A2247" s="46" t="s">
        <v>3474</v>
      </c>
      <c r="B2247" s="35">
        <v>0.48522168397903398</v>
      </c>
      <c r="C2247" s="36">
        <v>0.45</v>
      </c>
    </row>
    <row r="2248" spans="1:3" x14ac:dyDescent="0.25">
      <c r="A2248" s="46" t="s">
        <v>3475</v>
      </c>
      <c r="B2248" s="35">
        <v>0.49466192722320501</v>
      </c>
      <c r="C2248" s="36">
        <v>0.34</v>
      </c>
    </row>
    <row r="2249" spans="1:3" x14ac:dyDescent="0.25">
      <c r="A2249" s="46" t="s">
        <v>3476</v>
      </c>
      <c r="B2249" s="35">
        <v>0.59338313341140703</v>
      </c>
      <c r="C2249" s="36">
        <v>0.51</v>
      </c>
    </row>
    <row r="2250" spans="1:3" x14ac:dyDescent="0.25">
      <c r="A2250" s="46" t="s">
        <v>3477</v>
      </c>
      <c r="B2250" s="35">
        <v>0.74285715818405096</v>
      </c>
      <c r="C2250" s="36">
        <v>0.38</v>
      </c>
    </row>
    <row r="2251" spans="1:3" x14ac:dyDescent="0.25">
      <c r="A2251" s="46" t="s">
        <v>3478</v>
      </c>
      <c r="B2251" s="35">
        <v>0.53703701496124201</v>
      </c>
      <c r="C2251" s="36">
        <v>0.22</v>
      </c>
    </row>
    <row r="2252" spans="1:3" x14ac:dyDescent="0.25">
      <c r="A2252" s="46" t="s">
        <v>3479</v>
      </c>
      <c r="B2252" s="35">
        <v>0.53296703100204401</v>
      </c>
      <c r="C2252" s="36">
        <v>0.48</v>
      </c>
    </row>
    <row r="2253" spans="1:3" x14ac:dyDescent="0.25">
      <c r="A2253" s="46" t="s">
        <v>3480</v>
      </c>
      <c r="B2253" s="35">
        <v>0.52032518386840798</v>
      </c>
      <c r="C2253" s="36">
        <v>0.39</v>
      </c>
    </row>
    <row r="2254" spans="1:3" x14ac:dyDescent="0.25">
      <c r="A2254" s="46" t="s">
        <v>3481</v>
      </c>
      <c r="B2254" s="35">
        <v>0.53296703100204401</v>
      </c>
      <c r="C2254" s="36">
        <v>0.42</v>
      </c>
    </row>
    <row r="2255" spans="1:3" x14ac:dyDescent="0.25">
      <c r="A2255" s="46" t="s">
        <v>3482</v>
      </c>
      <c r="B2255" s="35">
        <v>0.48335745930671598</v>
      </c>
      <c r="C2255" s="36">
        <v>0.5</v>
      </c>
    </row>
    <row r="2256" spans="1:3" x14ac:dyDescent="0.25">
      <c r="A2256" s="46" t="s">
        <v>3483</v>
      </c>
      <c r="B2256" s="35">
        <v>0.68044078350067105</v>
      </c>
      <c r="C2256" s="36">
        <v>0.38</v>
      </c>
    </row>
    <row r="2257" spans="1:3" x14ac:dyDescent="0.25">
      <c r="A2257" s="46" t="s">
        <v>3484</v>
      </c>
      <c r="B2257" s="35">
        <v>0.39007091522216703</v>
      </c>
      <c r="C2257" s="36">
        <v>0.49</v>
      </c>
    </row>
    <row r="2258" spans="1:3" x14ac:dyDescent="0.25">
      <c r="A2258" s="46" t="s">
        <v>3485</v>
      </c>
      <c r="B2258" s="35">
        <v>0.52577316761016801</v>
      </c>
      <c r="C2258" s="36">
        <v>0.38</v>
      </c>
    </row>
    <row r="2259" spans="1:3" x14ac:dyDescent="0.25">
      <c r="A2259" s="46" t="s">
        <v>3486</v>
      </c>
      <c r="B2259" s="35">
        <v>0.480569958686828</v>
      </c>
      <c r="C2259" s="36">
        <v>0.45</v>
      </c>
    </row>
    <row r="2260" spans="1:3" x14ac:dyDescent="0.25">
      <c r="A2260" s="46" t="s">
        <v>3487</v>
      </c>
      <c r="B2260" s="35">
        <v>0.43370786309242199</v>
      </c>
      <c r="C2260" s="36">
        <v>0.31</v>
      </c>
    </row>
    <row r="2261" spans="1:3" x14ac:dyDescent="0.25">
      <c r="A2261" s="46" t="s">
        <v>3488</v>
      </c>
      <c r="B2261" s="35">
        <v>0.73568284511566095</v>
      </c>
      <c r="C2261" s="36">
        <v>0.51</v>
      </c>
    </row>
    <row r="2262" spans="1:3" x14ac:dyDescent="0.25">
      <c r="A2262" s="46" t="s">
        <v>3489</v>
      </c>
      <c r="B2262" s="35">
        <v>0.60629922151565496</v>
      </c>
      <c r="C2262" s="36">
        <v>0.56999999999999995</v>
      </c>
    </row>
    <row r="2263" spans="1:3" x14ac:dyDescent="0.25">
      <c r="A2263" s="46" t="s">
        <v>3490</v>
      </c>
      <c r="B2263" s="35">
        <v>0.65714287757873502</v>
      </c>
      <c r="C2263" s="36">
        <v>0.5</v>
      </c>
    </row>
    <row r="2264" spans="1:3" x14ac:dyDescent="0.25">
      <c r="A2264" s="46" t="s">
        <v>3491</v>
      </c>
      <c r="B2264" s="35">
        <v>0.40123456716537398</v>
      </c>
      <c r="C2264" s="36">
        <v>0.41</v>
      </c>
    </row>
    <row r="2265" spans="1:3" x14ac:dyDescent="0.25">
      <c r="A2265" s="46" t="s">
        <v>3492</v>
      </c>
      <c r="B2265" s="35">
        <v>0.52351737022399902</v>
      </c>
      <c r="C2265" s="36">
        <v>0.4</v>
      </c>
    </row>
    <row r="2266" spans="1:3" x14ac:dyDescent="0.25">
      <c r="A2266" s="46" t="s">
        <v>3493</v>
      </c>
      <c r="B2266" s="35">
        <v>0.91131496429443304</v>
      </c>
      <c r="C2266" s="36">
        <v>0.1</v>
      </c>
    </row>
    <row r="2267" spans="1:3" x14ac:dyDescent="0.25">
      <c r="A2267" s="46" t="s">
        <v>1239</v>
      </c>
      <c r="B2267" s="35">
        <v>0.59212601184844904</v>
      </c>
      <c r="C2267" s="36">
        <v>0.14000000000000001</v>
      </c>
    </row>
    <row r="2268" spans="1:3" x14ac:dyDescent="0.25">
      <c r="A2268" s="46" t="s">
        <v>3494</v>
      </c>
      <c r="B2268" s="35">
        <v>0.63914370536804199</v>
      </c>
      <c r="C2268" s="36">
        <v>0.18</v>
      </c>
    </row>
    <row r="2269" spans="1:3" x14ac:dyDescent="0.25">
      <c r="A2269" s="46" t="s">
        <v>3495</v>
      </c>
      <c r="B2269" s="35">
        <v>0.49169436097144997</v>
      </c>
      <c r="C2269" s="36">
        <v>0.44</v>
      </c>
    </row>
    <row r="2270" spans="1:3" x14ac:dyDescent="0.25">
      <c r="A2270" s="46" t="s">
        <v>3496</v>
      </c>
      <c r="B2270" s="35">
        <v>0.59307360649108798</v>
      </c>
      <c r="C2270" s="36">
        <v>0.21</v>
      </c>
    </row>
    <row r="2271" spans="1:3" x14ac:dyDescent="0.25">
      <c r="A2271" s="46" t="s">
        <v>3497</v>
      </c>
      <c r="B2271" s="35">
        <v>0.58298754692077603</v>
      </c>
      <c r="C2271" s="36">
        <v>0.14000000000000001</v>
      </c>
    </row>
    <row r="2272" spans="1:3" x14ac:dyDescent="0.25">
      <c r="A2272" s="46" t="s">
        <v>3498</v>
      </c>
      <c r="B2272" s="35">
        <v>0.60627180337905795</v>
      </c>
      <c r="C2272" s="36">
        <v>0.16</v>
      </c>
    </row>
    <row r="2273" spans="1:3" x14ac:dyDescent="0.25">
      <c r="A2273" s="46" t="s">
        <v>3499</v>
      </c>
      <c r="B2273" s="35">
        <v>0.61899441480636597</v>
      </c>
      <c r="C2273" s="36">
        <v>0.16</v>
      </c>
    </row>
    <row r="2274" spans="1:3" x14ac:dyDescent="0.25">
      <c r="A2274" s="46" t="s">
        <v>3500</v>
      </c>
      <c r="B2274" s="35">
        <v>0.58420270681381203</v>
      </c>
      <c r="C2274" s="36">
        <v>0.35</v>
      </c>
    </row>
    <row r="2275" spans="1:3" x14ac:dyDescent="0.25">
      <c r="A2275" s="46" t="s">
        <v>3501</v>
      </c>
      <c r="B2275" s="35">
        <v>0.47517731785774198</v>
      </c>
      <c r="C2275" s="36">
        <v>0.44</v>
      </c>
    </row>
    <row r="2276" spans="1:3" x14ac:dyDescent="0.25">
      <c r="A2276" s="46" t="s">
        <v>3502</v>
      </c>
      <c r="B2276" s="35">
        <v>0.52321982383728005</v>
      </c>
      <c r="C2276" s="36">
        <v>0.06</v>
      </c>
    </row>
    <row r="2277" spans="1:3" x14ac:dyDescent="0.25">
      <c r="A2277" s="46" t="s">
        <v>3503</v>
      </c>
      <c r="B2277" s="35">
        <v>0.62126243114471402</v>
      </c>
      <c r="C2277" s="36">
        <v>0.14000000000000001</v>
      </c>
    </row>
    <row r="2278" spans="1:3" x14ac:dyDescent="0.25">
      <c r="A2278" s="46" t="s">
        <v>3504</v>
      </c>
      <c r="B2278" s="35">
        <v>0.63122171163558904</v>
      </c>
      <c r="C2278" s="36">
        <v>0</v>
      </c>
    </row>
    <row r="2279" spans="1:3" x14ac:dyDescent="0.25">
      <c r="A2279" s="46" t="s">
        <v>3505</v>
      </c>
      <c r="B2279" s="35">
        <v>0.772727251052856</v>
      </c>
      <c r="C2279" s="36">
        <v>0.05</v>
      </c>
    </row>
    <row r="2280" spans="1:3" x14ac:dyDescent="0.25">
      <c r="A2280" s="46" t="s">
        <v>3506</v>
      </c>
      <c r="B2280" s="35">
        <v>0.66784453392028797</v>
      </c>
      <c r="C2280" s="36">
        <v>0.03</v>
      </c>
    </row>
    <row r="2281" spans="1:3" x14ac:dyDescent="0.25">
      <c r="A2281" s="46" t="s">
        <v>3507</v>
      </c>
      <c r="B2281" s="35">
        <v>0.65333330631256104</v>
      </c>
      <c r="C2281" s="36">
        <v>0.28000000000000003</v>
      </c>
    </row>
    <row r="2282" spans="1:3" x14ac:dyDescent="0.25">
      <c r="A2282" s="46" t="s">
        <v>3508</v>
      </c>
      <c r="B2282" s="35">
        <v>0.84810125827789296</v>
      </c>
      <c r="C2282" s="36">
        <v>0.15</v>
      </c>
    </row>
    <row r="2283" spans="1:3" x14ac:dyDescent="0.25">
      <c r="A2283" s="46" t="s">
        <v>3509</v>
      </c>
      <c r="B2283" s="35">
        <v>0.54228854179382302</v>
      </c>
      <c r="C2283" s="36">
        <v>0.27</v>
      </c>
    </row>
    <row r="2284" spans="1:3" x14ac:dyDescent="0.25">
      <c r="A2284" s="46" t="s">
        <v>3510</v>
      </c>
      <c r="B2284" s="35">
        <v>0.53069305419921797</v>
      </c>
      <c r="C2284" s="36">
        <v>0.18</v>
      </c>
    </row>
    <row r="2285" spans="1:3" x14ac:dyDescent="0.25">
      <c r="A2285" s="46" t="s">
        <v>3511</v>
      </c>
      <c r="B2285" s="35">
        <v>0.45720985531806901</v>
      </c>
      <c r="C2285" s="36">
        <v>0.08</v>
      </c>
    </row>
    <row r="2286" spans="1:3" x14ac:dyDescent="0.25">
      <c r="A2286" s="46" t="s">
        <v>3512</v>
      </c>
      <c r="B2286" s="35">
        <v>0.96410888433456399</v>
      </c>
      <c r="C2286" s="36">
        <v>0.2</v>
      </c>
    </row>
    <row r="2287" spans="1:3" x14ac:dyDescent="0.25">
      <c r="A2287" s="46" t="s">
        <v>3513</v>
      </c>
      <c r="B2287" s="35">
        <v>0.96534651517867998</v>
      </c>
      <c r="C2287" s="36">
        <v>0.19</v>
      </c>
    </row>
    <row r="2288" spans="1:3" x14ac:dyDescent="0.25">
      <c r="A2288" s="46" t="s">
        <v>3514</v>
      </c>
      <c r="B2288" s="35">
        <v>0.50155764818191495</v>
      </c>
      <c r="C2288" s="36">
        <v>0.13</v>
      </c>
    </row>
    <row r="2289" spans="1:3" x14ac:dyDescent="0.25">
      <c r="A2289" s="46" t="s">
        <v>3515</v>
      </c>
      <c r="B2289" s="35">
        <v>0.46394982933998102</v>
      </c>
      <c r="C2289" s="36">
        <v>0.05</v>
      </c>
    </row>
    <row r="2290" spans="1:3" x14ac:dyDescent="0.25">
      <c r="A2290" s="46" t="s">
        <v>3516</v>
      </c>
      <c r="B2290" s="35">
        <v>0.96410888433456399</v>
      </c>
      <c r="C2290" s="36">
        <v>0.19</v>
      </c>
    </row>
    <row r="2291" spans="1:3" x14ac:dyDescent="0.25">
      <c r="A2291" s="46" t="s">
        <v>3517</v>
      </c>
      <c r="B2291" s="35">
        <v>0.532695353031158</v>
      </c>
      <c r="C2291" s="36">
        <v>0.38</v>
      </c>
    </row>
    <row r="2292" spans="1:3" x14ac:dyDescent="0.25">
      <c r="A2292" s="46" t="s">
        <v>3518</v>
      </c>
      <c r="B2292" s="35">
        <v>0.90681004524230902</v>
      </c>
      <c r="C2292" s="36">
        <v>0.21</v>
      </c>
    </row>
    <row r="2293" spans="1:3" x14ac:dyDescent="0.25">
      <c r="A2293" s="46" t="s">
        <v>3519</v>
      </c>
      <c r="B2293" s="35">
        <v>0.45806452631950301</v>
      </c>
      <c r="C2293" s="36">
        <v>0.08</v>
      </c>
    </row>
    <row r="2294" spans="1:3" x14ac:dyDescent="0.25">
      <c r="A2294" s="46" t="s">
        <v>3520</v>
      </c>
      <c r="B2294" s="35">
        <v>0.45806452631950301</v>
      </c>
      <c r="C2294" s="36">
        <v>0.06</v>
      </c>
    </row>
    <row r="2295" spans="1:3" x14ac:dyDescent="0.25">
      <c r="A2295" s="46" t="s">
        <v>3521</v>
      </c>
      <c r="B2295" s="35">
        <v>0.58541667461395197</v>
      </c>
      <c r="C2295" s="36">
        <v>0.08</v>
      </c>
    </row>
    <row r="2296" spans="1:3" x14ac:dyDescent="0.25">
      <c r="A2296" s="46" t="s">
        <v>3522</v>
      </c>
      <c r="B2296" s="35">
        <v>0.76981133222579901</v>
      </c>
      <c r="C2296" s="36">
        <v>0</v>
      </c>
    </row>
    <row r="2297" spans="1:3" x14ac:dyDescent="0.25">
      <c r="A2297" s="46" t="s">
        <v>3523</v>
      </c>
      <c r="B2297" s="35">
        <v>0.62773722410202004</v>
      </c>
      <c r="C2297" s="36">
        <v>7.0000000000000007E-2</v>
      </c>
    </row>
    <row r="2298" spans="1:3" x14ac:dyDescent="0.25">
      <c r="A2298" s="46" t="s">
        <v>3524</v>
      </c>
      <c r="B2298" s="35">
        <v>0.60859727859497004</v>
      </c>
      <c r="C2298" s="36">
        <v>0.09</v>
      </c>
    </row>
    <row r="2299" spans="1:3" x14ac:dyDescent="0.25">
      <c r="A2299" s="46" t="s">
        <v>3525</v>
      </c>
      <c r="B2299" s="35">
        <v>0.59177213907241799</v>
      </c>
      <c r="C2299" s="36">
        <v>0.17</v>
      </c>
    </row>
    <row r="2300" spans="1:3" x14ac:dyDescent="0.25">
      <c r="A2300" s="46" t="s">
        <v>3526</v>
      </c>
      <c r="B2300" s="35">
        <v>0.61159420013427701</v>
      </c>
      <c r="C2300" s="36">
        <v>0.13</v>
      </c>
    </row>
    <row r="2301" spans="1:3" x14ac:dyDescent="0.25">
      <c r="A2301" s="46" t="s">
        <v>3527</v>
      </c>
      <c r="B2301" s="35">
        <v>0.57716047763824396</v>
      </c>
      <c r="C2301" s="36">
        <v>0</v>
      </c>
    </row>
    <row r="2302" spans="1:3" x14ac:dyDescent="0.25">
      <c r="A2302" s="46" t="s">
        <v>3528</v>
      </c>
      <c r="B2302" s="35">
        <v>0.57716047763824396</v>
      </c>
      <c r="C2302" s="36">
        <v>0</v>
      </c>
    </row>
    <row r="2303" spans="1:3" x14ac:dyDescent="0.25">
      <c r="A2303" s="46" t="s">
        <v>3529</v>
      </c>
      <c r="B2303" s="35">
        <v>0.56325298547744695</v>
      </c>
      <c r="C2303" s="36">
        <v>0</v>
      </c>
    </row>
    <row r="2304" spans="1:3" x14ac:dyDescent="0.25">
      <c r="A2304" s="46" t="s">
        <v>3530</v>
      </c>
      <c r="B2304" s="35">
        <v>0.56325298547744695</v>
      </c>
      <c r="C2304" s="36">
        <v>0</v>
      </c>
    </row>
    <row r="2305" spans="1:3" x14ac:dyDescent="0.25">
      <c r="A2305" s="46" t="s">
        <v>3531</v>
      </c>
      <c r="B2305" s="35">
        <v>0.53954803943634</v>
      </c>
      <c r="C2305" s="36">
        <v>0</v>
      </c>
    </row>
    <row r="2306" spans="1:3" x14ac:dyDescent="0.25">
      <c r="A2306" s="46" t="s">
        <v>3532</v>
      </c>
      <c r="B2306" s="35">
        <v>0.50512820482253995</v>
      </c>
      <c r="C2306" s="36">
        <v>0.18</v>
      </c>
    </row>
    <row r="2307" spans="1:3" x14ac:dyDescent="0.25">
      <c r="A2307" s="46" t="s">
        <v>3533</v>
      </c>
      <c r="B2307" s="35">
        <v>0.59063136577606201</v>
      </c>
      <c r="C2307" s="36">
        <v>0.26</v>
      </c>
    </row>
    <row r="2308" spans="1:3" x14ac:dyDescent="0.25">
      <c r="A2308" s="46" t="s">
        <v>3534</v>
      </c>
      <c r="B2308" s="35">
        <v>0.60752689838409402</v>
      </c>
      <c r="C2308" s="36">
        <v>0.25</v>
      </c>
    </row>
    <row r="2309" spans="1:3" x14ac:dyDescent="0.25">
      <c r="A2309" s="46" t="s">
        <v>3535</v>
      </c>
      <c r="B2309" s="35">
        <v>0.91007196903228704</v>
      </c>
      <c r="C2309" s="36">
        <v>0.19</v>
      </c>
    </row>
    <row r="2310" spans="1:3" x14ac:dyDescent="0.25">
      <c r="A2310" s="46" t="s">
        <v>3536</v>
      </c>
      <c r="B2310" s="35">
        <v>0.90681004524230902</v>
      </c>
      <c r="C2310" s="36">
        <v>0.19</v>
      </c>
    </row>
    <row r="2311" spans="1:3" x14ac:dyDescent="0.25">
      <c r="A2311" s="46" t="s">
        <v>3537</v>
      </c>
      <c r="B2311" s="35">
        <v>0.89084506034850997</v>
      </c>
      <c r="C2311" s="36">
        <v>0.19</v>
      </c>
    </row>
    <row r="2312" spans="1:3" x14ac:dyDescent="0.25">
      <c r="A2312" s="46" t="s">
        <v>3538</v>
      </c>
      <c r="B2312" s="35">
        <v>0.84615385532379095</v>
      </c>
      <c r="C2312" s="36">
        <v>0.16</v>
      </c>
    </row>
    <row r="2313" spans="1:3" x14ac:dyDescent="0.25">
      <c r="A2313" s="46" t="s">
        <v>3539</v>
      </c>
      <c r="B2313" s="35">
        <v>0.55093258619308405</v>
      </c>
      <c r="C2313" s="36">
        <v>0.06</v>
      </c>
    </row>
    <row r="2314" spans="1:3" x14ac:dyDescent="0.25">
      <c r="A2314" s="46" t="s">
        <v>3540</v>
      </c>
      <c r="B2314" s="35">
        <v>0.65333330631256104</v>
      </c>
      <c r="C2314" s="36">
        <v>0.27</v>
      </c>
    </row>
    <row r="2315" spans="1:3" x14ac:dyDescent="0.25">
      <c r="A2315" s="46" t="s">
        <v>3541</v>
      </c>
      <c r="B2315" s="35">
        <v>0.63657408952713002</v>
      </c>
      <c r="C2315" s="36">
        <v>0.08</v>
      </c>
    </row>
    <row r="2316" spans="1:3" x14ac:dyDescent="0.25">
      <c r="A2316" s="46" t="s">
        <v>3542</v>
      </c>
      <c r="B2316" s="35">
        <v>0.55792683362960804</v>
      </c>
      <c r="C2316" s="36">
        <v>0.26</v>
      </c>
    </row>
    <row r="2317" spans="1:3" x14ac:dyDescent="0.25">
      <c r="A2317" s="46" t="s">
        <v>3543</v>
      </c>
      <c r="B2317" s="35">
        <v>0.60892391204833896</v>
      </c>
      <c r="C2317" s="36">
        <v>0.34</v>
      </c>
    </row>
    <row r="2318" spans="1:3" x14ac:dyDescent="0.25">
      <c r="A2318" s="46" t="s">
        <v>3544</v>
      </c>
      <c r="B2318" s="35">
        <v>0.47902098298072798</v>
      </c>
      <c r="C2318" s="36">
        <v>0.03</v>
      </c>
    </row>
    <row r="2319" spans="1:3" x14ac:dyDescent="0.25">
      <c r="A2319" s="46" t="s">
        <v>3545</v>
      </c>
      <c r="B2319" s="35">
        <v>0.65281176567077603</v>
      </c>
      <c r="C2319" s="36">
        <v>0.21</v>
      </c>
    </row>
    <row r="2320" spans="1:3" x14ac:dyDescent="0.25">
      <c r="A2320" s="46" t="s">
        <v>3546</v>
      </c>
      <c r="B2320" s="35">
        <v>0.49810844659805298</v>
      </c>
      <c r="C2320" s="36">
        <v>0.21</v>
      </c>
    </row>
    <row r="2321" spans="1:3" x14ac:dyDescent="0.25">
      <c r="A2321" s="46" t="s">
        <v>3547</v>
      </c>
      <c r="B2321" s="35">
        <v>0.59006214141845703</v>
      </c>
      <c r="C2321" s="36">
        <v>0.03</v>
      </c>
    </row>
    <row r="2322" spans="1:3" x14ac:dyDescent="0.25">
      <c r="A2322" s="46" t="s">
        <v>3548</v>
      </c>
      <c r="B2322" s="35">
        <v>0.48735243082046498</v>
      </c>
      <c r="C2322" s="36">
        <v>0.04</v>
      </c>
    </row>
    <row r="2323" spans="1:3" x14ac:dyDescent="0.25">
      <c r="A2323" s="46" t="s">
        <v>3549</v>
      </c>
      <c r="B2323" s="35">
        <v>0.50913244485855103</v>
      </c>
      <c r="C2323" s="36">
        <v>0.28000000000000003</v>
      </c>
    </row>
    <row r="2324" spans="1:3" x14ac:dyDescent="0.25">
      <c r="A2324" s="46" t="s">
        <v>976</v>
      </c>
      <c r="B2324" s="35">
        <v>0.54521965980529696</v>
      </c>
      <c r="C2324" s="36">
        <v>0.36</v>
      </c>
    </row>
    <row r="2325" spans="1:3" x14ac:dyDescent="0.25">
      <c r="A2325" s="46" t="s">
        <v>3550</v>
      </c>
      <c r="B2325" s="35">
        <v>0.60751563310623102</v>
      </c>
      <c r="C2325" s="36">
        <v>0.03</v>
      </c>
    </row>
    <row r="2326" spans="1:3" x14ac:dyDescent="0.25">
      <c r="A2326" s="46" t="s">
        <v>1241</v>
      </c>
      <c r="B2326" s="35">
        <v>0.45372051000594998</v>
      </c>
      <c r="C2326" s="36">
        <v>0.33</v>
      </c>
    </row>
    <row r="2327" spans="1:3" x14ac:dyDescent="0.25">
      <c r="A2327" s="46" t="s">
        <v>3551</v>
      </c>
      <c r="B2327" s="35">
        <v>0.808463275432586</v>
      </c>
      <c r="C2327" s="36">
        <v>0.53</v>
      </c>
    </row>
    <row r="2328" spans="1:3" x14ac:dyDescent="0.25">
      <c r="A2328" s="46" t="s">
        <v>1243</v>
      </c>
      <c r="B2328" s="35">
        <v>0.55802470445632901</v>
      </c>
      <c r="C2328" s="36">
        <v>0.43</v>
      </c>
    </row>
    <row r="2329" spans="1:3" x14ac:dyDescent="0.25">
      <c r="A2329" s="46" t="s">
        <v>3552</v>
      </c>
      <c r="B2329" s="35">
        <v>0.54227405786514205</v>
      </c>
      <c r="C2329" s="36">
        <v>0.09</v>
      </c>
    </row>
    <row r="2330" spans="1:3" x14ac:dyDescent="0.25">
      <c r="A2330" s="46" t="s">
        <v>1245</v>
      </c>
      <c r="B2330" s="35">
        <v>0.58774375915527299</v>
      </c>
      <c r="C2330" s="36">
        <v>0.42</v>
      </c>
    </row>
    <row r="2331" spans="1:3" x14ac:dyDescent="0.25">
      <c r="A2331" s="46" t="s">
        <v>3553</v>
      </c>
      <c r="B2331" s="35">
        <v>0.54227405786514205</v>
      </c>
      <c r="C2331" s="36">
        <v>0.19</v>
      </c>
    </row>
    <row r="2332" spans="1:3" x14ac:dyDescent="0.25">
      <c r="A2332" s="46" t="s">
        <v>3554</v>
      </c>
      <c r="B2332" s="35">
        <v>0.62014693021774203</v>
      </c>
      <c r="C2332" s="36">
        <v>0.14000000000000001</v>
      </c>
    </row>
    <row r="2333" spans="1:3" x14ac:dyDescent="0.25">
      <c r="A2333" s="46" t="s">
        <v>932</v>
      </c>
      <c r="B2333" s="35">
        <v>0.55381166934966997</v>
      </c>
      <c r="C2333" s="36">
        <v>0.38</v>
      </c>
    </row>
    <row r="2334" spans="1:3" x14ac:dyDescent="0.25">
      <c r="A2334" s="46" t="s">
        <v>3555</v>
      </c>
      <c r="B2334" s="35">
        <v>0.49545454978942799</v>
      </c>
      <c r="C2334" s="36">
        <v>0.27</v>
      </c>
    </row>
    <row r="2335" spans="1:3" x14ac:dyDescent="0.25">
      <c r="A2335" s="46" t="s">
        <v>3556</v>
      </c>
      <c r="B2335" s="35">
        <v>0.66597938537597601</v>
      </c>
      <c r="C2335" s="36">
        <v>0.08</v>
      </c>
    </row>
    <row r="2336" spans="1:3" x14ac:dyDescent="0.25">
      <c r="A2336" s="46" t="s">
        <v>3557</v>
      </c>
      <c r="B2336" s="35">
        <v>0.46330776810646002</v>
      </c>
      <c r="C2336" s="36">
        <v>0.37</v>
      </c>
    </row>
    <row r="2337" spans="1:3" x14ac:dyDescent="0.25">
      <c r="A2337" s="46" t="s">
        <v>3558</v>
      </c>
      <c r="B2337" s="35">
        <v>0.712871313095092</v>
      </c>
      <c r="C2337" s="36">
        <v>0.24</v>
      </c>
    </row>
    <row r="2338" spans="1:3" x14ac:dyDescent="0.25">
      <c r="A2338" s="46" t="s">
        <v>3559</v>
      </c>
      <c r="B2338" s="35">
        <v>0.45925927162170399</v>
      </c>
      <c r="C2338" s="36">
        <v>0.09</v>
      </c>
    </row>
    <row r="2339" spans="1:3" x14ac:dyDescent="0.25">
      <c r="A2339" s="46" t="s">
        <v>3560</v>
      </c>
      <c r="B2339" s="35">
        <v>0.66086953878402699</v>
      </c>
      <c r="C2339" s="36">
        <v>0.15</v>
      </c>
    </row>
    <row r="2340" spans="1:3" x14ac:dyDescent="0.25">
      <c r="A2340" s="46" t="s">
        <v>1247</v>
      </c>
      <c r="B2340" s="35">
        <v>0.58549225330352705</v>
      </c>
      <c r="C2340" s="36">
        <v>0.39</v>
      </c>
    </row>
    <row r="2341" spans="1:3" x14ac:dyDescent="0.25">
      <c r="A2341" s="46" t="s">
        <v>960</v>
      </c>
      <c r="B2341" s="35">
        <v>0.54098361730575495</v>
      </c>
      <c r="C2341" s="36">
        <v>0.37</v>
      </c>
    </row>
    <row r="2342" spans="1:3" x14ac:dyDescent="0.25">
      <c r="A2342" s="46" t="s">
        <v>3561</v>
      </c>
      <c r="B2342" s="35">
        <v>0.57719296216964699</v>
      </c>
      <c r="C2342" s="36">
        <v>0.26</v>
      </c>
    </row>
    <row r="2343" spans="1:3" x14ac:dyDescent="0.25">
      <c r="A2343" s="46" t="s">
        <v>3562</v>
      </c>
      <c r="B2343" s="35">
        <v>0.61990952491760198</v>
      </c>
      <c r="C2343" s="36">
        <v>0.05</v>
      </c>
    </row>
    <row r="2344" spans="1:3" x14ac:dyDescent="0.25">
      <c r="A2344" s="46" t="s">
        <v>3563</v>
      </c>
      <c r="B2344" s="35">
        <v>0.57369613647460904</v>
      </c>
      <c r="C2344" s="36">
        <v>0</v>
      </c>
    </row>
    <row r="2345" spans="1:3" x14ac:dyDescent="0.25">
      <c r="A2345" s="46" t="s">
        <v>3564</v>
      </c>
      <c r="B2345" s="35">
        <v>0.96226418018340998</v>
      </c>
      <c r="C2345" s="36">
        <v>0.27</v>
      </c>
    </row>
    <row r="2346" spans="1:3" x14ac:dyDescent="0.25">
      <c r="A2346" s="46" t="s">
        <v>3565</v>
      </c>
      <c r="B2346" s="35">
        <v>0.69158875942230202</v>
      </c>
      <c r="C2346" s="36">
        <v>0.17</v>
      </c>
    </row>
    <row r="2347" spans="1:3" x14ac:dyDescent="0.25">
      <c r="A2347" s="46" t="s">
        <v>3566</v>
      </c>
      <c r="B2347" s="35">
        <v>0.54166668653488104</v>
      </c>
      <c r="C2347" s="36">
        <v>0.08</v>
      </c>
    </row>
    <row r="2348" spans="1:3" x14ac:dyDescent="0.25">
      <c r="A2348" s="46" t="s">
        <v>3567</v>
      </c>
      <c r="B2348" s="35">
        <v>0.59612280130386297</v>
      </c>
      <c r="C2348" s="36">
        <v>0.28000000000000003</v>
      </c>
    </row>
    <row r="2349" spans="1:3" x14ac:dyDescent="0.25">
      <c r="A2349" s="46" t="s">
        <v>3568</v>
      </c>
      <c r="B2349" s="35">
        <v>0.67790263891220004</v>
      </c>
      <c r="C2349" s="36">
        <v>0.48</v>
      </c>
    </row>
    <row r="2350" spans="1:3" x14ac:dyDescent="0.25">
      <c r="A2350" s="46" t="s">
        <v>3569</v>
      </c>
      <c r="B2350" s="35">
        <v>0.69933182001113803</v>
      </c>
      <c r="C2350" s="36">
        <v>7.0000000000000007E-2</v>
      </c>
    </row>
    <row r="2351" spans="1:3" x14ac:dyDescent="0.25">
      <c r="A2351" s="46" t="s">
        <v>3570</v>
      </c>
      <c r="B2351" s="35">
        <v>0.56371492147445601</v>
      </c>
      <c r="C2351" s="36">
        <v>0.14000000000000001</v>
      </c>
    </row>
    <row r="2352" spans="1:3" x14ac:dyDescent="0.25">
      <c r="A2352" s="46" t="s">
        <v>3571</v>
      </c>
      <c r="B2352" s="35">
        <v>0.54945057630538896</v>
      </c>
      <c r="C2352" s="36">
        <v>0.26</v>
      </c>
    </row>
    <row r="2353" spans="1:3" x14ac:dyDescent="0.25">
      <c r="A2353" s="46" t="s">
        <v>3572</v>
      </c>
      <c r="B2353" s="35">
        <v>0.59388643503188998</v>
      </c>
      <c r="C2353" s="36">
        <v>0.03</v>
      </c>
    </row>
    <row r="2354" spans="1:3" x14ac:dyDescent="0.25">
      <c r="A2354" s="46" t="s">
        <v>3573</v>
      </c>
      <c r="B2354" s="35">
        <v>0.80874317884445102</v>
      </c>
      <c r="C2354" s="36">
        <v>0.17</v>
      </c>
    </row>
    <row r="2355" spans="1:3" x14ac:dyDescent="0.25">
      <c r="A2355" s="46" t="s">
        <v>3574</v>
      </c>
      <c r="B2355" s="35">
        <v>0.57142859697341897</v>
      </c>
      <c r="C2355" s="36">
        <v>0</v>
      </c>
    </row>
    <row r="2356" spans="1:3" x14ac:dyDescent="0.25">
      <c r="A2356" s="46" t="s">
        <v>3575</v>
      </c>
      <c r="B2356" s="35">
        <v>0.86941581964492798</v>
      </c>
      <c r="C2356" s="36">
        <v>0.19</v>
      </c>
    </row>
    <row r="2357" spans="1:3" x14ac:dyDescent="0.25">
      <c r="A2357" s="46" t="s">
        <v>3576</v>
      </c>
      <c r="B2357" s="35">
        <v>0.62628865242004395</v>
      </c>
      <c r="C2357" s="36">
        <v>0</v>
      </c>
    </row>
    <row r="2358" spans="1:3" x14ac:dyDescent="0.25">
      <c r="A2358" s="46" t="s">
        <v>3577</v>
      </c>
      <c r="B2358" s="35">
        <v>0.5</v>
      </c>
      <c r="C2358" s="36">
        <v>0.13</v>
      </c>
    </row>
    <row r="2359" spans="1:3" x14ac:dyDescent="0.25">
      <c r="A2359" s="46" t="s">
        <v>3578</v>
      </c>
      <c r="B2359" s="35">
        <v>0.57924526929855302</v>
      </c>
      <c r="C2359" s="36">
        <v>0.2</v>
      </c>
    </row>
    <row r="2360" spans="1:3" x14ac:dyDescent="0.25">
      <c r="A2360" s="46" t="s">
        <v>3579</v>
      </c>
      <c r="B2360" s="35">
        <v>0.46599999070167503</v>
      </c>
      <c r="C2360" s="36">
        <v>0.26</v>
      </c>
    </row>
    <row r="2361" spans="1:3" x14ac:dyDescent="0.25">
      <c r="A2361" s="46" t="s">
        <v>3580</v>
      </c>
      <c r="B2361" s="35">
        <v>0.533807814121246</v>
      </c>
      <c r="C2361" s="36">
        <v>0.19</v>
      </c>
    </row>
    <row r="2362" spans="1:3" x14ac:dyDescent="0.25">
      <c r="A2362" s="46" t="s">
        <v>3581</v>
      </c>
      <c r="B2362" s="35">
        <v>0.48909091949462802</v>
      </c>
      <c r="C2362" s="36">
        <v>0.03</v>
      </c>
    </row>
    <row r="2363" spans="1:3" x14ac:dyDescent="0.25">
      <c r="A2363" s="46" t="s">
        <v>3582</v>
      </c>
      <c r="B2363" s="35">
        <v>0.55368423461913996</v>
      </c>
      <c r="C2363" s="36">
        <v>0.03</v>
      </c>
    </row>
    <row r="2364" spans="1:3" x14ac:dyDescent="0.25">
      <c r="A2364" s="46" t="s">
        <v>3583</v>
      </c>
      <c r="B2364" s="35">
        <v>0.48895898461341802</v>
      </c>
      <c r="C2364" s="36">
        <v>0.03</v>
      </c>
    </row>
    <row r="2365" spans="1:3" x14ac:dyDescent="0.25">
      <c r="A2365" s="46" t="s">
        <v>3584</v>
      </c>
      <c r="B2365" s="35">
        <v>0.47657841444015497</v>
      </c>
      <c r="C2365" s="36">
        <v>0.33</v>
      </c>
    </row>
    <row r="2366" spans="1:3" x14ac:dyDescent="0.25">
      <c r="A2366" s="46" t="s">
        <v>3585</v>
      </c>
      <c r="B2366" s="35">
        <v>0.69508194923400801</v>
      </c>
      <c r="C2366" s="36">
        <v>0.31</v>
      </c>
    </row>
    <row r="2367" spans="1:3" x14ac:dyDescent="0.25">
      <c r="A2367" s="46" t="s">
        <v>3586</v>
      </c>
      <c r="B2367" s="35">
        <v>0.65814697742462103</v>
      </c>
      <c r="C2367" s="36">
        <v>0.23</v>
      </c>
    </row>
    <row r="2368" spans="1:3" x14ac:dyDescent="0.25">
      <c r="A2368" s="46" t="s">
        <v>3587</v>
      </c>
      <c r="B2368" s="35">
        <v>0.53872436285018899</v>
      </c>
      <c r="C2368" s="36">
        <v>0.04</v>
      </c>
    </row>
    <row r="2369" spans="1:3" x14ac:dyDescent="0.25">
      <c r="A2369" s="46" t="s">
        <v>3588</v>
      </c>
      <c r="B2369" s="35">
        <v>0.52592593431472701</v>
      </c>
      <c r="C2369" s="36">
        <v>0.35</v>
      </c>
    </row>
    <row r="2370" spans="1:3" x14ac:dyDescent="0.25">
      <c r="A2370" s="46" t="s">
        <v>3589</v>
      </c>
      <c r="B2370" s="35">
        <v>0.42071196436882002</v>
      </c>
      <c r="C2370" s="36">
        <v>0.11</v>
      </c>
    </row>
    <row r="2371" spans="1:3" x14ac:dyDescent="0.25">
      <c r="A2371" s="46" t="s">
        <v>3590</v>
      </c>
      <c r="B2371" s="35">
        <v>0.43835616111755299</v>
      </c>
      <c r="C2371" s="36">
        <v>0.09</v>
      </c>
    </row>
    <row r="2372" spans="1:3" x14ac:dyDescent="0.25">
      <c r="A2372" s="46" t="s">
        <v>3591</v>
      </c>
      <c r="B2372" s="35">
        <v>0.643207848072052</v>
      </c>
      <c r="C2372" s="36">
        <v>0.16</v>
      </c>
    </row>
    <row r="2373" spans="1:3" x14ac:dyDescent="0.25">
      <c r="A2373" s="46" t="s">
        <v>3592</v>
      </c>
      <c r="B2373" s="35">
        <v>0.42339372634887601</v>
      </c>
      <c r="C2373" s="36">
        <v>0.38</v>
      </c>
    </row>
    <row r="2374" spans="1:3" x14ac:dyDescent="0.25">
      <c r="A2374" s="46" t="s">
        <v>3593</v>
      </c>
      <c r="B2374" s="35">
        <v>0.53497940301895097</v>
      </c>
      <c r="C2374" s="36">
        <v>0.03</v>
      </c>
    </row>
    <row r="2375" spans="1:3" x14ac:dyDescent="0.25">
      <c r="A2375" s="46" t="s">
        <v>3594</v>
      </c>
      <c r="B2375" s="35">
        <v>0.64396888017654397</v>
      </c>
      <c r="C2375" s="36">
        <v>0.4</v>
      </c>
    </row>
    <row r="2376" spans="1:3" x14ac:dyDescent="0.25">
      <c r="A2376" s="46" t="s">
        <v>3595</v>
      </c>
      <c r="B2376" s="35">
        <v>0.66500002145767201</v>
      </c>
      <c r="C2376" s="36">
        <v>0.27</v>
      </c>
    </row>
    <row r="2377" spans="1:3" x14ac:dyDescent="0.25">
      <c r="A2377" s="46" t="s">
        <v>3596</v>
      </c>
      <c r="B2377" s="35">
        <v>0.63095235824584905</v>
      </c>
      <c r="C2377" s="36">
        <v>0.32</v>
      </c>
    </row>
    <row r="2378" spans="1:3" x14ac:dyDescent="0.25">
      <c r="A2378" s="46" t="s">
        <v>3597</v>
      </c>
      <c r="B2378" s="35">
        <v>0.583815038204193</v>
      </c>
      <c r="C2378" s="36">
        <v>0.33</v>
      </c>
    </row>
    <row r="2379" spans="1:3" x14ac:dyDescent="0.25">
      <c r="A2379" s="46" t="s">
        <v>3598</v>
      </c>
      <c r="B2379" s="35">
        <v>0.56684494018554599</v>
      </c>
      <c r="C2379" s="36">
        <v>0.21</v>
      </c>
    </row>
    <row r="2380" spans="1:3" x14ac:dyDescent="0.25">
      <c r="A2380" s="46" t="s">
        <v>3599</v>
      </c>
      <c r="B2380" s="35">
        <v>0.69819819927215498</v>
      </c>
      <c r="C2380" s="36">
        <v>0.22</v>
      </c>
    </row>
    <row r="2381" spans="1:3" x14ac:dyDescent="0.25">
      <c r="A2381" s="46" t="s">
        <v>3600</v>
      </c>
      <c r="B2381" s="35">
        <v>0.59946948289871205</v>
      </c>
      <c r="C2381" s="36">
        <v>0.26</v>
      </c>
    </row>
    <row r="2382" spans="1:3" x14ac:dyDescent="0.25">
      <c r="A2382" s="46" t="s">
        <v>3601</v>
      </c>
      <c r="B2382" s="35">
        <v>0.31081080436706499</v>
      </c>
      <c r="C2382" s="36">
        <v>0.14000000000000001</v>
      </c>
    </row>
    <row r="2383" spans="1:3" x14ac:dyDescent="0.25">
      <c r="A2383" s="46" t="s">
        <v>3602</v>
      </c>
      <c r="B2383" s="35">
        <v>0.64734297990798895</v>
      </c>
      <c r="C2383" s="36">
        <v>0</v>
      </c>
    </row>
    <row r="2384" spans="1:3" x14ac:dyDescent="0.25">
      <c r="A2384" s="46" t="s">
        <v>3603</v>
      </c>
      <c r="B2384" s="35">
        <v>0.58104735612869196</v>
      </c>
      <c r="C2384" s="36">
        <v>0.12</v>
      </c>
    </row>
    <row r="2385" spans="1:3" x14ac:dyDescent="0.25">
      <c r="A2385" s="46" t="s">
        <v>3604</v>
      </c>
      <c r="B2385" s="35">
        <v>0.72645741701126099</v>
      </c>
      <c r="C2385" s="36">
        <v>0.19</v>
      </c>
    </row>
    <row r="2386" spans="1:3" x14ac:dyDescent="0.25">
      <c r="A2386" s="46" t="s">
        <v>3605</v>
      </c>
      <c r="B2386" s="35">
        <v>0.37850466370582497</v>
      </c>
      <c r="C2386" s="36">
        <v>0.04</v>
      </c>
    </row>
    <row r="2387" spans="1:3" x14ac:dyDescent="0.25">
      <c r="A2387" s="46" t="s">
        <v>3606</v>
      </c>
      <c r="B2387" s="35">
        <v>0.48484849929809498</v>
      </c>
      <c r="C2387" s="36">
        <v>0.52</v>
      </c>
    </row>
    <row r="2388" spans="1:3" x14ac:dyDescent="0.25">
      <c r="A2388" s="46" t="s">
        <v>3607</v>
      </c>
      <c r="B2388" s="35">
        <v>0.62582778930663996</v>
      </c>
      <c r="C2388" s="36">
        <v>0.03</v>
      </c>
    </row>
    <row r="2389" spans="1:3" x14ac:dyDescent="0.25">
      <c r="A2389" s="46" t="s">
        <v>3608</v>
      </c>
      <c r="B2389" s="35">
        <v>0.61148649454116799</v>
      </c>
      <c r="C2389" s="36">
        <v>0.12</v>
      </c>
    </row>
    <row r="2390" spans="1:3" x14ac:dyDescent="0.25">
      <c r="A2390" s="46" t="s">
        <v>3609</v>
      </c>
      <c r="B2390" s="35">
        <v>0.55411255359649603</v>
      </c>
      <c r="C2390" s="36">
        <v>0.18</v>
      </c>
    </row>
    <row r="2391" spans="1:3" x14ac:dyDescent="0.25">
      <c r="A2391" s="46" t="s">
        <v>3610</v>
      </c>
      <c r="B2391" s="35">
        <v>0.54796510934829701</v>
      </c>
      <c r="C2391" s="36">
        <v>0.25</v>
      </c>
    </row>
    <row r="2392" spans="1:3" x14ac:dyDescent="0.25">
      <c r="A2392" s="46" t="s">
        <v>3611</v>
      </c>
      <c r="B2392" s="35">
        <v>0.86713284254074097</v>
      </c>
      <c r="C2392" s="36">
        <v>0.24</v>
      </c>
    </row>
    <row r="2393" spans="1:3" x14ac:dyDescent="0.25">
      <c r="A2393" s="46" t="s">
        <v>3612</v>
      </c>
      <c r="B2393" s="35">
        <v>0.61464965343475297</v>
      </c>
      <c r="C2393" s="36">
        <v>0.04</v>
      </c>
    </row>
    <row r="2394" spans="1:3" x14ac:dyDescent="0.25">
      <c r="A2394" s="46" t="s">
        <v>3613</v>
      </c>
      <c r="B2394" s="35">
        <v>0.67818576097488403</v>
      </c>
      <c r="C2394" s="36">
        <v>0.12</v>
      </c>
    </row>
    <row r="2395" spans="1:3" x14ac:dyDescent="0.25">
      <c r="A2395" s="46" t="s">
        <v>3614</v>
      </c>
      <c r="B2395" s="35">
        <v>0.59265732765197698</v>
      </c>
      <c r="C2395" s="36">
        <v>0.11</v>
      </c>
    </row>
    <row r="2396" spans="1:3" x14ac:dyDescent="0.25">
      <c r="A2396" s="46" t="s">
        <v>3615</v>
      </c>
      <c r="B2396" s="35">
        <v>0.63496935367584195</v>
      </c>
      <c r="C2396" s="36">
        <v>0.17</v>
      </c>
    </row>
    <row r="2397" spans="1:3" x14ac:dyDescent="0.25">
      <c r="A2397" s="46" t="s">
        <v>3616</v>
      </c>
      <c r="B2397" s="35">
        <v>0.44902911782264698</v>
      </c>
      <c r="C2397" s="36">
        <v>0.44</v>
      </c>
    </row>
    <row r="2398" spans="1:3" x14ac:dyDescent="0.25">
      <c r="A2398" s="46" t="s">
        <v>3617</v>
      </c>
      <c r="B2398" s="35">
        <v>0.70467287302017201</v>
      </c>
      <c r="C2398" s="36">
        <v>0</v>
      </c>
    </row>
    <row r="2399" spans="1:3" x14ac:dyDescent="0.25">
      <c r="A2399" s="46" t="s">
        <v>3618</v>
      </c>
      <c r="B2399" s="35">
        <v>0.65625</v>
      </c>
      <c r="C2399" s="36">
        <v>0.27</v>
      </c>
    </row>
    <row r="2400" spans="1:3" x14ac:dyDescent="0.25">
      <c r="A2400" s="46" t="s">
        <v>3619</v>
      </c>
      <c r="B2400" s="35">
        <v>0.61041295528411799</v>
      </c>
      <c r="C2400" s="36">
        <v>0</v>
      </c>
    </row>
    <row r="2401" spans="1:3" x14ac:dyDescent="0.25">
      <c r="A2401" s="46" t="s">
        <v>3620</v>
      </c>
      <c r="B2401" s="35">
        <v>0.62367862462997403</v>
      </c>
      <c r="C2401" s="36">
        <v>0.31</v>
      </c>
    </row>
    <row r="2402" spans="1:3" x14ac:dyDescent="0.25">
      <c r="A2402" s="46" t="s">
        <v>1249</v>
      </c>
      <c r="B2402" s="35">
        <v>0.53994083404541005</v>
      </c>
      <c r="C2402" s="36">
        <v>0.44</v>
      </c>
    </row>
    <row r="2403" spans="1:3" x14ac:dyDescent="0.25">
      <c r="A2403" s="46" t="s">
        <v>3621</v>
      </c>
      <c r="B2403" s="35">
        <v>0.52858811616897505</v>
      </c>
      <c r="C2403" s="36">
        <v>0.2</v>
      </c>
    </row>
    <row r="2404" spans="1:3" x14ac:dyDescent="0.25">
      <c r="A2404" s="46" t="s">
        <v>3622</v>
      </c>
      <c r="B2404" s="35">
        <v>0.65945947170257502</v>
      </c>
      <c r="C2404" s="36">
        <v>0.32</v>
      </c>
    </row>
    <row r="2405" spans="1:3" x14ac:dyDescent="0.25">
      <c r="A2405" s="46" t="s">
        <v>3623</v>
      </c>
      <c r="B2405" s="35">
        <v>0.48190477490425099</v>
      </c>
      <c r="C2405" s="36">
        <v>0.69</v>
      </c>
    </row>
    <row r="2406" spans="1:3" x14ac:dyDescent="0.25">
      <c r="A2406" s="46" t="s">
        <v>3624</v>
      </c>
      <c r="B2406" s="35">
        <v>0.53306615352630604</v>
      </c>
      <c r="C2406" s="36">
        <v>0.11</v>
      </c>
    </row>
    <row r="2407" spans="1:3" x14ac:dyDescent="0.25">
      <c r="A2407" s="46" t="s">
        <v>3625</v>
      </c>
      <c r="B2407" s="35">
        <v>0.52717393636703402</v>
      </c>
      <c r="C2407" s="36">
        <v>0.34</v>
      </c>
    </row>
    <row r="2408" spans="1:3" x14ac:dyDescent="0.25">
      <c r="A2408" s="46" t="s">
        <v>3626</v>
      </c>
      <c r="B2408" s="35">
        <v>0.58886891603469804</v>
      </c>
      <c r="C2408" s="36">
        <v>0.16</v>
      </c>
    </row>
    <row r="2409" spans="1:3" x14ac:dyDescent="0.25">
      <c r="A2409" s="46" t="s">
        <v>3627</v>
      </c>
      <c r="B2409" s="35">
        <v>0.51689189672470004</v>
      </c>
      <c r="C2409" s="36">
        <v>0.4</v>
      </c>
    </row>
    <row r="2410" spans="1:3" x14ac:dyDescent="0.25">
      <c r="A2410" s="46" t="s">
        <v>3628</v>
      </c>
      <c r="B2410" s="35">
        <v>0.56112849712371804</v>
      </c>
      <c r="C2410" s="36">
        <v>0.3</v>
      </c>
    </row>
    <row r="2411" spans="1:3" x14ac:dyDescent="0.25">
      <c r="A2411" s="46" t="s">
        <v>3629</v>
      </c>
      <c r="B2411" s="35">
        <v>0.43058824539184498</v>
      </c>
      <c r="C2411" s="36">
        <v>0.28999999999999998</v>
      </c>
    </row>
    <row r="2412" spans="1:3" x14ac:dyDescent="0.25">
      <c r="A2412" s="46" t="s">
        <v>3630</v>
      </c>
      <c r="B2412" s="35">
        <v>0.60927152633666903</v>
      </c>
      <c r="C2412" s="36">
        <v>0.16</v>
      </c>
    </row>
    <row r="2413" spans="1:3" x14ac:dyDescent="0.25">
      <c r="A2413" s="46" t="s">
        <v>3631</v>
      </c>
      <c r="B2413" s="35">
        <v>0.496296286582946</v>
      </c>
      <c r="C2413" s="36">
        <v>0.45</v>
      </c>
    </row>
    <row r="2414" spans="1:3" x14ac:dyDescent="0.25">
      <c r="A2414" s="46" t="s">
        <v>3632</v>
      </c>
      <c r="B2414" s="35">
        <v>0.60034602880477905</v>
      </c>
      <c r="C2414" s="36">
        <v>7.0000000000000007E-2</v>
      </c>
    </row>
    <row r="2415" spans="1:3" x14ac:dyDescent="0.25">
      <c r="A2415" s="46" t="s">
        <v>3633</v>
      </c>
      <c r="B2415" s="35">
        <v>0.31186440587043701</v>
      </c>
      <c r="C2415" s="36">
        <v>0.04</v>
      </c>
    </row>
    <row r="2416" spans="1:3" x14ac:dyDescent="0.25">
      <c r="A2416" s="46" t="s">
        <v>3634</v>
      </c>
      <c r="B2416" s="35">
        <v>0.55747127532958896</v>
      </c>
      <c r="C2416" s="36">
        <v>0.2</v>
      </c>
    </row>
    <row r="2417" spans="1:3" x14ac:dyDescent="0.25">
      <c r="A2417" s="46" t="s">
        <v>3635</v>
      </c>
      <c r="B2417" s="35">
        <v>0.52115058898925704</v>
      </c>
      <c r="C2417" s="36">
        <v>0.26</v>
      </c>
    </row>
    <row r="2418" spans="1:3" x14ac:dyDescent="0.25">
      <c r="A2418" s="46" t="s">
        <v>3636</v>
      </c>
      <c r="B2418" s="35">
        <v>0.51683503389358498</v>
      </c>
      <c r="C2418" s="36">
        <v>0.12</v>
      </c>
    </row>
    <row r="2419" spans="1:3" x14ac:dyDescent="0.25">
      <c r="A2419" s="46" t="s">
        <v>3637</v>
      </c>
      <c r="B2419" s="35">
        <v>0.57194244861602705</v>
      </c>
      <c r="C2419" s="36">
        <v>0.35</v>
      </c>
    </row>
    <row r="2420" spans="1:3" x14ac:dyDescent="0.25">
      <c r="A2420" s="46" t="s">
        <v>3638</v>
      </c>
      <c r="B2420" s="35">
        <v>0.47169810533523499</v>
      </c>
      <c r="C2420" s="36">
        <v>0.35</v>
      </c>
    </row>
    <row r="2421" spans="1:3" x14ac:dyDescent="0.25">
      <c r="A2421" s="46" t="s">
        <v>3639</v>
      </c>
      <c r="B2421" s="35">
        <v>0.48196721076965299</v>
      </c>
      <c r="C2421" s="36">
        <v>0.31</v>
      </c>
    </row>
    <row r="2422" spans="1:3" x14ac:dyDescent="0.25">
      <c r="A2422" s="46" t="s">
        <v>3640</v>
      </c>
      <c r="B2422" s="35">
        <v>0.73799997568130404</v>
      </c>
      <c r="C2422" s="36">
        <v>0.23</v>
      </c>
    </row>
    <row r="2423" spans="1:3" x14ac:dyDescent="0.25">
      <c r="A2423" s="46" t="s">
        <v>3641</v>
      </c>
      <c r="B2423" s="35">
        <v>0.57234728336334195</v>
      </c>
      <c r="C2423" s="36">
        <v>0.28000000000000003</v>
      </c>
    </row>
    <row r="2424" spans="1:3" x14ac:dyDescent="0.25">
      <c r="A2424" s="46" t="s">
        <v>3642</v>
      </c>
      <c r="B2424" s="35">
        <v>0.72222220897674505</v>
      </c>
      <c r="C2424" s="36">
        <v>0.17</v>
      </c>
    </row>
    <row r="2425" spans="1:3" x14ac:dyDescent="0.25">
      <c r="A2425" s="46" t="s">
        <v>3643</v>
      </c>
      <c r="B2425" s="35">
        <v>0.70930230617523105</v>
      </c>
      <c r="C2425" s="36">
        <v>0.02</v>
      </c>
    </row>
    <row r="2426" spans="1:3" x14ac:dyDescent="0.25">
      <c r="A2426" s="46" t="s">
        <v>3644</v>
      </c>
      <c r="B2426" s="35">
        <v>0.54779410362243597</v>
      </c>
      <c r="C2426" s="36">
        <v>0.23</v>
      </c>
    </row>
    <row r="2427" spans="1:3" x14ac:dyDescent="0.25">
      <c r="A2427" s="46" t="s">
        <v>3645</v>
      </c>
      <c r="B2427" s="35">
        <v>0.77192980051040605</v>
      </c>
      <c r="C2427" s="36">
        <v>0.03</v>
      </c>
    </row>
    <row r="2428" spans="1:3" x14ac:dyDescent="0.25">
      <c r="A2428" s="46" t="s">
        <v>3646</v>
      </c>
      <c r="B2428" s="35">
        <v>0.48975792527198703</v>
      </c>
      <c r="C2428" s="36">
        <v>0.02</v>
      </c>
    </row>
    <row r="2429" spans="1:3" x14ac:dyDescent="0.25">
      <c r="A2429" s="46" t="s">
        <v>3647</v>
      </c>
      <c r="B2429" s="35">
        <v>0.51515150070190396</v>
      </c>
      <c r="C2429" s="36">
        <v>0.12</v>
      </c>
    </row>
    <row r="2430" spans="1:3" x14ac:dyDescent="0.25">
      <c r="A2430" s="46" t="s">
        <v>3648</v>
      </c>
      <c r="B2430" s="35">
        <v>0.64665126800537098</v>
      </c>
      <c r="C2430" s="36">
        <v>0.04</v>
      </c>
    </row>
    <row r="2431" spans="1:3" x14ac:dyDescent="0.25">
      <c r="A2431" s="46" t="s">
        <v>3649</v>
      </c>
      <c r="B2431" s="35">
        <v>0.48909091949462802</v>
      </c>
      <c r="C2431" s="36">
        <v>0.06</v>
      </c>
    </row>
    <row r="2432" spans="1:3" x14ac:dyDescent="0.25">
      <c r="A2432" s="46" t="s">
        <v>3650</v>
      </c>
      <c r="B2432" s="35">
        <v>0.50241547822952204</v>
      </c>
      <c r="C2432" s="36">
        <v>0.06</v>
      </c>
    </row>
    <row r="2433" spans="1:3" x14ac:dyDescent="0.25">
      <c r="A2433" s="46" t="s">
        <v>3651</v>
      </c>
      <c r="B2433" s="35">
        <v>0.50322580337524403</v>
      </c>
      <c r="C2433" s="36">
        <v>0.06</v>
      </c>
    </row>
    <row r="2434" spans="1:3" x14ac:dyDescent="0.25">
      <c r="A2434" s="46" t="s">
        <v>3652</v>
      </c>
      <c r="B2434" s="35">
        <v>0.46770027279853799</v>
      </c>
      <c r="C2434" s="36">
        <v>0.19</v>
      </c>
    </row>
    <row r="2435" spans="1:3" x14ac:dyDescent="0.25">
      <c r="A2435" s="46" t="s">
        <v>3653</v>
      </c>
      <c r="B2435" s="35">
        <v>0.49738219380378701</v>
      </c>
      <c r="C2435" s="36">
        <v>0.04</v>
      </c>
    </row>
    <row r="2436" spans="1:3" x14ac:dyDescent="0.25">
      <c r="A2436" s="46" t="s">
        <v>3654</v>
      </c>
      <c r="B2436" s="35">
        <v>0.483116894960403</v>
      </c>
      <c r="C2436" s="36">
        <v>0.04</v>
      </c>
    </row>
    <row r="2437" spans="1:3" x14ac:dyDescent="0.25">
      <c r="A2437" s="46" t="s">
        <v>3655</v>
      </c>
      <c r="B2437" s="35">
        <v>0.49738219380378701</v>
      </c>
      <c r="C2437" s="36">
        <v>0.05</v>
      </c>
    </row>
    <row r="2438" spans="1:3" x14ac:dyDescent="0.25">
      <c r="A2438" s="46" t="s">
        <v>3656</v>
      </c>
      <c r="B2438" s="35">
        <v>0.52441227436065596</v>
      </c>
      <c r="C2438" s="36">
        <v>0.12</v>
      </c>
    </row>
    <row r="2439" spans="1:3" x14ac:dyDescent="0.25">
      <c r="A2439" s="46" t="s">
        <v>3657</v>
      </c>
      <c r="B2439" s="35">
        <v>0.590476214885711</v>
      </c>
      <c r="C2439" s="36">
        <v>0.26</v>
      </c>
    </row>
    <row r="2440" spans="1:3" x14ac:dyDescent="0.25">
      <c r="A2440" s="46" t="s">
        <v>3658</v>
      </c>
      <c r="B2440" s="35">
        <v>0.56488549709320002</v>
      </c>
      <c r="C2440" s="36">
        <v>0.03</v>
      </c>
    </row>
    <row r="2441" spans="1:3" x14ac:dyDescent="0.25">
      <c r="A2441" s="46" t="s">
        <v>3659</v>
      </c>
      <c r="B2441" s="35">
        <v>0.772727251052856</v>
      </c>
      <c r="C2441" s="36">
        <v>0.04</v>
      </c>
    </row>
    <row r="2442" spans="1:3" x14ac:dyDescent="0.25">
      <c r="A2442" s="46" t="s">
        <v>3660</v>
      </c>
      <c r="B2442" s="35">
        <v>0.65861028432846003</v>
      </c>
      <c r="C2442" s="36">
        <v>0.28999999999999998</v>
      </c>
    </row>
    <row r="2443" spans="1:3" x14ac:dyDescent="0.25">
      <c r="A2443" s="46" t="s">
        <v>3661</v>
      </c>
      <c r="B2443" s="35">
        <v>0.58874458074569702</v>
      </c>
      <c r="C2443" s="36">
        <v>0.11</v>
      </c>
    </row>
    <row r="2444" spans="1:3" x14ac:dyDescent="0.25">
      <c r="A2444" s="46" t="s">
        <v>3662</v>
      </c>
      <c r="B2444" s="35">
        <v>0.65432101488113403</v>
      </c>
      <c r="C2444" s="36">
        <v>0.16</v>
      </c>
    </row>
    <row r="2445" spans="1:3" x14ac:dyDescent="0.25">
      <c r="A2445" s="46" t="s">
        <v>3663</v>
      </c>
      <c r="B2445" s="35">
        <v>0.57423579692840498</v>
      </c>
      <c r="C2445" s="36">
        <v>0.33</v>
      </c>
    </row>
    <row r="2446" spans="1:3" x14ac:dyDescent="0.25">
      <c r="A2446" s="46" t="s">
        <v>3664</v>
      </c>
      <c r="B2446" s="35">
        <v>0.47539150714874201</v>
      </c>
      <c r="C2446" s="36">
        <v>0.13</v>
      </c>
    </row>
    <row r="2447" spans="1:3" x14ac:dyDescent="0.25">
      <c r="A2447" s="46" t="s">
        <v>3665</v>
      </c>
      <c r="B2447" s="35">
        <v>0.47305390238761902</v>
      </c>
      <c r="C2447" s="36">
        <v>0.08</v>
      </c>
    </row>
    <row r="2448" spans="1:3" x14ac:dyDescent="0.25">
      <c r="A2448" s="46" t="s">
        <v>3666</v>
      </c>
      <c r="B2448" s="35">
        <v>0.45009785890579201</v>
      </c>
      <c r="C2448" s="36">
        <v>0.14000000000000001</v>
      </c>
    </row>
    <row r="2449" spans="1:3" x14ac:dyDescent="0.25">
      <c r="A2449" s="46" t="s">
        <v>3667</v>
      </c>
      <c r="B2449" s="35">
        <v>0.454365074634552</v>
      </c>
      <c r="C2449" s="36">
        <v>0.27</v>
      </c>
    </row>
    <row r="2450" spans="1:3" x14ac:dyDescent="0.25">
      <c r="A2450" s="46" t="s">
        <v>3668</v>
      </c>
      <c r="B2450" s="35">
        <v>0.35700196027755698</v>
      </c>
      <c r="C2450" s="36">
        <v>0.4</v>
      </c>
    </row>
    <row r="2451" spans="1:3" x14ac:dyDescent="0.25">
      <c r="A2451" s="46" t="s">
        <v>3669</v>
      </c>
      <c r="B2451" s="35">
        <v>0.402697503566741</v>
      </c>
      <c r="C2451" s="36">
        <v>0.37</v>
      </c>
    </row>
    <row r="2452" spans="1:3" x14ac:dyDescent="0.25">
      <c r="A2452" s="46" t="s">
        <v>3670</v>
      </c>
      <c r="B2452" s="35">
        <v>0.71458774805068903</v>
      </c>
      <c r="C2452" s="36">
        <v>0.27</v>
      </c>
    </row>
    <row r="2453" spans="1:3" x14ac:dyDescent="0.25">
      <c r="A2453" s="46" t="s">
        <v>3671</v>
      </c>
      <c r="B2453" s="35">
        <v>0.51479291915893499</v>
      </c>
      <c r="C2453" s="36">
        <v>0.04</v>
      </c>
    </row>
    <row r="2454" spans="1:3" x14ac:dyDescent="0.25">
      <c r="A2454" s="46" t="s">
        <v>3672</v>
      </c>
      <c r="B2454" s="35">
        <v>0.69949495792388905</v>
      </c>
      <c r="C2454" s="36">
        <v>0.12</v>
      </c>
    </row>
    <row r="2455" spans="1:3" x14ac:dyDescent="0.25">
      <c r="A2455" s="46" t="s">
        <v>3673</v>
      </c>
      <c r="B2455" s="35">
        <v>0.67313432693481401</v>
      </c>
      <c r="C2455" s="36">
        <v>0.23</v>
      </c>
    </row>
    <row r="2456" spans="1:3" x14ac:dyDescent="0.25">
      <c r="A2456" s="46" t="s">
        <v>3674</v>
      </c>
      <c r="B2456" s="35">
        <v>0.46218487620353699</v>
      </c>
      <c r="C2456" s="36">
        <v>0.26</v>
      </c>
    </row>
    <row r="2457" spans="1:3" x14ac:dyDescent="0.25">
      <c r="A2457" s="46" t="s">
        <v>3675</v>
      </c>
      <c r="B2457" s="35">
        <v>0.46402877569198597</v>
      </c>
      <c r="C2457" s="36">
        <v>0.45</v>
      </c>
    </row>
    <row r="2458" spans="1:3" x14ac:dyDescent="0.25">
      <c r="A2458" s="46" t="s">
        <v>3676</v>
      </c>
      <c r="B2458" s="35">
        <v>0.58283430337905795</v>
      </c>
      <c r="C2458" s="36">
        <v>0.02</v>
      </c>
    </row>
    <row r="2459" spans="1:3" x14ac:dyDescent="0.25">
      <c r="A2459" s="46" t="s">
        <v>3677</v>
      </c>
      <c r="B2459" s="35">
        <v>0.58397930860519398</v>
      </c>
      <c r="C2459" s="36">
        <v>0.45</v>
      </c>
    </row>
    <row r="2460" spans="1:3" x14ac:dyDescent="0.25">
      <c r="A2460" s="46" t="s">
        <v>3678</v>
      </c>
      <c r="B2460" s="35">
        <v>0.38062283396720797</v>
      </c>
      <c r="C2460" s="36">
        <v>0.11</v>
      </c>
    </row>
    <row r="2461" spans="1:3" x14ac:dyDescent="0.25">
      <c r="A2461" s="46" t="s">
        <v>3679</v>
      </c>
      <c r="B2461" s="35">
        <v>0.55504584312438898</v>
      </c>
      <c r="C2461" s="36">
        <v>0.13</v>
      </c>
    </row>
    <row r="2462" spans="1:3" x14ac:dyDescent="0.25">
      <c r="A2462" s="46" t="s">
        <v>3680</v>
      </c>
      <c r="B2462" s="35">
        <v>0.88655459880828802</v>
      </c>
      <c r="C2462" s="36">
        <v>0.19</v>
      </c>
    </row>
    <row r="2463" spans="1:3" x14ac:dyDescent="0.25">
      <c r="A2463" s="46" t="s">
        <v>3681</v>
      </c>
      <c r="B2463" s="35">
        <v>0.67500001192092896</v>
      </c>
      <c r="C2463" s="36">
        <v>0.05</v>
      </c>
    </row>
    <row r="2464" spans="1:3" x14ac:dyDescent="0.25">
      <c r="A2464" s="46" t="s">
        <v>3682</v>
      </c>
      <c r="B2464" s="35">
        <v>0.55251139402389504</v>
      </c>
      <c r="C2464" s="36">
        <v>0.12</v>
      </c>
    </row>
    <row r="2465" spans="1:3" x14ac:dyDescent="0.25">
      <c r="A2465" s="46" t="s">
        <v>3683</v>
      </c>
      <c r="B2465" s="35">
        <v>0.55040001869201605</v>
      </c>
      <c r="C2465" s="36">
        <v>0</v>
      </c>
    </row>
    <row r="2466" spans="1:3" x14ac:dyDescent="0.25">
      <c r="A2466" s="46" t="s">
        <v>3684</v>
      </c>
      <c r="B2466" s="35">
        <v>0.48315912485122597</v>
      </c>
      <c r="C2466" s="36">
        <v>0.17</v>
      </c>
    </row>
    <row r="2467" spans="1:3" x14ac:dyDescent="0.25">
      <c r="A2467" s="46" t="s">
        <v>3685</v>
      </c>
      <c r="B2467" s="35">
        <v>0.53027141094207697</v>
      </c>
      <c r="C2467" s="36">
        <v>0.2</v>
      </c>
    </row>
    <row r="2468" spans="1:3" x14ac:dyDescent="0.25">
      <c r="A2468" s="46" t="s">
        <v>3686</v>
      </c>
      <c r="B2468" s="35">
        <v>0.44395279884338301</v>
      </c>
      <c r="C2468" s="36">
        <v>0.06</v>
      </c>
    </row>
    <row r="2469" spans="1:3" x14ac:dyDescent="0.25">
      <c r="A2469" s="46" t="s">
        <v>3687</v>
      </c>
      <c r="B2469" s="35">
        <v>0.73455375432968095</v>
      </c>
      <c r="C2469" s="36">
        <v>0.23</v>
      </c>
    </row>
    <row r="2470" spans="1:3" x14ac:dyDescent="0.25">
      <c r="A2470" s="46" t="s">
        <v>3688</v>
      </c>
      <c r="B2470" s="35">
        <v>0.73515981435775701</v>
      </c>
      <c r="C2470" s="36">
        <v>0.2</v>
      </c>
    </row>
    <row r="2471" spans="1:3" x14ac:dyDescent="0.25">
      <c r="A2471" s="46" t="s">
        <v>3689</v>
      </c>
      <c r="B2471" s="35">
        <v>0.83241760730743397</v>
      </c>
      <c r="C2471" s="36">
        <v>0.17</v>
      </c>
    </row>
    <row r="2472" spans="1:3" x14ac:dyDescent="0.25">
      <c r="A2472" s="46" t="s">
        <v>3690</v>
      </c>
      <c r="B2472" s="35">
        <v>0.60231024026870705</v>
      </c>
      <c r="C2472" s="36">
        <v>0.24</v>
      </c>
    </row>
    <row r="2473" spans="1:3" x14ac:dyDescent="0.25">
      <c r="A2473" s="46" t="s">
        <v>3691</v>
      </c>
      <c r="B2473" s="35">
        <v>0.85071945190429599</v>
      </c>
      <c r="C2473" s="36">
        <v>0.11</v>
      </c>
    </row>
    <row r="2474" spans="1:3" x14ac:dyDescent="0.25">
      <c r="A2474" s="46" t="s">
        <v>3692</v>
      </c>
      <c r="B2474" s="35">
        <v>0.66840457916259699</v>
      </c>
      <c r="C2474" s="36">
        <v>0.22</v>
      </c>
    </row>
    <row r="2475" spans="1:3" x14ac:dyDescent="0.25">
      <c r="A2475" s="46" t="s">
        <v>3693</v>
      </c>
      <c r="B2475" s="35">
        <v>0.56546765565872104</v>
      </c>
      <c r="C2475" s="36">
        <v>0.25</v>
      </c>
    </row>
    <row r="2476" spans="1:3" x14ac:dyDescent="0.25">
      <c r="A2476" s="46" t="s">
        <v>3694</v>
      </c>
      <c r="B2476" s="35">
        <v>0.556660056114196</v>
      </c>
      <c r="C2476" s="36">
        <v>0.19</v>
      </c>
    </row>
    <row r="2477" spans="1:3" x14ac:dyDescent="0.25">
      <c r="A2477" s="46" t="s">
        <v>3695</v>
      </c>
      <c r="B2477" s="35">
        <v>0.62191355228423995</v>
      </c>
      <c r="C2477" s="36">
        <v>0.28000000000000003</v>
      </c>
    </row>
    <row r="2478" spans="1:3" x14ac:dyDescent="0.25">
      <c r="A2478" s="46" t="s">
        <v>3696</v>
      </c>
      <c r="B2478" s="35">
        <v>0.95115679502487105</v>
      </c>
      <c r="C2478" s="36">
        <v>0.21</v>
      </c>
    </row>
    <row r="2479" spans="1:3" x14ac:dyDescent="0.25">
      <c r="A2479" s="46" t="s">
        <v>3697</v>
      </c>
      <c r="B2479" s="35">
        <v>0.57479226589202803</v>
      </c>
      <c r="C2479" s="36">
        <v>0.26</v>
      </c>
    </row>
    <row r="2480" spans="1:3" x14ac:dyDescent="0.25">
      <c r="A2480" s="46" t="s">
        <v>3698</v>
      </c>
      <c r="B2480" s="35">
        <v>0.670951128005981</v>
      </c>
      <c r="C2480" s="36">
        <v>0.33</v>
      </c>
    </row>
    <row r="2481" spans="1:3" x14ac:dyDescent="0.25">
      <c r="A2481" s="46" t="s">
        <v>3699</v>
      </c>
      <c r="B2481" s="35">
        <v>0.58583688735961903</v>
      </c>
      <c r="C2481" s="36">
        <v>0.31</v>
      </c>
    </row>
    <row r="2482" spans="1:3" x14ac:dyDescent="0.25">
      <c r="A2482" s="46" t="s">
        <v>3700</v>
      </c>
      <c r="B2482" s="35">
        <v>0.67519181966781605</v>
      </c>
      <c r="C2482" s="36">
        <v>0.28999999999999998</v>
      </c>
    </row>
    <row r="2483" spans="1:3" x14ac:dyDescent="0.25">
      <c r="A2483" s="46" t="s">
        <v>3701</v>
      </c>
      <c r="B2483" s="35">
        <v>0.59663867950439398</v>
      </c>
      <c r="C2483" s="36">
        <v>0.2</v>
      </c>
    </row>
    <row r="2484" spans="1:3" x14ac:dyDescent="0.25">
      <c r="A2484" s="46" t="s">
        <v>3702</v>
      </c>
      <c r="B2484" s="35">
        <v>0.51829266548156705</v>
      </c>
      <c r="C2484" s="36">
        <v>0.13</v>
      </c>
    </row>
    <row r="2485" spans="1:3" x14ac:dyDescent="0.25">
      <c r="A2485" s="46" t="s">
        <v>3703</v>
      </c>
      <c r="B2485" s="35">
        <v>0.50786161422729403</v>
      </c>
      <c r="C2485" s="36">
        <v>0.12</v>
      </c>
    </row>
    <row r="2486" spans="1:3" x14ac:dyDescent="0.25">
      <c r="A2486" s="46" t="s">
        <v>3704</v>
      </c>
      <c r="B2486" s="35">
        <v>0.59022557735443104</v>
      </c>
      <c r="C2486" s="36">
        <v>0.24</v>
      </c>
    </row>
    <row r="2487" spans="1:3" x14ac:dyDescent="0.25">
      <c r="A2487" s="46" t="s">
        <v>3705</v>
      </c>
      <c r="B2487" s="35">
        <v>0.55901640653610196</v>
      </c>
      <c r="C2487" s="36">
        <v>0.15</v>
      </c>
    </row>
    <row r="2488" spans="1:3" x14ac:dyDescent="0.25">
      <c r="A2488" s="46" t="s">
        <v>3706</v>
      </c>
      <c r="B2488" s="35">
        <v>0.66296297311782804</v>
      </c>
      <c r="C2488" s="36">
        <v>0.35</v>
      </c>
    </row>
    <row r="2489" spans="1:3" x14ac:dyDescent="0.25">
      <c r="A2489" s="46" t="s">
        <v>3707</v>
      </c>
      <c r="B2489" s="35">
        <v>0.57769650220870905</v>
      </c>
      <c r="C2489" s="36">
        <v>0.17</v>
      </c>
    </row>
    <row r="2490" spans="1:3" x14ac:dyDescent="0.25">
      <c r="A2490" s="46" t="s">
        <v>3708</v>
      </c>
      <c r="B2490" s="35">
        <v>0.66784453392028797</v>
      </c>
      <c r="C2490" s="36">
        <v>0.03</v>
      </c>
    </row>
    <row r="2491" spans="1:3" x14ac:dyDescent="0.25">
      <c r="A2491" s="46" t="s">
        <v>3709</v>
      </c>
      <c r="B2491" s="35">
        <v>0.4375</v>
      </c>
      <c r="C2491" s="36">
        <v>0.38</v>
      </c>
    </row>
    <row r="2492" spans="1:3" x14ac:dyDescent="0.25">
      <c r="A2492" s="46" t="s">
        <v>3710</v>
      </c>
      <c r="B2492" s="35">
        <v>0.49491524696350098</v>
      </c>
      <c r="C2492" s="36">
        <v>0.43</v>
      </c>
    </row>
    <row r="2493" spans="1:3" x14ac:dyDescent="0.25">
      <c r="A2493" s="46" t="s">
        <v>3711</v>
      </c>
      <c r="B2493" s="35">
        <v>0.47387388348579401</v>
      </c>
      <c r="C2493" s="36">
        <v>0.24</v>
      </c>
    </row>
    <row r="2494" spans="1:3" x14ac:dyDescent="0.25">
      <c r="A2494" s="46" t="s">
        <v>3712</v>
      </c>
      <c r="B2494" s="35">
        <v>0.73621100187301602</v>
      </c>
      <c r="C2494" s="36">
        <v>0.3</v>
      </c>
    </row>
    <row r="2495" spans="1:3" x14ac:dyDescent="0.25">
      <c r="A2495" s="46" t="s">
        <v>3713</v>
      </c>
      <c r="B2495" s="35">
        <v>0.49730700254440302</v>
      </c>
      <c r="C2495" s="36">
        <v>0.02</v>
      </c>
    </row>
    <row r="2496" spans="1:3" x14ac:dyDescent="0.25">
      <c r="A2496" s="46" t="s">
        <v>3714</v>
      </c>
      <c r="B2496" s="35">
        <v>0.74074071645736606</v>
      </c>
      <c r="C2496" s="36">
        <v>7.0000000000000007E-2</v>
      </c>
    </row>
    <row r="2497" spans="1:3" x14ac:dyDescent="0.25">
      <c r="A2497" s="46" t="s">
        <v>3715</v>
      </c>
      <c r="B2497" s="35">
        <v>0.74074071645736606</v>
      </c>
      <c r="C2497" s="36">
        <v>0.05</v>
      </c>
    </row>
    <row r="2498" spans="1:3" x14ac:dyDescent="0.25">
      <c r="A2498" s="46" t="s">
        <v>3716</v>
      </c>
      <c r="B2498" s="35">
        <v>0.80102038383483798</v>
      </c>
      <c r="C2498" s="36">
        <v>0.03</v>
      </c>
    </row>
    <row r="2499" spans="1:3" x14ac:dyDescent="0.25">
      <c r="A2499" s="46" t="s">
        <v>3717</v>
      </c>
      <c r="B2499" s="35">
        <v>0.42631578445434498</v>
      </c>
      <c r="C2499" s="36">
        <v>0.16</v>
      </c>
    </row>
    <row r="2500" spans="1:3" x14ac:dyDescent="0.25">
      <c r="A2500" s="46" t="s">
        <v>3718</v>
      </c>
      <c r="B2500" s="35">
        <v>0.69849246740341098</v>
      </c>
      <c r="C2500" s="36">
        <v>0.42</v>
      </c>
    </row>
    <row r="2501" spans="1:3" x14ac:dyDescent="0.25">
      <c r="A2501" s="46" t="s">
        <v>3719</v>
      </c>
      <c r="B2501" s="35">
        <v>0.55251139402389504</v>
      </c>
      <c r="C2501" s="36">
        <v>0.41</v>
      </c>
    </row>
    <row r="2502" spans="1:3" x14ac:dyDescent="0.25">
      <c r="A2502" s="46" t="s">
        <v>3720</v>
      </c>
      <c r="B2502" s="35">
        <v>0.46917808055877602</v>
      </c>
      <c r="C2502" s="36">
        <v>0.37</v>
      </c>
    </row>
    <row r="2503" spans="1:3" x14ac:dyDescent="0.25">
      <c r="A2503" s="46" t="s">
        <v>3721</v>
      </c>
      <c r="B2503" s="35">
        <v>0.65948277711868197</v>
      </c>
      <c r="C2503" s="36">
        <v>0.33</v>
      </c>
    </row>
    <row r="2504" spans="1:3" x14ac:dyDescent="0.25">
      <c r="A2504" s="46" t="s">
        <v>3722</v>
      </c>
      <c r="B2504" s="35">
        <v>0.52310925722122104</v>
      </c>
      <c r="C2504" s="36">
        <v>0.31</v>
      </c>
    </row>
    <row r="2505" spans="1:3" x14ac:dyDescent="0.25">
      <c r="A2505" s="46" t="s">
        <v>3723</v>
      </c>
      <c r="B2505" s="35">
        <v>0.60751563310623102</v>
      </c>
      <c r="C2505" s="36">
        <v>0.02</v>
      </c>
    </row>
    <row r="2506" spans="1:3" x14ac:dyDescent="0.25">
      <c r="A2506" s="46" t="s">
        <v>3724</v>
      </c>
      <c r="B2506" s="35">
        <v>0.47992700338363598</v>
      </c>
      <c r="C2506" s="36">
        <v>0.16</v>
      </c>
    </row>
    <row r="2507" spans="1:3" x14ac:dyDescent="0.25">
      <c r="A2507" s="46" t="s">
        <v>3725</v>
      </c>
      <c r="B2507" s="35">
        <v>0.71328669786453203</v>
      </c>
      <c r="C2507" s="36">
        <v>0.05</v>
      </c>
    </row>
    <row r="2508" spans="1:3" x14ac:dyDescent="0.25">
      <c r="A2508" s="46" t="s">
        <v>3726</v>
      </c>
      <c r="B2508" s="35">
        <v>0.45315903425216603</v>
      </c>
      <c r="C2508" s="36">
        <v>0.48</v>
      </c>
    </row>
    <row r="2509" spans="1:3" x14ac:dyDescent="0.25">
      <c r="A2509" s="46" t="s">
        <v>3727</v>
      </c>
      <c r="B2509" s="35">
        <v>0.51928782463073697</v>
      </c>
      <c r="C2509" s="36">
        <v>0.21</v>
      </c>
    </row>
    <row r="2510" spans="1:3" x14ac:dyDescent="0.25">
      <c r="A2510" s="46" t="s">
        <v>3728</v>
      </c>
      <c r="B2510" s="35">
        <v>0.58158993721008301</v>
      </c>
      <c r="C2510" s="36">
        <v>0.19</v>
      </c>
    </row>
    <row r="2511" spans="1:3" x14ac:dyDescent="0.25">
      <c r="A2511" s="46" t="s">
        <v>3729</v>
      </c>
      <c r="B2511" s="35">
        <v>0.55148738622665405</v>
      </c>
      <c r="C2511" s="36">
        <v>0</v>
      </c>
    </row>
    <row r="2512" spans="1:3" x14ac:dyDescent="0.25">
      <c r="A2512" s="46" t="s">
        <v>1257</v>
      </c>
      <c r="B2512" s="35">
        <v>0.44897958636283802</v>
      </c>
      <c r="C2512" s="36">
        <v>0.22</v>
      </c>
    </row>
    <row r="2513" spans="1:3" x14ac:dyDescent="0.25">
      <c r="A2513" s="46" t="s">
        <v>3730</v>
      </c>
      <c r="B2513" s="35">
        <v>0.58909851312637296</v>
      </c>
      <c r="C2513" s="36">
        <v>0.11</v>
      </c>
    </row>
    <row r="2514" spans="1:3" x14ac:dyDescent="0.25">
      <c r="A2514" s="46" t="s">
        <v>3731</v>
      </c>
      <c r="B2514" s="35">
        <v>0.52679592370986905</v>
      </c>
      <c r="C2514" s="36">
        <v>0.03</v>
      </c>
    </row>
    <row r="2515" spans="1:3" x14ac:dyDescent="0.25">
      <c r="A2515" s="46" t="s">
        <v>3732</v>
      </c>
      <c r="B2515" s="35">
        <v>0.67512691020965498</v>
      </c>
      <c r="C2515" s="36">
        <v>0.03</v>
      </c>
    </row>
    <row r="2516" spans="1:3" x14ac:dyDescent="0.25">
      <c r="A2516" s="46" t="s">
        <v>3733</v>
      </c>
      <c r="B2516" s="35">
        <v>0.47771430015563898</v>
      </c>
      <c r="C2516" s="36">
        <v>0.22</v>
      </c>
    </row>
    <row r="2517" spans="1:3" x14ac:dyDescent="0.25">
      <c r="A2517" s="46" t="s">
        <v>3734</v>
      </c>
      <c r="B2517" s="35">
        <v>0.50711745023727395</v>
      </c>
      <c r="C2517" s="36">
        <v>0.32</v>
      </c>
    </row>
    <row r="2518" spans="1:3" x14ac:dyDescent="0.25">
      <c r="A2518" s="46" t="s">
        <v>3735</v>
      </c>
      <c r="B2518" s="35">
        <v>0.52341139316558805</v>
      </c>
      <c r="C2518" s="36">
        <v>0.24</v>
      </c>
    </row>
    <row r="2519" spans="1:3" x14ac:dyDescent="0.25">
      <c r="A2519" s="46" t="s">
        <v>3736</v>
      </c>
      <c r="B2519" s="35">
        <v>0.52166664600372303</v>
      </c>
      <c r="C2519" s="36">
        <v>0.3</v>
      </c>
    </row>
    <row r="2520" spans="1:3" x14ac:dyDescent="0.25">
      <c r="A2520" s="46" t="s">
        <v>3737</v>
      </c>
      <c r="B2520" s="35">
        <v>0.50841748714446999</v>
      </c>
      <c r="C2520" s="36">
        <v>0.41</v>
      </c>
    </row>
    <row r="2521" spans="1:3" x14ac:dyDescent="0.25">
      <c r="A2521" s="46" t="s">
        <v>3738</v>
      </c>
      <c r="B2521" s="35">
        <v>0.56166666746139504</v>
      </c>
      <c r="C2521" s="36">
        <v>0.14000000000000001</v>
      </c>
    </row>
    <row r="2522" spans="1:3" x14ac:dyDescent="0.25">
      <c r="A2522" s="46" t="s">
        <v>3739</v>
      </c>
      <c r="B2522" s="35">
        <v>0.528189897537231</v>
      </c>
      <c r="C2522" s="36">
        <v>0.14000000000000001</v>
      </c>
    </row>
    <row r="2523" spans="1:3" x14ac:dyDescent="0.25">
      <c r="A2523" s="46" t="s">
        <v>3740</v>
      </c>
      <c r="B2523" s="35">
        <v>0.53297680616378695</v>
      </c>
      <c r="C2523" s="36">
        <v>0.19</v>
      </c>
    </row>
    <row r="2524" spans="1:3" x14ac:dyDescent="0.25">
      <c r="A2524" s="46" t="s">
        <v>3741</v>
      </c>
      <c r="B2524" s="35">
        <v>0.64907652139663696</v>
      </c>
      <c r="C2524" s="36">
        <v>0.26</v>
      </c>
    </row>
    <row r="2525" spans="1:3" x14ac:dyDescent="0.25">
      <c r="A2525" s="46" t="s">
        <v>3742</v>
      </c>
      <c r="B2525" s="35">
        <v>0.64401292800903298</v>
      </c>
      <c r="C2525" s="36">
        <v>0.05</v>
      </c>
    </row>
    <row r="2526" spans="1:3" x14ac:dyDescent="0.25">
      <c r="A2526" s="46" t="s">
        <v>3743</v>
      </c>
      <c r="B2526" s="35">
        <v>0.54708522558212203</v>
      </c>
      <c r="C2526" s="36">
        <v>0.24</v>
      </c>
    </row>
    <row r="2527" spans="1:3" x14ac:dyDescent="0.25">
      <c r="A2527" s="46" t="s">
        <v>3744</v>
      </c>
      <c r="B2527" s="35">
        <v>0.44922548532485901</v>
      </c>
      <c r="C2527" s="36">
        <v>0.23</v>
      </c>
    </row>
    <row r="2528" spans="1:3" x14ac:dyDescent="0.25">
      <c r="A2528" s="46" t="s">
        <v>3745</v>
      </c>
      <c r="B2528" s="35">
        <v>0.658730149269104</v>
      </c>
      <c r="C2528" s="36">
        <v>0.3</v>
      </c>
    </row>
    <row r="2529" spans="1:3" x14ac:dyDescent="0.25">
      <c r="A2529" s="46" t="s">
        <v>3746</v>
      </c>
      <c r="B2529" s="35">
        <v>0.54614222049713101</v>
      </c>
      <c r="C2529" s="36">
        <v>0.09</v>
      </c>
    </row>
    <row r="2530" spans="1:3" x14ac:dyDescent="0.25">
      <c r="A2530" s="46" t="s">
        <v>3747</v>
      </c>
      <c r="B2530" s="35">
        <v>0.55555558204650801</v>
      </c>
      <c r="C2530" s="36">
        <v>0.04</v>
      </c>
    </row>
    <row r="2531" spans="1:3" x14ac:dyDescent="0.25">
      <c r="A2531" s="46" t="s">
        <v>3748</v>
      </c>
      <c r="B2531" s="35">
        <v>0.52219873666763295</v>
      </c>
      <c r="C2531" s="36">
        <v>0.31</v>
      </c>
    </row>
    <row r="2532" spans="1:3" x14ac:dyDescent="0.25">
      <c r="A2532" s="46" t="s">
        <v>3749</v>
      </c>
      <c r="B2532" s="35">
        <v>0.45409429073333701</v>
      </c>
      <c r="C2532" s="36">
        <v>0</v>
      </c>
    </row>
    <row r="2533" spans="1:3" x14ac:dyDescent="0.25">
      <c r="A2533" s="46" t="s">
        <v>3750</v>
      </c>
      <c r="B2533" s="35">
        <v>0.65960913896560602</v>
      </c>
      <c r="C2533" s="36">
        <v>0</v>
      </c>
    </row>
    <row r="2534" spans="1:3" x14ac:dyDescent="0.25">
      <c r="A2534" s="46" t="s">
        <v>3751</v>
      </c>
      <c r="B2534" s="35">
        <v>0.43396225571632302</v>
      </c>
      <c r="C2534" s="36">
        <v>0.3</v>
      </c>
    </row>
    <row r="2535" spans="1:3" x14ac:dyDescent="0.25">
      <c r="A2535" s="46" t="s">
        <v>3752</v>
      </c>
      <c r="B2535" s="35">
        <v>0.66533064842224099</v>
      </c>
      <c r="C2535" s="36">
        <v>0.17</v>
      </c>
    </row>
    <row r="2536" spans="1:3" x14ac:dyDescent="0.25">
      <c r="A2536" s="46" t="s">
        <v>3753</v>
      </c>
      <c r="B2536" s="35">
        <v>0.69369369745254505</v>
      </c>
      <c r="C2536" s="36">
        <v>0.26</v>
      </c>
    </row>
    <row r="2537" spans="1:3" x14ac:dyDescent="0.25">
      <c r="A2537" s="46" t="s">
        <v>3754</v>
      </c>
      <c r="B2537" s="35">
        <v>0.69689738750457697</v>
      </c>
      <c r="C2537" s="36">
        <v>0.04</v>
      </c>
    </row>
    <row r="2538" spans="1:3" x14ac:dyDescent="0.25">
      <c r="A2538" s="46" t="s">
        <v>3755</v>
      </c>
      <c r="B2538" s="35">
        <v>0.62373739480972201</v>
      </c>
      <c r="C2538" s="36">
        <v>0.09</v>
      </c>
    </row>
    <row r="2539" spans="1:3" x14ac:dyDescent="0.25">
      <c r="A2539" s="46" t="s">
        <v>3756</v>
      </c>
      <c r="B2539" s="35">
        <v>0.36180904507637002</v>
      </c>
      <c r="C2539" s="36">
        <v>0.04</v>
      </c>
    </row>
    <row r="2540" spans="1:3" x14ac:dyDescent="0.25">
      <c r="A2540" s="46" t="s">
        <v>3757</v>
      </c>
      <c r="B2540" s="35">
        <v>0.49479165673255898</v>
      </c>
      <c r="C2540" s="36">
        <v>0.14000000000000001</v>
      </c>
    </row>
    <row r="2541" spans="1:3" x14ac:dyDescent="0.25">
      <c r="A2541" s="46" t="s">
        <v>3758</v>
      </c>
      <c r="B2541" s="35">
        <v>0.516853928565979</v>
      </c>
      <c r="C2541" s="36">
        <v>0.19</v>
      </c>
    </row>
    <row r="2542" spans="1:3" x14ac:dyDescent="0.25">
      <c r="A2542" s="46" t="s">
        <v>3759</v>
      </c>
      <c r="B2542" s="35">
        <v>0.90099012851714999</v>
      </c>
      <c r="C2542" s="36">
        <v>0.19</v>
      </c>
    </row>
    <row r="2543" spans="1:3" x14ac:dyDescent="0.25">
      <c r="A2543" s="46" t="s">
        <v>3760</v>
      </c>
      <c r="B2543" s="35">
        <v>0.545623838901519</v>
      </c>
      <c r="C2543" s="36">
        <v>0.33</v>
      </c>
    </row>
    <row r="2544" spans="1:3" x14ac:dyDescent="0.25">
      <c r="A2544" s="46" t="s">
        <v>3761</v>
      </c>
      <c r="B2544" s="35">
        <v>0.54157781600952104</v>
      </c>
      <c r="C2544" s="36">
        <v>0.24</v>
      </c>
    </row>
    <row r="2545" spans="1:3" x14ac:dyDescent="0.25">
      <c r="A2545" s="46" t="s">
        <v>3762</v>
      </c>
      <c r="B2545" s="35">
        <v>0.63761466741561801</v>
      </c>
      <c r="C2545" s="36">
        <v>0.13</v>
      </c>
    </row>
    <row r="2546" spans="1:3" x14ac:dyDescent="0.25">
      <c r="A2546" s="46" t="s">
        <v>3763</v>
      </c>
      <c r="B2546" s="35">
        <v>0.53271025419235196</v>
      </c>
      <c r="C2546" s="36">
        <v>0.25</v>
      </c>
    </row>
    <row r="2547" spans="1:3" x14ac:dyDescent="0.25">
      <c r="A2547" s="46" t="s">
        <v>3764</v>
      </c>
      <c r="B2547" s="35">
        <v>0.46799999475479098</v>
      </c>
      <c r="C2547" s="36">
        <v>0.49</v>
      </c>
    </row>
    <row r="2548" spans="1:3" x14ac:dyDescent="0.25">
      <c r="A2548" s="46" t="s">
        <v>3765</v>
      </c>
      <c r="B2548" s="35">
        <v>0.56097561120986905</v>
      </c>
      <c r="C2548" s="36">
        <v>0.15</v>
      </c>
    </row>
    <row r="2549" spans="1:3" x14ac:dyDescent="0.25">
      <c r="A2549" s="46" t="s">
        <v>3766</v>
      </c>
      <c r="B2549" s="35">
        <v>0.48639455437660201</v>
      </c>
      <c r="C2549" s="36">
        <v>0.43</v>
      </c>
    </row>
    <row r="2550" spans="1:3" x14ac:dyDescent="0.25">
      <c r="A2550" s="46" t="s">
        <v>3767</v>
      </c>
      <c r="B2550" s="35">
        <v>0.51033383607864302</v>
      </c>
      <c r="C2550" s="36">
        <v>0.16</v>
      </c>
    </row>
    <row r="2551" spans="1:3" x14ac:dyDescent="0.25">
      <c r="A2551" s="46" t="s">
        <v>3768</v>
      </c>
      <c r="B2551" s="35">
        <v>0.70759624242782504</v>
      </c>
      <c r="C2551" s="36">
        <v>0.35</v>
      </c>
    </row>
    <row r="2552" spans="1:3" x14ac:dyDescent="0.25">
      <c r="A2552" s="46" t="s">
        <v>3769</v>
      </c>
      <c r="B2552" s="35">
        <v>0.57213115692138605</v>
      </c>
      <c r="C2552" s="36">
        <v>0.16</v>
      </c>
    </row>
    <row r="2553" spans="1:3" x14ac:dyDescent="0.25">
      <c r="A2553" s="46" t="s">
        <v>3770</v>
      </c>
      <c r="B2553" s="35">
        <v>0.53164559602737405</v>
      </c>
      <c r="C2553" s="36">
        <v>0.19</v>
      </c>
    </row>
    <row r="2554" spans="1:3" x14ac:dyDescent="0.25">
      <c r="A2554" s="46" t="s">
        <v>3771</v>
      </c>
      <c r="B2554" s="35">
        <v>0.56478404998779297</v>
      </c>
      <c r="C2554" s="36">
        <v>0.16</v>
      </c>
    </row>
    <row r="2555" spans="1:3" x14ac:dyDescent="0.25">
      <c r="A2555" s="46" t="s">
        <v>3772</v>
      </c>
      <c r="B2555" s="35">
        <v>0.47732180356979298</v>
      </c>
      <c r="C2555" s="36">
        <v>0.11</v>
      </c>
    </row>
    <row r="2556" spans="1:3" x14ac:dyDescent="0.25">
      <c r="A2556" s="46" t="s">
        <v>3773</v>
      </c>
      <c r="B2556" s="35">
        <v>0.875</v>
      </c>
      <c r="C2556" s="36">
        <v>0.13</v>
      </c>
    </row>
    <row r="2557" spans="1:3" x14ac:dyDescent="0.25">
      <c r="A2557" s="46" t="s">
        <v>3774</v>
      </c>
      <c r="B2557" s="35">
        <v>0.49747475981712302</v>
      </c>
      <c r="C2557" s="36">
        <v>0.19</v>
      </c>
    </row>
    <row r="2558" spans="1:3" x14ac:dyDescent="0.25">
      <c r="A2558" s="46" t="s">
        <v>3775</v>
      </c>
      <c r="B2558" s="35">
        <v>0.62000000476837103</v>
      </c>
      <c r="C2558" s="36">
        <v>0.35</v>
      </c>
    </row>
    <row r="2559" spans="1:3" x14ac:dyDescent="0.25">
      <c r="A2559" s="46" t="s">
        <v>3776</v>
      </c>
      <c r="B2559" s="35">
        <v>0.62972974777221602</v>
      </c>
      <c r="C2559" s="36">
        <v>0.14000000000000001</v>
      </c>
    </row>
    <row r="2560" spans="1:3" x14ac:dyDescent="0.25">
      <c r="A2560" s="46" t="s">
        <v>3777</v>
      </c>
      <c r="B2560" s="35">
        <v>0.48947367072105402</v>
      </c>
      <c r="C2560" s="36">
        <v>0.06</v>
      </c>
    </row>
    <row r="2561" spans="1:3" x14ac:dyDescent="0.25">
      <c r="A2561" s="46" t="s">
        <v>1261</v>
      </c>
      <c r="B2561" s="35">
        <v>0.63703703880310003</v>
      </c>
      <c r="C2561" s="36">
        <v>0.2</v>
      </c>
    </row>
    <row r="2562" spans="1:3" x14ac:dyDescent="0.25">
      <c r="A2562" s="46" t="s">
        <v>3778</v>
      </c>
      <c r="B2562" s="35">
        <v>0.64814811944961503</v>
      </c>
      <c r="C2562" s="36">
        <v>0.12</v>
      </c>
    </row>
    <row r="2563" spans="1:3" x14ac:dyDescent="0.25">
      <c r="A2563" s="46" t="s">
        <v>3779</v>
      </c>
      <c r="B2563" s="35">
        <v>0.49278846383094699</v>
      </c>
      <c r="C2563" s="36">
        <v>0.06</v>
      </c>
    </row>
    <row r="2564" spans="1:3" x14ac:dyDescent="0.25">
      <c r="A2564" s="46" t="s">
        <v>3780</v>
      </c>
      <c r="B2564" s="35">
        <v>0.52182954549789395</v>
      </c>
      <c r="C2564" s="36">
        <v>0.16</v>
      </c>
    </row>
    <row r="2565" spans="1:3" x14ac:dyDescent="0.25">
      <c r="A2565" s="46" t="s">
        <v>3781</v>
      </c>
      <c r="B2565" s="35">
        <v>0.54311925172805697</v>
      </c>
      <c r="C2565" s="36">
        <v>0.3</v>
      </c>
    </row>
    <row r="2566" spans="1:3" x14ac:dyDescent="0.25">
      <c r="A2566" s="46" t="s">
        <v>3782</v>
      </c>
      <c r="B2566" s="35">
        <v>0.552173912525177</v>
      </c>
      <c r="C2566" s="36">
        <v>0.12</v>
      </c>
    </row>
    <row r="2567" spans="1:3" x14ac:dyDescent="0.25">
      <c r="A2567" s="46" t="s">
        <v>3783</v>
      </c>
      <c r="B2567" s="35">
        <v>0.67084640264511097</v>
      </c>
      <c r="C2567" s="36">
        <v>0</v>
      </c>
    </row>
    <row r="2568" spans="1:3" x14ac:dyDescent="0.25">
      <c r="A2568" s="46" t="s">
        <v>3784</v>
      </c>
      <c r="B2568" s="35">
        <v>0.50485438108444203</v>
      </c>
      <c r="C2568" s="36">
        <v>0.11</v>
      </c>
    </row>
    <row r="2569" spans="1:3" x14ac:dyDescent="0.25">
      <c r="A2569" s="46" t="s">
        <v>3785</v>
      </c>
      <c r="B2569" s="35">
        <v>0.53078556060791005</v>
      </c>
      <c r="C2569" s="36">
        <v>0.18</v>
      </c>
    </row>
    <row r="2570" spans="1:3" x14ac:dyDescent="0.25">
      <c r="A2570" s="46" t="s">
        <v>3786</v>
      </c>
      <c r="B2570" s="35">
        <v>0.54893618822097701</v>
      </c>
      <c r="C2570" s="36">
        <v>0.17</v>
      </c>
    </row>
    <row r="2571" spans="1:3" x14ac:dyDescent="0.25">
      <c r="A2571" s="46" t="s">
        <v>3787</v>
      </c>
      <c r="B2571" s="35">
        <v>0.47058823704719499</v>
      </c>
      <c r="C2571" s="36">
        <v>0.46</v>
      </c>
    </row>
    <row r="2572" spans="1:3" x14ac:dyDescent="0.25">
      <c r="A2572" s="46" t="s">
        <v>3788</v>
      </c>
      <c r="B2572" s="35">
        <v>0.53508770465850797</v>
      </c>
      <c r="C2572" s="36">
        <v>0.34</v>
      </c>
    </row>
    <row r="2573" spans="1:3" x14ac:dyDescent="0.25">
      <c r="A2573" s="46" t="s">
        <v>3789</v>
      </c>
      <c r="B2573" s="35">
        <v>0.52667576074600198</v>
      </c>
      <c r="C2573" s="36">
        <v>0.09</v>
      </c>
    </row>
    <row r="2574" spans="1:3" x14ac:dyDescent="0.25">
      <c r="A2574" s="46" t="s">
        <v>3790</v>
      </c>
      <c r="B2574" s="35">
        <v>0.49567100405692999</v>
      </c>
      <c r="C2574" s="36">
        <v>0.37</v>
      </c>
    </row>
    <row r="2575" spans="1:3" x14ac:dyDescent="0.25">
      <c r="A2575" s="46" t="s">
        <v>3791</v>
      </c>
      <c r="B2575" s="35">
        <v>0.57327586412429798</v>
      </c>
      <c r="C2575" s="36">
        <v>0.25</v>
      </c>
    </row>
    <row r="2576" spans="1:3" x14ac:dyDescent="0.25">
      <c r="A2576" s="46" t="s">
        <v>3792</v>
      </c>
      <c r="B2576" s="35">
        <v>0.57593125104904097</v>
      </c>
      <c r="C2576" s="36">
        <v>0.26</v>
      </c>
    </row>
    <row r="2577" spans="1:3" x14ac:dyDescent="0.25">
      <c r="A2577" s="46" t="s">
        <v>3793</v>
      </c>
      <c r="B2577" s="35">
        <v>0.490173399448394</v>
      </c>
      <c r="C2577" s="36">
        <v>0.18</v>
      </c>
    </row>
    <row r="2578" spans="1:3" x14ac:dyDescent="0.25">
      <c r="A2578" s="46" t="s">
        <v>3794</v>
      </c>
      <c r="B2578" s="35">
        <v>0.47192716598510698</v>
      </c>
      <c r="C2578" s="36">
        <v>0.12</v>
      </c>
    </row>
    <row r="2579" spans="1:3" x14ac:dyDescent="0.25">
      <c r="A2579" s="46" t="s">
        <v>3795</v>
      </c>
      <c r="B2579" s="35">
        <v>0.53454548120498602</v>
      </c>
      <c r="C2579" s="36">
        <v>0.17</v>
      </c>
    </row>
    <row r="2580" spans="1:3" x14ac:dyDescent="0.25">
      <c r="A2580" s="46" t="s">
        <v>3796</v>
      </c>
      <c r="B2580" s="35">
        <v>0.63333332538604703</v>
      </c>
      <c r="C2580" s="36">
        <v>0.17</v>
      </c>
    </row>
    <row r="2581" spans="1:3" x14ac:dyDescent="0.25">
      <c r="A2581" s="46" t="s">
        <v>3797</v>
      </c>
      <c r="B2581" s="35">
        <v>0.448717951774597</v>
      </c>
      <c r="C2581" s="36">
        <v>0.17</v>
      </c>
    </row>
    <row r="2582" spans="1:3" x14ac:dyDescent="0.25">
      <c r="A2582" s="46" t="s">
        <v>3798</v>
      </c>
      <c r="B2582" s="35">
        <v>0.43795621395111001</v>
      </c>
      <c r="C2582" s="36">
        <v>0.22</v>
      </c>
    </row>
    <row r="2583" spans="1:3" x14ac:dyDescent="0.25">
      <c r="A2583" s="46" t="s">
        <v>3799</v>
      </c>
      <c r="B2583" s="35">
        <v>0.44741234183311401</v>
      </c>
      <c r="C2583" s="36">
        <v>0.11</v>
      </c>
    </row>
    <row r="2584" spans="1:3" x14ac:dyDescent="0.25">
      <c r="A2584" s="46" t="s">
        <v>3800</v>
      </c>
      <c r="B2584" s="35">
        <v>0.42622950673103299</v>
      </c>
      <c r="C2584" s="36">
        <v>0.08</v>
      </c>
    </row>
    <row r="2585" spans="1:3" x14ac:dyDescent="0.25">
      <c r="A2585" s="46" t="s">
        <v>3801</v>
      </c>
      <c r="B2585" s="35">
        <v>0.34269663691520602</v>
      </c>
      <c r="C2585" s="36">
        <v>0.23</v>
      </c>
    </row>
    <row r="2586" spans="1:3" x14ac:dyDescent="0.25">
      <c r="A2586" s="46" t="s">
        <v>3802</v>
      </c>
      <c r="B2586" s="35">
        <v>0.38362759351730302</v>
      </c>
      <c r="C2586" s="36">
        <v>0.18</v>
      </c>
    </row>
    <row r="2587" spans="1:3" x14ac:dyDescent="0.25">
      <c r="A2587" s="46" t="s">
        <v>3803</v>
      </c>
      <c r="B2587" s="35">
        <v>0.45141699910163802</v>
      </c>
      <c r="C2587" s="36">
        <v>0.28999999999999998</v>
      </c>
    </row>
    <row r="2588" spans="1:3" x14ac:dyDescent="0.25">
      <c r="A2588" s="46" t="s">
        <v>3804</v>
      </c>
      <c r="B2588" s="35">
        <v>0.53623187541961603</v>
      </c>
      <c r="C2588" s="36">
        <v>0.3</v>
      </c>
    </row>
    <row r="2589" spans="1:3" x14ac:dyDescent="0.25">
      <c r="A2589" s="46" t="s">
        <v>3805</v>
      </c>
      <c r="B2589" s="35">
        <v>0.42914980649948098</v>
      </c>
      <c r="C2589" s="36">
        <v>0.54</v>
      </c>
    </row>
    <row r="2590" spans="1:3" x14ac:dyDescent="0.25">
      <c r="A2590" s="46" t="s">
        <v>3806</v>
      </c>
      <c r="B2590" s="35">
        <v>0.43771627545356701</v>
      </c>
      <c r="C2590" s="36">
        <v>0.15</v>
      </c>
    </row>
    <row r="2591" spans="1:3" x14ac:dyDescent="0.25">
      <c r="A2591" s="46" t="s">
        <v>3807</v>
      </c>
      <c r="B2591" s="35">
        <v>0.442953020334243</v>
      </c>
      <c r="C2591" s="36">
        <v>0.08</v>
      </c>
    </row>
    <row r="2592" spans="1:3" x14ac:dyDescent="0.25">
      <c r="A2592" s="46" t="s">
        <v>3808</v>
      </c>
      <c r="B2592" s="35">
        <v>0.54347825050354004</v>
      </c>
      <c r="C2592" s="36">
        <v>0.23</v>
      </c>
    </row>
    <row r="2593" spans="1:3" x14ac:dyDescent="0.25">
      <c r="A2593" s="46" t="s">
        <v>3809</v>
      </c>
      <c r="B2593" s="35">
        <v>0.55734765529632502</v>
      </c>
      <c r="C2593" s="36">
        <v>0.26</v>
      </c>
    </row>
    <row r="2594" spans="1:3" x14ac:dyDescent="0.25">
      <c r="A2594" s="46" t="s">
        <v>3810</v>
      </c>
      <c r="B2594" s="35">
        <v>0.60566449165344205</v>
      </c>
      <c r="C2594" s="36">
        <v>0</v>
      </c>
    </row>
    <row r="2595" spans="1:3" x14ac:dyDescent="0.25">
      <c r="A2595" s="46" t="s">
        <v>3811</v>
      </c>
      <c r="B2595" s="35">
        <v>0.47712418437004001</v>
      </c>
      <c r="C2595" s="36">
        <v>0.19</v>
      </c>
    </row>
    <row r="2596" spans="1:3" x14ac:dyDescent="0.25">
      <c r="A2596" s="46" t="s">
        <v>3812</v>
      </c>
      <c r="B2596" s="35">
        <v>0.49883449077606201</v>
      </c>
      <c r="C2596" s="36">
        <v>0.55000000000000004</v>
      </c>
    </row>
    <row r="2597" spans="1:3" x14ac:dyDescent="0.25">
      <c r="A2597" s="46" t="s">
        <v>3813</v>
      </c>
      <c r="B2597" s="35">
        <v>0.52032518386840798</v>
      </c>
      <c r="C2597" s="36">
        <v>0.28000000000000003</v>
      </c>
    </row>
    <row r="2598" spans="1:3" x14ac:dyDescent="0.25">
      <c r="A2598" s="46" t="s">
        <v>3814</v>
      </c>
      <c r="B2598" s="35">
        <v>0.58734178543090798</v>
      </c>
      <c r="C2598" s="36">
        <v>0.25</v>
      </c>
    </row>
    <row r="2599" spans="1:3" x14ac:dyDescent="0.25">
      <c r="A2599" s="46" t="s">
        <v>3815</v>
      </c>
      <c r="B2599" s="35">
        <v>0.60128617286682096</v>
      </c>
      <c r="C2599" s="36">
        <v>0.46</v>
      </c>
    </row>
    <row r="2600" spans="1:3" x14ac:dyDescent="0.25">
      <c r="A2600" s="46" t="s">
        <v>3816</v>
      </c>
      <c r="B2600" s="35">
        <v>0.53345721960067705</v>
      </c>
      <c r="C2600" s="36">
        <v>0.32</v>
      </c>
    </row>
    <row r="2601" spans="1:3" x14ac:dyDescent="0.25">
      <c r="A2601" s="46" t="s">
        <v>3817</v>
      </c>
      <c r="B2601" s="35">
        <v>0.501953125</v>
      </c>
      <c r="C2601" s="36">
        <v>0.36</v>
      </c>
    </row>
    <row r="2602" spans="1:3" x14ac:dyDescent="0.25">
      <c r="A2602" s="46" t="s">
        <v>3818</v>
      </c>
      <c r="B2602" s="35">
        <v>0.54258674383163397</v>
      </c>
      <c r="C2602" s="36">
        <v>0.44</v>
      </c>
    </row>
    <row r="2603" spans="1:3" x14ac:dyDescent="0.25">
      <c r="A2603" s="46" t="s">
        <v>3819</v>
      </c>
      <c r="B2603" s="35">
        <v>0.50400000810623102</v>
      </c>
      <c r="C2603" s="36">
        <v>0.44</v>
      </c>
    </row>
    <row r="2604" spans="1:3" x14ac:dyDescent="0.25">
      <c r="A2604" s="46" t="s">
        <v>3820</v>
      </c>
      <c r="B2604" s="35">
        <v>0.51503008604049605</v>
      </c>
      <c r="C2604" s="36">
        <v>0.22</v>
      </c>
    </row>
    <row r="2605" spans="1:3" x14ac:dyDescent="0.25">
      <c r="A2605" s="46" t="s">
        <v>3821</v>
      </c>
      <c r="B2605" s="35">
        <v>0.61987042427062899</v>
      </c>
      <c r="C2605" s="36">
        <v>0.08</v>
      </c>
    </row>
    <row r="2606" spans="1:3" x14ac:dyDescent="0.25">
      <c r="A2606" s="46" t="s">
        <v>3822</v>
      </c>
      <c r="B2606" s="35">
        <v>0.572443187236785</v>
      </c>
      <c r="C2606" s="36">
        <v>0.1</v>
      </c>
    </row>
    <row r="2607" spans="1:3" x14ac:dyDescent="0.25">
      <c r="A2607" s="46" t="s">
        <v>3823</v>
      </c>
      <c r="B2607" s="35">
        <v>0.51479291915893499</v>
      </c>
      <c r="C2607" s="36">
        <v>0.04</v>
      </c>
    </row>
    <row r="2608" spans="1:3" x14ac:dyDescent="0.25">
      <c r="A2608" s="46" t="s">
        <v>3824</v>
      </c>
      <c r="B2608" s="35">
        <v>0.60103625059127797</v>
      </c>
      <c r="C2608" s="36">
        <v>0.23</v>
      </c>
    </row>
    <row r="2609" spans="1:3" x14ac:dyDescent="0.25">
      <c r="A2609" s="46" t="s">
        <v>3825</v>
      </c>
      <c r="B2609" s="35">
        <v>0.68586385250091497</v>
      </c>
      <c r="C2609" s="36">
        <v>0.24</v>
      </c>
    </row>
    <row r="2610" spans="1:3" x14ac:dyDescent="0.25">
      <c r="A2610" s="46" t="s">
        <v>3826</v>
      </c>
      <c r="B2610" s="35">
        <v>0.60891091823577803</v>
      </c>
      <c r="C2610" s="36">
        <v>0.33</v>
      </c>
    </row>
    <row r="2611" spans="1:3" x14ac:dyDescent="0.25">
      <c r="A2611" s="46" t="s">
        <v>3827</v>
      </c>
      <c r="B2611" s="35">
        <v>0.575211882591247</v>
      </c>
      <c r="C2611" s="36">
        <v>0.13</v>
      </c>
    </row>
    <row r="2612" spans="1:3" x14ac:dyDescent="0.25">
      <c r="A2612" s="46" t="s">
        <v>3828</v>
      </c>
      <c r="B2612" s="35">
        <v>0.59681695699691695</v>
      </c>
      <c r="C2612" s="36">
        <v>0.24</v>
      </c>
    </row>
    <row r="2613" spans="1:3" x14ac:dyDescent="0.25">
      <c r="A2613" s="46" t="s">
        <v>3829</v>
      </c>
      <c r="B2613" s="35">
        <v>0.61808115243911699</v>
      </c>
      <c r="C2613" s="36">
        <v>0</v>
      </c>
    </row>
    <row r="2614" spans="1:3" x14ac:dyDescent="0.25">
      <c r="A2614" s="46" t="s">
        <v>3830</v>
      </c>
      <c r="B2614" s="35">
        <v>0.478395074605941</v>
      </c>
      <c r="C2614" s="36">
        <v>0.24</v>
      </c>
    </row>
    <row r="2615" spans="1:3" x14ac:dyDescent="0.25">
      <c r="A2615" s="46" t="s">
        <v>3831</v>
      </c>
      <c r="B2615" s="35">
        <v>0.49833887815475397</v>
      </c>
      <c r="C2615" s="36">
        <v>0.19</v>
      </c>
    </row>
    <row r="2616" spans="1:3" x14ac:dyDescent="0.25">
      <c r="A2616" s="46" t="s">
        <v>3832</v>
      </c>
      <c r="B2616" s="35">
        <v>0.63873368501663197</v>
      </c>
      <c r="C2616" s="36">
        <v>0.09</v>
      </c>
    </row>
    <row r="2617" spans="1:3" x14ac:dyDescent="0.25">
      <c r="A2617" s="46" t="s">
        <v>3833</v>
      </c>
      <c r="B2617" s="35">
        <v>0.43351063132286</v>
      </c>
      <c r="C2617" s="36">
        <v>0.19</v>
      </c>
    </row>
    <row r="2618" spans="1:3" x14ac:dyDescent="0.25">
      <c r="A2618" s="46" t="s">
        <v>3834</v>
      </c>
      <c r="B2618" s="35">
        <v>0.60566449165344205</v>
      </c>
      <c r="C2618" s="36">
        <v>0.09</v>
      </c>
    </row>
    <row r="2619" spans="1:3" x14ac:dyDescent="0.25">
      <c r="A2619" s="46" t="s">
        <v>3835</v>
      </c>
      <c r="B2619" s="35">
        <v>0.49881517887115401</v>
      </c>
      <c r="C2619" s="36">
        <v>0.24</v>
      </c>
    </row>
    <row r="2620" spans="1:3" x14ac:dyDescent="0.25">
      <c r="A2620" s="46" t="s">
        <v>3836</v>
      </c>
      <c r="B2620" s="35">
        <v>0.46483910083770702</v>
      </c>
      <c r="C2620" s="36">
        <v>0.06</v>
      </c>
    </row>
    <row r="2621" spans="1:3" x14ac:dyDescent="0.25">
      <c r="A2621" s="46" t="s">
        <v>3837</v>
      </c>
      <c r="B2621" s="35">
        <v>0.44859811663627602</v>
      </c>
      <c r="C2621" s="36">
        <v>0.19</v>
      </c>
    </row>
    <row r="2622" spans="1:3" x14ac:dyDescent="0.25">
      <c r="A2622" s="46" t="s">
        <v>3838</v>
      </c>
      <c r="B2622" s="35">
        <v>0.55205047130584695</v>
      </c>
      <c r="C2622" s="36">
        <v>0.1</v>
      </c>
    </row>
    <row r="2623" spans="1:3" x14ac:dyDescent="0.25">
      <c r="A2623" s="46" t="s">
        <v>3839</v>
      </c>
      <c r="B2623" s="35">
        <v>0.44043320417404103</v>
      </c>
      <c r="C2623" s="36">
        <v>0.23</v>
      </c>
    </row>
    <row r="2624" spans="1:3" x14ac:dyDescent="0.25">
      <c r="A2624" s="46" t="s">
        <v>3840</v>
      </c>
      <c r="B2624" s="35">
        <v>0.59691631793975797</v>
      </c>
      <c r="C2624" s="36">
        <v>0.09</v>
      </c>
    </row>
    <row r="2625" spans="1:3" x14ac:dyDescent="0.25">
      <c r="A2625" s="46" t="s">
        <v>3841</v>
      </c>
      <c r="B2625" s="35">
        <v>0.49833887815475397</v>
      </c>
      <c r="C2625" s="36">
        <v>0.18</v>
      </c>
    </row>
    <row r="2626" spans="1:3" x14ac:dyDescent="0.25">
      <c r="A2626" s="46" t="s">
        <v>3842</v>
      </c>
      <c r="B2626" s="35">
        <v>0.60775864124298096</v>
      </c>
      <c r="C2626" s="36">
        <v>0</v>
      </c>
    </row>
    <row r="2627" spans="1:3" x14ac:dyDescent="0.25">
      <c r="A2627" s="46" t="s">
        <v>3843</v>
      </c>
      <c r="B2627" s="35">
        <v>0.405238837003707</v>
      </c>
      <c r="C2627" s="36">
        <v>0.39</v>
      </c>
    </row>
    <row r="2628" spans="1:3" x14ac:dyDescent="0.25">
      <c r="A2628" s="46" t="s">
        <v>3844</v>
      </c>
      <c r="B2628" s="35">
        <v>0.56686627864837602</v>
      </c>
      <c r="C2628" s="36">
        <v>0.15</v>
      </c>
    </row>
    <row r="2629" spans="1:3" x14ac:dyDescent="0.25">
      <c r="A2629" s="46" t="s">
        <v>3845</v>
      </c>
      <c r="B2629" s="35">
        <v>0.52348995208740201</v>
      </c>
      <c r="C2629" s="36">
        <v>0.5</v>
      </c>
    </row>
    <row r="2630" spans="1:3" x14ac:dyDescent="0.25">
      <c r="A2630" s="46" t="s">
        <v>3846</v>
      </c>
      <c r="B2630" s="35">
        <v>0.76738607883453303</v>
      </c>
      <c r="C2630" s="36">
        <v>0.39</v>
      </c>
    </row>
    <row r="2631" spans="1:3" x14ac:dyDescent="0.25">
      <c r="A2631" s="46" t="s">
        <v>3847</v>
      </c>
      <c r="B2631" s="35">
        <v>0.60089188814163197</v>
      </c>
      <c r="C2631" s="36">
        <v>0.08</v>
      </c>
    </row>
    <row r="2632" spans="1:3" x14ac:dyDescent="0.25">
      <c r="A2632" s="46" t="s">
        <v>3848</v>
      </c>
      <c r="B2632" s="35">
        <v>0.433420360088348</v>
      </c>
      <c r="C2632" s="36">
        <v>0.2</v>
      </c>
    </row>
    <row r="2633" spans="1:3" x14ac:dyDescent="0.25">
      <c r="A2633" s="46" t="s">
        <v>3849</v>
      </c>
      <c r="B2633" s="35">
        <v>0.78222221136093095</v>
      </c>
      <c r="C2633" s="36">
        <v>0.18</v>
      </c>
    </row>
    <row r="2634" spans="1:3" x14ac:dyDescent="0.25">
      <c r="A2634" s="46" t="s">
        <v>3850</v>
      </c>
      <c r="B2634" s="35">
        <v>0.40178570151329002</v>
      </c>
      <c r="C2634" s="36">
        <v>0.14000000000000001</v>
      </c>
    </row>
    <row r="2635" spans="1:3" x14ac:dyDescent="0.25">
      <c r="A2635" s="46" t="s">
        <v>3851</v>
      </c>
      <c r="B2635" s="35">
        <v>0.63182896375656095</v>
      </c>
      <c r="C2635" s="36">
        <v>0.24</v>
      </c>
    </row>
    <row r="2636" spans="1:3" x14ac:dyDescent="0.25">
      <c r="A2636" s="46" t="s">
        <v>3852</v>
      </c>
      <c r="B2636" s="35">
        <v>0.51926606893539395</v>
      </c>
      <c r="C2636" s="36">
        <v>0</v>
      </c>
    </row>
    <row r="2637" spans="1:3" x14ac:dyDescent="0.25">
      <c r="A2637" s="46" t="s">
        <v>3853</v>
      </c>
      <c r="B2637" s="35">
        <v>0.52156865596771196</v>
      </c>
      <c r="C2637" s="36">
        <v>0.18</v>
      </c>
    </row>
    <row r="2638" spans="1:3" x14ac:dyDescent="0.25">
      <c r="A2638" s="46" t="s">
        <v>3854</v>
      </c>
      <c r="B2638" s="35">
        <v>0.48407644033432001</v>
      </c>
      <c r="C2638" s="36">
        <v>0.18</v>
      </c>
    </row>
    <row r="2639" spans="1:3" x14ac:dyDescent="0.25">
      <c r="A2639" s="46" t="s">
        <v>3855</v>
      </c>
      <c r="B2639" s="35">
        <v>0.55465584993362405</v>
      </c>
      <c r="C2639" s="36">
        <v>0.12</v>
      </c>
    </row>
    <row r="2640" spans="1:3" x14ac:dyDescent="0.25">
      <c r="A2640" s="46" t="s">
        <v>3856</v>
      </c>
      <c r="B2640" s="35">
        <v>0.442389756441116</v>
      </c>
      <c r="C2640" s="36">
        <v>0.49</v>
      </c>
    </row>
    <row r="2641" spans="1:3" x14ac:dyDescent="0.25">
      <c r="A2641" s="46" t="s">
        <v>3857</v>
      </c>
      <c r="B2641" s="35">
        <v>0.71039605140686002</v>
      </c>
      <c r="C2641" s="36">
        <v>0.33</v>
      </c>
    </row>
    <row r="2642" spans="1:3" x14ac:dyDescent="0.25">
      <c r="A2642" s="46" t="s">
        <v>3858</v>
      </c>
      <c r="B2642" s="35">
        <v>0.49398908019065801</v>
      </c>
      <c r="C2642" s="36">
        <v>0.36</v>
      </c>
    </row>
    <row r="2643" spans="1:3" x14ac:dyDescent="0.25">
      <c r="A2643" s="46" t="s">
        <v>3859</v>
      </c>
      <c r="B2643" s="35">
        <v>0.74400001764297397</v>
      </c>
      <c r="C2643" s="36">
        <v>0.1</v>
      </c>
    </row>
    <row r="2644" spans="1:3" x14ac:dyDescent="0.25">
      <c r="A2644" s="46" t="s">
        <v>3860</v>
      </c>
      <c r="B2644" s="35">
        <v>0.63011455535888605</v>
      </c>
      <c r="C2644" s="36">
        <v>0.08</v>
      </c>
    </row>
    <row r="2645" spans="1:3" x14ac:dyDescent="0.25">
      <c r="A2645" s="46" t="s">
        <v>3861</v>
      </c>
      <c r="B2645" s="35">
        <v>0.635761618614196</v>
      </c>
      <c r="C2645" s="36">
        <v>0.12</v>
      </c>
    </row>
    <row r="2646" spans="1:3" x14ac:dyDescent="0.25">
      <c r="A2646" s="46" t="s">
        <v>3862</v>
      </c>
      <c r="B2646" s="35">
        <v>0.54629629850387496</v>
      </c>
      <c r="C2646" s="36">
        <v>0</v>
      </c>
    </row>
    <row r="2647" spans="1:3" x14ac:dyDescent="0.25">
      <c r="A2647" s="46" t="s">
        <v>3863</v>
      </c>
      <c r="B2647" s="35">
        <v>0.63099038600921598</v>
      </c>
      <c r="C2647" s="36">
        <v>0</v>
      </c>
    </row>
    <row r="2648" spans="1:3" x14ac:dyDescent="0.25">
      <c r="A2648" s="46" t="s">
        <v>3864</v>
      </c>
      <c r="B2648" s="35">
        <v>0.54766732454299905</v>
      </c>
      <c r="C2648" s="36">
        <v>7.0000000000000007E-2</v>
      </c>
    </row>
    <row r="2649" spans="1:3" x14ac:dyDescent="0.25">
      <c r="A2649" s="46" t="s">
        <v>3865</v>
      </c>
      <c r="B2649" s="35">
        <v>0.49372383952140803</v>
      </c>
      <c r="C2649" s="36">
        <v>0.66</v>
      </c>
    </row>
    <row r="2650" spans="1:3" x14ac:dyDescent="0.25">
      <c r="A2650" s="46" t="s">
        <v>3866</v>
      </c>
      <c r="B2650" s="35">
        <v>0.53359681367874101</v>
      </c>
      <c r="C2650" s="36">
        <v>0.42</v>
      </c>
    </row>
    <row r="2651" spans="1:3" x14ac:dyDescent="0.25">
      <c r="A2651" s="46" t="s">
        <v>3867</v>
      </c>
      <c r="B2651" s="35">
        <v>0.56503200531005804</v>
      </c>
      <c r="C2651" s="36">
        <v>7.0000000000000007E-2</v>
      </c>
    </row>
    <row r="2652" spans="1:3" x14ac:dyDescent="0.25">
      <c r="A2652" s="46" t="s">
        <v>3868</v>
      </c>
      <c r="B2652" s="35">
        <v>0.50326800346374501</v>
      </c>
      <c r="C2652" s="36">
        <v>0.48</v>
      </c>
    </row>
    <row r="2653" spans="1:3" x14ac:dyDescent="0.25">
      <c r="A2653" s="46" t="s">
        <v>3869</v>
      </c>
      <c r="B2653" s="35">
        <v>0.41355139017105103</v>
      </c>
      <c r="C2653" s="36">
        <v>0.05</v>
      </c>
    </row>
    <row r="2654" spans="1:3" x14ac:dyDescent="0.25">
      <c r="A2654" s="46" t="s">
        <v>3870</v>
      </c>
      <c r="B2654" s="35">
        <v>0.72519081830978305</v>
      </c>
      <c r="C2654" s="36">
        <v>0.16</v>
      </c>
    </row>
    <row r="2655" spans="1:3" x14ac:dyDescent="0.25">
      <c r="A2655" s="46" t="s">
        <v>3871</v>
      </c>
      <c r="B2655" s="35">
        <v>0.45974025130271901</v>
      </c>
      <c r="C2655" s="36">
        <v>0.21</v>
      </c>
    </row>
    <row r="2656" spans="1:3" x14ac:dyDescent="0.25">
      <c r="A2656" s="46" t="s">
        <v>3872</v>
      </c>
      <c r="B2656" s="35">
        <v>0.43572986125946001</v>
      </c>
      <c r="C2656" s="36">
        <v>7.0000000000000007E-2</v>
      </c>
    </row>
    <row r="2657" spans="1:3" x14ac:dyDescent="0.25">
      <c r="A2657" s="46" t="s">
        <v>3873</v>
      </c>
      <c r="B2657" s="35">
        <v>0.43576827645301802</v>
      </c>
      <c r="C2657" s="36">
        <v>0.11</v>
      </c>
    </row>
    <row r="2658" spans="1:3" x14ac:dyDescent="0.25">
      <c r="A2658" s="46" t="s">
        <v>3874</v>
      </c>
      <c r="B2658" s="35">
        <v>0.64482760429382302</v>
      </c>
      <c r="C2658" s="36">
        <v>0</v>
      </c>
    </row>
    <row r="2659" spans="1:3" x14ac:dyDescent="0.25">
      <c r="A2659" s="46" t="s">
        <v>3875</v>
      </c>
      <c r="B2659" s="35">
        <v>0.43820226192474299</v>
      </c>
      <c r="C2659" s="36">
        <v>0.02</v>
      </c>
    </row>
    <row r="2660" spans="1:3" x14ac:dyDescent="0.25">
      <c r="A2660" s="46" t="s">
        <v>3876</v>
      </c>
      <c r="B2660" s="35">
        <v>0.70930230617523105</v>
      </c>
      <c r="C2660" s="36">
        <v>0.02</v>
      </c>
    </row>
    <row r="2661" spans="1:3" x14ac:dyDescent="0.25">
      <c r="A2661" s="46" t="s">
        <v>3877</v>
      </c>
      <c r="B2661" s="35">
        <v>0.43070361018180803</v>
      </c>
      <c r="C2661" s="36">
        <v>0.12</v>
      </c>
    </row>
    <row r="2662" spans="1:3" x14ac:dyDescent="0.25">
      <c r="A2662" s="46" t="s">
        <v>3878</v>
      </c>
      <c r="B2662" s="35">
        <v>0.64312267303466797</v>
      </c>
      <c r="C2662" s="36">
        <v>0.15</v>
      </c>
    </row>
    <row r="2663" spans="1:3" x14ac:dyDescent="0.25">
      <c r="A2663" s="46" t="s">
        <v>3879</v>
      </c>
      <c r="B2663" s="35">
        <v>0.59090906381607</v>
      </c>
      <c r="C2663" s="36">
        <v>0.1</v>
      </c>
    </row>
    <row r="2664" spans="1:3" x14ac:dyDescent="0.25">
      <c r="A2664" s="46" t="s">
        <v>3880</v>
      </c>
      <c r="B2664" s="35">
        <v>0.51107013225555398</v>
      </c>
      <c r="C2664" s="36">
        <v>0.47</v>
      </c>
    </row>
    <row r="2665" spans="1:3" x14ac:dyDescent="0.25">
      <c r="A2665" s="46" t="s">
        <v>3881</v>
      </c>
      <c r="B2665" s="35">
        <v>0.53323483467101995</v>
      </c>
      <c r="C2665" s="36">
        <v>0.1</v>
      </c>
    </row>
    <row r="2666" spans="1:3" x14ac:dyDescent="0.25">
      <c r="A2666" s="46" t="s">
        <v>3882</v>
      </c>
      <c r="B2666" s="35">
        <v>0.55407404899597101</v>
      </c>
      <c r="C2666" s="36">
        <v>0.18</v>
      </c>
    </row>
    <row r="2667" spans="1:3" x14ac:dyDescent="0.25">
      <c r="A2667" s="46" t="s">
        <v>3883</v>
      </c>
      <c r="B2667" s="35">
        <v>0.453125</v>
      </c>
      <c r="C2667" s="36">
        <v>0.33</v>
      </c>
    </row>
    <row r="2668" spans="1:3" x14ac:dyDescent="0.25">
      <c r="A2668" s="46" t="s">
        <v>3884</v>
      </c>
      <c r="B2668" s="35">
        <v>0.531802117824554</v>
      </c>
      <c r="C2668" s="36">
        <v>0.11</v>
      </c>
    </row>
    <row r="2669" spans="1:3" x14ac:dyDescent="0.25">
      <c r="A2669" s="46" t="s">
        <v>3885</v>
      </c>
      <c r="B2669" s="35">
        <v>0.61878454685211104</v>
      </c>
      <c r="C2669" s="36">
        <v>0.12</v>
      </c>
    </row>
    <row r="2670" spans="1:3" x14ac:dyDescent="0.25">
      <c r="A2670" s="46" t="s">
        <v>3886</v>
      </c>
      <c r="B2670" s="35">
        <v>0.61042946577072099</v>
      </c>
      <c r="C2670" s="36">
        <v>0.36</v>
      </c>
    </row>
    <row r="2671" spans="1:3" x14ac:dyDescent="0.25">
      <c r="A2671" s="46" t="s">
        <v>3887</v>
      </c>
      <c r="B2671" s="35">
        <v>0.75184273719787598</v>
      </c>
      <c r="C2671" s="36">
        <v>0.3</v>
      </c>
    </row>
    <row r="2672" spans="1:3" x14ac:dyDescent="0.25">
      <c r="A2672" s="46" t="s">
        <v>3888</v>
      </c>
      <c r="B2672" s="35">
        <v>0.83076924085616999</v>
      </c>
      <c r="C2672" s="36">
        <v>0.34</v>
      </c>
    </row>
    <row r="2673" spans="1:3" x14ac:dyDescent="0.25">
      <c r="A2673" s="46" t="s">
        <v>3889</v>
      </c>
      <c r="B2673" s="35">
        <v>0.62880325317382801</v>
      </c>
      <c r="C2673" s="36">
        <v>0.28999999999999998</v>
      </c>
    </row>
    <row r="2674" spans="1:3" x14ac:dyDescent="0.25">
      <c r="A2674" s="46" t="s">
        <v>3890</v>
      </c>
      <c r="B2674" s="35">
        <v>0.80737704038619995</v>
      </c>
      <c r="C2674" s="36">
        <v>0</v>
      </c>
    </row>
    <row r="2675" spans="1:3" x14ac:dyDescent="0.25">
      <c r="A2675" s="46" t="s">
        <v>3891</v>
      </c>
      <c r="B2675" s="35">
        <v>0.66193854808807295</v>
      </c>
      <c r="C2675" s="36">
        <v>0</v>
      </c>
    </row>
    <row r="2676" spans="1:3" x14ac:dyDescent="0.25">
      <c r="A2676" s="46" t="s">
        <v>3892</v>
      </c>
      <c r="B2676" s="35">
        <v>0.58542716503143299</v>
      </c>
      <c r="C2676" s="36">
        <v>0.18</v>
      </c>
    </row>
    <row r="2677" spans="1:3" x14ac:dyDescent="0.25">
      <c r="A2677" s="46" t="s">
        <v>3893</v>
      </c>
      <c r="B2677" s="35">
        <v>0.55180180072784402</v>
      </c>
      <c r="C2677" s="36">
        <v>0.06</v>
      </c>
    </row>
    <row r="2678" spans="1:3" x14ac:dyDescent="0.25">
      <c r="A2678" s="46" t="s">
        <v>3894</v>
      </c>
      <c r="B2678" s="35">
        <v>0.47379031777381803</v>
      </c>
      <c r="C2678" s="36">
        <v>0.33</v>
      </c>
    </row>
    <row r="2679" spans="1:3" x14ac:dyDescent="0.25">
      <c r="A2679" s="46" t="s">
        <v>3895</v>
      </c>
      <c r="B2679" s="35">
        <v>0.55922329425811701</v>
      </c>
      <c r="C2679" s="36">
        <v>0.06</v>
      </c>
    </row>
    <row r="2680" spans="1:3" x14ac:dyDescent="0.25">
      <c r="A2680" s="46" t="s">
        <v>3896</v>
      </c>
      <c r="B2680" s="35">
        <v>0.39686098694801297</v>
      </c>
      <c r="C2680" s="36">
        <v>0.28999999999999998</v>
      </c>
    </row>
    <row r="2681" spans="1:3" x14ac:dyDescent="0.25">
      <c r="A2681" s="46" t="s">
        <v>3897</v>
      </c>
      <c r="B2681" s="35">
        <v>0.46410685777664101</v>
      </c>
      <c r="C2681" s="36">
        <v>0.28999999999999998</v>
      </c>
    </row>
    <row r="2682" spans="1:3" x14ac:dyDescent="0.25">
      <c r="A2682" s="46" t="s">
        <v>3898</v>
      </c>
      <c r="B2682" s="35">
        <v>0.41052630543708801</v>
      </c>
      <c r="C2682" s="36">
        <v>0.28999999999999998</v>
      </c>
    </row>
    <row r="2683" spans="1:3" x14ac:dyDescent="0.25">
      <c r="A2683" s="46" t="s">
        <v>3899</v>
      </c>
      <c r="B2683" s="35">
        <v>0.66555184125900202</v>
      </c>
      <c r="C2683" s="36">
        <v>0.33</v>
      </c>
    </row>
    <row r="2684" spans="1:3" x14ac:dyDescent="0.25">
      <c r="A2684" s="46" t="s">
        <v>3900</v>
      </c>
      <c r="B2684" s="35">
        <v>0.54805493354797297</v>
      </c>
      <c r="C2684" s="36">
        <v>0.16</v>
      </c>
    </row>
    <row r="2685" spans="1:3" x14ac:dyDescent="0.25">
      <c r="A2685" s="46" t="s">
        <v>3901</v>
      </c>
      <c r="B2685" s="35">
        <v>0.61526948213577204</v>
      </c>
      <c r="C2685" s="36">
        <v>0.19</v>
      </c>
    </row>
    <row r="2686" spans="1:3" x14ac:dyDescent="0.25">
      <c r="A2686" s="46" t="s">
        <v>3902</v>
      </c>
      <c r="B2686" s="35">
        <v>0.45324879884719799</v>
      </c>
      <c r="C2686" s="36">
        <v>0.16</v>
      </c>
    </row>
    <row r="2687" spans="1:3" x14ac:dyDescent="0.25">
      <c r="A2687" s="46" t="s">
        <v>3903</v>
      </c>
      <c r="B2687" s="35">
        <v>0.61872148513793901</v>
      </c>
      <c r="C2687" s="36">
        <v>0.36</v>
      </c>
    </row>
    <row r="2688" spans="1:3" x14ac:dyDescent="0.25">
      <c r="A2688" s="46" t="s">
        <v>3904</v>
      </c>
      <c r="B2688" s="35">
        <v>0.447028428316116</v>
      </c>
      <c r="C2688" s="36">
        <v>0.28000000000000003</v>
      </c>
    </row>
    <row r="2689" spans="1:3" x14ac:dyDescent="0.25">
      <c r="A2689" s="46" t="s">
        <v>3905</v>
      </c>
      <c r="B2689" s="35">
        <v>0.65929204225540095</v>
      </c>
      <c r="C2689" s="36">
        <v>0.04</v>
      </c>
    </row>
    <row r="2690" spans="1:3" x14ac:dyDescent="0.25">
      <c r="A2690" s="46" t="s">
        <v>3906</v>
      </c>
      <c r="B2690" s="35">
        <v>0.59591370820999101</v>
      </c>
      <c r="C2690" s="36">
        <v>0.11</v>
      </c>
    </row>
    <row r="2691" spans="1:3" x14ac:dyDescent="0.25">
      <c r="A2691" s="46" t="s">
        <v>3907</v>
      </c>
      <c r="B2691" s="35">
        <v>0.76119405031204201</v>
      </c>
      <c r="C2691" s="36">
        <v>0.16</v>
      </c>
    </row>
    <row r="2692" spans="1:3" x14ac:dyDescent="0.25">
      <c r="A2692" s="46" t="s">
        <v>3908</v>
      </c>
      <c r="B2692" s="35">
        <v>0.75641024112701405</v>
      </c>
      <c r="C2692" s="36">
        <v>0.04</v>
      </c>
    </row>
    <row r="2693" spans="1:3" x14ac:dyDescent="0.25">
      <c r="A2693" s="46" t="s">
        <v>3909</v>
      </c>
      <c r="B2693" s="35">
        <v>0.74612402915954501</v>
      </c>
      <c r="C2693" s="36">
        <v>0.15</v>
      </c>
    </row>
    <row r="2694" spans="1:3" x14ac:dyDescent="0.25">
      <c r="A2694" s="46" t="s">
        <v>3910</v>
      </c>
      <c r="B2694" s="35">
        <v>0.58152174949645996</v>
      </c>
      <c r="C2694" s="36">
        <v>0.17</v>
      </c>
    </row>
    <row r="2695" spans="1:3" x14ac:dyDescent="0.25">
      <c r="A2695" s="46" t="s">
        <v>3911</v>
      </c>
      <c r="B2695" s="35">
        <v>0.61387634277343694</v>
      </c>
      <c r="C2695" s="36">
        <v>0.2</v>
      </c>
    </row>
    <row r="2696" spans="1:3" x14ac:dyDescent="0.25">
      <c r="A2696" s="46" t="s">
        <v>3912</v>
      </c>
      <c r="B2696" s="35">
        <v>0.59197324514389005</v>
      </c>
      <c r="C2696" s="36">
        <v>7.0000000000000007E-2</v>
      </c>
    </row>
    <row r="2697" spans="1:3" x14ac:dyDescent="0.25">
      <c r="A2697" s="46" t="s">
        <v>3913</v>
      </c>
      <c r="B2697" s="35">
        <v>0.53393667936324996</v>
      </c>
      <c r="C2697" s="36">
        <v>0.14000000000000001</v>
      </c>
    </row>
    <row r="2698" spans="1:3" x14ac:dyDescent="0.25">
      <c r="A2698" s="46" t="s">
        <v>3914</v>
      </c>
      <c r="B2698" s="35">
        <v>0.435413628816604</v>
      </c>
      <c r="C2698" s="36">
        <v>0.33</v>
      </c>
    </row>
    <row r="2699" spans="1:3" x14ac:dyDescent="0.25">
      <c r="A2699" s="46" t="s">
        <v>3915</v>
      </c>
      <c r="B2699" s="35">
        <v>0.59482759237289395</v>
      </c>
      <c r="C2699" s="36">
        <v>0.08</v>
      </c>
    </row>
    <row r="2700" spans="1:3" x14ac:dyDescent="0.25">
      <c r="A2700" s="46" t="s">
        <v>3916</v>
      </c>
      <c r="B2700" s="35">
        <v>0.50724637508392301</v>
      </c>
      <c r="C2700" s="36">
        <v>0.28999999999999998</v>
      </c>
    </row>
    <row r="2701" spans="1:3" x14ac:dyDescent="0.25">
      <c r="A2701" s="46" t="s">
        <v>3917</v>
      </c>
      <c r="B2701" s="35">
        <v>0.47352939844131398</v>
      </c>
      <c r="C2701" s="36">
        <v>0.12</v>
      </c>
    </row>
    <row r="2702" spans="1:3" x14ac:dyDescent="0.25">
      <c r="A2702" s="46" t="s">
        <v>3918</v>
      </c>
      <c r="B2702" s="35">
        <v>0.50501674413680997</v>
      </c>
      <c r="C2702" s="36">
        <v>7.0000000000000007E-2</v>
      </c>
    </row>
    <row r="2703" spans="1:3" x14ac:dyDescent="0.25">
      <c r="A2703" s="46" t="s">
        <v>3919</v>
      </c>
      <c r="B2703" s="35">
        <v>0.39795917272567699</v>
      </c>
      <c r="C2703" s="36">
        <v>0.02</v>
      </c>
    </row>
    <row r="2704" spans="1:3" x14ac:dyDescent="0.25">
      <c r="A2704" s="46" t="s">
        <v>3920</v>
      </c>
      <c r="B2704" s="35">
        <v>0.45241808891296298</v>
      </c>
      <c r="C2704" s="36">
        <v>0.22</v>
      </c>
    </row>
    <row r="2705" spans="1:3" x14ac:dyDescent="0.25">
      <c r="A2705" s="46" t="s">
        <v>3921</v>
      </c>
      <c r="B2705" s="35">
        <v>0.59139782190322798</v>
      </c>
      <c r="C2705" s="36">
        <v>0.04</v>
      </c>
    </row>
    <row r="2706" spans="1:3" x14ac:dyDescent="0.25">
      <c r="A2706" s="46" t="s">
        <v>3922</v>
      </c>
      <c r="B2706" s="35">
        <v>0.65894037485122603</v>
      </c>
      <c r="C2706" s="36">
        <v>7.0000000000000007E-2</v>
      </c>
    </row>
    <row r="2707" spans="1:3" x14ac:dyDescent="0.25">
      <c r="A2707" s="46" t="s">
        <v>3923</v>
      </c>
      <c r="B2707" s="35">
        <v>0.52412647008895796</v>
      </c>
      <c r="C2707" s="36">
        <v>0.24</v>
      </c>
    </row>
    <row r="2708" spans="1:3" x14ac:dyDescent="0.25">
      <c r="A2708" s="46" t="s">
        <v>3924</v>
      </c>
      <c r="B2708" s="35">
        <v>0.53773581981658902</v>
      </c>
      <c r="C2708" s="36">
        <v>0.08</v>
      </c>
    </row>
    <row r="2709" spans="1:3" x14ac:dyDescent="0.25">
      <c r="A2709" s="46" t="s">
        <v>3925</v>
      </c>
      <c r="B2709" s="35">
        <v>0.485795468091964</v>
      </c>
      <c r="C2709" s="36">
        <v>0.1</v>
      </c>
    </row>
    <row r="2710" spans="1:3" x14ac:dyDescent="0.25">
      <c r="A2710" s="46" t="s">
        <v>3926</v>
      </c>
      <c r="B2710" s="35">
        <v>0.57359635829925504</v>
      </c>
      <c r="C2710" s="36">
        <v>0.11</v>
      </c>
    </row>
    <row r="2711" spans="1:3" x14ac:dyDescent="0.25">
      <c r="A2711" s="46" t="s">
        <v>3927</v>
      </c>
      <c r="B2711" s="35">
        <v>0.45341613888740501</v>
      </c>
      <c r="C2711" s="36">
        <v>0.17</v>
      </c>
    </row>
    <row r="2712" spans="1:3" x14ac:dyDescent="0.25">
      <c r="A2712" s="46" t="s">
        <v>3928</v>
      </c>
      <c r="B2712" s="35">
        <v>0.53790611028671198</v>
      </c>
      <c r="C2712" s="36">
        <v>0.22</v>
      </c>
    </row>
    <row r="2713" spans="1:3" x14ac:dyDescent="0.25">
      <c r="A2713" s="46" t="s">
        <v>3929</v>
      </c>
      <c r="B2713" s="35">
        <v>0.43811881542205799</v>
      </c>
      <c r="C2713" s="36">
        <v>0.36</v>
      </c>
    </row>
    <row r="2714" spans="1:3" x14ac:dyDescent="0.25">
      <c r="A2714" s="46" t="s">
        <v>3930</v>
      </c>
      <c r="B2714" s="35">
        <v>0.69867551326751698</v>
      </c>
      <c r="C2714" s="36">
        <v>0.33</v>
      </c>
    </row>
    <row r="2715" spans="1:3" x14ac:dyDescent="0.25">
      <c r="A2715" s="46" t="s">
        <v>3931</v>
      </c>
      <c r="B2715" s="35">
        <v>0.84740740060806197</v>
      </c>
      <c r="C2715" s="36">
        <v>0.09</v>
      </c>
    </row>
    <row r="2716" spans="1:3" x14ac:dyDescent="0.25">
      <c r="A2716" s="46" t="s">
        <v>3932</v>
      </c>
      <c r="B2716" s="35">
        <v>0.57373738288879395</v>
      </c>
      <c r="C2716" s="36">
        <v>0.3</v>
      </c>
    </row>
    <row r="2717" spans="1:3" x14ac:dyDescent="0.25">
      <c r="A2717" s="46" t="s">
        <v>3933</v>
      </c>
      <c r="B2717" s="35">
        <v>0.57531380653381303</v>
      </c>
      <c r="C2717" s="36">
        <v>0.27</v>
      </c>
    </row>
    <row r="2718" spans="1:3" x14ac:dyDescent="0.25">
      <c r="A2718" s="46" t="s">
        <v>3934</v>
      </c>
      <c r="B2718" s="35">
        <v>0.56479215621948198</v>
      </c>
      <c r="C2718" s="36">
        <v>0.21</v>
      </c>
    </row>
    <row r="2719" spans="1:3" x14ac:dyDescent="0.25">
      <c r="A2719" s="46" t="s">
        <v>3935</v>
      </c>
      <c r="B2719" s="35">
        <v>0.53454548120498602</v>
      </c>
      <c r="C2719" s="36">
        <v>0.12</v>
      </c>
    </row>
    <row r="2720" spans="1:3" x14ac:dyDescent="0.25">
      <c r="A2720" s="46" t="s">
        <v>3936</v>
      </c>
      <c r="B2720" s="35">
        <v>0.55813956260681097</v>
      </c>
      <c r="C2720" s="36">
        <v>0.34</v>
      </c>
    </row>
    <row r="2721" spans="1:3" x14ac:dyDescent="0.25">
      <c r="A2721" s="46" t="s">
        <v>3937</v>
      </c>
      <c r="B2721" s="35">
        <v>0.67058825492858798</v>
      </c>
      <c r="C2721" s="36">
        <v>0.09</v>
      </c>
    </row>
    <row r="2722" spans="1:3" x14ac:dyDescent="0.25">
      <c r="A2722" s="46" t="s">
        <v>3938</v>
      </c>
      <c r="B2722" s="35">
        <v>0.50819671154022195</v>
      </c>
      <c r="C2722" s="36">
        <v>0.25</v>
      </c>
    </row>
    <row r="2723" spans="1:3" x14ac:dyDescent="0.25">
      <c r="A2723" s="46" t="s">
        <v>3939</v>
      </c>
      <c r="B2723" s="35">
        <v>0.62368816137313798</v>
      </c>
      <c r="C2723" s="36">
        <v>0.16</v>
      </c>
    </row>
    <row r="2724" spans="1:3" x14ac:dyDescent="0.25">
      <c r="A2724" s="46" t="s">
        <v>3940</v>
      </c>
      <c r="B2724" s="35">
        <v>0.59139782190322798</v>
      </c>
      <c r="C2724" s="36">
        <v>0.09</v>
      </c>
    </row>
    <row r="2725" spans="1:3" x14ac:dyDescent="0.25">
      <c r="A2725" s="46" t="s">
        <v>3941</v>
      </c>
      <c r="B2725" s="35">
        <v>0.49622166156768799</v>
      </c>
      <c r="C2725" s="36">
        <v>0.1</v>
      </c>
    </row>
    <row r="2726" spans="1:3" x14ac:dyDescent="0.25">
      <c r="A2726" s="46" t="s">
        <v>3942</v>
      </c>
      <c r="B2726" s="35">
        <v>0.39795917272567699</v>
      </c>
      <c r="C2726" s="36">
        <v>0.02</v>
      </c>
    </row>
    <row r="2727" spans="1:3" x14ac:dyDescent="0.25">
      <c r="A2727" s="46" t="s">
        <v>3943</v>
      </c>
      <c r="B2727" s="35">
        <v>0.62957316637039096</v>
      </c>
      <c r="C2727" s="36">
        <v>0.19</v>
      </c>
    </row>
    <row r="2728" spans="1:3" x14ac:dyDescent="0.25">
      <c r="A2728" s="46" t="s">
        <v>3944</v>
      </c>
      <c r="B2728" s="35">
        <v>0.57619047164916903</v>
      </c>
      <c r="C2728" s="36">
        <v>0.45</v>
      </c>
    </row>
    <row r="2729" spans="1:3" x14ac:dyDescent="0.25">
      <c r="A2729" s="46" t="s">
        <v>3945</v>
      </c>
      <c r="B2729" s="35">
        <v>0.43910256028175298</v>
      </c>
      <c r="C2729" s="36">
        <v>0.17</v>
      </c>
    </row>
    <row r="2730" spans="1:3" x14ac:dyDescent="0.25">
      <c r="A2730" s="46" t="s">
        <v>3946</v>
      </c>
      <c r="B2730" s="35">
        <v>0.53991597890853804</v>
      </c>
      <c r="C2730" s="36">
        <v>0.2</v>
      </c>
    </row>
    <row r="2731" spans="1:3" x14ac:dyDescent="0.25">
      <c r="A2731" s="46" t="s">
        <v>3947</v>
      </c>
      <c r="B2731" s="35">
        <v>0.48648649454116799</v>
      </c>
      <c r="C2731" s="36">
        <v>0.35</v>
      </c>
    </row>
    <row r="2732" spans="1:3" x14ac:dyDescent="0.25">
      <c r="A2732" s="46" t="s">
        <v>3948</v>
      </c>
      <c r="B2732" s="35">
        <v>0.74935400485992398</v>
      </c>
      <c r="C2732" s="36">
        <v>0.04</v>
      </c>
    </row>
    <row r="2733" spans="1:3" x14ac:dyDescent="0.25">
      <c r="A2733" s="46" t="s">
        <v>3949</v>
      </c>
      <c r="B2733" s="35">
        <v>0.84218752384185702</v>
      </c>
      <c r="C2733" s="36">
        <v>0.11</v>
      </c>
    </row>
    <row r="2734" spans="1:3" x14ac:dyDescent="0.25">
      <c r="A2734" s="46" t="s">
        <v>3950</v>
      </c>
      <c r="B2734" s="35">
        <v>0.55015838146209695</v>
      </c>
      <c r="C2734" s="36">
        <v>0.27</v>
      </c>
    </row>
    <row r="2735" spans="1:3" x14ac:dyDescent="0.25">
      <c r="A2735" s="46" t="s">
        <v>3951</v>
      </c>
      <c r="B2735" s="35">
        <v>0.40925267338752702</v>
      </c>
      <c r="C2735" s="36">
        <v>0.5</v>
      </c>
    </row>
    <row r="2736" spans="1:3" x14ac:dyDescent="0.25">
      <c r="A2736" s="46" t="s">
        <v>3952</v>
      </c>
      <c r="B2736" s="35">
        <v>0.64419478178024203</v>
      </c>
      <c r="C2736" s="36">
        <v>0.11</v>
      </c>
    </row>
    <row r="2737" spans="1:3" x14ac:dyDescent="0.25">
      <c r="A2737" s="46" t="s">
        <v>3953</v>
      </c>
      <c r="B2737" s="35">
        <v>0.58257919549942005</v>
      </c>
      <c r="C2737" s="36">
        <v>0.15</v>
      </c>
    </row>
    <row r="2738" spans="1:3" x14ac:dyDescent="0.25">
      <c r="A2738" s="46" t="s">
        <v>3954</v>
      </c>
      <c r="B2738" s="35">
        <v>0.63678163290023804</v>
      </c>
      <c r="C2738" s="36">
        <v>0</v>
      </c>
    </row>
    <row r="2739" spans="1:3" x14ac:dyDescent="0.25">
      <c r="A2739" s="46" t="s">
        <v>3955</v>
      </c>
      <c r="B2739" s="35">
        <v>0.55384618043899503</v>
      </c>
      <c r="C2739" s="36">
        <v>0.28999999999999998</v>
      </c>
    </row>
    <row r="2740" spans="1:3" x14ac:dyDescent="0.25">
      <c r="A2740" s="46" t="s">
        <v>3956</v>
      </c>
      <c r="B2740" s="35">
        <v>0.43544304370880099</v>
      </c>
      <c r="C2740" s="36">
        <v>7.0000000000000007E-2</v>
      </c>
    </row>
    <row r="2741" spans="1:3" x14ac:dyDescent="0.25">
      <c r="A2741" s="46" t="s">
        <v>3957</v>
      </c>
      <c r="B2741" s="35">
        <v>0.82697200775146396</v>
      </c>
      <c r="C2741" s="36">
        <v>0.27</v>
      </c>
    </row>
    <row r="2742" spans="1:3" x14ac:dyDescent="0.25">
      <c r="A2742" s="46" t="s">
        <v>3958</v>
      </c>
      <c r="B2742" s="35">
        <v>0.47352939844131398</v>
      </c>
      <c r="C2742" s="36">
        <v>0.14000000000000001</v>
      </c>
    </row>
    <row r="2743" spans="1:3" x14ac:dyDescent="0.25">
      <c r="A2743" s="46" t="s">
        <v>3959</v>
      </c>
      <c r="B2743" s="35">
        <v>0.38228437304496699</v>
      </c>
      <c r="C2743" s="36">
        <v>0.47</v>
      </c>
    </row>
    <row r="2744" spans="1:3" x14ac:dyDescent="0.25">
      <c r="A2744" s="46" t="s">
        <v>3960</v>
      </c>
      <c r="B2744" s="35">
        <v>0.79310345649719205</v>
      </c>
      <c r="C2744" s="36">
        <v>0.17</v>
      </c>
    </row>
    <row r="2745" spans="1:3" x14ac:dyDescent="0.25">
      <c r="A2745" s="46" t="s">
        <v>3961</v>
      </c>
      <c r="B2745" s="35">
        <v>0.50393700599670399</v>
      </c>
      <c r="C2745" s="36">
        <v>0.12</v>
      </c>
    </row>
    <row r="2746" spans="1:3" x14ac:dyDescent="0.25">
      <c r="A2746" s="46" t="s">
        <v>3962</v>
      </c>
      <c r="B2746" s="35">
        <v>0.78842318058013905</v>
      </c>
      <c r="C2746" s="36">
        <v>0</v>
      </c>
    </row>
    <row r="2747" spans="1:3" x14ac:dyDescent="0.25">
      <c r="A2747" s="46" t="s">
        <v>1271</v>
      </c>
      <c r="B2747" s="35">
        <v>0.57939916849136297</v>
      </c>
      <c r="C2747" s="36">
        <v>0.14000000000000001</v>
      </c>
    </row>
    <row r="2748" spans="1:3" x14ac:dyDescent="0.25">
      <c r="A2748" s="46" t="s">
        <v>3963</v>
      </c>
      <c r="B2748" s="35">
        <v>0.66834169626235895</v>
      </c>
      <c r="C2748" s="36">
        <v>0.13</v>
      </c>
    </row>
    <row r="2749" spans="1:3" x14ac:dyDescent="0.25">
      <c r="A2749" s="46" t="s">
        <v>3964</v>
      </c>
      <c r="B2749" s="35">
        <v>0.572981357574462</v>
      </c>
      <c r="C2749" s="36">
        <v>0.12</v>
      </c>
    </row>
    <row r="2750" spans="1:3" x14ac:dyDescent="0.25">
      <c r="A2750" s="46" t="s">
        <v>3965</v>
      </c>
      <c r="B2750" s="35">
        <v>0.67359048128127996</v>
      </c>
      <c r="C2750" s="36">
        <v>0.28000000000000003</v>
      </c>
    </row>
    <row r="2751" spans="1:3" x14ac:dyDescent="0.25">
      <c r="A2751" s="46" t="s">
        <v>3966</v>
      </c>
      <c r="B2751" s="35">
        <v>0.60747665166854803</v>
      </c>
      <c r="C2751" s="36">
        <v>0</v>
      </c>
    </row>
    <row r="2752" spans="1:3" x14ac:dyDescent="0.25">
      <c r="A2752" s="46" t="s">
        <v>3967</v>
      </c>
      <c r="B2752" s="35">
        <v>0.62751680612563998</v>
      </c>
      <c r="C2752" s="36">
        <v>0.06</v>
      </c>
    </row>
    <row r="2753" spans="1:3" x14ac:dyDescent="0.25">
      <c r="A2753" s="46" t="s">
        <v>3968</v>
      </c>
      <c r="B2753" s="35">
        <v>0.53333336114883401</v>
      </c>
      <c r="C2753" s="36">
        <v>0.52</v>
      </c>
    </row>
    <row r="2754" spans="1:3" x14ac:dyDescent="0.25">
      <c r="A2754" s="46" t="s">
        <v>3969</v>
      </c>
      <c r="B2754" s="35">
        <v>0.449748754501342</v>
      </c>
      <c r="C2754" s="36">
        <v>0.36</v>
      </c>
    </row>
    <row r="2755" spans="1:3" x14ac:dyDescent="0.25">
      <c r="A2755" s="46" t="s">
        <v>3970</v>
      </c>
      <c r="B2755" s="35">
        <v>0.77075099945068304</v>
      </c>
      <c r="C2755" s="36">
        <v>0.11</v>
      </c>
    </row>
    <row r="2756" spans="1:3" x14ac:dyDescent="0.25">
      <c r="A2756" s="46" t="s">
        <v>3971</v>
      </c>
      <c r="B2756" s="35">
        <v>0.57960200309753396</v>
      </c>
      <c r="C2756" s="36">
        <v>0.11</v>
      </c>
    </row>
    <row r="2757" spans="1:3" x14ac:dyDescent="0.25">
      <c r="A2757" s="46" t="s">
        <v>3972</v>
      </c>
      <c r="B2757" s="35">
        <v>0.47098213434219299</v>
      </c>
      <c r="C2757" s="36">
        <v>0.36</v>
      </c>
    </row>
    <row r="2758" spans="1:3" x14ac:dyDescent="0.25">
      <c r="A2758" s="46" t="s">
        <v>3973</v>
      </c>
      <c r="B2758" s="35">
        <v>0.68622446060180597</v>
      </c>
      <c r="C2758" s="36">
        <v>0.21</v>
      </c>
    </row>
    <row r="2759" spans="1:3" x14ac:dyDescent="0.25">
      <c r="A2759" s="46" t="s">
        <v>3974</v>
      </c>
      <c r="B2759" s="35">
        <v>0.60612690448760898</v>
      </c>
      <c r="C2759" s="36">
        <v>0.13</v>
      </c>
    </row>
    <row r="2760" spans="1:3" x14ac:dyDescent="0.25">
      <c r="A2760" s="46" t="s">
        <v>3975</v>
      </c>
      <c r="B2760" s="35">
        <v>0.66782009601592995</v>
      </c>
      <c r="C2760" s="36">
        <v>0.15</v>
      </c>
    </row>
    <row r="2761" spans="1:3" x14ac:dyDescent="0.25">
      <c r="A2761" s="46" t="s">
        <v>3976</v>
      </c>
      <c r="B2761" s="35">
        <v>0.59139782190322798</v>
      </c>
      <c r="C2761" s="36">
        <v>0.09</v>
      </c>
    </row>
    <row r="2762" spans="1:3" x14ac:dyDescent="0.25">
      <c r="A2762" s="46" t="s">
        <v>3977</v>
      </c>
      <c r="B2762" s="35">
        <v>0.80349344015121404</v>
      </c>
      <c r="C2762" s="36">
        <v>0.12</v>
      </c>
    </row>
    <row r="2763" spans="1:3" x14ac:dyDescent="0.25">
      <c r="A2763" s="46" t="s">
        <v>3978</v>
      </c>
      <c r="B2763" s="35">
        <v>0.58723402023315396</v>
      </c>
      <c r="C2763" s="36">
        <v>0.13</v>
      </c>
    </row>
    <row r="2764" spans="1:3" x14ac:dyDescent="0.25">
      <c r="A2764" s="46" t="s">
        <v>3979</v>
      </c>
      <c r="B2764" s="35">
        <v>0.48409405350685097</v>
      </c>
      <c r="C2764" s="36">
        <v>0.09</v>
      </c>
    </row>
    <row r="2765" spans="1:3" x14ac:dyDescent="0.25">
      <c r="A2765" s="46" t="s">
        <v>3980</v>
      </c>
      <c r="B2765" s="35">
        <v>0.59139782190322798</v>
      </c>
      <c r="C2765" s="36">
        <v>0.12</v>
      </c>
    </row>
    <row r="2766" spans="1:3" x14ac:dyDescent="0.25">
      <c r="A2766" s="46" t="s">
        <v>3981</v>
      </c>
      <c r="B2766" s="35">
        <v>0.47515529394149703</v>
      </c>
      <c r="C2766" s="36">
        <v>0.2</v>
      </c>
    </row>
    <row r="2767" spans="1:3" x14ac:dyDescent="0.25">
      <c r="A2767" s="46" t="s">
        <v>3982</v>
      </c>
      <c r="B2767" s="35">
        <v>0.61036038398742598</v>
      </c>
      <c r="C2767" s="36">
        <v>0</v>
      </c>
    </row>
    <row r="2768" spans="1:3" x14ac:dyDescent="0.25">
      <c r="A2768" s="46" t="s">
        <v>3983</v>
      </c>
      <c r="B2768" s="35">
        <v>0.45355191826820301</v>
      </c>
      <c r="C2768" s="36">
        <v>7.0000000000000007E-2</v>
      </c>
    </row>
    <row r="2769" spans="1:3" x14ac:dyDescent="0.25">
      <c r="A2769" s="46" t="s">
        <v>3984</v>
      </c>
      <c r="B2769" s="35">
        <v>0.52390438318252497</v>
      </c>
      <c r="C2769" s="36">
        <v>0.15</v>
      </c>
    </row>
    <row r="2770" spans="1:3" x14ac:dyDescent="0.25">
      <c r="A2770" s="46" t="s">
        <v>3985</v>
      </c>
      <c r="B2770" s="35">
        <v>0.55072462558746305</v>
      </c>
      <c r="C2770" s="36">
        <v>0.24</v>
      </c>
    </row>
    <row r="2771" spans="1:3" x14ac:dyDescent="0.25">
      <c r="A2771" s="46" t="s">
        <v>3986</v>
      </c>
      <c r="B2771" s="35">
        <v>0.430992722511291</v>
      </c>
      <c r="C2771" s="36">
        <v>0.31</v>
      </c>
    </row>
    <row r="2772" spans="1:3" x14ac:dyDescent="0.25">
      <c r="A2772" s="46" t="s">
        <v>3987</v>
      </c>
      <c r="B2772" s="35">
        <v>0.57189011573791504</v>
      </c>
      <c r="C2772" s="36">
        <v>0</v>
      </c>
    </row>
    <row r="2773" spans="1:3" x14ac:dyDescent="0.25">
      <c r="A2773" s="46" t="s">
        <v>3988</v>
      </c>
      <c r="B2773" s="35">
        <v>0.489270389080047</v>
      </c>
      <c r="C2773" s="36">
        <v>0.32</v>
      </c>
    </row>
    <row r="2774" spans="1:3" x14ac:dyDescent="0.25">
      <c r="A2774" s="46" t="s">
        <v>3989</v>
      </c>
      <c r="B2774" s="35">
        <v>0.55458515882491999</v>
      </c>
      <c r="C2774" s="36">
        <v>0.15</v>
      </c>
    </row>
    <row r="2775" spans="1:3" x14ac:dyDescent="0.25">
      <c r="A2775" s="46" t="s">
        <v>3990</v>
      </c>
      <c r="B2775" s="35">
        <v>0.56171733140945401</v>
      </c>
      <c r="C2775" s="36">
        <v>0.18</v>
      </c>
    </row>
    <row r="2776" spans="1:3" x14ac:dyDescent="0.25">
      <c r="A2776" s="46" t="s">
        <v>3991</v>
      </c>
      <c r="B2776" s="35">
        <v>0.831578969955444</v>
      </c>
      <c r="C2776" s="36">
        <v>0</v>
      </c>
    </row>
    <row r="2777" spans="1:3" x14ac:dyDescent="0.25">
      <c r="A2777" s="46" t="s">
        <v>3992</v>
      </c>
      <c r="B2777" s="35">
        <v>0.50133335590362504</v>
      </c>
      <c r="C2777" s="36">
        <v>0.2</v>
      </c>
    </row>
    <row r="2778" spans="1:3" x14ac:dyDescent="0.25">
      <c r="A2778" s="46" t="s">
        <v>3993</v>
      </c>
      <c r="B2778" s="35">
        <v>0.55496454238891602</v>
      </c>
      <c r="C2778" s="36">
        <v>0.45</v>
      </c>
    </row>
    <row r="2779" spans="1:3" x14ac:dyDescent="0.25">
      <c r="A2779" s="46" t="s">
        <v>3994</v>
      </c>
      <c r="B2779" s="35">
        <v>0.57760316133499101</v>
      </c>
      <c r="C2779" s="36">
        <v>0.36</v>
      </c>
    </row>
    <row r="2780" spans="1:3" x14ac:dyDescent="0.25">
      <c r="A2780" s="46" t="s">
        <v>3995</v>
      </c>
      <c r="B2780" s="35">
        <v>0.59297519922256403</v>
      </c>
      <c r="C2780" s="36">
        <v>0.36</v>
      </c>
    </row>
    <row r="2781" spans="1:3" x14ac:dyDescent="0.25">
      <c r="A2781" s="46" t="s">
        <v>3996</v>
      </c>
      <c r="B2781" s="35">
        <v>0.62725448608398404</v>
      </c>
      <c r="C2781" s="36">
        <v>0.19</v>
      </c>
    </row>
    <row r="2782" spans="1:3" x14ac:dyDescent="0.25">
      <c r="A2782" s="46" t="s">
        <v>3997</v>
      </c>
      <c r="B2782" s="35">
        <v>0.457478016614913</v>
      </c>
      <c r="C2782" s="36">
        <v>0.28000000000000003</v>
      </c>
    </row>
    <row r="2783" spans="1:3" x14ac:dyDescent="0.25">
      <c r="A2783" s="46" t="s">
        <v>1277</v>
      </c>
      <c r="B2783" s="35">
        <v>0.65527951717376698</v>
      </c>
      <c r="C2783" s="36">
        <v>0.15</v>
      </c>
    </row>
    <row r="2784" spans="1:3" x14ac:dyDescent="0.25">
      <c r="A2784" s="46" t="s">
        <v>3998</v>
      </c>
      <c r="B2784" s="35">
        <v>0.87606835365295399</v>
      </c>
      <c r="C2784" s="36">
        <v>0.21</v>
      </c>
    </row>
    <row r="2785" spans="1:3" x14ac:dyDescent="0.25">
      <c r="A2785" s="46" t="s">
        <v>3999</v>
      </c>
      <c r="B2785" s="35">
        <v>0.62295079231262196</v>
      </c>
      <c r="C2785" s="36">
        <v>0.21</v>
      </c>
    </row>
    <row r="2786" spans="1:3" x14ac:dyDescent="0.25">
      <c r="A2786" s="46" t="s">
        <v>4000</v>
      </c>
      <c r="B2786" s="35">
        <v>0.54882156848907404</v>
      </c>
      <c r="C2786" s="36">
        <v>0.38</v>
      </c>
    </row>
    <row r="2787" spans="1:3" x14ac:dyDescent="0.25">
      <c r="A2787" s="46" t="s">
        <v>4001</v>
      </c>
      <c r="B2787" s="35">
        <v>0.53445380926132202</v>
      </c>
      <c r="C2787" s="36">
        <v>0.05</v>
      </c>
    </row>
    <row r="2788" spans="1:3" x14ac:dyDescent="0.25">
      <c r="A2788" s="46" t="s">
        <v>4002</v>
      </c>
      <c r="B2788" s="35">
        <v>0.52167415618896396</v>
      </c>
      <c r="C2788" s="36">
        <v>0.28999999999999998</v>
      </c>
    </row>
    <row r="2789" spans="1:3" x14ac:dyDescent="0.25">
      <c r="A2789" s="46" t="s">
        <v>4003</v>
      </c>
      <c r="B2789" s="35">
        <v>0.59646016359329201</v>
      </c>
      <c r="C2789" s="36">
        <v>0.19</v>
      </c>
    </row>
    <row r="2790" spans="1:3" x14ac:dyDescent="0.25">
      <c r="A2790" s="46" t="s">
        <v>4004</v>
      </c>
      <c r="B2790" s="35">
        <v>0.421597629785537</v>
      </c>
      <c r="C2790" s="36">
        <v>0.35</v>
      </c>
    </row>
    <row r="2791" spans="1:3" x14ac:dyDescent="0.25">
      <c r="A2791" s="46" t="s">
        <v>4005</v>
      </c>
      <c r="B2791" s="35">
        <v>0.39182692766189497</v>
      </c>
      <c r="C2791" s="36">
        <v>0.23</v>
      </c>
    </row>
    <row r="2792" spans="1:3" x14ac:dyDescent="0.25">
      <c r="A2792" s="46" t="s">
        <v>4006</v>
      </c>
      <c r="B2792" s="35">
        <v>0.61111110448837203</v>
      </c>
      <c r="C2792" s="36">
        <v>0.28000000000000003</v>
      </c>
    </row>
    <row r="2793" spans="1:3" x14ac:dyDescent="0.25">
      <c r="A2793" s="46" t="s">
        <v>4007</v>
      </c>
      <c r="B2793" s="35">
        <v>0.46478873491287198</v>
      </c>
      <c r="C2793" s="36">
        <v>0.21</v>
      </c>
    </row>
    <row r="2794" spans="1:3" x14ac:dyDescent="0.25">
      <c r="A2794" s="46" t="s">
        <v>4008</v>
      </c>
      <c r="B2794" s="35">
        <v>0.47300469875335599</v>
      </c>
      <c r="C2794" s="36">
        <v>0.45</v>
      </c>
    </row>
    <row r="2795" spans="1:3" x14ac:dyDescent="0.25">
      <c r="A2795" s="46" t="s">
        <v>4009</v>
      </c>
      <c r="B2795" s="35">
        <v>0.53869497776031405</v>
      </c>
      <c r="C2795" s="36">
        <v>0.25</v>
      </c>
    </row>
    <row r="2796" spans="1:3" x14ac:dyDescent="0.25">
      <c r="A2796" s="46" t="s">
        <v>4010</v>
      </c>
      <c r="B2796" s="35">
        <v>0.45403900742530801</v>
      </c>
      <c r="C2796" s="36">
        <v>0.11</v>
      </c>
    </row>
    <row r="2797" spans="1:3" x14ac:dyDescent="0.25">
      <c r="A2797" s="46" t="s">
        <v>4011</v>
      </c>
      <c r="B2797" s="35">
        <v>0.50927835702896096</v>
      </c>
      <c r="C2797" s="36">
        <v>0.16</v>
      </c>
    </row>
    <row r="2798" spans="1:3" x14ac:dyDescent="0.25">
      <c r="A2798" s="46" t="s">
        <v>4012</v>
      </c>
      <c r="B2798" s="35">
        <v>0.51131224632263095</v>
      </c>
      <c r="C2798" s="36">
        <v>0.02</v>
      </c>
    </row>
    <row r="2799" spans="1:3" x14ac:dyDescent="0.25">
      <c r="A2799" s="46" t="s">
        <v>4013</v>
      </c>
      <c r="B2799" s="35">
        <v>0.58175557851791304</v>
      </c>
      <c r="C2799" s="36">
        <v>0.05</v>
      </c>
    </row>
    <row r="2800" spans="1:3" x14ac:dyDescent="0.25">
      <c r="A2800" s="46" t="s">
        <v>4014</v>
      </c>
      <c r="B2800" s="35">
        <v>0.58573853969573897</v>
      </c>
      <c r="C2800" s="36">
        <v>0.06</v>
      </c>
    </row>
    <row r="2801" spans="1:3" x14ac:dyDescent="0.25">
      <c r="A2801" s="46" t="s">
        <v>4015</v>
      </c>
      <c r="B2801" s="35">
        <v>0.621693134307861</v>
      </c>
      <c r="C2801" s="36">
        <v>7.0000000000000007E-2</v>
      </c>
    </row>
    <row r="2802" spans="1:3" x14ac:dyDescent="0.25">
      <c r="A2802" s="46" t="s">
        <v>4016</v>
      </c>
      <c r="B2802" s="35">
        <v>0.81277531385421697</v>
      </c>
      <c r="C2802" s="36">
        <v>0.49</v>
      </c>
    </row>
    <row r="2803" spans="1:3" x14ac:dyDescent="0.25">
      <c r="A2803" s="46" t="s">
        <v>4017</v>
      </c>
      <c r="B2803" s="35">
        <v>0.76368159055709794</v>
      </c>
      <c r="C2803" s="36">
        <v>0.33</v>
      </c>
    </row>
    <row r="2804" spans="1:3" x14ac:dyDescent="0.25">
      <c r="A2804" s="46" t="s">
        <v>4018</v>
      </c>
      <c r="B2804" s="35">
        <v>0.61927711963653498</v>
      </c>
      <c r="C2804" s="36">
        <v>0.36</v>
      </c>
    </row>
    <row r="2805" spans="1:3" x14ac:dyDescent="0.25">
      <c r="A2805" s="46" t="s">
        <v>4019</v>
      </c>
      <c r="B2805" s="35">
        <v>0.74709975719451904</v>
      </c>
      <c r="C2805" s="36">
        <v>0.4</v>
      </c>
    </row>
    <row r="2806" spans="1:3" x14ac:dyDescent="0.25">
      <c r="A2806" s="46" t="s">
        <v>4020</v>
      </c>
      <c r="B2806" s="35">
        <v>0.453237414360046</v>
      </c>
      <c r="C2806" s="36">
        <v>0.06</v>
      </c>
    </row>
    <row r="2807" spans="1:3" x14ac:dyDescent="0.25">
      <c r="A2807" s="46" t="s">
        <v>4021</v>
      </c>
      <c r="B2807" s="35">
        <v>0.58264464139938299</v>
      </c>
      <c r="C2807" s="36">
        <v>0.08</v>
      </c>
    </row>
    <row r="2808" spans="1:3" x14ac:dyDescent="0.25">
      <c r="A2808" s="46" t="s">
        <v>4022</v>
      </c>
      <c r="B2808" s="35">
        <v>0.78508770465850797</v>
      </c>
      <c r="C2808" s="36">
        <v>0</v>
      </c>
    </row>
    <row r="2809" spans="1:3" x14ac:dyDescent="0.25">
      <c r="A2809" s="46" t="s">
        <v>4023</v>
      </c>
      <c r="B2809" s="35">
        <v>0.64194375276565496</v>
      </c>
      <c r="C2809" s="36">
        <v>0</v>
      </c>
    </row>
    <row r="2810" spans="1:3" x14ac:dyDescent="0.25">
      <c r="A2810" s="46" t="s">
        <v>4024</v>
      </c>
      <c r="B2810" s="35">
        <v>0.80172413587570102</v>
      </c>
      <c r="C2810" s="36">
        <v>0</v>
      </c>
    </row>
    <row r="2811" spans="1:3" x14ac:dyDescent="0.25">
      <c r="A2811" s="46" t="s">
        <v>4025</v>
      </c>
      <c r="B2811" s="35">
        <v>0.63849765062332098</v>
      </c>
      <c r="C2811" s="36">
        <v>0</v>
      </c>
    </row>
    <row r="2812" spans="1:3" x14ac:dyDescent="0.25">
      <c r="A2812" s="46" t="s">
        <v>4026</v>
      </c>
      <c r="B2812" s="35">
        <v>0.64530891180038397</v>
      </c>
      <c r="C2812" s="36">
        <v>7.0000000000000007E-2</v>
      </c>
    </row>
    <row r="2813" spans="1:3" x14ac:dyDescent="0.25">
      <c r="A2813" s="46" t="s">
        <v>4027</v>
      </c>
      <c r="B2813" s="35">
        <v>0.51916378736495905</v>
      </c>
      <c r="C2813" s="36">
        <v>0.16</v>
      </c>
    </row>
    <row r="2814" spans="1:3" x14ac:dyDescent="0.25">
      <c r="A2814" s="46" t="s">
        <v>4028</v>
      </c>
      <c r="B2814" s="35">
        <v>0.63596493005752497</v>
      </c>
      <c r="C2814" s="36">
        <v>0</v>
      </c>
    </row>
    <row r="2815" spans="1:3" x14ac:dyDescent="0.25">
      <c r="A2815" s="46" t="s">
        <v>4029</v>
      </c>
      <c r="B2815" s="35">
        <v>0.61678004264831499</v>
      </c>
      <c r="C2815" s="36">
        <v>0</v>
      </c>
    </row>
    <row r="2816" spans="1:3" x14ac:dyDescent="0.25">
      <c r="A2816" s="46" t="s">
        <v>4030</v>
      </c>
      <c r="B2816" s="35">
        <v>0.55959594249725297</v>
      </c>
      <c r="C2816" s="36">
        <v>0</v>
      </c>
    </row>
    <row r="2817" spans="1:3" x14ac:dyDescent="0.25">
      <c r="A2817" s="46" t="s">
        <v>4031</v>
      </c>
      <c r="B2817" s="35">
        <v>0.63249516487121504</v>
      </c>
      <c r="C2817" s="36">
        <v>0</v>
      </c>
    </row>
    <row r="2818" spans="1:3" x14ac:dyDescent="0.25">
      <c r="A2818" s="46" t="s">
        <v>4032</v>
      </c>
      <c r="B2818" s="35">
        <v>0.59923666715621904</v>
      </c>
      <c r="C2818" s="36">
        <v>0</v>
      </c>
    </row>
    <row r="2819" spans="1:3" x14ac:dyDescent="0.25">
      <c r="A2819" s="46" t="s">
        <v>4033</v>
      </c>
      <c r="B2819" s="35">
        <v>0.60794472694396895</v>
      </c>
      <c r="C2819" s="36">
        <v>0</v>
      </c>
    </row>
    <row r="2820" spans="1:3" x14ac:dyDescent="0.25">
      <c r="A2820" s="46" t="s">
        <v>4034</v>
      </c>
      <c r="B2820" s="35">
        <v>0.62473344802856401</v>
      </c>
      <c r="C2820" s="36">
        <v>0</v>
      </c>
    </row>
    <row r="2821" spans="1:3" x14ac:dyDescent="0.25">
      <c r="A2821" s="46" t="s">
        <v>4035</v>
      </c>
      <c r="B2821" s="35">
        <v>8.8235296308994293E-2</v>
      </c>
      <c r="C2821" s="36">
        <v>0.47</v>
      </c>
    </row>
    <row r="2822" spans="1:3" x14ac:dyDescent="0.25">
      <c r="A2822" s="46" t="s">
        <v>4036</v>
      </c>
      <c r="B2822" s="35">
        <v>0.64009112119674605</v>
      </c>
      <c r="C2822" s="36">
        <v>0</v>
      </c>
    </row>
    <row r="2823" spans="1:3" x14ac:dyDescent="0.25">
      <c r="A2823" s="46" t="s">
        <v>4037</v>
      </c>
      <c r="B2823" s="35">
        <v>0.68737477064132602</v>
      </c>
      <c r="C2823" s="36">
        <v>0</v>
      </c>
    </row>
    <row r="2824" spans="1:3" x14ac:dyDescent="0.25">
      <c r="A2824" s="46" t="s">
        <v>4038</v>
      </c>
      <c r="B2824" s="35">
        <v>0.57166665792465199</v>
      </c>
      <c r="C2824" s="36">
        <v>0</v>
      </c>
    </row>
    <row r="2825" spans="1:3" x14ac:dyDescent="0.25">
      <c r="A2825" s="46" t="s">
        <v>4039</v>
      </c>
      <c r="B2825" s="35">
        <v>0.59029126167297297</v>
      </c>
      <c r="C2825" s="36">
        <v>0</v>
      </c>
    </row>
    <row r="2826" spans="1:3" x14ac:dyDescent="0.25">
      <c r="A2826" s="46" t="s">
        <v>4040</v>
      </c>
      <c r="B2826" s="35">
        <v>0.63532108068466098</v>
      </c>
      <c r="C2826" s="36">
        <v>0</v>
      </c>
    </row>
    <row r="2827" spans="1:3" x14ac:dyDescent="0.25">
      <c r="A2827" s="46" t="s">
        <v>4041</v>
      </c>
      <c r="B2827" s="35">
        <v>0.51661306619644098</v>
      </c>
      <c r="C2827" s="36">
        <v>0.41</v>
      </c>
    </row>
    <row r="2828" spans="1:3" x14ac:dyDescent="0.25">
      <c r="A2828" s="46" t="s">
        <v>4042</v>
      </c>
      <c r="B2828" s="35">
        <v>0.70142179727554299</v>
      </c>
      <c r="C2828" s="36">
        <v>0</v>
      </c>
    </row>
    <row r="2829" spans="1:3" x14ac:dyDescent="0.25">
      <c r="A2829" s="46" t="s">
        <v>4043</v>
      </c>
      <c r="B2829" s="35">
        <v>0.61419069766998202</v>
      </c>
      <c r="C2829" s="36">
        <v>0</v>
      </c>
    </row>
    <row r="2830" spans="1:3" x14ac:dyDescent="0.25">
      <c r="A2830" s="46" t="s">
        <v>4044</v>
      </c>
      <c r="B2830" s="35">
        <v>0.687022924423217</v>
      </c>
      <c r="C2830" s="36">
        <v>0</v>
      </c>
    </row>
    <row r="2831" spans="1:3" x14ac:dyDescent="0.25">
      <c r="A2831" s="46" t="s">
        <v>4045</v>
      </c>
      <c r="B2831" s="35">
        <v>0.64539009332656805</v>
      </c>
      <c r="C2831" s="36">
        <v>0</v>
      </c>
    </row>
    <row r="2832" spans="1:3" x14ac:dyDescent="0.25">
      <c r="A2832" s="46" t="s">
        <v>4046</v>
      </c>
      <c r="B2832" s="35">
        <v>0.66176468133926303</v>
      </c>
      <c r="C2832" s="36">
        <v>0</v>
      </c>
    </row>
    <row r="2833" spans="1:3" x14ac:dyDescent="0.25">
      <c r="A2833" s="46" t="s">
        <v>4047</v>
      </c>
      <c r="B2833" s="35">
        <v>0.50972759723663297</v>
      </c>
      <c r="C2833" s="36">
        <v>0.38</v>
      </c>
    </row>
    <row r="2834" spans="1:3" x14ac:dyDescent="0.25">
      <c r="A2834" s="46" t="s">
        <v>4048</v>
      </c>
      <c r="B2834" s="35">
        <v>0.53107345104217496</v>
      </c>
      <c r="C2834" s="36">
        <v>0.35</v>
      </c>
    </row>
    <row r="2835" spans="1:3" x14ac:dyDescent="0.25">
      <c r="A2835" s="46" t="s">
        <v>4049</v>
      </c>
      <c r="B2835" s="35">
        <v>0.66117644309997503</v>
      </c>
      <c r="C2835" s="36">
        <v>0</v>
      </c>
    </row>
    <row r="2836" spans="1:3" x14ac:dyDescent="0.25">
      <c r="A2836" s="46" t="s">
        <v>4050</v>
      </c>
      <c r="B2836" s="35">
        <v>0.66666668653488104</v>
      </c>
      <c r="C2836" s="36">
        <v>0</v>
      </c>
    </row>
    <row r="2837" spans="1:3" x14ac:dyDescent="0.25">
      <c r="A2837" s="46" t="s">
        <v>4051</v>
      </c>
      <c r="B2837" s="35">
        <v>0.827731072902679</v>
      </c>
      <c r="C2837" s="36">
        <v>0</v>
      </c>
    </row>
    <row r="2838" spans="1:3" x14ac:dyDescent="0.25">
      <c r="A2838" s="46" t="s">
        <v>4052</v>
      </c>
      <c r="B2838" s="35">
        <v>0.53025305271148604</v>
      </c>
      <c r="C2838" s="36">
        <v>0</v>
      </c>
    </row>
    <row r="2839" spans="1:3" x14ac:dyDescent="0.25">
      <c r="A2839" s="46" t="s">
        <v>4053</v>
      </c>
      <c r="B2839" s="35">
        <v>0.585746109485626</v>
      </c>
      <c r="C2839" s="36">
        <v>0</v>
      </c>
    </row>
    <row r="2840" spans="1:3" x14ac:dyDescent="0.25">
      <c r="A2840" s="46" t="s">
        <v>4054</v>
      </c>
      <c r="B2840" s="35">
        <v>0.58797329664230302</v>
      </c>
      <c r="C2840" s="36">
        <v>0</v>
      </c>
    </row>
    <row r="2841" spans="1:3" x14ac:dyDescent="0.25">
      <c r="A2841" s="46" t="s">
        <v>4055</v>
      </c>
      <c r="B2841" s="35">
        <v>0.58797329664230302</v>
      </c>
      <c r="C2841" s="36">
        <v>0</v>
      </c>
    </row>
    <row r="2842" spans="1:3" x14ac:dyDescent="0.25">
      <c r="A2842" s="46" t="s">
        <v>4056</v>
      </c>
      <c r="B2842" s="35">
        <v>0.56999999284744196</v>
      </c>
      <c r="C2842" s="36">
        <v>0</v>
      </c>
    </row>
    <row r="2843" spans="1:3" x14ac:dyDescent="0.25">
      <c r="A2843" s="46" t="s">
        <v>4057</v>
      </c>
      <c r="B2843" s="35">
        <v>0.58503401279449396</v>
      </c>
      <c r="C2843" s="36">
        <v>0</v>
      </c>
    </row>
    <row r="2844" spans="1:3" x14ac:dyDescent="0.25">
      <c r="A2844" s="46" t="s">
        <v>4058</v>
      </c>
      <c r="B2844" s="35">
        <v>0.51708072423934903</v>
      </c>
      <c r="C2844" s="36">
        <v>0.32</v>
      </c>
    </row>
    <row r="2845" spans="1:3" x14ac:dyDescent="0.25">
      <c r="A2845" s="46" t="s">
        <v>4059</v>
      </c>
      <c r="B2845" s="35">
        <v>0.78761059045791604</v>
      </c>
      <c r="C2845" s="36">
        <v>0.11</v>
      </c>
    </row>
    <row r="2846" spans="1:3" x14ac:dyDescent="0.25">
      <c r="A2846" s="46" t="s">
        <v>4060</v>
      </c>
      <c r="B2846" s="35">
        <v>0.79310345649719205</v>
      </c>
      <c r="C2846" s="36">
        <v>0</v>
      </c>
    </row>
    <row r="2847" spans="1:3" x14ac:dyDescent="0.25">
      <c r="A2847" s="46" t="s">
        <v>4061</v>
      </c>
      <c r="B2847" s="35">
        <v>0.61589401960372903</v>
      </c>
      <c r="C2847" s="36">
        <v>0.08</v>
      </c>
    </row>
    <row r="2848" spans="1:3" x14ac:dyDescent="0.25">
      <c r="A2848" s="46" t="s">
        <v>4062</v>
      </c>
      <c r="B2848" s="35">
        <v>0.63375794887542702</v>
      </c>
      <c r="C2848" s="36">
        <v>0</v>
      </c>
    </row>
    <row r="2849" spans="1:3" x14ac:dyDescent="0.25">
      <c r="A2849" s="46" t="s">
        <v>4063</v>
      </c>
      <c r="B2849" s="35">
        <v>0.80737704038619995</v>
      </c>
      <c r="C2849" s="36">
        <v>0</v>
      </c>
    </row>
    <row r="2850" spans="1:3" x14ac:dyDescent="0.25">
      <c r="A2850" s="46" t="s">
        <v>4064</v>
      </c>
      <c r="B2850" s="35">
        <v>0.68269228935241699</v>
      </c>
      <c r="C2850" s="36">
        <v>0</v>
      </c>
    </row>
    <row r="2851" spans="1:3" x14ac:dyDescent="0.25">
      <c r="A2851" s="46" t="s">
        <v>4065</v>
      </c>
      <c r="B2851" s="35">
        <v>0.79310345649719205</v>
      </c>
      <c r="C2851" s="36">
        <v>0</v>
      </c>
    </row>
    <row r="2852" spans="1:3" x14ac:dyDescent="0.25">
      <c r="A2852" s="46" t="s">
        <v>4066</v>
      </c>
      <c r="B2852" s="35">
        <v>0.79741376638412398</v>
      </c>
      <c r="C2852" s="36">
        <v>0</v>
      </c>
    </row>
    <row r="2853" spans="1:3" x14ac:dyDescent="0.25">
      <c r="A2853" s="46" t="s">
        <v>4067</v>
      </c>
      <c r="B2853" s="35">
        <v>0.66554051637649503</v>
      </c>
      <c r="C2853" s="36">
        <v>0</v>
      </c>
    </row>
    <row r="2854" spans="1:3" x14ac:dyDescent="0.25">
      <c r="A2854" s="46" t="s">
        <v>4068</v>
      </c>
      <c r="B2854" s="35">
        <v>0.58955222368240301</v>
      </c>
      <c r="C2854" s="36">
        <v>0.12</v>
      </c>
    </row>
    <row r="2855" spans="1:3" x14ac:dyDescent="0.25">
      <c r="A2855" s="46" t="s">
        <v>4069</v>
      </c>
      <c r="B2855" s="35">
        <v>0.65237021446228005</v>
      </c>
      <c r="C2855" s="36">
        <v>0</v>
      </c>
    </row>
    <row r="2856" spans="1:3" x14ac:dyDescent="0.25">
      <c r="A2856" s="46" t="s">
        <v>4070</v>
      </c>
      <c r="B2856" s="35">
        <v>0.71704179048538197</v>
      </c>
      <c r="C2856" s="36">
        <v>0</v>
      </c>
    </row>
    <row r="2857" spans="1:3" x14ac:dyDescent="0.25">
      <c r="A2857" s="46" t="s">
        <v>4071</v>
      </c>
      <c r="B2857" s="35">
        <v>0.61297541856765703</v>
      </c>
      <c r="C2857" s="36">
        <v>0</v>
      </c>
    </row>
    <row r="2858" spans="1:3" x14ac:dyDescent="0.25">
      <c r="A2858" s="46" t="s">
        <v>4072</v>
      </c>
      <c r="B2858" s="35">
        <v>0.64943820238113403</v>
      </c>
      <c r="C2858" s="36">
        <v>0</v>
      </c>
    </row>
    <row r="2859" spans="1:3" x14ac:dyDescent="0.25">
      <c r="A2859" s="46" t="s">
        <v>4073</v>
      </c>
      <c r="B2859" s="35">
        <v>0.64539009332656805</v>
      </c>
      <c r="C2859" s="36">
        <v>0</v>
      </c>
    </row>
    <row r="2860" spans="1:3" x14ac:dyDescent="0.25">
      <c r="A2860" s="46" t="s">
        <v>4074</v>
      </c>
      <c r="B2860" s="35">
        <v>0.60165977478027299</v>
      </c>
      <c r="C2860" s="36">
        <v>0</v>
      </c>
    </row>
    <row r="2861" spans="1:3" x14ac:dyDescent="0.25">
      <c r="A2861" s="46" t="s">
        <v>4075</v>
      </c>
      <c r="B2861" s="35">
        <v>0.62875539064407304</v>
      </c>
      <c r="C2861" s="36">
        <v>0</v>
      </c>
    </row>
    <row r="2862" spans="1:3" x14ac:dyDescent="0.25">
      <c r="A2862" s="46" t="s">
        <v>4076</v>
      </c>
      <c r="B2862" s="35">
        <v>0.54992073774337702</v>
      </c>
      <c r="C2862" s="36">
        <v>0</v>
      </c>
    </row>
    <row r="2863" spans="1:3" x14ac:dyDescent="0.25">
      <c r="A2863" s="46" t="s">
        <v>4077</v>
      </c>
      <c r="B2863" s="35">
        <v>0.57671958208084095</v>
      </c>
      <c r="C2863" s="36">
        <v>0</v>
      </c>
    </row>
    <row r="2864" spans="1:3" x14ac:dyDescent="0.25">
      <c r="A2864" s="46" t="s">
        <v>4078</v>
      </c>
      <c r="B2864" s="35">
        <v>0.52774631977081299</v>
      </c>
      <c r="C2864" s="36">
        <v>7.0000000000000007E-2</v>
      </c>
    </row>
    <row r="2865" spans="1:3" x14ac:dyDescent="0.25">
      <c r="A2865" s="46" t="s">
        <v>4079</v>
      </c>
      <c r="B2865" s="35">
        <v>0.64568763971328702</v>
      </c>
      <c r="C2865" s="36">
        <v>0</v>
      </c>
    </row>
    <row r="2866" spans="1:3" x14ac:dyDescent="0.25">
      <c r="A2866" s="46" t="s">
        <v>4080</v>
      </c>
      <c r="B2866" s="35">
        <v>0.65071767568588201</v>
      </c>
      <c r="C2866" s="36">
        <v>0</v>
      </c>
    </row>
    <row r="2867" spans="1:3" x14ac:dyDescent="0.25">
      <c r="A2867" s="46" t="s">
        <v>4081</v>
      </c>
      <c r="B2867" s="35">
        <v>0.49801325798034601</v>
      </c>
      <c r="C2867" s="36">
        <v>0.42</v>
      </c>
    </row>
    <row r="2868" spans="1:3" x14ac:dyDescent="0.25">
      <c r="A2868" s="46" t="s">
        <v>4082</v>
      </c>
      <c r="B2868" s="35">
        <v>0.49934470653533902</v>
      </c>
      <c r="C2868" s="36">
        <v>0.6</v>
      </c>
    </row>
    <row r="2869" spans="1:3" x14ac:dyDescent="0.25">
      <c r="A2869" s="46" t="s">
        <v>4083</v>
      </c>
      <c r="B2869" s="35">
        <v>0.64539009332656805</v>
      </c>
      <c r="C2869" s="36">
        <v>0</v>
      </c>
    </row>
    <row r="2870" spans="1:3" x14ac:dyDescent="0.25">
      <c r="A2870" s="46" t="s">
        <v>4084</v>
      </c>
      <c r="B2870" s="35">
        <v>0.53265303373336703</v>
      </c>
      <c r="C2870" s="36">
        <v>0</v>
      </c>
    </row>
    <row r="2871" spans="1:3" x14ac:dyDescent="0.25">
      <c r="A2871" s="46" t="s">
        <v>4085</v>
      </c>
      <c r="B2871" s="35">
        <v>0.63849765062332098</v>
      </c>
      <c r="C2871" s="36">
        <v>0</v>
      </c>
    </row>
    <row r="2872" spans="1:3" x14ac:dyDescent="0.25">
      <c r="A2872" s="46" t="s">
        <v>4086</v>
      </c>
      <c r="B2872" s="35">
        <v>0.64539009332656805</v>
      </c>
      <c r="C2872" s="36">
        <v>0</v>
      </c>
    </row>
    <row r="2873" spans="1:3" x14ac:dyDescent="0.25">
      <c r="A2873" s="46" t="s">
        <v>4087</v>
      </c>
      <c r="B2873" s="35">
        <v>0.64539009332656805</v>
      </c>
      <c r="C2873" s="36">
        <v>0</v>
      </c>
    </row>
    <row r="2874" spans="1:3" x14ac:dyDescent="0.25">
      <c r="A2874" s="46" t="s">
        <v>4088</v>
      </c>
      <c r="B2874" s="35">
        <v>0.86554622650146396</v>
      </c>
      <c r="C2874" s="36">
        <v>0</v>
      </c>
    </row>
    <row r="2875" spans="1:3" x14ac:dyDescent="0.25">
      <c r="A2875" s="46" t="s">
        <v>4089</v>
      </c>
      <c r="B2875" s="35">
        <v>0.56334841251373202</v>
      </c>
      <c r="C2875" s="36">
        <v>0.55000000000000004</v>
      </c>
    </row>
    <row r="2876" spans="1:3" x14ac:dyDescent="0.25">
      <c r="A2876" s="46" t="s">
        <v>4090</v>
      </c>
      <c r="B2876" s="35">
        <v>0.43564355373382502</v>
      </c>
      <c r="C2876" s="36">
        <v>0.48</v>
      </c>
    </row>
    <row r="2877" spans="1:3" x14ac:dyDescent="0.25">
      <c r="A2877" s="46" t="s">
        <v>4091</v>
      </c>
      <c r="B2877" s="35">
        <v>0.59946948289871205</v>
      </c>
      <c r="C2877" s="36">
        <v>0.52</v>
      </c>
    </row>
    <row r="2878" spans="1:3" x14ac:dyDescent="0.25">
      <c r="A2878" s="46" t="s">
        <v>4092</v>
      </c>
      <c r="B2878" s="35">
        <v>0.64659684896469105</v>
      </c>
      <c r="C2878" s="36">
        <v>0.56999999999999995</v>
      </c>
    </row>
    <row r="2879" spans="1:3" x14ac:dyDescent="0.25">
      <c r="A2879" s="46" t="s">
        <v>4093</v>
      </c>
      <c r="B2879" s="35">
        <v>0.571022748947143</v>
      </c>
      <c r="C2879" s="36">
        <v>0.42</v>
      </c>
    </row>
    <row r="2880" spans="1:3" x14ac:dyDescent="0.25">
      <c r="A2880" s="46" t="s">
        <v>4094</v>
      </c>
      <c r="B2880" s="35">
        <v>0.50342464447021396</v>
      </c>
      <c r="C2880" s="36">
        <v>0.45</v>
      </c>
    </row>
    <row r="2881" spans="1:3" x14ac:dyDescent="0.25">
      <c r="A2881" s="46" t="s">
        <v>4095</v>
      </c>
      <c r="B2881" s="35">
        <v>0.51249998807907104</v>
      </c>
      <c r="C2881" s="36">
        <v>0.46</v>
      </c>
    </row>
    <row r="2882" spans="1:3" x14ac:dyDescent="0.25">
      <c r="A2882" s="46" t="s">
        <v>4096</v>
      </c>
      <c r="B2882" s="35">
        <v>0.57027029991149902</v>
      </c>
      <c r="C2882" s="36">
        <v>0.32</v>
      </c>
    </row>
    <row r="2883" spans="1:3" x14ac:dyDescent="0.25">
      <c r="A2883" s="46" t="s">
        <v>4097</v>
      </c>
      <c r="B2883" s="35">
        <v>0.48170730471611001</v>
      </c>
      <c r="C2883" s="36">
        <v>0.51</v>
      </c>
    </row>
    <row r="2884" spans="1:3" x14ac:dyDescent="0.25">
      <c r="A2884" s="46" t="s">
        <v>4098</v>
      </c>
      <c r="B2884" s="35">
        <v>0.63855421543121305</v>
      </c>
      <c r="C2884" s="36">
        <v>0.64</v>
      </c>
    </row>
    <row r="2885" spans="1:3" x14ac:dyDescent="0.25">
      <c r="A2885" s="46" t="s">
        <v>4099</v>
      </c>
      <c r="B2885" s="35">
        <v>0.66863906383514404</v>
      </c>
      <c r="C2885" s="36">
        <v>0.6</v>
      </c>
    </row>
    <row r="2886" spans="1:3" x14ac:dyDescent="0.25">
      <c r="A2886" s="46" t="s">
        <v>4100</v>
      </c>
      <c r="B2886" s="35">
        <v>0.63055557012557895</v>
      </c>
      <c r="C2886" s="36">
        <v>0.47</v>
      </c>
    </row>
    <row r="2887" spans="1:3" x14ac:dyDescent="0.25">
      <c r="A2887" s="46" t="s">
        <v>4101</v>
      </c>
      <c r="B2887" s="35">
        <v>0.52605456113815297</v>
      </c>
      <c r="C2887" s="36">
        <v>0.48</v>
      </c>
    </row>
    <row r="2888" spans="1:3" x14ac:dyDescent="0.25">
      <c r="A2888" s="46" t="s">
        <v>4102</v>
      </c>
      <c r="B2888" s="35">
        <v>0.50280582904815596</v>
      </c>
      <c r="C2888" s="36">
        <v>0.4</v>
      </c>
    </row>
    <row r="2889" spans="1:3" x14ac:dyDescent="0.25">
      <c r="A2889" s="46" t="s">
        <v>4103</v>
      </c>
      <c r="B2889" s="35">
        <v>0.75766873359680098</v>
      </c>
      <c r="C2889" s="36">
        <v>0.6</v>
      </c>
    </row>
    <row r="2890" spans="1:3" x14ac:dyDescent="0.25">
      <c r="A2890" s="46" t="s">
        <v>4104</v>
      </c>
      <c r="B2890" s="35">
        <v>0.59052926301956099</v>
      </c>
      <c r="C2890" s="36">
        <v>0.61</v>
      </c>
    </row>
    <row r="2891" spans="1:3" x14ac:dyDescent="0.25">
      <c r="A2891" s="46" t="s">
        <v>4105</v>
      </c>
      <c r="B2891" s="35">
        <v>0.45047923922538702</v>
      </c>
      <c r="C2891" s="36">
        <v>0.52</v>
      </c>
    </row>
    <row r="2892" spans="1:3" x14ac:dyDescent="0.25">
      <c r="A2892" s="46" t="s">
        <v>4106</v>
      </c>
      <c r="B2892" s="35">
        <v>0.489607393741607</v>
      </c>
      <c r="C2892" s="36">
        <v>0.55000000000000004</v>
      </c>
    </row>
    <row r="2893" spans="1:3" x14ac:dyDescent="0.25">
      <c r="A2893" s="46" t="s">
        <v>4107</v>
      </c>
      <c r="B2893" s="35">
        <v>0.56526672840118397</v>
      </c>
      <c r="C2893" s="36">
        <v>0.56999999999999995</v>
      </c>
    </row>
    <row r="2894" spans="1:3" x14ac:dyDescent="0.25">
      <c r="A2894" s="46" t="s">
        <v>4108</v>
      </c>
      <c r="B2894" s="35">
        <v>0.72616630792617798</v>
      </c>
      <c r="C2894" s="36">
        <v>0.34</v>
      </c>
    </row>
    <row r="2895" spans="1:3" x14ac:dyDescent="0.25">
      <c r="A2895" s="46" t="s">
        <v>4109</v>
      </c>
      <c r="B2895" s="35">
        <v>0.78164559602737405</v>
      </c>
      <c r="C2895" s="36">
        <v>0.56999999999999995</v>
      </c>
    </row>
    <row r="2896" spans="1:3" x14ac:dyDescent="0.25">
      <c r="A2896" s="46" t="s">
        <v>4110</v>
      </c>
      <c r="B2896" s="35">
        <v>0.69382023811340299</v>
      </c>
      <c r="C2896" s="36">
        <v>0.5</v>
      </c>
    </row>
    <row r="2897" spans="1:3" x14ac:dyDescent="0.25">
      <c r="A2897" s="46" t="s">
        <v>4111</v>
      </c>
      <c r="B2897" s="35">
        <v>0.92553192377090399</v>
      </c>
      <c r="C2897" s="36">
        <v>0.61</v>
      </c>
    </row>
    <row r="2898" spans="1:3" x14ac:dyDescent="0.25">
      <c r="A2898" s="46" t="s">
        <v>4112</v>
      </c>
      <c r="B2898" s="35">
        <v>0.42944785952567999</v>
      </c>
      <c r="C2898" s="36">
        <v>0.39</v>
      </c>
    </row>
    <row r="2899" spans="1:3" x14ac:dyDescent="0.25">
      <c r="A2899" s="46" t="s">
        <v>4113</v>
      </c>
      <c r="B2899" s="35">
        <v>0.55799371004104603</v>
      </c>
      <c r="C2899" s="36">
        <v>0.37</v>
      </c>
    </row>
    <row r="2900" spans="1:3" x14ac:dyDescent="0.25">
      <c r="A2900" s="46" t="s">
        <v>4114</v>
      </c>
      <c r="B2900" s="35">
        <v>0.59791666269302302</v>
      </c>
      <c r="C2900" s="36">
        <v>0.6</v>
      </c>
    </row>
    <row r="2901" spans="1:3" x14ac:dyDescent="0.25">
      <c r="A2901" s="46" t="s">
        <v>4115</v>
      </c>
      <c r="B2901" s="35">
        <v>0.75</v>
      </c>
      <c r="C2901" s="36">
        <v>0.41</v>
      </c>
    </row>
    <row r="2902" spans="1:3" x14ac:dyDescent="0.25">
      <c r="A2902" s="46" t="s">
        <v>4116</v>
      </c>
      <c r="B2902" s="35">
        <v>0.45551601052284202</v>
      </c>
      <c r="C2902" s="36">
        <v>0.59</v>
      </c>
    </row>
    <row r="2903" spans="1:3" x14ac:dyDescent="0.25">
      <c r="A2903" s="46" t="s">
        <v>4117</v>
      </c>
      <c r="B2903" s="35">
        <v>0.46252286434173501</v>
      </c>
      <c r="C2903" s="36">
        <v>0.47</v>
      </c>
    </row>
    <row r="2904" spans="1:3" x14ac:dyDescent="0.25">
      <c r="A2904" s="46" t="s">
        <v>4118</v>
      </c>
      <c r="B2904" s="35">
        <v>0.71653544902801503</v>
      </c>
      <c r="C2904" s="36">
        <v>0.45</v>
      </c>
    </row>
    <row r="2905" spans="1:3" x14ac:dyDescent="0.25">
      <c r="A2905" s="46" t="s">
        <v>4119</v>
      </c>
      <c r="B2905" s="35">
        <v>0.46568626165389998</v>
      </c>
      <c r="C2905" s="36">
        <v>0.45</v>
      </c>
    </row>
    <row r="2906" spans="1:3" x14ac:dyDescent="0.25">
      <c r="A2906" s="46" t="s">
        <v>4120</v>
      </c>
      <c r="B2906" s="35">
        <v>0.55480986833572299</v>
      </c>
      <c r="C2906" s="36">
        <v>0.59</v>
      </c>
    </row>
    <row r="2907" spans="1:3" x14ac:dyDescent="0.25">
      <c r="A2907" s="46" t="s">
        <v>4121</v>
      </c>
      <c r="B2907" s="35">
        <v>0.571022748947143</v>
      </c>
      <c r="C2907" s="36">
        <v>0.56999999999999995</v>
      </c>
    </row>
    <row r="2908" spans="1:3" x14ac:dyDescent="0.25">
      <c r="A2908" s="46" t="s">
        <v>4122</v>
      </c>
      <c r="B2908" s="35">
        <v>0.473972588777542</v>
      </c>
      <c r="C2908" s="36">
        <v>0.47</v>
      </c>
    </row>
    <row r="2909" spans="1:3" x14ac:dyDescent="0.25">
      <c r="A2909" s="46" t="s">
        <v>4123</v>
      </c>
      <c r="B2909" s="35">
        <v>0.52129817008972101</v>
      </c>
      <c r="C2909" s="36">
        <v>0.25</v>
      </c>
    </row>
    <row r="2910" spans="1:3" x14ac:dyDescent="0.25">
      <c r="A2910" s="46" t="s">
        <v>4124</v>
      </c>
      <c r="B2910" s="35">
        <v>0.466950953006744</v>
      </c>
      <c r="C2910" s="36">
        <v>0.4</v>
      </c>
    </row>
    <row r="2911" spans="1:3" x14ac:dyDescent="0.25">
      <c r="A2911" s="46" t="s">
        <v>4125</v>
      </c>
      <c r="B2911" s="35">
        <v>0.47521865367889399</v>
      </c>
      <c r="C2911" s="36">
        <v>0.51</v>
      </c>
    </row>
    <row r="2912" spans="1:3" x14ac:dyDescent="0.25">
      <c r="A2912" s="46" t="s">
        <v>4126</v>
      </c>
      <c r="B2912" s="35">
        <v>0.63661974668502797</v>
      </c>
      <c r="C2912" s="36">
        <v>0.36</v>
      </c>
    </row>
    <row r="2913" spans="1:3" x14ac:dyDescent="0.25">
      <c r="A2913" s="46" t="s">
        <v>4127</v>
      </c>
      <c r="B2913" s="35">
        <v>0.48628428578376698</v>
      </c>
      <c r="C2913" s="36">
        <v>0.47</v>
      </c>
    </row>
    <row r="2914" spans="1:3" x14ac:dyDescent="0.25">
      <c r="A2914" s="46" t="s">
        <v>4128</v>
      </c>
      <c r="B2914" s="35">
        <v>0.55806452035903897</v>
      </c>
      <c r="C2914" s="36">
        <v>0.41</v>
      </c>
    </row>
    <row r="2915" spans="1:3" x14ac:dyDescent="0.25">
      <c r="A2915" s="46" t="s">
        <v>4129</v>
      </c>
      <c r="B2915" s="35">
        <v>0.47872340679168701</v>
      </c>
      <c r="C2915" s="36">
        <v>0.2</v>
      </c>
    </row>
    <row r="2916" spans="1:3" x14ac:dyDescent="0.25">
      <c r="A2916" s="46" t="s">
        <v>4130</v>
      </c>
      <c r="B2916" s="35">
        <v>0.41486069560050898</v>
      </c>
      <c r="C2916" s="36">
        <v>0.56999999999999995</v>
      </c>
    </row>
    <row r="2917" spans="1:3" x14ac:dyDescent="0.25">
      <c r="A2917" s="46" t="s">
        <v>4131</v>
      </c>
      <c r="B2917" s="35">
        <v>0.437750995159149</v>
      </c>
      <c r="C2917" s="36">
        <v>0.61</v>
      </c>
    </row>
    <row r="2918" spans="1:3" x14ac:dyDescent="0.25">
      <c r="A2918" s="46" t="s">
        <v>4132</v>
      </c>
      <c r="B2918" s="35">
        <v>0.45324879884719799</v>
      </c>
      <c r="C2918" s="36">
        <v>0.52</v>
      </c>
    </row>
    <row r="2919" spans="1:3" x14ac:dyDescent="0.25">
      <c r="A2919" s="46" t="s">
        <v>4133</v>
      </c>
      <c r="B2919" s="35">
        <v>0.50549453496932895</v>
      </c>
      <c r="C2919" s="36">
        <v>0.42</v>
      </c>
    </row>
    <row r="2920" spans="1:3" x14ac:dyDescent="0.25">
      <c r="A2920" s="46" t="s">
        <v>4134</v>
      </c>
      <c r="B2920" s="35">
        <v>0.56912440061569203</v>
      </c>
      <c r="C2920" s="36">
        <v>0.43</v>
      </c>
    </row>
    <row r="2921" spans="1:3" x14ac:dyDescent="0.25">
      <c r="A2921" s="46" t="s">
        <v>4135</v>
      </c>
      <c r="B2921" s="35">
        <v>0.63432836532592696</v>
      </c>
      <c r="C2921" s="36">
        <v>0.32</v>
      </c>
    </row>
    <row r="2922" spans="1:3" x14ac:dyDescent="0.25">
      <c r="A2922" s="46" t="s">
        <v>4136</v>
      </c>
      <c r="B2922" s="35">
        <v>0.65714287757873502</v>
      </c>
      <c r="C2922" s="36">
        <v>0.45</v>
      </c>
    </row>
    <row r="2923" spans="1:3" x14ac:dyDescent="0.25">
      <c r="A2923" s="46" t="s">
        <v>4137</v>
      </c>
      <c r="B2923" s="35">
        <v>0.41612198948860102</v>
      </c>
      <c r="C2923" s="36">
        <v>0.21</v>
      </c>
    </row>
    <row r="2924" spans="1:3" x14ac:dyDescent="0.25">
      <c r="A2924" s="46" t="s">
        <v>4138</v>
      </c>
      <c r="B2924" s="35">
        <v>0.69999998807907104</v>
      </c>
      <c r="C2924" s="36">
        <v>0.49</v>
      </c>
    </row>
    <row r="2925" spans="1:3" x14ac:dyDescent="0.25">
      <c r="A2925" s="46" t="s">
        <v>4139</v>
      </c>
      <c r="B2925" s="35">
        <v>0.64335662126541104</v>
      </c>
      <c r="C2925" s="36">
        <v>0.44</v>
      </c>
    </row>
    <row r="2926" spans="1:3" x14ac:dyDescent="0.25">
      <c r="A2926" s="46" t="s">
        <v>4140</v>
      </c>
      <c r="B2926" s="35">
        <v>0.63519310951232899</v>
      </c>
      <c r="C2926" s="36">
        <v>0.4</v>
      </c>
    </row>
    <row r="2927" spans="1:3" x14ac:dyDescent="0.25">
      <c r="A2927" s="46" t="s">
        <v>4141</v>
      </c>
      <c r="B2927" s="35">
        <v>0.52261304855346602</v>
      </c>
      <c r="C2927" s="36">
        <v>0.26</v>
      </c>
    </row>
    <row r="2928" spans="1:3" x14ac:dyDescent="0.25">
      <c r="A2928" s="46" t="s">
        <v>4142</v>
      </c>
      <c r="B2928" s="35">
        <v>0.59498953819274902</v>
      </c>
      <c r="C2928" s="36">
        <v>0.34</v>
      </c>
    </row>
    <row r="2929" spans="1:3" x14ac:dyDescent="0.25">
      <c r="A2929" s="46" t="s">
        <v>4143</v>
      </c>
      <c r="B2929" s="35">
        <v>0.51598173379898005</v>
      </c>
      <c r="C2929" s="36">
        <v>0.35</v>
      </c>
    </row>
    <row r="2930" spans="1:3" x14ac:dyDescent="0.25">
      <c r="A2930" s="46" t="s">
        <v>4144</v>
      </c>
      <c r="B2930" s="35">
        <v>0.63713079690933205</v>
      </c>
      <c r="C2930" s="36">
        <v>0.14000000000000001</v>
      </c>
    </row>
    <row r="2931" spans="1:3" x14ac:dyDescent="0.25">
      <c r="A2931" s="46" t="s">
        <v>4145</v>
      </c>
      <c r="B2931" s="35">
        <v>0.48669201135635298</v>
      </c>
      <c r="C2931" s="36">
        <v>0.5</v>
      </c>
    </row>
    <row r="2932" spans="1:3" x14ac:dyDescent="0.25">
      <c r="A2932" s="46" t="s">
        <v>4146</v>
      </c>
      <c r="B2932" s="35">
        <v>0.54780364036560003</v>
      </c>
      <c r="C2932" s="36">
        <v>0.5</v>
      </c>
    </row>
    <row r="2933" spans="1:3" x14ac:dyDescent="0.25">
      <c r="A2933" s="46" t="s">
        <v>4147</v>
      </c>
      <c r="B2933" s="35">
        <v>0.630434811115264</v>
      </c>
      <c r="C2933" s="36">
        <v>0.33</v>
      </c>
    </row>
    <row r="2934" spans="1:3" x14ac:dyDescent="0.25">
      <c r="A2934" s="46" t="s">
        <v>4148</v>
      </c>
      <c r="B2934" s="35">
        <v>0.60640001296997004</v>
      </c>
      <c r="C2934" s="36">
        <v>0.18</v>
      </c>
    </row>
    <row r="2935" spans="1:3" x14ac:dyDescent="0.25">
      <c r="A2935" s="46" t="s">
        <v>4149</v>
      </c>
      <c r="B2935" s="35">
        <v>0.51304346323013295</v>
      </c>
      <c r="C2935" s="36">
        <v>0.02</v>
      </c>
    </row>
    <row r="2936" spans="1:3" x14ac:dyDescent="0.25">
      <c r="A2936" s="46" t="s">
        <v>4150</v>
      </c>
      <c r="B2936" s="35">
        <v>0.51304346323013295</v>
      </c>
      <c r="C2936" s="36">
        <v>0.02</v>
      </c>
    </row>
    <row r="2937" spans="1:3" x14ac:dyDescent="0.25">
      <c r="A2937" s="46" t="s">
        <v>4151</v>
      </c>
      <c r="B2937" s="35">
        <v>0.58959537744522095</v>
      </c>
      <c r="C2937" s="36">
        <v>0.11</v>
      </c>
    </row>
    <row r="2938" spans="1:3" x14ac:dyDescent="0.25">
      <c r="A2938" s="46" t="s">
        <v>4152</v>
      </c>
      <c r="B2938" s="35">
        <v>0.52651512622833196</v>
      </c>
      <c r="C2938" s="36">
        <v>0.21</v>
      </c>
    </row>
    <row r="2939" spans="1:3" x14ac:dyDescent="0.25">
      <c r="A2939" s="46" t="s">
        <v>4153</v>
      </c>
      <c r="B2939" s="35">
        <v>0.77002584934234597</v>
      </c>
      <c r="C2939" s="36">
        <v>0.03</v>
      </c>
    </row>
    <row r="2940" spans="1:3" x14ac:dyDescent="0.25">
      <c r="A2940" s="46" t="s">
        <v>4154</v>
      </c>
      <c r="B2940" s="35">
        <v>0.460511684417724</v>
      </c>
      <c r="C2940" s="36">
        <v>0.28000000000000003</v>
      </c>
    </row>
    <row r="2941" spans="1:3" x14ac:dyDescent="0.25">
      <c r="A2941" s="46" t="s">
        <v>4155</v>
      </c>
      <c r="B2941" s="35">
        <v>0.52161383628845204</v>
      </c>
      <c r="C2941" s="36">
        <v>0.05</v>
      </c>
    </row>
    <row r="2942" spans="1:3" x14ac:dyDescent="0.25">
      <c r="A2942" s="46" t="s">
        <v>4156</v>
      </c>
      <c r="B2942" s="35">
        <v>0.60899651050567605</v>
      </c>
      <c r="C2942" s="36">
        <v>0.16</v>
      </c>
    </row>
    <row r="2943" spans="1:3" x14ac:dyDescent="0.25">
      <c r="A2943" s="46" t="s">
        <v>4157</v>
      </c>
      <c r="B2943" s="35">
        <v>0.51366120576858498</v>
      </c>
      <c r="C2943" s="36">
        <v>0.19</v>
      </c>
    </row>
    <row r="2944" spans="1:3" x14ac:dyDescent="0.25">
      <c r="A2944" s="46" t="s">
        <v>4158</v>
      </c>
      <c r="B2944" s="35">
        <v>0.61741834878921498</v>
      </c>
      <c r="C2944" s="36">
        <v>0.13</v>
      </c>
    </row>
    <row r="2945" spans="1:3" x14ac:dyDescent="0.25">
      <c r="A2945" s="46" t="s">
        <v>4159</v>
      </c>
      <c r="B2945" s="35">
        <v>0.58515286445617598</v>
      </c>
      <c r="C2945" s="36">
        <v>0.11</v>
      </c>
    </row>
    <row r="2946" spans="1:3" x14ac:dyDescent="0.25">
      <c r="A2946" s="46" t="s">
        <v>4160</v>
      </c>
      <c r="B2946" s="35">
        <v>0.79697626829147294</v>
      </c>
      <c r="C2946" s="36">
        <v>0.36</v>
      </c>
    </row>
    <row r="2947" spans="1:3" x14ac:dyDescent="0.25">
      <c r="A2947" s="46" t="s">
        <v>4161</v>
      </c>
      <c r="B2947" s="35">
        <v>0.670951128005981</v>
      </c>
      <c r="C2947" s="36">
        <v>0.33</v>
      </c>
    </row>
    <row r="2948" spans="1:3" x14ac:dyDescent="0.25">
      <c r="A2948" s="46" t="s">
        <v>4162</v>
      </c>
      <c r="B2948" s="35">
        <v>0.69302326440811102</v>
      </c>
      <c r="C2948" s="36">
        <v>0.02</v>
      </c>
    </row>
    <row r="2949" spans="1:3" x14ac:dyDescent="0.25">
      <c r="A2949" s="46" t="s">
        <v>4163</v>
      </c>
      <c r="B2949" s="35">
        <v>0.69811320304870605</v>
      </c>
      <c r="C2949" s="36">
        <v>0.02</v>
      </c>
    </row>
    <row r="2950" spans="1:3" x14ac:dyDescent="0.25">
      <c r="A2950" s="46" t="s">
        <v>4164</v>
      </c>
      <c r="B2950" s="35">
        <v>0.62582778930663996</v>
      </c>
      <c r="C2950" s="36">
        <v>0.03</v>
      </c>
    </row>
    <row r="2951" spans="1:3" x14ac:dyDescent="0.25">
      <c r="A2951" s="46" t="s">
        <v>4165</v>
      </c>
      <c r="B2951" s="35">
        <v>0.49107143282890298</v>
      </c>
      <c r="C2951" s="36">
        <v>7.0000000000000007E-2</v>
      </c>
    </row>
    <row r="2952" spans="1:3" x14ac:dyDescent="0.25">
      <c r="A2952" s="46" t="s">
        <v>4166</v>
      </c>
      <c r="B2952" s="35">
        <v>0.39219331741333002</v>
      </c>
      <c r="C2952" s="36">
        <v>0.15</v>
      </c>
    </row>
    <row r="2953" spans="1:3" x14ac:dyDescent="0.25">
      <c r="A2953" s="46" t="s">
        <v>4167</v>
      </c>
      <c r="B2953" s="35">
        <v>0.48710602521896301</v>
      </c>
      <c r="C2953" s="36">
        <v>0.2</v>
      </c>
    </row>
    <row r="2954" spans="1:3" x14ac:dyDescent="0.25">
      <c r="A2954" s="46" t="s">
        <v>4168</v>
      </c>
      <c r="B2954" s="35">
        <v>0.64266663789749101</v>
      </c>
      <c r="C2954" s="36">
        <v>0.3</v>
      </c>
    </row>
    <row r="2955" spans="1:3" x14ac:dyDescent="0.25">
      <c r="A2955" s="46" t="s">
        <v>4169</v>
      </c>
      <c r="B2955" s="35">
        <v>0.53424656391143799</v>
      </c>
      <c r="C2955" s="36">
        <v>0.24</v>
      </c>
    </row>
    <row r="2956" spans="1:3" x14ac:dyDescent="0.25">
      <c r="A2956" s="46" t="s">
        <v>4170</v>
      </c>
      <c r="B2956" s="35">
        <v>0.441696107387542</v>
      </c>
      <c r="C2956" s="36">
        <v>7.0000000000000007E-2</v>
      </c>
    </row>
    <row r="2957" spans="1:3" x14ac:dyDescent="0.25">
      <c r="A2957" s="46" t="s">
        <v>4171</v>
      </c>
      <c r="B2957" s="35">
        <v>0.49525615572929299</v>
      </c>
      <c r="C2957" s="36">
        <v>0.51</v>
      </c>
    </row>
    <row r="2958" spans="1:3" x14ac:dyDescent="0.25">
      <c r="A2958" s="46" t="s">
        <v>4172</v>
      </c>
      <c r="B2958" s="35">
        <v>0.98265177011489802</v>
      </c>
      <c r="C2958" s="36">
        <v>0.13</v>
      </c>
    </row>
    <row r="2959" spans="1:3" x14ac:dyDescent="0.25">
      <c r="A2959" s="46" t="s">
        <v>4173</v>
      </c>
      <c r="B2959" s="35">
        <v>0.65263158082962003</v>
      </c>
      <c r="C2959" s="36">
        <v>0.14000000000000001</v>
      </c>
    </row>
    <row r="2960" spans="1:3" x14ac:dyDescent="0.25">
      <c r="A2960" s="46" t="s">
        <v>4174</v>
      </c>
      <c r="B2960" s="35">
        <v>0.51219511032104403</v>
      </c>
      <c r="C2960" s="36">
        <v>0.51</v>
      </c>
    </row>
    <row r="2961" spans="1:3" x14ac:dyDescent="0.25">
      <c r="A2961" s="46" t="s">
        <v>4175</v>
      </c>
      <c r="B2961" s="35">
        <v>0.51084810495376498</v>
      </c>
      <c r="C2961" s="36">
        <v>0.41</v>
      </c>
    </row>
    <row r="2962" spans="1:3" x14ac:dyDescent="0.25">
      <c r="A2962" s="46" t="s">
        <v>4176</v>
      </c>
      <c r="B2962" s="35">
        <v>0.54124748706817605</v>
      </c>
      <c r="C2962" s="36">
        <v>0.3</v>
      </c>
    </row>
    <row r="2963" spans="1:3" x14ac:dyDescent="0.25">
      <c r="A2963" s="46" t="s">
        <v>4177</v>
      </c>
      <c r="B2963" s="35">
        <v>0.62386977672576904</v>
      </c>
      <c r="C2963" s="36">
        <v>0.18</v>
      </c>
    </row>
    <row r="2964" spans="1:3" x14ac:dyDescent="0.25">
      <c r="A2964" s="46" t="s">
        <v>4178</v>
      </c>
      <c r="B2964" s="35">
        <v>0.51724135875701904</v>
      </c>
      <c r="C2964" s="36">
        <v>0.47</v>
      </c>
    </row>
    <row r="2965" spans="1:3" x14ac:dyDescent="0.25">
      <c r="A2965" s="46" t="s">
        <v>4179</v>
      </c>
      <c r="B2965" s="35">
        <v>0.46335077285766602</v>
      </c>
      <c r="C2965" s="36">
        <v>0.28000000000000003</v>
      </c>
    </row>
    <row r="2966" spans="1:3" x14ac:dyDescent="0.25">
      <c r="A2966" s="46" t="s">
        <v>4180</v>
      </c>
      <c r="B2966" s="35">
        <v>0.96534651517867998</v>
      </c>
      <c r="C2966" s="36">
        <v>0.17</v>
      </c>
    </row>
    <row r="2967" spans="1:3" x14ac:dyDescent="0.25">
      <c r="A2967" s="46" t="s">
        <v>4181</v>
      </c>
      <c r="B2967" s="35">
        <v>0.55665022134780795</v>
      </c>
      <c r="C2967" s="36">
        <v>0.15</v>
      </c>
    </row>
    <row r="2968" spans="1:3" x14ac:dyDescent="0.25">
      <c r="A2968" s="46" t="s">
        <v>4182</v>
      </c>
      <c r="B2968" s="35">
        <v>1</v>
      </c>
      <c r="C2968" s="36">
        <v>0.16</v>
      </c>
    </row>
    <row r="2969" spans="1:3" x14ac:dyDescent="0.25">
      <c r="A2969" s="46" t="s">
        <v>4183</v>
      </c>
      <c r="B2969" s="35">
        <v>0.45806452631950301</v>
      </c>
      <c r="C2969" s="36">
        <v>0.08</v>
      </c>
    </row>
    <row r="2970" spans="1:3" x14ac:dyDescent="0.25">
      <c r="A2970" s="46" t="s">
        <v>4184</v>
      </c>
      <c r="B2970" s="35">
        <v>0.61173814535140902</v>
      </c>
      <c r="C2970" s="36">
        <v>0</v>
      </c>
    </row>
    <row r="2971" spans="1:3" x14ac:dyDescent="0.25">
      <c r="A2971" s="46" t="s">
        <v>4185</v>
      </c>
      <c r="B2971" s="35">
        <v>0.83333331346511796</v>
      </c>
      <c r="C2971" s="36">
        <v>0.17</v>
      </c>
    </row>
    <row r="2972" spans="1:3" x14ac:dyDescent="0.25">
      <c r="A2972" s="46" t="s">
        <v>4186</v>
      </c>
      <c r="B2972" s="35">
        <v>0.47887325286865201</v>
      </c>
      <c r="C2972" s="36">
        <v>0.05</v>
      </c>
    </row>
    <row r="2973" spans="1:3" x14ac:dyDescent="0.25">
      <c r="A2973" s="46" t="s">
        <v>4187</v>
      </c>
      <c r="B2973" s="35">
        <v>0.45806452631950301</v>
      </c>
      <c r="C2973" s="36">
        <v>0</v>
      </c>
    </row>
    <row r="2974" spans="1:3" x14ac:dyDescent="0.25">
      <c r="A2974" s="46" t="s">
        <v>4188</v>
      </c>
      <c r="B2974" s="35">
        <v>0.88936167955398504</v>
      </c>
      <c r="C2974" s="36">
        <v>0</v>
      </c>
    </row>
    <row r="2975" spans="1:3" x14ac:dyDescent="0.25">
      <c r="A2975" s="46" t="s">
        <v>4189</v>
      </c>
      <c r="B2975" s="35">
        <v>0.61486488580703702</v>
      </c>
      <c r="C2975" s="36">
        <v>0</v>
      </c>
    </row>
    <row r="2976" spans="1:3" x14ac:dyDescent="0.25">
      <c r="A2976" s="46" t="s">
        <v>4190</v>
      </c>
      <c r="B2976" s="35">
        <v>0.60879123210906905</v>
      </c>
      <c r="C2976" s="36">
        <v>0</v>
      </c>
    </row>
    <row r="2977" spans="1:3" x14ac:dyDescent="0.25">
      <c r="A2977" s="46" t="s">
        <v>4191</v>
      </c>
      <c r="B2977" s="35">
        <v>0.76587301492690996</v>
      </c>
      <c r="C2977" s="36">
        <v>0</v>
      </c>
    </row>
    <row r="2978" spans="1:3" x14ac:dyDescent="0.25">
      <c r="A2978" s="46" t="s">
        <v>4192</v>
      </c>
      <c r="B2978" s="35">
        <v>0.64401292800903298</v>
      </c>
      <c r="C2978" s="36">
        <v>0.23</v>
      </c>
    </row>
    <row r="2979" spans="1:3" x14ac:dyDescent="0.25">
      <c r="A2979" s="46" t="s">
        <v>4193</v>
      </c>
      <c r="B2979" s="35">
        <v>0.507782101631164</v>
      </c>
      <c r="C2979" s="36">
        <v>0.08</v>
      </c>
    </row>
    <row r="2980" spans="1:3" x14ac:dyDescent="0.25">
      <c r="A2980" s="46" t="s">
        <v>4194</v>
      </c>
      <c r="B2980" s="35">
        <v>0.69022870063781705</v>
      </c>
      <c r="C2980" s="36">
        <v>0.18</v>
      </c>
    </row>
    <row r="2981" spans="1:3" x14ac:dyDescent="0.25">
      <c r="A2981" s="46" t="s">
        <v>4195</v>
      </c>
      <c r="B2981" s="35">
        <v>0.56159418821334794</v>
      </c>
      <c r="C2981" s="36">
        <v>0.15</v>
      </c>
    </row>
    <row r="2982" spans="1:3" x14ac:dyDescent="0.25">
      <c r="A2982" s="46" t="s">
        <v>4196</v>
      </c>
      <c r="B2982" s="35">
        <v>0.61960130929946899</v>
      </c>
      <c r="C2982" s="36">
        <v>0.3</v>
      </c>
    </row>
    <row r="2983" spans="1:3" x14ac:dyDescent="0.25">
      <c r="A2983" s="46" t="s">
        <v>4197</v>
      </c>
      <c r="B2983" s="35">
        <v>0.51609325408935502</v>
      </c>
      <c r="C2983" s="36">
        <v>0.28000000000000003</v>
      </c>
    </row>
    <row r="2984" spans="1:3" x14ac:dyDescent="0.25">
      <c r="A2984" s="46" t="s">
        <v>4198</v>
      </c>
      <c r="B2984" s="35">
        <v>0.99234694242477395</v>
      </c>
      <c r="C2984" s="36">
        <v>0.13</v>
      </c>
    </row>
    <row r="2985" spans="1:3" x14ac:dyDescent="0.25">
      <c r="A2985" s="46" t="s">
        <v>4199</v>
      </c>
      <c r="B2985" s="35">
        <v>0.507782101631164</v>
      </c>
      <c r="C2985" s="36">
        <v>0.12</v>
      </c>
    </row>
    <row r="2986" spans="1:3" x14ac:dyDescent="0.25">
      <c r="A2986" s="46" t="s">
        <v>4200</v>
      </c>
      <c r="B2986" s="35">
        <v>0.54210525751113803</v>
      </c>
      <c r="C2986" s="36">
        <v>0.41</v>
      </c>
    </row>
    <row r="2987" spans="1:3" x14ac:dyDescent="0.25">
      <c r="A2987" s="46" t="s">
        <v>4201</v>
      </c>
      <c r="B2987" s="35">
        <v>0.866438329219818</v>
      </c>
      <c r="C2987" s="36">
        <v>0.16</v>
      </c>
    </row>
    <row r="2988" spans="1:3" x14ac:dyDescent="0.25">
      <c r="A2988" s="46" t="s">
        <v>4202</v>
      </c>
      <c r="B2988" s="35">
        <v>0.704697966575622</v>
      </c>
      <c r="C2988" s="36">
        <v>0.18</v>
      </c>
    </row>
    <row r="2989" spans="1:3" x14ac:dyDescent="0.25">
      <c r="A2989" s="46" t="s">
        <v>4203</v>
      </c>
      <c r="B2989" s="35">
        <v>0.44101125001907299</v>
      </c>
      <c r="C2989" s="36">
        <v>0.17</v>
      </c>
    </row>
    <row r="2990" spans="1:3" x14ac:dyDescent="0.25">
      <c r="A2990" s="46" t="s">
        <v>4204</v>
      </c>
      <c r="B2990" s="35">
        <v>0.51473921537399203</v>
      </c>
      <c r="C2990" s="36">
        <v>0.28999999999999998</v>
      </c>
    </row>
    <row r="2991" spans="1:3" x14ac:dyDescent="0.25">
      <c r="A2991" s="46" t="s">
        <v>4205</v>
      </c>
      <c r="B2991" s="35">
        <v>0.56923079490661599</v>
      </c>
      <c r="C2991" s="36">
        <v>0.06</v>
      </c>
    </row>
    <row r="2992" spans="1:3" x14ac:dyDescent="0.25">
      <c r="A2992" s="46" t="s">
        <v>4206</v>
      </c>
      <c r="B2992" s="35">
        <v>0.59162300825118996</v>
      </c>
      <c r="C2992" s="36">
        <v>0.49</v>
      </c>
    </row>
    <row r="2993" spans="1:3" x14ac:dyDescent="0.25">
      <c r="A2993" s="46" t="s">
        <v>4207</v>
      </c>
      <c r="B2993" s="35">
        <v>0.76633661985397294</v>
      </c>
      <c r="C2993" s="36">
        <v>0.09</v>
      </c>
    </row>
    <row r="2994" spans="1:3" x14ac:dyDescent="0.25">
      <c r="A2994" s="46" t="s">
        <v>4208</v>
      </c>
      <c r="B2994" s="35">
        <v>0.52558141946792603</v>
      </c>
      <c r="C2994" s="36">
        <v>0.39</v>
      </c>
    </row>
    <row r="2995" spans="1:3" x14ac:dyDescent="0.25">
      <c r="A2995" s="46" t="s">
        <v>4209</v>
      </c>
      <c r="B2995" s="35">
        <v>0.45849803090095498</v>
      </c>
      <c r="C2995" s="36">
        <v>0.26</v>
      </c>
    </row>
    <row r="2996" spans="1:3" x14ac:dyDescent="0.25">
      <c r="A2996" s="46" t="s">
        <v>4210</v>
      </c>
      <c r="B2996" s="35">
        <v>0.5</v>
      </c>
      <c r="C2996" s="36">
        <v>0.27</v>
      </c>
    </row>
    <row r="2997" spans="1:3" x14ac:dyDescent="0.25">
      <c r="A2997" s="46" t="s">
        <v>4211</v>
      </c>
      <c r="B2997" s="35">
        <v>0.44806516170501698</v>
      </c>
      <c r="C2997" s="36">
        <v>0.46</v>
      </c>
    </row>
    <row r="2998" spans="1:3" x14ac:dyDescent="0.25">
      <c r="A2998" s="46" t="s">
        <v>4212</v>
      </c>
      <c r="B2998" s="35">
        <v>1</v>
      </c>
      <c r="C2998" s="36">
        <v>0.17</v>
      </c>
    </row>
    <row r="2999" spans="1:3" x14ac:dyDescent="0.25">
      <c r="A2999" s="46" t="s">
        <v>4213</v>
      </c>
      <c r="B2999" s="35">
        <v>0.42622950673103299</v>
      </c>
      <c r="C2999" s="36">
        <v>0.25</v>
      </c>
    </row>
    <row r="3000" spans="1:3" x14ac:dyDescent="0.25">
      <c r="A3000" s="46" t="s">
        <v>4214</v>
      </c>
      <c r="B3000" s="35">
        <v>0.50660067796707098</v>
      </c>
      <c r="C3000" s="36">
        <v>0.41</v>
      </c>
    </row>
    <row r="3001" spans="1:3" x14ac:dyDescent="0.25">
      <c r="A3001" s="46" t="s">
        <v>4215</v>
      </c>
      <c r="B3001" s="35">
        <v>0.52941179275512695</v>
      </c>
      <c r="C3001" s="36">
        <v>0.43</v>
      </c>
    </row>
    <row r="3002" spans="1:3" x14ac:dyDescent="0.25">
      <c r="A3002" s="46" t="s">
        <v>4216</v>
      </c>
      <c r="B3002" s="35">
        <v>0.88174271583557096</v>
      </c>
      <c r="C3002" s="36">
        <v>0.3</v>
      </c>
    </row>
    <row r="3003" spans="1:3" x14ac:dyDescent="0.25">
      <c r="A3003" s="46" t="s">
        <v>4217</v>
      </c>
      <c r="B3003" s="35">
        <v>0.52057611942291204</v>
      </c>
      <c r="C3003" s="36">
        <v>0.18</v>
      </c>
    </row>
    <row r="3004" spans="1:3" x14ac:dyDescent="0.25">
      <c r="A3004" s="46" t="s">
        <v>4218</v>
      </c>
      <c r="B3004" s="35">
        <v>0.52931857109069802</v>
      </c>
      <c r="C3004" s="36">
        <v>0.24</v>
      </c>
    </row>
    <row r="3005" spans="1:3" x14ac:dyDescent="0.25">
      <c r="A3005" s="46" t="s">
        <v>4219</v>
      </c>
      <c r="B3005" s="35">
        <v>0.50308644771575906</v>
      </c>
      <c r="C3005" s="36">
        <v>0.3</v>
      </c>
    </row>
    <row r="3006" spans="1:3" x14ac:dyDescent="0.25">
      <c r="A3006" s="46" t="s">
        <v>4220</v>
      </c>
      <c r="B3006" s="35">
        <v>0.576704561710357</v>
      </c>
      <c r="C3006" s="36">
        <v>0.52</v>
      </c>
    </row>
    <row r="3007" spans="1:3" x14ac:dyDescent="0.25">
      <c r="A3007" s="46" t="s">
        <v>4221</v>
      </c>
      <c r="B3007" s="35">
        <v>0.94977170228958097</v>
      </c>
      <c r="C3007" s="36">
        <v>0.27</v>
      </c>
    </row>
    <row r="3008" spans="1:3" x14ac:dyDescent="0.25">
      <c r="A3008" s="46" t="s">
        <v>4222</v>
      </c>
      <c r="B3008" s="35">
        <v>0.48734873533248901</v>
      </c>
      <c r="C3008" s="36">
        <v>0.49</v>
      </c>
    </row>
    <row r="3009" spans="1:3" x14ac:dyDescent="0.25">
      <c r="A3009" s="46" t="s">
        <v>4223</v>
      </c>
      <c r="B3009" s="35">
        <v>0.59468823671340898</v>
      </c>
      <c r="C3009" s="36">
        <v>0.12</v>
      </c>
    </row>
    <row r="3010" spans="1:3" x14ac:dyDescent="0.25">
      <c r="A3010" s="46" t="s">
        <v>4224</v>
      </c>
      <c r="B3010" s="35">
        <v>0.64208245277404696</v>
      </c>
      <c r="C3010" s="36">
        <v>0.26</v>
      </c>
    </row>
    <row r="3011" spans="1:3" x14ac:dyDescent="0.25">
      <c r="A3011" s="46" t="s">
        <v>4225</v>
      </c>
      <c r="B3011" s="35">
        <v>0.58505749702453602</v>
      </c>
      <c r="C3011" s="36">
        <v>0.31</v>
      </c>
    </row>
    <row r="3012" spans="1:3" x14ac:dyDescent="0.25">
      <c r="A3012" s="46" t="s">
        <v>4226</v>
      </c>
      <c r="B3012" s="35">
        <v>0.66008770465850797</v>
      </c>
      <c r="C3012" s="36">
        <v>0.04</v>
      </c>
    </row>
    <row r="3013" spans="1:3" x14ac:dyDescent="0.25">
      <c r="A3013" s="46" t="s">
        <v>4227</v>
      </c>
      <c r="B3013" s="35">
        <v>0.45182722806930498</v>
      </c>
      <c r="C3013" s="36">
        <v>0.09</v>
      </c>
    </row>
    <row r="3014" spans="1:3" x14ac:dyDescent="0.25">
      <c r="A3014" s="46" t="s">
        <v>4228</v>
      </c>
      <c r="B3014" s="35">
        <v>0.45061728358268699</v>
      </c>
      <c r="C3014" s="36">
        <v>0.08</v>
      </c>
    </row>
    <row r="3015" spans="1:3" x14ac:dyDescent="0.25">
      <c r="A3015" s="46" t="s">
        <v>4229</v>
      </c>
      <c r="B3015" s="35">
        <v>0.49619150161743097</v>
      </c>
      <c r="C3015" s="36">
        <v>0.18</v>
      </c>
    </row>
    <row r="3016" spans="1:3" x14ac:dyDescent="0.25">
      <c r="A3016" s="46" t="s">
        <v>4230</v>
      </c>
      <c r="B3016" s="35">
        <v>0.84651160240173295</v>
      </c>
      <c r="C3016" s="36">
        <v>0.23</v>
      </c>
    </row>
    <row r="3017" spans="1:3" x14ac:dyDescent="0.25">
      <c r="A3017" s="46" t="s">
        <v>4231</v>
      </c>
      <c r="B3017" s="35">
        <v>0.46753245592117298</v>
      </c>
      <c r="C3017" s="36">
        <v>0.13</v>
      </c>
    </row>
    <row r="3018" spans="1:3" x14ac:dyDescent="0.25">
      <c r="A3018" s="46" t="s">
        <v>4232</v>
      </c>
      <c r="B3018" s="35">
        <v>0.47045952081680298</v>
      </c>
      <c r="C3018" s="36">
        <v>0.09</v>
      </c>
    </row>
    <row r="3019" spans="1:3" x14ac:dyDescent="0.25">
      <c r="A3019" s="46" t="s">
        <v>4233</v>
      </c>
      <c r="B3019" s="35">
        <v>0.59136211872100797</v>
      </c>
      <c r="C3019" s="36">
        <v>0.15</v>
      </c>
    </row>
    <row r="3020" spans="1:3" x14ac:dyDescent="0.25">
      <c r="A3020" s="46" t="s">
        <v>4234</v>
      </c>
      <c r="B3020" s="35">
        <v>0.58860760927200295</v>
      </c>
      <c r="C3020" s="36">
        <v>0.22</v>
      </c>
    </row>
    <row r="3021" spans="1:3" x14ac:dyDescent="0.25">
      <c r="A3021" s="46" t="s">
        <v>4235</v>
      </c>
      <c r="B3021" s="35">
        <v>0.93703705072402899</v>
      </c>
      <c r="C3021" s="36">
        <v>0.23</v>
      </c>
    </row>
    <row r="3022" spans="1:3" x14ac:dyDescent="0.25">
      <c r="A3022" s="46" t="s">
        <v>4236</v>
      </c>
      <c r="B3022" s="35">
        <v>0.89716309309005704</v>
      </c>
      <c r="C3022" s="36">
        <v>0.23</v>
      </c>
    </row>
    <row r="3023" spans="1:3" x14ac:dyDescent="0.25">
      <c r="A3023" s="46" t="s">
        <v>4237</v>
      </c>
      <c r="B3023" s="35">
        <v>0.62214982509613004</v>
      </c>
      <c r="C3023" s="36">
        <v>0.18</v>
      </c>
    </row>
    <row r="3024" spans="1:3" x14ac:dyDescent="0.25">
      <c r="A3024" s="46" t="s">
        <v>4238</v>
      </c>
      <c r="B3024" s="35">
        <v>0.57096773386001498</v>
      </c>
      <c r="C3024" s="36">
        <v>7.0000000000000007E-2</v>
      </c>
    </row>
    <row r="3025" spans="1:3" x14ac:dyDescent="0.25">
      <c r="A3025" s="46" t="s">
        <v>4239</v>
      </c>
      <c r="B3025" s="35">
        <v>0.60682225227355902</v>
      </c>
      <c r="C3025" s="36">
        <v>0.05</v>
      </c>
    </row>
    <row r="3026" spans="1:3" x14ac:dyDescent="0.25">
      <c r="A3026" s="46" t="s">
        <v>4240</v>
      </c>
      <c r="B3026" s="35">
        <v>0.94678217172622603</v>
      </c>
      <c r="C3026" s="36">
        <v>0.14000000000000001</v>
      </c>
    </row>
    <row r="3027" spans="1:3" x14ac:dyDescent="0.25">
      <c r="A3027" s="46" t="s">
        <v>4241</v>
      </c>
      <c r="B3027" s="35">
        <v>0.95426452159881503</v>
      </c>
      <c r="C3027" s="36">
        <v>0.13</v>
      </c>
    </row>
    <row r="3028" spans="1:3" x14ac:dyDescent="0.25">
      <c r="A3028" s="46" t="s">
        <v>4242</v>
      </c>
      <c r="B3028" s="35">
        <v>0.54605263471603305</v>
      </c>
      <c r="C3028" s="36">
        <v>0.28999999999999998</v>
      </c>
    </row>
    <row r="3029" spans="1:3" x14ac:dyDescent="0.25">
      <c r="A3029" s="46" t="s">
        <v>4243</v>
      </c>
      <c r="B3029" s="35">
        <v>0.55368423461913996</v>
      </c>
      <c r="C3029" s="36">
        <v>0.03</v>
      </c>
    </row>
    <row r="3030" spans="1:3" x14ac:dyDescent="0.25">
      <c r="A3030" s="46" t="s">
        <v>4244</v>
      </c>
      <c r="B3030" s="35">
        <v>0.49217003583907998</v>
      </c>
      <c r="C3030" s="36">
        <v>0.33</v>
      </c>
    </row>
    <row r="3031" spans="1:3" x14ac:dyDescent="0.25">
      <c r="A3031" s="46" t="s">
        <v>4245</v>
      </c>
      <c r="B3031" s="35">
        <v>0.54716980457305897</v>
      </c>
      <c r="C3031" s="36">
        <v>0.12</v>
      </c>
    </row>
    <row r="3032" spans="1:3" x14ac:dyDescent="0.25">
      <c r="A3032" s="46" t="s">
        <v>4246</v>
      </c>
      <c r="B3032" s="35">
        <v>0.53653442859649603</v>
      </c>
      <c r="C3032" s="36">
        <v>0.14000000000000001</v>
      </c>
    </row>
    <row r="3033" spans="1:3" x14ac:dyDescent="0.25">
      <c r="A3033" s="46" t="s">
        <v>4247</v>
      </c>
      <c r="B3033" s="35">
        <v>0.60664820671081499</v>
      </c>
      <c r="C3033" s="36">
        <v>0.32</v>
      </c>
    </row>
    <row r="3034" spans="1:3" x14ac:dyDescent="0.25">
      <c r="A3034" s="46" t="s">
        <v>4248</v>
      </c>
      <c r="B3034" s="35">
        <v>0.60664820671081499</v>
      </c>
      <c r="C3034" s="36">
        <v>0.28999999999999998</v>
      </c>
    </row>
    <row r="3035" spans="1:3" x14ac:dyDescent="0.25">
      <c r="A3035" s="46" t="s">
        <v>4249</v>
      </c>
      <c r="B3035" s="35">
        <v>0.60664820671081499</v>
      </c>
      <c r="C3035" s="36">
        <v>0.25</v>
      </c>
    </row>
    <row r="3036" spans="1:3" x14ac:dyDescent="0.25">
      <c r="A3036" s="46" t="s">
        <v>4250</v>
      </c>
      <c r="B3036" s="35">
        <v>0.61574071645736606</v>
      </c>
      <c r="C3036" s="36">
        <v>0.04</v>
      </c>
    </row>
    <row r="3037" spans="1:3" x14ac:dyDescent="0.25">
      <c r="A3037" s="46" t="s">
        <v>4251</v>
      </c>
      <c r="B3037" s="35">
        <v>0.61489361524581898</v>
      </c>
      <c r="C3037" s="36">
        <v>0.02</v>
      </c>
    </row>
    <row r="3038" spans="1:3" x14ac:dyDescent="0.25">
      <c r="A3038" s="46" t="s">
        <v>4252</v>
      </c>
      <c r="B3038" s="35">
        <v>0.64230173826217596</v>
      </c>
      <c r="C3038" s="36">
        <v>0.18</v>
      </c>
    </row>
    <row r="3039" spans="1:3" x14ac:dyDescent="0.25">
      <c r="A3039" s="46" t="s">
        <v>4253</v>
      </c>
      <c r="B3039" s="35">
        <v>0.61129033565521196</v>
      </c>
      <c r="C3039" s="36">
        <v>0.16</v>
      </c>
    </row>
    <row r="3040" spans="1:3" x14ac:dyDescent="0.25">
      <c r="A3040" s="46" t="s">
        <v>4254</v>
      </c>
      <c r="B3040" s="35">
        <v>0.5</v>
      </c>
      <c r="C3040" s="36">
        <v>0.1</v>
      </c>
    </row>
    <row r="3041" spans="1:3" x14ac:dyDescent="0.25">
      <c r="A3041" s="46" t="s">
        <v>4255</v>
      </c>
      <c r="B3041" s="35">
        <v>0.46194225549697798</v>
      </c>
      <c r="C3041" s="36">
        <v>0.24</v>
      </c>
    </row>
    <row r="3042" spans="1:3" x14ac:dyDescent="0.25">
      <c r="A3042" s="46" t="s">
        <v>4256</v>
      </c>
      <c r="B3042" s="35">
        <v>0.53497940301895097</v>
      </c>
      <c r="C3042" s="36">
        <v>0.03</v>
      </c>
    </row>
    <row r="3043" spans="1:3" x14ac:dyDescent="0.25">
      <c r="A3043" s="46" t="s">
        <v>4257</v>
      </c>
      <c r="B3043" s="35">
        <v>0.53987729549407903</v>
      </c>
      <c r="C3043" s="36">
        <v>0.1</v>
      </c>
    </row>
    <row r="3044" spans="1:3" x14ac:dyDescent="0.25">
      <c r="A3044" s="46" t="s">
        <v>4258</v>
      </c>
      <c r="B3044" s="35">
        <v>0.61573547124862604</v>
      </c>
      <c r="C3044" s="36">
        <v>0.23</v>
      </c>
    </row>
    <row r="3045" spans="1:3" x14ac:dyDescent="0.25">
      <c r="A3045" s="46" t="s">
        <v>4259</v>
      </c>
      <c r="B3045" s="35">
        <v>0.63054186105728105</v>
      </c>
      <c r="C3045" s="36">
        <v>0.17</v>
      </c>
    </row>
    <row r="3046" spans="1:3" x14ac:dyDescent="0.25">
      <c r="A3046" s="46" t="s">
        <v>4260</v>
      </c>
      <c r="B3046" s="35">
        <v>0.50479847192764205</v>
      </c>
      <c r="C3046" s="36">
        <v>0.28000000000000003</v>
      </c>
    </row>
    <row r="3047" spans="1:3" x14ac:dyDescent="0.25">
      <c r="A3047" s="46" t="s">
        <v>4261</v>
      </c>
      <c r="B3047" s="35">
        <v>0.56653994321823098</v>
      </c>
      <c r="C3047" s="36">
        <v>0.37</v>
      </c>
    </row>
    <row r="3048" spans="1:3" x14ac:dyDescent="0.25">
      <c r="A3048" s="46" t="s">
        <v>4262</v>
      </c>
      <c r="B3048" s="35">
        <v>0.63227015733718805</v>
      </c>
      <c r="C3048" s="36">
        <v>0.06</v>
      </c>
    </row>
    <row r="3049" spans="1:3" x14ac:dyDescent="0.25">
      <c r="A3049" s="46" t="s">
        <v>4263</v>
      </c>
      <c r="B3049" s="35">
        <v>0.60234898328781095</v>
      </c>
      <c r="C3049" s="36">
        <v>0.04</v>
      </c>
    </row>
    <row r="3050" spans="1:3" x14ac:dyDescent="0.25">
      <c r="A3050" s="46" t="s">
        <v>4264</v>
      </c>
      <c r="B3050" s="35">
        <v>0.69920843839645297</v>
      </c>
      <c r="C3050" s="36">
        <v>0.18</v>
      </c>
    </row>
    <row r="3051" spans="1:3" x14ac:dyDescent="0.25">
      <c r="A3051" s="46" t="s">
        <v>4265</v>
      </c>
      <c r="B3051" s="35">
        <v>0.63622045516967696</v>
      </c>
      <c r="C3051" s="36">
        <v>0.2</v>
      </c>
    </row>
    <row r="3052" spans="1:3" x14ac:dyDescent="0.25">
      <c r="A3052" s="46" t="s">
        <v>4266</v>
      </c>
      <c r="B3052" s="35">
        <v>0.55258125066757202</v>
      </c>
      <c r="C3052" s="36">
        <v>0.35</v>
      </c>
    </row>
    <row r="3053" spans="1:3" x14ac:dyDescent="0.25">
      <c r="A3053" s="46" t="s">
        <v>4267</v>
      </c>
      <c r="B3053" s="35">
        <v>0.62647753953933705</v>
      </c>
      <c r="C3053" s="36">
        <v>0.3</v>
      </c>
    </row>
    <row r="3054" spans="1:3" x14ac:dyDescent="0.25">
      <c r="A3054" s="46" t="s">
        <v>4268</v>
      </c>
      <c r="B3054" s="35">
        <v>0.693717300891876</v>
      </c>
      <c r="C3054" s="36">
        <v>0.16</v>
      </c>
    </row>
    <row r="3055" spans="1:3" x14ac:dyDescent="0.25">
      <c r="A3055" s="46" t="s">
        <v>4269</v>
      </c>
      <c r="B3055" s="35">
        <v>0.56970739364624001</v>
      </c>
      <c r="C3055" s="36">
        <v>0.09</v>
      </c>
    </row>
    <row r="3056" spans="1:3" x14ac:dyDescent="0.25">
      <c r="A3056" s="46" t="s">
        <v>4270</v>
      </c>
      <c r="B3056" s="35">
        <v>0.56879192590713501</v>
      </c>
      <c r="C3056" s="36">
        <v>0.25</v>
      </c>
    </row>
    <row r="3057" spans="1:3" x14ac:dyDescent="0.25">
      <c r="A3057" s="46" t="s">
        <v>4271</v>
      </c>
      <c r="B3057" s="35">
        <v>0.72380954027175903</v>
      </c>
      <c r="C3057" s="36">
        <v>0.3</v>
      </c>
    </row>
    <row r="3058" spans="1:3" x14ac:dyDescent="0.25">
      <c r="A3058" s="46" t="s">
        <v>4272</v>
      </c>
      <c r="B3058" s="35">
        <v>0.52982455492019598</v>
      </c>
      <c r="C3058" s="36">
        <v>0.19</v>
      </c>
    </row>
    <row r="3059" spans="1:3" x14ac:dyDescent="0.25">
      <c r="A3059" s="46" t="s">
        <v>4273</v>
      </c>
      <c r="B3059" s="35">
        <v>0.60460251569747903</v>
      </c>
      <c r="C3059" s="36">
        <v>0.15</v>
      </c>
    </row>
    <row r="3060" spans="1:3" x14ac:dyDescent="0.25">
      <c r="A3060" s="46" t="s">
        <v>4274</v>
      </c>
      <c r="B3060" s="35">
        <v>0.59375</v>
      </c>
      <c r="C3060" s="36">
        <v>0.05</v>
      </c>
    </row>
    <row r="3061" spans="1:3" x14ac:dyDescent="0.25">
      <c r="A3061" s="46" t="s">
        <v>4275</v>
      </c>
      <c r="B3061" s="35">
        <v>0.64973264932632402</v>
      </c>
      <c r="C3061" s="36">
        <v>0.22</v>
      </c>
    </row>
    <row r="3062" spans="1:3" x14ac:dyDescent="0.25">
      <c r="A3062" s="46" t="s">
        <v>4276</v>
      </c>
      <c r="B3062" s="35">
        <v>0.66590386629104603</v>
      </c>
      <c r="C3062" s="36">
        <v>0.27</v>
      </c>
    </row>
    <row r="3063" spans="1:3" x14ac:dyDescent="0.25">
      <c r="A3063" s="46" t="s">
        <v>4277</v>
      </c>
      <c r="B3063" s="35">
        <v>0.416938096284866</v>
      </c>
      <c r="C3063" s="36">
        <v>0.31</v>
      </c>
    </row>
    <row r="3064" spans="1:3" x14ac:dyDescent="0.25">
      <c r="A3064" s="46" t="s">
        <v>4278</v>
      </c>
      <c r="B3064" s="35">
        <v>0.41666665673255898</v>
      </c>
      <c r="C3064" s="36">
        <v>0.06</v>
      </c>
    </row>
    <row r="3065" spans="1:3" x14ac:dyDescent="0.25">
      <c r="A3065" s="46" t="s">
        <v>4279</v>
      </c>
      <c r="B3065" s="35">
        <v>0.97229218482971103</v>
      </c>
      <c r="C3065" s="36">
        <v>0.18</v>
      </c>
    </row>
    <row r="3066" spans="1:3" x14ac:dyDescent="0.25">
      <c r="A3066" s="46" t="s">
        <v>4280</v>
      </c>
      <c r="B3066" s="35">
        <v>0.53907817602157504</v>
      </c>
      <c r="C3066" s="36">
        <v>0.3</v>
      </c>
    </row>
    <row r="3067" spans="1:3" x14ac:dyDescent="0.25">
      <c r="A3067" s="46" t="s">
        <v>4281</v>
      </c>
      <c r="B3067" s="35">
        <v>0.52380955219268799</v>
      </c>
      <c r="C3067" s="36">
        <v>0.1</v>
      </c>
    </row>
    <row r="3068" spans="1:3" x14ac:dyDescent="0.25">
      <c r="A3068" s="46" t="s">
        <v>4282</v>
      </c>
      <c r="B3068" s="35">
        <v>0.43910256028175298</v>
      </c>
      <c r="C3068" s="36">
        <v>0.08</v>
      </c>
    </row>
    <row r="3069" spans="1:3" x14ac:dyDescent="0.25">
      <c r="A3069" s="46" t="s">
        <v>4283</v>
      </c>
      <c r="B3069" s="35">
        <v>0.54026848077774003</v>
      </c>
      <c r="C3069" s="36">
        <v>0.2</v>
      </c>
    </row>
    <row r="3070" spans="1:3" x14ac:dyDescent="0.25">
      <c r="A3070" s="46" t="s">
        <v>4284</v>
      </c>
      <c r="B3070" s="35">
        <v>0.35810810327529902</v>
      </c>
      <c r="C3070" s="36">
        <v>0.11</v>
      </c>
    </row>
    <row r="3071" spans="1:3" x14ac:dyDescent="0.25">
      <c r="A3071" s="46" t="s">
        <v>4285</v>
      </c>
      <c r="B3071" s="35">
        <v>0.404958665370941</v>
      </c>
      <c r="C3071" s="36">
        <v>0.06</v>
      </c>
    </row>
    <row r="3072" spans="1:3" x14ac:dyDescent="0.25">
      <c r="A3072" s="46" t="s">
        <v>4286</v>
      </c>
      <c r="B3072" s="35">
        <v>0.46103894710540699</v>
      </c>
      <c r="C3072" s="36">
        <v>0.27</v>
      </c>
    </row>
    <row r="3073" spans="1:3" x14ac:dyDescent="0.25">
      <c r="A3073" s="46" t="s">
        <v>4287</v>
      </c>
      <c r="B3073" s="35">
        <v>0.50333333015441895</v>
      </c>
      <c r="C3073" s="36">
        <v>0.05</v>
      </c>
    </row>
    <row r="3074" spans="1:3" x14ac:dyDescent="0.25">
      <c r="A3074" s="46" t="s">
        <v>4288</v>
      </c>
      <c r="B3074" s="35">
        <v>0.56784969568252497</v>
      </c>
      <c r="C3074" s="36">
        <v>0.24</v>
      </c>
    </row>
    <row r="3075" spans="1:3" x14ac:dyDescent="0.25">
      <c r="A3075" s="46" t="s">
        <v>4289</v>
      </c>
      <c r="B3075" s="35">
        <v>0.39337474107742298</v>
      </c>
      <c r="C3075" s="36">
        <v>0.5</v>
      </c>
    </row>
    <row r="3076" spans="1:3" x14ac:dyDescent="0.25">
      <c r="A3076" s="46" t="s">
        <v>4290</v>
      </c>
      <c r="B3076" s="35">
        <v>0.72790700197219804</v>
      </c>
      <c r="C3076" s="36">
        <v>0.21</v>
      </c>
    </row>
    <row r="3077" spans="1:3" x14ac:dyDescent="0.25">
      <c r="A3077" s="46" t="s">
        <v>4291</v>
      </c>
      <c r="B3077" s="35">
        <v>0.477586209774017</v>
      </c>
      <c r="C3077" s="36">
        <v>0</v>
      </c>
    </row>
    <row r="3078" spans="1:3" x14ac:dyDescent="0.25">
      <c r="A3078" s="46" t="s">
        <v>4292</v>
      </c>
      <c r="B3078" s="35">
        <v>0.58103972673416104</v>
      </c>
      <c r="C3078" s="36">
        <v>0</v>
      </c>
    </row>
    <row r="3079" spans="1:3" x14ac:dyDescent="0.25">
      <c r="A3079" s="46" t="s">
        <v>4293</v>
      </c>
      <c r="B3079" s="35">
        <v>0.514598548412323</v>
      </c>
      <c r="C3079" s="36">
        <v>0.08</v>
      </c>
    </row>
    <row r="3080" spans="1:3" x14ac:dyDescent="0.25">
      <c r="A3080" s="46" t="s">
        <v>4294</v>
      </c>
      <c r="B3080" s="35">
        <v>0.59533071517944303</v>
      </c>
      <c r="C3080" s="36">
        <v>7.0000000000000007E-2</v>
      </c>
    </row>
    <row r="3081" spans="1:3" x14ac:dyDescent="0.25">
      <c r="A3081" s="46" t="s">
        <v>4295</v>
      </c>
      <c r="B3081" s="35">
        <v>0.70399999618530196</v>
      </c>
      <c r="C3081" s="36">
        <v>0.23</v>
      </c>
    </row>
    <row r="3082" spans="1:3" x14ac:dyDescent="0.25">
      <c r="A3082" s="46" t="s">
        <v>4296</v>
      </c>
      <c r="B3082" s="35">
        <v>0.45546558499336198</v>
      </c>
      <c r="C3082" s="36">
        <v>0.36</v>
      </c>
    </row>
    <row r="3083" spans="1:3" x14ac:dyDescent="0.25">
      <c r="A3083" s="46" t="s">
        <v>4297</v>
      </c>
      <c r="B3083" s="35">
        <v>0.721804499626159</v>
      </c>
      <c r="C3083" s="36">
        <v>0.03</v>
      </c>
    </row>
    <row r="3084" spans="1:3" x14ac:dyDescent="0.25">
      <c r="A3084" s="46" t="s">
        <v>4298</v>
      </c>
      <c r="B3084" s="35">
        <v>0.69117647409438998</v>
      </c>
      <c r="C3084" s="36">
        <v>0.06</v>
      </c>
    </row>
    <row r="3085" spans="1:3" x14ac:dyDescent="0.25">
      <c r="A3085" s="46" t="s">
        <v>4299</v>
      </c>
      <c r="B3085" s="35">
        <v>0.76580798625946001</v>
      </c>
      <c r="C3085" s="36">
        <v>0.28000000000000003</v>
      </c>
    </row>
    <row r="3086" spans="1:3" x14ac:dyDescent="0.25">
      <c r="A3086" s="46" t="s">
        <v>4300</v>
      </c>
      <c r="B3086" s="35">
        <v>0.481481492519378</v>
      </c>
      <c r="C3086" s="36">
        <v>0.12</v>
      </c>
    </row>
    <row r="3087" spans="1:3" x14ac:dyDescent="0.25">
      <c r="A3087" s="46" t="s">
        <v>4301</v>
      </c>
      <c r="B3087" s="35">
        <v>0.46646341681480402</v>
      </c>
      <c r="C3087" s="36">
        <v>0.03</v>
      </c>
    </row>
    <row r="3088" spans="1:3" x14ac:dyDescent="0.25">
      <c r="A3088" s="46" t="s">
        <v>4302</v>
      </c>
      <c r="B3088" s="35">
        <v>0.61847388744354204</v>
      </c>
      <c r="C3088" s="36">
        <v>0.28000000000000003</v>
      </c>
    </row>
    <row r="3089" spans="1:3" x14ac:dyDescent="0.25">
      <c r="A3089" s="46" t="s">
        <v>4303</v>
      </c>
      <c r="B3089" s="35">
        <v>0.49640288949012701</v>
      </c>
      <c r="C3089" s="36">
        <v>0.3</v>
      </c>
    </row>
    <row r="3090" spans="1:3" x14ac:dyDescent="0.25">
      <c r="A3090" s="46" t="s">
        <v>4304</v>
      </c>
      <c r="B3090" s="35">
        <v>0.53887885808944702</v>
      </c>
      <c r="C3090" s="36">
        <v>0.38</v>
      </c>
    </row>
    <row r="3091" spans="1:3" x14ac:dyDescent="0.25">
      <c r="A3091" s="46" t="s">
        <v>4305</v>
      </c>
      <c r="B3091" s="35">
        <v>0.58664548397064198</v>
      </c>
      <c r="C3091" s="36">
        <v>0.1</v>
      </c>
    </row>
    <row r="3092" spans="1:3" x14ac:dyDescent="0.25">
      <c r="A3092" s="46" t="s">
        <v>4306</v>
      </c>
      <c r="B3092" s="35">
        <v>0.65131580829620295</v>
      </c>
      <c r="C3092" s="36">
        <v>0</v>
      </c>
    </row>
    <row r="3093" spans="1:3" x14ac:dyDescent="0.25">
      <c r="A3093" s="46" t="s">
        <v>4307</v>
      </c>
      <c r="B3093" s="35">
        <v>0.52196383476257302</v>
      </c>
      <c r="C3093" s="36">
        <v>0.17</v>
      </c>
    </row>
    <row r="3094" spans="1:3" x14ac:dyDescent="0.25">
      <c r="A3094" s="46" t="s">
        <v>4308</v>
      </c>
      <c r="B3094" s="35">
        <v>0.64444446563720703</v>
      </c>
      <c r="C3094" s="36">
        <v>0.21</v>
      </c>
    </row>
    <row r="3095" spans="1:3" x14ac:dyDescent="0.25">
      <c r="A3095" s="46" t="s">
        <v>4309</v>
      </c>
      <c r="B3095" s="35">
        <v>0.45189505815505898</v>
      </c>
      <c r="C3095" s="36">
        <v>0.23</v>
      </c>
    </row>
    <row r="3096" spans="1:3" x14ac:dyDescent="0.25">
      <c r="A3096" s="46" t="s">
        <v>4310</v>
      </c>
      <c r="B3096" s="35">
        <v>0.56112849712371804</v>
      </c>
      <c r="C3096" s="36">
        <v>0.22</v>
      </c>
    </row>
    <row r="3097" spans="1:3" x14ac:dyDescent="0.25">
      <c r="A3097" s="46" t="s">
        <v>4311</v>
      </c>
      <c r="B3097" s="35">
        <v>0.66589862108230502</v>
      </c>
      <c r="C3097" s="36">
        <v>0.25</v>
      </c>
    </row>
    <row r="3098" spans="1:3" x14ac:dyDescent="0.25">
      <c r="A3098" s="46" t="s">
        <v>4312</v>
      </c>
      <c r="B3098" s="35">
        <v>0.61658030748367298</v>
      </c>
      <c r="C3098" s="36">
        <v>0.27</v>
      </c>
    </row>
    <row r="3099" spans="1:3" x14ac:dyDescent="0.25">
      <c r="A3099" s="46" t="s">
        <v>4313</v>
      </c>
      <c r="B3099" s="35">
        <v>0.629746854305267</v>
      </c>
      <c r="C3099" s="36">
        <v>0.38</v>
      </c>
    </row>
    <row r="3100" spans="1:3" x14ac:dyDescent="0.25">
      <c r="A3100" s="46" t="s">
        <v>4314</v>
      </c>
      <c r="B3100" s="35">
        <v>0.53600001335143999</v>
      </c>
      <c r="C3100" s="36">
        <v>0.32</v>
      </c>
    </row>
    <row r="3101" spans="1:3" x14ac:dyDescent="0.25">
      <c r="A3101" s="46" t="s">
        <v>4315</v>
      </c>
      <c r="B3101" s="35">
        <v>0.55654102563857999</v>
      </c>
      <c r="C3101" s="36">
        <v>0.06</v>
      </c>
    </row>
    <row r="3102" spans="1:3" x14ac:dyDescent="0.25">
      <c r="A3102" s="46" t="s">
        <v>4316</v>
      </c>
      <c r="B3102" s="35">
        <v>0.67621779441833496</v>
      </c>
      <c r="C3102" s="36">
        <v>0.15</v>
      </c>
    </row>
    <row r="3103" spans="1:3" x14ac:dyDescent="0.25">
      <c r="A3103" s="46" t="s">
        <v>4317</v>
      </c>
      <c r="B3103" s="35">
        <v>0.87245839834213201</v>
      </c>
      <c r="C3103" s="36">
        <v>0.19</v>
      </c>
    </row>
    <row r="3104" spans="1:3" x14ac:dyDescent="0.25">
      <c r="A3104" s="46" t="s">
        <v>4318</v>
      </c>
      <c r="B3104" s="35">
        <v>0.50333333015441895</v>
      </c>
      <c r="C3104" s="36">
        <v>0.24</v>
      </c>
    </row>
    <row r="3105" spans="1:3" x14ac:dyDescent="0.25">
      <c r="A3105" s="46" t="s">
        <v>4319</v>
      </c>
      <c r="B3105" s="35">
        <v>0.66891890764236395</v>
      </c>
      <c r="C3105" s="36">
        <v>0</v>
      </c>
    </row>
    <row r="3106" spans="1:3" x14ac:dyDescent="0.25">
      <c r="A3106" s="46" t="s">
        <v>4320</v>
      </c>
      <c r="B3106" s="35">
        <v>0.518518507480621</v>
      </c>
      <c r="C3106" s="36">
        <v>0.04</v>
      </c>
    </row>
    <row r="3107" spans="1:3" x14ac:dyDescent="0.25">
      <c r="A3107" s="46" t="s">
        <v>4321</v>
      </c>
      <c r="B3107" s="35">
        <v>0.59615385532379095</v>
      </c>
      <c r="C3107" s="36">
        <v>0.4</v>
      </c>
    </row>
    <row r="3108" spans="1:3" x14ac:dyDescent="0.25">
      <c r="A3108" s="46" t="s">
        <v>4322</v>
      </c>
      <c r="B3108" s="35">
        <v>0.55813956260681097</v>
      </c>
      <c r="C3108" s="36">
        <v>0.22</v>
      </c>
    </row>
    <row r="3109" spans="1:3" x14ac:dyDescent="0.25">
      <c r="A3109" s="46" t="s">
        <v>4323</v>
      </c>
      <c r="B3109" s="35">
        <v>0.53187614679336503</v>
      </c>
      <c r="C3109" s="36">
        <v>0.19</v>
      </c>
    </row>
    <row r="3110" spans="1:3" x14ac:dyDescent="0.25">
      <c r="A3110" s="46" t="s">
        <v>4324</v>
      </c>
      <c r="B3110" s="35">
        <v>0.62080538272857599</v>
      </c>
      <c r="C3110" s="36">
        <v>0.08</v>
      </c>
    </row>
    <row r="3111" spans="1:3" x14ac:dyDescent="0.25">
      <c r="A3111" s="46" t="s">
        <v>4325</v>
      </c>
      <c r="B3111" s="35">
        <v>0.56939500570297197</v>
      </c>
      <c r="C3111" s="36">
        <v>0.3</v>
      </c>
    </row>
    <row r="3112" spans="1:3" x14ac:dyDescent="0.25">
      <c r="A3112" s="46" t="s">
        <v>4326</v>
      </c>
      <c r="B3112" s="35">
        <v>0.602272748947143</v>
      </c>
      <c r="C3112" s="36">
        <v>0.38</v>
      </c>
    </row>
    <row r="3113" spans="1:3" x14ac:dyDescent="0.25">
      <c r="A3113" s="46" t="s">
        <v>4327</v>
      </c>
      <c r="B3113" s="35">
        <v>0.46484375</v>
      </c>
      <c r="C3113" s="36">
        <v>0.42</v>
      </c>
    </row>
    <row r="3114" spans="1:3" x14ac:dyDescent="0.25">
      <c r="A3114" s="46" t="s">
        <v>4328</v>
      </c>
      <c r="B3114" s="35">
        <v>0.43304842710494901</v>
      </c>
      <c r="C3114" s="36">
        <v>0.4</v>
      </c>
    </row>
    <row r="3115" spans="1:3" x14ac:dyDescent="0.25">
      <c r="A3115" s="46" t="s">
        <v>4329</v>
      </c>
      <c r="B3115" s="35">
        <v>0.44836956262588501</v>
      </c>
      <c r="C3115" s="36">
        <v>0.34</v>
      </c>
    </row>
    <row r="3116" spans="1:3" x14ac:dyDescent="0.25">
      <c r="A3116" s="46" t="s">
        <v>4330</v>
      </c>
      <c r="B3116" s="35">
        <v>0.51204818487167303</v>
      </c>
      <c r="C3116" s="36">
        <v>0.3</v>
      </c>
    </row>
    <row r="3117" spans="1:3" x14ac:dyDescent="0.25">
      <c r="A3117" s="46" t="s">
        <v>4331</v>
      </c>
      <c r="B3117" s="35">
        <v>0.50988143682479803</v>
      </c>
      <c r="C3117" s="36">
        <v>0.27</v>
      </c>
    </row>
    <row r="3118" spans="1:3" x14ac:dyDescent="0.25">
      <c r="A3118" s="46" t="s">
        <v>4332</v>
      </c>
      <c r="B3118" s="35">
        <v>0.50401282310485795</v>
      </c>
      <c r="C3118" s="36">
        <v>0.26</v>
      </c>
    </row>
    <row r="3119" spans="1:3" x14ac:dyDescent="0.25">
      <c r="A3119" s="46" t="s">
        <v>4333</v>
      </c>
      <c r="B3119" s="35">
        <v>0.81090289354324296</v>
      </c>
      <c r="C3119" s="36">
        <v>0.19</v>
      </c>
    </row>
    <row r="3120" spans="1:3" x14ac:dyDescent="0.25">
      <c r="A3120" s="46" t="s">
        <v>4334</v>
      </c>
      <c r="B3120" s="35">
        <v>0.53504675626754705</v>
      </c>
      <c r="C3120" s="36">
        <v>0.16</v>
      </c>
    </row>
    <row r="3121" spans="1:3" x14ac:dyDescent="0.25">
      <c r="A3121" s="46" t="s">
        <v>4335</v>
      </c>
      <c r="B3121" s="35">
        <v>0.49199083447456299</v>
      </c>
      <c r="C3121" s="36">
        <v>0.08</v>
      </c>
    </row>
    <row r="3122" spans="1:3" x14ac:dyDescent="0.25">
      <c r="A3122" s="46" t="s">
        <v>4336</v>
      </c>
      <c r="B3122" s="35">
        <v>0.67963385581970204</v>
      </c>
      <c r="C3122" s="36">
        <v>0.19</v>
      </c>
    </row>
    <row r="3123" spans="1:3" x14ac:dyDescent="0.25">
      <c r="A3123" s="46" t="s">
        <v>4337</v>
      </c>
      <c r="B3123" s="35">
        <v>0.50293540954589799</v>
      </c>
      <c r="C3123" s="36">
        <v>0.11</v>
      </c>
    </row>
    <row r="3124" spans="1:3" x14ac:dyDescent="0.25">
      <c r="A3124" s="46" t="s">
        <v>4338</v>
      </c>
      <c r="B3124" s="35">
        <v>0.52813851833343495</v>
      </c>
      <c r="C3124" s="36">
        <v>0.05</v>
      </c>
    </row>
    <row r="3125" spans="1:3" x14ac:dyDescent="0.25">
      <c r="A3125" s="46" t="s">
        <v>4339</v>
      </c>
      <c r="B3125" s="35">
        <v>0.52727270126342696</v>
      </c>
      <c r="C3125" s="36">
        <v>0.15</v>
      </c>
    </row>
    <row r="3126" spans="1:3" x14ac:dyDescent="0.25">
      <c r="A3126" s="46" t="s">
        <v>4340</v>
      </c>
      <c r="B3126" s="35">
        <v>0.77192980051040605</v>
      </c>
      <c r="C3126" s="36">
        <v>0.03</v>
      </c>
    </row>
    <row r="3127" spans="1:3" x14ac:dyDescent="0.25">
      <c r="A3127" s="46" t="s">
        <v>4341</v>
      </c>
      <c r="B3127" s="35">
        <v>0.77192980051040605</v>
      </c>
      <c r="C3127" s="36">
        <v>0.03</v>
      </c>
    </row>
    <row r="3128" spans="1:3" x14ac:dyDescent="0.25">
      <c r="A3128" s="46" t="s">
        <v>4342</v>
      </c>
      <c r="B3128" s="35">
        <v>0.53765690326690596</v>
      </c>
      <c r="C3128" s="36">
        <v>7.0000000000000007E-2</v>
      </c>
    </row>
    <row r="3129" spans="1:3" x14ac:dyDescent="0.25">
      <c r="A3129" s="46" t="s">
        <v>4343</v>
      </c>
      <c r="B3129" s="35">
        <v>0.62857145071029596</v>
      </c>
      <c r="C3129" s="36">
        <v>0.37</v>
      </c>
    </row>
    <row r="3130" spans="1:3" x14ac:dyDescent="0.25">
      <c r="A3130" s="46" t="s">
        <v>4344</v>
      </c>
      <c r="B3130" s="35">
        <v>0.46656534075737</v>
      </c>
      <c r="C3130" s="36">
        <v>7.0000000000000007E-2</v>
      </c>
    </row>
    <row r="3131" spans="1:3" x14ac:dyDescent="0.25">
      <c r="A3131" s="46" t="s">
        <v>4345</v>
      </c>
      <c r="B3131" s="35">
        <v>0.50322580337524403</v>
      </c>
      <c r="C3131" s="36">
        <v>0.05</v>
      </c>
    </row>
    <row r="3132" spans="1:3" x14ac:dyDescent="0.25">
      <c r="A3132" s="46" t="s">
        <v>4346</v>
      </c>
      <c r="B3132" s="35">
        <v>0.623632371425628</v>
      </c>
      <c r="C3132" s="36">
        <v>0.13</v>
      </c>
    </row>
    <row r="3133" spans="1:3" x14ac:dyDescent="0.25">
      <c r="A3133" s="46" t="s">
        <v>4347</v>
      </c>
      <c r="B3133" s="35">
        <v>0.60176992416381803</v>
      </c>
      <c r="C3133" s="36">
        <v>0.13</v>
      </c>
    </row>
    <row r="3134" spans="1:3" x14ac:dyDescent="0.25">
      <c r="A3134" s="46" t="s">
        <v>4348</v>
      </c>
      <c r="B3134" s="35">
        <v>0.48913043737411499</v>
      </c>
      <c r="C3134" s="36">
        <v>0.05</v>
      </c>
    </row>
    <row r="3135" spans="1:3" x14ac:dyDescent="0.25">
      <c r="A3135" s="46" t="s">
        <v>4349</v>
      </c>
      <c r="B3135" s="35">
        <v>0.52499997615814198</v>
      </c>
      <c r="C3135" s="36">
        <v>0.19</v>
      </c>
    </row>
    <row r="3136" spans="1:3" x14ac:dyDescent="0.25">
      <c r="A3136" s="46" t="s">
        <v>4350</v>
      </c>
      <c r="B3136" s="35">
        <v>0.48759123682975702</v>
      </c>
      <c r="C3136" s="36">
        <v>0.11</v>
      </c>
    </row>
    <row r="3137" spans="1:3" x14ac:dyDescent="0.25">
      <c r="A3137" s="46" t="s">
        <v>4351</v>
      </c>
      <c r="B3137" s="35">
        <v>0.49448528885841297</v>
      </c>
      <c r="C3137" s="36">
        <v>0.33</v>
      </c>
    </row>
    <row r="3138" spans="1:3" x14ac:dyDescent="0.25">
      <c r="A3138" s="46" t="s">
        <v>4352</v>
      </c>
      <c r="B3138" s="35">
        <v>0.56913828849792403</v>
      </c>
      <c r="C3138" s="36">
        <v>0.18</v>
      </c>
    </row>
    <row r="3139" spans="1:3" x14ac:dyDescent="0.25">
      <c r="A3139" s="46" t="s">
        <v>4353</v>
      </c>
      <c r="B3139" s="35">
        <v>0.55905508995056097</v>
      </c>
      <c r="C3139" s="36">
        <v>0.06</v>
      </c>
    </row>
    <row r="3140" spans="1:3" x14ac:dyDescent="0.25">
      <c r="A3140" s="46" t="s">
        <v>4354</v>
      </c>
      <c r="B3140" s="35">
        <v>0.61220043897628695</v>
      </c>
      <c r="C3140" s="36">
        <v>0.08</v>
      </c>
    </row>
    <row r="3141" spans="1:3" x14ac:dyDescent="0.25">
      <c r="A3141" s="46" t="s">
        <v>4355</v>
      </c>
      <c r="B3141" s="35">
        <v>0.42535212635993902</v>
      </c>
      <c r="C3141" s="36">
        <v>0.11</v>
      </c>
    </row>
    <row r="3142" spans="1:3" x14ac:dyDescent="0.25">
      <c r="A3142" s="46" t="s">
        <v>4356</v>
      </c>
      <c r="B3142" s="35">
        <v>0.51044774055480902</v>
      </c>
      <c r="C3142" s="36">
        <v>0.16</v>
      </c>
    </row>
    <row r="3143" spans="1:3" x14ac:dyDescent="0.25">
      <c r="A3143" s="46" t="s">
        <v>4357</v>
      </c>
      <c r="B3143" s="35">
        <v>0.47535210847854598</v>
      </c>
      <c r="C3143" s="36">
        <v>0.28999999999999998</v>
      </c>
    </row>
    <row r="3144" spans="1:3" x14ac:dyDescent="0.25">
      <c r="A3144" s="46" t="s">
        <v>4358</v>
      </c>
      <c r="B3144" s="35">
        <v>0.77319586277008001</v>
      </c>
      <c r="C3144" s="36">
        <v>0.03</v>
      </c>
    </row>
    <row r="3145" spans="1:3" x14ac:dyDescent="0.25">
      <c r="A3145" s="46" t="s">
        <v>4359</v>
      </c>
      <c r="B3145" s="35">
        <v>0.77319586277008001</v>
      </c>
      <c r="C3145" s="36">
        <v>0.03</v>
      </c>
    </row>
    <row r="3146" spans="1:3" x14ac:dyDescent="0.25">
      <c r="A3146" s="46" t="s">
        <v>4360</v>
      </c>
      <c r="B3146" s="35">
        <v>0.60208642482757502</v>
      </c>
      <c r="C3146" s="36">
        <v>0.14000000000000001</v>
      </c>
    </row>
    <row r="3147" spans="1:3" x14ac:dyDescent="0.25">
      <c r="A3147" s="46" t="s">
        <v>4361</v>
      </c>
      <c r="B3147" s="35">
        <v>0.76642334461212103</v>
      </c>
      <c r="C3147" s="36">
        <v>0.27</v>
      </c>
    </row>
    <row r="3148" spans="1:3" x14ac:dyDescent="0.25">
      <c r="A3148" s="46" t="s">
        <v>4362</v>
      </c>
      <c r="B3148" s="35">
        <v>0.77319586277008001</v>
      </c>
      <c r="C3148" s="36">
        <v>0.03</v>
      </c>
    </row>
    <row r="3149" spans="1:3" x14ac:dyDescent="0.25">
      <c r="A3149" s="46" t="s">
        <v>4363</v>
      </c>
      <c r="B3149" s="35">
        <v>0.72609817981719904</v>
      </c>
      <c r="C3149" s="36">
        <v>0.05</v>
      </c>
    </row>
    <row r="3150" spans="1:3" x14ac:dyDescent="0.25">
      <c r="A3150" s="46" t="s">
        <v>4364</v>
      </c>
      <c r="B3150" s="35">
        <v>0.58012169599533003</v>
      </c>
      <c r="C3150" s="36">
        <v>0.02</v>
      </c>
    </row>
    <row r="3151" spans="1:3" x14ac:dyDescent="0.25">
      <c r="A3151" s="46" t="s">
        <v>4365</v>
      </c>
      <c r="B3151" s="35">
        <v>0.52222222089767401</v>
      </c>
      <c r="C3151" s="36">
        <v>0.3</v>
      </c>
    </row>
    <row r="3152" spans="1:3" x14ac:dyDescent="0.25">
      <c r="A3152" s="46" t="s">
        <v>4366</v>
      </c>
      <c r="B3152" s="35">
        <v>0.48791715502738903</v>
      </c>
      <c r="C3152" s="36">
        <v>0</v>
      </c>
    </row>
    <row r="3153" spans="1:3" x14ac:dyDescent="0.25">
      <c r="A3153" s="46" t="s">
        <v>4367</v>
      </c>
      <c r="B3153" s="35">
        <v>0.51366120576858498</v>
      </c>
      <c r="C3153" s="36">
        <v>0.16</v>
      </c>
    </row>
    <row r="3154" spans="1:3" x14ac:dyDescent="0.25">
      <c r="A3154" s="46" t="s">
        <v>4368</v>
      </c>
      <c r="B3154" s="35">
        <v>0.55899417400360096</v>
      </c>
      <c r="C3154" s="36">
        <v>0.08</v>
      </c>
    </row>
    <row r="3155" spans="1:3" x14ac:dyDescent="0.25">
      <c r="A3155" s="46" t="s">
        <v>4369</v>
      </c>
      <c r="B3155" s="35">
        <v>0.48491621017455999</v>
      </c>
      <c r="C3155" s="36">
        <v>0.15</v>
      </c>
    </row>
    <row r="3156" spans="1:3" x14ac:dyDescent="0.25">
      <c r="A3156" s="46" t="s">
        <v>4370</v>
      </c>
      <c r="B3156" s="35">
        <v>0.64921468496322599</v>
      </c>
      <c r="C3156" s="36">
        <v>0.18</v>
      </c>
    </row>
    <row r="3157" spans="1:3" x14ac:dyDescent="0.25">
      <c r="A3157" s="46" t="s">
        <v>4371</v>
      </c>
      <c r="B3157" s="35">
        <v>0.62084257602691595</v>
      </c>
      <c r="C3157" s="36">
        <v>0.09</v>
      </c>
    </row>
    <row r="3158" spans="1:3" x14ac:dyDescent="0.25">
      <c r="A3158" s="46" t="s">
        <v>4372</v>
      </c>
      <c r="B3158" s="35">
        <v>0.55118107795715299</v>
      </c>
      <c r="C3158" s="36">
        <v>0.3</v>
      </c>
    </row>
    <row r="3159" spans="1:3" x14ac:dyDescent="0.25">
      <c r="A3159" s="46" t="s">
        <v>4373</v>
      </c>
      <c r="B3159" s="35">
        <v>0.692893385887146</v>
      </c>
      <c r="C3159" s="36">
        <v>0.05</v>
      </c>
    </row>
    <row r="3160" spans="1:3" x14ac:dyDescent="0.25">
      <c r="A3160" s="46" t="s">
        <v>4374</v>
      </c>
      <c r="B3160" s="35">
        <v>0.61560285091400102</v>
      </c>
      <c r="C3160" s="36">
        <v>0.19</v>
      </c>
    </row>
    <row r="3161" spans="1:3" x14ac:dyDescent="0.25">
      <c r="A3161" s="46" t="s">
        <v>4375</v>
      </c>
      <c r="B3161" s="35">
        <v>0.58793967962265004</v>
      </c>
      <c r="C3161" s="36">
        <v>0.15</v>
      </c>
    </row>
    <row r="3162" spans="1:3" x14ac:dyDescent="0.25">
      <c r="A3162" s="46" t="s">
        <v>4376</v>
      </c>
      <c r="B3162" s="35">
        <v>0.36144578456878601</v>
      </c>
      <c r="C3162" s="36">
        <v>0.43</v>
      </c>
    </row>
    <row r="3163" spans="1:3" x14ac:dyDescent="0.25">
      <c r="A3163" s="46" t="s">
        <v>4377</v>
      </c>
      <c r="B3163" s="35">
        <v>0.54437869787216098</v>
      </c>
      <c r="C3163" s="36">
        <v>0.22</v>
      </c>
    </row>
    <row r="3164" spans="1:3" x14ac:dyDescent="0.25">
      <c r="A3164" s="46" t="s">
        <v>4378</v>
      </c>
      <c r="B3164" s="35">
        <v>0.51923078298568703</v>
      </c>
      <c r="C3164" s="36">
        <v>0.22</v>
      </c>
    </row>
    <row r="3165" spans="1:3" x14ac:dyDescent="0.25">
      <c r="A3165" s="46" t="s">
        <v>4379</v>
      </c>
      <c r="B3165" s="35">
        <v>0.52713179588317804</v>
      </c>
      <c r="C3165" s="36">
        <v>0.18</v>
      </c>
    </row>
    <row r="3166" spans="1:3" x14ac:dyDescent="0.25">
      <c r="A3166" s="46" t="s">
        <v>4380</v>
      </c>
      <c r="B3166" s="35">
        <v>0.53076922893524103</v>
      </c>
      <c r="C3166" s="36">
        <v>0.27</v>
      </c>
    </row>
    <row r="3167" spans="1:3" x14ac:dyDescent="0.25">
      <c r="A3167" s="46" t="s">
        <v>4381</v>
      </c>
      <c r="B3167" s="35">
        <v>0.49202734231948803</v>
      </c>
      <c r="C3167" s="36">
        <v>0.14000000000000001</v>
      </c>
    </row>
    <row r="3168" spans="1:3" x14ac:dyDescent="0.25">
      <c r="A3168" s="46" t="s">
        <v>4382</v>
      </c>
      <c r="B3168" s="35">
        <v>0.60927152633666903</v>
      </c>
      <c r="C3168" s="36">
        <v>0.24</v>
      </c>
    </row>
    <row r="3169" spans="1:3" x14ac:dyDescent="0.25">
      <c r="A3169" s="46" t="s">
        <v>4383</v>
      </c>
      <c r="B3169" s="35">
        <v>0.80042463541030795</v>
      </c>
      <c r="C3169" s="36">
        <v>0.25</v>
      </c>
    </row>
    <row r="3170" spans="1:3" x14ac:dyDescent="0.25">
      <c r="A3170" s="46" t="s">
        <v>4384</v>
      </c>
      <c r="B3170" s="35">
        <v>0.67970657348632801</v>
      </c>
      <c r="C3170" s="36">
        <v>0.15</v>
      </c>
    </row>
    <row r="3171" spans="1:3" x14ac:dyDescent="0.25">
      <c r="A3171" s="46" t="s">
        <v>4385</v>
      </c>
      <c r="B3171" s="35">
        <v>0.66985648870468095</v>
      </c>
      <c r="C3171" s="36">
        <v>0.13</v>
      </c>
    </row>
    <row r="3172" spans="1:3" x14ac:dyDescent="0.25">
      <c r="A3172" s="46" t="s">
        <v>4386</v>
      </c>
      <c r="B3172" s="35">
        <v>0.46130952239036499</v>
      </c>
      <c r="C3172" s="36">
        <v>0.26</v>
      </c>
    </row>
    <row r="3173" spans="1:3" x14ac:dyDescent="0.25">
      <c r="A3173" s="46" t="s">
        <v>4387</v>
      </c>
      <c r="B3173" s="35">
        <v>0.547540962696075</v>
      </c>
      <c r="C3173" s="36">
        <v>0.3</v>
      </c>
    </row>
    <row r="3174" spans="1:3" x14ac:dyDescent="0.25">
      <c r="A3174" s="46" t="s">
        <v>4388</v>
      </c>
      <c r="B3174" s="35">
        <v>0.46557375788688599</v>
      </c>
      <c r="C3174" s="36">
        <v>0</v>
      </c>
    </row>
    <row r="3175" spans="1:3" x14ac:dyDescent="0.25">
      <c r="A3175" s="46" t="s">
        <v>4389</v>
      </c>
      <c r="B3175" s="35">
        <v>0.45886442065238903</v>
      </c>
      <c r="C3175" s="36">
        <v>0</v>
      </c>
    </row>
    <row r="3176" spans="1:3" x14ac:dyDescent="0.25">
      <c r="A3176" s="46" t="s">
        <v>4390</v>
      </c>
      <c r="B3176" s="35">
        <v>0.463175117969512</v>
      </c>
      <c r="C3176" s="36">
        <v>0</v>
      </c>
    </row>
    <row r="3177" spans="1:3" x14ac:dyDescent="0.25">
      <c r="A3177" s="46" t="s">
        <v>4391</v>
      </c>
      <c r="B3177" s="35">
        <v>0.63052207231521595</v>
      </c>
      <c r="C3177" s="36">
        <v>0.13</v>
      </c>
    </row>
    <row r="3178" spans="1:3" x14ac:dyDescent="0.25">
      <c r="A3178" s="46" t="s">
        <v>4392</v>
      </c>
      <c r="B3178" s="35">
        <v>0.58885943889617898</v>
      </c>
      <c r="C3178" s="36">
        <v>0.43</v>
      </c>
    </row>
    <row r="3179" spans="1:3" x14ac:dyDescent="0.25">
      <c r="A3179" s="46" t="s">
        <v>4393</v>
      </c>
      <c r="B3179" s="35">
        <v>0.74264705181121804</v>
      </c>
      <c r="C3179" s="36">
        <v>0.06</v>
      </c>
    </row>
    <row r="3180" spans="1:3" x14ac:dyDescent="0.25">
      <c r="A3180" s="46" t="s">
        <v>4394</v>
      </c>
      <c r="B3180" s="35">
        <v>0.58777779340743996</v>
      </c>
      <c r="C3180" s="36">
        <v>0.22</v>
      </c>
    </row>
    <row r="3181" spans="1:3" x14ac:dyDescent="0.25">
      <c r="A3181" s="46" t="s">
        <v>4395</v>
      </c>
      <c r="B3181" s="35">
        <v>0.58283430337905795</v>
      </c>
      <c r="C3181" s="36">
        <v>0.02</v>
      </c>
    </row>
    <row r="3182" spans="1:3" x14ac:dyDescent="0.25">
      <c r="A3182" s="46" t="s">
        <v>4396</v>
      </c>
      <c r="B3182" s="35">
        <v>0.67500001192092896</v>
      </c>
      <c r="C3182" s="36">
        <v>0.06</v>
      </c>
    </row>
    <row r="3183" spans="1:3" x14ac:dyDescent="0.25">
      <c r="A3183" s="46" t="s">
        <v>4397</v>
      </c>
      <c r="B3183" s="35">
        <v>0.55865103006362904</v>
      </c>
      <c r="C3183" s="36">
        <v>0.14000000000000001</v>
      </c>
    </row>
    <row r="3184" spans="1:3" x14ac:dyDescent="0.25">
      <c r="A3184" s="46" t="s">
        <v>4398</v>
      </c>
      <c r="B3184" s="35">
        <v>0.53065133094787598</v>
      </c>
      <c r="C3184" s="36">
        <v>0.1</v>
      </c>
    </row>
    <row r="3185" spans="1:3" x14ac:dyDescent="0.25">
      <c r="A3185" s="46" t="s">
        <v>4399</v>
      </c>
      <c r="B3185" s="35">
        <v>0.55888652801513605</v>
      </c>
      <c r="C3185" s="36">
        <v>0.19</v>
      </c>
    </row>
    <row r="3186" spans="1:3" x14ac:dyDescent="0.25">
      <c r="A3186" s="46" t="s">
        <v>4400</v>
      </c>
      <c r="B3186" s="35">
        <v>0.76291078329086304</v>
      </c>
      <c r="C3186" s="36">
        <v>0.4</v>
      </c>
    </row>
    <row r="3187" spans="1:3" x14ac:dyDescent="0.25">
      <c r="A3187" s="46" t="s">
        <v>4401</v>
      </c>
      <c r="B3187" s="35">
        <v>0.551219522953033</v>
      </c>
      <c r="C3187" s="36">
        <v>0.15</v>
      </c>
    </row>
    <row r="3188" spans="1:3" x14ac:dyDescent="0.25">
      <c r="A3188" s="46" t="s">
        <v>4402</v>
      </c>
      <c r="B3188" s="35">
        <v>0.56920903921127297</v>
      </c>
      <c r="C3188" s="36">
        <v>0.12</v>
      </c>
    </row>
    <row r="3189" spans="1:3" x14ac:dyDescent="0.25">
      <c r="A3189" s="46" t="s">
        <v>4403</v>
      </c>
      <c r="B3189" s="35">
        <v>0.49919486045837402</v>
      </c>
      <c r="C3189" s="36">
        <v>0</v>
      </c>
    </row>
    <row r="3190" spans="1:3" x14ac:dyDescent="0.25">
      <c r="A3190" s="46" t="s">
        <v>4404</v>
      </c>
      <c r="B3190" s="35">
        <v>0.54780364036560003</v>
      </c>
      <c r="C3190" s="36">
        <v>0.31</v>
      </c>
    </row>
    <row r="3191" spans="1:3" x14ac:dyDescent="0.25">
      <c r="A3191" s="46" t="s">
        <v>4405</v>
      </c>
      <c r="B3191" s="35">
        <v>0.411471307277679</v>
      </c>
      <c r="C3191" s="36">
        <v>0.4</v>
      </c>
    </row>
    <row r="3192" spans="1:3" x14ac:dyDescent="0.25">
      <c r="A3192" s="46" t="s">
        <v>4406</v>
      </c>
      <c r="B3192" s="35">
        <v>0.54857999086380005</v>
      </c>
      <c r="C3192" s="36">
        <v>0.25</v>
      </c>
    </row>
    <row r="3193" spans="1:3" x14ac:dyDescent="0.25">
      <c r="A3193" s="46" t="s">
        <v>4407</v>
      </c>
      <c r="B3193" s="35">
        <v>0.60834991931915205</v>
      </c>
      <c r="C3193" s="36">
        <v>0.28000000000000003</v>
      </c>
    </row>
    <row r="3194" spans="1:3" x14ac:dyDescent="0.25">
      <c r="A3194" s="46" t="s">
        <v>4408</v>
      </c>
      <c r="B3194" s="35">
        <v>0.54394298791885298</v>
      </c>
      <c r="C3194" s="36">
        <v>0.08</v>
      </c>
    </row>
    <row r="3195" spans="1:3" x14ac:dyDescent="0.25">
      <c r="A3195" s="46" t="s">
        <v>4409</v>
      </c>
      <c r="B3195" s="35">
        <v>0.58112585544586104</v>
      </c>
      <c r="C3195" s="36">
        <v>0.1</v>
      </c>
    </row>
    <row r="3196" spans="1:3" x14ac:dyDescent="0.25">
      <c r="A3196" s="46" t="s">
        <v>4410</v>
      </c>
      <c r="B3196" s="35">
        <v>0.55614972114562899</v>
      </c>
      <c r="C3196" s="36">
        <v>0.16</v>
      </c>
    </row>
    <row r="3197" spans="1:3" x14ac:dyDescent="0.25">
      <c r="A3197" s="46" t="s">
        <v>4411</v>
      </c>
      <c r="B3197" s="35">
        <v>0.63408523797988803</v>
      </c>
      <c r="C3197" s="36">
        <v>0.18</v>
      </c>
    </row>
    <row r="3198" spans="1:3" x14ac:dyDescent="0.25">
      <c r="A3198" s="46" t="s">
        <v>4412</v>
      </c>
      <c r="B3198" s="35">
        <v>0.58245611190795898</v>
      </c>
      <c r="C3198" s="36">
        <v>0.14000000000000001</v>
      </c>
    </row>
    <row r="3199" spans="1:3" x14ac:dyDescent="0.25">
      <c r="A3199" s="46" t="s">
        <v>4413</v>
      </c>
      <c r="B3199" s="35">
        <v>0.74199289083480802</v>
      </c>
      <c r="C3199" s="36">
        <v>0.31</v>
      </c>
    </row>
    <row r="3200" spans="1:3" x14ac:dyDescent="0.25">
      <c r="A3200" s="46" t="s">
        <v>4414</v>
      </c>
      <c r="B3200" s="35">
        <v>0.56187766790390004</v>
      </c>
      <c r="C3200" s="36">
        <v>0.2</v>
      </c>
    </row>
    <row r="3201" spans="1:3" x14ac:dyDescent="0.25">
      <c r="A3201" s="46" t="s">
        <v>4415</v>
      </c>
      <c r="B3201" s="35">
        <v>0.93059128522872903</v>
      </c>
      <c r="C3201" s="36">
        <v>0.28000000000000003</v>
      </c>
    </row>
    <row r="3202" spans="1:3" x14ac:dyDescent="0.25">
      <c r="A3202" s="46" t="s">
        <v>4416</v>
      </c>
      <c r="B3202" s="35">
        <v>0.935732662677764</v>
      </c>
      <c r="C3202" s="36">
        <v>0.23</v>
      </c>
    </row>
    <row r="3203" spans="1:3" x14ac:dyDescent="0.25">
      <c r="A3203" s="46" t="s">
        <v>4417</v>
      </c>
      <c r="B3203" s="35">
        <v>0.67519181966781605</v>
      </c>
      <c r="C3203" s="36">
        <v>0.31</v>
      </c>
    </row>
    <row r="3204" spans="1:3" x14ac:dyDescent="0.25">
      <c r="A3204" s="46" t="s">
        <v>4418</v>
      </c>
      <c r="B3204" s="35">
        <v>0.56160455942153897</v>
      </c>
      <c r="C3204" s="36">
        <v>0.24</v>
      </c>
    </row>
    <row r="3205" spans="1:3" x14ac:dyDescent="0.25">
      <c r="A3205" s="46" t="s">
        <v>4419</v>
      </c>
      <c r="B3205" s="35">
        <v>0.60548526048660201</v>
      </c>
      <c r="C3205" s="36">
        <v>0.28000000000000003</v>
      </c>
    </row>
    <row r="3206" spans="1:3" x14ac:dyDescent="0.25">
      <c r="A3206" s="46" t="s">
        <v>4420</v>
      </c>
      <c r="B3206" s="35">
        <v>0.55898874998092596</v>
      </c>
      <c r="C3206" s="36">
        <v>0.34</v>
      </c>
    </row>
    <row r="3207" spans="1:3" x14ac:dyDescent="0.25">
      <c r="A3207" s="46" t="s">
        <v>4421</v>
      </c>
      <c r="B3207" s="35">
        <v>0.51182430982589699</v>
      </c>
      <c r="C3207" s="36">
        <v>0.13</v>
      </c>
    </row>
    <row r="3208" spans="1:3" x14ac:dyDescent="0.25">
      <c r="A3208" s="46" t="s">
        <v>4422</v>
      </c>
      <c r="B3208" s="35">
        <v>0.56521737575530995</v>
      </c>
      <c r="C3208" s="36">
        <v>0.15</v>
      </c>
    </row>
    <row r="3209" spans="1:3" x14ac:dyDescent="0.25">
      <c r="A3209" s="46" t="s">
        <v>4423</v>
      </c>
      <c r="B3209" s="35">
        <v>0.737193763256073</v>
      </c>
      <c r="C3209" s="36">
        <v>0.3</v>
      </c>
    </row>
    <row r="3210" spans="1:3" x14ac:dyDescent="0.25">
      <c r="A3210" s="46" t="s">
        <v>4424</v>
      </c>
      <c r="B3210" s="35">
        <v>0.69039148092269897</v>
      </c>
      <c r="C3210" s="36">
        <v>0.13</v>
      </c>
    </row>
    <row r="3211" spans="1:3" x14ac:dyDescent="0.25">
      <c r="A3211" s="46" t="s">
        <v>4425</v>
      </c>
      <c r="B3211" s="35">
        <v>0.60071301460266102</v>
      </c>
      <c r="C3211" s="36">
        <v>0.4</v>
      </c>
    </row>
    <row r="3212" spans="1:3" x14ac:dyDescent="0.25">
      <c r="A3212" s="46" t="s">
        <v>4426</v>
      </c>
      <c r="B3212" s="35">
        <v>0.82499998807907104</v>
      </c>
      <c r="C3212" s="36">
        <v>0.44</v>
      </c>
    </row>
    <row r="3213" spans="1:3" x14ac:dyDescent="0.25">
      <c r="A3213" s="46" t="s">
        <v>4427</v>
      </c>
      <c r="B3213" s="35">
        <v>0.81333333253860396</v>
      </c>
      <c r="C3213" s="36">
        <v>0.22</v>
      </c>
    </row>
    <row r="3214" spans="1:3" x14ac:dyDescent="0.25">
      <c r="A3214" s="46" t="s">
        <v>4428</v>
      </c>
      <c r="B3214" s="35">
        <v>0.55961841344833296</v>
      </c>
      <c r="C3214" s="36">
        <v>0.09</v>
      </c>
    </row>
    <row r="3215" spans="1:3" x14ac:dyDescent="0.25">
      <c r="A3215" s="46" t="s">
        <v>4429</v>
      </c>
      <c r="B3215" s="35">
        <v>0.522441625595092</v>
      </c>
      <c r="C3215" s="36">
        <v>0.37</v>
      </c>
    </row>
    <row r="3216" spans="1:3" x14ac:dyDescent="0.25">
      <c r="A3216" s="46" t="s">
        <v>4430</v>
      </c>
      <c r="B3216" s="35">
        <v>0.44800001382827698</v>
      </c>
      <c r="C3216" s="36">
        <v>0.32</v>
      </c>
    </row>
    <row r="3217" spans="1:3" x14ac:dyDescent="0.25">
      <c r="A3217" s="46" t="s">
        <v>4431</v>
      </c>
      <c r="B3217" s="35">
        <v>0.63274335861205999</v>
      </c>
      <c r="C3217" s="36">
        <v>0.19</v>
      </c>
    </row>
    <row r="3218" spans="1:3" x14ac:dyDescent="0.25">
      <c r="A3218" s="46" t="s">
        <v>4432</v>
      </c>
      <c r="B3218" s="35">
        <v>0.652452051639556</v>
      </c>
      <c r="C3218" s="36">
        <v>0.37</v>
      </c>
    </row>
    <row r="3219" spans="1:3" x14ac:dyDescent="0.25">
      <c r="A3219" s="46" t="s">
        <v>4433</v>
      </c>
      <c r="B3219" s="35">
        <v>0.51638066768646196</v>
      </c>
      <c r="C3219" s="36">
        <v>0.2</v>
      </c>
    </row>
    <row r="3220" spans="1:3" x14ac:dyDescent="0.25">
      <c r="A3220" s="46" t="s">
        <v>4434</v>
      </c>
      <c r="B3220" s="35">
        <v>0.74074071645736606</v>
      </c>
      <c r="C3220" s="36">
        <v>0.06</v>
      </c>
    </row>
    <row r="3221" spans="1:3" x14ac:dyDescent="0.25">
      <c r="A3221" s="46" t="s">
        <v>4435</v>
      </c>
      <c r="B3221" s="35">
        <v>0.76785713434219305</v>
      </c>
      <c r="C3221" s="36">
        <v>0.03</v>
      </c>
    </row>
    <row r="3222" spans="1:3" x14ac:dyDescent="0.25">
      <c r="A3222" s="46" t="s">
        <v>4436</v>
      </c>
      <c r="B3222" s="35">
        <v>0.43070361018180803</v>
      </c>
      <c r="C3222" s="36">
        <v>0.16</v>
      </c>
    </row>
    <row r="3223" spans="1:3" x14ac:dyDescent="0.25">
      <c r="A3223" s="46" t="s">
        <v>4437</v>
      </c>
      <c r="B3223" s="35">
        <v>0.46645367145538302</v>
      </c>
      <c r="C3223" s="36">
        <v>0.17</v>
      </c>
    </row>
    <row r="3224" spans="1:3" x14ac:dyDescent="0.25">
      <c r="A3224" s="46" t="s">
        <v>4438</v>
      </c>
      <c r="B3224" s="35">
        <v>0.55760365724563599</v>
      </c>
      <c r="C3224" s="36">
        <v>0.37</v>
      </c>
    </row>
    <row r="3225" spans="1:3" x14ac:dyDescent="0.25">
      <c r="A3225" s="46" t="s">
        <v>4439</v>
      </c>
      <c r="B3225" s="35">
        <v>0.48135593533515902</v>
      </c>
      <c r="C3225" s="36">
        <v>0.34</v>
      </c>
    </row>
    <row r="3226" spans="1:3" x14ac:dyDescent="0.25">
      <c r="A3226" s="46" t="s">
        <v>4440</v>
      </c>
      <c r="B3226" s="35">
        <v>0.44338119029998702</v>
      </c>
      <c r="C3226" s="36">
        <v>0.33</v>
      </c>
    </row>
    <row r="3227" spans="1:3" x14ac:dyDescent="0.25">
      <c r="A3227" s="46" t="s">
        <v>4441</v>
      </c>
      <c r="B3227" s="35">
        <v>0.46853145956993097</v>
      </c>
      <c r="C3227" s="36">
        <v>0.42</v>
      </c>
    </row>
    <row r="3228" spans="1:3" x14ac:dyDescent="0.25">
      <c r="A3228" s="46" t="s">
        <v>4442</v>
      </c>
      <c r="B3228" s="35">
        <v>0.73913043737411499</v>
      </c>
      <c r="C3228" s="36">
        <v>0.32</v>
      </c>
    </row>
    <row r="3229" spans="1:3" x14ac:dyDescent="0.25">
      <c r="A3229" s="46" t="s">
        <v>4443</v>
      </c>
      <c r="B3229" s="35">
        <v>0.509493649005889</v>
      </c>
      <c r="C3229" s="36">
        <v>0.19</v>
      </c>
    </row>
    <row r="3230" spans="1:3" x14ac:dyDescent="0.25">
      <c r="A3230" s="46" t="s">
        <v>4444</v>
      </c>
      <c r="B3230" s="35">
        <v>0.51420027017593295</v>
      </c>
      <c r="C3230" s="36">
        <v>0.19</v>
      </c>
    </row>
    <row r="3231" spans="1:3" x14ac:dyDescent="0.25">
      <c r="A3231" s="46" t="s">
        <v>4445</v>
      </c>
      <c r="B3231" s="35">
        <v>0.59836065769195501</v>
      </c>
      <c r="C3231" s="36">
        <v>0.19</v>
      </c>
    </row>
    <row r="3232" spans="1:3" x14ac:dyDescent="0.25">
      <c r="A3232" s="46" t="s">
        <v>4446</v>
      </c>
      <c r="B3232" s="35">
        <v>0.59902203083038297</v>
      </c>
      <c r="C3232" s="36">
        <v>0.2</v>
      </c>
    </row>
    <row r="3233" spans="1:3" x14ac:dyDescent="0.25">
      <c r="A3233" s="46" t="s">
        <v>4447</v>
      </c>
      <c r="B3233" s="35">
        <v>0.55882352590560902</v>
      </c>
      <c r="C3233" s="36">
        <v>0.36</v>
      </c>
    </row>
    <row r="3234" spans="1:3" x14ac:dyDescent="0.25">
      <c r="A3234" s="46" t="s">
        <v>4448</v>
      </c>
      <c r="B3234" s="35">
        <v>0.59235668182373002</v>
      </c>
      <c r="C3234" s="36">
        <v>0.18</v>
      </c>
    </row>
    <row r="3235" spans="1:3" x14ac:dyDescent="0.25">
      <c r="A3235" s="46" t="s">
        <v>4449</v>
      </c>
      <c r="B3235" s="35">
        <v>0.55490195751190097</v>
      </c>
      <c r="C3235" s="36">
        <v>0.06</v>
      </c>
    </row>
    <row r="3236" spans="1:3" x14ac:dyDescent="0.25">
      <c r="A3236" s="46" t="s">
        <v>4450</v>
      </c>
      <c r="B3236" s="35">
        <v>0.838068187236785</v>
      </c>
      <c r="C3236" s="36">
        <v>0.12</v>
      </c>
    </row>
    <row r="3237" spans="1:3" x14ac:dyDescent="0.25">
      <c r="A3237" s="46" t="s">
        <v>4451</v>
      </c>
      <c r="B3237" s="35">
        <v>0.58909851312637296</v>
      </c>
      <c r="C3237" s="36">
        <v>0.11</v>
      </c>
    </row>
    <row r="3238" spans="1:3" x14ac:dyDescent="0.25">
      <c r="A3238" s="46" t="s">
        <v>4452</v>
      </c>
      <c r="B3238" s="35">
        <v>0.91131496429443304</v>
      </c>
      <c r="C3238" s="36">
        <v>0.12</v>
      </c>
    </row>
    <row r="3239" spans="1:3" x14ac:dyDescent="0.25">
      <c r="A3239" s="46" t="s">
        <v>4453</v>
      </c>
      <c r="B3239" s="35">
        <v>0.54921698570251398</v>
      </c>
      <c r="C3239" s="36">
        <v>0.57999999999999996</v>
      </c>
    </row>
    <row r="3240" spans="1:3" x14ac:dyDescent="0.25">
      <c r="A3240" s="46" t="s">
        <v>4454</v>
      </c>
      <c r="B3240" s="35">
        <v>0.78048777580261197</v>
      </c>
      <c r="C3240" s="36">
        <v>0.17</v>
      </c>
    </row>
    <row r="3241" spans="1:3" x14ac:dyDescent="0.25">
      <c r="A3241" s="46" t="s">
        <v>4455</v>
      </c>
      <c r="B3241" s="35">
        <v>0.509765625</v>
      </c>
      <c r="C3241" s="36">
        <v>0.08</v>
      </c>
    </row>
    <row r="3242" spans="1:3" x14ac:dyDescent="0.25">
      <c r="A3242" s="46" t="s">
        <v>4456</v>
      </c>
      <c r="B3242" s="35">
        <v>0.65584415197372403</v>
      </c>
      <c r="C3242" s="36">
        <v>0.02</v>
      </c>
    </row>
    <row r="3243" spans="1:3" x14ac:dyDescent="0.25">
      <c r="A3243" s="46" t="s">
        <v>4457</v>
      </c>
      <c r="B3243" s="35">
        <v>0.62819087505340498</v>
      </c>
      <c r="C3243" s="36">
        <v>0.04</v>
      </c>
    </row>
    <row r="3244" spans="1:3" x14ac:dyDescent="0.25">
      <c r="A3244" s="46" t="s">
        <v>4458</v>
      </c>
      <c r="B3244" s="35">
        <v>0.77319586277008001</v>
      </c>
      <c r="C3244" s="36">
        <v>0.03</v>
      </c>
    </row>
    <row r="3245" spans="1:3" x14ac:dyDescent="0.25">
      <c r="A3245" s="46" t="s">
        <v>4459</v>
      </c>
      <c r="B3245" s="35">
        <v>0.69035530090331998</v>
      </c>
      <c r="C3245" s="36">
        <v>0.03</v>
      </c>
    </row>
    <row r="3246" spans="1:3" x14ac:dyDescent="0.25">
      <c r="A3246" s="46" t="s">
        <v>4460</v>
      </c>
      <c r="B3246" s="35">
        <v>0.79322034120559604</v>
      </c>
      <c r="C3246" s="36">
        <v>0</v>
      </c>
    </row>
    <row r="3247" spans="1:3" x14ac:dyDescent="0.25">
      <c r="A3247" s="46" t="s">
        <v>4461</v>
      </c>
      <c r="B3247" s="35">
        <v>0.88349515199661199</v>
      </c>
      <c r="C3247" s="36">
        <v>0</v>
      </c>
    </row>
    <row r="3248" spans="1:3" x14ac:dyDescent="0.25">
      <c r="A3248" s="46" t="s">
        <v>4462</v>
      </c>
      <c r="B3248" s="35">
        <v>0.77681159973144498</v>
      </c>
      <c r="C3248" s="36">
        <v>0</v>
      </c>
    </row>
    <row r="3249" spans="1:3" x14ac:dyDescent="0.25">
      <c r="A3249" s="46" t="s">
        <v>4463</v>
      </c>
      <c r="B3249" s="35">
        <v>0.94913148880004805</v>
      </c>
      <c r="C3249" s="36">
        <v>0.1</v>
      </c>
    </row>
    <row r="3250" spans="1:3" x14ac:dyDescent="0.25">
      <c r="A3250" s="46" t="s">
        <v>4464</v>
      </c>
      <c r="B3250" s="35">
        <v>0.57183098793029696</v>
      </c>
      <c r="C3250" s="36">
        <v>0.67</v>
      </c>
    </row>
    <row r="3251" spans="1:3" x14ac:dyDescent="0.25">
      <c r="A3251" s="46" t="s">
        <v>4465</v>
      </c>
      <c r="B3251" s="35">
        <v>0.97481107711791903</v>
      </c>
      <c r="C3251" s="36">
        <v>0.1</v>
      </c>
    </row>
    <row r="3252" spans="1:3" x14ac:dyDescent="0.25">
      <c r="A3252" s="46" t="s">
        <v>4466</v>
      </c>
      <c r="B3252" s="35">
        <v>0.55653452873229903</v>
      </c>
      <c r="C3252" s="36">
        <v>0.2</v>
      </c>
    </row>
    <row r="3253" spans="1:3" x14ac:dyDescent="0.25">
      <c r="A3253" s="46" t="s">
        <v>4467</v>
      </c>
      <c r="B3253" s="35">
        <v>0.55172413587570102</v>
      </c>
      <c r="C3253" s="36">
        <v>0.41</v>
      </c>
    </row>
    <row r="3254" spans="1:3" x14ac:dyDescent="0.25">
      <c r="A3254" s="46" t="s">
        <v>4468</v>
      </c>
      <c r="B3254" s="35">
        <v>0.51937985420226995</v>
      </c>
      <c r="C3254" s="36">
        <v>0.17</v>
      </c>
    </row>
    <row r="3255" spans="1:3" x14ac:dyDescent="0.25">
      <c r="A3255" s="46" t="s">
        <v>4469</v>
      </c>
      <c r="B3255" s="35">
        <v>0.55652171373367298</v>
      </c>
      <c r="C3255" s="36">
        <v>0.1</v>
      </c>
    </row>
    <row r="3256" spans="1:3" x14ac:dyDescent="0.25">
      <c r="A3256" s="46" t="s">
        <v>4470</v>
      </c>
      <c r="B3256" s="35">
        <v>0.42791411280632002</v>
      </c>
      <c r="C3256" s="36">
        <v>0.31</v>
      </c>
    </row>
    <row r="3257" spans="1:3" x14ac:dyDescent="0.25">
      <c r="A3257" s="46" t="s">
        <v>4471</v>
      </c>
      <c r="B3257" s="35">
        <v>0.51096493005752497</v>
      </c>
      <c r="C3257" s="36">
        <v>0.21</v>
      </c>
    </row>
    <row r="3258" spans="1:3" x14ac:dyDescent="0.25">
      <c r="A3258" s="46" t="s">
        <v>4472</v>
      </c>
      <c r="B3258" s="35">
        <v>0.61290323734283403</v>
      </c>
      <c r="C3258" s="36">
        <v>0.1</v>
      </c>
    </row>
    <row r="3259" spans="1:3" x14ac:dyDescent="0.25">
      <c r="A3259" s="46" t="s">
        <v>4473</v>
      </c>
      <c r="B3259" s="35">
        <v>0.44839859008789001</v>
      </c>
      <c r="C3259" s="36">
        <v>0.06</v>
      </c>
    </row>
    <row r="3260" spans="1:3" x14ac:dyDescent="0.25">
      <c r="A3260" s="46" t="s">
        <v>4474</v>
      </c>
      <c r="B3260" s="35">
        <v>0.51865011453628496</v>
      </c>
      <c r="C3260" s="36">
        <v>0.27</v>
      </c>
    </row>
    <row r="3261" spans="1:3" x14ac:dyDescent="0.25">
      <c r="A3261" s="46" t="s">
        <v>4475</v>
      </c>
      <c r="B3261" s="35">
        <v>0.65749233961105302</v>
      </c>
      <c r="C3261" s="36">
        <v>0.15</v>
      </c>
    </row>
    <row r="3262" spans="1:3" x14ac:dyDescent="0.25">
      <c r="A3262" s="46" t="s">
        <v>4476</v>
      </c>
      <c r="B3262" s="35">
        <v>0.47408536076545699</v>
      </c>
      <c r="C3262" s="36">
        <v>0.35</v>
      </c>
    </row>
    <row r="3263" spans="1:3" x14ac:dyDescent="0.25">
      <c r="A3263" s="46" t="s">
        <v>4477</v>
      </c>
      <c r="B3263" s="35">
        <v>0.53347730636596602</v>
      </c>
      <c r="C3263" s="36">
        <v>0.28000000000000003</v>
      </c>
    </row>
    <row r="3264" spans="1:3" x14ac:dyDescent="0.25">
      <c r="A3264" s="46" t="s">
        <v>4478</v>
      </c>
      <c r="B3264" s="35">
        <v>0.39211136102676297</v>
      </c>
      <c r="C3264" s="36">
        <v>0.1</v>
      </c>
    </row>
    <row r="3265" spans="1:3" x14ac:dyDescent="0.25">
      <c r="A3265" s="46" t="s">
        <v>4479</v>
      </c>
      <c r="B3265" s="35">
        <v>0.436305731534957</v>
      </c>
      <c r="C3265" s="36">
        <v>0.35</v>
      </c>
    </row>
    <row r="3266" spans="1:3" x14ac:dyDescent="0.25">
      <c r="A3266" s="46" t="s">
        <v>4480</v>
      </c>
      <c r="B3266" s="35">
        <v>0.43533122539520203</v>
      </c>
      <c r="C3266" s="36">
        <v>0.32</v>
      </c>
    </row>
    <row r="3267" spans="1:3" x14ac:dyDescent="0.25">
      <c r="A3267" s="46" t="s">
        <v>4481</v>
      </c>
      <c r="B3267" s="35">
        <v>0.45514950156211798</v>
      </c>
      <c r="C3267" s="36">
        <v>0.37</v>
      </c>
    </row>
    <row r="3268" spans="1:3" x14ac:dyDescent="0.25">
      <c r="A3268" s="46" t="s">
        <v>4482</v>
      </c>
      <c r="B3268" s="35">
        <v>0.52127659320831299</v>
      </c>
      <c r="C3268" s="36">
        <v>0.19</v>
      </c>
    </row>
    <row r="3269" spans="1:3" x14ac:dyDescent="0.25">
      <c r="A3269" s="46" t="s">
        <v>4483</v>
      </c>
      <c r="B3269" s="35">
        <v>0.88704317808151201</v>
      </c>
      <c r="C3269" s="36">
        <v>0.26</v>
      </c>
    </row>
    <row r="3270" spans="1:3" x14ac:dyDescent="0.25">
      <c r="A3270" s="46" t="s">
        <v>4484</v>
      </c>
      <c r="B3270" s="35">
        <v>0.55035972595214799</v>
      </c>
      <c r="C3270" s="36">
        <v>0.51</v>
      </c>
    </row>
    <row r="3271" spans="1:3" x14ac:dyDescent="0.25">
      <c r="A3271" s="46" t="s">
        <v>4485</v>
      </c>
      <c r="B3271" s="35">
        <v>0.67961162328720004</v>
      </c>
      <c r="C3271" s="36">
        <v>0.04</v>
      </c>
    </row>
    <row r="3272" spans="1:3" x14ac:dyDescent="0.25">
      <c r="A3272" s="46" t="s">
        <v>4486</v>
      </c>
      <c r="B3272" s="35">
        <v>0.76470589637756303</v>
      </c>
      <c r="C3272" s="36">
        <v>0</v>
      </c>
    </row>
    <row r="3273" spans="1:3" x14ac:dyDescent="0.25">
      <c r="A3273" s="46" t="s">
        <v>4487</v>
      </c>
      <c r="B3273" s="35">
        <v>0.56277054548263505</v>
      </c>
      <c r="C3273" s="36">
        <v>0.26</v>
      </c>
    </row>
    <row r="3274" spans="1:3" x14ac:dyDescent="0.25">
      <c r="A3274" s="46" t="s">
        <v>4488</v>
      </c>
      <c r="B3274" s="35">
        <v>0.77327936887741</v>
      </c>
      <c r="C3274" s="36">
        <v>0.16</v>
      </c>
    </row>
    <row r="3275" spans="1:3" x14ac:dyDescent="0.25">
      <c r="A3275" s="46" t="s">
        <v>4489</v>
      </c>
      <c r="B3275" s="35">
        <v>0.661490678787231</v>
      </c>
      <c r="C3275" s="36">
        <v>0.09</v>
      </c>
    </row>
    <row r="3276" spans="1:3" x14ac:dyDescent="0.25">
      <c r="A3276" s="46" t="s">
        <v>4490</v>
      </c>
      <c r="B3276" s="35">
        <v>0.67293232679366999</v>
      </c>
      <c r="C3276" s="36">
        <v>7.0000000000000007E-2</v>
      </c>
    </row>
    <row r="3277" spans="1:3" x14ac:dyDescent="0.25">
      <c r="A3277" s="46" t="s">
        <v>4491</v>
      </c>
      <c r="B3277" s="35">
        <v>0.70695972442626898</v>
      </c>
      <c r="C3277" s="36">
        <v>7.0000000000000007E-2</v>
      </c>
    </row>
    <row r="3278" spans="1:3" x14ac:dyDescent="0.25">
      <c r="A3278" s="46" t="s">
        <v>4492</v>
      </c>
      <c r="B3278" s="35">
        <v>0.69508194923400801</v>
      </c>
      <c r="C3278" s="36">
        <v>0.08</v>
      </c>
    </row>
    <row r="3279" spans="1:3" x14ac:dyDescent="0.25">
      <c r="A3279" s="46" t="s">
        <v>4493</v>
      </c>
      <c r="B3279" s="35">
        <v>0.53754943609237604</v>
      </c>
      <c r="C3279" s="36">
        <v>0.08</v>
      </c>
    </row>
    <row r="3280" spans="1:3" x14ac:dyDescent="0.25">
      <c r="A3280" s="46" t="s">
        <v>4494</v>
      </c>
      <c r="B3280" s="35">
        <v>0.67576789855956998</v>
      </c>
      <c r="C3280" s="36">
        <v>0.27</v>
      </c>
    </row>
    <row r="3281" spans="1:3" x14ac:dyDescent="0.25">
      <c r="A3281" s="46" t="s">
        <v>4495</v>
      </c>
      <c r="B3281" s="35">
        <v>0.78070175647735596</v>
      </c>
      <c r="C3281" s="36">
        <v>0.37</v>
      </c>
    </row>
    <row r="3282" spans="1:3" x14ac:dyDescent="0.25">
      <c r="A3282" s="46" t="s">
        <v>4496</v>
      </c>
      <c r="B3282" s="35">
        <v>0.50892859697341897</v>
      </c>
      <c r="C3282" s="36">
        <v>0.26</v>
      </c>
    </row>
    <row r="3283" spans="1:3" x14ac:dyDescent="0.25">
      <c r="A3283" s="46" t="s">
        <v>4497</v>
      </c>
      <c r="B3283" s="35">
        <v>0.42716050148010198</v>
      </c>
      <c r="C3283" s="36">
        <v>0.06</v>
      </c>
    </row>
    <row r="3284" spans="1:3" x14ac:dyDescent="0.25">
      <c r="A3284" s="46" t="s">
        <v>4498</v>
      </c>
      <c r="B3284" s="35">
        <v>0.54705882072448697</v>
      </c>
      <c r="C3284" s="36">
        <v>0.5</v>
      </c>
    </row>
    <row r="3285" spans="1:3" x14ac:dyDescent="0.25">
      <c r="A3285" s="46" t="s">
        <v>4499</v>
      </c>
      <c r="B3285" s="35">
        <v>0.67460316419601396</v>
      </c>
      <c r="C3285" s="36">
        <v>0.15</v>
      </c>
    </row>
    <row r="3286" spans="1:3" x14ac:dyDescent="0.25">
      <c r="A3286" s="46" t="s">
        <v>4500</v>
      </c>
      <c r="B3286" s="35">
        <v>0.58974361419677701</v>
      </c>
      <c r="C3286" s="36">
        <v>0.34</v>
      </c>
    </row>
    <row r="3287" spans="1:3" x14ac:dyDescent="0.25">
      <c r="A3287" s="46" t="s">
        <v>4501</v>
      </c>
      <c r="B3287" s="35">
        <v>0.55208331346511796</v>
      </c>
      <c r="C3287" s="36">
        <v>0.28999999999999998</v>
      </c>
    </row>
    <row r="3288" spans="1:3" x14ac:dyDescent="0.25">
      <c r="A3288" s="46" t="s">
        <v>4502</v>
      </c>
      <c r="B3288" s="35">
        <v>0.5</v>
      </c>
      <c r="C3288" s="36">
        <v>0.36</v>
      </c>
    </row>
    <row r="3289" spans="1:3" x14ac:dyDescent="0.25">
      <c r="A3289" s="46" t="s">
        <v>4503</v>
      </c>
      <c r="B3289" s="35">
        <v>0.62696629762649503</v>
      </c>
      <c r="C3289" s="36">
        <v>0.1</v>
      </c>
    </row>
    <row r="3290" spans="1:3" x14ac:dyDescent="0.25">
      <c r="A3290" s="46" t="s">
        <v>4504</v>
      </c>
      <c r="B3290" s="35">
        <v>0.58580857515335005</v>
      </c>
      <c r="C3290" s="36">
        <v>0.1</v>
      </c>
    </row>
    <row r="3291" spans="1:3" x14ac:dyDescent="0.25">
      <c r="A3291" s="46" t="s">
        <v>4505</v>
      </c>
      <c r="B3291" s="35">
        <v>0.94463670253753595</v>
      </c>
      <c r="C3291" s="36">
        <v>0.19</v>
      </c>
    </row>
    <row r="3292" spans="1:3" x14ac:dyDescent="0.25">
      <c r="A3292" s="46" t="s">
        <v>4506</v>
      </c>
      <c r="B3292" s="35">
        <v>0.57142859697341897</v>
      </c>
      <c r="C3292" s="36">
        <v>0.23</v>
      </c>
    </row>
    <row r="3293" spans="1:3" x14ac:dyDescent="0.25">
      <c r="A3293" s="46" t="s">
        <v>4507</v>
      </c>
      <c r="B3293" s="35">
        <v>0.42884990572929299</v>
      </c>
      <c r="C3293" s="36">
        <v>0.24</v>
      </c>
    </row>
    <row r="3294" spans="1:3" x14ac:dyDescent="0.25">
      <c r="A3294" s="46" t="s">
        <v>4508</v>
      </c>
      <c r="B3294" s="35">
        <v>0.50294697284698398</v>
      </c>
      <c r="C3294" s="36">
        <v>0.36</v>
      </c>
    </row>
    <row r="3295" spans="1:3" x14ac:dyDescent="0.25">
      <c r="A3295" s="46" t="s">
        <v>4509</v>
      </c>
      <c r="B3295" s="35">
        <v>0.55381602048873901</v>
      </c>
      <c r="C3295" s="36">
        <v>0.44</v>
      </c>
    </row>
    <row r="3296" spans="1:3" x14ac:dyDescent="0.25">
      <c r="A3296" s="46" t="s">
        <v>4510</v>
      </c>
      <c r="B3296" s="35">
        <v>0.44268774986267001</v>
      </c>
      <c r="C3296" s="36">
        <v>0.37</v>
      </c>
    </row>
    <row r="3297" spans="1:3" x14ac:dyDescent="0.25">
      <c r="A3297" s="46" t="s">
        <v>4511</v>
      </c>
      <c r="B3297" s="35">
        <v>0.87759333848953203</v>
      </c>
      <c r="C3297" s="36">
        <v>0.28999999999999998</v>
      </c>
    </row>
    <row r="3298" spans="1:3" x14ac:dyDescent="0.25">
      <c r="A3298" s="46" t="s">
        <v>4512</v>
      </c>
      <c r="B3298" s="35">
        <v>0.88322371244430498</v>
      </c>
      <c r="C3298" s="36">
        <v>0.1</v>
      </c>
    </row>
    <row r="3299" spans="1:3" x14ac:dyDescent="0.25">
      <c r="A3299" s="46" t="s">
        <v>4513</v>
      </c>
      <c r="B3299" s="35">
        <v>0.55924171209335305</v>
      </c>
      <c r="C3299" s="36">
        <v>0.25</v>
      </c>
    </row>
    <row r="3300" spans="1:3" x14ac:dyDescent="0.25">
      <c r="A3300" s="46" t="s">
        <v>4514</v>
      </c>
      <c r="B3300" s="35">
        <v>0.59569895267486495</v>
      </c>
      <c r="C3300" s="36">
        <v>0.09</v>
      </c>
    </row>
    <row r="3301" spans="1:3" x14ac:dyDescent="0.25">
      <c r="A3301" s="46" t="s">
        <v>4515</v>
      </c>
      <c r="B3301" s="35">
        <v>0.48886415362357999</v>
      </c>
      <c r="C3301" s="36">
        <v>0.28999999999999998</v>
      </c>
    </row>
    <row r="3302" spans="1:3" x14ac:dyDescent="0.25">
      <c r="A3302" s="46" t="s">
        <v>4516</v>
      </c>
      <c r="B3302" s="35">
        <v>0.70099669694900502</v>
      </c>
      <c r="C3302" s="36">
        <v>0.26</v>
      </c>
    </row>
    <row r="3303" spans="1:3" x14ac:dyDescent="0.25">
      <c r="A3303" s="46" t="s">
        <v>4517</v>
      </c>
      <c r="B3303" s="35">
        <v>0.54198473691940297</v>
      </c>
      <c r="C3303" s="36">
        <v>0</v>
      </c>
    </row>
    <row r="3304" spans="1:3" x14ac:dyDescent="0.25">
      <c r="A3304" s="46" t="s">
        <v>4518</v>
      </c>
      <c r="B3304" s="35">
        <v>0.63227015733718805</v>
      </c>
      <c r="C3304" s="36">
        <v>0.05</v>
      </c>
    </row>
    <row r="3305" spans="1:3" x14ac:dyDescent="0.25">
      <c r="A3305" s="46" t="s">
        <v>4519</v>
      </c>
      <c r="B3305" s="35">
        <v>0.36873155832290599</v>
      </c>
      <c r="C3305" s="36">
        <v>0.31</v>
      </c>
    </row>
    <row r="3306" spans="1:3" x14ac:dyDescent="0.25">
      <c r="A3306" s="46" t="s">
        <v>4520</v>
      </c>
      <c r="B3306" s="35">
        <v>0.53497940301895097</v>
      </c>
      <c r="C3306" s="36">
        <v>0.03</v>
      </c>
    </row>
    <row r="3307" spans="1:3" x14ac:dyDescent="0.25">
      <c r="A3307" s="46" t="s">
        <v>4521</v>
      </c>
      <c r="B3307" s="35">
        <v>0.52857142686843805</v>
      </c>
      <c r="C3307" s="36">
        <v>0.04</v>
      </c>
    </row>
    <row r="3308" spans="1:3" x14ac:dyDescent="0.25">
      <c r="A3308" s="46" t="s">
        <v>4522</v>
      </c>
      <c r="B3308" s="35">
        <v>0.44782033562660201</v>
      </c>
      <c r="C3308" s="36">
        <v>0.3</v>
      </c>
    </row>
    <row r="3309" spans="1:3" x14ac:dyDescent="0.25">
      <c r="A3309" s="46" t="s">
        <v>4523</v>
      </c>
      <c r="B3309" s="35">
        <v>0.96577018499374301</v>
      </c>
      <c r="C3309" s="36">
        <v>0.17</v>
      </c>
    </row>
    <row r="3310" spans="1:3" x14ac:dyDescent="0.25">
      <c r="A3310" s="46" t="s">
        <v>4524</v>
      </c>
      <c r="B3310" s="35">
        <v>0.41031390428543002</v>
      </c>
      <c r="C3310" s="36">
        <v>0.32</v>
      </c>
    </row>
    <row r="3311" spans="1:3" x14ac:dyDescent="0.25">
      <c r="A3311" s="46" t="s">
        <v>4525</v>
      </c>
      <c r="B3311" s="35">
        <v>0.51965814828872603</v>
      </c>
      <c r="C3311" s="36">
        <v>0.27</v>
      </c>
    </row>
    <row r="3312" spans="1:3" x14ac:dyDescent="0.25">
      <c r="A3312" s="46" t="s">
        <v>4526</v>
      </c>
      <c r="B3312" s="35">
        <v>0.53902798891067505</v>
      </c>
      <c r="C3312" s="36">
        <v>0.35</v>
      </c>
    </row>
    <row r="3313" spans="1:3" x14ac:dyDescent="0.25">
      <c r="A3313" s="46" t="s">
        <v>4527</v>
      </c>
      <c r="B3313" s="35">
        <v>0.56885248422622603</v>
      </c>
      <c r="C3313" s="36">
        <v>0.06</v>
      </c>
    </row>
    <row r="3314" spans="1:3" x14ac:dyDescent="0.25">
      <c r="A3314" s="46" t="s">
        <v>4528</v>
      </c>
      <c r="B3314" s="35">
        <v>0.63227015733718805</v>
      </c>
      <c r="C3314" s="36">
        <v>0.06</v>
      </c>
    </row>
    <row r="3315" spans="1:3" x14ac:dyDescent="0.25">
      <c r="A3315" s="46" t="s">
        <v>4529</v>
      </c>
      <c r="B3315" s="35">
        <v>0.67258381843566895</v>
      </c>
      <c r="C3315" s="36">
        <v>0.21</v>
      </c>
    </row>
    <row r="3316" spans="1:3" x14ac:dyDescent="0.25">
      <c r="A3316" s="46" t="s">
        <v>4530</v>
      </c>
      <c r="B3316" s="35">
        <v>0.474015742540359</v>
      </c>
      <c r="C3316" s="36">
        <v>0.24</v>
      </c>
    </row>
    <row r="3317" spans="1:3" x14ac:dyDescent="0.25">
      <c r="A3317" s="46" t="s">
        <v>4531</v>
      </c>
      <c r="B3317" s="35">
        <v>0.47543582320213301</v>
      </c>
      <c r="C3317" s="36">
        <v>0.15</v>
      </c>
    </row>
    <row r="3318" spans="1:3" x14ac:dyDescent="0.25">
      <c r="A3318" s="46" t="s">
        <v>4532</v>
      </c>
      <c r="B3318" s="35">
        <v>0.56000000238418501</v>
      </c>
      <c r="C3318" s="36">
        <v>0.21</v>
      </c>
    </row>
    <row r="3319" spans="1:3" x14ac:dyDescent="0.25">
      <c r="A3319" s="46" t="s">
        <v>4533</v>
      </c>
      <c r="B3319" s="35">
        <v>0.45920303463935802</v>
      </c>
      <c r="C3319" s="36">
        <v>0.26</v>
      </c>
    </row>
    <row r="3320" spans="1:3" x14ac:dyDescent="0.25">
      <c r="A3320" s="46" t="s">
        <v>4534</v>
      </c>
      <c r="B3320" s="35">
        <v>0.52745097875595004</v>
      </c>
      <c r="C3320" s="36">
        <v>0.19</v>
      </c>
    </row>
    <row r="3321" spans="1:3" x14ac:dyDescent="0.25">
      <c r="A3321" s="46" t="s">
        <v>4535</v>
      </c>
      <c r="B3321" s="35">
        <v>0.66784453392028797</v>
      </c>
      <c r="C3321" s="36">
        <v>0.03</v>
      </c>
    </row>
    <row r="3322" spans="1:3" x14ac:dyDescent="0.25">
      <c r="A3322" s="46" t="s">
        <v>4536</v>
      </c>
      <c r="B3322" s="35">
        <v>0.41562500596046398</v>
      </c>
      <c r="C3322" s="36">
        <v>0.17</v>
      </c>
    </row>
    <row r="3323" spans="1:3" x14ac:dyDescent="0.25">
      <c r="A3323" s="46" t="s">
        <v>4537</v>
      </c>
      <c r="B3323" s="35">
        <v>0.44651162624359098</v>
      </c>
      <c r="C3323" s="36">
        <v>0.11</v>
      </c>
    </row>
    <row r="3324" spans="1:3" x14ac:dyDescent="0.25">
      <c r="A3324" s="46" t="s">
        <v>4538</v>
      </c>
      <c r="B3324" s="35">
        <v>0.42447915673255898</v>
      </c>
      <c r="C3324" s="36">
        <v>0.08</v>
      </c>
    </row>
    <row r="3325" spans="1:3" x14ac:dyDescent="0.25">
      <c r="A3325" s="46" t="s">
        <v>4539</v>
      </c>
      <c r="B3325" s="35">
        <v>0.38362759351730302</v>
      </c>
      <c r="C3325" s="36">
        <v>0.17</v>
      </c>
    </row>
    <row r="3326" spans="1:3" x14ac:dyDescent="0.25">
      <c r="A3326" s="46" t="s">
        <v>4540</v>
      </c>
      <c r="B3326" s="35">
        <v>0.34269663691520602</v>
      </c>
      <c r="C3326" s="36">
        <v>0.22</v>
      </c>
    </row>
    <row r="3327" spans="1:3" x14ac:dyDescent="0.25">
      <c r="A3327" s="46" t="s">
        <v>4541</v>
      </c>
      <c r="B3327" s="35">
        <v>0.417695462703704</v>
      </c>
      <c r="C3327" s="36">
        <v>0.28999999999999998</v>
      </c>
    </row>
    <row r="3328" spans="1:3" x14ac:dyDescent="0.25">
      <c r="A3328" s="46" t="s">
        <v>4542</v>
      </c>
      <c r="B3328" s="35">
        <v>0.48189416527748102</v>
      </c>
      <c r="C3328" s="36">
        <v>0.08</v>
      </c>
    </row>
    <row r="3329" spans="1:3" x14ac:dyDescent="0.25">
      <c r="A3329" s="46" t="s">
        <v>4543</v>
      </c>
      <c r="B3329" s="35">
        <v>0.38383838534355103</v>
      </c>
      <c r="C3329" s="36">
        <v>0.16</v>
      </c>
    </row>
    <row r="3330" spans="1:3" x14ac:dyDescent="0.25">
      <c r="A3330" s="46" t="s">
        <v>4544</v>
      </c>
      <c r="B3330" s="35">
        <v>0.54888886213302601</v>
      </c>
      <c r="C3330" s="36">
        <v>0.05</v>
      </c>
    </row>
    <row r="3331" spans="1:3" x14ac:dyDescent="0.25">
      <c r="A3331" s="46" t="s">
        <v>4545</v>
      </c>
      <c r="B3331" s="35">
        <v>0.50916498899459794</v>
      </c>
      <c r="C3331" s="36">
        <v>0.37</v>
      </c>
    </row>
    <row r="3332" spans="1:3" x14ac:dyDescent="0.25">
      <c r="A3332" s="46" t="s">
        <v>4546</v>
      </c>
      <c r="B3332" s="35">
        <v>0.66440677642822199</v>
      </c>
      <c r="C3332" s="36">
        <v>0</v>
      </c>
    </row>
    <row r="3333" spans="1:3" x14ac:dyDescent="0.25">
      <c r="A3333" s="46" t="s">
        <v>4547</v>
      </c>
      <c r="B3333" s="35">
        <v>0.51496064662933305</v>
      </c>
      <c r="C3333" s="36">
        <v>0.22</v>
      </c>
    </row>
    <row r="3334" spans="1:3" x14ac:dyDescent="0.25">
      <c r="A3334" s="46" t="s">
        <v>4548</v>
      </c>
      <c r="B3334" s="35">
        <v>0.57180154323577803</v>
      </c>
      <c r="C3334" s="36">
        <v>0.28000000000000003</v>
      </c>
    </row>
    <row r="3335" spans="1:3" x14ac:dyDescent="0.25">
      <c r="A3335" s="46" t="s">
        <v>4549</v>
      </c>
      <c r="B3335" s="35">
        <v>0.49907234311103799</v>
      </c>
      <c r="C3335" s="36">
        <v>0.32</v>
      </c>
    </row>
    <row r="3336" spans="1:3" x14ac:dyDescent="0.25">
      <c r="A3336" s="46" t="s">
        <v>4550</v>
      </c>
      <c r="B3336" s="35">
        <v>0.57627117633819502</v>
      </c>
      <c r="C3336" s="36">
        <v>0.19</v>
      </c>
    </row>
    <row r="3337" spans="1:3" x14ac:dyDescent="0.25">
      <c r="A3337" s="46" t="s">
        <v>4551</v>
      </c>
      <c r="B3337" s="35">
        <v>0.52495008707046498</v>
      </c>
      <c r="C3337" s="36">
        <v>0.3</v>
      </c>
    </row>
    <row r="3338" spans="1:3" x14ac:dyDescent="0.25">
      <c r="A3338" s="46" t="s">
        <v>4552</v>
      </c>
      <c r="B3338" s="35">
        <v>0.58955222368240301</v>
      </c>
      <c r="C3338" s="36">
        <v>0.32</v>
      </c>
    </row>
    <row r="3339" spans="1:3" x14ac:dyDescent="0.25">
      <c r="A3339" s="46" t="s">
        <v>4553</v>
      </c>
      <c r="B3339" s="35">
        <v>0.57052630186080899</v>
      </c>
      <c r="C3339" s="36">
        <v>0.32</v>
      </c>
    </row>
    <row r="3340" spans="1:3" x14ac:dyDescent="0.25">
      <c r="A3340" s="46" t="s">
        <v>4554</v>
      </c>
      <c r="B3340" s="35">
        <v>0.49309664964675898</v>
      </c>
      <c r="C3340" s="36">
        <v>0.31</v>
      </c>
    </row>
    <row r="3341" spans="1:3" x14ac:dyDescent="0.25">
      <c r="A3341" s="46" t="s">
        <v>4555</v>
      </c>
      <c r="B3341" s="35">
        <v>0.57171714305877597</v>
      </c>
      <c r="C3341" s="36">
        <v>0</v>
      </c>
    </row>
    <row r="3342" spans="1:3" x14ac:dyDescent="0.25">
      <c r="A3342" s="46" t="s">
        <v>4556</v>
      </c>
      <c r="B3342" s="35">
        <v>0.63510394096374501</v>
      </c>
      <c r="C3342" s="36">
        <v>0.13</v>
      </c>
    </row>
    <row r="3343" spans="1:3" x14ac:dyDescent="0.25">
      <c r="A3343" s="46" t="s">
        <v>4557</v>
      </c>
      <c r="B3343" s="35">
        <v>0.53388428688049305</v>
      </c>
      <c r="C3343" s="36">
        <v>0.25</v>
      </c>
    </row>
    <row r="3344" spans="1:3" x14ac:dyDescent="0.25">
      <c r="A3344" s="46" t="s">
        <v>4558</v>
      </c>
      <c r="B3344" s="35">
        <v>0.55599999427795399</v>
      </c>
      <c r="C3344" s="36">
        <v>0.34</v>
      </c>
    </row>
    <row r="3345" spans="1:3" x14ac:dyDescent="0.25">
      <c r="A3345" s="46" t="s">
        <v>4559</v>
      </c>
      <c r="B3345" s="35">
        <v>0.61942255496978704</v>
      </c>
      <c r="C3345" s="36">
        <v>0.14000000000000001</v>
      </c>
    </row>
    <row r="3346" spans="1:3" x14ac:dyDescent="0.25">
      <c r="A3346" s="46" t="s">
        <v>4560</v>
      </c>
      <c r="B3346" s="35">
        <v>0.50593310594558705</v>
      </c>
      <c r="C3346" s="36">
        <v>0.22</v>
      </c>
    </row>
    <row r="3347" spans="1:3" x14ac:dyDescent="0.25">
      <c r="A3347" s="46" t="s">
        <v>4561</v>
      </c>
      <c r="B3347" s="35">
        <v>0.58823531866073597</v>
      </c>
      <c r="C3347" s="36">
        <v>7.0000000000000007E-2</v>
      </c>
    </row>
    <row r="3348" spans="1:3" x14ac:dyDescent="0.25">
      <c r="A3348" s="46" t="s">
        <v>4562</v>
      </c>
      <c r="B3348" s="35">
        <v>0.51200002431869496</v>
      </c>
      <c r="C3348" s="36">
        <v>0.43</v>
      </c>
    </row>
    <row r="3349" spans="1:3" x14ac:dyDescent="0.25">
      <c r="A3349" s="46" t="s">
        <v>4563</v>
      </c>
      <c r="B3349" s="35">
        <v>0.51428574323654097</v>
      </c>
      <c r="C3349" s="36">
        <v>0.35</v>
      </c>
    </row>
    <row r="3350" spans="1:3" x14ac:dyDescent="0.25">
      <c r="A3350" s="46" t="s">
        <v>4564</v>
      </c>
      <c r="B3350" s="35">
        <v>0.54400002956390303</v>
      </c>
      <c r="C3350" s="36">
        <v>0.36</v>
      </c>
    </row>
    <row r="3351" spans="1:3" x14ac:dyDescent="0.25">
      <c r="A3351" s="46" t="s">
        <v>4565</v>
      </c>
      <c r="B3351" s="35">
        <v>0.63581490516662598</v>
      </c>
      <c r="C3351" s="36">
        <v>0.52</v>
      </c>
    </row>
    <row r="3352" spans="1:3" x14ac:dyDescent="0.25">
      <c r="A3352" s="46" t="s">
        <v>4566</v>
      </c>
      <c r="B3352" s="35">
        <v>0.55670100450515703</v>
      </c>
      <c r="C3352" s="36">
        <v>0.21</v>
      </c>
    </row>
    <row r="3353" spans="1:3" x14ac:dyDescent="0.25">
      <c r="A3353" s="46" t="s">
        <v>4567</v>
      </c>
      <c r="B3353" s="35">
        <v>0.66384178400039595</v>
      </c>
      <c r="C3353" s="36">
        <v>0.31</v>
      </c>
    </row>
    <row r="3354" spans="1:3" x14ac:dyDescent="0.25">
      <c r="A3354" s="46" t="s">
        <v>4568</v>
      </c>
      <c r="B3354" s="35">
        <v>0.59173125028610196</v>
      </c>
      <c r="C3354" s="36">
        <v>0.43</v>
      </c>
    </row>
    <row r="3355" spans="1:3" x14ac:dyDescent="0.25">
      <c r="A3355" s="46" t="s">
        <v>4569</v>
      </c>
      <c r="B3355" s="35">
        <v>0.56363636255264205</v>
      </c>
      <c r="C3355" s="36">
        <v>0.44</v>
      </c>
    </row>
    <row r="3356" spans="1:3" x14ac:dyDescent="0.25">
      <c r="A3356" s="46" t="s">
        <v>4570</v>
      </c>
      <c r="B3356" s="35">
        <v>0.78670787811279297</v>
      </c>
      <c r="C3356" s="36">
        <v>0</v>
      </c>
    </row>
    <row r="3357" spans="1:3" x14ac:dyDescent="0.25">
      <c r="A3357" s="46" t="s">
        <v>4571</v>
      </c>
      <c r="B3357" s="35">
        <v>0.54965358972549405</v>
      </c>
      <c r="C3357" s="36">
        <v>0</v>
      </c>
    </row>
    <row r="3358" spans="1:3" x14ac:dyDescent="0.25">
      <c r="A3358" s="46" t="s">
        <v>4572</v>
      </c>
      <c r="B3358" s="35">
        <v>0.65947788953781095</v>
      </c>
      <c r="C3358" s="36">
        <v>0.08</v>
      </c>
    </row>
    <row r="3359" spans="1:3" x14ac:dyDescent="0.25">
      <c r="A3359" s="46" t="s">
        <v>4573</v>
      </c>
      <c r="B3359" s="35">
        <v>0.44939270615577698</v>
      </c>
      <c r="C3359" s="36">
        <v>0.18</v>
      </c>
    </row>
    <row r="3360" spans="1:3" x14ac:dyDescent="0.25">
      <c r="A3360" s="46" t="s">
        <v>4574</v>
      </c>
      <c r="B3360" s="35">
        <v>0.65126049518585205</v>
      </c>
      <c r="C3360" s="36">
        <v>0</v>
      </c>
    </row>
    <row r="3361" spans="1:3" x14ac:dyDescent="0.25">
      <c r="A3361" s="46" t="s">
        <v>4575</v>
      </c>
      <c r="B3361" s="35">
        <v>0.56085526943206698</v>
      </c>
      <c r="C3361" s="36">
        <v>0.1</v>
      </c>
    </row>
    <row r="3362" spans="1:3" x14ac:dyDescent="0.25">
      <c r="A3362" s="46" t="s">
        <v>4576</v>
      </c>
      <c r="B3362" s="35">
        <v>0.52824860811233498</v>
      </c>
      <c r="C3362" s="36">
        <v>0.21</v>
      </c>
    </row>
    <row r="3363" spans="1:3" x14ac:dyDescent="0.25">
      <c r="A3363" s="46" t="s">
        <v>4577</v>
      </c>
      <c r="B3363" s="35">
        <v>0.41439205408096302</v>
      </c>
      <c r="C3363" s="36">
        <v>0.19</v>
      </c>
    </row>
    <row r="3364" spans="1:3" x14ac:dyDescent="0.25">
      <c r="A3364" s="46" t="s">
        <v>4578</v>
      </c>
      <c r="B3364" s="35">
        <v>0.66898953914642301</v>
      </c>
      <c r="C3364" s="36">
        <v>0</v>
      </c>
    </row>
    <row r="3365" spans="1:3" x14ac:dyDescent="0.25">
      <c r="A3365" s="46" t="s">
        <v>4579</v>
      </c>
      <c r="B3365" s="35">
        <v>0.69504952430725098</v>
      </c>
      <c r="C3365" s="36">
        <v>0.06</v>
      </c>
    </row>
    <row r="3366" spans="1:3" x14ac:dyDescent="0.25">
      <c r="A3366" s="46" t="s">
        <v>4580</v>
      </c>
      <c r="B3366" s="35">
        <v>0.44444444775581299</v>
      </c>
      <c r="C3366" s="36">
        <v>0.18</v>
      </c>
    </row>
    <row r="3367" spans="1:3" x14ac:dyDescent="0.25">
      <c r="A3367" s="46" t="s">
        <v>4581</v>
      </c>
      <c r="B3367" s="35">
        <v>0.43570056557655301</v>
      </c>
      <c r="C3367" s="36">
        <v>0.17</v>
      </c>
    </row>
    <row r="3368" spans="1:3" x14ac:dyDescent="0.25">
      <c r="A3368" s="46" t="s">
        <v>4582</v>
      </c>
      <c r="B3368" s="35">
        <v>0.46728971600532498</v>
      </c>
      <c r="C3368" s="36">
        <v>0.16</v>
      </c>
    </row>
    <row r="3369" spans="1:3" x14ac:dyDescent="0.25">
      <c r="A3369" s="46" t="s">
        <v>4583</v>
      </c>
      <c r="B3369" s="35">
        <v>0.43526786565780601</v>
      </c>
      <c r="C3369" s="36">
        <v>0.19</v>
      </c>
    </row>
    <row r="3370" spans="1:3" x14ac:dyDescent="0.25">
      <c r="A3370" s="46" t="s">
        <v>4584</v>
      </c>
      <c r="B3370" s="35">
        <v>0.527363181114196</v>
      </c>
      <c r="C3370" s="36">
        <v>0.22</v>
      </c>
    </row>
    <row r="3371" spans="1:3" x14ac:dyDescent="0.25">
      <c r="A3371" s="46" t="s">
        <v>4585</v>
      </c>
      <c r="B3371" s="35">
        <v>0.42558747529983498</v>
      </c>
      <c r="C3371" s="36">
        <v>0.19</v>
      </c>
    </row>
    <row r="3372" spans="1:3" x14ac:dyDescent="0.25">
      <c r="A3372" s="46" t="s">
        <v>4586</v>
      </c>
      <c r="B3372" s="35">
        <v>0.480701744556427</v>
      </c>
      <c r="C3372" s="36">
        <v>0.38</v>
      </c>
    </row>
    <row r="3373" spans="1:3" x14ac:dyDescent="0.25">
      <c r="A3373" s="46" t="s">
        <v>4587</v>
      </c>
      <c r="B3373" s="35">
        <v>0.57417291402816695</v>
      </c>
      <c r="C3373" s="36">
        <v>0</v>
      </c>
    </row>
    <row r="3374" spans="1:3" x14ac:dyDescent="0.25">
      <c r="A3374" s="46" t="s">
        <v>4588</v>
      </c>
      <c r="B3374" s="35">
        <v>0.55619597434997503</v>
      </c>
      <c r="C3374" s="36">
        <v>0</v>
      </c>
    </row>
    <row r="3375" spans="1:3" x14ac:dyDescent="0.25">
      <c r="A3375" s="46" t="s">
        <v>4589</v>
      </c>
      <c r="B3375" s="35">
        <v>0.46483910083770702</v>
      </c>
      <c r="C3375" s="36">
        <v>0.06</v>
      </c>
    </row>
    <row r="3376" spans="1:3" x14ac:dyDescent="0.25">
      <c r="A3376" s="46" t="s">
        <v>4590</v>
      </c>
      <c r="B3376" s="35">
        <v>1</v>
      </c>
      <c r="C3376" s="36">
        <v>0</v>
      </c>
    </row>
    <row r="3377" spans="1:3" x14ac:dyDescent="0.25">
      <c r="A3377" s="46" t="s">
        <v>4591</v>
      </c>
      <c r="B3377" s="35">
        <v>0.424836605787277</v>
      </c>
      <c r="C3377" s="36">
        <v>0.18</v>
      </c>
    </row>
    <row r="3378" spans="1:3" x14ac:dyDescent="0.25">
      <c r="A3378" s="46" t="s">
        <v>4592</v>
      </c>
      <c r="B3378" s="35">
        <v>0.57945734262466397</v>
      </c>
      <c r="C3378" s="36">
        <v>0.06</v>
      </c>
    </row>
    <row r="3379" spans="1:3" x14ac:dyDescent="0.25">
      <c r="A3379" s="46" t="s">
        <v>4593</v>
      </c>
      <c r="B3379" s="35">
        <v>0.54535520076751698</v>
      </c>
      <c r="C3379" s="36">
        <v>0.11</v>
      </c>
    </row>
    <row r="3380" spans="1:3" x14ac:dyDescent="0.25">
      <c r="A3380" s="46" t="s">
        <v>4594</v>
      </c>
      <c r="B3380" s="35">
        <v>0.69094491004943803</v>
      </c>
      <c r="C3380" s="36">
        <v>0.09</v>
      </c>
    </row>
    <row r="3381" spans="1:3" x14ac:dyDescent="0.25">
      <c r="A3381" s="46" t="s">
        <v>4595</v>
      </c>
      <c r="B3381" s="35">
        <v>0.729411780834198</v>
      </c>
      <c r="C3381" s="36">
        <v>0.11</v>
      </c>
    </row>
    <row r="3382" spans="1:3" x14ac:dyDescent="0.25">
      <c r="A3382" s="46" t="s">
        <v>4596</v>
      </c>
      <c r="B3382" s="35">
        <v>0.47058823704719499</v>
      </c>
      <c r="C3382" s="36">
        <v>0.05</v>
      </c>
    </row>
    <row r="3383" spans="1:3" x14ac:dyDescent="0.25">
      <c r="A3383" s="46" t="s">
        <v>4597</v>
      </c>
      <c r="B3383" s="35">
        <v>0.53174602985382002</v>
      </c>
      <c r="C3383" s="36">
        <v>0.08</v>
      </c>
    </row>
    <row r="3384" spans="1:3" x14ac:dyDescent="0.25">
      <c r="A3384" s="46" t="s">
        <v>4598</v>
      </c>
      <c r="B3384" s="35">
        <v>0.56996589899063099</v>
      </c>
      <c r="C3384" s="36">
        <v>0.11</v>
      </c>
    </row>
    <row r="3385" spans="1:3" x14ac:dyDescent="0.25">
      <c r="A3385" s="46" t="s">
        <v>4599</v>
      </c>
      <c r="B3385" s="35">
        <v>0.41949152946472101</v>
      </c>
      <c r="C3385" s="36">
        <v>0.46</v>
      </c>
    </row>
    <row r="3386" spans="1:3" x14ac:dyDescent="0.25">
      <c r="A3386" s="46" t="s">
        <v>4600</v>
      </c>
      <c r="B3386" s="35">
        <v>0.53100156784057595</v>
      </c>
      <c r="C3386" s="36">
        <v>0.26</v>
      </c>
    </row>
    <row r="3387" spans="1:3" x14ac:dyDescent="0.25">
      <c r="A3387" s="46" t="s">
        <v>4601</v>
      </c>
      <c r="B3387" s="35">
        <v>0.55035459995269698</v>
      </c>
      <c r="C3387" s="36">
        <v>0.2</v>
      </c>
    </row>
    <row r="3388" spans="1:3" x14ac:dyDescent="0.25">
      <c r="A3388" s="46" t="s">
        <v>4602</v>
      </c>
      <c r="B3388" s="35">
        <v>0.53932583332061701</v>
      </c>
      <c r="C3388" s="36">
        <v>0.2</v>
      </c>
    </row>
    <row r="3389" spans="1:3" x14ac:dyDescent="0.25">
      <c r="A3389" s="46" t="s">
        <v>4603</v>
      </c>
      <c r="B3389" s="35">
        <v>0.56912440061569203</v>
      </c>
      <c r="C3389" s="36">
        <v>0.26</v>
      </c>
    </row>
    <row r="3390" spans="1:3" x14ac:dyDescent="0.25">
      <c r="A3390" s="46" t="s">
        <v>4604</v>
      </c>
      <c r="B3390" s="35">
        <v>0.45736435055732699</v>
      </c>
      <c r="C3390" s="36">
        <v>0.06</v>
      </c>
    </row>
    <row r="3391" spans="1:3" x14ac:dyDescent="0.25">
      <c r="A3391" s="46" t="s">
        <v>4605</v>
      </c>
      <c r="B3391" s="35">
        <v>0.54494380950927701</v>
      </c>
      <c r="C3391" s="36">
        <v>0</v>
      </c>
    </row>
    <row r="3392" spans="1:3" x14ac:dyDescent="0.25">
      <c r="A3392" s="46" t="s">
        <v>4606</v>
      </c>
      <c r="B3392" s="35">
        <v>0.42007434368133501</v>
      </c>
      <c r="C3392" s="36">
        <v>0</v>
      </c>
    </row>
    <row r="3393" spans="1:3" x14ac:dyDescent="0.25">
      <c r="A3393" s="46" t="s">
        <v>4607</v>
      </c>
      <c r="B3393" s="35">
        <v>0.57780981063842696</v>
      </c>
      <c r="C3393" s="36">
        <v>0.2</v>
      </c>
    </row>
    <row r="3394" spans="1:3" x14ac:dyDescent="0.25">
      <c r="A3394" s="46" t="s">
        <v>4608</v>
      </c>
      <c r="B3394" s="35">
        <v>0.738589227199554</v>
      </c>
      <c r="C3394" s="36">
        <v>0.19</v>
      </c>
    </row>
    <row r="3395" spans="1:3" x14ac:dyDescent="0.25">
      <c r="A3395" s="46" t="s">
        <v>4609</v>
      </c>
      <c r="B3395" s="35">
        <v>0.42318841814994801</v>
      </c>
      <c r="C3395" s="36">
        <v>0.2</v>
      </c>
    </row>
    <row r="3396" spans="1:3" x14ac:dyDescent="0.25">
      <c r="A3396" s="46" t="s">
        <v>4610</v>
      </c>
      <c r="B3396" s="35">
        <v>0.656108617782592</v>
      </c>
      <c r="C3396" s="36">
        <v>0.18</v>
      </c>
    </row>
    <row r="3397" spans="1:3" x14ac:dyDescent="0.25">
      <c r="A3397" s="46" t="s">
        <v>4611</v>
      </c>
      <c r="B3397" s="35">
        <v>0.43585237860679599</v>
      </c>
      <c r="C3397" s="36">
        <v>0.2</v>
      </c>
    </row>
    <row r="3398" spans="1:3" x14ac:dyDescent="0.25">
      <c r="A3398" s="46" t="s">
        <v>4612</v>
      </c>
      <c r="B3398" s="35">
        <v>0.43686869740486101</v>
      </c>
      <c r="C3398" s="36">
        <v>0.08</v>
      </c>
    </row>
    <row r="3399" spans="1:3" x14ac:dyDescent="0.25">
      <c r="A3399" s="46" t="s">
        <v>4613</v>
      </c>
      <c r="B3399" s="35">
        <v>0.655251145362854</v>
      </c>
      <c r="C3399" s="36">
        <v>0.14000000000000001</v>
      </c>
    </row>
    <row r="3400" spans="1:3" x14ac:dyDescent="0.25">
      <c r="A3400" s="46" t="s">
        <v>4614</v>
      </c>
      <c r="B3400" s="35">
        <v>0.442953020334243</v>
      </c>
      <c r="C3400" s="36">
        <v>0.16</v>
      </c>
    </row>
    <row r="3401" spans="1:3" x14ac:dyDescent="0.25">
      <c r="A3401" s="46" t="s">
        <v>4615</v>
      </c>
      <c r="B3401" s="35">
        <v>0.56479215621948198</v>
      </c>
      <c r="C3401" s="36">
        <v>0.14000000000000001</v>
      </c>
    </row>
    <row r="3402" spans="1:3" x14ac:dyDescent="0.25">
      <c r="A3402" s="46" t="s">
        <v>4616</v>
      </c>
      <c r="B3402" s="35">
        <v>0.40271493792533802</v>
      </c>
      <c r="C3402" s="36">
        <v>0.31</v>
      </c>
    </row>
    <row r="3403" spans="1:3" x14ac:dyDescent="0.25">
      <c r="A3403" s="46" t="s">
        <v>4617</v>
      </c>
      <c r="B3403" s="35">
        <v>0.46090534329414301</v>
      </c>
      <c r="C3403" s="36">
        <v>0.34</v>
      </c>
    </row>
    <row r="3404" spans="1:3" x14ac:dyDescent="0.25">
      <c r="A3404" s="46" t="s">
        <v>4618</v>
      </c>
      <c r="B3404" s="35">
        <v>0.68825912475585904</v>
      </c>
      <c r="C3404" s="36">
        <v>0.11</v>
      </c>
    </row>
    <row r="3405" spans="1:3" x14ac:dyDescent="0.25">
      <c r="A3405" s="46" t="s">
        <v>4619</v>
      </c>
      <c r="B3405" s="35">
        <v>0.36119404435157698</v>
      </c>
      <c r="C3405" s="36">
        <v>0.09</v>
      </c>
    </row>
    <row r="3406" spans="1:3" x14ac:dyDescent="0.25">
      <c r="A3406" s="46" t="s">
        <v>4620</v>
      </c>
      <c r="B3406" s="35">
        <v>0.43949043750762901</v>
      </c>
      <c r="C3406" s="36">
        <v>0.28000000000000003</v>
      </c>
    </row>
    <row r="3407" spans="1:3" x14ac:dyDescent="0.25">
      <c r="A3407" s="46" t="s">
        <v>4621</v>
      </c>
      <c r="B3407" s="35">
        <v>0.60140681266784601</v>
      </c>
      <c r="C3407" s="36">
        <v>0.08</v>
      </c>
    </row>
    <row r="3408" spans="1:3" x14ac:dyDescent="0.25">
      <c r="A3408" s="46" t="s">
        <v>4622</v>
      </c>
      <c r="B3408" s="35">
        <v>0.41928720474243097</v>
      </c>
      <c r="C3408" s="36">
        <v>0.11</v>
      </c>
    </row>
    <row r="3409" spans="1:3" x14ac:dyDescent="0.25">
      <c r="A3409" s="46" t="s">
        <v>4623</v>
      </c>
      <c r="B3409" s="35">
        <v>0.68105065822601296</v>
      </c>
      <c r="C3409" s="36">
        <v>0.17</v>
      </c>
    </row>
    <row r="3410" spans="1:3" x14ac:dyDescent="0.25">
      <c r="A3410" s="46" t="s">
        <v>4624</v>
      </c>
      <c r="B3410" s="35">
        <v>0.92307692766189497</v>
      </c>
      <c r="C3410" s="36">
        <v>0.15</v>
      </c>
    </row>
    <row r="3411" spans="1:3" x14ac:dyDescent="0.25">
      <c r="A3411" s="46" t="s">
        <v>4625</v>
      </c>
      <c r="B3411" s="35">
        <v>0.74477958679199197</v>
      </c>
      <c r="C3411" s="36">
        <v>0.31</v>
      </c>
    </row>
    <row r="3412" spans="1:3" x14ac:dyDescent="0.25">
      <c r="A3412" s="46" t="s">
        <v>4626</v>
      </c>
      <c r="B3412" s="35">
        <v>0.48242810368537897</v>
      </c>
      <c r="C3412" s="36">
        <v>0.32</v>
      </c>
    </row>
    <row r="3413" spans="1:3" x14ac:dyDescent="0.25">
      <c r="A3413" s="46" t="s">
        <v>4627</v>
      </c>
      <c r="B3413" s="35">
        <v>0.45774647593498202</v>
      </c>
      <c r="C3413" s="36">
        <v>0.36</v>
      </c>
    </row>
    <row r="3414" spans="1:3" x14ac:dyDescent="0.25">
      <c r="A3414" s="46" t="s">
        <v>4628</v>
      </c>
      <c r="B3414" s="35">
        <v>0.40525329113006497</v>
      </c>
      <c r="C3414" s="36">
        <v>0.06</v>
      </c>
    </row>
    <row r="3415" spans="1:3" x14ac:dyDescent="0.25">
      <c r="A3415" s="46" t="s">
        <v>4629</v>
      </c>
      <c r="B3415" s="35">
        <v>0.60633486509323098</v>
      </c>
      <c r="C3415" s="36">
        <v>0</v>
      </c>
    </row>
    <row r="3416" spans="1:3" x14ac:dyDescent="0.25">
      <c r="A3416" s="46" t="s">
        <v>4630</v>
      </c>
      <c r="B3416" s="35">
        <v>0.68711656332015902</v>
      </c>
      <c r="C3416" s="36">
        <v>0.1</v>
      </c>
    </row>
    <row r="3417" spans="1:3" x14ac:dyDescent="0.25">
      <c r="A3417" s="46" t="s">
        <v>4631</v>
      </c>
      <c r="B3417" s="35">
        <v>0.62803739309310902</v>
      </c>
      <c r="C3417" s="36">
        <v>0.13</v>
      </c>
    </row>
    <row r="3418" spans="1:3" x14ac:dyDescent="0.25">
      <c r="A3418" s="46" t="s">
        <v>4632</v>
      </c>
      <c r="B3418" s="35">
        <v>0.56666666269302302</v>
      </c>
      <c r="C3418" s="36">
        <v>0.12</v>
      </c>
    </row>
    <row r="3419" spans="1:3" x14ac:dyDescent="0.25">
      <c r="A3419" s="46" t="s">
        <v>4633</v>
      </c>
      <c r="B3419" s="35">
        <v>0.95714282989501898</v>
      </c>
      <c r="C3419" s="36">
        <v>0.19</v>
      </c>
    </row>
    <row r="3420" spans="1:3" x14ac:dyDescent="0.25">
      <c r="A3420" s="46" t="s">
        <v>4634</v>
      </c>
      <c r="B3420" s="35">
        <v>0.567676782608032</v>
      </c>
      <c r="C3420" s="36">
        <v>0.04</v>
      </c>
    </row>
    <row r="3421" spans="1:3" x14ac:dyDescent="0.25">
      <c r="A3421" s="46" t="s">
        <v>4635</v>
      </c>
      <c r="B3421" s="35">
        <v>0.54446178674697798</v>
      </c>
      <c r="C3421" s="36">
        <v>0.25</v>
      </c>
    </row>
    <row r="3422" spans="1:3" x14ac:dyDescent="0.25">
      <c r="A3422" s="46" t="s">
        <v>4636</v>
      </c>
      <c r="B3422" s="35">
        <v>1</v>
      </c>
      <c r="C3422" s="36">
        <v>0.18</v>
      </c>
    </row>
    <row r="3423" spans="1:3" x14ac:dyDescent="0.25">
      <c r="A3423" s="46" t="s">
        <v>4637</v>
      </c>
      <c r="B3423" s="35">
        <v>0.39029535651206898</v>
      </c>
      <c r="C3423" s="36">
        <v>0.44</v>
      </c>
    </row>
    <row r="3424" spans="1:3" x14ac:dyDescent="0.25">
      <c r="A3424" s="46" t="s">
        <v>4638</v>
      </c>
      <c r="B3424" s="35">
        <v>0.45689654350280701</v>
      </c>
      <c r="C3424" s="36">
        <v>0.28999999999999998</v>
      </c>
    </row>
    <row r="3425" spans="1:3" x14ac:dyDescent="0.25">
      <c r="A3425" s="46" t="s">
        <v>4639</v>
      </c>
      <c r="B3425" s="35">
        <v>0.73614192008972101</v>
      </c>
      <c r="C3425" s="36">
        <v>0.08</v>
      </c>
    </row>
    <row r="3426" spans="1:3" x14ac:dyDescent="0.25">
      <c r="A3426" s="46" t="s">
        <v>4640</v>
      </c>
      <c r="B3426" s="35">
        <v>0.584569752216339</v>
      </c>
      <c r="C3426" s="36">
        <v>0.21</v>
      </c>
    </row>
    <row r="3427" spans="1:3" x14ac:dyDescent="0.25">
      <c r="A3427" s="46" t="s">
        <v>4641</v>
      </c>
      <c r="B3427" s="35">
        <v>0.63297873735427801</v>
      </c>
      <c r="C3427" s="36">
        <v>0.11</v>
      </c>
    </row>
    <row r="3428" spans="1:3" x14ac:dyDescent="0.25">
      <c r="A3428" s="46" t="s">
        <v>4642</v>
      </c>
      <c r="B3428" s="35">
        <v>0.58749997615814198</v>
      </c>
      <c r="C3428" s="36">
        <v>0.13</v>
      </c>
    </row>
    <row r="3429" spans="1:3" x14ac:dyDescent="0.25">
      <c r="A3429" s="46" t="s">
        <v>4643</v>
      </c>
      <c r="B3429" s="35">
        <v>0.454810500144958</v>
      </c>
      <c r="C3429" s="36">
        <v>0.1</v>
      </c>
    </row>
    <row r="3430" spans="1:3" x14ac:dyDescent="0.25">
      <c r="A3430" s="46" t="s">
        <v>4644</v>
      </c>
      <c r="B3430" s="35">
        <v>0.44444444775581299</v>
      </c>
      <c r="C3430" s="36">
        <v>0.28000000000000003</v>
      </c>
    </row>
    <row r="3431" spans="1:3" x14ac:dyDescent="0.25">
      <c r="A3431" s="46" t="s">
        <v>4645</v>
      </c>
      <c r="B3431" s="35">
        <v>0.60694700479507402</v>
      </c>
      <c r="C3431" s="36">
        <v>0.11</v>
      </c>
    </row>
    <row r="3432" spans="1:3" x14ac:dyDescent="0.25">
      <c r="A3432" s="46" t="s">
        <v>4646</v>
      </c>
      <c r="B3432" s="35">
        <v>0.44660192728042603</v>
      </c>
      <c r="C3432" s="36">
        <v>0.37</v>
      </c>
    </row>
    <row r="3433" spans="1:3" x14ac:dyDescent="0.25">
      <c r="A3433" s="46" t="s">
        <v>4647</v>
      </c>
      <c r="B3433" s="35">
        <v>0.47821101546287498</v>
      </c>
      <c r="C3433" s="36">
        <v>0.12</v>
      </c>
    </row>
    <row r="3434" spans="1:3" x14ac:dyDescent="0.25">
      <c r="A3434" s="46" t="s">
        <v>4648</v>
      </c>
      <c r="B3434" s="35">
        <v>0.57605987787246704</v>
      </c>
      <c r="C3434" s="36">
        <v>0.3</v>
      </c>
    </row>
    <row r="3435" spans="1:3" x14ac:dyDescent="0.25">
      <c r="A3435" s="46" t="s">
        <v>4649</v>
      </c>
      <c r="B3435" s="35">
        <v>0.43661972880363398</v>
      </c>
      <c r="C3435" s="36">
        <v>0.18</v>
      </c>
    </row>
    <row r="3436" spans="1:3" x14ac:dyDescent="0.25">
      <c r="A3436" s="46" t="s">
        <v>4650</v>
      </c>
      <c r="B3436" s="35">
        <v>0.77952754497527998</v>
      </c>
      <c r="C3436" s="36">
        <v>0</v>
      </c>
    </row>
    <row r="3437" spans="1:3" x14ac:dyDescent="0.25">
      <c r="A3437" s="46" t="s">
        <v>4651</v>
      </c>
      <c r="B3437" s="35">
        <v>0.48583877086639399</v>
      </c>
      <c r="C3437" s="36">
        <v>0.23</v>
      </c>
    </row>
    <row r="3438" spans="1:3" x14ac:dyDescent="0.25">
      <c r="A3438" s="46" t="s">
        <v>4652</v>
      </c>
      <c r="B3438" s="35">
        <v>0.62645912170410101</v>
      </c>
      <c r="C3438" s="36">
        <v>0.27</v>
      </c>
    </row>
    <row r="3439" spans="1:3" x14ac:dyDescent="0.25">
      <c r="A3439" s="46" t="s">
        <v>4653</v>
      </c>
      <c r="B3439" s="35">
        <v>0.56338030099868697</v>
      </c>
      <c r="C3439" s="36">
        <v>0.04</v>
      </c>
    </row>
    <row r="3440" spans="1:3" x14ac:dyDescent="0.25">
      <c r="A3440" s="46" t="s">
        <v>4654</v>
      </c>
      <c r="B3440" s="35">
        <v>0.41228070855140603</v>
      </c>
      <c r="C3440" s="36">
        <v>0.1</v>
      </c>
    </row>
    <row r="3441" spans="1:3" x14ac:dyDescent="0.25">
      <c r="A3441" s="46" t="s">
        <v>4655</v>
      </c>
      <c r="B3441" s="35">
        <v>0.395209580659866</v>
      </c>
      <c r="C3441" s="36">
        <v>0.21</v>
      </c>
    </row>
    <row r="3442" spans="1:3" x14ac:dyDescent="0.25">
      <c r="A3442" s="46" t="s">
        <v>4656</v>
      </c>
      <c r="B3442" s="35">
        <v>0.57864356040954501</v>
      </c>
      <c r="C3442" s="36">
        <v>0.2</v>
      </c>
    </row>
    <row r="3443" spans="1:3" x14ac:dyDescent="0.25">
      <c r="A3443" s="46" t="s">
        <v>4657</v>
      </c>
      <c r="B3443" s="35">
        <v>0.61989343166351296</v>
      </c>
      <c r="C3443" s="36">
        <v>0.13</v>
      </c>
    </row>
    <row r="3444" spans="1:3" x14ac:dyDescent="0.25">
      <c r="A3444" s="46" t="s">
        <v>4658</v>
      </c>
      <c r="B3444" s="35">
        <v>0.648018658161163</v>
      </c>
      <c r="C3444" s="36">
        <v>0</v>
      </c>
    </row>
    <row r="3445" spans="1:3" x14ac:dyDescent="0.25">
      <c r="A3445" s="46" t="s">
        <v>4659</v>
      </c>
      <c r="B3445" s="35">
        <v>0.66219240427017201</v>
      </c>
      <c r="C3445" s="36">
        <v>0.16</v>
      </c>
    </row>
    <row r="3446" spans="1:3" x14ac:dyDescent="0.25">
      <c r="A3446" s="46" t="s">
        <v>4660</v>
      </c>
      <c r="B3446" s="35">
        <v>0.60828024148940996</v>
      </c>
      <c r="C3446" s="36">
        <v>0.03</v>
      </c>
    </row>
    <row r="3447" spans="1:3" x14ac:dyDescent="0.25">
      <c r="A3447" s="46" t="s">
        <v>4661</v>
      </c>
      <c r="B3447" s="35">
        <v>0.49152541160583402</v>
      </c>
      <c r="C3447" s="36">
        <v>0.23</v>
      </c>
    </row>
    <row r="3448" spans="1:3" x14ac:dyDescent="0.25">
      <c r="A3448" s="46" t="s">
        <v>4662</v>
      </c>
      <c r="B3448" s="35">
        <v>0.52166062593460005</v>
      </c>
      <c r="C3448" s="36">
        <v>0.28999999999999998</v>
      </c>
    </row>
    <row r="3449" spans="1:3" x14ac:dyDescent="0.25">
      <c r="A3449" s="46" t="s">
        <v>4663</v>
      </c>
      <c r="B3449" s="35">
        <v>0.57200002670287997</v>
      </c>
      <c r="C3449" s="36">
        <v>0.11</v>
      </c>
    </row>
    <row r="3450" spans="1:3" x14ac:dyDescent="0.25">
      <c r="A3450" s="46" t="s">
        <v>4664</v>
      </c>
      <c r="B3450" s="35">
        <v>0.50669640302658003</v>
      </c>
      <c r="C3450" s="36">
        <v>0.24</v>
      </c>
    </row>
    <row r="3451" spans="1:3" x14ac:dyDescent="0.25">
      <c r="A3451" s="46" t="s">
        <v>4665</v>
      </c>
      <c r="B3451" s="35">
        <v>0.42418426275253202</v>
      </c>
      <c r="C3451" s="36">
        <v>0.38</v>
      </c>
    </row>
    <row r="3452" spans="1:3" x14ac:dyDescent="0.25">
      <c r="A3452" s="46" t="s">
        <v>4666</v>
      </c>
      <c r="B3452" s="35">
        <v>0.56768560409545898</v>
      </c>
      <c r="C3452" s="36">
        <v>0.09</v>
      </c>
    </row>
    <row r="3453" spans="1:3" x14ac:dyDescent="0.25">
      <c r="A3453" s="46" t="s">
        <v>4667</v>
      </c>
      <c r="B3453" s="35">
        <v>0.56672757863998402</v>
      </c>
      <c r="C3453" s="36">
        <v>0.38</v>
      </c>
    </row>
    <row r="3454" spans="1:3" x14ac:dyDescent="0.25">
      <c r="A3454" s="46" t="s">
        <v>4668</v>
      </c>
      <c r="B3454" s="35">
        <v>0.44696968793869002</v>
      </c>
      <c r="C3454" s="36">
        <v>0.35</v>
      </c>
    </row>
    <row r="3455" spans="1:3" x14ac:dyDescent="0.25">
      <c r="A3455" s="46" t="s">
        <v>4669</v>
      </c>
      <c r="B3455" s="35">
        <v>0.51046699285507202</v>
      </c>
      <c r="C3455" s="36">
        <v>0.12</v>
      </c>
    </row>
    <row r="3456" spans="1:3" x14ac:dyDescent="0.25">
      <c r="A3456" s="46" t="s">
        <v>4670</v>
      </c>
      <c r="B3456" s="35">
        <v>0.72709554433822599</v>
      </c>
      <c r="C3456" s="36">
        <v>0.09</v>
      </c>
    </row>
    <row r="3457" spans="1:3" x14ac:dyDescent="0.25">
      <c r="A3457" s="46" t="s">
        <v>4671</v>
      </c>
      <c r="B3457" s="35">
        <v>0.52857142686843805</v>
      </c>
      <c r="C3457" s="36">
        <v>0.04</v>
      </c>
    </row>
    <row r="3458" spans="1:3" x14ac:dyDescent="0.25">
      <c r="A3458" s="46" t="s">
        <v>4672</v>
      </c>
      <c r="B3458" s="35">
        <v>0.577464759349823</v>
      </c>
      <c r="C3458" s="36">
        <v>0</v>
      </c>
    </row>
    <row r="3459" spans="1:3" x14ac:dyDescent="0.25">
      <c r="A3459" s="46" t="s">
        <v>4673</v>
      </c>
      <c r="B3459" s="35">
        <v>0.49618321657180697</v>
      </c>
      <c r="C3459" s="36">
        <v>0.11</v>
      </c>
    </row>
    <row r="3460" spans="1:3" x14ac:dyDescent="0.25">
      <c r="A3460" s="46" t="s">
        <v>4674</v>
      </c>
      <c r="B3460" s="35">
        <v>0.465798050165176</v>
      </c>
      <c r="C3460" s="36">
        <v>0.22</v>
      </c>
    </row>
    <row r="3461" spans="1:3" x14ac:dyDescent="0.25">
      <c r="A3461" s="46" t="s">
        <v>4675</v>
      </c>
      <c r="B3461" s="35">
        <v>0.44716691970825101</v>
      </c>
      <c r="C3461" s="36">
        <v>0.16</v>
      </c>
    </row>
    <row r="3462" spans="1:3" x14ac:dyDescent="0.25">
      <c r="A3462" s="46" t="s">
        <v>4676</v>
      </c>
      <c r="B3462" s="35">
        <v>0.55391430854797297</v>
      </c>
      <c r="C3462" s="36">
        <v>0.14000000000000001</v>
      </c>
    </row>
    <row r="3463" spans="1:3" x14ac:dyDescent="0.25">
      <c r="A3463" s="46" t="s">
        <v>4677</v>
      </c>
      <c r="B3463" s="35">
        <v>0.80172413587570102</v>
      </c>
      <c r="C3463" s="36">
        <v>0.19</v>
      </c>
    </row>
    <row r="3464" spans="1:3" x14ac:dyDescent="0.25">
      <c r="A3464" s="46" t="s">
        <v>4678</v>
      </c>
      <c r="B3464" s="35">
        <v>0.64088398218154896</v>
      </c>
      <c r="C3464" s="36">
        <v>0</v>
      </c>
    </row>
    <row r="3465" spans="1:3" x14ac:dyDescent="0.25">
      <c r="A3465" s="46" t="s">
        <v>4679</v>
      </c>
      <c r="B3465" s="35">
        <v>0.51255232095718295</v>
      </c>
      <c r="C3465" s="36">
        <v>0.17</v>
      </c>
    </row>
    <row r="3466" spans="1:3" x14ac:dyDescent="0.25">
      <c r="A3466" s="46" t="s">
        <v>4680</v>
      </c>
      <c r="B3466" s="35">
        <v>0.60714286565780595</v>
      </c>
      <c r="C3466" s="36">
        <v>0</v>
      </c>
    </row>
    <row r="3467" spans="1:3" x14ac:dyDescent="0.25">
      <c r="A3467" s="46" t="s">
        <v>4681</v>
      </c>
      <c r="B3467" s="35">
        <v>0.62356323003768899</v>
      </c>
      <c r="C3467" s="36">
        <v>0.03</v>
      </c>
    </row>
    <row r="3468" spans="1:3" x14ac:dyDescent="0.25">
      <c r="A3468" s="46" t="s">
        <v>4682</v>
      </c>
      <c r="B3468" s="35">
        <v>0.73160171508788996</v>
      </c>
      <c r="C3468" s="36">
        <v>0.09</v>
      </c>
    </row>
    <row r="3469" spans="1:3" x14ac:dyDescent="0.25">
      <c r="A3469" s="46" t="s">
        <v>4683</v>
      </c>
      <c r="B3469" s="35">
        <v>0.45833334326744002</v>
      </c>
      <c r="C3469" s="36">
        <v>0.02</v>
      </c>
    </row>
    <row r="3470" spans="1:3" x14ac:dyDescent="0.25">
      <c r="A3470" s="46" t="s">
        <v>4684</v>
      </c>
      <c r="B3470" s="35">
        <v>0.32890364527702298</v>
      </c>
      <c r="C3470" s="36">
        <v>0.03</v>
      </c>
    </row>
    <row r="3471" spans="1:3" x14ac:dyDescent="0.25">
      <c r="A3471" s="46" t="s">
        <v>4685</v>
      </c>
      <c r="B3471" s="35">
        <v>0.63811564445495605</v>
      </c>
      <c r="C3471" s="36">
        <v>0</v>
      </c>
    </row>
    <row r="3472" spans="1:3" x14ac:dyDescent="0.25">
      <c r="A3472" s="46" t="s">
        <v>4686</v>
      </c>
      <c r="B3472" s="35">
        <v>0.62826085090637196</v>
      </c>
      <c r="C3472" s="36">
        <v>0</v>
      </c>
    </row>
    <row r="3473" spans="1:3" x14ac:dyDescent="0.25">
      <c r="A3473" s="46" t="s">
        <v>4687</v>
      </c>
      <c r="B3473" s="35">
        <v>0.454545468091964</v>
      </c>
      <c r="C3473" s="36">
        <v>0.04</v>
      </c>
    </row>
    <row r="3474" spans="1:3" x14ac:dyDescent="0.25">
      <c r="A3474" s="46" t="s">
        <v>4688</v>
      </c>
      <c r="B3474" s="35">
        <v>0.60135138034820501</v>
      </c>
      <c r="C3474" s="36">
        <v>0.1</v>
      </c>
    </row>
    <row r="3475" spans="1:3" x14ac:dyDescent="0.25">
      <c r="A3475" s="46" t="s">
        <v>4689</v>
      </c>
      <c r="B3475" s="35">
        <v>0.53392332792282104</v>
      </c>
      <c r="C3475" s="36">
        <v>0.34</v>
      </c>
    </row>
    <row r="3476" spans="1:3" x14ac:dyDescent="0.25">
      <c r="A3476" s="46" t="s">
        <v>4690</v>
      </c>
      <c r="B3476" s="35">
        <v>0.62083333730697599</v>
      </c>
      <c r="C3476" s="36">
        <v>0.4</v>
      </c>
    </row>
    <row r="3477" spans="1:3" x14ac:dyDescent="0.25">
      <c r="A3477" s="46" t="s">
        <v>4691</v>
      </c>
      <c r="B3477" s="35">
        <v>0.49367088079452498</v>
      </c>
      <c r="C3477" s="36">
        <v>0.12</v>
      </c>
    </row>
    <row r="3478" spans="1:3" x14ac:dyDescent="0.25">
      <c r="A3478" s="46" t="s">
        <v>4692</v>
      </c>
      <c r="B3478" s="35">
        <v>0.62008732557296697</v>
      </c>
      <c r="C3478" s="36">
        <v>0.11</v>
      </c>
    </row>
    <row r="3479" spans="1:3" x14ac:dyDescent="0.25">
      <c r="A3479" s="46" t="s">
        <v>4693</v>
      </c>
      <c r="B3479" s="35">
        <v>0.52296817302703802</v>
      </c>
      <c r="C3479" s="36">
        <v>0.32</v>
      </c>
    </row>
    <row r="3480" spans="1:3" x14ac:dyDescent="0.25">
      <c r="A3480" s="46" t="s">
        <v>4694</v>
      </c>
      <c r="B3480" s="35">
        <v>0.62835246324539096</v>
      </c>
      <c r="C3480" s="36">
        <v>0.17</v>
      </c>
    </row>
    <row r="3481" spans="1:3" x14ac:dyDescent="0.25">
      <c r="A3481" s="46" t="s">
        <v>4695</v>
      </c>
      <c r="B3481" s="35">
        <v>0.62131518125534002</v>
      </c>
      <c r="C3481" s="36">
        <v>0.4</v>
      </c>
    </row>
    <row r="3482" spans="1:3" x14ac:dyDescent="0.25">
      <c r="A3482" s="46" t="s">
        <v>4696</v>
      </c>
      <c r="B3482" s="35">
        <v>0.457186549901962</v>
      </c>
      <c r="C3482" s="36">
        <v>0.25</v>
      </c>
    </row>
    <row r="3483" spans="1:3" x14ac:dyDescent="0.25">
      <c r="A3483" s="46" t="s">
        <v>4697</v>
      </c>
      <c r="B3483" s="35">
        <v>0.62227076292037897</v>
      </c>
      <c r="C3483" s="36">
        <v>0.11</v>
      </c>
    </row>
    <row r="3484" spans="1:3" x14ac:dyDescent="0.25">
      <c r="A3484" s="46" t="s">
        <v>4698</v>
      </c>
      <c r="B3484" s="35">
        <v>0.61592918634414595</v>
      </c>
      <c r="C3484" s="36">
        <v>0.21</v>
      </c>
    </row>
    <row r="3485" spans="1:3" x14ac:dyDescent="0.25">
      <c r="A3485" s="46" t="s">
        <v>4699</v>
      </c>
      <c r="B3485" s="35">
        <v>0.51379311084747303</v>
      </c>
      <c r="C3485" s="36">
        <v>0.23</v>
      </c>
    </row>
    <row r="3486" spans="1:3" x14ac:dyDescent="0.25">
      <c r="A3486" s="46" t="s">
        <v>4700</v>
      </c>
      <c r="B3486" s="35">
        <v>0.45982143282890298</v>
      </c>
      <c r="C3486" s="36">
        <v>0.26</v>
      </c>
    </row>
    <row r="3487" spans="1:3" x14ac:dyDescent="0.25">
      <c r="A3487" s="46" t="s">
        <v>4701</v>
      </c>
      <c r="B3487" s="35">
        <v>0.43391519784927302</v>
      </c>
      <c r="C3487" s="36">
        <v>0.25</v>
      </c>
    </row>
    <row r="3488" spans="1:3" x14ac:dyDescent="0.25">
      <c r="A3488" s="46" t="s">
        <v>4702</v>
      </c>
      <c r="B3488" s="35">
        <v>0.58350950479507402</v>
      </c>
      <c r="C3488" s="36">
        <v>0.34</v>
      </c>
    </row>
    <row r="3489" spans="1:3" x14ac:dyDescent="0.25">
      <c r="A3489" s="46" t="s">
        <v>4703</v>
      </c>
      <c r="B3489" s="35">
        <v>0.460606068372726</v>
      </c>
      <c r="C3489" s="36">
        <v>0.06</v>
      </c>
    </row>
    <row r="3490" spans="1:3" x14ac:dyDescent="0.25">
      <c r="A3490" s="46" t="s">
        <v>4704</v>
      </c>
      <c r="B3490" s="35">
        <v>0.47702059149742099</v>
      </c>
      <c r="C3490" s="36">
        <v>0.49</v>
      </c>
    </row>
    <row r="3491" spans="1:3" x14ac:dyDescent="0.25">
      <c r="A3491" s="46" t="s">
        <v>4705</v>
      </c>
      <c r="B3491" s="35">
        <v>0.46462264657020502</v>
      </c>
      <c r="C3491" s="36">
        <v>0.18</v>
      </c>
    </row>
    <row r="3492" spans="1:3" x14ac:dyDescent="0.25">
      <c r="A3492" s="46" t="s">
        <v>4706</v>
      </c>
      <c r="B3492" s="35">
        <v>0.58583104610443104</v>
      </c>
      <c r="C3492" s="36">
        <v>0.55000000000000004</v>
      </c>
    </row>
    <row r="3493" spans="1:3" x14ac:dyDescent="0.25">
      <c r="A3493" s="46" t="s">
        <v>4707</v>
      </c>
      <c r="B3493" s="35">
        <v>0.65483868122100797</v>
      </c>
      <c r="C3493" s="36">
        <v>0.16</v>
      </c>
    </row>
    <row r="3494" spans="1:3" x14ac:dyDescent="0.25">
      <c r="A3494" s="46" t="s">
        <v>4708</v>
      </c>
      <c r="B3494" s="35">
        <v>0.472353875637054</v>
      </c>
      <c r="C3494" s="36">
        <v>0.42</v>
      </c>
    </row>
    <row r="3495" spans="1:3" x14ac:dyDescent="0.25">
      <c r="A3495" s="46" t="s">
        <v>4709</v>
      </c>
      <c r="B3495" s="35">
        <v>0.52443856000900202</v>
      </c>
      <c r="C3495" s="36">
        <v>0.15</v>
      </c>
    </row>
    <row r="3496" spans="1:3" x14ac:dyDescent="0.25">
      <c r="A3496" s="46" t="s">
        <v>4710</v>
      </c>
      <c r="B3496" s="35">
        <v>0.46478873491287198</v>
      </c>
      <c r="C3496" s="36">
        <v>0.18</v>
      </c>
    </row>
    <row r="3497" spans="1:3" x14ac:dyDescent="0.25">
      <c r="A3497" s="46" t="s">
        <v>4711</v>
      </c>
      <c r="B3497" s="35">
        <v>0.58494621515274003</v>
      </c>
      <c r="C3497" s="36">
        <v>0.21</v>
      </c>
    </row>
    <row r="3498" spans="1:3" x14ac:dyDescent="0.25">
      <c r="A3498" s="46" t="s">
        <v>4712</v>
      </c>
      <c r="B3498" s="35">
        <v>0.59861594438552801</v>
      </c>
      <c r="C3498" s="36">
        <v>0.12</v>
      </c>
    </row>
    <row r="3499" spans="1:3" x14ac:dyDescent="0.25">
      <c r="A3499" s="46" t="s">
        <v>4713</v>
      </c>
      <c r="B3499" s="35">
        <v>0.58945685625076205</v>
      </c>
      <c r="C3499" s="36">
        <v>0.21</v>
      </c>
    </row>
    <row r="3500" spans="1:3" x14ac:dyDescent="0.25">
      <c r="A3500" s="46" t="s">
        <v>4714</v>
      </c>
      <c r="B3500" s="35">
        <v>0.46557375788688599</v>
      </c>
      <c r="C3500" s="36">
        <v>0.12</v>
      </c>
    </row>
    <row r="3501" spans="1:3" x14ac:dyDescent="0.25">
      <c r="A3501" s="46" t="s">
        <v>4715</v>
      </c>
      <c r="B3501" s="35">
        <v>0.55618774890899603</v>
      </c>
      <c r="C3501" s="36">
        <v>0.34</v>
      </c>
    </row>
    <row r="3502" spans="1:3" x14ac:dyDescent="0.25">
      <c r="A3502" s="46" t="s">
        <v>4716</v>
      </c>
      <c r="B3502" s="35">
        <v>0.57377046346664395</v>
      </c>
      <c r="C3502" s="36">
        <v>0.4</v>
      </c>
    </row>
    <row r="3503" spans="1:3" x14ac:dyDescent="0.25">
      <c r="A3503" s="46" t="s">
        <v>4717</v>
      </c>
      <c r="B3503" s="35">
        <v>0.55773955583572299</v>
      </c>
      <c r="C3503" s="36">
        <v>0.34</v>
      </c>
    </row>
    <row r="3504" spans="1:3" x14ac:dyDescent="0.25">
      <c r="A3504" s="46" t="s">
        <v>4718</v>
      </c>
      <c r="B3504" s="35">
        <v>0.61949688196182195</v>
      </c>
      <c r="C3504" s="36">
        <v>0.28999999999999998</v>
      </c>
    </row>
    <row r="3505" spans="1:3" x14ac:dyDescent="0.25">
      <c r="A3505" s="46" t="s">
        <v>4719</v>
      </c>
      <c r="B3505" s="35">
        <v>0.68990385532379095</v>
      </c>
      <c r="C3505" s="36">
        <v>0.11</v>
      </c>
    </row>
    <row r="3506" spans="1:3" x14ac:dyDescent="0.25">
      <c r="A3506" s="46" t="s">
        <v>4720</v>
      </c>
      <c r="B3506" s="35">
        <v>0.864332616329193</v>
      </c>
      <c r="C3506" s="36">
        <v>0.16</v>
      </c>
    </row>
    <row r="3507" spans="1:3" x14ac:dyDescent="0.25">
      <c r="A3507" s="46" t="s">
        <v>4721</v>
      </c>
      <c r="B3507" s="35">
        <v>0.67301589250564497</v>
      </c>
      <c r="C3507" s="36">
        <v>0.11</v>
      </c>
    </row>
    <row r="3508" spans="1:3" x14ac:dyDescent="0.25">
      <c r="A3508" s="46" t="s">
        <v>4722</v>
      </c>
      <c r="B3508" s="35">
        <v>0.451776653528213</v>
      </c>
      <c r="C3508" s="36">
        <v>0.4</v>
      </c>
    </row>
    <row r="3509" spans="1:3" x14ac:dyDescent="0.25">
      <c r="A3509" s="46" t="s">
        <v>4723</v>
      </c>
      <c r="B3509" s="35">
        <v>0.87973272800445501</v>
      </c>
      <c r="C3509" s="36">
        <v>0</v>
      </c>
    </row>
    <row r="3510" spans="1:3" x14ac:dyDescent="0.25">
      <c r="A3510" s="46" t="s">
        <v>4724</v>
      </c>
      <c r="B3510" s="35">
        <v>0.64745008945464999</v>
      </c>
      <c r="C3510" s="36">
        <v>0.11</v>
      </c>
    </row>
    <row r="3511" spans="1:3" x14ac:dyDescent="0.25">
      <c r="A3511" s="46" t="s">
        <v>4725</v>
      </c>
      <c r="B3511" s="35">
        <v>0.66554051637649503</v>
      </c>
      <c r="C3511" s="36">
        <v>0</v>
      </c>
    </row>
    <row r="3512" spans="1:3" x14ac:dyDescent="0.25">
      <c r="A3512" s="46" t="s">
        <v>4726</v>
      </c>
      <c r="B3512" s="35">
        <v>0.55808657407760598</v>
      </c>
      <c r="C3512" s="36">
        <v>0.33</v>
      </c>
    </row>
    <row r="3513" spans="1:3" x14ac:dyDescent="0.25">
      <c r="A3513" s="46" t="s">
        <v>4727</v>
      </c>
      <c r="B3513" s="35">
        <v>0.62639403343200595</v>
      </c>
      <c r="C3513" s="36">
        <v>0</v>
      </c>
    </row>
    <row r="3514" spans="1:3" x14ac:dyDescent="0.25">
      <c r="A3514" s="46" t="s">
        <v>4728</v>
      </c>
      <c r="B3514" s="35">
        <v>0.58333331346511796</v>
      </c>
      <c r="C3514" s="36">
        <v>0.13</v>
      </c>
    </row>
    <row r="3515" spans="1:3" x14ac:dyDescent="0.25">
      <c r="A3515" s="46" t="s">
        <v>4729</v>
      </c>
      <c r="B3515" s="35">
        <v>0.55769228935241699</v>
      </c>
      <c r="C3515" s="36">
        <v>0.15</v>
      </c>
    </row>
    <row r="3516" spans="1:3" x14ac:dyDescent="0.25">
      <c r="A3516" s="46" t="s">
        <v>4730</v>
      </c>
      <c r="B3516" s="35">
        <v>0.73705178499221802</v>
      </c>
      <c r="C3516" s="36">
        <v>0.13</v>
      </c>
    </row>
    <row r="3517" spans="1:3" x14ac:dyDescent="0.25">
      <c r="A3517" s="46" t="s">
        <v>4731</v>
      </c>
      <c r="B3517" s="35">
        <v>0.72222220897674505</v>
      </c>
      <c r="C3517" s="36">
        <v>0.1</v>
      </c>
    </row>
    <row r="3518" spans="1:3" x14ac:dyDescent="0.25">
      <c r="A3518" s="46" t="s">
        <v>4732</v>
      </c>
      <c r="B3518" s="35">
        <v>0.79548156261444003</v>
      </c>
      <c r="C3518" s="36">
        <v>0.12</v>
      </c>
    </row>
    <row r="3519" spans="1:3" x14ac:dyDescent="0.25">
      <c r="A3519" s="46" t="s">
        <v>4733</v>
      </c>
      <c r="B3519" s="35">
        <v>0.44827586412429798</v>
      </c>
      <c r="C3519" s="36">
        <v>0.03</v>
      </c>
    </row>
    <row r="3520" spans="1:3" x14ac:dyDescent="0.25">
      <c r="A3520" s="46" t="s">
        <v>4734</v>
      </c>
      <c r="B3520" s="35">
        <v>0.52236419916152899</v>
      </c>
      <c r="C3520" s="36">
        <v>0.36</v>
      </c>
    </row>
    <row r="3521" spans="1:3" x14ac:dyDescent="0.25">
      <c r="A3521" s="46" t="s">
        <v>4735</v>
      </c>
      <c r="B3521" s="35">
        <v>0.58333331346511796</v>
      </c>
      <c r="C3521" s="36">
        <v>0</v>
      </c>
    </row>
    <row r="3522" spans="1:3" x14ac:dyDescent="0.25">
      <c r="A3522" s="46" t="s">
        <v>4736</v>
      </c>
      <c r="B3522" s="35">
        <v>0.58490568399429299</v>
      </c>
      <c r="C3522" s="36">
        <v>0.04</v>
      </c>
    </row>
    <row r="3523" spans="1:3" x14ac:dyDescent="0.25">
      <c r="A3523" s="46" t="s">
        <v>4737</v>
      </c>
      <c r="B3523" s="35">
        <v>0.75244301557540805</v>
      </c>
      <c r="C3523" s="36">
        <v>0.03</v>
      </c>
    </row>
    <row r="3524" spans="1:3" x14ac:dyDescent="0.25">
      <c r="A3524" s="46" t="s">
        <v>4738</v>
      </c>
      <c r="B3524" s="35">
        <v>0.466204494237899</v>
      </c>
      <c r="C3524" s="36">
        <v>0.16</v>
      </c>
    </row>
    <row r="3525" spans="1:3" x14ac:dyDescent="0.25">
      <c r="A3525" s="46" t="s">
        <v>4739</v>
      </c>
      <c r="B3525" s="35">
        <v>0.48812094330787598</v>
      </c>
      <c r="C3525" s="36">
        <v>0.21</v>
      </c>
    </row>
    <row r="3526" spans="1:3" x14ac:dyDescent="0.25">
      <c r="A3526" s="46" t="s">
        <v>4740</v>
      </c>
      <c r="B3526" s="35">
        <v>0.62639403343200595</v>
      </c>
      <c r="C3526" s="36">
        <v>0</v>
      </c>
    </row>
    <row r="3527" spans="1:3" x14ac:dyDescent="0.25">
      <c r="A3527" s="46" t="s">
        <v>4741</v>
      </c>
      <c r="B3527" s="35">
        <v>0.726984143257141</v>
      </c>
      <c r="C3527" s="36">
        <v>0.4</v>
      </c>
    </row>
    <row r="3528" spans="1:3" x14ac:dyDescent="0.25">
      <c r="A3528" s="46" t="s">
        <v>4742</v>
      </c>
      <c r="B3528" s="35">
        <v>0.93406593799590998</v>
      </c>
      <c r="C3528" s="36">
        <v>0.17</v>
      </c>
    </row>
    <row r="3529" spans="1:3" x14ac:dyDescent="0.25">
      <c r="A3529" s="46" t="s">
        <v>4743</v>
      </c>
      <c r="B3529" s="35">
        <v>0.60828024148940996</v>
      </c>
      <c r="C3529" s="36">
        <v>0.04</v>
      </c>
    </row>
    <row r="3530" spans="1:3" x14ac:dyDescent="0.25">
      <c r="A3530" s="46" t="s">
        <v>4744</v>
      </c>
      <c r="B3530" s="35">
        <v>0.45169714093208302</v>
      </c>
      <c r="C3530" s="36">
        <v>0.37</v>
      </c>
    </row>
    <row r="3531" spans="1:3" x14ac:dyDescent="0.25">
      <c r="A3531" s="46" t="s">
        <v>4745</v>
      </c>
      <c r="B3531" s="35">
        <v>0.69473683834075906</v>
      </c>
      <c r="C3531" s="36">
        <v>0.33</v>
      </c>
    </row>
    <row r="3532" spans="1:3" x14ac:dyDescent="0.25">
      <c r="A3532" s="46" t="s">
        <v>4746</v>
      </c>
      <c r="B3532" s="35">
        <v>0.43506494164466802</v>
      </c>
      <c r="C3532" s="36">
        <v>0.26</v>
      </c>
    </row>
    <row r="3533" spans="1:3" x14ac:dyDescent="0.25">
      <c r="A3533" s="46" t="s">
        <v>4747</v>
      </c>
      <c r="B3533" s="35">
        <v>0.46796658635139399</v>
      </c>
      <c r="C3533" s="36">
        <v>0.26</v>
      </c>
    </row>
    <row r="3534" spans="1:3" x14ac:dyDescent="0.25">
      <c r="A3534" s="46" t="s">
        <v>4748</v>
      </c>
      <c r="B3534" s="35">
        <v>0.54332131147384599</v>
      </c>
      <c r="C3534" s="36">
        <v>0.23</v>
      </c>
    </row>
    <row r="3535" spans="1:3" x14ac:dyDescent="0.25">
      <c r="A3535" s="46" t="s">
        <v>4749</v>
      </c>
      <c r="B3535" s="35">
        <v>0.46352940797805697</v>
      </c>
      <c r="C3535" s="36">
        <v>0.31</v>
      </c>
    </row>
    <row r="3536" spans="1:3" x14ac:dyDescent="0.25">
      <c r="A3536" s="46" t="s">
        <v>4750</v>
      </c>
      <c r="B3536" s="35">
        <v>0.55251139402389504</v>
      </c>
      <c r="C3536" s="36">
        <v>0.35</v>
      </c>
    </row>
    <row r="3537" spans="1:3" x14ac:dyDescent="0.25">
      <c r="A3537" s="46" t="s">
        <v>4751</v>
      </c>
      <c r="B3537" s="35">
        <v>0.47318610548973</v>
      </c>
      <c r="C3537" s="36">
        <v>0.15</v>
      </c>
    </row>
    <row r="3538" spans="1:3" x14ac:dyDescent="0.25">
      <c r="A3538" s="46" t="s">
        <v>4752</v>
      </c>
      <c r="B3538" s="35">
        <v>0.54128438234329201</v>
      </c>
      <c r="C3538" s="36">
        <v>0.27</v>
      </c>
    </row>
    <row r="3539" spans="1:3" x14ac:dyDescent="0.25">
      <c r="A3539" s="46" t="s">
        <v>4753</v>
      </c>
      <c r="B3539" s="35">
        <v>0.46190476417541498</v>
      </c>
      <c r="C3539" s="36">
        <v>0.1</v>
      </c>
    </row>
    <row r="3540" spans="1:3" x14ac:dyDescent="0.25">
      <c r="A3540" s="46" t="s">
        <v>4754</v>
      </c>
      <c r="B3540" s="35">
        <v>0.53406995534896795</v>
      </c>
      <c r="C3540" s="36">
        <v>0.24</v>
      </c>
    </row>
    <row r="3541" spans="1:3" x14ac:dyDescent="0.25">
      <c r="A3541" s="46" t="s">
        <v>4755</v>
      </c>
      <c r="B3541" s="35">
        <v>0.72000002861022905</v>
      </c>
      <c r="C3541" s="36">
        <v>0.17</v>
      </c>
    </row>
    <row r="3542" spans="1:3" x14ac:dyDescent="0.25">
      <c r="A3542" s="46" t="s">
        <v>4756</v>
      </c>
      <c r="B3542" s="35">
        <v>0.62170088291168202</v>
      </c>
      <c r="C3542" s="36">
        <v>0.12</v>
      </c>
    </row>
    <row r="3543" spans="1:3" x14ac:dyDescent="0.25">
      <c r="A3543" s="46" t="s">
        <v>4757</v>
      </c>
      <c r="B3543" s="35">
        <v>0.518968105316162</v>
      </c>
      <c r="C3543" s="36">
        <v>0.3</v>
      </c>
    </row>
    <row r="3544" spans="1:3" x14ac:dyDescent="0.25">
      <c r="A3544" s="46" t="s">
        <v>4758</v>
      </c>
      <c r="B3544" s="35">
        <v>0.48941799998283297</v>
      </c>
      <c r="C3544" s="36">
        <v>0.17</v>
      </c>
    </row>
    <row r="3545" spans="1:3" x14ac:dyDescent="0.25">
      <c r="A3545" s="46" t="s">
        <v>4759</v>
      </c>
      <c r="B3545" s="35">
        <v>0.43854749202728199</v>
      </c>
      <c r="C3545" s="36">
        <v>0.09</v>
      </c>
    </row>
    <row r="3546" spans="1:3" x14ac:dyDescent="0.25">
      <c r="A3546" s="46" t="s">
        <v>4760</v>
      </c>
      <c r="B3546" s="35">
        <v>0.52276557683944702</v>
      </c>
      <c r="C3546" s="36">
        <v>0.32</v>
      </c>
    </row>
    <row r="3547" spans="1:3" x14ac:dyDescent="0.25">
      <c r="A3547" s="46" t="s">
        <v>4761</v>
      </c>
      <c r="B3547" s="35">
        <v>0.49090909957885698</v>
      </c>
      <c r="C3547" s="36">
        <v>0.32</v>
      </c>
    </row>
    <row r="3548" spans="1:3" x14ac:dyDescent="0.25">
      <c r="A3548" s="46" t="s">
        <v>4762</v>
      </c>
      <c r="B3548" s="35">
        <v>0.53272730112075795</v>
      </c>
      <c r="C3548" s="36">
        <v>0.27</v>
      </c>
    </row>
    <row r="3549" spans="1:3" x14ac:dyDescent="0.25">
      <c r="A3549" s="46" t="s">
        <v>4763</v>
      </c>
      <c r="B3549" s="35">
        <v>0.45851528644561701</v>
      </c>
      <c r="C3549" s="36">
        <v>0.31</v>
      </c>
    </row>
    <row r="3550" spans="1:3" x14ac:dyDescent="0.25">
      <c r="A3550" s="46" t="s">
        <v>4764</v>
      </c>
      <c r="B3550" s="35">
        <v>0.567119181156158</v>
      </c>
      <c r="C3550" s="36">
        <v>0.21</v>
      </c>
    </row>
    <row r="3551" spans="1:3" x14ac:dyDescent="0.25">
      <c r="A3551" s="46" t="s">
        <v>4765</v>
      </c>
      <c r="B3551" s="35">
        <v>0.50759875774383501</v>
      </c>
      <c r="C3551" s="36">
        <v>0.32</v>
      </c>
    </row>
    <row r="3552" spans="1:3" x14ac:dyDescent="0.25">
      <c r="A3552" s="46" t="s">
        <v>4766</v>
      </c>
      <c r="B3552" s="35">
        <v>0.48398575186729398</v>
      </c>
      <c r="C3552" s="36">
        <v>0.16</v>
      </c>
    </row>
    <row r="3553" spans="1:3" x14ac:dyDescent="0.25">
      <c r="A3553" s="46" t="s">
        <v>4767</v>
      </c>
      <c r="B3553" s="35">
        <v>0.57264959812164296</v>
      </c>
      <c r="C3553" s="36">
        <v>0.42</v>
      </c>
    </row>
    <row r="3554" spans="1:3" x14ac:dyDescent="0.25">
      <c r="A3554" s="46" t="s">
        <v>4768</v>
      </c>
      <c r="B3554" s="35">
        <v>0.70114940404891901</v>
      </c>
      <c r="C3554" s="36">
        <v>0.2</v>
      </c>
    </row>
    <row r="3555" spans="1:3" x14ac:dyDescent="0.25">
      <c r="A3555" s="46" t="s">
        <v>4769</v>
      </c>
      <c r="B3555" s="35">
        <v>0.62831860780715898</v>
      </c>
      <c r="C3555" s="36">
        <v>0.08</v>
      </c>
    </row>
    <row r="3556" spans="1:3" x14ac:dyDescent="0.25">
      <c r="A3556" s="46" t="s">
        <v>4770</v>
      </c>
      <c r="B3556" s="35">
        <v>0.57668709754943803</v>
      </c>
      <c r="C3556" s="36">
        <v>0</v>
      </c>
    </row>
    <row r="3557" spans="1:3" x14ac:dyDescent="0.25">
      <c r="A3557" s="46" t="s">
        <v>4771</v>
      </c>
      <c r="B3557" s="35">
        <v>0.37992125749588002</v>
      </c>
      <c r="C3557" s="36">
        <v>0.09</v>
      </c>
    </row>
    <row r="3558" spans="1:3" x14ac:dyDescent="0.25">
      <c r="A3558" s="46" t="s">
        <v>4772</v>
      </c>
      <c r="B3558" s="35">
        <v>0.81132078170776301</v>
      </c>
      <c r="C3558" s="36">
        <v>0.14000000000000001</v>
      </c>
    </row>
    <row r="3559" spans="1:3" x14ac:dyDescent="0.25">
      <c r="A3559" s="46" t="s">
        <v>4773</v>
      </c>
      <c r="B3559" s="35">
        <v>0.69213229417800903</v>
      </c>
      <c r="C3559" s="36">
        <v>0.38</v>
      </c>
    </row>
    <row r="3560" spans="1:3" x14ac:dyDescent="0.25">
      <c r="A3560" s="46" t="s">
        <v>4774</v>
      </c>
      <c r="B3560" s="35">
        <v>0.58144330978393499</v>
      </c>
      <c r="C3560" s="36">
        <v>0.33</v>
      </c>
    </row>
    <row r="3561" spans="1:3" x14ac:dyDescent="0.25">
      <c r="A3561" s="46" t="s">
        <v>4775</v>
      </c>
      <c r="B3561" s="35">
        <v>0.39811322093009899</v>
      </c>
      <c r="C3561" s="36">
        <v>0.15</v>
      </c>
    </row>
    <row r="3562" spans="1:3" x14ac:dyDescent="0.25">
      <c r="A3562" s="46" t="s">
        <v>4776</v>
      </c>
      <c r="B3562" s="35">
        <v>0.41923075914382901</v>
      </c>
      <c r="C3562" s="36">
        <v>0.16</v>
      </c>
    </row>
    <row r="3563" spans="1:3" x14ac:dyDescent="0.25">
      <c r="A3563" s="46" t="s">
        <v>4777</v>
      </c>
      <c r="B3563" s="35">
        <v>0.54499149322509699</v>
      </c>
      <c r="C3563" s="36">
        <v>0.18</v>
      </c>
    </row>
    <row r="3564" spans="1:3" x14ac:dyDescent="0.25">
      <c r="A3564" s="46" t="s">
        <v>4778</v>
      </c>
      <c r="B3564" s="35">
        <v>0.58202248811721802</v>
      </c>
      <c r="C3564" s="36">
        <v>0.05</v>
      </c>
    </row>
    <row r="3565" spans="1:3" x14ac:dyDescent="0.25">
      <c r="A3565" s="46" t="s">
        <v>4779</v>
      </c>
      <c r="B3565" s="35">
        <v>0.63728815317153897</v>
      </c>
      <c r="C3565" s="36">
        <v>0.24</v>
      </c>
    </row>
    <row r="3566" spans="1:3" x14ac:dyDescent="0.25">
      <c r="A3566" s="46" t="s">
        <v>4780</v>
      </c>
      <c r="B3566" s="35">
        <v>0.55993431806564298</v>
      </c>
      <c r="C3566" s="36">
        <v>0.16</v>
      </c>
    </row>
    <row r="3567" spans="1:3" x14ac:dyDescent="0.25">
      <c r="A3567" s="46" t="s">
        <v>4781</v>
      </c>
      <c r="B3567" s="35">
        <v>0.60165977478027299</v>
      </c>
      <c r="C3567" s="36">
        <v>0.04</v>
      </c>
    </row>
    <row r="3568" spans="1:3" x14ac:dyDescent="0.25">
      <c r="A3568" s="46" t="s">
        <v>4782</v>
      </c>
      <c r="B3568" s="35">
        <v>0.64556962251663197</v>
      </c>
      <c r="C3568" s="36">
        <v>0.28999999999999998</v>
      </c>
    </row>
    <row r="3569" spans="1:3" x14ac:dyDescent="0.25">
      <c r="A3569" s="46" t="s">
        <v>4783</v>
      </c>
      <c r="B3569" s="35">
        <v>0.473317861557006</v>
      </c>
      <c r="C3569" s="36">
        <v>0.05</v>
      </c>
    </row>
    <row r="3570" spans="1:3" x14ac:dyDescent="0.25">
      <c r="A3570" s="46" t="s">
        <v>4784</v>
      </c>
      <c r="B3570" s="35">
        <v>0.75294119119644098</v>
      </c>
      <c r="C3570" s="36">
        <v>0.33</v>
      </c>
    </row>
    <row r="3571" spans="1:3" x14ac:dyDescent="0.25">
      <c r="A3571" s="46" t="s">
        <v>4785</v>
      </c>
      <c r="B3571" s="35">
        <v>0.66172838211059504</v>
      </c>
      <c r="C3571" s="36">
        <v>0.28000000000000003</v>
      </c>
    </row>
    <row r="3572" spans="1:3" x14ac:dyDescent="0.25">
      <c r="A3572" s="46" t="s">
        <v>4786</v>
      </c>
      <c r="B3572" s="35">
        <v>0.75650119781494096</v>
      </c>
      <c r="C3572" s="36">
        <v>0.4</v>
      </c>
    </row>
    <row r="3573" spans="1:3" x14ac:dyDescent="0.25">
      <c r="A3573" s="46" t="s">
        <v>4787</v>
      </c>
      <c r="B3573" s="35">
        <v>0.89952152967453003</v>
      </c>
      <c r="C3573" s="36">
        <v>0.19</v>
      </c>
    </row>
    <row r="3574" spans="1:3" x14ac:dyDescent="0.25">
      <c r="A3574" s="46" t="s">
        <v>4788</v>
      </c>
      <c r="B3574" s="35">
        <v>0.54603177309036199</v>
      </c>
      <c r="C3574" s="36">
        <v>7.0000000000000007E-2</v>
      </c>
    </row>
    <row r="3575" spans="1:3" x14ac:dyDescent="0.25">
      <c r="A3575" s="46" t="s">
        <v>4789</v>
      </c>
      <c r="B3575" s="35">
        <v>0.681102335453033</v>
      </c>
      <c r="C3575" s="36">
        <v>0.41</v>
      </c>
    </row>
    <row r="3576" spans="1:3" x14ac:dyDescent="0.25">
      <c r="A3576" s="46" t="s">
        <v>4790</v>
      </c>
      <c r="B3576" s="35">
        <v>0.30322581529617298</v>
      </c>
      <c r="C3576" s="36">
        <v>0.42</v>
      </c>
    </row>
    <row r="3577" spans="1:3" x14ac:dyDescent="0.25">
      <c r="A3577" s="46" t="s">
        <v>4791</v>
      </c>
      <c r="B3577" s="35">
        <v>0.46621620655059798</v>
      </c>
      <c r="C3577" s="36">
        <v>0.71</v>
      </c>
    </row>
    <row r="3578" spans="1:3" x14ac:dyDescent="0.25">
      <c r="A3578" s="46" t="s">
        <v>4792</v>
      </c>
      <c r="B3578" s="35">
        <v>0.53488373756408603</v>
      </c>
      <c r="C3578" s="36">
        <v>0.53</v>
      </c>
    </row>
  </sheetData>
  <mergeCells count="1">
    <mergeCell ref="A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096BE-056A-47EB-AB9D-C0410834C237}">
  <dimension ref="A1:K176"/>
  <sheetViews>
    <sheetView zoomScale="130" zoomScaleNormal="130" workbookViewId="0">
      <selection activeCell="I5" sqref="I5"/>
    </sheetView>
  </sheetViews>
  <sheetFormatPr defaultRowHeight="15" x14ac:dyDescent="0.25"/>
  <cols>
    <col min="1" max="1" width="17" style="1" customWidth="1"/>
    <col min="2" max="2" width="15.42578125" style="1" customWidth="1"/>
    <col min="3" max="3" width="15.140625" style="1" customWidth="1"/>
    <col min="4" max="4" width="22.42578125" style="2" customWidth="1"/>
    <col min="5" max="5" width="12.42578125" style="2" bestFit="1" customWidth="1"/>
    <col min="6" max="9" width="15.140625" style="2" customWidth="1"/>
    <col min="10" max="10" width="9.140625" style="1"/>
    <col min="11" max="11" width="9.140625" style="32"/>
    <col min="12" max="16384" width="9.140625" style="1"/>
  </cols>
  <sheetData>
    <row r="1" spans="1:9" x14ac:dyDescent="0.25">
      <c r="A1" s="1" t="s">
        <v>1279</v>
      </c>
    </row>
    <row r="2" spans="1:9" ht="45" x14ac:dyDescent="0.25">
      <c r="A2" s="33" t="s">
        <v>926</v>
      </c>
      <c r="B2" s="33" t="s">
        <v>1</v>
      </c>
      <c r="C2" s="33" t="s">
        <v>2</v>
      </c>
      <c r="D2" s="14" t="s">
        <v>927</v>
      </c>
      <c r="E2" s="14" t="s">
        <v>928</v>
      </c>
      <c r="F2" s="14" t="s">
        <v>6</v>
      </c>
      <c r="G2" s="14" t="s">
        <v>929</v>
      </c>
      <c r="H2" s="14" t="s">
        <v>930</v>
      </c>
      <c r="I2" s="14" t="s">
        <v>931</v>
      </c>
    </row>
    <row r="3" spans="1:9" x14ac:dyDescent="0.25">
      <c r="A3" s="1" t="s">
        <v>932</v>
      </c>
      <c r="B3" s="1" t="s">
        <v>33</v>
      </c>
      <c r="C3" s="1" t="s">
        <v>933</v>
      </c>
      <c r="D3" s="2" t="s">
        <v>3</v>
      </c>
      <c r="E3" s="8">
        <v>0.86</v>
      </c>
      <c r="F3" s="8">
        <v>0.55381166934966997</v>
      </c>
      <c r="G3" s="8">
        <v>0.62660944461822499</v>
      </c>
      <c r="H3" s="8">
        <v>0.60038238763809204</v>
      </c>
      <c r="I3" s="8">
        <v>0.38</v>
      </c>
    </row>
    <row r="4" spans="1:9" x14ac:dyDescent="0.25">
      <c r="A4" s="1" t="s">
        <v>934</v>
      </c>
      <c r="B4" s="1" t="s">
        <v>34</v>
      </c>
      <c r="C4" s="1" t="s">
        <v>935</v>
      </c>
      <c r="D4" s="2" t="s">
        <v>3</v>
      </c>
      <c r="E4" s="8">
        <v>0.87</v>
      </c>
      <c r="F4" s="8">
        <v>0.62373739480972201</v>
      </c>
      <c r="G4" s="8">
        <v>0.77880185842514005</v>
      </c>
      <c r="H4" s="8">
        <v>0.88452088832855202</v>
      </c>
      <c r="I4" s="8">
        <v>0.56999999999999995</v>
      </c>
    </row>
    <row r="5" spans="1:9" x14ac:dyDescent="0.25">
      <c r="A5" s="1" t="s">
        <v>936</v>
      </c>
      <c r="B5" s="1" t="s">
        <v>35</v>
      </c>
      <c r="C5" s="1" t="s">
        <v>937</v>
      </c>
      <c r="D5" s="2" t="s">
        <v>3</v>
      </c>
      <c r="E5" s="8">
        <v>0.9</v>
      </c>
      <c r="F5" s="8">
        <v>0.62952643632888705</v>
      </c>
      <c r="G5" s="8">
        <v>0.67216980457305897</v>
      </c>
      <c r="H5" s="8">
        <v>0.86458331346511796</v>
      </c>
      <c r="I5" s="8">
        <v>0.57999999999999996</v>
      </c>
    </row>
    <row r="6" spans="1:9" x14ac:dyDescent="0.25">
      <c r="A6" s="1" t="s">
        <v>938</v>
      </c>
      <c r="B6" s="1" t="s">
        <v>36</v>
      </c>
      <c r="C6" s="1" t="s">
        <v>939</v>
      </c>
      <c r="D6" s="2" t="s">
        <v>3</v>
      </c>
      <c r="E6" s="8">
        <v>0.92</v>
      </c>
      <c r="F6" s="8">
        <v>0.66219836473464899</v>
      </c>
      <c r="G6" s="8">
        <v>0.69626170396804798</v>
      </c>
      <c r="H6" s="8">
        <v>0.86778843402862504</v>
      </c>
      <c r="I6" s="8">
        <v>0.45</v>
      </c>
    </row>
    <row r="7" spans="1:9" x14ac:dyDescent="0.25">
      <c r="A7" s="1" t="s">
        <v>940</v>
      </c>
      <c r="B7" s="1" t="s">
        <v>37</v>
      </c>
      <c r="C7" s="1" t="s">
        <v>941</v>
      </c>
      <c r="D7" s="2" t="s">
        <v>3</v>
      </c>
      <c r="E7" s="8">
        <v>0.92</v>
      </c>
      <c r="F7" s="8">
        <v>0.61876833438873202</v>
      </c>
      <c r="G7" s="8">
        <v>0.44262295961379999</v>
      </c>
      <c r="H7" s="8">
        <v>0.91899442672729403</v>
      </c>
      <c r="I7" s="8">
        <v>0.4</v>
      </c>
    </row>
    <row r="8" spans="1:9" x14ac:dyDescent="0.25">
      <c r="A8" s="1" t="s">
        <v>942</v>
      </c>
      <c r="B8" s="1" t="s">
        <v>38</v>
      </c>
      <c r="C8" s="1" t="s">
        <v>943</v>
      </c>
      <c r="D8" s="2" t="s">
        <v>3</v>
      </c>
      <c r="E8" s="8">
        <v>0.88</v>
      </c>
      <c r="F8" s="8">
        <v>0.64829397201537997</v>
      </c>
      <c r="G8" s="8">
        <v>0.73226547241210904</v>
      </c>
      <c r="H8" s="8">
        <v>0.90862941741943304</v>
      </c>
      <c r="I8" s="8">
        <v>0.59</v>
      </c>
    </row>
    <row r="9" spans="1:9" x14ac:dyDescent="0.25">
      <c r="A9" s="1" t="s">
        <v>944</v>
      </c>
      <c r="B9" s="1" t="s">
        <v>39</v>
      </c>
      <c r="C9" s="1" t="s">
        <v>945</v>
      </c>
      <c r="D9" s="2" t="s">
        <v>3</v>
      </c>
      <c r="E9" s="8">
        <v>0.89</v>
      </c>
      <c r="F9" s="8">
        <v>0.61876833438873202</v>
      </c>
      <c r="G9" s="8">
        <v>0.37392795085906899</v>
      </c>
      <c r="H9" s="8">
        <v>0.68328446149826005</v>
      </c>
      <c r="I9" s="8">
        <v>0.31</v>
      </c>
    </row>
    <row r="10" spans="1:9" x14ac:dyDescent="0.25">
      <c r="A10" s="1" t="s">
        <v>946</v>
      </c>
      <c r="B10" s="1" t="s">
        <v>40</v>
      </c>
      <c r="C10" s="1" t="s">
        <v>947</v>
      </c>
      <c r="D10" s="2" t="s">
        <v>3</v>
      </c>
      <c r="E10" s="8">
        <v>0.93</v>
      </c>
      <c r="F10" s="8">
        <v>0.66397851705551103</v>
      </c>
      <c r="G10" s="8">
        <v>0.67824071645736606</v>
      </c>
      <c r="H10" s="8">
        <v>0.86987954378127996</v>
      </c>
      <c r="I10" s="8">
        <v>0.38</v>
      </c>
    </row>
    <row r="11" spans="1:9" x14ac:dyDescent="0.25">
      <c r="A11" s="1" t="s">
        <v>948</v>
      </c>
      <c r="B11" s="1" t="s">
        <v>41</v>
      </c>
      <c r="C11" s="1" t="s">
        <v>949</v>
      </c>
      <c r="D11" s="2" t="s">
        <v>3</v>
      </c>
      <c r="E11" s="8">
        <v>0.88</v>
      </c>
      <c r="F11" s="8">
        <v>0.59745764732360795</v>
      </c>
      <c r="G11" s="8">
        <v>0.54825460910797097</v>
      </c>
      <c r="H11" s="8">
        <v>0.75353533029556197</v>
      </c>
      <c r="I11" s="8">
        <v>0.39</v>
      </c>
    </row>
    <row r="12" spans="1:9" x14ac:dyDescent="0.25">
      <c r="A12" s="1" t="s">
        <v>950</v>
      </c>
      <c r="B12" s="1" t="s">
        <v>42</v>
      </c>
      <c r="C12" s="1" t="s">
        <v>951</v>
      </c>
      <c r="D12" s="2" t="s">
        <v>3</v>
      </c>
      <c r="E12" s="8">
        <v>0.93</v>
      </c>
      <c r="F12" s="8">
        <v>0.57336956262588501</v>
      </c>
      <c r="G12" s="8">
        <v>0.41886791586875899</v>
      </c>
      <c r="H12" s="8">
        <v>0.93121695518493597</v>
      </c>
      <c r="I12" s="8">
        <v>0.42</v>
      </c>
    </row>
    <row r="13" spans="1:9" x14ac:dyDescent="0.25">
      <c r="A13" s="1" t="s">
        <v>952</v>
      </c>
      <c r="B13" s="1" t="s">
        <v>43</v>
      </c>
      <c r="C13" s="1" t="s">
        <v>953</v>
      </c>
      <c r="D13" s="2" t="s">
        <v>3</v>
      </c>
      <c r="E13" s="8">
        <v>0.86</v>
      </c>
      <c r="F13" s="8">
        <v>0.56460672616958596</v>
      </c>
      <c r="G13" s="8">
        <v>0.454736828804016</v>
      </c>
      <c r="H13" s="8">
        <v>0.738461554050445</v>
      </c>
      <c r="I13" s="8">
        <v>0.57999999999999996</v>
      </c>
    </row>
    <row r="14" spans="1:9" x14ac:dyDescent="0.25">
      <c r="A14" s="1" t="s">
        <v>954</v>
      </c>
      <c r="B14" s="1" t="s">
        <v>44</v>
      </c>
      <c r="C14" s="1" t="s">
        <v>955</v>
      </c>
      <c r="D14" s="2" t="s">
        <v>3</v>
      </c>
      <c r="E14" s="8">
        <v>0.92</v>
      </c>
      <c r="F14" s="8">
        <v>0.66937667131423895</v>
      </c>
      <c r="G14" s="8">
        <v>0.68298369646072299</v>
      </c>
      <c r="H14" s="8">
        <v>0.87621361017227095</v>
      </c>
      <c r="I14" s="8">
        <v>0.45</v>
      </c>
    </row>
    <row r="15" spans="1:9" x14ac:dyDescent="0.25">
      <c r="A15" s="1" t="s">
        <v>956</v>
      </c>
      <c r="B15" s="1" t="s">
        <v>45</v>
      </c>
      <c r="C15" s="1" t="s">
        <v>957</v>
      </c>
      <c r="D15" s="2" t="s">
        <v>3</v>
      </c>
      <c r="E15" s="8">
        <v>0.87</v>
      </c>
      <c r="F15" s="8">
        <v>0.410468310117721</v>
      </c>
      <c r="G15" s="8">
        <v>0.44470587372779802</v>
      </c>
      <c r="H15" s="8">
        <v>0.849673211574554</v>
      </c>
      <c r="I15" s="8">
        <v>0.28999999999999998</v>
      </c>
    </row>
    <row r="16" spans="1:9" x14ac:dyDescent="0.25">
      <c r="A16" s="1" t="s">
        <v>958</v>
      </c>
      <c r="B16" s="1" t="s">
        <v>46</v>
      </c>
      <c r="C16" s="1" t="s">
        <v>959</v>
      </c>
      <c r="D16" s="2" t="s">
        <v>3</v>
      </c>
      <c r="E16" s="8">
        <v>0.89</v>
      </c>
      <c r="F16" s="8">
        <v>0.54893618822097701</v>
      </c>
      <c r="G16" s="8">
        <v>0.54564756155014005</v>
      </c>
      <c r="H16" s="8">
        <v>0.78624075651168801</v>
      </c>
      <c r="I16" s="8">
        <v>0.44</v>
      </c>
    </row>
    <row r="17" spans="1:9" x14ac:dyDescent="0.25">
      <c r="A17" s="1" t="s">
        <v>960</v>
      </c>
      <c r="B17" s="1" t="s">
        <v>47</v>
      </c>
      <c r="C17" s="1" t="s">
        <v>961</v>
      </c>
      <c r="D17" s="2" t="s">
        <v>3</v>
      </c>
      <c r="E17" s="8">
        <v>0.86</v>
      </c>
      <c r="F17" s="8">
        <v>0.54098361730575495</v>
      </c>
      <c r="G17" s="8">
        <v>0.50874829292297297</v>
      </c>
      <c r="H17" s="8">
        <v>0.84778761863708496</v>
      </c>
      <c r="I17" s="8">
        <v>0.37</v>
      </c>
    </row>
    <row r="18" spans="1:9" x14ac:dyDescent="0.25">
      <c r="A18" s="1" t="s">
        <v>962</v>
      </c>
      <c r="B18" s="1" t="s">
        <v>48</v>
      </c>
      <c r="C18" s="1" t="s">
        <v>963</v>
      </c>
      <c r="D18" s="2" t="s">
        <v>3</v>
      </c>
      <c r="E18" s="8">
        <v>0.87</v>
      </c>
      <c r="F18" s="8">
        <v>0.58854168653488104</v>
      </c>
      <c r="G18" s="8">
        <v>0.84886652231216397</v>
      </c>
      <c r="H18" s="8">
        <v>0.68027210235595703</v>
      </c>
      <c r="I18" s="8">
        <v>0.56999999999999995</v>
      </c>
    </row>
    <row r="19" spans="1:9" x14ac:dyDescent="0.25">
      <c r="A19" s="1" t="s">
        <v>964</v>
      </c>
      <c r="B19" s="1" t="s">
        <v>49</v>
      </c>
      <c r="C19" s="1" t="s">
        <v>965</v>
      </c>
      <c r="D19" s="2" t="s">
        <v>3</v>
      </c>
      <c r="E19" s="8">
        <v>0.88</v>
      </c>
      <c r="F19" s="8">
        <v>0.53937947750091497</v>
      </c>
      <c r="G19" s="8">
        <v>0.57330417633056596</v>
      </c>
      <c r="H19" s="8">
        <v>0.89261746406555098</v>
      </c>
      <c r="I19" s="8">
        <v>0.42</v>
      </c>
    </row>
    <row r="20" spans="1:9" x14ac:dyDescent="0.25">
      <c r="A20" s="1" t="s">
        <v>966</v>
      </c>
      <c r="B20" s="1" t="s">
        <v>50</v>
      </c>
      <c r="C20" s="1" t="s">
        <v>967</v>
      </c>
      <c r="D20" s="2" t="s">
        <v>3</v>
      </c>
      <c r="E20" s="8">
        <v>0.91</v>
      </c>
      <c r="F20" s="8">
        <v>0.65937501192092896</v>
      </c>
      <c r="G20" s="8">
        <v>0.51219511032104403</v>
      </c>
      <c r="H20" s="8">
        <v>0.87272727489471402</v>
      </c>
      <c r="I20" s="8">
        <v>0.52</v>
      </c>
    </row>
    <row r="21" spans="1:9" x14ac:dyDescent="0.25">
      <c r="A21" s="1" t="s">
        <v>968</v>
      </c>
      <c r="B21" s="1" t="s">
        <v>51</v>
      </c>
      <c r="C21" s="1" t="s">
        <v>969</v>
      </c>
      <c r="D21" s="2" t="s">
        <v>3</v>
      </c>
      <c r="E21" s="8">
        <v>0.92</v>
      </c>
      <c r="F21" s="8">
        <v>0.60113960504531805</v>
      </c>
      <c r="G21" s="8">
        <v>0.58219176530838002</v>
      </c>
      <c r="H21" s="8">
        <v>0.84249997138976995</v>
      </c>
      <c r="I21" s="8">
        <v>0.5</v>
      </c>
    </row>
    <row r="22" spans="1:9" x14ac:dyDescent="0.25">
      <c r="A22" s="1" t="s">
        <v>970</v>
      </c>
      <c r="B22" s="1" t="s">
        <v>52</v>
      </c>
      <c r="C22" s="1" t="s">
        <v>971</v>
      </c>
      <c r="D22" s="2" t="s">
        <v>3</v>
      </c>
      <c r="E22" s="8">
        <v>0.86</v>
      </c>
      <c r="F22" s="8">
        <v>0.60052907466888406</v>
      </c>
      <c r="G22" s="8">
        <v>0.64285713434219305</v>
      </c>
      <c r="H22" s="8">
        <v>0.53658539056777899</v>
      </c>
      <c r="I22" s="8">
        <v>0.38</v>
      </c>
    </row>
    <row r="23" spans="1:9" x14ac:dyDescent="0.25">
      <c r="A23" s="1" t="s">
        <v>972</v>
      </c>
      <c r="B23" s="1" t="s">
        <v>54</v>
      </c>
      <c r="C23" s="1" t="s">
        <v>973</v>
      </c>
      <c r="D23" s="2" t="s">
        <v>3</v>
      </c>
      <c r="E23" s="8">
        <v>0.89</v>
      </c>
      <c r="F23" s="8">
        <v>0.60427808761596602</v>
      </c>
      <c r="G23" s="8">
        <v>0.74340528249740601</v>
      </c>
      <c r="H23" s="8">
        <v>0.76623374223709095</v>
      </c>
      <c r="I23" s="8">
        <v>0.38</v>
      </c>
    </row>
    <row r="24" spans="1:9" x14ac:dyDescent="0.25">
      <c r="A24" s="1" t="s">
        <v>974</v>
      </c>
      <c r="B24" s="1" t="s">
        <v>55</v>
      </c>
      <c r="C24" s="1" t="s">
        <v>975</v>
      </c>
      <c r="D24" s="2" t="s">
        <v>3</v>
      </c>
      <c r="E24" s="8">
        <v>0.91</v>
      </c>
      <c r="F24" s="8">
        <v>0.51842749118804898</v>
      </c>
      <c r="G24" s="8">
        <v>0.511111140251159</v>
      </c>
      <c r="H24" s="8">
        <v>0.68257755041122403</v>
      </c>
      <c r="I24" s="8">
        <v>0.32</v>
      </c>
    </row>
    <row r="25" spans="1:9" x14ac:dyDescent="0.25">
      <c r="A25" s="1" t="s">
        <v>976</v>
      </c>
      <c r="B25" s="1" t="s">
        <v>56</v>
      </c>
      <c r="C25" s="1" t="s">
        <v>977</v>
      </c>
      <c r="D25" s="2" t="s">
        <v>3</v>
      </c>
      <c r="E25" s="8">
        <v>0.86</v>
      </c>
      <c r="F25" s="8">
        <v>0.54521965980529696</v>
      </c>
      <c r="G25" s="8">
        <v>0.510204076766967</v>
      </c>
      <c r="H25" s="8">
        <v>0.71249997615814198</v>
      </c>
      <c r="I25" s="8">
        <v>0.36</v>
      </c>
    </row>
    <row r="26" spans="1:9" x14ac:dyDescent="0.25">
      <c r="A26" s="1" t="s">
        <v>978</v>
      </c>
      <c r="B26" s="1" t="s">
        <v>57</v>
      </c>
      <c r="C26" s="1" t="s">
        <v>979</v>
      </c>
      <c r="D26" s="2" t="s">
        <v>3</v>
      </c>
      <c r="E26" s="8">
        <v>0.89</v>
      </c>
      <c r="F26" s="8">
        <v>0.61988306045532204</v>
      </c>
      <c r="G26" s="8">
        <v>0.5703125</v>
      </c>
      <c r="H26" s="8">
        <v>0.94555872678756703</v>
      </c>
      <c r="I26" s="8">
        <v>0.56999999999999995</v>
      </c>
    </row>
    <row r="27" spans="1:9" x14ac:dyDescent="0.25">
      <c r="A27" s="1" t="s">
        <v>980</v>
      </c>
      <c r="B27" s="1" t="s">
        <v>58</v>
      </c>
      <c r="C27" s="1" t="s">
        <v>981</v>
      </c>
      <c r="D27" s="2" t="s">
        <v>3</v>
      </c>
      <c r="E27" s="8">
        <v>0.86</v>
      </c>
      <c r="F27" s="8">
        <v>0.59946948289871205</v>
      </c>
      <c r="G27" s="8">
        <v>0.64705884456634499</v>
      </c>
      <c r="H27" s="8">
        <v>0.53048777580261197</v>
      </c>
      <c r="I27" s="8">
        <v>0.26</v>
      </c>
    </row>
    <row r="28" spans="1:9" x14ac:dyDescent="0.25">
      <c r="A28" s="1" t="s">
        <v>982</v>
      </c>
      <c r="C28" s="1" t="s">
        <v>983</v>
      </c>
      <c r="D28" s="2" t="s">
        <v>4</v>
      </c>
      <c r="E28" s="8">
        <v>0.98</v>
      </c>
      <c r="F28" s="8">
        <v>0.59103643894195501</v>
      </c>
      <c r="G28" s="8">
        <v>0.57078653573989802</v>
      </c>
      <c r="H28" s="8">
        <v>0.81219512224197299</v>
      </c>
      <c r="I28" s="8">
        <v>0.48</v>
      </c>
    </row>
    <row r="29" spans="1:9" x14ac:dyDescent="0.25">
      <c r="A29" s="1" t="s">
        <v>984</v>
      </c>
      <c r="C29" s="1" t="s">
        <v>985</v>
      </c>
      <c r="D29" s="2" t="s">
        <v>4</v>
      </c>
      <c r="E29" s="8">
        <v>0.97</v>
      </c>
      <c r="F29" s="8">
        <v>0.57336956262588501</v>
      </c>
      <c r="G29" s="8">
        <v>0.46569645404815602</v>
      </c>
      <c r="H29" s="8">
        <v>0.903999984264373</v>
      </c>
      <c r="I29" s="8">
        <v>0.52</v>
      </c>
    </row>
    <row r="30" spans="1:9" x14ac:dyDescent="0.25">
      <c r="A30" s="1" t="s">
        <v>986</v>
      </c>
      <c r="C30" s="1" t="s">
        <v>987</v>
      </c>
      <c r="D30" s="2" t="s">
        <v>4</v>
      </c>
      <c r="E30" s="8">
        <v>0.88</v>
      </c>
      <c r="F30" s="8">
        <v>0.68611109256744296</v>
      </c>
      <c r="G30" s="8">
        <v>0.76076555252075195</v>
      </c>
      <c r="H30" s="8">
        <v>0.91556727886199896</v>
      </c>
      <c r="I30" s="8">
        <v>0.59</v>
      </c>
    </row>
    <row r="31" spans="1:9" x14ac:dyDescent="0.25">
      <c r="A31" s="1" t="s">
        <v>988</v>
      </c>
      <c r="C31" s="1" t="s">
        <v>989</v>
      </c>
      <c r="D31" s="2" t="s">
        <v>4</v>
      </c>
      <c r="E31" s="8">
        <v>0.96</v>
      </c>
      <c r="F31" s="8">
        <v>0.61442786455154397</v>
      </c>
      <c r="G31" s="8">
        <v>0.69868993759155196</v>
      </c>
      <c r="H31" s="8">
        <v>0.90995258092880205</v>
      </c>
      <c r="I31" s="8">
        <v>0.38</v>
      </c>
    </row>
    <row r="32" spans="1:9" x14ac:dyDescent="0.25">
      <c r="A32" s="1" t="s">
        <v>990</v>
      </c>
      <c r="C32" s="1" t="s">
        <v>991</v>
      </c>
      <c r="D32" s="2" t="s">
        <v>4</v>
      </c>
      <c r="E32" s="8">
        <v>0.96</v>
      </c>
      <c r="F32" s="8">
        <v>0.56117022037506104</v>
      </c>
      <c r="G32" s="8">
        <v>0.55411255359649603</v>
      </c>
      <c r="H32" s="8">
        <v>0.79294115304946899</v>
      </c>
      <c r="I32" s="8">
        <v>0.44</v>
      </c>
    </row>
    <row r="33" spans="1:9" x14ac:dyDescent="0.25">
      <c r="A33" s="1" t="s">
        <v>992</v>
      </c>
      <c r="C33" s="1" t="s">
        <v>993</v>
      </c>
      <c r="D33" s="2" t="s">
        <v>4</v>
      </c>
      <c r="E33" s="8">
        <v>0.96</v>
      </c>
      <c r="F33" s="8">
        <v>0.69326680898666304</v>
      </c>
      <c r="G33" s="8">
        <v>0.70857143402099598</v>
      </c>
      <c r="H33" s="8">
        <v>0.53315651416778498</v>
      </c>
      <c r="I33" s="8">
        <v>0.13</v>
      </c>
    </row>
    <row r="34" spans="1:9" x14ac:dyDescent="0.25">
      <c r="A34" s="1" t="s">
        <v>994</v>
      </c>
      <c r="C34" s="1" t="s">
        <v>995</v>
      </c>
      <c r="D34" s="2" t="s">
        <v>4</v>
      </c>
      <c r="E34" s="8">
        <v>0.96</v>
      </c>
      <c r="F34" s="8">
        <v>0.64975845813751198</v>
      </c>
      <c r="G34" s="8">
        <v>0.644314885139465</v>
      </c>
      <c r="H34" s="8">
        <v>0.50276243686676003</v>
      </c>
      <c r="I34" s="8">
        <v>0.17</v>
      </c>
    </row>
    <row r="35" spans="1:9" x14ac:dyDescent="0.25">
      <c r="A35" s="1" t="s">
        <v>996</v>
      </c>
      <c r="C35" s="1" t="s">
        <v>997</v>
      </c>
      <c r="D35" s="2" t="s">
        <v>4</v>
      </c>
      <c r="E35" s="8">
        <v>0.96</v>
      </c>
      <c r="F35" s="8">
        <v>0.64975845813751198</v>
      </c>
      <c r="G35" s="8">
        <v>0.644314885139465</v>
      </c>
      <c r="H35" s="8">
        <v>0.50276243686676003</v>
      </c>
      <c r="I35" s="8">
        <v>0.17</v>
      </c>
    </row>
    <row r="36" spans="1:9" x14ac:dyDescent="0.25">
      <c r="A36" s="1" t="s">
        <v>998</v>
      </c>
      <c r="C36" s="1" t="s">
        <v>999</v>
      </c>
      <c r="D36" s="2" t="s">
        <v>4</v>
      </c>
      <c r="E36" s="8">
        <v>0.95</v>
      </c>
      <c r="F36" s="8">
        <v>0.64975845813751198</v>
      </c>
      <c r="G36" s="8">
        <v>0.644314885139465</v>
      </c>
      <c r="H36" s="8">
        <v>0.50276243686676003</v>
      </c>
      <c r="I36" s="8">
        <v>0.15</v>
      </c>
    </row>
    <row r="37" spans="1:9" x14ac:dyDescent="0.25">
      <c r="A37" s="1" t="s">
        <v>1000</v>
      </c>
      <c r="C37" s="1" t="s">
        <v>1001</v>
      </c>
      <c r="D37" s="2" t="s">
        <v>4</v>
      </c>
      <c r="E37" s="8">
        <v>0.95</v>
      </c>
      <c r="F37" s="8">
        <v>0.64975845813751198</v>
      </c>
      <c r="G37" s="8">
        <v>0.644314885139465</v>
      </c>
      <c r="H37" s="8">
        <v>0.50276243686676003</v>
      </c>
      <c r="I37" s="8">
        <v>0.16</v>
      </c>
    </row>
    <row r="38" spans="1:9" x14ac:dyDescent="0.25">
      <c r="A38" s="1" t="s">
        <v>1002</v>
      </c>
      <c r="C38" s="1" t="s">
        <v>1003</v>
      </c>
      <c r="D38" s="2" t="s">
        <v>4</v>
      </c>
      <c r="E38" s="8">
        <v>0.94</v>
      </c>
      <c r="F38" s="8">
        <v>0.53282827138900701</v>
      </c>
      <c r="G38" s="8">
        <v>0.43042671680450401</v>
      </c>
      <c r="H38" s="8">
        <v>0.89027428627014105</v>
      </c>
      <c r="I38" s="8">
        <v>0.38</v>
      </c>
    </row>
    <row r="39" spans="1:9" x14ac:dyDescent="0.25">
      <c r="A39" s="1" t="s">
        <v>1004</v>
      </c>
      <c r="C39" s="1" t="s">
        <v>1005</v>
      </c>
      <c r="D39" s="2" t="s">
        <v>4</v>
      </c>
      <c r="E39" s="8">
        <v>0.94</v>
      </c>
      <c r="F39" s="8">
        <v>0.60362696647643999</v>
      </c>
      <c r="G39" s="8">
        <v>0.63009405136108398</v>
      </c>
      <c r="H39" s="8">
        <v>0.52802360057830799</v>
      </c>
      <c r="I39" s="8">
        <v>0.2</v>
      </c>
    </row>
    <row r="40" spans="1:9" x14ac:dyDescent="0.25">
      <c r="A40" s="1" t="s">
        <v>1006</v>
      </c>
      <c r="C40" s="1" t="s">
        <v>1007</v>
      </c>
      <c r="D40" s="2" t="s">
        <v>4</v>
      </c>
      <c r="E40" s="8">
        <v>0.94</v>
      </c>
      <c r="F40" s="8">
        <v>0.65535247325897195</v>
      </c>
      <c r="G40" s="8">
        <v>0.66066068410873402</v>
      </c>
      <c r="H40" s="8">
        <v>0.514204561710357</v>
      </c>
      <c r="I40" s="8">
        <v>0.2</v>
      </c>
    </row>
    <row r="41" spans="1:9" x14ac:dyDescent="0.25">
      <c r="A41" s="1" t="s">
        <v>1008</v>
      </c>
      <c r="C41" s="1" t="s">
        <v>1009</v>
      </c>
      <c r="D41" s="2" t="s">
        <v>4</v>
      </c>
      <c r="E41" s="8">
        <v>0.94</v>
      </c>
      <c r="F41" s="8">
        <v>0.64380532503127996</v>
      </c>
      <c r="G41" s="8">
        <v>0.577142834663391</v>
      </c>
      <c r="H41" s="8">
        <v>0.487684726715087</v>
      </c>
      <c r="I41" s="8">
        <v>0.14000000000000001</v>
      </c>
    </row>
    <row r="42" spans="1:9" x14ac:dyDescent="0.25">
      <c r="A42" s="1" t="s">
        <v>1010</v>
      </c>
      <c r="C42" s="1" t="s">
        <v>1011</v>
      </c>
      <c r="D42" s="2" t="s">
        <v>4</v>
      </c>
      <c r="E42" s="8">
        <v>0.93</v>
      </c>
      <c r="F42" s="8">
        <v>0.59773373603820801</v>
      </c>
      <c r="G42" s="8">
        <v>0.63959389925002996</v>
      </c>
      <c r="H42" s="8">
        <v>0.75</v>
      </c>
      <c r="I42" s="8">
        <v>0.55000000000000004</v>
      </c>
    </row>
    <row r="43" spans="1:9" x14ac:dyDescent="0.25">
      <c r="A43" s="1" t="s">
        <v>1012</v>
      </c>
      <c r="C43" s="1" t="s">
        <v>1013</v>
      </c>
      <c r="D43" s="2" t="s">
        <v>4</v>
      </c>
      <c r="E43" s="8">
        <v>0.97</v>
      </c>
      <c r="F43" s="8">
        <v>0.63171356916427601</v>
      </c>
      <c r="G43" s="8">
        <v>0.71205359697341897</v>
      </c>
      <c r="H43" s="8">
        <v>0.93430656194686801</v>
      </c>
      <c r="I43" s="8">
        <v>0.41</v>
      </c>
    </row>
    <row r="44" spans="1:9" x14ac:dyDescent="0.25">
      <c r="A44" s="1" t="s">
        <v>1014</v>
      </c>
      <c r="C44" s="1" t="s">
        <v>1015</v>
      </c>
      <c r="D44" s="2" t="s">
        <v>4</v>
      </c>
      <c r="E44" s="8">
        <v>0.93</v>
      </c>
      <c r="F44" s="8">
        <v>0.57336956262588501</v>
      </c>
      <c r="G44" s="8">
        <v>0.41886791586875899</v>
      </c>
      <c r="H44" s="8">
        <v>0.93121695518493597</v>
      </c>
      <c r="I44" s="8">
        <v>0.42</v>
      </c>
    </row>
    <row r="45" spans="1:9" x14ac:dyDescent="0.25">
      <c r="A45" s="1" t="s">
        <v>1016</v>
      </c>
      <c r="C45" s="1" t="s">
        <v>1017</v>
      </c>
      <c r="D45" s="2" t="s">
        <v>4</v>
      </c>
      <c r="E45" s="8">
        <v>0.93</v>
      </c>
      <c r="F45" s="8">
        <v>0.66756755113601596</v>
      </c>
      <c r="G45" s="8">
        <v>0.95187163352966297</v>
      </c>
      <c r="H45" s="8">
        <v>0.92010307312011697</v>
      </c>
      <c r="I45" s="8">
        <v>0.51</v>
      </c>
    </row>
    <row r="46" spans="1:9" x14ac:dyDescent="0.25">
      <c r="A46" s="1" t="s">
        <v>1018</v>
      </c>
      <c r="C46" s="1" t="s">
        <v>1019</v>
      </c>
      <c r="D46" s="2" t="s">
        <v>4</v>
      </c>
      <c r="E46" s="8">
        <v>0.93</v>
      </c>
      <c r="F46" s="8">
        <v>0.66187047958374001</v>
      </c>
      <c r="G46" s="8">
        <v>0.65895950794219904</v>
      </c>
      <c r="H46" s="8">
        <v>0.50953680276870705</v>
      </c>
      <c r="I46" s="8">
        <v>0.15</v>
      </c>
    </row>
    <row r="47" spans="1:9" x14ac:dyDescent="0.25">
      <c r="A47" s="1" t="s">
        <v>1020</v>
      </c>
      <c r="C47" s="1" t="s">
        <v>1021</v>
      </c>
      <c r="D47" s="2" t="s">
        <v>4</v>
      </c>
      <c r="E47" s="8">
        <v>0.93</v>
      </c>
      <c r="F47" s="8">
        <v>0.613636374473571</v>
      </c>
      <c r="G47" s="8">
        <v>0.54367202520370395</v>
      </c>
      <c r="H47" s="8">
        <v>0.53777778148651101</v>
      </c>
      <c r="I47" s="8">
        <v>0.16</v>
      </c>
    </row>
    <row r="48" spans="1:9" x14ac:dyDescent="0.25">
      <c r="A48" s="1" t="s">
        <v>1022</v>
      </c>
      <c r="C48" s="1" t="s">
        <v>1023</v>
      </c>
      <c r="D48" s="2" t="s">
        <v>4</v>
      </c>
      <c r="E48" s="8">
        <v>0.93</v>
      </c>
      <c r="F48" s="8">
        <v>0.59844559431076005</v>
      </c>
      <c r="G48" s="8">
        <v>0.62382447719573897</v>
      </c>
      <c r="H48" s="8">
        <v>0.52662724256515503</v>
      </c>
      <c r="I48" s="8">
        <v>0.23</v>
      </c>
    </row>
    <row r="49" spans="1:9" x14ac:dyDescent="0.25">
      <c r="A49" s="1" t="s">
        <v>1024</v>
      </c>
      <c r="C49" s="1" t="s">
        <v>1025</v>
      </c>
      <c r="D49" s="2" t="s">
        <v>4</v>
      </c>
      <c r="E49" s="8">
        <v>0.93</v>
      </c>
      <c r="F49" s="8">
        <v>0.613636374473571</v>
      </c>
      <c r="G49" s="8">
        <v>0.54367202520370395</v>
      </c>
      <c r="H49" s="8">
        <v>0.53777778148651101</v>
      </c>
      <c r="I49" s="8">
        <v>0.16</v>
      </c>
    </row>
    <row r="50" spans="1:9" x14ac:dyDescent="0.25">
      <c r="A50" s="1" t="s">
        <v>1026</v>
      </c>
      <c r="C50" s="1" t="s">
        <v>1027</v>
      </c>
      <c r="D50" s="2" t="s">
        <v>4</v>
      </c>
      <c r="E50" s="8">
        <v>0.93</v>
      </c>
      <c r="F50" s="8">
        <v>0.65947240591049106</v>
      </c>
      <c r="G50" s="8">
        <v>0.65606933832168501</v>
      </c>
      <c r="H50" s="8">
        <v>0.51092898845672596</v>
      </c>
      <c r="I50" s="8">
        <v>0.15</v>
      </c>
    </row>
    <row r="51" spans="1:9" x14ac:dyDescent="0.25">
      <c r="A51" s="1" t="s">
        <v>1028</v>
      </c>
      <c r="C51" s="1" t="s">
        <v>1029</v>
      </c>
      <c r="D51" s="2" t="s">
        <v>4</v>
      </c>
      <c r="E51" s="8">
        <v>0.93</v>
      </c>
      <c r="F51" s="8">
        <v>0.67919796705245905</v>
      </c>
      <c r="G51" s="8">
        <v>0.64553314447402899</v>
      </c>
      <c r="H51" s="8">
        <v>0.447837144136428</v>
      </c>
      <c r="I51" s="8">
        <v>0.19</v>
      </c>
    </row>
    <row r="52" spans="1:9" x14ac:dyDescent="0.25">
      <c r="A52" s="1" t="s">
        <v>1030</v>
      </c>
      <c r="C52" s="1" t="s">
        <v>1031</v>
      </c>
      <c r="D52" s="2" t="s">
        <v>4</v>
      </c>
      <c r="E52" s="8">
        <v>0.93</v>
      </c>
      <c r="F52" s="8">
        <v>0.65866667032241799</v>
      </c>
      <c r="G52" s="8">
        <v>0.67970657348632801</v>
      </c>
      <c r="H52" s="8">
        <v>0.84905660152435303</v>
      </c>
      <c r="I52" s="8">
        <v>0.46</v>
      </c>
    </row>
    <row r="53" spans="1:9" x14ac:dyDescent="0.25">
      <c r="A53" s="1" t="s">
        <v>1032</v>
      </c>
      <c r="C53" s="1" t="s">
        <v>1033</v>
      </c>
      <c r="D53" s="2" t="s">
        <v>4</v>
      </c>
      <c r="E53" s="8">
        <v>0.93</v>
      </c>
      <c r="F53" s="8">
        <v>0.65866667032241799</v>
      </c>
      <c r="G53" s="8">
        <v>0.67970657348632801</v>
      </c>
      <c r="H53" s="8">
        <v>0.84905660152435303</v>
      </c>
      <c r="I53" s="8">
        <v>0.46</v>
      </c>
    </row>
    <row r="54" spans="1:9" x14ac:dyDescent="0.25">
      <c r="A54" s="1" t="s">
        <v>1034</v>
      </c>
      <c r="C54" s="1" t="s">
        <v>1035</v>
      </c>
      <c r="D54" s="2" t="s">
        <v>4</v>
      </c>
      <c r="E54" s="8">
        <v>0.92</v>
      </c>
      <c r="F54" s="8">
        <v>0.574931859970092</v>
      </c>
      <c r="G54" s="8">
        <v>0.52145922183990401</v>
      </c>
      <c r="H54" s="8">
        <v>0.76346606016159002</v>
      </c>
      <c r="I54" s="8">
        <v>0.49</v>
      </c>
    </row>
    <row r="55" spans="1:9" x14ac:dyDescent="0.25">
      <c r="A55" s="1" t="s">
        <v>1036</v>
      </c>
      <c r="C55" s="1" t="s">
        <v>1037</v>
      </c>
      <c r="D55" s="2" t="s">
        <v>4</v>
      </c>
      <c r="E55" s="8">
        <v>0.92</v>
      </c>
      <c r="F55" s="8">
        <v>0.57906460762023904</v>
      </c>
      <c r="G55" s="8">
        <v>0.53771287202835005</v>
      </c>
      <c r="H55" s="8">
        <v>0.84375</v>
      </c>
      <c r="I55" s="8">
        <v>0.56000000000000005</v>
      </c>
    </row>
    <row r="56" spans="1:9" x14ac:dyDescent="0.25">
      <c r="A56" s="1" t="s">
        <v>1038</v>
      </c>
      <c r="C56" s="1" t="s">
        <v>1039</v>
      </c>
      <c r="D56" s="2" t="s">
        <v>4</v>
      </c>
      <c r="E56" s="8">
        <v>0.91</v>
      </c>
      <c r="F56" s="8">
        <v>0.58126723766326904</v>
      </c>
      <c r="G56" s="8">
        <v>0.65491181612014704</v>
      </c>
      <c r="H56" s="8">
        <v>0.72928178310394198</v>
      </c>
      <c r="I56" s="8">
        <v>0.53</v>
      </c>
    </row>
    <row r="57" spans="1:9" x14ac:dyDescent="0.25">
      <c r="A57" s="1" t="s">
        <v>1040</v>
      </c>
      <c r="C57" s="1" t="s">
        <v>1041</v>
      </c>
      <c r="D57" s="2" t="s">
        <v>4</v>
      </c>
      <c r="E57" s="8">
        <v>0.92</v>
      </c>
      <c r="F57" s="8">
        <v>0.66937667131423895</v>
      </c>
      <c r="G57" s="8">
        <v>0.68298369646072299</v>
      </c>
      <c r="H57" s="8">
        <v>0.87621361017227095</v>
      </c>
      <c r="I57" s="8">
        <v>0.45</v>
      </c>
    </row>
    <row r="58" spans="1:9" x14ac:dyDescent="0.25">
      <c r="A58" s="1" t="s">
        <v>1042</v>
      </c>
      <c r="C58" s="1" t="s">
        <v>1043</v>
      </c>
      <c r="D58" s="2" t="s">
        <v>4</v>
      </c>
      <c r="E58" s="8">
        <v>0.92</v>
      </c>
      <c r="F58" s="8">
        <v>0.67790263891220004</v>
      </c>
      <c r="G58" s="8">
        <v>0.76923078298568703</v>
      </c>
      <c r="H58" s="8">
        <v>0.53113555908203103</v>
      </c>
      <c r="I58" s="8">
        <v>0.11</v>
      </c>
    </row>
    <row r="59" spans="1:9" x14ac:dyDescent="0.25">
      <c r="A59" s="1" t="s">
        <v>1044</v>
      </c>
      <c r="C59" s="1" t="s">
        <v>1045</v>
      </c>
      <c r="D59" s="2" t="s">
        <v>4</v>
      </c>
      <c r="E59" s="8">
        <v>0.92</v>
      </c>
      <c r="F59" s="8">
        <v>0.65662652254104603</v>
      </c>
      <c r="G59" s="8">
        <v>0.94718307256698597</v>
      </c>
      <c r="H59" s="8">
        <v>0.45768025517463601</v>
      </c>
      <c r="I59" s="8">
        <v>0.2</v>
      </c>
    </row>
    <row r="60" spans="1:9" x14ac:dyDescent="0.25">
      <c r="A60" s="1" t="s">
        <v>1046</v>
      </c>
      <c r="C60" s="1" t="s">
        <v>1047</v>
      </c>
      <c r="D60" s="2" t="s">
        <v>4</v>
      </c>
      <c r="E60" s="8">
        <v>0.92</v>
      </c>
      <c r="F60" s="8">
        <v>0.58032131195068304</v>
      </c>
      <c r="G60" s="8">
        <v>0.53472220897674505</v>
      </c>
      <c r="H60" s="8">
        <v>0.51422321796417203</v>
      </c>
      <c r="I60" s="8">
        <v>0.14000000000000001</v>
      </c>
    </row>
    <row r="61" spans="1:9" x14ac:dyDescent="0.25">
      <c r="A61" s="1" t="s">
        <v>1048</v>
      </c>
      <c r="C61" s="1" t="s">
        <v>1049</v>
      </c>
      <c r="D61" s="2" t="s">
        <v>4</v>
      </c>
      <c r="E61" s="8">
        <v>0.92</v>
      </c>
      <c r="F61" s="8">
        <v>0.65274149179458596</v>
      </c>
      <c r="G61" s="8">
        <v>0.65765768289565996</v>
      </c>
      <c r="H61" s="8">
        <v>0.511363625526428</v>
      </c>
      <c r="I61" s="8">
        <v>0.23</v>
      </c>
    </row>
    <row r="62" spans="1:9" x14ac:dyDescent="0.25">
      <c r="A62" s="1" t="s">
        <v>1050</v>
      </c>
      <c r="C62" s="1" t="s">
        <v>1051</v>
      </c>
      <c r="D62" s="2" t="s">
        <v>4</v>
      </c>
      <c r="E62" s="8">
        <v>0.92</v>
      </c>
      <c r="F62" s="8">
        <v>0.62745100259780795</v>
      </c>
      <c r="G62" s="8">
        <v>0.636363625526428</v>
      </c>
      <c r="H62" s="8">
        <v>0.58873242139816195</v>
      </c>
      <c r="I62" s="8">
        <v>0.22</v>
      </c>
    </row>
    <row r="63" spans="1:9" x14ac:dyDescent="0.25">
      <c r="A63" s="1" t="s">
        <v>1052</v>
      </c>
      <c r="C63" s="1" t="s">
        <v>1053</v>
      </c>
      <c r="D63" s="2" t="s">
        <v>4</v>
      </c>
      <c r="E63" s="8">
        <v>0.92</v>
      </c>
      <c r="F63" s="8">
        <v>0.67790263891220004</v>
      </c>
      <c r="G63" s="8">
        <v>0.76923078298568703</v>
      </c>
      <c r="H63" s="8">
        <v>0.53113555908203103</v>
      </c>
      <c r="I63" s="8">
        <v>0.13</v>
      </c>
    </row>
    <row r="64" spans="1:9" x14ac:dyDescent="0.25">
      <c r="A64" s="1" t="s">
        <v>1054</v>
      </c>
      <c r="C64" s="1" t="s">
        <v>1055</v>
      </c>
      <c r="D64" s="2" t="s">
        <v>4</v>
      </c>
      <c r="E64" s="8">
        <v>0.92</v>
      </c>
      <c r="F64" s="8">
        <v>0.63679248094558705</v>
      </c>
      <c r="G64" s="8">
        <v>0.58808290958404497</v>
      </c>
      <c r="H64" s="8">
        <v>0.49370276927947998</v>
      </c>
      <c r="I64" s="8">
        <v>0.22</v>
      </c>
    </row>
    <row r="65" spans="1:9" x14ac:dyDescent="0.25">
      <c r="A65" s="1" t="s">
        <v>1056</v>
      </c>
      <c r="C65" s="1" t="s">
        <v>1057</v>
      </c>
      <c r="D65" s="2" t="s">
        <v>4</v>
      </c>
      <c r="E65" s="8">
        <v>0.92</v>
      </c>
      <c r="F65" s="8">
        <v>0.65217393636703402</v>
      </c>
      <c r="G65" s="8">
        <v>0.64723032712936401</v>
      </c>
      <c r="H65" s="8">
        <v>0.50552487373351995</v>
      </c>
      <c r="I65" s="8">
        <v>0.16</v>
      </c>
    </row>
    <row r="66" spans="1:9" x14ac:dyDescent="0.25">
      <c r="A66" s="1" t="s">
        <v>1058</v>
      </c>
      <c r="C66" s="1" t="s">
        <v>1059</v>
      </c>
      <c r="D66" s="2" t="s">
        <v>4</v>
      </c>
      <c r="E66" s="8">
        <v>0.92</v>
      </c>
      <c r="F66" s="8">
        <v>0.64383560419082597</v>
      </c>
      <c r="G66" s="8">
        <v>0.70522385835647505</v>
      </c>
      <c r="H66" s="8">
        <v>0.49501660466194097</v>
      </c>
      <c r="I66" s="8">
        <v>0.11</v>
      </c>
    </row>
    <row r="67" spans="1:9" x14ac:dyDescent="0.25">
      <c r="A67" s="1" t="s">
        <v>1060</v>
      </c>
      <c r="C67" s="1" t="s">
        <v>1061</v>
      </c>
      <c r="D67" s="2" t="s">
        <v>4</v>
      </c>
      <c r="E67" s="8">
        <v>0.89</v>
      </c>
      <c r="F67" s="8">
        <v>0.56521737575530995</v>
      </c>
      <c r="G67" s="8">
        <v>0.66257667541503895</v>
      </c>
      <c r="H67" s="8">
        <v>0.91136366128921498</v>
      </c>
      <c r="I67" s="8">
        <v>0.42</v>
      </c>
    </row>
    <row r="68" spans="1:9" x14ac:dyDescent="0.25">
      <c r="A68" s="1" t="s">
        <v>1062</v>
      </c>
      <c r="C68" s="1" t="s">
        <v>1063</v>
      </c>
      <c r="D68" s="2" t="s">
        <v>4</v>
      </c>
      <c r="E68" s="8">
        <v>0.91</v>
      </c>
      <c r="F68" s="8">
        <v>0.54102563858032204</v>
      </c>
      <c r="G68" s="8">
        <v>0.52115815877914395</v>
      </c>
      <c r="H68" s="8">
        <v>0.72431075572967496</v>
      </c>
      <c r="I68" s="8">
        <v>0.34</v>
      </c>
    </row>
    <row r="69" spans="1:9" x14ac:dyDescent="0.25">
      <c r="A69" s="1" t="s">
        <v>1064</v>
      </c>
      <c r="C69" s="1" t="s">
        <v>1065</v>
      </c>
      <c r="D69" s="2" t="s">
        <v>4</v>
      </c>
      <c r="E69" s="8">
        <v>0.91</v>
      </c>
      <c r="F69" s="8">
        <v>0.652968049049377</v>
      </c>
      <c r="G69" s="8">
        <v>0.59210526943206698</v>
      </c>
      <c r="H69" s="8">
        <v>0.50118201971053999</v>
      </c>
      <c r="I69" s="8">
        <v>0.15</v>
      </c>
    </row>
    <row r="70" spans="1:9" x14ac:dyDescent="0.25">
      <c r="A70" s="1" t="s">
        <v>1066</v>
      </c>
      <c r="C70" s="1" t="s">
        <v>1067</v>
      </c>
      <c r="D70" s="2" t="s">
        <v>4</v>
      </c>
      <c r="E70" s="8">
        <v>0.91</v>
      </c>
      <c r="F70" s="8">
        <v>0.63841807842254605</v>
      </c>
      <c r="G70" s="8">
        <v>0.88617885112762396</v>
      </c>
      <c r="H70" s="8">
        <v>0.78861790895462003</v>
      </c>
      <c r="I70" s="8">
        <v>0.46</v>
      </c>
    </row>
    <row r="71" spans="1:9" x14ac:dyDescent="0.25">
      <c r="A71" s="1" t="s">
        <v>1068</v>
      </c>
      <c r="C71" s="1" t="s">
        <v>1069</v>
      </c>
      <c r="D71" s="2" t="s">
        <v>4</v>
      </c>
      <c r="E71" s="8">
        <v>0.91</v>
      </c>
      <c r="F71" s="8">
        <v>0.62603878974914495</v>
      </c>
      <c r="G71" s="8">
        <v>0.68009477853775002</v>
      </c>
      <c r="H71" s="8">
        <v>0.894459128379821</v>
      </c>
      <c r="I71" s="8">
        <v>0.53</v>
      </c>
    </row>
    <row r="72" spans="1:9" x14ac:dyDescent="0.25">
      <c r="A72" s="1" t="s">
        <v>1070</v>
      </c>
      <c r="C72" s="1" t="s">
        <v>1071</v>
      </c>
      <c r="D72" s="2" t="s">
        <v>4</v>
      </c>
      <c r="E72" s="8">
        <v>0.91</v>
      </c>
      <c r="F72" s="8">
        <v>0.59895831346511796</v>
      </c>
      <c r="G72" s="8">
        <v>0.67207789421081499</v>
      </c>
      <c r="H72" s="8">
        <v>0.54054051637649503</v>
      </c>
      <c r="I72" s="8">
        <v>0.13</v>
      </c>
    </row>
    <row r="73" spans="1:9" x14ac:dyDescent="0.25">
      <c r="A73" s="1" t="s">
        <v>1072</v>
      </c>
      <c r="C73" s="1" t="s">
        <v>1073</v>
      </c>
      <c r="D73" s="2" t="s">
        <v>4</v>
      </c>
      <c r="E73" s="8">
        <v>0.91</v>
      </c>
      <c r="F73" s="8">
        <v>0.59213250875473</v>
      </c>
      <c r="G73" s="8">
        <v>0.54394298791885298</v>
      </c>
      <c r="H73" s="8">
        <v>0.54897493124008101</v>
      </c>
      <c r="I73" s="8">
        <v>0.21</v>
      </c>
    </row>
    <row r="74" spans="1:9" x14ac:dyDescent="0.25">
      <c r="A74" s="1" t="s">
        <v>1074</v>
      </c>
      <c r="C74" s="1" t="s">
        <v>1075</v>
      </c>
      <c r="D74" s="2" t="s">
        <v>4</v>
      </c>
      <c r="E74" s="8">
        <v>0.91</v>
      </c>
      <c r="F74" s="8">
        <v>0.65882354974746704</v>
      </c>
      <c r="G74" s="8">
        <v>0.65949821472167902</v>
      </c>
      <c r="H74" s="8">
        <v>0.46153846383094699</v>
      </c>
      <c r="I74" s="8">
        <v>0.14000000000000001</v>
      </c>
    </row>
    <row r="75" spans="1:9" x14ac:dyDescent="0.25">
      <c r="A75" s="1" t="s">
        <v>1076</v>
      </c>
      <c r="C75" s="1" t="s">
        <v>1077</v>
      </c>
      <c r="D75" s="2" t="s">
        <v>4</v>
      </c>
      <c r="E75" s="8">
        <v>0.91</v>
      </c>
      <c r="F75" s="8">
        <v>0.64975845813751198</v>
      </c>
      <c r="G75" s="8">
        <v>0.644314885139465</v>
      </c>
      <c r="H75" s="8">
        <v>0.50276243686676003</v>
      </c>
      <c r="I75" s="8">
        <v>0.15</v>
      </c>
    </row>
    <row r="76" spans="1:9" x14ac:dyDescent="0.25">
      <c r="A76" s="1" t="s">
        <v>1078</v>
      </c>
      <c r="C76" s="1" t="s">
        <v>1079</v>
      </c>
      <c r="D76" s="2" t="s">
        <v>4</v>
      </c>
      <c r="E76" s="8">
        <v>0.91</v>
      </c>
      <c r="F76" s="8">
        <v>0.60617762804031305</v>
      </c>
      <c r="G76" s="8">
        <v>0.72075474262237504</v>
      </c>
      <c r="H76" s="8">
        <v>0.59504133462905795</v>
      </c>
      <c r="I76" s="8">
        <v>0.11</v>
      </c>
    </row>
    <row r="77" spans="1:9" x14ac:dyDescent="0.25">
      <c r="A77" s="1" t="s">
        <v>1080</v>
      </c>
      <c r="C77" s="1" t="s">
        <v>1081</v>
      </c>
      <c r="D77" s="2" t="s">
        <v>4</v>
      </c>
      <c r="E77" s="8">
        <v>0.91</v>
      </c>
      <c r="F77" s="8">
        <v>0.64150941371917702</v>
      </c>
      <c r="G77" s="8">
        <v>0.58914726972579901</v>
      </c>
      <c r="H77" s="8">
        <v>0.49122807383537198</v>
      </c>
      <c r="I77" s="8">
        <v>0.18</v>
      </c>
    </row>
    <row r="78" spans="1:9" x14ac:dyDescent="0.25">
      <c r="A78" s="1" t="s">
        <v>1082</v>
      </c>
      <c r="C78" s="1" t="s">
        <v>1083</v>
      </c>
      <c r="D78" s="2" t="s">
        <v>4</v>
      </c>
      <c r="E78" s="8">
        <v>0.9</v>
      </c>
      <c r="F78" s="8">
        <v>0.52618455886840798</v>
      </c>
      <c r="G78" s="8">
        <v>0.54149377346038796</v>
      </c>
      <c r="H78" s="8">
        <v>0.76457399129867498</v>
      </c>
      <c r="I78" s="8">
        <v>0.49</v>
      </c>
    </row>
    <row r="79" spans="1:9" x14ac:dyDescent="0.25">
      <c r="A79" s="1" t="s">
        <v>1084</v>
      </c>
      <c r="C79" s="1" t="s">
        <v>1085</v>
      </c>
      <c r="D79" s="2" t="s">
        <v>4</v>
      </c>
      <c r="E79" s="8">
        <v>0.89</v>
      </c>
      <c r="F79" s="8">
        <v>0.68044078350067105</v>
      </c>
      <c r="G79" s="8">
        <v>0.688679218292236</v>
      </c>
      <c r="H79" s="8">
        <v>0.89851486682891801</v>
      </c>
      <c r="I79" s="8">
        <v>0.46</v>
      </c>
    </row>
    <row r="80" spans="1:9" x14ac:dyDescent="0.25">
      <c r="A80" s="1" t="s">
        <v>1086</v>
      </c>
      <c r="C80" s="1" t="s">
        <v>1087</v>
      </c>
      <c r="D80" s="2" t="s">
        <v>4</v>
      </c>
      <c r="E80" s="8">
        <v>0.9</v>
      </c>
      <c r="F80" s="8">
        <v>0.60617762804031305</v>
      </c>
      <c r="G80" s="8">
        <v>0.72075474262237504</v>
      </c>
      <c r="H80" s="8">
        <v>0.59504133462905795</v>
      </c>
      <c r="I80" s="8">
        <v>0.11</v>
      </c>
    </row>
    <row r="81" spans="1:9" x14ac:dyDescent="0.25">
      <c r="A81" s="1" t="s">
        <v>1088</v>
      </c>
      <c r="C81" s="1" t="s">
        <v>1089</v>
      </c>
      <c r="D81" s="2" t="s">
        <v>4</v>
      </c>
      <c r="E81" s="8">
        <v>0.9</v>
      </c>
      <c r="F81" s="8">
        <v>0.62745100259780795</v>
      </c>
      <c r="G81" s="8">
        <v>0.636363625526428</v>
      </c>
      <c r="H81" s="8">
        <v>0.58873242139816195</v>
      </c>
      <c r="I81" s="8">
        <v>0.22</v>
      </c>
    </row>
    <row r="82" spans="1:9" x14ac:dyDescent="0.25">
      <c r="A82" s="1" t="s">
        <v>1090</v>
      </c>
      <c r="C82" s="1" t="s">
        <v>1091</v>
      </c>
      <c r="D82" s="2" t="s">
        <v>4</v>
      </c>
      <c r="E82" s="8">
        <v>0.9</v>
      </c>
      <c r="F82" s="8">
        <v>0.49295774102210999</v>
      </c>
      <c r="G82" s="8">
        <v>0.485981315374374</v>
      </c>
      <c r="H82" s="8">
        <v>0.54528301954269398</v>
      </c>
      <c r="I82" s="8">
        <v>0.47</v>
      </c>
    </row>
    <row r="83" spans="1:9" x14ac:dyDescent="0.25">
      <c r="A83" s="1" t="s">
        <v>1092</v>
      </c>
      <c r="C83" s="1" t="s">
        <v>1093</v>
      </c>
      <c r="D83" s="2" t="s">
        <v>4</v>
      </c>
      <c r="E83" s="8">
        <v>0.9</v>
      </c>
      <c r="F83" s="8">
        <v>0.67790263891220004</v>
      </c>
      <c r="G83" s="8">
        <v>0.76923078298568703</v>
      </c>
      <c r="H83" s="8">
        <v>0.53113555908203103</v>
      </c>
      <c r="I83" s="8">
        <v>0.12</v>
      </c>
    </row>
    <row r="84" spans="1:9" x14ac:dyDescent="0.25">
      <c r="A84" s="1" t="s">
        <v>1094</v>
      </c>
      <c r="C84" s="1" t="s">
        <v>1095</v>
      </c>
      <c r="D84" s="2" t="s">
        <v>4</v>
      </c>
      <c r="E84" s="8">
        <v>0.9</v>
      </c>
      <c r="F84" s="8">
        <v>0.62745100259780795</v>
      </c>
      <c r="G84" s="8">
        <v>0.636363625526428</v>
      </c>
      <c r="H84" s="8">
        <v>0.58873242139816195</v>
      </c>
      <c r="I84" s="8">
        <v>0.22</v>
      </c>
    </row>
    <row r="85" spans="1:9" x14ac:dyDescent="0.25">
      <c r="A85" s="1" t="s">
        <v>1096</v>
      </c>
      <c r="C85" s="1" t="s">
        <v>1097</v>
      </c>
      <c r="D85" s="2" t="s">
        <v>4</v>
      </c>
      <c r="E85" s="8">
        <v>0.9</v>
      </c>
      <c r="F85" s="8">
        <v>0.63930350542068404</v>
      </c>
      <c r="G85" s="8">
        <v>0.73053890466689997</v>
      </c>
      <c r="H85" s="8">
        <v>0.47619047760963401</v>
      </c>
      <c r="I85" s="8">
        <v>0.11</v>
      </c>
    </row>
    <row r="86" spans="1:9" x14ac:dyDescent="0.25">
      <c r="A86" s="1" t="s">
        <v>1098</v>
      </c>
      <c r="C86" s="1" t="s">
        <v>1099</v>
      </c>
      <c r="D86" s="2" t="s">
        <v>4</v>
      </c>
      <c r="E86" s="8">
        <v>0.9</v>
      </c>
      <c r="F86" s="8">
        <v>0.63930350542068404</v>
      </c>
      <c r="G86" s="8">
        <v>0.73053890466689997</v>
      </c>
      <c r="H86" s="8">
        <v>0.47619047760963401</v>
      </c>
      <c r="I86" s="8">
        <v>0.11</v>
      </c>
    </row>
    <row r="87" spans="1:9" x14ac:dyDescent="0.25">
      <c r="A87" s="1" t="s">
        <v>1100</v>
      </c>
      <c r="C87" s="1" t="s">
        <v>1101</v>
      </c>
      <c r="D87" s="2" t="s">
        <v>4</v>
      </c>
      <c r="E87" s="8">
        <v>0.9</v>
      </c>
      <c r="F87" s="8">
        <v>0.613636374473571</v>
      </c>
      <c r="G87" s="8">
        <v>0.54367202520370395</v>
      </c>
      <c r="H87" s="8">
        <v>0.53777778148651101</v>
      </c>
      <c r="I87" s="8">
        <v>0.14000000000000001</v>
      </c>
    </row>
    <row r="88" spans="1:9" x14ac:dyDescent="0.25">
      <c r="A88" s="1" t="s">
        <v>1102</v>
      </c>
      <c r="C88" s="1" t="s">
        <v>1103</v>
      </c>
      <c r="D88" s="2" t="s">
        <v>4</v>
      </c>
      <c r="E88" s="8">
        <v>0.89900000000000002</v>
      </c>
      <c r="F88" s="8">
        <v>0.58966565132141102</v>
      </c>
      <c r="G88" s="8">
        <v>0.56182795763015703</v>
      </c>
      <c r="H88" s="8">
        <v>0.46268656849861101</v>
      </c>
      <c r="I88" s="8">
        <v>0.41</v>
      </c>
    </row>
    <row r="89" spans="1:9" x14ac:dyDescent="0.25">
      <c r="A89" s="1" t="s">
        <v>1104</v>
      </c>
      <c r="C89" s="1" t="s">
        <v>1105</v>
      </c>
      <c r="D89" s="2" t="s">
        <v>4</v>
      </c>
      <c r="E89" s="8">
        <v>0.89</v>
      </c>
      <c r="F89" s="8">
        <v>0.60987651348114003</v>
      </c>
      <c r="G89" s="8">
        <v>0.71461188793182295</v>
      </c>
      <c r="H89" s="8">
        <v>0.67692309617996205</v>
      </c>
      <c r="I89" s="8">
        <v>0.4</v>
      </c>
    </row>
    <row r="90" spans="1:9" x14ac:dyDescent="0.25">
      <c r="A90" s="1" t="s">
        <v>1106</v>
      </c>
      <c r="C90" s="1" t="s">
        <v>1107</v>
      </c>
      <c r="D90" s="2" t="s">
        <v>4</v>
      </c>
      <c r="E90" s="8">
        <v>0.89</v>
      </c>
      <c r="F90" s="8">
        <v>0.58666664361953702</v>
      </c>
      <c r="G90" s="8">
        <v>0.495029807090759</v>
      </c>
      <c r="H90" s="8">
        <v>0.76392573118209794</v>
      </c>
      <c r="I90" s="8">
        <v>0.48</v>
      </c>
    </row>
    <row r="91" spans="1:9" x14ac:dyDescent="0.25">
      <c r="A91" s="1" t="s">
        <v>1108</v>
      </c>
      <c r="C91" s="1" t="s">
        <v>1109</v>
      </c>
      <c r="D91" s="2" t="s">
        <v>4</v>
      </c>
      <c r="E91" s="8">
        <v>0.89</v>
      </c>
      <c r="F91" s="8">
        <v>0.58287292718887296</v>
      </c>
      <c r="G91" s="8">
        <v>0.41141733527183499</v>
      </c>
      <c r="H91" s="8">
        <v>0.95675677061080899</v>
      </c>
      <c r="I91" s="8">
        <v>0.41</v>
      </c>
    </row>
    <row r="92" spans="1:9" x14ac:dyDescent="0.25">
      <c r="A92" s="1" t="s">
        <v>1110</v>
      </c>
      <c r="C92" s="1" t="s">
        <v>1111</v>
      </c>
      <c r="D92" s="2" t="s">
        <v>4</v>
      </c>
      <c r="E92" s="8">
        <v>0.94</v>
      </c>
      <c r="F92" s="8">
        <v>0.65517240762710505</v>
      </c>
      <c r="G92" s="8">
        <v>0.69373548030853205</v>
      </c>
      <c r="H92" s="8">
        <v>0.85952383279800404</v>
      </c>
      <c r="I92" s="8">
        <v>0.41</v>
      </c>
    </row>
    <row r="93" spans="1:9" x14ac:dyDescent="0.25">
      <c r="A93" s="1" t="s">
        <v>1112</v>
      </c>
      <c r="C93" s="1" t="s">
        <v>1113</v>
      </c>
      <c r="D93" s="2" t="s">
        <v>4</v>
      </c>
      <c r="E93" s="8">
        <v>0.91</v>
      </c>
      <c r="F93" s="8">
        <v>0.65517240762710505</v>
      </c>
      <c r="G93" s="8">
        <v>0.78014183044433505</v>
      </c>
      <c r="H93" s="8">
        <v>0.81617647409438998</v>
      </c>
      <c r="I93" s="8">
        <v>0.39</v>
      </c>
    </row>
    <row r="94" spans="1:9" x14ac:dyDescent="0.25">
      <c r="A94" s="1" t="s">
        <v>1114</v>
      </c>
      <c r="C94" s="1" t="s">
        <v>1115</v>
      </c>
      <c r="D94" s="2" t="s">
        <v>4</v>
      </c>
      <c r="E94" s="8">
        <v>0.89</v>
      </c>
      <c r="F94" s="8">
        <v>0.69348657131195002</v>
      </c>
      <c r="G94" s="8">
        <v>0.74285715818405096</v>
      </c>
      <c r="H94" s="8">
        <v>0.54307115077972401</v>
      </c>
      <c r="I94" s="8">
        <v>0.15</v>
      </c>
    </row>
    <row r="95" spans="1:9" x14ac:dyDescent="0.25">
      <c r="A95" s="1" t="s">
        <v>1116</v>
      </c>
      <c r="C95" s="1" t="s">
        <v>1117</v>
      </c>
      <c r="D95" s="2" t="s">
        <v>4</v>
      </c>
      <c r="E95" s="8">
        <v>0.89</v>
      </c>
      <c r="F95" s="8">
        <v>0.55000001192092896</v>
      </c>
      <c r="G95" s="8">
        <v>0.63725489377975397</v>
      </c>
      <c r="H95" s="8">
        <v>0.51470589637756303</v>
      </c>
      <c r="I95" s="8">
        <v>0.25</v>
      </c>
    </row>
    <row r="96" spans="1:9" x14ac:dyDescent="0.25">
      <c r="A96" s="1" t="s">
        <v>1118</v>
      </c>
      <c r="C96" s="1" t="s">
        <v>1119</v>
      </c>
      <c r="D96" s="2" t="s">
        <v>4</v>
      </c>
      <c r="E96" s="8">
        <v>0.89</v>
      </c>
      <c r="F96" s="8">
        <v>0.62777775526046697</v>
      </c>
      <c r="G96" s="8">
        <v>0.68171024322509699</v>
      </c>
      <c r="H96" s="8">
        <v>0.86233764886856001</v>
      </c>
      <c r="I96" s="8">
        <v>0.53</v>
      </c>
    </row>
    <row r="97" spans="1:9" x14ac:dyDescent="0.25">
      <c r="A97" s="1" t="s">
        <v>1120</v>
      </c>
      <c r="C97" s="1" t="s">
        <v>1121</v>
      </c>
      <c r="D97" s="2" t="s">
        <v>4</v>
      </c>
      <c r="E97" s="8">
        <v>0.89</v>
      </c>
      <c r="F97" s="8">
        <v>0.598039209842681</v>
      </c>
      <c r="G97" s="8">
        <v>0.98451328277587802</v>
      </c>
      <c r="H97" s="8">
        <v>0.512667655944824</v>
      </c>
      <c r="I97" s="8">
        <v>0.13</v>
      </c>
    </row>
    <row r="98" spans="1:9" x14ac:dyDescent="0.25">
      <c r="A98" s="1" t="s">
        <v>1122</v>
      </c>
      <c r="C98" s="1" t="s">
        <v>1123</v>
      </c>
      <c r="D98" s="2" t="s">
        <v>4</v>
      </c>
      <c r="E98" s="8">
        <v>0.89</v>
      </c>
      <c r="F98" s="8">
        <v>0.64829397201537997</v>
      </c>
      <c r="G98" s="8">
        <v>0.66261398792266801</v>
      </c>
      <c r="H98" s="8">
        <v>0.51436781883239702</v>
      </c>
      <c r="I98" s="8">
        <v>0.12</v>
      </c>
    </row>
    <row r="99" spans="1:9" x14ac:dyDescent="0.25">
      <c r="A99" s="1" t="s">
        <v>1124</v>
      </c>
      <c r="C99" s="1" t="s">
        <v>1125</v>
      </c>
      <c r="D99" s="2" t="s">
        <v>4</v>
      </c>
      <c r="E99" s="8">
        <v>0.89</v>
      </c>
      <c r="F99" s="8">
        <v>0.62467193603515603</v>
      </c>
      <c r="G99" s="8">
        <v>0.72185432910919101</v>
      </c>
      <c r="H99" s="8">
        <v>0.5</v>
      </c>
      <c r="I99" s="8">
        <v>0.14000000000000001</v>
      </c>
    </row>
    <row r="100" spans="1:9" x14ac:dyDescent="0.25">
      <c r="A100" s="1" t="s">
        <v>1126</v>
      </c>
      <c r="C100" s="1" t="s">
        <v>1127</v>
      </c>
      <c r="D100" s="2" t="s">
        <v>4</v>
      </c>
      <c r="E100" s="8">
        <v>0.89</v>
      </c>
      <c r="F100" s="8">
        <v>0.62467193603515603</v>
      </c>
      <c r="G100" s="8">
        <v>0.72185432910919101</v>
      </c>
      <c r="H100" s="8">
        <v>0.5</v>
      </c>
      <c r="I100" s="8">
        <v>0.14000000000000001</v>
      </c>
    </row>
    <row r="101" spans="1:9" x14ac:dyDescent="0.25">
      <c r="A101" s="1" t="s">
        <v>1128</v>
      </c>
      <c r="C101" s="1" t="s">
        <v>1129</v>
      </c>
      <c r="D101" s="2" t="s">
        <v>4</v>
      </c>
      <c r="E101" s="8">
        <v>0.89</v>
      </c>
      <c r="F101" s="8">
        <v>0.62935322523116999</v>
      </c>
      <c r="G101" s="8">
        <v>0.72372370958328203</v>
      </c>
      <c r="H101" s="8">
        <v>0.47733333706855702</v>
      </c>
      <c r="I101" s="8">
        <v>0.11</v>
      </c>
    </row>
    <row r="102" spans="1:9" x14ac:dyDescent="0.25">
      <c r="A102" s="1" t="s">
        <v>1130</v>
      </c>
      <c r="C102" s="1" t="s">
        <v>1131</v>
      </c>
      <c r="D102" s="2" t="s">
        <v>4</v>
      </c>
      <c r="E102" s="8">
        <v>0.89</v>
      </c>
      <c r="F102" s="8">
        <v>0.66494846343994096</v>
      </c>
      <c r="G102" s="8">
        <v>0.73312884569168002</v>
      </c>
      <c r="H102" s="8">
        <v>0.45871558785438499</v>
      </c>
      <c r="I102" s="8">
        <v>0.12</v>
      </c>
    </row>
    <row r="103" spans="1:9" x14ac:dyDescent="0.25">
      <c r="A103" s="1" t="s">
        <v>1132</v>
      </c>
      <c r="C103" s="1" t="s">
        <v>1133</v>
      </c>
      <c r="D103" s="2" t="s">
        <v>4</v>
      </c>
      <c r="E103" s="8">
        <v>0.89</v>
      </c>
      <c r="F103" s="8">
        <v>0.652360498905181</v>
      </c>
      <c r="G103" s="8">
        <v>0.83733332157134999</v>
      </c>
      <c r="H103" s="8">
        <v>0.55291002988815297</v>
      </c>
      <c r="I103" s="8">
        <v>0.18</v>
      </c>
    </row>
    <row r="104" spans="1:9" x14ac:dyDescent="0.25">
      <c r="A104" s="1" t="s">
        <v>1134</v>
      </c>
      <c r="C104" s="1" t="s">
        <v>1135</v>
      </c>
      <c r="D104" s="2" t="s">
        <v>4</v>
      </c>
      <c r="E104" s="8">
        <v>0.89</v>
      </c>
      <c r="F104" s="8">
        <v>0.63782054185867298</v>
      </c>
      <c r="G104" s="8">
        <v>0.65625</v>
      </c>
      <c r="H104" s="8">
        <v>0.57142859697341897</v>
      </c>
      <c r="I104" s="8">
        <v>0.18</v>
      </c>
    </row>
    <row r="105" spans="1:9" x14ac:dyDescent="0.25">
      <c r="A105" s="1" t="s">
        <v>1136</v>
      </c>
      <c r="C105" s="1" t="s">
        <v>1137</v>
      </c>
      <c r="D105" s="2" t="s">
        <v>4</v>
      </c>
      <c r="E105" s="8">
        <v>0.89</v>
      </c>
      <c r="F105" s="8">
        <v>0.64423078298568703</v>
      </c>
      <c r="G105" s="8">
        <v>0.657320857048034</v>
      </c>
      <c r="H105" s="8">
        <v>0.57270032167434604</v>
      </c>
      <c r="I105" s="8">
        <v>0.18</v>
      </c>
    </row>
    <row r="106" spans="1:9" x14ac:dyDescent="0.25">
      <c r="A106" s="1" t="s">
        <v>1138</v>
      </c>
      <c r="C106" s="1" t="s">
        <v>1139</v>
      </c>
      <c r="D106" s="2" t="s">
        <v>4</v>
      </c>
      <c r="E106" s="8">
        <v>0.89</v>
      </c>
      <c r="F106" s="8">
        <v>0.59514170885086004</v>
      </c>
      <c r="G106" s="8">
        <v>0.57014387845992998</v>
      </c>
      <c r="H106" s="8">
        <v>0.49195402860641402</v>
      </c>
      <c r="I106" s="8">
        <v>0.15</v>
      </c>
    </row>
    <row r="107" spans="1:9" x14ac:dyDescent="0.25">
      <c r="A107" s="1" t="s">
        <v>1140</v>
      </c>
      <c r="C107" s="1" t="s">
        <v>1141</v>
      </c>
      <c r="D107" s="2" t="s">
        <v>4</v>
      </c>
      <c r="E107" s="8">
        <v>0.89</v>
      </c>
      <c r="F107" s="8">
        <v>0.63782054185867298</v>
      </c>
      <c r="G107" s="8">
        <v>0.65625</v>
      </c>
      <c r="H107" s="8">
        <v>0.57142859697341897</v>
      </c>
      <c r="I107" s="8">
        <v>0.16</v>
      </c>
    </row>
    <row r="108" spans="1:9" x14ac:dyDescent="0.25">
      <c r="A108" s="1" t="s">
        <v>1142</v>
      </c>
      <c r="C108" s="1" t="s">
        <v>1143</v>
      </c>
      <c r="D108" s="2" t="s">
        <v>4</v>
      </c>
      <c r="E108" s="8">
        <v>0.89</v>
      </c>
      <c r="F108" s="8">
        <v>0.64423078298568703</v>
      </c>
      <c r="G108" s="8">
        <v>0.657320857048034</v>
      </c>
      <c r="H108" s="8">
        <v>0.57270032167434604</v>
      </c>
      <c r="I108" s="8">
        <v>0.16</v>
      </c>
    </row>
    <row r="109" spans="1:9" x14ac:dyDescent="0.25">
      <c r="A109" s="1" t="s">
        <v>1144</v>
      </c>
      <c r="C109" s="1" t="s">
        <v>1145</v>
      </c>
      <c r="D109" s="2" t="s">
        <v>4</v>
      </c>
      <c r="E109" s="8">
        <v>0.89</v>
      </c>
      <c r="F109" s="8">
        <v>0.598039209842681</v>
      </c>
      <c r="G109" s="8">
        <v>0.98451328277587802</v>
      </c>
      <c r="H109" s="8">
        <v>0.512667655944824</v>
      </c>
      <c r="I109" s="8">
        <v>0.13</v>
      </c>
    </row>
    <row r="110" spans="1:9" x14ac:dyDescent="0.25">
      <c r="A110" s="1" t="s">
        <v>1146</v>
      </c>
      <c r="C110" s="1" t="s">
        <v>1147</v>
      </c>
      <c r="D110" s="2" t="s">
        <v>4</v>
      </c>
      <c r="E110" s="8">
        <v>0.89</v>
      </c>
      <c r="F110" s="8">
        <v>0.64423078298568703</v>
      </c>
      <c r="G110" s="8">
        <v>0.657320857048034</v>
      </c>
      <c r="H110" s="8">
        <v>0.57270032167434604</v>
      </c>
      <c r="I110" s="8">
        <v>0.18</v>
      </c>
    </row>
    <row r="111" spans="1:9" x14ac:dyDescent="0.25">
      <c r="A111" s="1" t="s">
        <v>1148</v>
      </c>
      <c r="C111" s="1" t="s">
        <v>1149</v>
      </c>
      <c r="D111" s="2" t="s">
        <v>4</v>
      </c>
      <c r="E111" s="8">
        <v>0.89</v>
      </c>
      <c r="F111" s="8">
        <v>0.68044078350067105</v>
      </c>
      <c r="G111" s="8">
        <v>0.688679218292236</v>
      </c>
      <c r="H111" s="8">
        <v>0.89851486682891801</v>
      </c>
      <c r="I111" s="8">
        <v>0.46</v>
      </c>
    </row>
    <row r="112" spans="1:9" x14ac:dyDescent="0.25">
      <c r="A112" s="1" t="s">
        <v>1150</v>
      </c>
      <c r="C112" s="1" t="s">
        <v>1151</v>
      </c>
      <c r="D112" s="2" t="s">
        <v>4</v>
      </c>
      <c r="E112" s="8">
        <v>0.88</v>
      </c>
      <c r="F112" s="8">
        <v>0.58563536405563299</v>
      </c>
      <c r="G112" s="8">
        <v>0.55361598730087203</v>
      </c>
      <c r="H112" s="8">
        <v>0.95604395866393999</v>
      </c>
      <c r="I112" s="8">
        <v>0.4</v>
      </c>
    </row>
    <row r="113" spans="1:9" x14ac:dyDescent="0.25">
      <c r="A113" s="1" t="s">
        <v>1152</v>
      </c>
      <c r="C113" s="1" t="s">
        <v>1153</v>
      </c>
      <c r="D113" s="2" t="s">
        <v>4</v>
      </c>
      <c r="E113" s="8">
        <v>0.88</v>
      </c>
      <c r="F113" s="8">
        <v>0.54381442070007302</v>
      </c>
      <c r="G113" s="8">
        <v>0.52400833368301303</v>
      </c>
      <c r="H113" s="8">
        <v>0.79166668653488104</v>
      </c>
      <c r="I113" s="8">
        <v>0.49</v>
      </c>
    </row>
    <row r="114" spans="1:9" x14ac:dyDescent="0.25">
      <c r="A114" s="1" t="s">
        <v>1154</v>
      </c>
      <c r="C114" s="1" t="s">
        <v>1155</v>
      </c>
      <c r="D114" s="2" t="s">
        <v>4</v>
      </c>
      <c r="E114" s="8">
        <v>0.88</v>
      </c>
      <c r="F114" s="8">
        <v>0.63305324316024703</v>
      </c>
      <c r="G114" s="8">
        <v>0.663291156291961</v>
      </c>
      <c r="H114" s="8">
        <v>0.94021737575530995</v>
      </c>
      <c r="I114" s="8">
        <v>0.57999999999999996</v>
      </c>
    </row>
    <row r="115" spans="1:9" x14ac:dyDescent="0.25">
      <c r="A115" s="1" t="s">
        <v>1156</v>
      </c>
      <c r="C115" s="1" t="s">
        <v>1157</v>
      </c>
      <c r="D115" s="2" t="s">
        <v>4</v>
      </c>
      <c r="E115" s="8">
        <v>0.9</v>
      </c>
      <c r="F115" s="8">
        <v>0.65129685401916504</v>
      </c>
      <c r="G115" s="8">
        <v>0.68051946163177401</v>
      </c>
      <c r="H115" s="8">
        <v>0.86737400293350198</v>
      </c>
      <c r="I115" s="8">
        <v>0.55000000000000004</v>
      </c>
    </row>
    <row r="116" spans="1:9" x14ac:dyDescent="0.25">
      <c r="A116" s="1" t="s">
        <v>1158</v>
      </c>
      <c r="C116" s="1" t="s">
        <v>1159</v>
      </c>
      <c r="D116" s="2" t="s">
        <v>4</v>
      </c>
      <c r="E116" s="8">
        <v>0.88</v>
      </c>
      <c r="F116" s="8">
        <v>0.62772583961486805</v>
      </c>
      <c r="G116" s="8">
        <v>0.48361933231353699</v>
      </c>
      <c r="H116" s="8">
        <v>0.49315068125724698</v>
      </c>
      <c r="I116" s="8">
        <v>0.27</v>
      </c>
    </row>
    <row r="117" spans="1:9" x14ac:dyDescent="0.25">
      <c r="A117" s="1" t="s">
        <v>1160</v>
      </c>
      <c r="C117" s="1" t="s">
        <v>1161</v>
      </c>
      <c r="D117" s="2" t="s">
        <v>4</v>
      </c>
      <c r="E117" s="8">
        <v>0.88</v>
      </c>
      <c r="F117" s="8">
        <v>0.52058112621307295</v>
      </c>
      <c r="G117" s="8">
        <v>0.48801368474960299</v>
      </c>
      <c r="H117" s="8">
        <v>0.447319775819778</v>
      </c>
      <c r="I117" s="8">
        <v>0.31</v>
      </c>
    </row>
    <row r="118" spans="1:9" x14ac:dyDescent="0.25">
      <c r="A118" s="1" t="s">
        <v>1162</v>
      </c>
      <c r="C118" s="1" t="s">
        <v>1163</v>
      </c>
      <c r="D118" s="2" t="s">
        <v>4</v>
      </c>
      <c r="E118" s="8">
        <v>0.88</v>
      </c>
      <c r="F118" s="8">
        <v>0.66315788030624301</v>
      </c>
      <c r="G118" s="8">
        <v>0.72168284654617298</v>
      </c>
      <c r="H118" s="8">
        <v>0.5</v>
      </c>
      <c r="I118" s="8">
        <v>0.15</v>
      </c>
    </row>
    <row r="119" spans="1:9" x14ac:dyDescent="0.25">
      <c r="A119" s="1" t="s">
        <v>1164</v>
      </c>
      <c r="C119" s="1" t="s">
        <v>1165</v>
      </c>
      <c r="D119" s="2" t="s">
        <v>4</v>
      </c>
      <c r="E119" s="8">
        <v>0.88</v>
      </c>
      <c r="F119" s="8">
        <v>0.69444441795349099</v>
      </c>
      <c r="G119" s="8">
        <v>0.70134228467941195</v>
      </c>
      <c r="H119" s="8">
        <v>0.53495442867278997</v>
      </c>
      <c r="I119" s="8">
        <v>0.14000000000000001</v>
      </c>
    </row>
    <row r="120" spans="1:9" x14ac:dyDescent="0.25">
      <c r="A120" s="1" t="s">
        <v>1166</v>
      </c>
      <c r="C120" s="1" t="s">
        <v>1167</v>
      </c>
      <c r="D120" s="2" t="s">
        <v>4</v>
      </c>
      <c r="E120" s="8">
        <v>0.88</v>
      </c>
      <c r="F120" s="8">
        <v>0.68402779102325395</v>
      </c>
      <c r="G120" s="8">
        <v>0.707547187805175</v>
      </c>
      <c r="H120" s="8">
        <v>0.49428570270538302</v>
      </c>
      <c r="I120" s="8">
        <v>0.12</v>
      </c>
    </row>
    <row r="121" spans="1:9" x14ac:dyDescent="0.25">
      <c r="A121" s="1" t="s">
        <v>1168</v>
      </c>
      <c r="C121" s="1" t="s">
        <v>1169</v>
      </c>
      <c r="D121" s="2" t="s">
        <v>4</v>
      </c>
      <c r="E121" s="8">
        <v>0.88</v>
      </c>
      <c r="F121" s="8">
        <v>0.62030076980590798</v>
      </c>
      <c r="G121" s="8">
        <v>0.73745173215866</v>
      </c>
      <c r="H121" s="8">
        <v>0.61702126264572099</v>
      </c>
      <c r="I121" s="8">
        <v>0.16</v>
      </c>
    </row>
    <row r="122" spans="1:9" x14ac:dyDescent="0.25">
      <c r="A122" s="1" t="s">
        <v>1170</v>
      </c>
      <c r="C122" s="1" t="s">
        <v>1171</v>
      </c>
      <c r="D122" s="2" t="s">
        <v>4</v>
      </c>
      <c r="E122" s="8">
        <v>0.88</v>
      </c>
      <c r="F122" s="8">
        <v>0.63815790414810103</v>
      </c>
      <c r="G122" s="8">
        <v>0.67857140302658003</v>
      </c>
      <c r="H122" s="8">
        <v>0.56534951925277699</v>
      </c>
      <c r="I122" s="8">
        <v>0.18</v>
      </c>
    </row>
    <row r="123" spans="1:9" x14ac:dyDescent="0.25">
      <c r="A123" s="1" t="s">
        <v>1172</v>
      </c>
      <c r="C123" s="1" t="s">
        <v>1173</v>
      </c>
      <c r="D123" s="2" t="s">
        <v>4</v>
      </c>
      <c r="E123" s="8">
        <v>0.88</v>
      </c>
      <c r="F123" s="8">
        <v>0.64012736082077004</v>
      </c>
      <c r="G123" s="8">
        <v>0.66355139017105103</v>
      </c>
      <c r="H123" s="8">
        <v>0.56932151317596402</v>
      </c>
      <c r="I123" s="8">
        <v>0.11</v>
      </c>
    </row>
    <row r="124" spans="1:9" x14ac:dyDescent="0.25">
      <c r="A124" s="1" t="s">
        <v>1174</v>
      </c>
      <c r="C124" s="1" t="s">
        <v>1175</v>
      </c>
      <c r="D124" s="2" t="s">
        <v>4</v>
      </c>
      <c r="E124" s="8">
        <v>0.88</v>
      </c>
      <c r="F124" s="8">
        <v>0.63940519094467096</v>
      </c>
      <c r="G124" s="8">
        <v>0.76245212554931596</v>
      </c>
      <c r="H124" s="8">
        <v>0.58536583185195901</v>
      </c>
      <c r="I124" s="8">
        <v>0.18</v>
      </c>
    </row>
    <row r="125" spans="1:9" x14ac:dyDescent="0.25">
      <c r="A125" s="1" t="s">
        <v>1176</v>
      </c>
      <c r="C125" s="1" t="s">
        <v>1177</v>
      </c>
      <c r="D125" s="2" t="s">
        <v>4</v>
      </c>
      <c r="E125" s="8">
        <v>0.88</v>
      </c>
      <c r="F125" s="8">
        <v>0.67697596549987704</v>
      </c>
      <c r="G125" s="8">
        <v>0.71159875392913796</v>
      </c>
      <c r="H125" s="8">
        <v>0.49185666441917397</v>
      </c>
      <c r="I125" s="8">
        <v>0.13</v>
      </c>
    </row>
    <row r="126" spans="1:9" x14ac:dyDescent="0.25">
      <c r="A126" s="1" t="s">
        <v>1178</v>
      </c>
      <c r="C126" s="1" t="s">
        <v>1179</v>
      </c>
      <c r="D126" s="2" t="s">
        <v>4</v>
      </c>
      <c r="E126" s="8">
        <v>0.88</v>
      </c>
      <c r="F126" s="8">
        <v>0.64959013462066595</v>
      </c>
      <c r="G126" s="8">
        <v>0.94623655080795199</v>
      </c>
      <c r="H126" s="8">
        <v>0.50241547822952204</v>
      </c>
      <c r="I126" s="8">
        <v>0.18</v>
      </c>
    </row>
    <row r="127" spans="1:9" x14ac:dyDescent="0.25">
      <c r="A127" s="1" t="s">
        <v>1180</v>
      </c>
      <c r="C127" s="1" t="s">
        <v>1181</v>
      </c>
      <c r="D127" s="2" t="s">
        <v>4</v>
      </c>
      <c r="E127" s="8">
        <v>0.88</v>
      </c>
      <c r="F127" s="8">
        <v>0.66315788030624301</v>
      </c>
      <c r="G127" s="8">
        <v>0.72168284654617298</v>
      </c>
      <c r="H127" s="8">
        <v>0.5</v>
      </c>
      <c r="I127" s="8">
        <v>0.15</v>
      </c>
    </row>
    <row r="128" spans="1:9" x14ac:dyDescent="0.25">
      <c r="A128" s="1" t="s">
        <v>1182</v>
      </c>
      <c r="C128" s="1" t="s">
        <v>1183</v>
      </c>
      <c r="D128" s="2" t="s">
        <v>4</v>
      </c>
      <c r="E128" s="8">
        <v>0.88</v>
      </c>
      <c r="F128" s="8">
        <v>0.62030076980590798</v>
      </c>
      <c r="G128" s="8">
        <v>0.73745173215866</v>
      </c>
      <c r="H128" s="8">
        <v>0.61702126264572099</v>
      </c>
      <c r="I128" s="8">
        <v>0.16</v>
      </c>
    </row>
    <row r="129" spans="1:9" x14ac:dyDescent="0.25">
      <c r="A129" s="1" t="s">
        <v>1184</v>
      </c>
      <c r="C129" s="1" t="s">
        <v>1185</v>
      </c>
      <c r="D129" s="2" t="s">
        <v>4</v>
      </c>
      <c r="E129" s="8">
        <v>0.88</v>
      </c>
      <c r="F129" s="8">
        <v>0.68166089057922297</v>
      </c>
      <c r="G129" s="8">
        <v>0.70532917976379395</v>
      </c>
      <c r="H129" s="8">
        <v>0.49508196115493702</v>
      </c>
      <c r="I129" s="8">
        <v>0.12</v>
      </c>
    </row>
    <row r="130" spans="1:9" x14ac:dyDescent="0.25">
      <c r="A130" s="1" t="s">
        <v>1186</v>
      </c>
      <c r="C130" s="1" t="s">
        <v>1187</v>
      </c>
      <c r="D130" s="2" t="s">
        <v>4</v>
      </c>
      <c r="E130" s="8">
        <v>0.88</v>
      </c>
      <c r="F130" s="8">
        <v>0.64423078298568703</v>
      </c>
      <c r="G130" s="8">
        <v>0.657320857048034</v>
      </c>
      <c r="H130" s="8">
        <v>0.57270032167434604</v>
      </c>
      <c r="I130" s="8">
        <v>0.18</v>
      </c>
    </row>
    <row r="131" spans="1:9" x14ac:dyDescent="0.25">
      <c r="A131" s="1" t="s">
        <v>1188</v>
      </c>
      <c r="C131" s="1" t="s">
        <v>1189</v>
      </c>
      <c r="D131" s="2" t="s">
        <v>4</v>
      </c>
      <c r="E131" s="8">
        <v>0.872</v>
      </c>
      <c r="F131" s="8">
        <v>0.66315788030624301</v>
      </c>
      <c r="G131" s="8">
        <v>0.72168284654617298</v>
      </c>
      <c r="H131" s="8">
        <v>0.5</v>
      </c>
      <c r="I131" s="8">
        <v>0.17</v>
      </c>
    </row>
    <row r="132" spans="1:9" x14ac:dyDescent="0.25">
      <c r="A132" s="1" t="s">
        <v>1190</v>
      </c>
      <c r="C132" s="1" t="s">
        <v>1191</v>
      </c>
      <c r="D132" s="2" t="s">
        <v>4</v>
      </c>
      <c r="E132" s="8">
        <v>0.87</v>
      </c>
      <c r="F132" s="8">
        <v>0.60916441679000799</v>
      </c>
      <c r="G132" s="8">
        <v>0.76585364341735795</v>
      </c>
      <c r="H132" s="8">
        <v>0.77225130796432495</v>
      </c>
      <c r="I132" s="8">
        <v>0.4</v>
      </c>
    </row>
    <row r="133" spans="1:9" x14ac:dyDescent="0.25">
      <c r="A133" s="1" t="s">
        <v>1192</v>
      </c>
      <c r="C133" s="1" t="s">
        <v>1193</v>
      </c>
      <c r="D133" s="2" t="s">
        <v>4</v>
      </c>
      <c r="E133" s="8">
        <v>0.87</v>
      </c>
      <c r="F133" s="8">
        <v>0.67486339807510298</v>
      </c>
      <c r="G133" s="8">
        <v>0.96747964620590199</v>
      </c>
      <c r="H133" s="8">
        <v>0.95064932107925404</v>
      </c>
      <c r="I133" s="8">
        <v>0.6</v>
      </c>
    </row>
    <row r="134" spans="1:9" x14ac:dyDescent="0.25">
      <c r="A134" s="1" t="s">
        <v>1194</v>
      </c>
      <c r="C134" s="1" t="s">
        <v>1195</v>
      </c>
      <c r="D134" s="2" t="s">
        <v>4</v>
      </c>
      <c r="E134" s="8">
        <v>0.87</v>
      </c>
      <c r="F134" s="8">
        <v>0.58961039781570401</v>
      </c>
      <c r="G134" s="8">
        <v>0.68647539615631104</v>
      </c>
      <c r="H134" s="8">
        <v>0.77020204067230202</v>
      </c>
      <c r="I134" s="8">
        <v>0.49</v>
      </c>
    </row>
    <row r="135" spans="1:9" x14ac:dyDescent="0.25">
      <c r="A135" s="1" t="s">
        <v>1196</v>
      </c>
      <c r="C135" s="1" t="s">
        <v>1197</v>
      </c>
      <c r="D135" s="2" t="s">
        <v>4</v>
      </c>
      <c r="E135" s="8">
        <v>0.87</v>
      </c>
      <c r="F135" s="8">
        <v>0.579487204551696</v>
      </c>
      <c r="G135" s="8">
        <v>0.71627908945083596</v>
      </c>
      <c r="H135" s="8">
        <v>0.74000000953674305</v>
      </c>
      <c r="I135" s="8">
        <v>0.35</v>
      </c>
    </row>
    <row r="136" spans="1:9" x14ac:dyDescent="0.25">
      <c r="A136" s="1" t="s">
        <v>1198</v>
      </c>
      <c r="C136" s="1" t="s">
        <v>1199</v>
      </c>
      <c r="D136" s="2" t="s">
        <v>4</v>
      </c>
      <c r="E136" s="8">
        <v>0.87</v>
      </c>
      <c r="F136" s="8">
        <v>0.56521737575530995</v>
      </c>
      <c r="G136" s="8">
        <v>0.62826085090637196</v>
      </c>
      <c r="H136" s="8">
        <v>0.61914461851119995</v>
      </c>
      <c r="I136" s="8">
        <v>0.5</v>
      </c>
    </row>
    <row r="137" spans="1:9" x14ac:dyDescent="0.25">
      <c r="A137" s="1" t="s">
        <v>1200</v>
      </c>
      <c r="C137" s="1" t="s">
        <v>1201</v>
      </c>
      <c r="D137" s="2" t="s">
        <v>4</v>
      </c>
      <c r="E137" s="8">
        <v>0.87</v>
      </c>
      <c r="F137" s="8">
        <v>0.647727251052856</v>
      </c>
      <c r="G137" s="8">
        <v>0.63760215044021595</v>
      </c>
      <c r="H137" s="8">
        <v>0.55764073133468595</v>
      </c>
      <c r="I137" s="8">
        <v>0.13</v>
      </c>
    </row>
    <row r="138" spans="1:9" x14ac:dyDescent="0.25">
      <c r="A138" s="1" t="s">
        <v>1202</v>
      </c>
      <c r="C138" s="1" t="s">
        <v>1203</v>
      </c>
      <c r="D138" s="2" t="s">
        <v>4</v>
      </c>
      <c r="E138" s="8">
        <v>0.87</v>
      </c>
      <c r="F138" s="8">
        <v>0.58118361234664895</v>
      </c>
      <c r="G138" s="8">
        <v>0.858800768852233</v>
      </c>
      <c r="H138" s="8">
        <v>0.51544946432113603</v>
      </c>
      <c r="I138" s="8">
        <v>0.18</v>
      </c>
    </row>
    <row r="139" spans="1:9" x14ac:dyDescent="0.25">
      <c r="A139" s="1" t="s">
        <v>1204</v>
      </c>
      <c r="C139" s="1" t="s">
        <v>1205</v>
      </c>
      <c r="D139" s="2" t="s">
        <v>4</v>
      </c>
      <c r="E139" s="8">
        <v>0.87</v>
      </c>
      <c r="F139" s="8">
        <v>0.63782054185867298</v>
      </c>
      <c r="G139" s="8">
        <v>0.65625</v>
      </c>
      <c r="H139" s="8">
        <v>0.57142859697341897</v>
      </c>
      <c r="I139" s="8">
        <v>0.2</v>
      </c>
    </row>
    <row r="140" spans="1:9" x14ac:dyDescent="0.25">
      <c r="A140" s="1" t="s">
        <v>1206</v>
      </c>
      <c r="C140" s="1" t="s">
        <v>1207</v>
      </c>
      <c r="D140" s="2" t="s">
        <v>4</v>
      </c>
      <c r="E140" s="8">
        <v>0.87</v>
      </c>
      <c r="F140" s="8">
        <v>0.52112674713134699</v>
      </c>
      <c r="G140" s="8">
        <v>0.64415585994720403</v>
      </c>
      <c r="H140" s="8">
        <v>0.44158416986465399</v>
      </c>
      <c r="I140" s="8">
        <v>0.17</v>
      </c>
    </row>
    <row r="141" spans="1:9" x14ac:dyDescent="0.25">
      <c r="A141" s="1" t="s">
        <v>1208</v>
      </c>
      <c r="C141" s="1" t="s">
        <v>1209</v>
      </c>
      <c r="D141" s="2" t="s">
        <v>4</v>
      </c>
      <c r="E141" s="8">
        <v>0.87</v>
      </c>
      <c r="F141" s="8">
        <v>0.60481929779052701</v>
      </c>
      <c r="G141" s="8">
        <v>0.65312498807907104</v>
      </c>
      <c r="H141" s="8">
        <v>0.56845235824584905</v>
      </c>
      <c r="I141" s="8">
        <v>0.17</v>
      </c>
    </row>
    <row r="142" spans="1:9" x14ac:dyDescent="0.25">
      <c r="A142" s="1" t="s">
        <v>1210</v>
      </c>
      <c r="C142" s="1" t="s">
        <v>1211</v>
      </c>
      <c r="D142" s="2" t="s">
        <v>4</v>
      </c>
      <c r="E142" s="8">
        <v>0.87</v>
      </c>
      <c r="F142" s="8">
        <v>0.60481929779052701</v>
      </c>
      <c r="G142" s="8">
        <v>0.65312498807907104</v>
      </c>
      <c r="H142" s="8">
        <v>0.56845235824584905</v>
      </c>
      <c r="I142" s="8">
        <v>0.17</v>
      </c>
    </row>
    <row r="143" spans="1:9" x14ac:dyDescent="0.25">
      <c r="A143" s="1" t="s">
        <v>1212</v>
      </c>
      <c r="C143" s="1" t="s">
        <v>1213</v>
      </c>
      <c r="D143" s="2" t="s">
        <v>4</v>
      </c>
      <c r="E143" s="8">
        <v>0.87</v>
      </c>
      <c r="F143" s="8">
        <v>0.64838707447052002</v>
      </c>
      <c r="G143" s="8">
        <v>0.71249997615814198</v>
      </c>
      <c r="H143" s="8">
        <v>0.48732393980026201</v>
      </c>
      <c r="I143" s="8">
        <v>0.18</v>
      </c>
    </row>
    <row r="144" spans="1:9" x14ac:dyDescent="0.25">
      <c r="A144" s="1" t="s">
        <v>1214</v>
      </c>
      <c r="C144" s="1" t="s">
        <v>1215</v>
      </c>
      <c r="D144" s="2" t="s">
        <v>4</v>
      </c>
      <c r="E144" s="8">
        <v>0.87</v>
      </c>
      <c r="F144" s="8">
        <v>0.56478404998779297</v>
      </c>
      <c r="G144" s="8">
        <v>0.978823542594909</v>
      </c>
      <c r="H144" s="8">
        <v>0.56275302171707098</v>
      </c>
      <c r="I144" s="8">
        <v>0.2</v>
      </c>
    </row>
    <row r="145" spans="1:9" x14ac:dyDescent="0.25">
      <c r="A145" s="1" t="s">
        <v>1216</v>
      </c>
      <c r="C145" s="1" t="s">
        <v>1217</v>
      </c>
      <c r="D145" s="2" t="s">
        <v>4</v>
      </c>
      <c r="E145" s="8">
        <v>0.87</v>
      </c>
      <c r="F145" s="8">
        <v>0.58499234914779596</v>
      </c>
      <c r="G145" s="8">
        <v>0.87058824300765902</v>
      </c>
      <c r="H145" s="8">
        <v>0.52489334344863803</v>
      </c>
      <c r="I145" s="8">
        <v>0.18</v>
      </c>
    </row>
    <row r="146" spans="1:9" x14ac:dyDescent="0.25">
      <c r="A146" s="1" t="s">
        <v>1218</v>
      </c>
      <c r="C146" s="1" t="s">
        <v>1219</v>
      </c>
      <c r="D146" s="2" t="s">
        <v>4</v>
      </c>
      <c r="E146" s="8">
        <v>0.87</v>
      </c>
      <c r="F146" s="8">
        <v>0.56478404998779297</v>
      </c>
      <c r="G146" s="8">
        <v>0.978823542594909</v>
      </c>
      <c r="H146" s="8">
        <v>0.56275302171707098</v>
      </c>
      <c r="I146" s="8">
        <v>0.2</v>
      </c>
    </row>
    <row r="147" spans="1:9" x14ac:dyDescent="0.25">
      <c r="A147" s="1" t="s">
        <v>1220</v>
      </c>
      <c r="C147" s="1" t="s">
        <v>1221</v>
      </c>
      <c r="D147" s="2" t="s">
        <v>4</v>
      </c>
      <c r="E147" s="8">
        <v>0.87</v>
      </c>
      <c r="F147" s="8">
        <v>0.67474049329757602</v>
      </c>
      <c r="G147" s="8">
        <v>0.69905954599380404</v>
      </c>
      <c r="H147" s="8">
        <v>0.49142858386039701</v>
      </c>
      <c r="I147" s="8">
        <v>0.14000000000000001</v>
      </c>
    </row>
    <row r="148" spans="1:9" x14ac:dyDescent="0.25">
      <c r="A148" s="1" t="s">
        <v>1222</v>
      </c>
      <c r="C148" s="1" t="s">
        <v>1223</v>
      </c>
      <c r="D148" s="2" t="s">
        <v>4</v>
      </c>
      <c r="E148" s="8">
        <v>0.87</v>
      </c>
      <c r="F148" s="8">
        <v>0.67017543315887396</v>
      </c>
      <c r="G148" s="8">
        <v>0.72815531492233199</v>
      </c>
      <c r="H148" s="8">
        <v>0.50675678253173795</v>
      </c>
      <c r="I148" s="8">
        <v>0.14000000000000001</v>
      </c>
    </row>
    <row r="149" spans="1:9" x14ac:dyDescent="0.25">
      <c r="A149" s="1" t="s">
        <v>1224</v>
      </c>
      <c r="C149" s="1" t="s">
        <v>1225</v>
      </c>
      <c r="D149" s="2" t="s">
        <v>4</v>
      </c>
      <c r="E149" s="8">
        <v>0.87</v>
      </c>
      <c r="F149" s="8">
        <v>0.67017543315887396</v>
      </c>
      <c r="G149" s="8">
        <v>0.72815531492233199</v>
      </c>
      <c r="H149" s="8">
        <v>0.50675678253173795</v>
      </c>
      <c r="I149" s="8">
        <v>0.15</v>
      </c>
    </row>
    <row r="150" spans="1:9" x14ac:dyDescent="0.25">
      <c r="A150" s="1" t="s">
        <v>1226</v>
      </c>
      <c r="C150" s="1" t="s">
        <v>1219</v>
      </c>
      <c r="D150" s="2" t="s">
        <v>4</v>
      </c>
      <c r="E150" s="8">
        <v>0.87</v>
      </c>
      <c r="F150" s="8">
        <v>0.56478404998779297</v>
      </c>
      <c r="G150" s="8">
        <v>0.978823542594909</v>
      </c>
      <c r="H150" s="8">
        <v>0.56275302171707098</v>
      </c>
      <c r="I150" s="8">
        <v>0.2</v>
      </c>
    </row>
    <row r="151" spans="1:9" x14ac:dyDescent="0.25">
      <c r="A151" s="1" t="s">
        <v>1227</v>
      </c>
      <c r="C151" s="1" t="s">
        <v>1228</v>
      </c>
      <c r="D151" s="2" t="s">
        <v>4</v>
      </c>
      <c r="E151" s="8">
        <v>0.86</v>
      </c>
      <c r="F151" s="8">
        <v>0.60000002384185702</v>
      </c>
      <c r="G151" s="8">
        <v>0.39519649744033802</v>
      </c>
      <c r="H151" s="8">
        <v>0.77322405576705899</v>
      </c>
      <c r="I151" s="8">
        <v>0.59</v>
      </c>
    </row>
    <row r="152" spans="1:9" x14ac:dyDescent="0.25">
      <c r="A152" s="1" t="s">
        <v>1229</v>
      </c>
      <c r="C152" s="1" t="s">
        <v>1230</v>
      </c>
      <c r="D152" s="2" t="s">
        <v>4</v>
      </c>
      <c r="E152" s="8">
        <v>0.86</v>
      </c>
      <c r="F152" s="8">
        <v>0.56853932142257602</v>
      </c>
      <c r="G152" s="8">
        <v>0.524017453193664</v>
      </c>
      <c r="H152" s="8">
        <v>0.75912410020828203</v>
      </c>
      <c r="I152" s="8">
        <v>0.64</v>
      </c>
    </row>
    <row r="153" spans="1:9" x14ac:dyDescent="0.25">
      <c r="A153" s="1" t="s">
        <v>1231</v>
      </c>
      <c r="C153" s="1" t="s">
        <v>1232</v>
      </c>
      <c r="D153" s="2" t="s">
        <v>4</v>
      </c>
      <c r="E153" s="8">
        <v>0.86</v>
      </c>
      <c r="F153" s="8">
        <v>0.61596012115478505</v>
      </c>
      <c r="G153" s="8">
        <v>0.76590907573699896</v>
      </c>
      <c r="H153" s="8">
        <v>0.80365294218063299</v>
      </c>
      <c r="I153" s="8">
        <v>0.46</v>
      </c>
    </row>
    <row r="154" spans="1:9" x14ac:dyDescent="0.25">
      <c r="A154" s="1" t="s">
        <v>1233</v>
      </c>
      <c r="C154" s="1" t="s">
        <v>1234</v>
      </c>
      <c r="D154" s="2" t="s">
        <v>4</v>
      </c>
      <c r="E154" s="8">
        <v>0.86</v>
      </c>
      <c r="F154" s="8">
        <v>0.600566565990448</v>
      </c>
      <c r="G154" s="8">
        <v>0.55612242221832198</v>
      </c>
      <c r="H154" s="8">
        <v>0.931318700313568</v>
      </c>
      <c r="I154" s="8">
        <v>0.43</v>
      </c>
    </row>
    <row r="155" spans="1:9" x14ac:dyDescent="0.25">
      <c r="A155" s="1" t="s">
        <v>1235</v>
      </c>
      <c r="C155" s="1" t="s">
        <v>1236</v>
      </c>
      <c r="D155" s="2" t="s">
        <v>4</v>
      </c>
      <c r="E155" s="8">
        <v>0.86</v>
      </c>
      <c r="F155" s="8">
        <v>0.57266813516616799</v>
      </c>
      <c r="G155" s="8">
        <v>0.51644098758697499</v>
      </c>
      <c r="H155" s="8">
        <v>0.74567902088165205</v>
      </c>
      <c r="I155" s="8">
        <v>0.48</v>
      </c>
    </row>
    <row r="156" spans="1:9" x14ac:dyDescent="0.25">
      <c r="A156" s="1" t="s">
        <v>1237</v>
      </c>
      <c r="C156" s="1" t="s">
        <v>1238</v>
      </c>
      <c r="D156" s="2" t="s">
        <v>4</v>
      </c>
      <c r="E156" s="8">
        <v>0.86</v>
      </c>
      <c r="F156" s="8">
        <v>0.65691488981246904</v>
      </c>
      <c r="G156" s="8">
        <v>0.83715015649795499</v>
      </c>
      <c r="H156" s="8">
        <v>0.74238878488540605</v>
      </c>
      <c r="I156" s="8">
        <v>0.57999999999999996</v>
      </c>
    </row>
    <row r="157" spans="1:9" x14ac:dyDescent="0.25">
      <c r="A157" s="1" t="s">
        <v>1239</v>
      </c>
      <c r="C157" s="1" t="s">
        <v>1240</v>
      </c>
      <c r="D157" s="2" t="s">
        <v>4</v>
      </c>
      <c r="E157" s="8">
        <v>0.86</v>
      </c>
      <c r="F157" s="8">
        <v>0.59212601184844904</v>
      </c>
      <c r="G157" s="8">
        <v>0.72577321529388406</v>
      </c>
      <c r="H157" s="8">
        <v>0.46473780274391102</v>
      </c>
      <c r="I157" s="8">
        <v>0.14000000000000001</v>
      </c>
    </row>
    <row r="158" spans="1:9" x14ac:dyDescent="0.25">
      <c r="A158" s="1" t="s">
        <v>1241</v>
      </c>
      <c r="C158" s="1" t="s">
        <v>1242</v>
      </c>
      <c r="D158" s="2" t="s">
        <v>4</v>
      </c>
      <c r="E158" s="8">
        <v>0.86</v>
      </c>
      <c r="F158" s="8">
        <v>0.45372051000594998</v>
      </c>
      <c r="G158" s="8">
        <v>0.44781145453452997</v>
      </c>
      <c r="H158" s="8">
        <v>0.63705104589462203</v>
      </c>
      <c r="I158" s="8">
        <v>0.33</v>
      </c>
    </row>
    <row r="159" spans="1:9" x14ac:dyDescent="0.25">
      <c r="A159" s="1" t="s">
        <v>1243</v>
      </c>
      <c r="C159" s="1" t="s">
        <v>1244</v>
      </c>
      <c r="D159" s="2" t="s">
        <v>4</v>
      </c>
      <c r="E159" s="8">
        <v>0.86</v>
      </c>
      <c r="F159" s="8">
        <v>0.55802470445632901</v>
      </c>
      <c r="G159" s="8">
        <v>0.62284481525421098</v>
      </c>
      <c r="H159" s="8">
        <v>0.78037381172180098</v>
      </c>
      <c r="I159" s="8">
        <v>0.43</v>
      </c>
    </row>
    <row r="160" spans="1:9" x14ac:dyDescent="0.25">
      <c r="A160" s="1" t="s">
        <v>1245</v>
      </c>
      <c r="C160" s="1" t="s">
        <v>1246</v>
      </c>
      <c r="D160" s="2" t="s">
        <v>4</v>
      </c>
      <c r="E160" s="8">
        <v>0.86</v>
      </c>
      <c r="F160" s="8">
        <v>0.58774375915527299</v>
      </c>
      <c r="G160" s="8">
        <v>0.56823265552520696</v>
      </c>
      <c r="H160" s="8">
        <v>0.82151591777801503</v>
      </c>
      <c r="I160" s="8">
        <v>0.42</v>
      </c>
    </row>
    <row r="161" spans="1:9" x14ac:dyDescent="0.25">
      <c r="A161" s="1" t="s">
        <v>1247</v>
      </c>
      <c r="C161" s="1" t="s">
        <v>1248</v>
      </c>
      <c r="D161" s="2" t="s">
        <v>4</v>
      </c>
      <c r="E161" s="8">
        <v>0.86</v>
      </c>
      <c r="F161" s="8">
        <v>0.58549225330352705</v>
      </c>
      <c r="G161" s="8">
        <v>0.69852942228317205</v>
      </c>
      <c r="H161" s="8">
        <v>0.74747473001480103</v>
      </c>
      <c r="I161" s="8">
        <v>0.39</v>
      </c>
    </row>
    <row r="162" spans="1:9" x14ac:dyDescent="0.25">
      <c r="A162" s="1" t="s">
        <v>1249</v>
      </c>
      <c r="C162" s="1" t="s">
        <v>1250</v>
      </c>
      <c r="D162" s="2" t="s">
        <v>4</v>
      </c>
      <c r="E162" s="8">
        <v>0.86</v>
      </c>
      <c r="F162" s="8">
        <v>0.53994083404541005</v>
      </c>
      <c r="G162" s="8">
        <v>0.54716980457305897</v>
      </c>
      <c r="H162" s="8">
        <v>0.55922037363052302</v>
      </c>
      <c r="I162" s="8">
        <v>0.44</v>
      </c>
    </row>
    <row r="163" spans="1:9" x14ac:dyDescent="0.25">
      <c r="A163" s="1" t="s">
        <v>1251</v>
      </c>
      <c r="C163" s="1" t="s">
        <v>1252</v>
      </c>
      <c r="D163" s="2" t="s">
        <v>4</v>
      </c>
      <c r="E163" s="8">
        <v>0.86</v>
      </c>
      <c r="F163" s="8">
        <v>0.64423078298568703</v>
      </c>
      <c r="G163" s="8">
        <v>0.657320857048034</v>
      </c>
      <c r="H163" s="8">
        <v>0.57270032167434604</v>
      </c>
      <c r="I163" s="8">
        <v>0.2</v>
      </c>
    </row>
    <row r="164" spans="1:9" x14ac:dyDescent="0.25">
      <c r="A164" s="1" t="s">
        <v>1253</v>
      </c>
      <c r="C164" s="1" t="s">
        <v>1254</v>
      </c>
      <c r="D164" s="2" t="s">
        <v>4</v>
      </c>
      <c r="E164" s="8">
        <v>0.86</v>
      </c>
      <c r="F164" s="8">
        <v>0.62790697813034002</v>
      </c>
      <c r="G164" s="8">
        <v>0.72402596473693803</v>
      </c>
      <c r="H164" s="8">
        <v>0.477564096450805</v>
      </c>
      <c r="I164" s="8">
        <v>0.28000000000000003</v>
      </c>
    </row>
    <row r="165" spans="1:9" x14ac:dyDescent="0.25">
      <c r="A165" s="1" t="s">
        <v>1255</v>
      </c>
      <c r="C165" s="1" t="s">
        <v>1256</v>
      </c>
      <c r="D165" s="2" t="s">
        <v>4</v>
      </c>
      <c r="E165" s="8">
        <v>0.86</v>
      </c>
      <c r="F165" s="8">
        <v>0.69736844301223699</v>
      </c>
      <c r="G165" s="8">
        <v>0.56088560819625799</v>
      </c>
      <c r="H165" s="8">
        <v>0.45841786265373202</v>
      </c>
      <c r="I165" s="8">
        <v>0.28000000000000003</v>
      </c>
    </row>
    <row r="166" spans="1:9" x14ac:dyDescent="0.25">
      <c r="A166" s="1" t="s">
        <v>1257</v>
      </c>
      <c r="C166" s="1" t="s">
        <v>1258</v>
      </c>
      <c r="D166" s="2" t="s">
        <v>4</v>
      </c>
      <c r="E166" s="8">
        <v>0.86</v>
      </c>
      <c r="F166" s="8">
        <v>0.44897958636283802</v>
      </c>
      <c r="G166" s="8">
        <v>0.47109827399253801</v>
      </c>
      <c r="H166" s="8">
        <v>0.47191011905670099</v>
      </c>
      <c r="I166" s="8">
        <v>0.22</v>
      </c>
    </row>
    <row r="167" spans="1:9" x14ac:dyDescent="0.25">
      <c r="A167" s="1" t="s">
        <v>1259</v>
      </c>
      <c r="C167" s="1" t="s">
        <v>1260</v>
      </c>
      <c r="D167" s="2" t="s">
        <v>4</v>
      </c>
      <c r="E167" s="8">
        <v>0.86</v>
      </c>
      <c r="F167" s="8">
        <v>0.61089491844177202</v>
      </c>
      <c r="G167" s="8">
        <v>0.71320754289626997</v>
      </c>
      <c r="H167" s="8">
        <v>0.58677685260772705</v>
      </c>
      <c r="I167" s="8">
        <v>0.23</v>
      </c>
    </row>
    <row r="168" spans="1:9" x14ac:dyDescent="0.25">
      <c r="A168" s="1" t="s">
        <v>1261</v>
      </c>
      <c r="C168" s="1" t="s">
        <v>1262</v>
      </c>
      <c r="D168" s="2" t="s">
        <v>4</v>
      </c>
      <c r="E168" s="8">
        <v>0.86</v>
      </c>
      <c r="F168" s="8">
        <v>0.63703703880310003</v>
      </c>
      <c r="G168" s="8">
        <v>0.76628351211547796</v>
      </c>
      <c r="H168" s="8">
        <v>0.58299595117568903</v>
      </c>
      <c r="I168" s="8">
        <v>0.2</v>
      </c>
    </row>
    <row r="169" spans="1:9" x14ac:dyDescent="0.25">
      <c r="A169" s="1" t="s">
        <v>1263</v>
      </c>
      <c r="C169" s="1" t="s">
        <v>1264</v>
      </c>
      <c r="D169" s="2" t="s">
        <v>4</v>
      </c>
      <c r="E169" s="8">
        <v>0.86</v>
      </c>
      <c r="F169" s="8">
        <v>0.62126243114471402</v>
      </c>
      <c r="G169" s="8">
        <v>0.79151946306228604</v>
      </c>
      <c r="H169" s="8">
        <v>0.52264809608459395</v>
      </c>
      <c r="I169" s="8">
        <v>0.12</v>
      </c>
    </row>
    <row r="170" spans="1:9" x14ac:dyDescent="0.25">
      <c r="A170" s="1" t="s">
        <v>1265</v>
      </c>
      <c r="C170" s="1" t="s">
        <v>1266</v>
      </c>
      <c r="D170" s="2" t="s">
        <v>4</v>
      </c>
      <c r="E170" s="8">
        <v>0.86</v>
      </c>
      <c r="F170" s="8">
        <v>0.53239434957504195</v>
      </c>
      <c r="G170" s="8">
        <v>0.565143823623657</v>
      </c>
      <c r="H170" s="8">
        <v>0.57715135812759399</v>
      </c>
      <c r="I170" s="8">
        <v>0.45</v>
      </c>
    </row>
    <row r="171" spans="1:9" x14ac:dyDescent="0.25">
      <c r="A171" s="1" t="s">
        <v>1267</v>
      </c>
      <c r="C171" s="1" t="s">
        <v>1268</v>
      </c>
      <c r="D171" s="2" t="s">
        <v>4</v>
      </c>
      <c r="E171" s="8">
        <v>0.86</v>
      </c>
      <c r="F171" s="8">
        <v>0.59946948289871205</v>
      </c>
      <c r="G171" s="8">
        <v>0.64705884456634499</v>
      </c>
      <c r="H171" s="8">
        <v>0.53048777580261197</v>
      </c>
      <c r="I171" s="8">
        <v>0.28000000000000003</v>
      </c>
    </row>
    <row r="172" spans="1:9" x14ac:dyDescent="0.25">
      <c r="A172" s="1" t="s">
        <v>1269</v>
      </c>
      <c r="C172" s="1" t="s">
        <v>1270</v>
      </c>
      <c r="D172" s="2" t="s">
        <v>4</v>
      </c>
      <c r="E172" s="8">
        <v>0.86</v>
      </c>
      <c r="F172" s="8">
        <v>0.62790697813034002</v>
      </c>
      <c r="G172" s="8">
        <v>0.72402596473693803</v>
      </c>
      <c r="H172" s="8">
        <v>0.477564096450805</v>
      </c>
      <c r="I172" s="8">
        <v>0.28000000000000003</v>
      </c>
    </row>
    <row r="173" spans="1:9" x14ac:dyDescent="0.25">
      <c r="A173" s="1" t="s">
        <v>1271</v>
      </c>
      <c r="C173" s="1" t="s">
        <v>1272</v>
      </c>
      <c r="D173" s="2" t="s">
        <v>4</v>
      </c>
      <c r="E173" s="8">
        <v>0.86</v>
      </c>
      <c r="F173" s="8">
        <v>0.57939916849136297</v>
      </c>
      <c r="G173" s="8">
        <v>0.95073890686035101</v>
      </c>
      <c r="H173" s="8">
        <v>0.38870432972907998</v>
      </c>
      <c r="I173" s="8">
        <v>0.14000000000000001</v>
      </c>
    </row>
    <row r="174" spans="1:9" x14ac:dyDescent="0.25">
      <c r="A174" s="1" t="s">
        <v>1273</v>
      </c>
      <c r="C174" s="1" t="s">
        <v>1274</v>
      </c>
      <c r="D174" s="2" t="s">
        <v>4</v>
      </c>
      <c r="E174" s="8">
        <v>0.86</v>
      </c>
      <c r="F174" s="8">
        <v>0.62893080711364702</v>
      </c>
      <c r="G174" s="8">
        <v>0.65740740299224798</v>
      </c>
      <c r="H174" s="8">
        <v>0.56432747840881303</v>
      </c>
      <c r="I174" s="8">
        <v>0.11</v>
      </c>
    </row>
    <row r="175" spans="1:9" x14ac:dyDescent="0.25">
      <c r="A175" s="1" t="s">
        <v>1275</v>
      </c>
      <c r="C175" s="1" t="s">
        <v>1276</v>
      </c>
      <c r="D175" s="2" t="s">
        <v>4</v>
      </c>
      <c r="E175" s="8">
        <v>0.86</v>
      </c>
      <c r="F175" s="8">
        <v>0.59625667333602905</v>
      </c>
      <c r="G175" s="8">
        <v>0.54639172554016102</v>
      </c>
      <c r="H175" s="8">
        <v>0.51436030864715498</v>
      </c>
      <c r="I175" s="8">
        <v>0.26</v>
      </c>
    </row>
    <row r="176" spans="1:9" x14ac:dyDescent="0.25">
      <c r="A176" s="1" t="s">
        <v>1277</v>
      </c>
      <c r="C176" s="1" t="s">
        <v>1278</v>
      </c>
      <c r="D176" s="2" t="s">
        <v>4</v>
      </c>
      <c r="E176" s="8">
        <v>0.86</v>
      </c>
      <c r="F176" s="8">
        <v>0.65527951717376698</v>
      </c>
      <c r="G176" s="8">
        <v>0.65269458293914795</v>
      </c>
      <c r="H176" s="8">
        <v>0.49863761663436801</v>
      </c>
      <c r="I176" s="8">
        <v>0.15</v>
      </c>
    </row>
  </sheetData>
  <pageMargins left="0.7" right="0.7" top="0.75" bottom="0.75" header="0.3" footer="0.3"/>
  <pageSetup paperSize="9" scale="91" orientation="landscape" horizontalDpi="4294967293" r:id="rId1"/>
  <headerFooter>
    <oddHeader>&amp;R&amp;"Calibri"&amp;8&amp;K000000 Begränsad delning&amp;1#_x000D_</oddHead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4A024-D52C-434D-95CE-7F365EED6590}">
  <dimension ref="A1:F30"/>
  <sheetViews>
    <sheetView zoomScale="115" zoomScaleNormal="115" workbookViewId="0">
      <selection activeCell="H28" sqref="H28"/>
    </sheetView>
  </sheetViews>
  <sheetFormatPr defaultRowHeight="15" x14ac:dyDescent="0.25"/>
  <cols>
    <col min="1" max="1" width="12.7109375" style="2" customWidth="1"/>
    <col min="2" max="2" width="11.42578125" style="1" customWidth="1"/>
    <col min="3" max="3" width="12.5703125" style="1" customWidth="1"/>
    <col min="4" max="4" width="12.85546875" style="1" customWidth="1"/>
    <col min="5" max="5" width="9.140625" style="2"/>
    <col min="6" max="6" width="10.42578125" style="2" customWidth="1"/>
    <col min="7" max="16384" width="9.140625" style="1"/>
  </cols>
  <sheetData>
    <row r="1" spans="1:6" x14ac:dyDescent="0.25">
      <c r="A1" s="47" t="s">
        <v>1288</v>
      </c>
      <c r="B1" s="47"/>
      <c r="C1" s="47"/>
      <c r="D1" s="47"/>
      <c r="E1" s="47"/>
      <c r="F1" s="47"/>
    </row>
    <row r="2" spans="1:6" x14ac:dyDescent="0.25">
      <c r="A2" s="47"/>
      <c r="B2" s="47"/>
      <c r="C2" s="47"/>
      <c r="D2" s="47"/>
      <c r="E2" s="47"/>
      <c r="F2" s="47"/>
    </row>
    <row r="3" spans="1:6" x14ac:dyDescent="0.25">
      <c r="A3" s="47"/>
      <c r="B3" s="47"/>
      <c r="C3" s="47"/>
      <c r="D3" s="47"/>
      <c r="E3" s="47"/>
      <c r="F3" s="47"/>
    </row>
    <row r="4" spans="1:6" x14ac:dyDescent="0.25">
      <c r="A4" s="37"/>
      <c r="B4" s="49" t="s">
        <v>1289</v>
      </c>
      <c r="C4" s="50"/>
      <c r="D4" s="50"/>
      <c r="E4" s="50"/>
      <c r="F4" s="50"/>
    </row>
    <row r="5" spans="1:6" x14ac:dyDescent="0.25">
      <c r="A5" s="4" t="s">
        <v>0</v>
      </c>
      <c r="B5" s="4" t="s">
        <v>59</v>
      </c>
      <c r="C5" s="4" t="s">
        <v>60</v>
      </c>
      <c r="D5" s="4" t="s">
        <v>61</v>
      </c>
      <c r="E5" s="4" t="s">
        <v>31</v>
      </c>
      <c r="F5" s="4" t="s">
        <v>32</v>
      </c>
    </row>
    <row r="6" spans="1:6" x14ac:dyDescent="0.25">
      <c r="A6" s="5" t="s">
        <v>33</v>
      </c>
      <c r="B6" s="34">
        <v>0.32769999999999999</v>
      </c>
      <c r="C6" s="34">
        <v>0.5675</v>
      </c>
      <c r="D6" s="34">
        <v>0.34210000000000002</v>
      </c>
      <c r="E6" s="35">
        <f>AVERAGE(B6:D6)</f>
        <v>0.41243333333333337</v>
      </c>
      <c r="F6" s="36">
        <f>STDEV(B6:D6)</f>
        <v>0.13448454681982341</v>
      </c>
    </row>
    <row r="7" spans="1:6" x14ac:dyDescent="0.25">
      <c r="A7" s="5" t="s">
        <v>34</v>
      </c>
      <c r="B7" s="34">
        <v>0.35820000000000002</v>
      </c>
      <c r="C7" s="34">
        <v>0.59079999999999999</v>
      </c>
      <c r="D7" s="34">
        <v>0.4637</v>
      </c>
      <c r="E7" s="35">
        <f t="shared" ref="E7:E24" si="0">AVERAGE(B7:D7)</f>
        <v>0.47090000000000004</v>
      </c>
      <c r="F7" s="36">
        <f t="shared" ref="F7:F24" si="1">STDEV(B7:D7)</f>
        <v>0.11646703396240524</v>
      </c>
    </row>
    <row r="8" spans="1:6" x14ac:dyDescent="0.25">
      <c r="A8" s="5" t="s">
        <v>35</v>
      </c>
      <c r="B8" s="34">
        <v>0.77510000000000001</v>
      </c>
      <c r="C8" s="34">
        <v>0.79459999999999997</v>
      </c>
      <c r="D8" s="34">
        <v>0.749</v>
      </c>
      <c r="E8" s="35">
        <f t="shared" si="0"/>
        <v>0.77290000000000003</v>
      </c>
      <c r="F8" s="36">
        <f t="shared" si="1"/>
        <v>2.2879466777003338E-2</v>
      </c>
    </row>
    <row r="9" spans="1:6" x14ac:dyDescent="0.25">
      <c r="A9" s="5" t="s">
        <v>36</v>
      </c>
      <c r="B9" s="34">
        <v>1.2390000000000001</v>
      </c>
      <c r="C9" s="34">
        <v>1.4590000000000001</v>
      </c>
      <c r="D9" s="34">
        <v>1.26</v>
      </c>
      <c r="E9" s="35">
        <f t="shared" si="0"/>
        <v>1.3193333333333335</v>
      </c>
      <c r="F9" s="36">
        <f t="shared" si="1"/>
        <v>0.12140977445549157</v>
      </c>
    </row>
    <row r="10" spans="1:6" x14ac:dyDescent="0.25">
      <c r="A10" s="5" t="s">
        <v>37</v>
      </c>
      <c r="B10" s="34">
        <v>1.389</v>
      </c>
      <c r="C10" s="34">
        <v>1.5669999999999999</v>
      </c>
      <c r="D10" s="34">
        <v>1.329</v>
      </c>
      <c r="E10" s="35">
        <f t="shared" si="0"/>
        <v>1.4283333333333335</v>
      </c>
      <c r="F10" s="36">
        <f t="shared" si="1"/>
        <v>0.1237793736182783</v>
      </c>
    </row>
    <row r="11" spans="1:6" x14ac:dyDescent="0.25">
      <c r="A11" s="5" t="s">
        <v>38</v>
      </c>
      <c r="B11" s="34">
        <v>1.29</v>
      </c>
      <c r="C11" s="34">
        <v>2.1890000000000001</v>
      </c>
      <c r="D11" s="34">
        <v>1.663</v>
      </c>
      <c r="E11" s="35">
        <f t="shared" si="0"/>
        <v>1.7140000000000002</v>
      </c>
      <c r="F11" s="36">
        <f t="shared" si="1"/>
        <v>0.45166469864269776</v>
      </c>
    </row>
    <row r="12" spans="1:6" x14ac:dyDescent="0.25">
      <c r="A12" s="5" t="s">
        <v>39</v>
      </c>
      <c r="B12" s="34">
        <v>1.444</v>
      </c>
      <c r="C12" s="34">
        <v>2.4</v>
      </c>
      <c r="D12" s="34">
        <v>1.962</v>
      </c>
      <c r="E12" s="35">
        <f t="shared" si="0"/>
        <v>1.9353333333333333</v>
      </c>
      <c r="F12" s="36">
        <f t="shared" si="1"/>
        <v>0.47855755488063628</v>
      </c>
    </row>
    <row r="13" spans="1:6" x14ac:dyDescent="0.25">
      <c r="A13" s="5" t="s">
        <v>40</v>
      </c>
      <c r="B13" s="34">
        <v>2.0790000000000002</v>
      </c>
      <c r="C13" s="34">
        <v>2.835</v>
      </c>
      <c r="D13" s="34">
        <v>2.3319999999999999</v>
      </c>
      <c r="E13" s="35">
        <f t="shared" si="0"/>
        <v>2.4153333333333333</v>
      </c>
      <c r="F13" s="36">
        <f t="shared" si="1"/>
        <v>0.38482766705804089</v>
      </c>
    </row>
    <row r="14" spans="1:6" x14ac:dyDescent="0.25">
      <c r="A14" s="5" t="s">
        <v>41</v>
      </c>
      <c r="B14" s="34">
        <v>2.5880000000000001</v>
      </c>
      <c r="C14" s="34">
        <v>4.9470000000000001</v>
      </c>
      <c r="D14" s="34">
        <v>3.5190000000000001</v>
      </c>
      <c r="E14" s="35">
        <f t="shared" si="0"/>
        <v>3.6846666666666668</v>
      </c>
      <c r="F14" s="36">
        <f t="shared" si="1"/>
        <v>1.1881937271898619</v>
      </c>
    </row>
    <row r="15" spans="1:6" x14ac:dyDescent="0.25">
      <c r="A15" s="5" t="s">
        <v>42</v>
      </c>
      <c r="B15" s="34">
        <v>2.823</v>
      </c>
      <c r="C15" s="34">
        <v>4.6959999999999997</v>
      </c>
      <c r="D15" s="34">
        <v>3.9220000000000002</v>
      </c>
      <c r="E15" s="35">
        <f t="shared" si="0"/>
        <v>3.8136666666666668</v>
      </c>
      <c r="F15" s="36">
        <f t="shared" si="1"/>
        <v>0.94118772481016133</v>
      </c>
    </row>
    <row r="16" spans="1:6" x14ac:dyDescent="0.25">
      <c r="A16" s="5" t="s">
        <v>43</v>
      </c>
      <c r="B16" s="34">
        <v>3.706</v>
      </c>
      <c r="C16" s="34">
        <v>4.5259999999999998</v>
      </c>
      <c r="D16" s="34">
        <v>3.5539999999999998</v>
      </c>
      <c r="E16" s="35">
        <f t="shared" si="0"/>
        <v>3.9286666666666665</v>
      </c>
      <c r="F16" s="36">
        <f t="shared" si="1"/>
        <v>0.52285880822008679</v>
      </c>
    </row>
    <row r="17" spans="1:6" x14ac:dyDescent="0.25">
      <c r="A17" s="5" t="s">
        <v>44</v>
      </c>
      <c r="B17" s="34">
        <v>5.7359999999999998</v>
      </c>
      <c r="C17" s="34">
        <v>5.4089999999999998</v>
      </c>
      <c r="D17" s="34">
        <v>5.1420000000000003</v>
      </c>
      <c r="E17" s="35">
        <f t="shared" si="0"/>
        <v>5.4289999999999994</v>
      </c>
      <c r="F17" s="36">
        <f t="shared" si="1"/>
        <v>0.2975046218128381</v>
      </c>
    </row>
    <row r="18" spans="1:6" x14ac:dyDescent="0.25">
      <c r="A18" s="5" t="s">
        <v>45</v>
      </c>
      <c r="B18" s="34">
        <v>12.11</v>
      </c>
      <c r="C18" s="34">
        <v>8.8719999999999999</v>
      </c>
      <c r="D18" s="34">
        <v>9.4309999999999992</v>
      </c>
      <c r="E18" s="35">
        <f t="shared" si="0"/>
        <v>10.137666666666666</v>
      </c>
      <c r="F18" s="36">
        <f t="shared" si="1"/>
        <v>1.730807422370662</v>
      </c>
    </row>
    <row r="19" spans="1:6" x14ac:dyDescent="0.25">
      <c r="A19" s="5" t="s">
        <v>46</v>
      </c>
      <c r="B19" s="34">
        <v>12.07</v>
      </c>
      <c r="C19" s="34">
        <v>13.78</v>
      </c>
      <c r="D19" s="34">
        <v>14.53</v>
      </c>
      <c r="E19" s="35">
        <f t="shared" si="0"/>
        <v>13.46</v>
      </c>
      <c r="F19" s="36">
        <f t="shared" si="1"/>
        <v>1.2608330579422473</v>
      </c>
    </row>
    <row r="20" spans="1:6" x14ac:dyDescent="0.25">
      <c r="A20" s="5" t="s">
        <v>47</v>
      </c>
      <c r="B20" s="34">
        <v>14.43</v>
      </c>
      <c r="C20" s="34">
        <v>13.4</v>
      </c>
      <c r="D20" s="34">
        <v>14.53</v>
      </c>
      <c r="E20" s="35">
        <f t="shared" si="0"/>
        <v>14.12</v>
      </c>
      <c r="F20" s="36">
        <f t="shared" si="1"/>
        <v>0.62553976692133606</v>
      </c>
    </row>
    <row r="21" spans="1:6" x14ac:dyDescent="0.25">
      <c r="A21" s="5" t="s">
        <v>48</v>
      </c>
      <c r="B21" s="34"/>
      <c r="C21" s="34">
        <v>19.54</v>
      </c>
      <c r="D21" s="34">
        <v>17.03</v>
      </c>
      <c r="E21" s="35">
        <f t="shared" si="0"/>
        <v>18.285</v>
      </c>
      <c r="F21" s="36">
        <f t="shared" si="1"/>
        <v>1.7748380207782328</v>
      </c>
    </row>
    <row r="22" spans="1:6" x14ac:dyDescent="0.25">
      <c r="A22" s="5" t="s">
        <v>49</v>
      </c>
      <c r="B22" s="34">
        <v>18.41</v>
      </c>
      <c r="C22" s="34">
        <v>17.14</v>
      </c>
      <c r="D22" s="34">
        <v>19.55</v>
      </c>
      <c r="E22" s="35">
        <f t="shared" si="0"/>
        <v>18.366666666666664</v>
      </c>
      <c r="F22" s="36">
        <f t="shared" si="1"/>
        <v>1.2055842290496892</v>
      </c>
    </row>
    <row r="23" spans="1:6" x14ac:dyDescent="0.25">
      <c r="A23" s="5" t="s">
        <v>50</v>
      </c>
      <c r="B23" s="34">
        <v>32.200000000000003</v>
      </c>
      <c r="C23" s="34">
        <v>20.9</v>
      </c>
      <c r="D23" s="34">
        <v>19.7</v>
      </c>
      <c r="E23" s="35">
        <f t="shared" si="0"/>
        <v>24.266666666666666</v>
      </c>
      <c r="F23" s="36">
        <f t="shared" si="1"/>
        <v>6.8966175284217046</v>
      </c>
    </row>
    <row r="24" spans="1:6" x14ac:dyDescent="0.25">
      <c r="A24" s="5" t="s">
        <v>51</v>
      </c>
      <c r="B24" s="34">
        <v>18.22</v>
      </c>
      <c r="C24" s="34">
        <v>32.07</v>
      </c>
      <c r="D24" s="34">
        <v>30.4</v>
      </c>
      <c r="E24" s="35">
        <f t="shared" si="0"/>
        <v>26.896666666666665</v>
      </c>
      <c r="F24" s="36">
        <f t="shared" si="1"/>
        <v>7.5604651532384839</v>
      </c>
    </row>
    <row r="25" spans="1:6" x14ac:dyDescent="0.25">
      <c r="A25" s="5" t="s">
        <v>52</v>
      </c>
      <c r="B25" s="6" t="s">
        <v>53</v>
      </c>
      <c r="C25" s="6" t="s">
        <v>53</v>
      </c>
      <c r="D25" s="6" t="s">
        <v>53</v>
      </c>
      <c r="E25" s="26"/>
      <c r="F25" s="27"/>
    </row>
    <row r="26" spans="1:6" x14ac:dyDescent="0.25">
      <c r="A26" s="5" t="s">
        <v>54</v>
      </c>
      <c r="B26" s="6" t="s">
        <v>53</v>
      </c>
      <c r="C26" s="6" t="s">
        <v>53</v>
      </c>
      <c r="D26" s="6" t="s">
        <v>53</v>
      </c>
      <c r="E26" s="26"/>
      <c r="F26" s="27"/>
    </row>
    <row r="27" spans="1:6" x14ac:dyDescent="0.25">
      <c r="A27" s="5" t="s">
        <v>55</v>
      </c>
      <c r="B27" s="6" t="s">
        <v>53</v>
      </c>
      <c r="C27" s="6" t="s">
        <v>53</v>
      </c>
      <c r="D27" s="6" t="s">
        <v>53</v>
      </c>
      <c r="E27" s="26"/>
      <c r="F27" s="27"/>
    </row>
    <row r="28" spans="1:6" x14ac:dyDescent="0.25">
      <c r="A28" s="5" t="s">
        <v>56</v>
      </c>
      <c r="B28" s="6" t="s">
        <v>53</v>
      </c>
      <c r="C28" s="6" t="s">
        <v>53</v>
      </c>
      <c r="D28" s="6" t="s">
        <v>53</v>
      </c>
      <c r="E28" s="26"/>
      <c r="F28" s="27"/>
    </row>
    <row r="29" spans="1:6" x14ac:dyDescent="0.25">
      <c r="A29" s="5" t="s">
        <v>57</v>
      </c>
      <c r="B29" s="6" t="s">
        <v>53</v>
      </c>
      <c r="C29" s="6" t="s">
        <v>53</v>
      </c>
      <c r="D29" s="6" t="s">
        <v>53</v>
      </c>
      <c r="E29" s="26"/>
      <c r="F29" s="27"/>
    </row>
    <row r="30" spans="1:6" x14ac:dyDescent="0.25">
      <c r="A30" s="5" t="s">
        <v>58</v>
      </c>
      <c r="B30" s="6" t="s">
        <v>53</v>
      </c>
      <c r="C30" s="6" t="s">
        <v>53</v>
      </c>
      <c r="D30" s="6" t="s">
        <v>53</v>
      </c>
      <c r="E30" s="26"/>
      <c r="F30" s="27"/>
    </row>
  </sheetData>
  <mergeCells count="2">
    <mergeCell ref="A1:F3"/>
    <mergeCell ref="B4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D7C9-21A0-4CEF-A3D7-7AB4E34291DD}">
  <dimension ref="A1:Z277"/>
  <sheetViews>
    <sheetView zoomScale="85" zoomScaleNormal="85" workbookViewId="0">
      <selection activeCell="T17" sqref="T17"/>
    </sheetView>
  </sheetViews>
  <sheetFormatPr defaultRowHeight="15" x14ac:dyDescent="0.25"/>
  <cols>
    <col min="1" max="1" width="15.28515625" style="1" bestFit="1" customWidth="1"/>
    <col min="2" max="2" width="15.28515625" style="1" customWidth="1"/>
    <col min="3" max="3" width="15.28515625" style="2" customWidth="1"/>
    <col min="4" max="4" width="15.85546875" style="2" bestFit="1" customWidth="1"/>
    <col min="5" max="7" width="15.85546875" style="2" customWidth="1"/>
    <col min="8" max="8" width="15.85546875" style="17" customWidth="1"/>
    <col min="9" max="12" width="15.85546875" style="2" customWidth="1"/>
    <col min="13" max="13" width="15.85546875" style="17" customWidth="1"/>
    <col min="14" max="15" width="15.85546875" style="2" customWidth="1"/>
    <col min="16" max="16" width="15.85546875" style="17" customWidth="1"/>
    <col min="17" max="17" width="17.28515625" style="17" customWidth="1"/>
    <col min="18" max="20" width="9.140625" style="1"/>
    <col min="21" max="21" width="22.85546875" style="1" customWidth="1"/>
    <col min="22" max="16384" width="9.140625" style="1"/>
  </cols>
  <sheetData>
    <row r="1" spans="1:26" x14ac:dyDescent="0.25">
      <c r="A1" s="51" t="s">
        <v>4795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26" s="7" customFormat="1" ht="45" x14ac:dyDescent="0.25">
      <c r="A2" s="33" t="s">
        <v>926</v>
      </c>
      <c r="B2" s="33" t="s">
        <v>1</v>
      </c>
      <c r="C2" s="14" t="s">
        <v>5</v>
      </c>
      <c r="D2" s="14" t="s">
        <v>7</v>
      </c>
      <c r="E2" s="14" t="s">
        <v>8</v>
      </c>
      <c r="F2" s="14" t="s">
        <v>9</v>
      </c>
      <c r="G2" s="14" t="s">
        <v>21</v>
      </c>
      <c r="H2" s="38" t="s">
        <v>22</v>
      </c>
      <c r="I2" s="14" t="s">
        <v>10</v>
      </c>
      <c r="J2" s="14" t="s">
        <v>11</v>
      </c>
      <c r="K2" s="14" t="s">
        <v>12</v>
      </c>
      <c r="L2" s="14" t="s">
        <v>23</v>
      </c>
      <c r="M2" s="38" t="s">
        <v>24</v>
      </c>
      <c r="N2" s="20" t="s">
        <v>13</v>
      </c>
      <c r="O2" s="20" t="s">
        <v>1280</v>
      </c>
      <c r="P2" s="20" t="s">
        <v>14</v>
      </c>
      <c r="Q2" s="20" t="s">
        <v>1281</v>
      </c>
    </row>
    <row r="3" spans="1:26" x14ac:dyDescent="0.25">
      <c r="A3" s="1" t="s">
        <v>932</v>
      </c>
      <c r="B3" s="2" t="s">
        <v>33</v>
      </c>
      <c r="C3" s="2">
        <v>30</v>
      </c>
      <c r="D3" s="8">
        <v>0.94337464677420679</v>
      </c>
      <c r="E3" s="8">
        <v>0.94694317536270578</v>
      </c>
      <c r="F3" s="8">
        <v>0.91559262370340055</v>
      </c>
      <c r="G3" s="8">
        <f>AVERAGE(Table14[[#This Row],[Bulk resorufin fluorescence, replicate 1]:[Bulk resorufin fluorescence, replicate 3]])</f>
        <v>0.93530348194677104</v>
      </c>
      <c r="H3" s="17">
        <f>STDEV(Table14[[#This Row],[Bulk resorufin fluorescence, replicate 1]:[Bulk resorufin fluorescence, replicate 3]])</f>
        <v>1.7163101368616873E-2</v>
      </c>
      <c r="I3" s="8">
        <v>5.5818696405461804E-2</v>
      </c>
      <c r="J3" s="8">
        <v>6.0443853742962142E-2</v>
      </c>
      <c r="K3" s="8">
        <v>5.2918226409242014E-2</v>
      </c>
      <c r="L3" s="8">
        <f>AVERAGE(Table14[[#This Row],[Bulk GFP fluorescence, replicate 1]:[Bulk GFP fluorescence, replicate 3]])</f>
        <v>5.6393592185888651E-2</v>
      </c>
      <c r="M3" s="17">
        <f>STDEV(Table14[[#This Row],[Bulk GFP fluorescence, replicate 1]:[Bulk GFP fluorescence, replicate 3]])</f>
        <v>3.7956087206498681E-3</v>
      </c>
      <c r="N3" s="17">
        <v>0.41243333333333337</v>
      </c>
      <c r="O3" s="17">
        <v>0.19573261133333336</v>
      </c>
      <c r="P3" s="17">
        <v>1.1630666666666667</v>
      </c>
      <c r="Q3" s="17">
        <v>0.5519681786666667</v>
      </c>
      <c r="R3" s="9"/>
      <c r="W3" s="39"/>
      <c r="X3" s="39"/>
      <c r="Y3" s="39"/>
      <c r="Z3" s="39"/>
    </row>
    <row r="4" spans="1:26" x14ac:dyDescent="0.25">
      <c r="A4" s="1" t="s">
        <v>932</v>
      </c>
      <c r="B4" s="2" t="s">
        <v>33</v>
      </c>
      <c r="C4" s="2">
        <v>10</v>
      </c>
      <c r="D4" s="8">
        <v>0.9990218175939819</v>
      </c>
      <c r="E4" s="8">
        <v>0.97842174450485153</v>
      </c>
      <c r="F4" s="8">
        <v>0.92309103058212483</v>
      </c>
      <c r="G4" s="8">
        <f>AVERAGE(Table14[[#This Row],[Bulk resorufin fluorescence, replicate 1]:[Bulk resorufin fluorescence, replicate 3]])</f>
        <v>0.96684486422698601</v>
      </c>
      <c r="H4" s="17">
        <f>STDEV(Table14[[#This Row],[Bulk resorufin fluorescence, replicate 1]:[Bulk resorufin fluorescence, replicate 3]])</f>
        <v>3.9266897277299907E-2</v>
      </c>
      <c r="I4" s="8">
        <v>4.2328420348428479E-2</v>
      </c>
      <c r="J4" s="8">
        <v>7.0996151514930272E-2</v>
      </c>
      <c r="K4" s="8">
        <v>5.8908854269614772E-2</v>
      </c>
      <c r="L4" s="8">
        <f>AVERAGE(Table14[[#This Row],[Bulk GFP fluorescence, replicate 1]:[Bulk GFP fluorescence, replicate 3]])</f>
        <v>5.7411142044324515E-2</v>
      </c>
      <c r="M4" s="17">
        <f>STDEV(Table14[[#This Row],[Bulk GFP fluorescence, replicate 1]:[Bulk GFP fluorescence, replicate 3]])</f>
        <v>1.4392430614425128E-2</v>
      </c>
      <c r="N4" s="17"/>
      <c r="O4" s="17"/>
      <c r="R4" s="16"/>
      <c r="W4" s="39"/>
      <c r="X4" s="39"/>
      <c r="Y4" s="39"/>
      <c r="Z4" s="39"/>
    </row>
    <row r="5" spans="1:26" x14ac:dyDescent="0.25">
      <c r="A5" s="1" t="s">
        <v>932</v>
      </c>
      <c r="B5" s="2" t="s">
        <v>33</v>
      </c>
      <c r="C5" s="2">
        <v>2.9999999999999996</v>
      </c>
      <c r="D5" s="8">
        <v>0.99606542511127727</v>
      </c>
      <c r="E5" s="8">
        <v>0.96178415671469009</v>
      </c>
      <c r="F5" s="8">
        <v>0.90005026021948131</v>
      </c>
      <c r="G5" s="8">
        <f>AVERAGE(Table14[[#This Row],[Bulk resorufin fluorescence, replicate 1]:[Bulk resorufin fluorescence, replicate 3]])</f>
        <v>0.95263328068181619</v>
      </c>
      <c r="H5" s="17">
        <f>STDEV(Table14[[#This Row],[Bulk resorufin fluorescence, replicate 1]:[Bulk resorufin fluorescence, replicate 3]])</f>
        <v>4.8657290013177479E-2</v>
      </c>
      <c r="I5" s="8">
        <v>6.9588260796848683E-2</v>
      </c>
      <c r="J5" s="8">
        <v>0.13054908461555317</v>
      </c>
      <c r="K5" s="8">
        <v>8.4057327571788742E-2</v>
      </c>
      <c r="L5" s="8">
        <f>AVERAGE(Table14[[#This Row],[Bulk GFP fluorescence, replicate 1]:[Bulk GFP fluorescence, replicate 3]])</f>
        <v>9.4731557661396862E-2</v>
      </c>
      <c r="M5" s="17">
        <f>STDEV(Table14[[#This Row],[Bulk GFP fluorescence, replicate 1]:[Bulk GFP fluorescence, replicate 3]])</f>
        <v>3.1851372045301356E-2</v>
      </c>
      <c r="N5" s="17"/>
      <c r="O5" s="17"/>
      <c r="W5" s="39"/>
      <c r="X5" s="39"/>
      <c r="Y5" s="39"/>
      <c r="Z5" s="39"/>
    </row>
    <row r="6" spans="1:26" x14ac:dyDescent="0.25">
      <c r="A6" s="1" t="s">
        <v>932</v>
      </c>
      <c r="B6" s="2" t="s">
        <v>33</v>
      </c>
      <c r="C6" s="2">
        <v>1</v>
      </c>
      <c r="D6" s="8">
        <v>1.0790919942930459</v>
      </c>
      <c r="E6" s="8">
        <v>0.97610639958804568</v>
      </c>
      <c r="F6" s="8">
        <v>0.95827318421898755</v>
      </c>
      <c r="G6" s="8">
        <f>AVERAGE(Table14[[#This Row],[Bulk resorufin fluorescence, replicate 1]:[Bulk resorufin fluorescence, replicate 3]])</f>
        <v>1.0044905260333596</v>
      </c>
      <c r="H6" s="17">
        <f>STDEV(Table14[[#This Row],[Bulk resorufin fluorescence, replicate 1]:[Bulk resorufin fluorescence, replicate 3]])</f>
        <v>6.5219170436885576E-2</v>
      </c>
      <c r="I6" s="8">
        <v>8.4267136044270538E-2</v>
      </c>
      <c r="J6" s="8">
        <v>0.25126152902429588</v>
      </c>
      <c r="K6" s="8">
        <v>0.16424659492104235</v>
      </c>
      <c r="L6" s="8">
        <f>AVERAGE(Table14[[#This Row],[Bulk GFP fluorescence, replicate 1]:[Bulk GFP fluorescence, replicate 3]])</f>
        <v>0.16659175332986961</v>
      </c>
      <c r="M6" s="17">
        <f>STDEV(Table14[[#This Row],[Bulk GFP fluorescence, replicate 1]:[Bulk GFP fluorescence, replicate 3]])</f>
        <v>8.3521893223655094E-2</v>
      </c>
      <c r="N6" s="17"/>
      <c r="O6" s="17"/>
      <c r="W6" s="39"/>
      <c r="X6" s="39"/>
      <c r="Y6" s="39"/>
      <c r="Z6" s="39"/>
    </row>
    <row r="7" spans="1:26" x14ac:dyDescent="0.25">
      <c r="A7" s="1" t="s">
        <v>932</v>
      </c>
      <c r="B7" s="2" t="s">
        <v>33</v>
      </c>
      <c r="C7" s="2">
        <v>0.33300000000000002</v>
      </c>
      <c r="D7" s="8">
        <v>1.0010607089613643</v>
      </c>
      <c r="E7" s="8">
        <v>1.0114059204508217</v>
      </c>
      <c r="F7" s="8">
        <v>0.9754057671183638</v>
      </c>
      <c r="G7" s="8">
        <f>AVERAGE(Table14[[#This Row],[Bulk resorufin fluorescence, replicate 1]:[Bulk resorufin fluorescence, replicate 3]])</f>
        <v>0.99595746551018338</v>
      </c>
      <c r="H7" s="17">
        <f>STDEV(Table14[[#This Row],[Bulk resorufin fluorescence, replicate 1]:[Bulk resorufin fluorescence, replicate 3]])</f>
        <v>1.8534699357735381E-2</v>
      </c>
      <c r="I7" s="8">
        <v>0.44266551487291572</v>
      </c>
      <c r="J7" s="8">
        <v>0.6009843942835027</v>
      </c>
      <c r="K7" s="8">
        <v>0.47870894367289352</v>
      </c>
      <c r="L7" s="8">
        <f>AVERAGE(Table14[[#This Row],[Bulk GFP fluorescence, replicate 1]:[Bulk GFP fluorescence, replicate 3]])</f>
        <v>0.50745295094310394</v>
      </c>
      <c r="M7" s="17">
        <f>STDEV(Table14[[#This Row],[Bulk GFP fluorescence, replicate 1]:[Bulk GFP fluorescence, replicate 3]])</f>
        <v>8.2981204859404398E-2</v>
      </c>
      <c r="N7" s="17"/>
      <c r="O7" s="17"/>
      <c r="W7" s="39"/>
      <c r="X7" s="39"/>
      <c r="Y7" s="39"/>
      <c r="Z7" s="39"/>
    </row>
    <row r="8" spans="1:26" x14ac:dyDescent="0.25">
      <c r="A8" s="1" t="s">
        <v>932</v>
      </c>
      <c r="B8" s="2" t="s">
        <v>33</v>
      </c>
      <c r="C8" s="2">
        <v>0.11099999999999999</v>
      </c>
      <c r="D8" s="8">
        <v>0.9633557821745552</v>
      </c>
      <c r="E8" s="8">
        <v>0.97556235679338643</v>
      </c>
      <c r="F8" s="8">
        <v>1.0015341167840115</v>
      </c>
      <c r="G8" s="8">
        <f>AVERAGE(Table14[[#This Row],[Bulk resorufin fluorescence, replicate 1]:[Bulk resorufin fluorescence, replicate 3]])</f>
        <v>0.98015075191731782</v>
      </c>
      <c r="H8" s="17">
        <f>STDEV(Table14[[#This Row],[Bulk resorufin fluorescence, replicate 1]:[Bulk resorufin fluorescence, replicate 3]])</f>
        <v>1.9498367514945693E-2</v>
      </c>
      <c r="I8" s="8">
        <v>0.89680133668695838</v>
      </c>
      <c r="J8" s="8">
        <v>0.87797308251239614</v>
      </c>
      <c r="K8" s="8">
        <v>0.84051853901662477</v>
      </c>
      <c r="L8" s="8">
        <f>AVERAGE(Table14[[#This Row],[Bulk GFP fluorescence, replicate 1]:[Bulk GFP fluorescence, replicate 3]])</f>
        <v>0.8717643194053265</v>
      </c>
      <c r="M8" s="17">
        <f>STDEV(Table14[[#This Row],[Bulk GFP fluorescence, replicate 1]:[Bulk GFP fluorescence, replicate 3]])</f>
        <v>2.8650477882396837E-2</v>
      </c>
      <c r="N8" s="17"/>
      <c r="O8" s="17"/>
      <c r="W8" s="39"/>
      <c r="X8" s="39"/>
      <c r="Y8" s="39"/>
      <c r="Z8" s="39"/>
    </row>
    <row r="9" spans="1:26" x14ac:dyDescent="0.25">
      <c r="A9" s="1" t="s">
        <v>932</v>
      </c>
      <c r="B9" s="2" t="s">
        <v>33</v>
      </c>
      <c r="C9" s="2">
        <v>3.6999999999999998E-2</v>
      </c>
      <c r="D9" s="8">
        <v>1.0328382872729973</v>
      </c>
      <c r="E9" s="8">
        <v>0.94550082934895796</v>
      </c>
      <c r="F9" s="8">
        <v>0.94990421926610802</v>
      </c>
      <c r="G9" s="8">
        <f>AVERAGE(Table14[[#This Row],[Bulk resorufin fluorescence, replicate 1]:[Bulk resorufin fluorescence, replicate 3]])</f>
        <v>0.97608111196268776</v>
      </c>
      <c r="H9" s="17">
        <f>STDEV(Table14[[#This Row],[Bulk resorufin fluorescence, replicate 1]:[Bulk resorufin fluorescence, replicate 3]])</f>
        <v>4.9202440717859966E-2</v>
      </c>
      <c r="I9" s="8">
        <v>0.99916375876632502</v>
      </c>
      <c r="J9" s="8">
        <v>1.0170516368841147</v>
      </c>
      <c r="K9" s="8">
        <v>0.83942380499137914</v>
      </c>
      <c r="L9" s="8">
        <f>AVERAGE(Table14[[#This Row],[Bulk GFP fluorescence, replicate 1]:[Bulk GFP fluorescence, replicate 3]])</f>
        <v>0.95187973354727295</v>
      </c>
      <c r="M9" s="17">
        <f>STDEV(Table14[[#This Row],[Bulk GFP fluorescence, replicate 1]:[Bulk GFP fluorescence, replicate 3]])</f>
        <v>9.7799519152271114E-2</v>
      </c>
      <c r="N9" s="17"/>
      <c r="O9" s="17"/>
      <c r="W9" s="39"/>
      <c r="X9" s="39"/>
      <c r="Y9" s="39"/>
      <c r="Z9" s="39"/>
    </row>
    <row r="10" spans="1:26" x14ac:dyDescent="0.25">
      <c r="A10" s="1" t="s">
        <v>932</v>
      </c>
      <c r="B10" s="2" t="s">
        <v>33</v>
      </c>
      <c r="C10" s="2">
        <v>1.2333333333333333E-2</v>
      </c>
      <c r="D10" s="8">
        <v>0.95084572728468686</v>
      </c>
      <c r="E10" s="8">
        <v>0.94310957148406027</v>
      </c>
      <c r="F10" s="8">
        <v>0.93303860750947265</v>
      </c>
      <c r="G10" s="8">
        <f>AVERAGE(Table14[[#This Row],[Bulk resorufin fluorescence, replicate 1]:[Bulk resorufin fluorescence, replicate 3]])</f>
        <v>0.94233130209273996</v>
      </c>
      <c r="H10" s="17">
        <f>STDEV(Table14[[#This Row],[Bulk resorufin fluorescence, replicate 1]:[Bulk resorufin fluorescence, replicate 3]])</f>
        <v>8.929034444233366E-3</v>
      </c>
      <c r="I10" s="8">
        <v>0.98325081878571274</v>
      </c>
      <c r="J10" s="8">
        <v>0.92584181046758729</v>
      </c>
      <c r="K10" s="8">
        <v>1.0351683305610209</v>
      </c>
      <c r="L10" s="8">
        <f>AVERAGE(Table14[[#This Row],[Bulk GFP fluorescence, replicate 1]:[Bulk GFP fluorescence, replicate 3]])</f>
        <v>0.98142031993810697</v>
      </c>
      <c r="M10" s="17">
        <f>STDEV(Table14[[#This Row],[Bulk GFP fluorescence, replicate 1]:[Bulk GFP fluorescence, replicate 3]])</f>
        <v>5.4686241811430947E-2</v>
      </c>
      <c r="N10" s="17"/>
      <c r="O10" s="17"/>
      <c r="W10" s="39"/>
      <c r="X10" s="39"/>
      <c r="Y10" s="39"/>
      <c r="Z10" s="39"/>
    </row>
    <row r="11" spans="1:26" x14ac:dyDescent="0.25">
      <c r="A11" s="1" t="s">
        <v>932</v>
      </c>
      <c r="B11" s="2" t="s">
        <v>33</v>
      </c>
      <c r="C11" s="2">
        <v>3.7500000000000003E-3</v>
      </c>
      <c r="D11" s="8">
        <v>0.97203563399569792</v>
      </c>
      <c r="E11" s="8">
        <v>1.0060161011362903</v>
      </c>
      <c r="F11" s="8">
        <v>1.0247489987614862</v>
      </c>
      <c r="G11" s="8">
        <f>AVERAGE(Table14[[#This Row],[Bulk resorufin fluorescence, replicate 1]:[Bulk resorufin fluorescence, replicate 3]])</f>
        <v>1.0009335779644914</v>
      </c>
      <c r="H11" s="17">
        <f>STDEV(Table14[[#This Row],[Bulk resorufin fluorescence, replicate 1]:[Bulk resorufin fluorescence, replicate 3]])</f>
        <v>2.6721690395195161E-2</v>
      </c>
      <c r="I11" s="8">
        <v>0.95506218224862827</v>
      </c>
      <c r="J11" s="8">
        <v>0.94303949991601987</v>
      </c>
      <c r="K11" s="8">
        <v>0.9728293096789693</v>
      </c>
      <c r="L11" s="8">
        <f>AVERAGE(Table14[[#This Row],[Bulk GFP fluorescence, replicate 1]:[Bulk GFP fluorescence, replicate 3]])</f>
        <v>0.95697699728120578</v>
      </c>
      <c r="M11" s="17">
        <f>STDEV(Table14[[#This Row],[Bulk GFP fluorescence, replicate 1]:[Bulk GFP fluorescence, replicate 3]])</f>
        <v>1.4986930268901567E-2</v>
      </c>
      <c r="N11" s="17"/>
      <c r="O11" s="17"/>
      <c r="W11" s="39"/>
      <c r="X11" s="39"/>
      <c r="Y11" s="39"/>
      <c r="Z11" s="39"/>
    </row>
    <row r="12" spans="1:26" x14ac:dyDescent="0.25">
      <c r="A12" s="1" t="s">
        <v>932</v>
      </c>
      <c r="B12" s="2" t="s">
        <v>33</v>
      </c>
      <c r="C12" s="2">
        <v>1.25E-3</v>
      </c>
      <c r="D12" s="8">
        <v>1.0332751925660077</v>
      </c>
      <c r="E12" s="8">
        <v>0.92081646906104542</v>
      </c>
      <c r="F12" s="8">
        <v>1.1184326549815848</v>
      </c>
      <c r="G12" s="8">
        <f>AVERAGE(Table14[[#This Row],[Bulk resorufin fluorescence, replicate 1]:[Bulk resorufin fluorescence, replicate 3]])</f>
        <v>1.0241747722028793</v>
      </c>
      <c r="H12" s="17">
        <f>STDEV(Table14[[#This Row],[Bulk resorufin fluorescence, replicate 1]:[Bulk resorufin fluorescence, replicate 3]])</f>
        <v>9.9121907127206407E-2</v>
      </c>
      <c r="I12" s="8">
        <v>0.91609171698998626</v>
      </c>
      <c r="J12" s="8">
        <v>0.91182076429306913</v>
      </c>
      <c r="K12" s="8">
        <v>0.98043162929873162</v>
      </c>
      <c r="L12" s="8">
        <f>AVERAGE(Table14[[#This Row],[Bulk GFP fluorescence, replicate 1]:[Bulk GFP fluorescence, replicate 3]])</f>
        <v>0.93611470352726245</v>
      </c>
      <c r="M12" s="17">
        <f>STDEV(Table14[[#This Row],[Bulk GFP fluorescence, replicate 1]:[Bulk GFP fluorescence, replicate 3]])</f>
        <v>3.8438947587183817E-2</v>
      </c>
      <c r="N12" s="17"/>
      <c r="O12" s="17"/>
      <c r="W12" s="39"/>
      <c r="X12" s="39"/>
      <c r="Y12" s="39"/>
      <c r="Z12" s="39"/>
    </row>
    <row r="13" spans="1:26" ht="15.75" thickBot="1" x14ac:dyDescent="0.3">
      <c r="A13" s="10" t="s">
        <v>932</v>
      </c>
      <c r="B13" s="11" t="s">
        <v>33</v>
      </c>
      <c r="C13" s="11">
        <v>4.1666666666666669E-4</v>
      </c>
      <c r="D13" s="12">
        <v>0.97781734737320392</v>
      </c>
      <c r="E13" s="12">
        <v>1.0045484508065119</v>
      </c>
      <c r="F13" s="12">
        <v>1.0242382713579816</v>
      </c>
      <c r="G13" s="12">
        <f>AVERAGE(Table14[[#This Row],[Bulk resorufin fluorescence, replicate 1]:[Bulk resorufin fluorescence, replicate 3]])</f>
        <v>1.0022013565125658</v>
      </c>
      <c r="H13" s="25">
        <f>STDEV(Table14[[#This Row],[Bulk resorufin fluorescence, replicate 1]:[Bulk resorufin fluorescence, replicate 3]])</f>
        <v>2.3299295796625125E-2</v>
      </c>
      <c r="I13" s="12">
        <v>1.0587236198366163</v>
      </c>
      <c r="J13" s="12">
        <v>0.97360099899954</v>
      </c>
      <c r="K13" s="12">
        <v>1.0081648912716248</v>
      </c>
      <c r="L13" s="12">
        <f>AVERAGE(Table14[[#This Row],[Bulk GFP fluorescence, replicate 1]:[Bulk GFP fluorescence, replicate 3]])</f>
        <v>1.0134965033692604</v>
      </c>
      <c r="M13" s="25">
        <f>STDEV(Table14[[#This Row],[Bulk GFP fluorescence, replicate 1]:[Bulk GFP fluorescence, replicate 3]])</f>
        <v>4.2811034911724645E-2</v>
      </c>
      <c r="N13" s="25"/>
      <c r="O13" s="25"/>
      <c r="P13" s="25"/>
      <c r="Q13" s="25"/>
      <c r="W13" s="39"/>
      <c r="X13" s="39"/>
      <c r="Y13" s="39"/>
      <c r="Z13" s="39"/>
    </row>
    <row r="14" spans="1:26" x14ac:dyDescent="0.25">
      <c r="A14" s="1" t="s">
        <v>934</v>
      </c>
      <c r="B14" s="40" t="s">
        <v>34</v>
      </c>
      <c r="C14" s="2">
        <v>30</v>
      </c>
      <c r="D14" s="8">
        <v>0.97221538182383738</v>
      </c>
      <c r="E14" s="8">
        <v>0.9738803164255535</v>
      </c>
      <c r="F14" s="8">
        <v>0.89148539711253783</v>
      </c>
      <c r="G14" s="8">
        <f>AVERAGE(Table14[[#This Row],[Bulk resorufin fluorescence, replicate 1]:[Bulk resorufin fluorescence, replicate 3]])</f>
        <v>0.94586036512064287</v>
      </c>
      <c r="H14" s="17">
        <f>STDEV(Table14[[#This Row],[Bulk resorufin fluorescence, replicate 1]:[Bulk resorufin fluorescence, replicate 3]])</f>
        <v>4.7097461303331797E-2</v>
      </c>
      <c r="I14" s="8">
        <v>0</v>
      </c>
      <c r="J14" s="8">
        <v>7.5276087888836607E-2</v>
      </c>
      <c r="K14" s="8">
        <v>5.189200568391137E-2</v>
      </c>
      <c r="L14" s="8">
        <f>AVERAGE(Table14[[#This Row],[Bulk GFP fluorescence, replicate 1]:[Bulk GFP fluorescence, replicate 3]])</f>
        <v>4.2389364524249323E-2</v>
      </c>
      <c r="M14" s="17">
        <f>STDEV(Table14[[#This Row],[Bulk GFP fluorescence, replicate 1]:[Bulk GFP fluorescence, replicate 3]])</f>
        <v>3.8527230548262105E-2</v>
      </c>
      <c r="N14" s="17">
        <v>0.47090000000000004</v>
      </c>
      <c r="O14" s="17">
        <v>0.20224684100000001</v>
      </c>
      <c r="P14" s="17">
        <v>1.6130000000000002</v>
      </c>
      <c r="Q14" s="17">
        <v>0.6927673700000001</v>
      </c>
      <c r="W14" s="39"/>
      <c r="X14" s="39"/>
      <c r="Y14" s="39"/>
      <c r="Z14" s="39"/>
    </row>
    <row r="15" spans="1:26" x14ac:dyDescent="0.25">
      <c r="A15" s="1" t="s">
        <v>934</v>
      </c>
      <c r="B15" s="40" t="s">
        <v>34</v>
      </c>
      <c r="C15" s="2">
        <v>10</v>
      </c>
      <c r="D15" s="8">
        <v>0.92233267665508833</v>
      </c>
      <c r="E15" s="8">
        <v>1.025404838848933</v>
      </c>
      <c r="F15" s="8">
        <v>0.95278589186597662</v>
      </c>
      <c r="G15" s="8">
        <f>AVERAGE(Table14[[#This Row],[Bulk resorufin fluorescence, replicate 1]:[Bulk resorufin fluorescence, replicate 3]])</f>
        <v>0.96684113578999931</v>
      </c>
      <c r="H15" s="17">
        <f>STDEV(Table14[[#This Row],[Bulk resorufin fluorescence, replicate 1]:[Bulk resorufin fluorescence, replicate 3]])</f>
        <v>5.2954037297937781E-2</v>
      </c>
      <c r="I15" s="8">
        <v>0</v>
      </c>
      <c r="J15" s="8">
        <v>0.10864314812325002</v>
      </c>
      <c r="K15" s="8">
        <v>6.0663473852253388E-2</v>
      </c>
      <c r="L15" s="8">
        <f>AVERAGE(Table14[[#This Row],[Bulk GFP fluorescence, replicate 1]:[Bulk GFP fluorescence, replicate 3]])</f>
        <v>5.6435540658501128E-2</v>
      </c>
      <c r="M15" s="17">
        <f>STDEV(Table14[[#This Row],[Bulk GFP fluorescence, replicate 1]:[Bulk GFP fluorescence, replicate 3]])</f>
        <v>5.4444834216394997E-2</v>
      </c>
      <c r="N15" s="17"/>
      <c r="O15" s="17"/>
      <c r="W15" s="39"/>
      <c r="X15" s="39"/>
      <c r="Y15" s="39"/>
      <c r="Z15" s="39"/>
    </row>
    <row r="16" spans="1:26" x14ac:dyDescent="0.25">
      <c r="A16" s="1" t="s">
        <v>934</v>
      </c>
      <c r="B16" s="40" t="s">
        <v>34</v>
      </c>
      <c r="C16" s="2">
        <v>2.9999999999999996</v>
      </c>
      <c r="D16" s="8">
        <v>0.97390027995230444</v>
      </c>
      <c r="E16" s="8">
        <v>1.0104348762529511</v>
      </c>
      <c r="F16" s="8">
        <v>0.91732279572762365</v>
      </c>
      <c r="G16" s="8">
        <f>AVERAGE(Table14[[#This Row],[Bulk resorufin fluorescence, replicate 1]:[Bulk resorufin fluorescence, replicate 3]])</f>
        <v>0.96721931731095978</v>
      </c>
      <c r="H16" s="17">
        <f>STDEV(Table14[[#This Row],[Bulk resorufin fluorescence, replicate 1]:[Bulk resorufin fluorescence, replicate 3]])</f>
        <v>4.6914191150440293E-2</v>
      </c>
      <c r="I16" s="8">
        <v>2.7625690074289427E-2</v>
      </c>
      <c r="J16" s="8">
        <v>0.16242299814812811</v>
      </c>
      <c r="K16" s="8">
        <v>9.6907180323842601E-2</v>
      </c>
      <c r="L16" s="8">
        <f>AVERAGE(Table14[[#This Row],[Bulk GFP fluorescence, replicate 1]:[Bulk GFP fluorescence, replicate 3]])</f>
        <v>9.5651956182086703E-2</v>
      </c>
      <c r="M16" s="17">
        <f>STDEV(Table14[[#This Row],[Bulk GFP fluorescence, replicate 1]:[Bulk GFP fluorescence, replicate 3]])</f>
        <v>6.740741989367996E-2</v>
      </c>
      <c r="N16" s="17"/>
      <c r="O16" s="17"/>
      <c r="W16" s="39"/>
      <c r="X16" s="39"/>
      <c r="Y16" s="39"/>
      <c r="Z16" s="39"/>
    </row>
    <row r="17" spans="1:26" x14ac:dyDescent="0.25">
      <c r="A17" s="1" t="s">
        <v>934</v>
      </c>
      <c r="B17" s="40" t="s">
        <v>34</v>
      </c>
      <c r="C17" s="2">
        <v>1</v>
      </c>
      <c r="D17" s="8">
        <v>0.9351152211104774</v>
      </c>
      <c r="E17" s="8">
        <v>0.94534687144028218</v>
      </c>
      <c r="F17" s="8">
        <v>0.89368485046188517</v>
      </c>
      <c r="G17" s="8">
        <f>AVERAGE(Table14[[#This Row],[Bulk resorufin fluorescence, replicate 1]:[Bulk resorufin fluorescence, replicate 3]])</f>
        <v>0.92471564767088166</v>
      </c>
      <c r="H17" s="17">
        <f>STDEV(Table14[[#This Row],[Bulk resorufin fluorescence, replicate 1]:[Bulk resorufin fluorescence, replicate 3]])</f>
        <v>2.7356067858653282E-2</v>
      </c>
      <c r="I17" s="8">
        <v>0.16513316824560198</v>
      </c>
      <c r="J17" s="8">
        <v>0.29173017039772553</v>
      </c>
      <c r="K17" s="8">
        <v>0.22030419451607808</v>
      </c>
      <c r="L17" s="8">
        <f>AVERAGE(Table14[[#This Row],[Bulk GFP fluorescence, replicate 1]:[Bulk GFP fluorescence, replicate 3]])</f>
        <v>0.22572251105313521</v>
      </c>
      <c r="M17" s="17">
        <f>STDEV(Table14[[#This Row],[Bulk GFP fluorescence, replicate 1]:[Bulk GFP fluorescence, replicate 3]])</f>
        <v>6.3472189611262136E-2</v>
      </c>
      <c r="N17" s="17"/>
      <c r="O17" s="17"/>
      <c r="W17" s="39"/>
      <c r="X17" s="39"/>
      <c r="Y17" s="39"/>
      <c r="Z17" s="39"/>
    </row>
    <row r="18" spans="1:26" x14ac:dyDescent="0.25">
      <c r="A18" s="1" t="s">
        <v>934</v>
      </c>
      <c r="B18" s="40" t="s">
        <v>34</v>
      </c>
      <c r="C18" s="2">
        <v>0.33300000000000002</v>
      </c>
      <c r="D18" s="8">
        <v>1.0281572398776504</v>
      </c>
      <c r="E18" s="8">
        <v>0.97418667845077356</v>
      </c>
      <c r="F18" s="8">
        <v>0.91157703276444102</v>
      </c>
      <c r="G18" s="8">
        <f>AVERAGE(Table14[[#This Row],[Bulk resorufin fluorescence, replicate 1]:[Bulk resorufin fluorescence, replicate 3]])</f>
        <v>0.9713069836976217</v>
      </c>
      <c r="H18" s="17">
        <f>STDEV(Table14[[#This Row],[Bulk resorufin fluorescence, replicate 1]:[Bulk resorufin fluorescence, replicate 3]])</f>
        <v>5.8343428542066297E-2</v>
      </c>
      <c r="I18" s="8">
        <v>0.46501730392045493</v>
      </c>
      <c r="J18" s="8">
        <v>0.65574516987268505</v>
      </c>
      <c r="K18" s="8">
        <v>0.56158447800992928</v>
      </c>
      <c r="L18" s="8">
        <f>AVERAGE(Table14[[#This Row],[Bulk GFP fluorescence, replicate 1]:[Bulk GFP fluorescence, replicate 3]])</f>
        <v>0.56078231726768968</v>
      </c>
      <c r="M18" s="17">
        <f>STDEV(Table14[[#This Row],[Bulk GFP fluorescence, replicate 1]:[Bulk GFP fluorescence, replicate 3]])</f>
        <v>9.5366463230348239E-2</v>
      </c>
      <c r="N18" s="17"/>
      <c r="O18" s="17"/>
      <c r="W18" s="39"/>
      <c r="X18" s="39"/>
      <c r="Y18" s="39"/>
      <c r="Z18" s="39"/>
    </row>
    <row r="19" spans="1:26" x14ac:dyDescent="0.25">
      <c r="A19" s="1" t="s">
        <v>934</v>
      </c>
      <c r="B19" s="40" t="s">
        <v>34</v>
      </c>
      <c r="C19" s="2">
        <v>0.11099999999999999</v>
      </c>
      <c r="D19" s="8">
        <v>0.94880501840427189</v>
      </c>
      <c r="E19" s="8">
        <v>0.93339875245669846</v>
      </c>
      <c r="F19" s="8">
        <v>0.8616197861834789</v>
      </c>
      <c r="G19" s="8">
        <f>AVERAGE(Table14[[#This Row],[Bulk resorufin fluorescence, replicate 1]:[Bulk resorufin fluorescence, replicate 3]])</f>
        <v>0.91460785234814967</v>
      </c>
      <c r="H19" s="17">
        <f>STDEV(Table14[[#This Row],[Bulk resorufin fluorescence, replicate 1]:[Bulk resorufin fluorescence, replicate 3]])</f>
        <v>4.6531060857404619E-2</v>
      </c>
      <c r="I19" s="8">
        <v>0.73006641373408754</v>
      </c>
      <c r="J19" s="8">
        <v>0.85842061927301028</v>
      </c>
      <c r="K19" s="8">
        <v>0.89451432380751894</v>
      </c>
      <c r="L19" s="8">
        <f>AVERAGE(Table14[[#This Row],[Bulk GFP fluorescence, replicate 1]:[Bulk GFP fluorescence, replicate 3]])</f>
        <v>0.82766711893820555</v>
      </c>
      <c r="M19" s="17">
        <f>STDEV(Table14[[#This Row],[Bulk GFP fluorescence, replicate 1]:[Bulk GFP fluorescence, replicate 3]])</f>
        <v>8.6429810360846973E-2</v>
      </c>
      <c r="N19" s="17"/>
      <c r="O19" s="17"/>
      <c r="W19" s="39"/>
      <c r="X19" s="39"/>
      <c r="Y19" s="39"/>
      <c r="Z19" s="39"/>
    </row>
    <row r="20" spans="1:26" x14ac:dyDescent="0.25">
      <c r="A20" s="1" t="s">
        <v>934</v>
      </c>
      <c r="B20" s="40" t="s">
        <v>34</v>
      </c>
      <c r="C20" s="2">
        <v>3.6999999999999998E-2</v>
      </c>
      <c r="D20" s="8">
        <v>0.90724959821660023</v>
      </c>
      <c r="E20" s="8">
        <v>0.95084746234764284</v>
      </c>
      <c r="F20" s="8">
        <v>0.86351032754555823</v>
      </c>
      <c r="G20" s="8">
        <f>AVERAGE(Table14[[#This Row],[Bulk resorufin fluorescence, replicate 1]:[Bulk resorufin fluorescence, replicate 3]])</f>
        <v>0.9072024627032671</v>
      </c>
      <c r="H20" s="17">
        <f>STDEV(Table14[[#This Row],[Bulk resorufin fluorescence, replicate 1]:[Bulk resorufin fluorescence, replicate 3]])</f>
        <v>4.3668586480178601E-2</v>
      </c>
      <c r="I20" s="8">
        <v>1.1001506993510084</v>
      </c>
      <c r="J20" s="8">
        <v>0.99487226794927031</v>
      </c>
      <c r="K20" s="8">
        <v>0.85142887216462293</v>
      </c>
      <c r="L20" s="8">
        <f>AVERAGE(Table14[[#This Row],[Bulk GFP fluorescence, replicate 1]:[Bulk GFP fluorescence, replicate 3]])</f>
        <v>0.98215061315496721</v>
      </c>
      <c r="M20" s="17">
        <f>STDEV(Table14[[#This Row],[Bulk GFP fluorescence, replicate 1]:[Bulk GFP fluorescence, replicate 3]])</f>
        <v>0.12484797637632164</v>
      </c>
      <c r="N20" s="17"/>
      <c r="O20" s="17"/>
      <c r="W20" s="39"/>
      <c r="X20" s="39"/>
      <c r="Y20" s="39"/>
      <c r="Z20" s="39"/>
    </row>
    <row r="21" spans="1:26" x14ac:dyDescent="0.25">
      <c r="A21" s="1" t="s">
        <v>934</v>
      </c>
      <c r="B21" s="40" t="s">
        <v>34</v>
      </c>
      <c r="C21" s="2">
        <v>1.2333333333333333E-2</v>
      </c>
      <c r="D21" s="8">
        <v>0.92315892477577899</v>
      </c>
      <c r="E21" s="8">
        <v>0.93540403116723003</v>
      </c>
      <c r="F21" s="8">
        <v>0.87465587204618367</v>
      </c>
      <c r="G21" s="8">
        <f>AVERAGE(Table14[[#This Row],[Bulk resorufin fluorescence, replicate 1]:[Bulk resorufin fluorescence, replicate 3]])</f>
        <v>0.91107294266306427</v>
      </c>
      <c r="H21" s="17">
        <f>STDEV(Table14[[#This Row],[Bulk resorufin fluorescence, replicate 1]:[Bulk resorufin fluorescence, replicate 3]])</f>
        <v>3.2126903552484452E-2</v>
      </c>
      <c r="I21" s="8">
        <v>0.96467274007769721</v>
      </c>
      <c r="J21" s="8">
        <v>0.98132916703059658</v>
      </c>
      <c r="K21" s="8">
        <v>1.0862937038401488</v>
      </c>
      <c r="L21" s="8">
        <f>AVERAGE(Table14[[#This Row],[Bulk GFP fluorescence, replicate 1]:[Bulk GFP fluorescence, replicate 3]])</f>
        <v>1.0107652036494807</v>
      </c>
      <c r="M21" s="17">
        <f>STDEV(Table14[[#This Row],[Bulk GFP fluorescence, replicate 1]:[Bulk GFP fluorescence, replicate 3]])</f>
        <v>6.5937659159983161E-2</v>
      </c>
      <c r="N21" s="17"/>
      <c r="O21" s="17"/>
      <c r="W21" s="39"/>
      <c r="X21" s="39"/>
      <c r="Y21" s="39"/>
      <c r="Z21" s="39"/>
    </row>
    <row r="22" spans="1:26" x14ac:dyDescent="0.25">
      <c r="A22" s="1" t="s">
        <v>934</v>
      </c>
      <c r="B22" s="40" t="s">
        <v>34</v>
      </c>
      <c r="C22" s="2">
        <v>3.7500000000000003E-3</v>
      </c>
      <c r="D22" s="8">
        <v>0.91790981906786251</v>
      </c>
      <c r="E22" s="8">
        <v>0.93619778732348202</v>
      </c>
      <c r="F22" s="8">
        <v>0.88050048684529192</v>
      </c>
      <c r="G22" s="8">
        <f>AVERAGE(Table14[[#This Row],[Bulk resorufin fluorescence, replicate 1]:[Bulk resorufin fluorescence, replicate 3]])</f>
        <v>0.91153603107887893</v>
      </c>
      <c r="H22" s="17">
        <f>STDEV(Table14[[#This Row],[Bulk resorufin fluorescence, replicate 1]:[Bulk resorufin fluorescence, replicate 3]])</f>
        <v>2.8390424444446644E-2</v>
      </c>
      <c r="I22" s="8">
        <v>0.90946679691937216</v>
      </c>
      <c r="J22" s="8">
        <v>0.95334009179867096</v>
      </c>
      <c r="K22" s="8">
        <v>0.92153044576601228</v>
      </c>
      <c r="L22" s="8">
        <f>AVERAGE(Table14[[#This Row],[Bulk GFP fluorescence, replicate 1]:[Bulk GFP fluorescence, replicate 3]])</f>
        <v>0.92811244482801847</v>
      </c>
      <c r="M22" s="17">
        <f>STDEV(Table14[[#This Row],[Bulk GFP fluorescence, replicate 1]:[Bulk GFP fluorescence, replicate 3]])</f>
        <v>2.2665139192836747E-2</v>
      </c>
      <c r="N22" s="17"/>
      <c r="O22" s="17"/>
      <c r="W22" s="39"/>
      <c r="X22" s="39"/>
      <c r="Y22" s="39"/>
      <c r="Z22" s="39"/>
    </row>
    <row r="23" spans="1:26" x14ac:dyDescent="0.25">
      <c r="A23" s="1" t="s">
        <v>934</v>
      </c>
      <c r="B23" s="40" t="s">
        <v>34</v>
      </c>
      <c r="C23" s="2">
        <v>1.25E-3</v>
      </c>
      <c r="D23" s="8">
        <v>1.0214662501944114</v>
      </c>
      <c r="E23" s="8">
        <v>0.94896751355651965</v>
      </c>
      <c r="F23" s="8">
        <v>0.89845445154530124</v>
      </c>
      <c r="G23" s="8">
        <f>AVERAGE(Table14[[#This Row],[Bulk resorufin fluorescence, replicate 1]:[Bulk resorufin fluorescence, replicate 3]])</f>
        <v>0.95629607176541087</v>
      </c>
      <c r="H23" s="17">
        <f>STDEV(Table14[[#This Row],[Bulk resorufin fluorescence, replicate 1]:[Bulk resorufin fluorescence, replicate 3]])</f>
        <v>6.1832487219811355E-2</v>
      </c>
      <c r="I23" s="8">
        <v>0.90742213235795255</v>
      </c>
      <c r="J23" s="8">
        <v>1.0577593626498942</v>
      </c>
      <c r="K23" s="8">
        <v>1.0099468449028999</v>
      </c>
      <c r="L23" s="8">
        <f>AVERAGE(Table14[[#This Row],[Bulk GFP fluorescence, replicate 1]:[Bulk GFP fluorescence, replicate 3]])</f>
        <v>0.99170944663691551</v>
      </c>
      <c r="M23" s="17">
        <f>STDEV(Table14[[#This Row],[Bulk GFP fluorescence, replicate 1]:[Bulk GFP fluorescence, replicate 3]])</f>
        <v>7.6809978027579023E-2</v>
      </c>
      <c r="N23" s="17"/>
      <c r="O23" s="17"/>
      <c r="W23" s="39"/>
      <c r="X23" s="39"/>
      <c r="Y23" s="39"/>
      <c r="Z23" s="39"/>
    </row>
    <row r="24" spans="1:26" ht="15.75" thickBot="1" x14ac:dyDescent="0.3">
      <c r="A24" s="10" t="s">
        <v>934</v>
      </c>
      <c r="B24" s="11" t="s">
        <v>34</v>
      </c>
      <c r="C24" s="11">
        <v>4.1666666666666669E-4</v>
      </c>
      <c r="D24" s="12">
        <v>0.96534618176162579</v>
      </c>
      <c r="E24" s="12">
        <v>0.93694976683993136</v>
      </c>
      <c r="F24" s="12">
        <v>0.89535297519313173</v>
      </c>
      <c r="G24" s="12">
        <f>AVERAGE(Table14[[#This Row],[Bulk resorufin fluorescence, replicate 1]:[Bulk resorufin fluorescence, replicate 3]])</f>
        <v>0.93254964126489626</v>
      </c>
      <c r="H24" s="25">
        <f>STDEV(Table14[[#This Row],[Bulk resorufin fluorescence, replicate 1]:[Bulk resorufin fluorescence, replicate 3]])</f>
        <v>3.5203452532983584E-2</v>
      </c>
      <c r="I24" s="12">
        <v>0.86100067398202207</v>
      </c>
      <c r="J24" s="12">
        <v>1.0205452766472778</v>
      </c>
      <c r="K24" s="12">
        <v>0.93377541532901776</v>
      </c>
      <c r="L24" s="12">
        <f>AVERAGE(Table14[[#This Row],[Bulk GFP fluorescence, replicate 1]:[Bulk GFP fluorescence, replicate 3]])</f>
        <v>0.93844045531943909</v>
      </c>
      <c r="M24" s="25">
        <f>STDEV(Table14[[#This Row],[Bulk GFP fluorescence, replicate 1]:[Bulk GFP fluorescence, replicate 3]])</f>
        <v>7.9874539175432829E-2</v>
      </c>
      <c r="N24" s="25"/>
      <c r="O24" s="25"/>
      <c r="P24" s="25"/>
      <c r="Q24" s="25"/>
      <c r="W24" s="39"/>
      <c r="X24" s="39"/>
      <c r="Y24" s="39"/>
      <c r="Z24" s="39"/>
    </row>
    <row r="25" spans="1:26" x14ac:dyDescent="0.25">
      <c r="A25" s="1" t="s">
        <v>936</v>
      </c>
      <c r="B25" s="40" t="s">
        <v>35</v>
      </c>
      <c r="C25" s="2">
        <v>30</v>
      </c>
      <c r="D25" s="8">
        <v>0.97028801282365573</v>
      </c>
      <c r="E25" s="8">
        <v>1.0674296761427113</v>
      </c>
      <c r="F25" s="8">
        <v>0.97654329633526005</v>
      </c>
      <c r="G25" s="8">
        <f>AVERAGE(Table14[[#This Row],[Bulk resorufin fluorescence, replicate 1]:[Bulk resorufin fluorescence, replicate 3]])</f>
        <v>1.004753661767209</v>
      </c>
      <c r="H25" s="17">
        <f>STDEV(Table14[[#This Row],[Bulk resorufin fluorescence, replicate 1]:[Bulk resorufin fluorescence, replicate 3]])</f>
        <v>5.4369055780390974E-2</v>
      </c>
      <c r="I25" s="8">
        <v>3.4125137411484367E-2</v>
      </c>
      <c r="J25" s="8">
        <v>4.7664254365146069E-2</v>
      </c>
      <c r="K25" s="8">
        <v>3.3182604676338864E-2</v>
      </c>
      <c r="L25" s="8">
        <f>AVERAGE(Table14[[#This Row],[Bulk GFP fluorescence, replicate 1]:[Bulk GFP fluorescence, replicate 3]])</f>
        <v>3.8323998817656434E-2</v>
      </c>
      <c r="M25" s="17">
        <f>STDEV(Table14[[#This Row],[Bulk GFP fluorescence, replicate 1]:[Bulk GFP fluorescence, replicate 3]])</f>
        <v>8.1026151493522949E-3</v>
      </c>
      <c r="N25" s="17">
        <v>0.77290000000000003</v>
      </c>
      <c r="O25" s="17">
        <v>0.33689165200000004</v>
      </c>
      <c r="P25" s="17">
        <v>1.9013333333333335</v>
      </c>
      <c r="Q25" s="17">
        <v>0.82875317333333332</v>
      </c>
      <c r="W25" s="39"/>
      <c r="X25" s="39"/>
      <c r="Y25" s="39"/>
      <c r="Z25" s="39"/>
    </row>
    <row r="26" spans="1:26" x14ac:dyDescent="0.25">
      <c r="A26" s="1" t="s">
        <v>936</v>
      </c>
      <c r="B26" s="40" t="s">
        <v>35</v>
      </c>
      <c r="C26" s="2">
        <v>10</v>
      </c>
      <c r="D26" s="8">
        <v>1.0372219037128696</v>
      </c>
      <c r="E26" s="8">
        <v>0.9774981369697322</v>
      </c>
      <c r="F26" s="8">
        <v>0.92209279065709349</v>
      </c>
      <c r="G26" s="8">
        <f>AVERAGE(Table14[[#This Row],[Bulk resorufin fluorescence, replicate 1]:[Bulk resorufin fluorescence, replicate 3]])</f>
        <v>0.97893761044656513</v>
      </c>
      <c r="H26" s="17">
        <f>STDEV(Table14[[#This Row],[Bulk resorufin fluorescence, replicate 1]:[Bulk resorufin fluorescence, replicate 3]])</f>
        <v>5.7578053381217208E-2</v>
      </c>
      <c r="I26" s="8">
        <v>5.0687585146407255E-2</v>
      </c>
      <c r="J26" s="8">
        <v>9.2648444175058658E-2</v>
      </c>
      <c r="K26" s="8">
        <v>7.685032857225399E-2</v>
      </c>
      <c r="L26" s="8">
        <f>AVERAGE(Table14[[#This Row],[Bulk GFP fluorescence, replicate 1]:[Bulk GFP fluorescence, replicate 3]])</f>
        <v>7.3395452631239963E-2</v>
      </c>
      <c r="M26" s="17">
        <f>STDEV(Table14[[#This Row],[Bulk GFP fluorescence, replicate 1]:[Bulk GFP fluorescence, replicate 3]])</f>
        <v>2.1192700357232357E-2</v>
      </c>
      <c r="N26" s="17"/>
      <c r="O26" s="17"/>
      <c r="W26" s="39"/>
      <c r="X26" s="39"/>
      <c r="Y26" s="39"/>
      <c r="Z26" s="39"/>
    </row>
    <row r="27" spans="1:26" x14ac:dyDescent="0.25">
      <c r="A27" s="1" t="s">
        <v>936</v>
      </c>
      <c r="B27" s="40" t="s">
        <v>35</v>
      </c>
      <c r="C27" s="2">
        <v>2.9999999999999996</v>
      </c>
      <c r="D27" s="8">
        <v>0.98843414599335988</v>
      </c>
      <c r="E27" s="8">
        <v>0.96683236776280745</v>
      </c>
      <c r="F27" s="8">
        <v>1.044237892181576</v>
      </c>
      <c r="G27" s="8">
        <f>AVERAGE(Table14[[#This Row],[Bulk resorufin fluorescence, replicate 1]:[Bulk resorufin fluorescence, replicate 3]])</f>
        <v>0.99983480197924779</v>
      </c>
      <c r="H27" s="17">
        <f>STDEV(Table14[[#This Row],[Bulk resorufin fluorescence, replicate 1]:[Bulk resorufin fluorescence, replicate 3]])</f>
        <v>3.9942271096140319E-2</v>
      </c>
      <c r="I27" s="8">
        <v>0.14291768625852691</v>
      </c>
      <c r="J27" s="8">
        <v>0.15059479906818468</v>
      </c>
      <c r="K27" s="8">
        <v>0.10987480500050179</v>
      </c>
      <c r="L27" s="8">
        <f>AVERAGE(Table14[[#This Row],[Bulk GFP fluorescence, replicate 1]:[Bulk GFP fluorescence, replicate 3]])</f>
        <v>0.13446243010907113</v>
      </c>
      <c r="M27" s="17">
        <f>STDEV(Table14[[#This Row],[Bulk GFP fluorescence, replicate 1]:[Bulk GFP fluorescence, replicate 3]])</f>
        <v>2.1636727955786486E-2</v>
      </c>
      <c r="N27" s="17"/>
      <c r="O27" s="17"/>
      <c r="W27" s="39"/>
      <c r="X27" s="39"/>
      <c r="Y27" s="39"/>
      <c r="Z27" s="39"/>
    </row>
    <row r="28" spans="1:26" x14ac:dyDescent="0.25">
      <c r="A28" s="1" t="s">
        <v>936</v>
      </c>
      <c r="B28" s="40" t="s">
        <v>35</v>
      </c>
      <c r="C28" s="2">
        <v>1</v>
      </c>
      <c r="D28" s="8">
        <v>0.98368644180931208</v>
      </c>
      <c r="E28" s="8">
        <v>0.94585508977338728</v>
      </c>
      <c r="F28" s="8">
        <v>0.94385674251097584</v>
      </c>
      <c r="G28" s="8">
        <f>AVERAGE(Table14[[#This Row],[Bulk resorufin fluorescence, replicate 1]:[Bulk resorufin fluorescence, replicate 3]])</f>
        <v>0.9577994246978917</v>
      </c>
      <c r="H28" s="17">
        <f>STDEV(Table14[[#This Row],[Bulk resorufin fluorescence, replicate 1]:[Bulk resorufin fluorescence, replicate 3]])</f>
        <v>2.2441069251275089E-2</v>
      </c>
      <c r="I28" s="8">
        <v>0.31828477992241633</v>
      </c>
      <c r="J28" s="8">
        <v>0.34641477467740645</v>
      </c>
      <c r="K28" s="8">
        <v>0.31154913987355826</v>
      </c>
      <c r="L28" s="8">
        <f>AVERAGE(Table14[[#This Row],[Bulk GFP fluorescence, replicate 1]:[Bulk GFP fluorescence, replicate 3]])</f>
        <v>0.32541623149112703</v>
      </c>
      <c r="M28" s="17">
        <f>STDEV(Table14[[#This Row],[Bulk GFP fluorescence, replicate 1]:[Bulk GFP fluorescence, replicate 3]])</f>
        <v>1.8494494415270644E-2</v>
      </c>
      <c r="N28" s="17"/>
      <c r="O28" s="17"/>
      <c r="W28" s="39"/>
      <c r="X28" s="39"/>
      <c r="Y28" s="39"/>
      <c r="Z28" s="39"/>
    </row>
    <row r="29" spans="1:26" x14ac:dyDescent="0.25">
      <c r="A29" s="1" t="s">
        <v>936</v>
      </c>
      <c r="B29" s="40" t="s">
        <v>35</v>
      </c>
      <c r="C29" s="2">
        <v>0.33300000000000002</v>
      </c>
      <c r="D29" s="8">
        <v>1.0332315020367067</v>
      </c>
      <c r="E29" s="8">
        <v>1.0621663784083333</v>
      </c>
      <c r="F29" s="8">
        <v>0.86077067991359435</v>
      </c>
      <c r="G29" s="8">
        <f>AVERAGE(Table14[[#This Row],[Bulk resorufin fluorescence, replicate 1]:[Bulk resorufin fluorescence, replicate 3]])</f>
        <v>0.98538952011954473</v>
      </c>
      <c r="H29" s="17">
        <f>STDEV(Table14[[#This Row],[Bulk resorufin fluorescence, replicate 1]:[Bulk resorufin fluorescence, replicate 3]])</f>
        <v>0.10888846710449863</v>
      </c>
      <c r="I29" s="8">
        <v>0.79086662195888291</v>
      </c>
      <c r="J29" s="8">
        <v>0.72940111146001452</v>
      </c>
      <c r="K29" s="8">
        <v>0.73581939321325729</v>
      </c>
      <c r="L29" s="8">
        <f>AVERAGE(Table14[[#This Row],[Bulk GFP fluorescence, replicate 1]:[Bulk GFP fluorescence, replicate 3]])</f>
        <v>0.7520290422107182</v>
      </c>
      <c r="M29" s="17">
        <f>STDEV(Table14[[#This Row],[Bulk GFP fluorescence, replicate 1]:[Bulk GFP fluorescence, replicate 3]])</f>
        <v>3.3787080159245642E-2</v>
      </c>
      <c r="N29" s="17"/>
      <c r="O29" s="17"/>
      <c r="W29" s="39"/>
      <c r="X29" s="39"/>
      <c r="Y29" s="39"/>
      <c r="Z29" s="39"/>
    </row>
    <row r="30" spans="1:26" x14ac:dyDescent="0.25">
      <c r="A30" s="1" t="s">
        <v>936</v>
      </c>
      <c r="B30" s="40" t="s">
        <v>35</v>
      </c>
      <c r="C30" s="2">
        <v>0.11099999999999999</v>
      </c>
      <c r="D30" s="8">
        <v>0.94695727017689313</v>
      </c>
      <c r="E30" s="8">
        <v>0.94596895919552515</v>
      </c>
      <c r="F30" s="8">
        <v>0.90519235657749186</v>
      </c>
      <c r="G30" s="8">
        <f>AVERAGE(Table14[[#This Row],[Bulk resorufin fluorescence, replicate 1]:[Bulk resorufin fluorescence, replicate 3]])</f>
        <v>0.93270619531663668</v>
      </c>
      <c r="H30" s="17">
        <f>STDEV(Table14[[#This Row],[Bulk resorufin fluorescence, replicate 1]:[Bulk resorufin fluorescence, replicate 3]])</f>
        <v>2.3832806827390769E-2</v>
      </c>
      <c r="I30" s="8">
        <v>1.0476819880133346</v>
      </c>
      <c r="J30" s="8">
        <v>0.92186187808992459</v>
      </c>
      <c r="K30" s="8">
        <v>0.97237317050178362</v>
      </c>
      <c r="L30" s="8">
        <f>AVERAGE(Table14[[#This Row],[Bulk GFP fluorescence, replicate 1]:[Bulk GFP fluorescence, replicate 3]])</f>
        <v>0.98063901220168093</v>
      </c>
      <c r="M30" s="17">
        <f>STDEV(Table14[[#This Row],[Bulk GFP fluorescence, replicate 1]:[Bulk GFP fluorescence, replicate 3]])</f>
        <v>6.3316017874946645E-2</v>
      </c>
      <c r="N30" s="17"/>
      <c r="O30" s="17"/>
      <c r="W30" s="39"/>
      <c r="X30" s="39"/>
      <c r="Y30" s="39"/>
      <c r="Z30" s="39"/>
    </row>
    <row r="31" spans="1:26" x14ac:dyDescent="0.25">
      <c r="A31" s="1" t="s">
        <v>936</v>
      </c>
      <c r="B31" s="40" t="s">
        <v>35</v>
      </c>
      <c r="C31" s="2">
        <v>3.6999999999999998E-2</v>
      </c>
      <c r="D31" s="8">
        <v>0.91771374256472127</v>
      </c>
      <c r="E31" s="8">
        <v>0.94596895919552515</v>
      </c>
      <c r="F31" s="8">
        <v>0.88438021488468599</v>
      </c>
      <c r="G31" s="8">
        <f>AVERAGE(Table14[[#This Row],[Bulk resorufin fluorescence, replicate 1]:[Bulk resorufin fluorescence, replicate 3]])</f>
        <v>0.91602097221497747</v>
      </c>
      <c r="H31" s="17">
        <f>STDEV(Table14[[#This Row],[Bulk resorufin fluorescence, replicate 1]:[Bulk resorufin fluorescence, replicate 3]])</f>
        <v>3.0829246828931931E-2</v>
      </c>
      <c r="I31" s="8">
        <v>0.98584884980295562</v>
      </c>
      <c r="J31" s="8">
        <v>0.91401155275783763</v>
      </c>
      <c r="K31" s="8">
        <v>1.0168315356381541</v>
      </c>
      <c r="L31" s="8">
        <f>AVERAGE(Table14[[#This Row],[Bulk GFP fluorescence, replicate 1]:[Bulk GFP fluorescence, replicate 3]])</f>
        <v>0.97223064606631571</v>
      </c>
      <c r="M31" s="17">
        <f>STDEV(Table14[[#This Row],[Bulk GFP fluorescence, replicate 1]:[Bulk GFP fluorescence, replicate 3]])</f>
        <v>5.27454152001538E-2</v>
      </c>
      <c r="N31" s="17"/>
      <c r="O31" s="17"/>
      <c r="W31" s="39"/>
      <c r="X31" s="39"/>
      <c r="Y31" s="39"/>
      <c r="Z31" s="39"/>
    </row>
    <row r="32" spans="1:26" x14ac:dyDescent="0.25">
      <c r="A32" s="1" t="s">
        <v>936</v>
      </c>
      <c r="B32" s="40" t="s">
        <v>35</v>
      </c>
      <c r="C32" s="2">
        <v>1.2333333333333333E-2</v>
      </c>
      <c r="D32" s="8">
        <v>0.97349198497239964</v>
      </c>
      <c r="E32" s="8">
        <v>0.94539961208483525</v>
      </c>
      <c r="F32" s="8">
        <v>0.93143678065302693</v>
      </c>
      <c r="G32" s="8">
        <f>AVERAGE(Table14[[#This Row],[Bulk resorufin fluorescence, replicate 1]:[Bulk resorufin fluorescence, replicate 3]])</f>
        <v>0.95010945923675394</v>
      </c>
      <c r="H32" s="17">
        <f>STDEV(Table14[[#This Row],[Bulk resorufin fluorescence, replicate 1]:[Bulk resorufin fluorescence, replicate 3]])</f>
        <v>2.1419548261620125E-2</v>
      </c>
      <c r="I32" s="8">
        <v>1.0735323966349002</v>
      </c>
      <c r="J32" s="8">
        <v>0.93066154509007792</v>
      </c>
      <c r="K32" s="8">
        <v>1.0211496531821791</v>
      </c>
      <c r="L32" s="8">
        <f>AVERAGE(Table14[[#This Row],[Bulk GFP fluorescence, replicate 1]:[Bulk GFP fluorescence, replicate 3]])</f>
        <v>1.0084478649690523</v>
      </c>
      <c r="M32" s="17">
        <f>STDEV(Table14[[#This Row],[Bulk GFP fluorescence, replicate 1]:[Bulk GFP fluorescence, replicate 3]])</f>
        <v>7.2277393582945451E-2</v>
      </c>
      <c r="N32" s="17"/>
      <c r="O32" s="17"/>
      <c r="W32" s="39"/>
      <c r="X32" s="39"/>
      <c r="Y32" s="39"/>
      <c r="Z32" s="39"/>
    </row>
    <row r="33" spans="1:26" x14ac:dyDescent="0.25">
      <c r="A33" s="1" t="s">
        <v>936</v>
      </c>
      <c r="B33" s="40" t="s">
        <v>35</v>
      </c>
      <c r="C33" s="2">
        <v>3.7500000000000003E-3</v>
      </c>
      <c r="D33" s="8">
        <v>0.92166045371158312</v>
      </c>
      <c r="E33" s="8">
        <v>0.90736722509074763</v>
      </c>
      <c r="F33" s="8">
        <v>0.95734458893988861</v>
      </c>
      <c r="G33" s="8">
        <f>AVERAGE(Table14[[#This Row],[Bulk resorufin fluorescence, replicate 1]:[Bulk resorufin fluorescence, replicate 3]])</f>
        <v>0.92879075591407323</v>
      </c>
      <c r="H33" s="17">
        <f>STDEV(Table14[[#This Row],[Bulk resorufin fluorescence, replicate 1]:[Bulk resorufin fluorescence, replicate 3]])</f>
        <v>2.5740340546532813E-2</v>
      </c>
      <c r="I33" s="8">
        <v>0.97266384239044834</v>
      </c>
      <c r="J33" s="8">
        <v>0.95067074640162996</v>
      </c>
      <c r="K33" s="8">
        <v>0.85277347824368177</v>
      </c>
      <c r="L33" s="8">
        <f>AVERAGE(Table14[[#This Row],[Bulk GFP fluorescence, replicate 1]:[Bulk GFP fluorescence, replicate 3]])</f>
        <v>0.92536935567858658</v>
      </c>
      <c r="M33" s="17">
        <f>STDEV(Table14[[#This Row],[Bulk GFP fluorescence, replicate 1]:[Bulk GFP fluorescence, replicate 3]])</f>
        <v>6.3824330260498205E-2</v>
      </c>
      <c r="N33" s="17"/>
      <c r="O33" s="17"/>
      <c r="W33" s="39"/>
      <c r="X33" s="39"/>
      <c r="Y33" s="39"/>
      <c r="Z33" s="39"/>
    </row>
    <row r="34" spans="1:26" x14ac:dyDescent="0.25">
      <c r="A34" s="1" t="s">
        <v>936</v>
      </c>
      <c r="B34" s="40" t="s">
        <v>35</v>
      </c>
      <c r="C34" s="2">
        <v>1.25E-3</v>
      </c>
      <c r="D34" s="8">
        <v>0.92656835650306812</v>
      </c>
      <c r="E34" s="8">
        <v>1.0084959241072953</v>
      </c>
      <c r="F34" s="8">
        <v>1.0000367568964643</v>
      </c>
      <c r="G34" s="8">
        <f>AVERAGE(Table14[[#This Row],[Bulk resorufin fluorescence, replicate 1]:[Bulk resorufin fluorescence, replicate 3]])</f>
        <v>0.97836701250227598</v>
      </c>
      <c r="H34" s="17">
        <f>STDEV(Table14[[#This Row],[Bulk resorufin fluorescence, replicate 1]:[Bulk resorufin fluorescence, replicate 3]])</f>
        <v>4.5057906631005361E-2</v>
      </c>
      <c r="I34" s="8">
        <v>0.97480721797967373</v>
      </c>
      <c r="J34" s="8">
        <v>0.970679947713182</v>
      </c>
      <c r="K34" s="8">
        <v>0.99122692315879424</v>
      </c>
      <c r="L34" s="8">
        <f>AVERAGE(Table14[[#This Row],[Bulk GFP fluorescence, replicate 1]:[Bulk GFP fluorescence, replicate 3]])</f>
        <v>0.97890469628388332</v>
      </c>
      <c r="M34" s="17">
        <f>STDEV(Table14[[#This Row],[Bulk GFP fluorescence, replicate 1]:[Bulk GFP fluorescence, replicate 3]])</f>
        <v>1.0869063728341521E-2</v>
      </c>
      <c r="N34" s="17"/>
      <c r="O34" s="17"/>
      <c r="W34" s="39"/>
      <c r="X34" s="39"/>
      <c r="Y34" s="39"/>
      <c r="Z34" s="39"/>
    </row>
    <row r="35" spans="1:26" ht="15.75" thickBot="1" x14ac:dyDescent="0.3">
      <c r="A35" s="10" t="s">
        <v>936</v>
      </c>
      <c r="B35" s="11" t="s">
        <v>35</v>
      </c>
      <c r="C35" s="11">
        <v>4.1666666666666669E-4</v>
      </c>
      <c r="D35" s="12">
        <v>0.96243828105923312</v>
      </c>
      <c r="E35" s="12">
        <v>0.95319334142227974</v>
      </c>
      <c r="F35" s="12">
        <v>0.95847051071579603</v>
      </c>
      <c r="G35" s="12">
        <f>AVERAGE(Table14[[#This Row],[Bulk resorufin fluorescence, replicate 1]:[Bulk resorufin fluorescence, replicate 3]])</f>
        <v>0.958034044399103</v>
      </c>
      <c r="H35" s="25">
        <f>STDEV(Table14[[#This Row],[Bulk resorufin fluorescence, replicate 1]:[Bulk resorufin fluorescence, replicate 3]])</f>
        <v>4.6378987005899191E-3</v>
      </c>
      <c r="I35" s="12">
        <v>0.99844930023658318</v>
      </c>
      <c r="J35" s="12">
        <v>1.0018621701950532</v>
      </c>
      <c r="K35" s="12">
        <v>0.94324108171885412</v>
      </c>
      <c r="L35" s="12">
        <f>AVERAGE(Table14[[#This Row],[Bulk GFP fluorescence, replicate 1]:[Bulk GFP fluorescence, replicate 3]])</f>
        <v>0.98118418405016339</v>
      </c>
      <c r="M35" s="25">
        <f>STDEV(Table14[[#This Row],[Bulk GFP fluorescence, replicate 1]:[Bulk GFP fluorescence, replicate 3]])</f>
        <v>3.2903969080211551E-2</v>
      </c>
      <c r="N35" s="25"/>
      <c r="O35" s="25"/>
      <c r="P35" s="25"/>
      <c r="Q35" s="25"/>
      <c r="W35" s="39"/>
      <c r="X35" s="39"/>
      <c r="Y35" s="39"/>
      <c r="Z35" s="39"/>
    </row>
    <row r="36" spans="1:26" x14ac:dyDescent="0.25">
      <c r="A36" s="1" t="s">
        <v>938</v>
      </c>
      <c r="B36" s="40" t="s">
        <v>36</v>
      </c>
      <c r="C36" s="2">
        <v>30</v>
      </c>
      <c r="D36" s="8">
        <v>0.82577505313909483</v>
      </c>
      <c r="E36" s="8">
        <v>0.86964760011771725</v>
      </c>
      <c r="F36" s="8">
        <v>0.84802765874369201</v>
      </c>
      <c r="G36" s="8">
        <f>AVERAGE(Table14[[#This Row],[Bulk resorufin fluorescence, replicate 1]:[Bulk resorufin fluorescence, replicate 3]])</f>
        <v>0.8478167706668347</v>
      </c>
      <c r="H36" s="17">
        <f>STDEV(Table14[[#This Row],[Bulk resorufin fluorescence, replicate 1]:[Bulk resorufin fluorescence, replicate 3]])</f>
        <v>2.1937033754215227E-2</v>
      </c>
      <c r="I36" s="8">
        <v>0</v>
      </c>
      <c r="J36" s="8">
        <v>2.0122300089600312E-2</v>
      </c>
      <c r="K36" s="8">
        <v>3.9857551356946123E-2</v>
      </c>
      <c r="L36" s="8">
        <f>AVERAGE(Table14[[#This Row],[Bulk GFP fluorescence, replicate 1]:[Bulk GFP fluorescence, replicate 3]])</f>
        <v>1.9993283815515479E-2</v>
      </c>
      <c r="M36" s="17">
        <f>STDEV(Table14[[#This Row],[Bulk GFP fluorescence, replicate 1]:[Bulk GFP fluorescence, replicate 3]])</f>
        <v>1.9929088888911439E-2</v>
      </c>
      <c r="N36" s="17">
        <v>1.3193333333333335</v>
      </c>
      <c r="O36" s="17">
        <v>0.54286608666666669</v>
      </c>
      <c r="P36" s="17">
        <v>4.577</v>
      </c>
      <c r="Q36" s="17">
        <v>1.8832981899999999</v>
      </c>
      <c r="W36" s="39"/>
      <c r="X36" s="39"/>
      <c r="Y36" s="39"/>
      <c r="Z36" s="39"/>
    </row>
    <row r="37" spans="1:26" x14ac:dyDescent="0.25">
      <c r="A37" s="1" t="s">
        <v>938</v>
      </c>
      <c r="B37" s="40" t="s">
        <v>36</v>
      </c>
      <c r="C37" s="2">
        <v>10</v>
      </c>
      <c r="D37" s="8">
        <v>0.98477111306962506</v>
      </c>
      <c r="E37" s="8">
        <v>0.92873369434539255</v>
      </c>
      <c r="F37" s="8">
        <v>0.87849873716779603</v>
      </c>
      <c r="G37" s="8">
        <f>AVERAGE(Table14[[#This Row],[Bulk resorufin fluorescence, replicate 1]:[Bulk resorufin fluorescence, replicate 3]])</f>
        <v>0.93066784819427129</v>
      </c>
      <c r="H37" s="17">
        <f>STDEV(Table14[[#This Row],[Bulk resorufin fluorescence, replicate 1]:[Bulk resorufin fluorescence, replicate 3]])</f>
        <v>5.3162582549084861E-2</v>
      </c>
      <c r="I37" s="8">
        <v>0</v>
      </c>
      <c r="J37" s="8">
        <v>0.10075281976193579</v>
      </c>
      <c r="K37" s="8">
        <v>8.1013280002806859E-2</v>
      </c>
      <c r="L37" s="8">
        <f>AVERAGE(Table14[[#This Row],[Bulk GFP fluorescence, replicate 1]:[Bulk GFP fluorescence, replicate 3]])</f>
        <v>6.0588699921580884E-2</v>
      </c>
      <c r="M37" s="17">
        <f>STDEV(Table14[[#This Row],[Bulk GFP fluorescence, replicate 1]:[Bulk GFP fluorescence, replicate 3]])</f>
        <v>5.3391528130557274E-2</v>
      </c>
      <c r="N37" s="17"/>
      <c r="O37" s="17"/>
      <c r="W37" s="39"/>
      <c r="X37" s="39"/>
      <c r="Y37" s="39"/>
      <c r="Z37" s="39"/>
    </row>
    <row r="38" spans="1:26" x14ac:dyDescent="0.25">
      <c r="A38" s="1" t="s">
        <v>938</v>
      </c>
      <c r="B38" s="40" t="s">
        <v>36</v>
      </c>
      <c r="C38" s="2">
        <v>2.9999999999999996</v>
      </c>
      <c r="D38" s="8">
        <v>0.94464137591373321</v>
      </c>
      <c r="E38" s="8">
        <v>0.93809166166120628</v>
      </c>
      <c r="F38" s="8">
        <v>0.88142722280709562</v>
      </c>
      <c r="G38" s="8">
        <f>AVERAGE(Table14[[#This Row],[Bulk resorufin fluorescence, replicate 1]:[Bulk resorufin fluorescence, replicate 3]])</f>
        <v>0.92138675346067844</v>
      </c>
      <c r="H38" s="17">
        <f>STDEV(Table14[[#This Row],[Bulk resorufin fluorescence, replicate 1]:[Bulk resorufin fluorescence, replicate 3]])</f>
        <v>3.476057762377379E-2</v>
      </c>
      <c r="I38" s="8">
        <v>0.14769696141542288</v>
      </c>
      <c r="J38" s="8">
        <v>0.24101223884141709</v>
      </c>
      <c r="K38" s="8">
        <v>0.21444485377962563</v>
      </c>
      <c r="L38" s="8">
        <f>AVERAGE(Table14[[#This Row],[Bulk GFP fluorescence, replicate 1]:[Bulk GFP fluorescence, replicate 3]])</f>
        <v>0.20105135134548854</v>
      </c>
      <c r="M38" s="17">
        <f>STDEV(Table14[[#This Row],[Bulk GFP fluorescence, replicate 1]:[Bulk GFP fluorescence, replicate 3]])</f>
        <v>4.8077798211466509E-2</v>
      </c>
      <c r="N38" s="17"/>
      <c r="O38" s="17"/>
      <c r="W38" s="39"/>
      <c r="X38" s="39"/>
      <c r="Y38" s="39"/>
      <c r="Z38" s="39"/>
    </row>
    <row r="39" spans="1:26" x14ac:dyDescent="0.25">
      <c r="A39" s="1" t="s">
        <v>938</v>
      </c>
      <c r="B39" s="40" t="s">
        <v>36</v>
      </c>
      <c r="C39" s="2">
        <v>1</v>
      </c>
      <c r="D39" s="8">
        <v>1.0581451863756546</v>
      </c>
      <c r="E39" s="8">
        <v>0.91564368054053391</v>
      </c>
      <c r="F39" s="8">
        <v>0.87953668144501607</v>
      </c>
      <c r="G39" s="8">
        <f>AVERAGE(Table14[[#This Row],[Bulk resorufin fluorescence, replicate 1]:[Bulk resorufin fluorescence, replicate 3]])</f>
        <v>0.95110851612040148</v>
      </c>
      <c r="H39" s="17">
        <f>STDEV(Table14[[#This Row],[Bulk resorufin fluorescence, replicate 1]:[Bulk resorufin fluorescence, replicate 3]])</f>
        <v>9.4438156644545759E-2</v>
      </c>
      <c r="I39" s="8">
        <v>0.58091941845163775</v>
      </c>
      <c r="J39" s="8">
        <v>0.67411668068410324</v>
      </c>
      <c r="K39" s="8">
        <v>0.6164236969984036</v>
      </c>
      <c r="L39" s="8">
        <f>AVERAGE(Table14[[#This Row],[Bulk GFP fluorescence, replicate 1]:[Bulk GFP fluorescence, replicate 3]])</f>
        <v>0.62381993204471486</v>
      </c>
      <c r="M39" s="17">
        <f>STDEV(Table14[[#This Row],[Bulk GFP fluorescence, replicate 1]:[Bulk GFP fluorescence, replicate 3]])</f>
        <v>4.703680092812379E-2</v>
      </c>
      <c r="N39" s="17"/>
      <c r="O39" s="17"/>
      <c r="W39" s="39"/>
      <c r="X39" s="39"/>
      <c r="Y39" s="39"/>
      <c r="Z39" s="39"/>
    </row>
    <row r="40" spans="1:26" x14ac:dyDescent="0.25">
      <c r="A40" s="1" t="s">
        <v>938</v>
      </c>
      <c r="B40" s="40" t="s">
        <v>36</v>
      </c>
      <c r="C40" s="2">
        <v>0.33300000000000002</v>
      </c>
      <c r="D40" s="8">
        <v>0.96093952511794289</v>
      </c>
      <c r="E40" s="8">
        <v>0.90252581564247358</v>
      </c>
      <c r="F40" s="8">
        <v>0.87370442312539853</v>
      </c>
      <c r="G40" s="8">
        <f>AVERAGE(Table14[[#This Row],[Bulk resorufin fluorescence, replicate 1]:[Bulk resorufin fluorescence, replicate 3]])</f>
        <v>0.91238992129527163</v>
      </c>
      <c r="H40" s="17">
        <f>STDEV(Table14[[#This Row],[Bulk resorufin fluorescence, replicate 1]:[Bulk resorufin fluorescence, replicate 3]])</f>
        <v>4.4446216826177422E-2</v>
      </c>
      <c r="I40" s="8">
        <v>1.0273946191614458</v>
      </c>
      <c r="J40" s="8">
        <v>0.83361122860459935</v>
      </c>
      <c r="K40" s="8">
        <v>1.0711716927179271</v>
      </c>
      <c r="L40" s="8">
        <f>AVERAGE(Table14[[#This Row],[Bulk GFP fluorescence, replicate 1]:[Bulk GFP fluorescence, replicate 3]])</f>
        <v>0.9773925134946575</v>
      </c>
      <c r="M40" s="17">
        <f>STDEV(Table14[[#This Row],[Bulk GFP fluorescence, replicate 1]:[Bulk GFP fluorescence, replicate 3]])</f>
        <v>0.12642745530844646</v>
      </c>
      <c r="N40" s="17"/>
      <c r="O40" s="17"/>
      <c r="W40" s="39"/>
      <c r="X40" s="39"/>
      <c r="Y40" s="39"/>
      <c r="Z40" s="39"/>
    </row>
    <row r="41" spans="1:26" x14ac:dyDescent="0.25">
      <c r="A41" s="1" t="s">
        <v>938</v>
      </c>
      <c r="B41" s="40" t="s">
        <v>36</v>
      </c>
      <c r="C41" s="2">
        <v>0.11099999999999999</v>
      </c>
      <c r="D41" s="8">
        <v>1.1237266058375242</v>
      </c>
      <c r="E41" s="8">
        <v>0.90492100965783062</v>
      </c>
      <c r="F41" s="8">
        <v>0.85525619924576046</v>
      </c>
      <c r="G41" s="8">
        <f>AVERAGE(Table14[[#This Row],[Bulk resorufin fluorescence, replicate 1]:[Bulk resorufin fluorescence, replicate 3]])</f>
        <v>0.96130127158037171</v>
      </c>
      <c r="H41" s="17">
        <f>STDEV(Table14[[#This Row],[Bulk resorufin fluorescence, replicate 1]:[Bulk resorufin fluorescence, replicate 3]])</f>
        <v>0.14283956123822125</v>
      </c>
      <c r="I41" s="8">
        <v>1.04274384206024</v>
      </c>
      <c r="J41" s="8">
        <v>0.95875733216614045</v>
      </c>
      <c r="K41" s="8">
        <v>1.1606406680350156</v>
      </c>
      <c r="L41" s="8">
        <f>AVERAGE(Table14[[#This Row],[Bulk GFP fluorescence, replicate 1]:[Bulk GFP fluorescence, replicate 3]])</f>
        <v>1.0540472807537986</v>
      </c>
      <c r="M41" s="17">
        <f>STDEV(Table14[[#This Row],[Bulk GFP fluorescence, replicate 1]:[Bulk GFP fluorescence, replicate 3]])</f>
        <v>0.10141521641307358</v>
      </c>
      <c r="N41" s="17"/>
      <c r="O41" s="17"/>
      <c r="W41" s="39"/>
      <c r="X41" s="39"/>
      <c r="Y41" s="39"/>
      <c r="Z41" s="39"/>
    </row>
    <row r="42" spans="1:26" x14ac:dyDescent="0.25">
      <c r="A42" s="1" t="s">
        <v>938</v>
      </c>
      <c r="B42" s="40" t="s">
        <v>36</v>
      </c>
      <c r="C42" s="2">
        <v>3.6999999999999998E-2</v>
      </c>
      <c r="D42" s="8">
        <v>0.93344652392555338</v>
      </c>
      <c r="E42" s="8">
        <v>0.88257050736336484</v>
      </c>
      <c r="F42" s="8">
        <v>0.83383006380886004</v>
      </c>
      <c r="G42" s="8">
        <f>AVERAGE(Table14[[#This Row],[Bulk resorufin fluorescence, replicate 1]:[Bulk resorufin fluorescence, replicate 3]])</f>
        <v>0.88328236503259261</v>
      </c>
      <c r="H42" s="17">
        <f>STDEV(Table14[[#This Row],[Bulk resorufin fluorescence, replicate 1]:[Bulk resorufin fluorescence, replicate 3]])</f>
        <v>4.9812045105085953E-2</v>
      </c>
      <c r="I42" s="8">
        <v>1.1146231297814233</v>
      </c>
      <c r="J42" s="8">
        <v>1.0230576200061043</v>
      </c>
      <c r="K42" s="8">
        <v>1.2149185130607161</v>
      </c>
      <c r="L42" s="8">
        <f>AVERAGE(Table14[[#This Row],[Bulk GFP fluorescence, replicate 1]:[Bulk GFP fluorescence, replicate 3]])</f>
        <v>1.1175330876160812</v>
      </c>
      <c r="M42" s="17">
        <f>STDEV(Table14[[#This Row],[Bulk GFP fluorescence, replicate 1]:[Bulk GFP fluorescence, replicate 3]])</f>
        <v>9.5963542357907494E-2</v>
      </c>
      <c r="N42" s="17"/>
      <c r="O42" s="17"/>
      <c r="W42" s="39"/>
      <c r="X42" s="39"/>
      <c r="Y42" s="39"/>
      <c r="Z42" s="39"/>
    </row>
    <row r="43" spans="1:26" x14ac:dyDescent="0.25">
      <c r="A43" s="1" t="s">
        <v>938</v>
      </c>
      <c r="B43" s="40" t="s">
        <v>36</v>
      </c>
      <c r="C43" s="2">
        <v>1.2333333333333333E-2</v>
      </c>
      <c r="D43" s="8">
        <v>1.1481576287002955</v>
      </c>
      <c r="E43" s="8">
        <v>0.88706845891545982</v>
      </c>
      <c r="F43" s="8">
        <v>0.86620404007453433</v>
      </c>
      <c r="G43" s="8">
        <f>AVERAGE(Table14[[#This Row],[Bulk resorufin fluorescence, replicate 1]:[Bulk resorufin fluorescence, replicate 3]])</f>
        <v>0.96714337589676325</v>
      </c>
      <c r="H43" s="17">
        <f>STDEV(Table14[[#This Row],[Bulk resorufin fluorescence, replicate 1]:[Bulk resorufin fluorescence, replicate 3]])</f>
        <v>0.15710967755650201</v>
      </c>
      <c r="I43" s="8">
        <v>0.92856059854481876</v>
      </c>
      <c r="J43" s="8">
        <v>0.97587267129814537</v>
      </c>
      <c r="K43" s="8">
        <v>1.2464607125940741</v>
      </c>
      <c r="L43" s="8">
        <f>AVERAGE(Table14[[#This Row],[Bulk GFP fluorescence, replicate 1]:[Bulk GFP fluorescence, replicate 3]])</f>
        <v>1.0502979941456794</v>
      </c>
      <c r="M43" s="17">
        <f>STDEV(Table14[[#This Row],[Bulk GFP fluorescence, replicate 1]:[Bulk GFP fluorescence, replicate 3]])</f>
        <v>0.17152103993053486</v>
      </c>
      <c r="N43" s="17"/>
      <c r="O43" s="17"/>
      <c r="W43" s="39"/>
      <c r="X43" s="39"/>
      <c r="Y43" s="39"/>
      <c r="Z43" s="39"/>
    </row>
    <row r="44" spans="1:26" x14ac:dyDescent="0.25">
      <c r="A44" s="1" t="s">
        <v>938</v>
      </c>
      <c r="B44" s="40" t="s">
        <v>36</v>
      </c>
      <c r="C44" s="2">
        <v>3.7500000000000003E-3</v>
      </c>
      <c r="D44" s="8">
        <v>0.89639496604282232</v>
      </c>
      <c r="E44" s="8">
        <v>0.9090151203584993</v>
      </c>
      <c r="F44" s="8">
        <v>0.86136030011417386</v>
      </c>
      <c r="G44" s="8">
        <f>AVERAGE(Table14[[#This Row],[Bulk resorufin fluorescence, replicate 1]:[Bulk resorufin fluorescence, replicate 3]])</f>
        <v>0.88892346217183194</v>
      </c>
      <c r="H44" s="17">
        <f>STDEV(Table14[[#This Row],[Bulk resorufin fluorescence, replicate 1]:[Bulk resorufin fluorescence, replicate 3]])</f>
        <v>2.4690342255635333E-2</v>
      </c>
      <c r="I44" s="8">
        <v>1.1045899792036749</v>
      </c>
      <c r="J44" s="8">
        <v>1.0137933538704318</v>
      </c>
      <c r="K44" s="8">
        <v>1.115871094503798</v>
      </c>
      <c r="L44" s="8">
        <f>AVERAGE(Table14[[#This Row],[Bulk GFP fluorescence, replicate 1]:[Bulk GFP fluorescence, replicate 3]])</f>
        <v>1.0780848091926349</v>
      </c>
      <c r="M44" s="17">
        <f>STDEV(Table14[[#This Row],[Bulk GFP fluorescence, replicate 1]:[Bulk GFP fluorescence, replicate 3]])</f>
        <v>5.5963017352433683E-2</v>
      </c>
      <c r="N44" s="17"/>
      <c r="O44" s="17"/>
      <c r="W44" s="39"/>
      <c r="X44" s="39"/>
      <c r="Y44" s="39"/>
      <c r="Z44" s="39"/>
    </row>
    <row r="45" spans="1:26" x14ac:dyDescent="0.25">
      <c r="A45" s="1" t="s">
        <v>938</v>
      </c>
      <c r="B45" s="40" t="s">
        <v>36</v>
      </c>
      <c r="C45" s="2">
        <v>1.25E-3</v>
      </c>
      <c r="D45" s="8">
        <v>1.0571407278759914</v>
      </c>
      <c r="E45" s="8">
        <v>0.90336134843852833</v>
      </c>
      <c r="F45" s="8">
        <v>0.88074761643510624</v>
      </c>
      <c r="G45" s="8">
        <f>AVERAGE(Table14[[#This Row],[Bulk resorufin fluorescence, replicate 1]:[Bulk resorufin fluorescence, replicate 3]])</f>
        <v>0.94708323091654201</v>
      </c>
      <c r="H45" s="17">
        <f>STDEV(Table14[[#This Row],[Bulk resorufin fluorescence, replicate 1]:[Bulk resorufin fluorescence, replicate 3]])</f>
        <v>9.5980907979217753E-2</v>
      </c>
      <c r="I45" s="8">
        <v>1.0373528954811513</v>
      </c>
      <c r="J45" s="8">
        <v>1.0943453628128039</v>
      </c>
      <c r="K45" s="8">
        <v>1.1030647509780187</v>
      </c>
      <c r="L45" s="8">
        <f>AVERAGE(Table14[[#This Row],[Bulk GFP fluorescence, replicate 1]:[Bulk GFP fluorescence, replicate 3]])</f>
        <v>1.0782543364239914</v>
      </c>
      <c r="M45" s="17">
        <f>STDEV(Table14[[#This Row],[Bulk GFP fluorescence, replicate 1]:[Bulk GFP fluorescence, replicate 3]])</f>
        <v>3.5688973589813343E-2</v>
      </c>
      <c r="N45" s="17"/>
      <c r="O45" s="17"/>
      <c r="W45" s="39"/>
      <c r="X45" s="39"/>
      <c r="Y45" s="39"/>
      <c r="Z45" s="39"/>
    </row>
    <row r="46" spans="1:26" ht="15.75" thickBot="1" x14ac:dyDescent="0.3">
      <c r="A46" s="10" t="s">
        <v>938</v>
      </c>
      <c r="B46" s="11" t="s">
        <v>36</v>
      </c>
      <c r="C46" s="11">
        <v>4.1666666666666669E-4</v>
      </c>
      <c r="D46" s="12">
        <v>1.0584368033594278</v>
      </c>
      <c r="E46" s="12">
        <v>0.92624102150382903</v>
      </c>
      <c r="F46" s="12">
        <v>0.88612268501356739</v>
      </c>
      <c r="G46" s="12">
        <f>AVERAGE(Table14[[#This Row],[Bulk resorufin fluorescence, replicate 1]:[Bulk resorufin fluorescence, replicate 3]])</f>
        <v>0.95693350329227478</v>
      </c>
      <c r="H46" s="25">
        <f>STDEV(Table14[[#This Row],[Bulk resorufin fluorescence, replicate 1]:[Bulk resorufin fluorescence, replicate 3]])</f>
        <v>9.0164073632896316E-2</v>
      </c>
      <c r="I46" s="12">
        <v>1.0239504032914724</v>
      </c>
      <c r="J46" s="12">
        <v>1.031576034207125</v>
      </c>
      <c r="K46" s="12">
        <v>1.122818097293125</v>
      </c>
      <c r="L46" s="12">
        <f>AVERAGE(Table14[[#This Row],[Bulk GFP fluorescence, replicate 1]:[Bulk GFP fluorescence, replicate 3]])</f>
        <v>1.0594481782639074</v>
      </c>
      <c r="M46" s="25">
        <f>STDEV(Table14[[#This Row],[Bulk GFP fluorescence, replicate 1]:[Bulk GFP fluorescence, replicate 3]])</f>
        <v>5.5012249000042077E-2</v>
      </c>
      <c r="N46" s="25"/>
      <c r="O46" s="25"/>
      <c r="P46" s="25"/>
      <c r="Q46" s="25"/>
      <c r="W46" s="39"/>
      <c r="X46" s="39"/>
      <c r="Y46" s="39"/>
      <c r="Z46" s="39"/>
    </row>
    <row r="47" spans="1:26" x14ac:dyDescent="0.25">
      <c r="A47" s="1" t="s">
        <v>940</v>
      </c>
      <c r="B47" s="40" t="s">
        <v>37</v>
      </c>
      <c r="C47" s="2">
        <v>30</v>
      </c>
      <c r="D47" s="8">
        <v>1.0819027516780804</v>
      </c>
      <c r="E47" s="8">
        <v>0.96570632569944292</v>
      </c>
      <c r="F47" s="8">
        <v>0.91792571934213674</v>
      </c>
      <c r="G47" s="8">
        <f>AVERAGE(Table14[[#This Row],[Bulk resorufin fluorescence, replicate 1]:[Bulk resorufin fluorescence, replicate 3]])</f>
        <v>0.98851159890655349</v>
      </c>
      <c r="H47" s="17">
        <f>STDEV(Table14[[#This Row],[Bulk resorufin fluorescence, replicate 1]:[Bulk resorufin fluorescence, replicate 3]])</f>
        <v>8.4333724855267647E-2</v>
      </c>
      <c r="I47" s="8">
        <v>3.79572331619175E-2</v>
      </c>
      <c r="J47" s="8">
        <v>6.6066877469201216E-2</v>
      </c>
      <c r="K47" s="8">
        <v>8.1411720344111427E-2</v>
      </c>
      <c r="L47" s="8">
        <f>AVERAGE(Table14[[#This Row],[Bulk GFP fluorescence, replicate 1]:[Bulk GFP fluorescence, replicate 3]])</f>
        <v>6.181194365841005E-2</v>
      </c>
      <c r="M47" s="17">
        <f>STDEV(Table14[[#This Row],[Bulk GFP fluorescence, replicate 1]:[Bulk GFP fluorescence, replicate 3]])</f>
        <v>2.2037501227850781E-2</v>
      </c>
      <c r="N47" s="17">
        <v>1.4283333333333335</v>
      </c>
      <c r="O47" s="17">
        <v>0.66924558333333328</v>
      </c>
      <c r="P47" s="17">
        <v>4.7733333333333334</v>
      </c>
      <c r="Q47" s="17">
        <v>2.2365453333333329</v>
      </c>
      <c r="W47" s="39"/>
      <c r="X47" s="39"/>
      <c r="Y47" s="39"/>
      <c r="Z47" s="39"/>
    </row>
    <row r="48" spans="1:26" x14ac:dyDescent="0.25">
      <c r="A48" s="1" t="s">
        <v>940</v>
      </c>
      <c r="B48" s="40" t="s">
        <v>37</v>
      </c>
      <c r="C48" s="2">
        <v>10</v>
      </c>
      <c r="D48" s="8">
        <v>1.026095382250868</v>
      </c>
      <c r="E48" s="8">
        <v>0.89594232640290294</v>
      </c>
      <c r="F48" s="8">
        <v>0.91486135492111009</v>
      </c>
      <c r="G48" s="8">
        <f>AVERAGE(Table14[[#This Row],[Bulk resorufin fluorescence, replicate 1]:[Bulk resorufin fluorescence, replicate 3]])</f>
        <v>0.94563302119162707</v>
      </c>
      <c r="H48" s="17">
        <f>STDEV(Table14[[#This Row],[Bulk resorufin fluorescence, replicate 1]:[Bulk resorufin fluorescence, replicate 3]])</f>
        <v>7.0321590357719677E-2</v>
      </c>
      <c r="I48" s="8">
        <v>5.0492732820114045E-2</v>
      </c>
      <c r="J48" s="8">
        <v>0.11408165798871017</v>
      </c>
      <c r="K48" s="8">
        <v>9.0808187394137735E-2</v>
      </c>
      <c r="L48" s="8">
        <f>AVERAGE(Table14[[#This Row],[Bulk GFP fluorescence, replicate 1]:[Bulk GFP fluorescence, replicate 3]])</f>
        <v>8.5127526067653989E-2</v>
      </c>
      <c r="M48" s="17">
        <f>STDEV(Table14[[#This Row],[Bulk GFP fluorescence, replicate 1]:[Bulk GFP fluorescence, replicate 3]])</f>
        <v>3.2172819053573547E-2</v>
      </c>
      <c r="N48" s="17"/>
      <c r="O48" s="17"/>
      <c r="W48" s="39"/>
      <c r="X48" s="39"/>
      <c r="Y48" s="39"/>
      <c r="Z48" s="39"/>
    </row>
    <row r="49" spans="1:26" x14ac:dyDescent="0.25">
      <c r="A49" s="1" t="s">
        <v>940</v>
      </c>
      <c r="B49" s="40" t="s">
        <v>37</v>
      </c>
      <c r="C49" s="2">
        <v>2.9999999999999996</v>
      </c>
      <c r="D49" s="8">
        <v>0.94070952448684242</v>
      </c>
      <c r="E49" s="8">
        <v>0.94216065963291029</v>
      </c>
      <c r="F49" s="8">
        <v>0.91227289558062163</v>
      </c>
      <c r="G49" s="8">
        <f>AVERAGE(Table14[[#This Row],[Bulk resorufin fluorescence, replicate 1]:[Bulk resorufin fluorescence, replicate 3]])</f>
        <v>0.93171435990012486</v>
      </c>
      <c r="H49" s="17">
        <f>STDEV(Table14[[#This Row],[Bulk resorufin fluorescence, replicate 1]:[Bulk resorufin fluorescence, replicate 3]])</f>
        <v>1.6852428592577504E-2</v>
      </c>
      <c r="I49" s="8">
        <v>0.20585498765123389</v>
      </c>
      <c r="J49" s="8">
        <v>0.27269474283794737</v>
      </c>
      <c r="K49" s="8">
        <v>0.18802665069165908</v>
      </c>
      <c r="L49" s="8">
        <f>AVERAGE(Table14[[#This Row],[Bulk GFP fluorescence, replicate 1]:[Bulk GFP fluorescence, replicate 3]])</f>
        <v>0.2221921270602801</v>
      </c>
      <c r="M49" s="17">
        <f>STDEV(Table14[[#This Row],[Bulk GFP fluorescence, replicate 1]:[Bulk GFP fluorescence, replicate 3]])</f>
        <v>4.4635726161630397E-2</v>
      </c>
      <c r="N49" s="17"/>
      <c r="O49" s="17"/>
      <c r="W49" s="39"/>
      <c r="X49" s="39"/>
      <c r="Y49" s="39"/>
      <c r="Z49" s="39"/>
    </row>
    <row r="50" spans="1:26" x14ac:dyDescent="0.25">
      <c r="A50" s="1" t="s">
        <v>940</v>
      </c>
      <c r="B50" s="40" t="s">
        <v>37</v>
      </c>
      <c r="C50" s="2">
        <v>1</v>
      </c>
      <c r="D50" s="8">
        <v>1.0436444115201244</v>
      </c>
      <c r="E50" s="8">
        <v>0.84702908351562978</v>
      </c>
      <c r="F50" s="8">
        <v>0.8754308778823694</v>
      </c>
      <c r="G50" s="8">
        <f>AVERAGE(Table14[[#This Row],[Bulk resorufin fluorescence, replicate 1]:[Bulk resorufin fluorescence, replicate 3]])</f>
        <v>0.9220347909727078</v>
      </c>
      <c r="H50" s="17">
        <f>STDEV(Table14[[#This Row],[Bulk resorufin fluorescence, replicate 1]:[Bulk resorufin fluorescence, replicate 3]])</f>
        <v>0.10627012909598642</v>
      </c>
      <c r="I50" s="8">
        <v>0.5597068121997042</v>
      </c>
      <c r="J50" s="8">
        <v>0.61690412379415349</v>
      </c>
      <c r="K50" s="8">
        <v>0.53736844185898014</v>
      </c>
      <c r="L50" s="8">
        <f>AVERAGE(Table14[[#This Row],[Bulk GFP fluorescence, replicate 1]:[Bulk GFP fluorescence, replicate 3]])</f>
        <v>0.57132645928427928</v>
      </c>
      <c r="M50" s="17">
        <f>STDEV(Table14[[#This Row],[Bulk GFP fluorescence, replicate 1]:[Bulk GFP fluorescence, replicate 3]])</f>
        <v>4.102125453957766E-2</v>
      </c>
      <c r="N50" s="17"/>
      <c r="O50" s="17"/>
      <c r="W50" s="39"/>
      <c r="X50" s="39"/>
      <c r="Y50" s="39"/>
      <c r="Z50" s="39"/>
    </row>
    <row r="51" spans="1:26" x14ac:dyDescent="0.25">
      <c r="A51" s="1" t="s">
        <v>940</v>
      </c>
      <c r="B51" s="40" t="s">
        <v>37</v>
      </c>
      <c r="C51" s="2">
        <v>0.33300000000000002</v>
      </c>
      <c r="D51" s="8">
        <v>0.88595072776285533</v>
      </c>
      <c r="E51" s="8">
        <v>0.90159784103575624</v>
      </c>
      <c r="F51" s="8">
        <v>0.86911642998449645</v>
      </c>
      <c r="G51" s="8">
        <f>AVERAGE(Table14[[#This Row],[Bulk resorufin fluorescence, replicate 1]:[Bulk resorufin fluorescence, replicate 3]])</f>
        <v>0.88555499959436934</v>
      </c>
      <c r="H51" s="17">
        <f>STDEV(Table14[[#This Row],[Bulk resorufin fluorescence, replicate 1]:[Bulk resorufin fluorescence, replicate 3]])</f>
        <v>1.6244321055609724E-2</v>
      </c>
      <c r="I51" s="8">
        <v>1.030599934074963</v>
      </c>
      <c r="J51" s="8">
        <v>0.79519779168522753</v>
      </c>
      <c r="K51" s="8">
        <v>0.91012537745516919</v>
      </c>
      <c r="L51" s="8">
        <f>AVERAGE(Table14[[#This Row],[Bulk GFP fluorescence, replicate 1]:[Bulk GFP fluorescence, replicate 3]])</f>
        <v>0.9119743677384532</v>
      </c>
      <c r="M51" s="17">
        <f>STDEV(Table14[[#This Row],[Bulk GFP fluorescence, replicate 1]:[Bulk GFP fluorescence, replicate 3]])</f>
        <v>0.11771196300385275</v>
      </c>
      <c r="N51" s="17"/>
      <c r="O51" s="17"/>
      <c r="W51" s="39"/>
      <c r="X51" s="39"/>
      <c r="Y51" s="39"/>
      <c r="Z51" s="39"/>
    </row>
    <row r="52" spans="1:26" x14ac:dyDescent="0.25">
      <c r="A52" s="1" t="s">
        <v>940</v>
      </c>
      <c r="B52" s="40" t="s">
        <v>37</v>
      </c>
      <c r="C52" s="2">
        <v>0.11099999999999999</v>
      </c>
      <c r="D52" s="8">
        <v>0.86792110267128741</v>
      </c>
      <c r="E52" s="8">
        <v>0.92629485348168417</v>
      </c>
      <c r="F52" s="8">
        <v>0.85501338918318059</v>
      </c>
      <c r="G52" s="8">
        <f>AVERAGE(Table14[[#This Row],[Bulk resorufin fluorescence, replicate 1]:[Bulk resorufin fluorescence, replicate 3]])</f>
        <v>0.88307644844538402</v>
      </c>
      <c r="H52" s="17">
        <f>STDEV(Table14[[#This Row],[Bulk resorufin fluorescence, replicate 1]:[Bulk resorufin fluorescence, replicate 3]])</f>
        <v>3.7980589348824374E-2</v>
      </c>
      <c r="I52" s="8">
        <v>1.0016318882327055</v>
      </c>
      <c r="J52" s="8">
        <v>0.87494249180279993</v>
      </c>
      <c r="K52" s="8">
        <v>0.95160363330059283</v>
      </c>
      <c r="L52" s="8">
        <f>AVERAGE(Table14[[#This Row],[Bulk GFP fluorescence, replicate 1]:[Bulk GFP fluorescence, replicate 3]])</f>
        <v>0.94272600444536614</v>
      </c>
      <c r="M52" s="17">
        <f>STDEV(Table14[[#This Row],[Bulk GFP fluorescence, replicate 1]:[Bulk GFP fluorescence, replicate 3]])</f>
        <v>6.3809560510254354E-2</v>
      </c>
      <c r="N52" s="17"/>
      <c r="O52" s="17"/>
      <c r="W52" s="39"/>
      <c r="X52" s="39"/>
      <c r="Y52" s="39"/>
      <c r="Z52" s="39"/>
    </row>
    <row r="53" spans="1:26" x14ac:dyDescent="0.25">
      <c r="A53" s="1" t="s">
        <v>940</v>
      </c>
      <c r="B53" s="40" t="s">
        <v>37</v>
      </c>
      <c r="C53" s="2">
        <v>3.6999999999999998E-2</v>
      </c>
      <c r="D53" s="8">
        <v>0.88238266786993602</v>
      </c>
      <c r="E53" s="8">
        <v>0.90691174740219571</v>
      </c>
      <c r="F53" s="8">
        <v>0.85429372784187885</v>
      </c>
      <c r="G53" s="8">
        <f>AVERAGE(Table14[[#This Row],[Bulk resorufin fluorescence, replicate 1]:[Bulk resorufin fluorescence, replicate 3]])</f>
        <v>0.88119604770467019</v>
      </c>
      <c r="H53" s="17">
        <f>STDEV(Table14[[#This Row],[Bulk resorufin fluorescence, replicate 1]:[Bulk resorufin fluorescence, replicate 3]])</f>
        <v>2.6329072261949027E-2</v>
      </c>
      <c r="I53" s="8">
        <v>1.2007060149289357</v>
      </c>
      <c r="J53" s="8">
        <v>0.98466448074662072</v>
      </c>
      <c r="K53" s="8">
        <v>0.96093928179366106</v>
      </c>
      <c r="L53" s="8">
        <f>AVERAGE(Table14[[#This Row],[Bulk GFP fluorescence, replicate 1]:[Bulk GFP fluorescence, replicate 3]])</f>
        <v>1.0487699258230725</v>
      </c>
      <c r="M53" s="17">
        <f>STDEV(Table14[[#This Row],[Bulk GFP fluorescence, replicate 1]:[Bulk GFP fluorescence, replicate 3]])</f>
        <v>0.13211416519786118</v>
      </c>
      <c r="N53" s="17"/>
      <c r="O53" s="17"/>
      <c r="W53" s="39"/>
      <c r="X53" s="39"/>
      <c r="Y53" s="39"/>
      <c r="Z53" s="39"/>
    </row>
    <row r="54" spans="1:26" x14ac:dyDescent="0.25">
      <c r="A54" s="1" t="s">
        <v>940</v>
      </c>
      <c r="B54" s="40" t="s">
        <v>37</v>
      </c>
      <c r="C54" s="2">
        <v>1.2333333333333333E-2</v>
      </c>
      <c r="D54" s="8">
        <v>1.0678635282626752</v>
      </c>
      <c r="E54" s="8">
        <v>0.88117725799901059</v>
      </c>
      <c r="F54" s="8">
        <v>0.86305734578837545</v>
      </c>
      <c r="G54" s="8">
        <f>AVERAGE(Table14[[#This Row],[Bulk resorufin fluorescence, replicate 1]:[Bulk resorufin fluorescence, replicate 3]])</f>
        <v>0.93736604401668711</v>
      </c>
      <c r="H54" s="17">
        <f>STDEV(Table14[[#This Row],[Bulk resorufin fluorescence, replicate 1]:[Bulk resorufin fluorescence, replicate 3]])</f>
        <v>0.11337670770722361</v>
      </c>
      <c r="I54" s="8">
        <v>1.0045546731271038</v>
      </c>
      <c r="J54" s="8">
        <v>0.91244148769142019</v>
      </c>
      <c r="K54" s="8">
        <v>1.0012011664999225</v>
      </c>
      <c r="L54" s="8">
        <f>AVERAGE(Table14[[#This Row],[Bulk GFP fluorescence, replicate 1]:[Bulk GFP fluorescence, replicate 3]])</f>
        <v>0.97273244243948209</v>
      </c>
      <c r="M54" s="17">
        <f>STDEV(Table14[[#This Row],[Bulk GFP fluorescence, replicate 1]:[Bulk GFP fluorescence, replicate 3]])</f>
        <v>5.2240414623156269E-2</v>
      </c>
      <c r="N54" s="17"/>
      <c r="O54" s="17"/>
      <c r="W54" s="39"/>
      <c r="X54" s="39"/>
      <c r="Y54" s="39"/>
      <c r="Z54" s="39"/>
    </row>
    <row r="55" spans="1:26" x14ac:dyDescent="0.25">
      <c r="A55" s="1" t="s">
        <v>940</v>
      </c>
      <c r="B55" s="40" t="s">
        <v>37</v>
      </c>
      <c r="C55" s="2">
        <v>3.7500000000000003E-3</v>
      </c>
      <c r="D55" s="8">
        <v>0.90577166455576674</v>
      </c>
      <c r="E55" s="8">
        <v>0.93173528142827677</v>
      </c>
      <c r="F55" s="8">
        <v>0.87782201072604926</v>
      </c>
      <c r="G55" s="8">
        <f>AVERAGE(Table14[[#This Row],[Bulk resorufin fluorescence, replicate 1]:[Bulk resorufin fluorescence, replicate 3]])</f>
        <v>0.90510965223669759</v>
      </c>
      <c r="H55" s="17">
        <f>STDEV(Table14[[#This Row],[Bulk resorufin fluorescence, replicate 1]:[Bulk resorufin fluorescence, replicate 3]])</f>
        <v>2.6962731402546469E-2</v>
      </c>
      <c r="I55" s="8">
        <v>1.0763252799784364</v>
      </c>
      <c r="J55" s="8">
        <v>1.0234049234319431</v>
      </c>
      <c r="K55" s="8">
        <v>1.0896617575954775</v>
      </c>
      <c r="L55" s="8">
        <f>AVERAGE(Table14[[#This Row],[Bulk GFP fluorescence, replicate 1]:[Bulk GFP fluorescence, replicate 3]])</f>
        <v>1.0631306536686189</v>
      </c>
      <c r="M55" s="17">
        <f>STDEV(Table14[[#This Row],[Bulk GFP fluorescence, replicate 1]:[Bulk GFP fluorescence, replicate 3]])</f>
        <v>3.5043767504869074E-2</v>
      </c>
      <c r="N55" s="17"/>
      <c r="O55" s="17"/>
      <c r="W55" s="39"/>
      <c r="X55" s="39"/>
      <c r="Y55" s="39"/>
      <c r="Z55" s="39"/>
    </row>
    <row r="56" spans="1:26" x14ac:dyDescent="0.25">
      <c r="A56" s="1" t="s">
        <v>940</v>
      </c>
      <c r="B56" s="40" t="s">
        <v>37</v>
      </c>
      <c r="C56" s="2">
        <v>1.25E-3</v>
      </c>
      <c r="D56" s="8">
        <v>0.94298143201049722</v>
      </c>
      <c r="E56" s="8">
        <v>0.88814859706545846</v>
      </c>
      <c r="F56" s="8">
        <v>0.90743259268831822</v>
      </c>
      <c r="G56" s="8">
        <f>AVERAGE(Table14[[#This Row],[Bulk resorufin fluorescence, replicate 1]:[Bulk resorufin fluorescence, replicate 3]])</f>
        <v>0.91285420725475797</v>
      </c>
      <c r="H56" s="17">
        <f>STDEV(Table14[[#This Row],[Bulk resorufin fluorescence, replicate 1]:[Bulk resorufin fluorescence, replicate 3]])</f>
        <v>2.7815559951360674E-2</v>
      </c>
      <c r="I56" s="8">
        <v>0.93525219574215201</v>
      </c>
      <c r="J56" s="8">
        <v>0.92766746752156104</v>
      </c>
      <c r="K56" s="8">
        <v>0.88631491240607341</v>
      </c>
      <c r="L56" s="8">
        <f>AVERAGE(Table14[[#This Row],[Bulk GFP fluorescence, replicate 1]:[Bulk GFP fluorescence, replicate 3]])</f>
        <v>0.91641152522326219</v>
      </c>
      <c r="M56" s="17">
        <f>STDEV(Table14[[#This Row],[Bulk GFP fluorescence, replicate 1]:[Bulk GFP fluorescence, replicate 3]])</f>
        <v>2.6338880060585049E-2</v>
      </c>
      <c r="N56" s="17"/>
      <c r="O56" s="17"/>
      <c r="W56" s="39"/>
      <c r="X56" s="39"/>
      <c r="Y56" s="39"/>
      <c r="Z56" s="39"/>
    </row>
    <row r="57" spans="1:26" ht="15.75" thickBot="1" x14ac:dyDescent="0.3">
      <c r="A57" s="10" t="s">
        <v>940</v>
      </c>
      <c r="B57" s="11" t="s">
        <v>37</v>
      </c>
      <c r="C57" s="11">
        <v>4.1666666666666669E-4</v>
      </c>
      <c r="D57" s="12">
        <v>0.97489008191003335</v>
      </c>
      <c r="E57" s="12">
        <v>0.98121787142623984</v>
      </c>
      <c r="F57" s="12">
        <v>0.9050066375216721</v>
      </c>
      <c r="G57" s="12">
        <f>AVERAGE(Table14[[#This Row],[Bulk resorufin fluorescence, replicate 1]:[Bulk resorufin fluorescence, replicate 3]])</f>
        <v>0.95370486361931517</v>
      </c>
      <c r="H57" s="25">
        <f>STDEV(Table14[[#This Row],[Bulk resorufin fluorescence, replicate 1]:[Bulk resorufin fluorescence, replicate 3]])</f>
        <v>4.2292412426264137E-2</v>
      </c>
      <c r="I57" s="12">
        <v>0.92719829958869926</v>
      </c>
      <c r="J57" s="12">
        <v>1.0142036118799156</v>
      </c>
      <c r="K57" s="12">
        <v>0.94497441059216003</v>
      </c>
      <c r="L57" s="12">
        <f>AVERAGE(Table14[[#This Row],[Bulk GFP fluorescence, replicate 1]:[Bulk GFP fluorescence, replicate 3]])</f>
        <v>0.96212544068692496</v>
      </c>
      <c r="M57" s="25">
        <f>STDEV(Table14[[#This Row],[Bulk GFP fluorescence, replicate 1]:[Bulk GFP fluorescence, replicate 3]])</f>
        <v>4.5968461652601225E-2</v>
      </c>
      <c r="N57" s="25"/>
      <c r="O57" s="25"/>
      <c r="P57" s="25"/>
      <c r="Q57" s="25"/>
      <c r="W57" s="39"/>
      <c r="X57" s="39"/>
      <c r="Y57" s="39"/>
      <c r="Z57" s="39"/>
    </row>
    <row r="58" spans="1:26" x14ac:dyDescent="0.25">
      <c r="A58" s="1" t="s">
        <v>942</v>
      </c>
      <c r="B58" s="2" t="s">
        <v>38</v>
      </c>
      <c r="C58" s="2">
        <v>30</v>
      </c>
      <c r="D58" s="8">
        <v>1.096444216911193</v>
      </c>
      <c r="E58" s="8">
        <v>0.96991153564429322</v>
      </c>
      <c r="F58" s="8">
        <v>0.95370027134828961</v>
      </c>
      <c r="G58" s="8">
        <f>AVERAGE(Table14[[#This Row],[Bulk resorufin fluorescence, replicate 1]:[Bulk resorufin fluorescence, replicate 3]])</f>
        <v>1.0066853413012586</v>
      </c>
      <c r="H58" s="17">
        <f>STDEV(Table14[[#This Row],[Bulk resorufin fluorescence, replicate 1]:[Bulk resorufin fluorescence, replicate 3]])</f>
        <v>7.8154930014609283E-2</v>
      </c>
      <c r="I58" s="8">
        <v>0</v>
      </c>
      <c r="J58" s="8">
        <v>5.0977016965187305E-2</v>
      </c>
      <c r="K58" s="8">
        <v>5.9926670526112655E-2</v>
      </c>
      <c r="L58" s="8">
        <f>AVERAGE(Table14[[#This Row],[Bulk GFP fluorescence, replicate 1]:[Bulk GFP fluorescence, replicate 3]])</f>
        <v>3.696789583043332E-2</v>
      </c>
      <c r="M58" s="17">
        <f>STDEV(Table14[[#This Row],[Bulk GFP fluorescence, replicate 1]:[Bulk GFP fluorescence, replicate 3]])</f>
        <v>3.2326352505540633E-2</v>
      </c>
      <c r="N58" s="17">
        <v>1.7140000000000002</v>
      </c>
      <c r="O58" s="17">
        <v>0.73614586000000015</v>
      </c>
      <c r="P58" s="17">
        <v>7.7676666666666661</v>
      </c>
      <c r="Q58" s="17">
        <v>3.3361351566666668</v>
      </c>
      <c r="W58" s="39"/>
      <c r="X58" s="39"/>
      <c r="Y58" s="39"/>
      <c r="Z58" s="39"/>
    </row>
    <row r="59" spans="1:26" x14ac:dyDescent="0.25">
      <c r="A59" s="1" t="s">
        <v>942</v>
      </c>
      <c r="B59" s="2" t="s">
        <v>38</v>
      </c>
      <c r="C59" s="2">
        <v>10</v>
      </c>
      <c r="D59" s="8">
        <v>1.0457352636217534</v>
      </c>
      <c r="E59" s="8">
        <v>0.97619195716130513</v>
      </c>
      <c r="F59" s="8">
        <v>0.87890650099098966</v>
      </c>
      <c r="G59" s="8">
        <f>AVERAGE(Table14[[#This Row],[Bulk resorufin fluorescence, replicate 1]:[Bulk resorufin fluorescence, replicate 3]])</f>
        <v>0.96694457392468269</v>
      </c>
      <c r="H59" s="17">
        <f>STDEV(Table14[[#This Row],[Bulk resorufin fluorescence, replicate 1]:[Bulk resorufin fluorescence, replicate 3]])</f>
        <v>8.3797939012672934E-2</v>
      </c>
      <c r="I59" s="8">
        <v>0</v>
      </c>
      <c r="J59" s="8">
        <v>0.1091927232329933</v>
      </c>
      <c r="K59" s="8">
        <v>8.4346437906776844E-2</v>
      </c>
      <c r="L59" s="8">
        <f>AVERAGE(Table14[[#This Row],[Bulk GFP fluorescence, replicate 1]:[Bulk GFP fluorescence, replicate 3]])</f>
        <v>6.4513053713256718E-2</v>
      </c>
      <c r="M59" s="17">
        <f>STDEV(Table14[[#This Row],[Bulk GFP fluorescence, replicate 1]:[Bulk GFP fluorescence, replicate 3]])</f>
        <v>5.7234474298145675E-2</v>
      </c>
      <c r="N59" s="17"/>
      <c r="O59" s="17"/>
      <c r="W59" s="39"/>
      <c r="X59" s="39"/>
      <c r="Y59" s="39"/>
      <c r="Z59" s="39"/>
    </row>
    <row r="60" spans="1:26" x14ac:dyDescent="0.25">
      <c r="A60" s="1" t="s">
        <v>942</v>
      </c>
      <c r="B60" s="2" t="s">
        <v>38</v>
      </c>
      <c r="C60" s="2">
        <v>2.9999999999999996</v>
      </c>
      <c r="D60" s="8">
        <v>1.0391738814868579</v>
      </c>
      <c r="E60" s="8">
        <v>0.91401439158822706</v>
      </c>
      <c r="F60" s="8">
        <v>0.90137058070511011</v>
      </c>
      <c r="G60" s="8">
        <f>AVERAGE(Table14[[#This Row],[Bulk resorufin fluorescence, replicate 1]:[Bulk resorufin fluorescence, replicate 3]])</f>
        <v>0.95151961792673168</v>
      </c>
      <c r="H60" s="17">
        <f>STDEV(Table14[[#This Row],[Bulk resorufin fluorescence, replicate 1]:[Bulk resorufin fluorescence, replicate 3]])</f>
        <v>7.617361044753658E-2</v>
      </c>
      <c r="I60" s="8">
        <v>0.2126878173966594</v>
      </c>
      <c r="J60" s="8">
        <v>0.28650920685516434</v>
      </c>
      <c r="K60" s="8">
        <v>0.28798484290300508</v>
      </c>
      <c r="L60" s="8">
        <f>AVERAGE(Table14[[#This Row],[Bulk GFP fluorescence, replicate 1]:[Bulk GFP fluorescence, replicate 3]])</f>
        <v>0.26239395571827628</v>
      </c>
      <c r="M60" s="17">
        <f>STDEV(Table14[[#This Row],[Bulk GFP fluorescence, replicate 1]:[Bulk GFP fluorescence, replicate 3]])</f>
        <v>4.3053101114463234E-2</v>
      </c>
      <c r="N60" s="17"/>
      <c r="O60" s="17"/>
      <c r="W60" s="39"/>
      <c r="X60" s="39"/>
      <c r="Y60" s="39"/>
      <c r="Z60" s="39"/>
    </row>
    <row r="61" spans="1:26" x14ac:dyDescent="0.25">
      <c r="A61" s="1" t="s">
        <v>942</v>
      </c>
      <c r="B61" s="2" t="s">
        <v>38</v>
      </c>
      <c r="C61" s="2">
        <v>1</v>
      </c>
      <c r="D61" s="8">
        <v>1.0550670071024937</v>
      </c>
      <c r="E61" s="8">
        <v>0.92278748594680249</v>
      </c>
      <c r="F61" s="8">
        <v>0.89452509106725386</v>
      </c>
      <c r="G61" s="8">
        <f>AVERAGE(Table14[[#This Row],[Bulk resorufin fluorescence, replicate 1]:[Bulk resorufin fluorescence, replicate 3]])</f>
        <v>0.95745986137218342</v>
      </c>
      <c r="H61" s="17">
        <f>STDEV(Table14[[#This Row],[Bulk resorufin fluorescence, replicate 1]:[Bulk resorufin fluorescence, replicate 3]])</f>
        <v>8.5703307487490901E-2</v>
      </c>
      <c r="I61" s="8">
        <v>0.65886352107429591</v>
      </c>
      <c r="J61" s="8">
        <v>0.54418142259479918</v>
      </c>
      <c r="K61" s="8">
        <v>0.57632054453274395</v>
      </c>
      <c r="L61" s="8">
        <f>AVERAGE(Table14[[#This Row],[Bulk GFP fluorescence, replicate 1]:[Bulk GFP fluorescence, replicate 3]])</f>
        <v>0.59312182940061298</v>
      </c>
      <c r="M61" s="17">
        <f>STDEV(Table14[[#This Row],[Bulk GFP fluorescence, replicate 1]:[Bulk GFP fluorescence, replicate 3]])</f>
        <v>5.9158332530791564E-2</v>
      </c>
      <c r="N61" s="17"/>
      <c r="O61" s="17"/>
      <c r="W61" s="39"/>
      <c r="X61" s="39"/>
      <c r="Y61" s="39"/>
      <c r="Z61" s="39"/>
    </row>
    <row r="62" spans="1:26" x14ac:dyDescent="0.25">
      <c r="A62" s="1" t="s">
        <v>942</v>
      </c>
      <c r="B62" s="2" t="s">
        <v>38</v>
      </c>
      <c r="C62" s="2">
        <v>0.33300000000000002</v>
      </c>
      <c r="D62" s="8">
        <v>0.92957449841878792</v>
      </c>
      <c r="E62" s="8">
        <v>0.87495323337266528</v>
      </c>
      <c r="F62" s="8">
        <v>0.83673383648917821</v>
      </c>
      <c r="G62" s="8">
        <f>AVERAGE(Table14[[#This Row],[Bulk resorufin fluorescence, replicate 1]:[Bulk resorufin fluorescence, replicate 3]])</f>
        <v>0.88042052276021054</v>
      </c>
      <c r="H62" s="17">
        <f>STDEV(Table14[[#This Row],[Bulk resorufin fluorescence, replicate 1]:[Bulk resorufin fluorescence, replicate 3]])</f>
        <v>4.6661178369361761E-2</v>
      </c>
      <c r="I62" s="8">
        <v>0.95087312744160268</v>
      </c>
      <c r="J62" s="8">
        <v>0.71203736325638955</v>
      </c>
      <c r="K62" s="8">
        <v>0.77592407417153475</v>
      </c>
      <c r="L62" s="8">
        <f>AVERAGE(Table14[[#This Row],[Bulk GFP fluorescence, replicate 1]:[Bulk GFP fluorescence, replicate 3]])</f>
        <v>0.81294485495650903</v>
      </c>
      <c r="M62" s="17">
        <f>STDEV(Table14[[#This Row],[Bulk GFP fluorescence, replicate 1]:[Bulk GFP fluorescence, replicate 3]])</f>
        <v>0.1236468124171847</v>
      </c>
      <c r="N62" s="17"/>
      <c r="O62" s="17"/>
      <c r="W62" s="39"/>
      <c r="X62" s="39"/>
      <c r="Y62" s="39"/>
      <c r="Z62" s="39"/>
    </row>
    <row r="63" spans="1:26" x14ac:dyDescent="0.25">
      <c r="A63" s="1" t="s">
        <v>942</v>
      </c>
      <c r="B63" s="2" t="s">
        <v>38</v>
      </c>
      <c r="C63" s="2">
        <v>0.11099999999999999</v>
      </c>
      <c r="D63" s="8">
        <v>1.1491458862564157</v>
      </c>
      <c r="E63" s="8">
        <v>0.89624539412546167</v>
      </c>
      <c r="F63" s="8">
        <v>0.85602230097418486</v>
      </c>
      <c r="G63" s="8">
        <f>AVERAGE(Table14[[#This Row],[Bulk resorufin fluorescence, replicate 1]:[Bulk resorufin fluorescence, replicate 3]])</f>
        <v>0.96713786045202077</v>
      </c>
      <c r="H63" s="17">
        <f>STDEV(Table14[[#This Row],[Bulk resorufin fluorescence, replicate 1]:[Bulk resorufin fluorescence, replicate 3]])</f>
        <v>0.15890143296576756</v>
      </c>
      <c r="I63" s="8">
        <v>1.064981496698981</v>
      </c>
      <c r="J63" s="8">
        <v>0.73025185260788117</v>
      </c>
      <c r="K63" s="8">
        <v>0.77002964756240899</v>
      </c>
      <c r="L63" s="8">
        <f>AVERAGE(Table14[[#This Row],[Bulk GFP fluorescence, replicate 1]:[Bulk GFP fluorescence, replicate 3]])</f>
        <v>0.85508766562309046</v>
      </c>
      <c r="M63" s="17">
        <f>STDEV(Table14[[#This Row],[Bulk GFP fluorescence, replicate 1]:[Bulk GFP fluorescence, replicate 3]])</f>
        <v>0.18285823330013587</v>
      </c>
      <c r="N63" s="17"/>
      <c r="O63" s="17"/>
      <c r="W63" s="39"/>
      <c r="X63" s="39"/>
      <c r="Y63" s="39"/>
      <c r="Z63" s="39"/>
    </row>
    <row r="64" spans="1:26" x14ac:dyDescent="0.25">
      <c r="A64" s="1" t="s">
        <v>942</v>
      </c>
      <c r="B64" s="2" t="s">
        <v>38</v>
      </c>
      <c r="C64" s="2">
        <v>3.6999999999999998E-2</v>
      </c>
      <c r="D64" s="8">
        <v>1.0632160817045984</v>
      </c>
      <c r="E64" s="8">
        <v>0.91273324130094302</v>
      </c>
      <c r="F64" s="8">
        <v>0.87628692733895797</v>
      </c>
      <c r="G64" s="8">
        <f>AVERAGE(Table14[[#This Row],[Bulk resorufin fluorescence, replicate 1]:[Bulk resorufin fluorescence, replicate 3]])</f>
        <v>0.95074541678149982</v>
      </c>
      <c r="H64" s="17">
        <f>STDEV(Table14[[#This Row],[Bulk resorufin fluorescence, replicate 1]:[Bulk resorufin fluorescence, replicate 3]])</f>
        <v>9.9092488623188965E-2</v>
      </c>
      <c r="I64" s="8">
        <v>1.0084514318765923</v>
      </c>
      <c r="J64" s="8">
        <v>0.70705193190371829</v>
      </c>
      <c r="K64" s="8">
        <v>0.80294019613002821</v>
      </c>
      <c r="L64" s="8">
        <f>AVERAGE(Table14[[#This Row],[Bulk GFP fluorescence, replicate 1]:[Bulk GFP fluorescence, replicate 3]])</f>
        <v>0.83948118663677962</v>
      </c>
      <c r="M64" s="17">
        <f>STDEV(Table14[[#This Row],[Bulk GFP fluorescence, replicate 1]:[Bulk GFP fluorescence, replicate 3]])</f>
        <v>0.15398651770978308</v>
      </c>
      <c r="N64" s="17"/>
      <c r="O64" s="17"/>
      <c r="W64" s="39"/>
      <c r="X64" s="39"/>
      <c r="Y64" s="39"/>
      <c r="Z64" s="39"/>
    </row>
    <row r="65" spans="1:26" x14ac:dyDescent="0.25">
      <c r="A65" s="1" t="s">
        <v>942</v>
      </c>
      <c r="B65" s="2" t="s">
        <v>38</v>
      </c>
      <c r="C65" s="2">
        <v>1.2333333333333333E-2</v>
      </c>
      <c r="D65" s="8">
        <v>1.056622297682617</v>
      </c>
      <c r="E65" s="8">
        <v>0.88312752922740134</v>
      </c>
      <c r="F65" s="8">
        <v>0.86638938726689507</v>
      </c>
      <c r="G65" s="8">
        <f>AVERAGE(Table14[[#This Row],[Bulk resorufin fluorescence, replicate 1]:[Bulk resorufin fluorescence, replicate 3]])</f>
        <v>0.93537973805897112</v>
      </c>
      <c r="H65" s="17">
        <f>STDEV(Table14[[#This Row],[Bulk resorufin fluorescence, replicate 1]:[Bulk resorufin fluorescence, replicate 3]])</f>
        <v>0.10533214156724671</v>
      </c>
      <c r="I65" s="8">
        <v>1.1385828923551511</v>
      </c>
      <c r="J65" s="8">
        <v>0.76883987638485562</v>
      </c>
      <c r="K65" s="8">
        <v>0.87114713260705579</v>
      </c>
      <c r="L65" s="8">
        <f>AVERAGE(Table14[[#This Row],[Bulk GFP fluorescence, replicate 1]:[Bulk GFP fluorescence, replicate 3]])</f>
        <v>0.92618996711568746</v>
      </c>
      <c r="M65" s="17">
        <f>STDEV(Table14[[#This Row],[Bulk GFP fluorescence, replicate 1]:[Bulk GFP fluorescence, replicate 3]])</f>
        <v>0.19091820156224262</v>
      </c>
      <c r="N65" s="17"/>
      <c r="O65" s="17"/>
      <c r="W65" s="39"/>
      <c r="X65" s="39"/>
      <c r="Y65" s="39"/>
      <c r="Z65" s="39"/>
    </row>
    <row r="66" spans="1:26" x14ac:dyDescent="0.25">
      <c r="A66" s="1" t="s">
        <v>942</v>
      </c>
      <c r="B66" s="2" t="s">
        <v>38</v>
      </c>
      <c r="C66" s="2">
        <v>3.7500000000000003E-3</v>
      </c>
      <c r="D66" s="8">
        <v>0.93924646171393023</v>
      </c>
      <c r="E66" s="8">
        <v>0.89027133463366992</v>
      </c>
      <c r="F66" s="8">
        <v>0.86883597020605663</v>
      </c>
      <c r="G66" s="8">
        <f>AVERAGE(Table14[[#This Row],[Bulk resorufin fluorescence, replicate 1]:[Bulk resorufin fluorescence, replicate 3]])</f>
        <v>0.89945125551788563</v>
      </c>
      <c r="H66" s="17">
        <f>STDEV(Table14[[#This Row],[Bulk resorufin fluorescence, replicate 1]:[Bulk resorufin fluorescence, replicate 3]])</f>
        <v>3.6091723970675456E-2</v>
      </c>
      <c r="I66" s="8">
        <v>1.1738486678933566</v>
      </c>
      <c r="J66" s="8">
        <v>0.75337326258208048</v>
      </c>
      <c r="K66" s="8">
        <v>1.0848902689332141</v>
      </c>
      <c r="L66" s="8">
        <f>AVERAGE(Table14[[#This Row],[Bulk GFP fluorescence, replicate 1]:[Bulk GFP fluorescence, replicate 3]])</f>
        <v>1.0040373998028838</v>
      </c>
      <c r="M66" s="17">
        <f>STDEV(Table14[[#This Row],[Bulk GFP fluorescence, replicate 1]:[Bulk GFP fluorescence, replicate 3]])</f>
        <v>0.22159147423327347</v>
      </c>
      <c r="N66" s="17"/>
      <c r="O66" s="17"/>
      <c r="W66" s="39"/>
      <c r="X66" s="39"/>
      <c r="Y66" s="39"/>
      <c r="Z66" s="39"/>
    </row>
    <row r="67" spans="1:26" x14ac:dyDescent="0.25">
      <c r="A67" s="1" t="s">
        <v>942</v>
      </c>
      <c r="B67" s="2" t="s">
        <v>38</v>
      </c>
      <c r="C67" s="2">
        <v>1.25E-3</v>
      </c>
      <c r="D67" s="8">
        <v>0.9566786769661465</v>
      </c>
      <c r="E67" s="8">
        <v>0.92862228997258511</v>
      </c>
      <c r="F67" s="8">
        <v>0.89191787389471289</v>
      </c>
      <c r="G67" s="8">
        <f>AVERAGE(Table14[[#This Row],[Bulk resorufin fluorescence, replicate 1]:[Bulk resorufin fluorescence, replicate 3]])</f>
        <v>0.9257396136111482</v>
      </c>
      <c r="H67" s="17">
        <f>STDEV(Table14[[#This Row],[Bulk resorufin fluorescence, replicate 1]:[Bulk resorufin fluorescence, replicate 3]])</f>
        <v>3.2476495667910998E-2</v>
      </c>
      <c r="I67" s="8">
        <v>1.0833256899194914</v>
      </c>
      <c r="J67" s="8">
        <v>0.81335546027406136</v>
      </c>
      <c r="K67" s="8">
        <v>0.91658333771906741</v>
      </c>
      <c r="L67" s="8">
        <f>AVERAGE(Table14[[#This Row],[Bulk GFP fluorescence, replicate 1]:[Bulk GFP fluorescence, replicate 3]])</f>
        <v>0.93775482930420673</v>
      </c>
      <c r="M67" s="17">
        <f>STDEV(Table14[[#This Row],[Bulk GFP fluorescence, replicate 1]:[Bulk GFP fluorescence, replicate 3]])</f>
        <v>0.1362246499927823</v>
      </c>
      <c r="N67" s="17"/>
      <c r="O67" s="17"/>
      <c r="W67" s="39"/>
      <c r="X67" s="39"/>
      <c r="Y67" s="39"/>
      <c r="Z67" s="39"/>
    </row>
    <row r="68" spans="1:26" ht="15.75" thickBot="1" x14ac:dyDescent="0.3">
      <c r="A68" s="10" t="s">
        <v>942</v>
      </c>
      <c r="B68" s="11" t="s">
        <v>38</v>
      </c>
      <c r="C68" s="11">
        <v>4.1666666666666669E-4</v>
      </c>
      <c r="D68" s="12">
        <v>1.086286225309762</v>
      </c>
      <c r="E68" s="12">
        <v>0.95562392483175618</v>
      </c>
      <c r="F68" s="12">
        <v>0.92048605447724685</v>
      </c>
      <c r="G68" s="12">
        <f>AVERAGE(Table14[[#This Row],[Bulk resorufin fluorescence, replicate 1]:[Bulk resorufin fluorescence, replicate 3]])</f>
        <v>0.98746540153958851</v>
      </c>
      <c r="H68" s="25">
        <f>STDEV(Table14[[#This Row],[Bulk resorufin fluorescence, replicate 1]:[Bulk resorufin fluorescence, replicate 3]])</f>
        <v>8.736609119804073E-2</v>
      </c>
      <c r="I68" s="12">
        <v>0.97767811182096054</v>
      </c>
      <c r="J68" s="12">
        <v>0.79894874132579097</v>
      </c>
      <c r="K68" s="12">
        <v>0.83328947599249159</v>
      </c>
      <c r="L68" s="12">
        <f>AVERAGE(Table14[[#This Row],[Bulk GFP fluorescence, replicate 1]:[Bulk GFP fluorescence, replicate 3]])</f>
        <v>0.86997210971308103</v>
      </c>
      <c r="M68" s="25">
        <f>STDEV(Table14[[#This Row],[Bulk GFP fluorescence, replicate 1]:[Bulk GFP fluorescence, replicate 3]])</f>
        <v>9.4843337572594374E-2</v>
      </c>
      <c r="N68" s="25"/>
      <c r="O68" s="25"/>
      <c r="P68" s="25"/>
      <c r="Q68" s="25"/>
      <c r="W68" s="39"/>
      <c r="X68" s="39"/>
      <c r="Y68" s="39"/>
      <c r="Z68" s="39"/>
    </row>
    <row r="69" spans="1:26" x14ac:dyDescent="0.25">
      <c r="A69" s="1" t="s">
        <v>944</v>
      </c>
      <c r="B69" s="2" t="s">
        <v>39</v>
      </c>
      <c r="C69" s="2">
        <v>30</v>
      </c>
      <c r="D69" s="8">
        <v>0.99204533672041051</v>
      </c>
      <c r="E69" s="8">
        <v>1.1769565625066725</v>
      </c>
      <c r="F69" s="8">
        <v>1.0942181561167046</v>
      </c>
      <c r="G69" s="8">
        <f>AVERAGE(Table14[[#This Row],[Bulk resorufin fluorescence, replicate 1]:[Bulk resorufin fluorescence, replicate 3]])</f>
        <v>1.0877400184479291</v>
      </c>
      <c r="H69" s="17">
        <f>STDEV(Table14[[#This Row],[Bulk resorufin fluorescence, replicate 1]:[Bulk resorufin fluorescence, replicate 3]])</f>
        <v>9.262567169087732E-2</v>
      </c>
      <c r="I69" s="8">
        <v>0</v>
      </c>
      <c r="J69" s="8">
        <v>7.5158321793891619E-2</v>
      </c>
      <c r="K69" s="8">
        <v>5.3120011227479252E-2</v>
      </c>
      <c r="L69" s="8">
        <f>AVERAGE(Table14[[#This Row],[Bulk GFP fluorescence, replicate 1]:[Bulk GFP fluorescence, replicate 3]])</f>
        <v>4.2759444340456955E-2</v>
      </c>
      <c r="M69" s="17">
        <f>STDEV(Table14[[#This Row],[Bulk GFP fluorescence, replicate 1]:[Bulk GFP fluorescence, replicate 3]])</f>
        <v>3.8635467428049693E-2</v>
      </c>
      <c r="N69" s="17">
        <v>1.9353333333333333</v>
      </c>
      <c r="O69" s="17">
        <v>0.84676639333333326</v>
      </c>
      <c r="P69" s="17">
        <v>7.1990000000000007</v>
      </c>
      <c r="Q69" s="17">
        <v>3.1497784700000002</v>
      </c>
      <c r="W69" s="39"/>
      <c r="X69" s="39"/>
      <c r="Y69" s="39"/>
      <c r="Z69" s="39"/>
    </row>
    <row r="70" spans="1:26" x14ac:dyDescent="0.25">
      <c r="A70" s="1" t="s">
        <v>944</v>
      </c>
      <c r="B70" s="2" t="s">
        <v>39</v>
      </c>
      <c r="C70" s="2">
        <v>10</v>
      </c>
      <c r="D70" s="8">
        <v>1.0022195292653844</v>
      </c>
      <c r="E70" s="8">
        <v>1.0253909133023318</v>
      </c>
      <c r="F70" s="8">
        <v>0.96378315861271335</v>
      </c>
      <c r="G70" s="8">
        <f>AVERAGE(Table14[[#This Row],[Bulk resorufin fluorescence, replicate 1]:[Bulk resorufin fluorescence, replicate 3]])</f>
        <v>0.99713120039347647</v>
      </c>
      <c r="H70" s="17">
        <f>STDEV(Table14[[#This Row],[Bulk resorufin fluorescence, replicate 1]:[Bulk resorufin fluorescence, replicate 3]])</f>
        <v>3.1117473829113586E-2</v>
      </c>
      <c r="I70" s="8">
        <v>0</v>
      </c>
      <c r="J70" s="8">
        <v>0.15437564832688722</v>
      </c>
      <c r="K70" s="8">
        <v>0.11781836043716998</v>
      </c>
      <c r="L70" s="8">
        <f>AVERAGE(Table14[[#This Row],[Bulk GFP fluorescence, replicate 1]:[Bulk GFP fluorescence, replicate 3]])</f>
        <v>9.0731336254685727E-2</v>
      </c>
      <c r="M70" s="17">
        <f>STDEV(Table14[[#This Row],[Bulk GFP fluorescence, replicate 1]:[Bulk GFP fluorescence, replicate 3]])</f>
        <v>8.0673665829585031E-2</v>
      </c>
      <c r="N70" s="17"/>
      <c r="O70" s="17"/>
      <c r="W70" s="39"/>
      <c r="X70" s="39"/>
      <c r="Y70" s="39"/>
      <c r="Z70" s="39"/>
    </row>
    <row r="71" spans="1:26" x14ac:dyDescent="0.25">
      <c r="A71" s="1" t="s">
        <v>944</v>
      </c>
      <c r="B71" s="2" t="s">
        <v>39</v>
      </c>
      <c r="C71" s="2">
        <v>2.9999999999999996</v>
      </c>
      <c r="D71" s="8">
        <v>0.98350743947327501</v>
      </c>
      <c r="E71" s="8">
        <v>0.97995185474355173</v>
      </c>
      <c r="F71" s="8">
        <v>0.93666068613059317</v>
      </c>
      <c r="G71" s="8">
        <f>AVERAGE(Table14[[#This Row],[Bulk resorufin fluorescence, replicate 1]:[Bulk resorufin fluorescence, replicate 3]])</f>
        <v>0.96670666011580664</v>
      </c>
      <c r="H71" s="17">
        <f>STDEV(Table14[[#This Row],[Bulk resorufin fluorescence, replicate 1]:[Bulk resorufin fluorescence, replicate 3]])</f>
        <v>2.6081237705152218E-2</v>
      </c>
      <c r="I71" s="8">
        <v>0.19352000733767721</v>
      </c>
      <c r="J71" s="8">
        <v>0.38633560000353295</v>
      </c>
      <c r="K71" s="8">
        <v>0.38099749136010386</v>
      </c>
      <c r="L71" s="8">
        <f>AVERAGE(Table14[[#This Row],[Bulk GFP fluorescence, replicate 1]:[Bulk GFP fluorescence, replicate 3]])</f>
        <v>0.32028436623377138</v>
      </c>
      <c r="M71" s="17">
        <f>STDEV(Table14[[#This Row],[Bulk GFP fluorescence, replicate 1]:[Bulk GFP fluorescence, replicate 3]])</f>
        <v>0.10981359599669591</v>
      </c>
      <c r="N71" s="17"/>
      <c r="O71" s="17"/>
      <c r="W71" s="39"/>
      <c r="X71" s="39"/>
      <c r="Y71" s="39"/>
      <c r="Z71" s="39"/>
    </row>
    <row r="72" spans="1:26" x14ac:dyDescent="0.25">
      <c r="A72" s="1" t="s">
        <v>944</v>
      </c>
      <c r="B72" s="2" t="s">
        <v>39</v>
      </c>
      <c r="C72" s="2">
        <v>1</v>
      </c>
      <c r="D72" s="8">
        <v>0.92460080875110173</v>
      </c>
      <c r="E72" s="8">
        <v>0.96091563254010315</v>
      </c>
      <c r="F72" s="8">
        <v>0.91670497175308785</v>
      </c>
      <c r="G72" s="8">
        <f>AVERAGE(Table14[[#This Row],[Bulk resorufin fluorescence, replicate 1]:[Bulk resorufin fluorescence, replicate 3]])</f>
        <v>0.93407380434809761</v>
      </c>
      <c r="H72" s="17">
        <f>STDEV(Table14[[#This Row],[Bulk resorufin fluorescence, replicate 1]:[Bulk resorufin fluorescence, replicate 3]])</f>
        <v>2.3578567937677215E-2</v>
      </c>
      <c r="I72" s="8">
        <v>0.76653270413998498</v>
      </c>
      <c r="J72" s="8">
        <v>0.73217536549198248</v>
      </c>
      <c r="K72" s="8">
        <v>0.81518516569303368</v>
      </c>
      <c r="L72" s="8">
        <f>AVERAGE(Table14[[#This Row],[Bulk GFP fluorescence, replicate 1]:[Bulk GFP fluorescence, replicate 3]])</f>
        <v>0.77129774510833371</v>
      </c>
      <c r="M72" s="17">
        <f>STDEV(Table14[[#This Row],[Bulk GFP fluorescence, replicate 1]:[Bulk GFP fluorescence, replicate 3]])</f>
        <v>4.1709542600310796E-2</v>
      </c>
      <c r="N72" s="17"/>
      <c r="O72" s="17"/>
      <c r="W72" s="39"/>
      <c r="X72" s="39"/>
      <c r="Y72" s="39"/>
      <c r="Z72" s="39"/>
    </row>
    <row r="73" spans="1:26" x14ac:dyDescent="0.25">
      <c r="A73" s="1" t="s">
        <v>944</v>
      </c>
      <c r="B73" s="2" t="s">
        <v>39</v>
      </c>
      <c r="C73" s="2">
        <v>0.33300000000000002</v>
      </c>
      <c r="D73" s="8">
        <v>0.92173324174399918</v>
      </c>
      <c r="E73" s="8">
        <v>0.96558069065140917</v>
      </c>
      <c r="F73" s="8">
        <v>0.90740054269657922</v>
      </c>
      <c r="G73" s="8">
        <f>AVERAGE(Table14[[#This Row],[Bulk resorufin fluorescence, replicate 1]:[Bulk resorufin fluorescence, replicate 3]])</f>
        <v>0.93157149169732911</v>
      </c>
      <c r="H73" s="17">
        <f>STDEV(Table14[[#This Row],[Bulk resorufin fluorescence, replicate 1]:[Bulk resorufin fluorescence, replicate 3]])</f>
        <v>3.0312139080236888E-2</v>
      </c>
      <c r="I73" s="8">
        <v>0.95424246905353316</v>
      </c>
      <c r="J73" s="8">
        <v>0.86529030814480135</v>
      </c>
      <c r="K73" s="8">
        <v>1.0388225181130819</v>
      </c>
      <c r="L73" s="8">
        <f>AVERAGE(Table14[[#This Row],[Bulk GFP fluorescence, replicate 1]:[Bulk GFP fluorescence, replicate 3]])</f>
        <v>0.95278509843713888</v>
      </c>
      <c r="M73" s="17">
        <f>STDEV(Table14[[#This Row],[Bulk GFP fluorescence, replicate 1]:[Bulk GFP fluorescence, replicate 3]])</f>
        <v>8.6775284044213877E-2</v>
      </c>
      <c r="N73" s="17"/>
      <c r="O73" s="17"/>
      <c r="W73" s="39"/>
      <c r="X73" s="39"/>
      <c r="Y73" s="39"/>
      <c r="Z73" s="39"/>
    </row>
    <row r="74" spans="1:26" x14ac:dyDescent="0.25">
      <c r="A74" s="1" t="s">
        <v>944</v>
      </c>
      <c r="B74" s="2" t="s">
        <v>39</v>
      </c>
      <c r="C74" s="2">
        <v>0.11099999999999999</v>
      </c>
      <c r="D74" s="8">
        <v>1.1752294053605681</v>
      </c>
      <c r="E74" s="8">
        <v>0.91142423992045729</v>
      </c>
      <c r="F74" s="8">
        <v>0.87778206135733461</v>
      </c>
      <c r="G74" s="8">
        <f>AVERAGE(Table14[[#This Row],[Bulk resorufin fluorescence, replicate 1]:[Bulk resorufin fluorescence, replicate 3]])</f>
        <v>0.98814523554611988</v>
      </c>
      <c r="H74" s="17">
        <f>STDEV(Table14[[#This Row],[Bulk resorufin fluorescence, replicate 1]:[Bulk resorufin fluorescence, replicate 3]])</f>
        <v>0.16289049693272273</v>
      </c>
      <c r="I74" s="8">
        <v>1.0170619715515257</v>
      </c>
      <c r="J74" s="8">
        <v>0.96162297380980188</v>
      </c>
      <c r="K74" s="8">
        <v>1.2114450116660527</v>
      </c>
      <c r="L74" s="8">
        <f>AVERAGE(Table14[[#This Row],[Bulk GFP fluorescence, replicate 1]:[Bulk GFP fluorescence, replicate 3]])</f>
        <v>1.0633766523424601</v>
      </c>
      <c r="M74" s="17">
        <f>STDEV(Table14[[#This Row],[Bulk GFP fluorescence, replicate 1]:[Bulk GFP fluorescence, replicate 3]])</f>
        <v>0.13119279664767103</v>
      </c>
      <c r="N74" s="17"/>
      <c r="O74" s="17"/>
      <c r="W74" s="39"/>
      <c r="X74" s="39"/>
      <c r="Y74" s="39"/>
      <c r="Z74" s="39"/>
    </row>
    <row r="75" spans="1:26" x14ac:dyDescent="0.25">
      <c r="A75" s="1" t="s">
        <v>944</v>
      </c>
      <c r="B75" s="2" t="s">
        <v>39</v>
      </c>
      <c r="C75" s="2">
        <v>3.6999999999999998E-2</v>
      </c>
      <c r="D75" s="8">
        <v>1.0390118720514283</v>
      </c>
      <c r="E75" s="8">
        <v>0.98418522091022931</v>
      </c>
      <c r="F75" s="8">
        <v>0.8604706335908423</v>
      </c>
      <c r="G75" s="8">
        <f>AVERAGE(Table14[[#This Row],[Bulk resorufin fluorescence, replicate 1]:[Bulk resorufin fluorescence, replicate 3]])</f>
        <v>0.96122257551750001</v>
      </c>
      <c r="H75" s="17">
        <f>STDEV(Table14[[#This Row],[Bulk resorufin fluorescence, replicate 1]:[Bulk resorufin fluorescence, replicate 3]])</f>
        <v>9.1458765410069545E-2</v>
      </c>
      <c r="I75" s="8">
        <v>1.0721694254710994</v>
      </c>
      <c r="J75" s="8">
        <v>0.83934251189192222</v>
      </c>
      <c r="K75" s="8">
        <v>1.1862533550865744</v>
      </c>
      <c r="L75" s="8">
        <f>AVERAGE(Table14[[#This Row],[Bulk GFP fluorescence, replicate 1]:[Bulk GFP fluorescence, replicate 3]])</f>
        <v>1.0325884308165321</v>
      </c>
      <c r="M75" s="17">
        <f>STDEV(Table14[[#This Row],[Bulk GFP fluorescence, replicate 1]:[Bulk GFP fluorescence, replicate 3]])</f>
        <v>0.17680999585682364</v>
      </c>
      <c r="N75" s="17"/>
      <c r="O75" s="17"/>
      <c r="W75" s="39"/>
      <c r="X75" s="39"/>
      <c r="Y75" s="39"/>
      <c r="Z75" s="39"/>
    </row>
    <row r="76" spans="1:26" x14ac:dyDescent="0.25">
      <c r="A76" s="1" t="s">
        <v>944</v>
      </c>
      <c r="B76" s="2" t="s">
        <v>39</v>
      </c>
      <c r="C76" s="2">
        <v>1.2333333333333333E-2</v>
      </c>
      <c r="D76" s="8">
        <v>1.1112032764788222</v>
      </c>
      <c r="E76" s="8">
        <v>0.99127332413009417</v>
      </c>
      <c r="F76" s="8">
        <v>0.86271951285815263</v>
      </c>
      <c r="G76" s="8">
        <f>AVERAGE(Table14[[#This Row],[Bulk resorufin fluorescence, replicate 1]:[Bulk resorufin fluorescence, replicate 3]])</f>
        <v>0.98839870448902312</v>
      </c>
      <c r="H76" s="17">
        <f>STDEV(Table14[[#This Row],[Bulk resorufin fluorescence, replicate 1]:[Bulk resorufin fluorescence, replicate 3]])</f>
        <v>0.1242668208909099</v>
      </c>
      <c r="I76" s="8">
        <v>1.1116281594597073</v>
      </c>
      <c r="J76" s="8">
        <v>0.93339836638798623</v>
      </c>
      <c r="K76" s="8">
        <v>1.092784590284722</v>
      </c>
      <c r="L76" s="8">
        <f>AVERAGE(Table14[[#This Row],[Bulk GFP fluorescence, replicate 1]:[Bulk GFP fluorescence, replicate 3]])</f>
        <v>1.0459370387108051</v>
      </c>
      <c r="M76" s="17">
        <f>STDEV(Table14[[#This Row],[Bulk GFP fluorescence, replicate 1]:[Bulk GFP fluorescence, replicate 3]])</f>
        <v>9.7915701503641497E-2</v>
      </c>
      <c r="N76" s="17"/>
      <c r="O76" s="17"/>
      <c r="W76" s="39"/>
      <c r="X76" s="39"/>
      <c r="Y76" s="39"/>
      <c r="Z76" s="39"/>
    </row>
    <row r="77" spans="1:26" x14ac:dyDescent="0.25">
      <c r="A77" s="1" t="s">
        <v>944</v>
      </c>
      <c r="B77" s="2" t="s">
        <v>39</v>
      </c>
      <c r="C77" s="2">
        <v>3.7500000000000003E-3</v>
      </c>
      <c r="D77" s="8">
        <v>1.0085540981906786</v>
      </c>
      <c r="E77" s="8">
        <v>0.92947174831524082</v>
      </c>
      <c r="F77" s="8">
        <v>0.8783998853318703</v>
      </c>
      <c r="G77" s="8">
        <f>AVERAGE(Table14[[#This Row],[Bulk resorufin fluorescence, replicate 1]:[Bulk resorufin fluorescence, replicate 3]])</f>
        <v>0.93880857727926326</v>
      </c>
      <c r="H77" s="17">
        <f>STDEV(Table14[[#This Row],[Bulk resorufin fluorescence, replicate 1]:[Bulk resorufin fluorescence, replicate 3]])</f>
        <v>6.5577527115251569E-2</v>
      </c>
      <c r="I77" s="8">
        <v>1.1881496511795504</v>
      </c>
      <c r="J77" s="8">
        <v>1.0708313991887879</v>
      </c>
      <c r="K77" s="8">
        <v>1.105204989211094</v>
      </c>
      <c r="L77" s="8">
        <f>AVERAGE(Table14[[#This Row],[Bulk GFP fluorescence, replicate 1]:[Bulk GFP fluorescence, replicate 3]])</f>
        <v>1.1213953465264774</v>
      </c>
      <c r="M77" s="17">
        <f>STDEV(Table14[[#This Row],[Bulk GFP fluorescence, replicate 1]:[Bulk GFP fluorescence, replicate 3]])</f>
        <v>6.031159768271651E-2</v>
      </c>
      <c r="N77" s="17"/>
      <c r="O77" s="17"/>
      <c r="W77" s="39"/>
      <c r="X77" s="39"/>
      <c r="Y77" s="39"/>
      <c r="Z77" s="39"/>
    </row>
    <row r="78" spans="1:26" x14ac:dyDescent="0.25">
      <c r="A78" s="1" t="s">
        <v>944</v>
      </c>
      <c r="B78" s="2" t="s">
        <v>39</v>
      </c>
      <c r="C78" s="2">
        <v>1.25E-3</v>
      </c>
      <c r="D78" s="8">
        <v>1.0305873814090933</v>
      </c>
      <c r="E78" s="8">
        <v>0.91849841759372119</v>
      </c>
      <c r="F78" s="8">
        <v>0.87843695477034256</v>
      </c>
      <c r="G78" s="8">
        <f>AVERAGE(Table14[[#This Row],[Bulk resorufin fluorescence, replicate 1]:[Bulk resorufin fluorescence, replicate 3]])</f>
        <v>0.94250758459105233</v>
      </c>
      <c r="H78" s="17">
        <f>STDEV(Table14[[#This Row],[Bulk resorufin fluorescence, replicate 1]:[Bulk resorufin fluorescence, replicate 3]])</f>
        <v>7.8865506760039089E-2</v>
      </c>
      <c r="I78" s="8">
        <v>0.97498263853141631</v>
      </c>
      <c r="J78" s="8">
        <v>1.0501045664784698</v>
      </c>
      <c r="K78" s="8">
        <v>1.2720733996456328</v>
      </c>
      <c r="L78" s="8">
        <f>AVERAGE(Table14[[#This Row],[Bulk GFP fluorescence, replicate 1]:[Bulk GFP fluorescence, replicate 3]])</f>
        <v>1.0990535348851729</v>
      </c>
      <c r="M78" s="17">
        <f>STDEV(Table14[[#This Row],[Bulk GFP fluorescence, replicate 1]:[Bulk GFP fluorescence, replicate 3]])</f>
        <v>0.1544756654490167</v>
      </c>
      <c r="N78" s="17"/>
      <c r="O78" s="17"/>
      <c r="W78" s="39"/>
      <c r="X78" s="39"/>
      <c r="Y78" s="39"/>
      <c r="Z78" s="39"/>
    </row>
    <row r="79" spans="1:26" ht="15.75" thickBot="1" x14ac:dyDescent="0.3">
      <c r="A79" s="10" t="s">
        <v>944</v>
      </c>
      <c r="B79" s="11" t="s">
        <v>39</v>
      </c>
      <c r="C79" s="11">
        <v>4.1666666666666669E-4</v>
      </c>
      <c r="D79" s="12">
        <v>0.95650046658717403</v>
      </c>
      <c r="E79" s="12">
        <v>0.93811951275440808</v>
      </c>
      <c r="F79" s="12">
        <v>0.88649337939828887</v>
      </c>
      <c r="G79" s="12">
        <f>AVERAGE(Table14[[#This Row],[Bulk resorufin fluorescence, replicate 1]:[Bulk resorufin fluorescence, replicate 3]])</f>
        <v>0.9270377862466237</v>
      </c>
      <c r="H79" s="25">
        <f>STDEV(Table14[[#This Row],[Bulk resorufin fluorescence, replicate 1]:[Bulk resorufin fluorescence, replicate 3]])</f>
        <v>3.6295338005907049E-2</v>
      </c>
      <c r="I79" s="12">
        <v>1.0557719629597044</v>
      </c>
      <c r="J79" s="12">
        <v>0.96751127855705121</v>
      </c>
      <c r="K79" s="12">
        <v>1.0907846955423399</v>
      </c>
      <c r="L79" s="12">
        <f>AVERAGE(Table14[[#This Row],[Bulk GFP fluorescence, replicate 1]:[Bulk GFP fluorescence, replicate 3]])</f>
        <v>1.0380226456863653</v>
      </c>
      <c r="M79" s="25">
        <f>STDEV(Table14[[#This Row],[Bulk GFP fluorescence, replicate 1]:[Bulk GFP fluorescence, replicate 3]])</f>
        <v>6.3524503394827583E-2</v>
      </c>
      <c r="N79" s="25"/>
      <c r="O79" s="25"/>
      <c r="P79" s="25"/>
      <c r="Q79" s="25"/>
      <c r="W79" s="39"/>
      <c r="X79" s="39"/>
      <c r="Y79" s="39"/>
      <c r="Z79" s="39"/>
    </row>
    <row r="80" spans="1:26" x14ac:dyDescent="0.25">
      <c r="A80" s="1" t="s">
        <v>946</v>
      </c>
      <c r="B80" s="2" t="s">
        <v>40</v>
      </c>
      <c r="C80" s="2">
        <v>30</v>
      </c>
      <c r="D80" s="8">
        <v>0.90146586137176632</v>
      </c>
      <c r="E80" s="8">
        <v>1.0001995995012798</v>
      </c>
      <c r="F80" s="8">
        <v>0.91446844896526835</v>
      </c>
      <c r="G80" s="8">
        <f>AVERAGE(Table14[[#This Row],[Bulk resorufin fluorescence, replicate 1]:[Bulk resorufin fluorescence, replicate 3]])</f>
        <v>0.93871130327943819</v>
      </c>
      <c r="H80" s="17">
        <f>STDEV(Table14[[#This Row],[Bulk resorufin fluorescence, replicate 1]:[Bulk resorufin fluorescence, replicate 3]])</f>
        <v>5.3645826960075665E-2</v>
      </c>
      <c r="I80" s="8">
        <v>0</v>
      </c>
      <c r="J80" s="8">
        <v>1.3998463152460911E-2</v>
      </c>
      <c r="K80" s="8">
        <v>1.4700980650141221E-2</v>
      </c>
      <c r="L80" s="8">
        <f>AVERAGE(Table14[[#This Row],[Bulk GFP fluorescence, replicate 1]:[Bulk GFP fluorescence, replicate 3]])</f>
        <v>9.5664812675340435E-3</v>
      </c>
      <c r="M80" s="17">
        <f>STDEV(Table14[[#This Row],[Bulk GFP fluorescence, replicate 1]:[Bulk GFP fluorescence, replicate 3]])</f>
        <v>8.2922587749175193E-3</v>
      </c>
      <c r="N80" s="17">
        <v>2.4153333333333333</v>
      </c>
      <c r="O80" s="17">
        <v>1.1505198800000001</v>
      </c>
      <c r="P80" s="17">
        <v>5.0233333333333334</v>
      </c>
      <c r="Q80" s="17">
        <v>2.3928145999999999</v>
      </c>
      <c r="W80" s="39"/>
      <c r="X80" s="39"/>
      <c r="Y80" s="39"/>
      <c r="Z80" s="39"/>
    </row>
    <row r="81" spans="1:26" x14ac:dyDescent="0.25">
      <c r="A81" s="1" t="s">
        <v>946</v>
      </c>
      <c r="B81" s="2" t="s">
        <v>40</v>
      </c>
      <c r="C81" s="2">
        <v>10</v>
      </c>
      <c r="D81" s="8">
        <v>0.962932241173726</v>
      </c>
      <c r="E81" s="8">
        <v>0.9576709801820904</v>
      </c>
      <c r="F81" s="8">
        <v>0.90903159798935362</v>
      </c>
      <c r="G81" s="8">
        <f>AVERAGE(Table14[[#This Row],[Bulk resorufin fluorescence, replicate 1]:[Bulk resorufin fluorescence, replicate 3]])</f>
        <v>0.94321160644838997</v>
      </c>
      <c r="H81" s="17">
        <f>STDEV(Table14[[#This Row],[Bulk resorufin fluorescence, replicate 1]:[Bulk resorufin fluorescence, replicate 3]])</f>
        <v>2.9717418301399866E-2</v>
      </c>
      <c r="I81" s="8">
        <v>0</v>
      </c>
      <c r="J81" s="8">
        <v>0.14185318689773679</v>
      </c>
      <c r="K81" s="8">
        <v>0.10522253214743084</v>
      </c>
      <c r="L81" s="8">
        <f>AVERAGE(Table14[[#This Row],[Bulk GFP fluorescence, replicate 1]:[Bulk GFP fluorescence, replicate 3]])</f>
        <v>8.2358573015055878E-2</v>
      </c>
      <c r="M81" s="17">
        <f>STDEV(Table14[[#This Row],[Bulk GFP fluorescence, replicate 1]:[Bulk GFP fluorescence, replicate 3]])</f>
        <v>7.3638659199270096E-2</v>
      </c>
      <c r="N81" s="17"/>
      <c r="O81" s="17"/>
      <c r="W81" s="39"/>
      <c r="X81" s="39"/>
      <c r="Y81" s="39"/>
      <c r="Z81" s="39"/>
    </row>
    <row r="82" spans="1:26" x14ac:dyDescent="0.25">
      <c r="A82" s="1" t="s">
        <v>946</v>
      </c>
      <c r="B82" s="2" t="s">
        <v>40</v>
      </c>
      <c r="C82" s="2">
        <v>2.9999999999999996</v>
      </c>
      <c r="D82" s="8">
        <v>1.0372135673181606</v>
      </c>
      <c r="E82" s="8">
        <v>0.91072796259041155</v>
      </c>
      <c r="F82" s="8">
        <v>0.92855483558468388</v>
      </c>
      <c r="G82" s="8">
        <f>AVERAGE(Table14[[#This Row],[Bulk resorufin fluorescence, replicate 1]:[Bulk resorufin fluorescence, replicate 3]])</f>
        <v>0.95883212183108535</v>
      </c>
      <c r="H82" s="17">
        <f>STDEV(Table14[[#This Row],[Bulk resorufin fluorescence, replicate 1]:[Bulk resorufin fluorescence, replicate 3]])</f>
        <v>6.8463038186097114E-2</v>
      </c>
      <c r="I82" s="8">
        <v>0.2458595542631255</v>
      </c>
      <c r="J82" s="8">
        <v>0.35520609557307431</v>
      </c>
      <c r="K82" s="8">
        <v>0.30019472659333724</v>
      </c>
      <c r="L82" s="8">
        <f>AVERAGE(Table14[[#This Row],[Bulk GFP fluorescence, replicate 1]:[Bulk GFP fluorescence, replicate 3]])</f>
        <v>0.30042012547651237</v>
      </c>
      <c r="M82" s="17">
        <f>STDEV(Table14[[#This Row],[Bulk GFP fluorescence, replicate 1]:[Bulk GFP fluorescence, replicate 3]])</f>
        <v>5.4673619119320165E-2</v>
      </c>
      <c r="N82" s="17"/>
      <c r="O82" s="17"/>
      <c r="W82" s="39"/>
      <c r="X82" s="39"/>
      <c r="Y82" s="39"/>
      <c r="Z82" s="39"/>
    </row>
    <row r="83" spans="1:26" x14ac:dyDescent="0.25">
      <c r="A83" s="1" t="s">
        <v>946</v>
      </c>
      <c r="B83" s="2" t="s">
        <v>40</v>
      </c>
      <c r="C83" s="2">
        <v>1</v>
      </c>
      <c r="D83" s="8">
        <v>1.0656138213489554</v>
      </c>
      <c r="E83" s="8">
        <v>0.96831009778518817</v>
      </c>
      <c r="F83" s="8">
        <v>0.91639605976582006</v>
      </c>
      <c r="G83" s="8">
        <f>AVERAGE(Table14[[#This Row],[Bulk resorufin fluorescence, replicate 1]:[Bulk resorufin fluorescence, replicate 3]])</f>
        <v>0.98343999296665452</v>
      </c>
      <c r="H83" s="17">
        <f>STDEV(Table14[[#This Row],[Bulk resorufin fluorescence, replicate 1]:[Bulk resorufin fluorescence, replicate 3]])</f>
        <v>7.5750712136071555E-2</v>
      </c>
      <c r="I83" s="8">
        <v>0.84297733451469514</v>
      </c>
      <c r="J83" s="8">
        <v>0.78297180777825437</v>
      </c>
      <c r="K83" s="8">
        <v>0.84265740399628086</v>
      </c>
      <c r="L83" s="8">
        <f>AVERAGE(Table14[[#This Row],[Bulk GFP fluorescence, replicate 1]:[Bulk GFP fluorescence, replicate 3]])</f>
        <v>0.82286884876307675</v>
      </c>
      <c r="M83" s="17">
        <f>STDEV(Table14[[#This Row],[Bulk GFP fluorescence, replicate 1]:[Bulk GFP fluorescence, replicate 3]])</f>
        <v>3.4552221323564759E-2</v>
      </c>
      <c r="N83" s="17"/>
      <c r="O83" s="17"/>
      <c r="W83" s="39"/>
      <c r="X83" s="39"/>
      <c r="Y83" s="39"/>
      <c r="Z83" s="39"/>
    </row>
    <row r="84" spans="1:26" x14ac:dyDescent="0.25">
      <c r="A84" s="1" t="s">
        <v>946</v>
      </c>
      <c r="B84" s="2" t="s">
        <v>40</v>
      </c>
      <c r="C84" s="2">
        <v>0.33300000000000002</v>
      </c>
      <c r="D84" s="8">
        <v>1.005718933070662</v>
      </c>
      <c r="E84" s="8">
        <v>0.98645508500617818</v>
      </c>
      <c r="F84" s="8">
        <v>0.8869876385779174</v>
      </c>
      <c r="G84" s="8">
        <f>AVERAGE(Table14[[#This Row],[Bulk resorufin fluorescence, replicate 1]:[Bulk resorufin fluorescence, replicate 3]])</f>
        <v>0.95972055221825248</v>
      </c>
      <c r="H84" s="17">
        <f>STDEV(Table14[[#This Row],[Bulk resorufin fluorescence, replicate 1]:[Bulk resorufin fluorescence, replicate 3]])</f>
        <v>6.3720730579005555E-2</v>
      </c>
      <c r="I84" s="8">
        <v>0.99594853503570602</v>
      </c>
      <c r="J84" s="8">
        <v>0.84366060203990501</v>
      </c>
      <c r="K84" s="8">
        <v>0.84269248986895429</v>
      </c>
      <c r="L84" s="8">
        <f>AVERAGE(Table14[[#This Row],[Bulk GFP fluorescence, replicate 1]:[Bulk GFP fluorescence, replicate 3]])</f>
        <v>0.89410054231485514</v>
      </c>
      <c r="M84" s="17">
        <f>STDEV(Table14[[#This Row],[Bulk GFP fluorescence, replicate 1]:[Bulk GFP fluorescence, replicate 3]])</f>
        <v>8.8204277255945818E-2</v>
      </c>
      <c r="N84" s="17"/>
      <c r="O84" s="17"/>
      <c r="W84" s="39"/>
      <c r="X84" s="39"/>
      <c r="Y84" s="39"/>
      <c r="Z84" s="39"/>
    </row>
    <row r="85" spans="1:26" x14ac:dyDescent="0.25">
      <c r="A85" s="1" t="s">
        <v>946</v>
      </c>
      <c r="B85" s="2" t="s">
        <v>40</v>
      </c>
      <c r="C85" s="2">
        <v>0.11099999999999999</v>
      </c>
      <c r="D85" s="8">
        <v>1.0145808491886568</v>
      </c>
      <c r="E85" s="8">
        <v>0.9894769286185765</v>
      </c>
      <c r="F85" s="8">
        <v>0.8720610113531333</v>
      </c>
      <c r="G85" s="8">
        <f>AVERAGE(Table14[[#This Row],[Bulk resorufin fluorescence, replicate 1]:[Bulk resorufin fluorescence, replicate 3]])</f>
        <v>0.95870626305345541</v>
      </c>
      <c r="H85" s="17">
        <f>STDEV(Table14[[#This Row],[Bulk resorufin fluorescence, replicate 1]:[Bulk resorufin fluorescence, replicate 3]])</f>
        <v>7.6079573070939141E-2</v>
      </c>
      <c r="I85" s="8">
        <v>0.98504365737480226</v>
      </c>
      <c r="J85" s="8">
        <v>0.95094551453478959</v>
      </c>
      <c r="K85" s="8">
        <v>0.93584548181674643</v>
      </c>
      <c r="L85" s="8">
        <f>AVERAGE(Table14[[#This Row],[Bulk GFP fluorescence, replicate 1]:[Bulk GFP fluorescence, replicate 3]])</f>
        <v>0.95727821790877943</v>
      </c>
      <c r="M85" s="17">
        <f>STDEV(Table14[[#This Row],[Bulk GFP fluorescence, replicate 1]:[Bulk GFP fluorescence, replicate 3]])</f>
        <v>2.520302498863038E-2</v>
      </c>
      <c r="N85" s="17"/>
      <c r="O85" s="17"/>
      <c r="W85" s="39"/>
      <c r="X85" s="39"/>
      <c r="Y85" s="39"/>
      <c r="Z85" s="39"/>
    </row>
    <row r="86" spans="1:26" x14ac:dyDescent="0.25">
      <c r="A86" s="1" t="s">
        <v>946</v>
      </c>
      <c r="B86" s="2" t="s">
        <v>40</v>
      </c>
      <c r="C86" s="2">
        <v>3.6999999999999998E-2</v>
      </c>
      <c r="D86" s="8">
        <v>0.88777606407797194</v>
      </c>
      <c r="E86" s="8">
        <v>0.92101894152848651</v>
      </c>
      <c r="F86" s="8">
        <v>0.85163575075498088</v>
      </c>
      <c r="G86" s="8">
        <f>AVERAGE(Table14[[#This Row],[Bulk resorufin fluorescence, replicate 1]:[Bulk resorufin fluorescence, replicate 3]])</f>
        <v>0.8868102521204797</v>
      </c>
      <c r="H86" s="17">
        <f>STDEV(Table14[[#This Row],[Bulk resorufin fluorescence, replicate 1]:[Bulk resorufin fluorescence, replicate 3]])</f>
        <v>3.4701676977216753E-2</v>
      </c>
      <c r="I86" s="8">
        <v>0.90764931730922149</v>
      </c>
      <c r="J86" s="8">
        <v>0.84947039605719121</v>
      </c>
      <c r="K86" s="8">
        <v>0.90409276704734842</v>
      </c>
      <c r="L86" s="8">
        <f>AVERAGE(Table14[[#This Row],[Bulk GFP fluorescence, replicate 1]:[Bulk GFP fluorescence, replicate 3]])</f>
        <v>0.88707082680458704</v>
      </c>
      <c r="M86" s="17">
        <f>STDEV(Table14[[#This Row],[Bulk GFP fluorescence, replicate 1]:[Bulk GFP fluorescence, replicate 3]])</f>
        <v>3.261144824649144E-2</v>
      </c>
      <c r="N86" s="17"/>
      <c r="O86" s="17"/>
      <c r="W86" s="39"/>
      <c r="X86" s="39"/>
      <c r="Y86" s="39"/>
      <c r="Z86" s="39"/>
    </row>
    <row r="87" spans="1:26" x14ac:dyDescent="0.25">
      <c r="A87" s="1" t="s">
        <v>946</v>
      </c>
      <c r="B87" s="2" t="s">
        <v>40</v>
      </c>
      <c r="C87" s="2">
        <v>1.2333333333333333E-2</v>
      </c>
      <c r="D87" s="8">
        <v>0.98880514801182018</v>
      </c>
      <c r="E87" s="8">
        <v>0.99127332413009428</v>
      </c>
      <c r="F87" s="8">
        <v>0.8798703063912654</v>
      </c>
      <c r="G87" s="8">
        <f>AVERAGE(Table14[[#This Row],[Bulk resorufin fluorescence, replicate 1]:[Bulk resorufin fluorescence, replicate 3]])</f>
        <v>0.95331625951105992</v>
      </c>
      <c r="H87" s="17">
        <f>STDEV(Table14[[#This Row],[Bulk resorufin fluorescence, replicate 1]:[Bulk resorufin fluorescence, replicate 3]])</f>
        <v>6.3618032000322039E-2</v>
      </c>
      <c r="I87" s="8">
        <v>1.0078378808187747</v>
      </c>
      <c r="J87" s="8">
        <v>0.8577140227033403</v>
      </c>
      <c r="K87" s="8">
        <v>0.97907127695033602</v>
      </c>
      <c r="L87" s="8">
        <f>AVERAGE(Table14[[#This Row],[Bulk GFP fluorescence, replicate 1]:[Bulk GFP fluorescence, replicate 3]])</f>
        <v>0.94820772682415022</v>
      </c>
      <c r="M87" s="17">
        <f>STDEV(Table14[[#This Row],[Bulk GFP fluorescence, replicate 1]:[Bulk GFP fluorescence, replicate 3]])</f>
        <v>7.9678806709560165E-2</v>
      </c>
      <c r="N87" s="17"/>
      <c r="O87" s="17"/>
      <c r="W87" s="39"/>
      <c r="X87" s="39"/>
      <c r="Y87" s="39"/>
      <c r="Z87" s="39"/>
    </row>
    <row r="88" spans="1:26" x14ac:dyDescent="0.25">
      <c r="A88" s="1" t="s">
        <v>946</v>
      </c>
      <c r="B88" s="2" t="s">
        <v>40</v>
      </c>
      <c r="C88" s="2">
        <v>3.7500000000000003E-3</v>
      </c>
      <c r="D88" s="8">
        <v>0.94281066929337964</v>
      </c>
      <c r="E88" s="8">
        <v>0.96349185866127218</v>
      </c>
      <c r="F88" s="8">
        <v>0.91592651354517285</v>
      </c>
      <c r="G88" s="8">
        <f>AVERAGE(Table14[[#This Row],[Bulk resorufin fluorescence, replicate 1]:[Bulk resorufin fluorescence, replicate 3]])</f>
        <v>0.94074301383327485</v>
      </c>
      <c r="H88" s="17">
        <f>STDEV(Table14[[#This Row],[Bulk resorufin fluorescence, replicate 1]:[Bulk resorufin fluorescence, replicate 3]])</f>
        <v>2.3849987700828787E-2</v>
      </c>
      <c r="I88" s="8">
        <v>1.0606205178302321</v>
      </c>
      <c r="J88" s="8">
        <v>0.96468489227837151</v>
      </c>
      <c r="K88" s="8">
        <v>0.93437187516446496</v>
      </c>
      <c r="L88" s="8">
        <f>AVERAGE(Table14[[#This Row],[Bulk GFP fluorescence, replicate 1]:[Bulk GFP fluorescence, replicate 3]])</f>
        <v>0.9865590950910228</v>
      </c>
      <c r="M88" s="17">
        <f>STDEV(Table14[[#This Row],[Bulk GFP fluorescence, replicate 1]:[Bulk GFP fluorescence, replicate 3]])</f>
        <v>6.5905542295423808E-2</v>
      </c>
      <c r="N88" s="17"/>
      <c r="O88" s="17"/>
      <c r="W88" s="39"/>
      <c r="X88" s="39"/>
      <c r="Y88" s="39"/>
      <c r="Z88" s="39"/>
    </row>
    <row r="89" spans="1:26" x14ac:dyDescent="0.25">
      <c r="A89" s="1" t="s">
        <v>946</v>
      </c>
      <c r="B89" s="2" t="s">
        <v>40</v>
      </c>
      <c r="C89" s="2">
        <v>1.25E-3</v>
      </c>
      <c r="D89" s="8">
        <v>1.1579591995437815</v>
      </c>
      <c r="E89" s="8">
        <v>0.92654738352904908</v>
      </c>
      <c r="F89" s="8">
        <v>0.87219693262753117</v>
      </c>
      <c r="G89" s="8">
        <f>AVERAGE(Table14[[#This Row],[Bulk resorufin fluorescence, replicate 1]:[Bulk resorufin fluorescence, replicate 3]])</f>
        <v>0.9855678385667872</v>
      </c>
      <c r="H89" s="17">
        <f>STDEV(Table14[[#This Row],[Bulk resorufin fluorescence, replicate 1]:[Bulk resorufin fluorescence, replicate 3]])</f>
        <v>0.15174840652515872</v>
      </c>
      <c r="I89" s="8">
        <v>0.8800842098886037</v>
      </c>
      <c r="J89" s="8">
        <v>0.80483704607304052</v>
      </c>
      <c r="K89" s="8">
        <v>0.99717558724979394</v>
      </c>
      <c r="L89" s="8">
        <f>AVERAGE(Table14[[#This Row],[Bulk GFP fluorescence, replicate 1]:[Bulk GFP fluorescence, replicate 3]])</f>
        <v>0.89403228107047938</v>
      </c>
      <c r="M89" s="17">
        <f>STDEV(Table14[[#This Row],[Bulk GFP fluorescence, replicate 1]:[Bulk GFP fluorescence, replicate 3]])</f>
        <v>9.6924920029739625E-2</v>
      </c>
      <c r="N89" s="17"/>
      <c r="O89" s="17"/>
      <c r="W89" s="39"/>
      <c r="X89" s="39"/>
      <c r="Y89" s="39"/>
      <c r="Z89" s="39"/>
    </row>
    <row r="90" spans="1:26" ht="15.75" thickBot="1" x14ac:dyDescent="0.3">
      <c r="A90" s="10" t="s">
        <v>946</v>
      </c>
      <c r="B90" s="11" t="s">
        <v>40</v>
      </c>
      <c r="C90" s="11">
        <v>4.1666666666666669E-4</v>
      </c>
      <c r="D90" s="12">
        <v>1.0867722536160507</v>
      </c>
      <c r="E90" s="12">
        <v>0.92352553991665087</v>
      </c>
      <c r="F90" s="12">
        <v>0.93245948310374993</v>
      </c>
      <c r="G90" s="12">
        <f>AVERAGE(Table14[[#This Row],[Bulk resorufin fluorescence, replicate 1]:[Bulk resorufin fluorescence, replicate 3]])</f>
        <v>0.98091909221215046</v>
      </c>
      <c r="H90" s="25">
        <f>STDEV(Table14[[#This Row],[Bulk resorufin fluorescence, replicate 1]:[Bulk resorufin fluorescence, replicate 3]])</f>
        <v>9.1780295650088661E-2</v>
      </c>
      <c r="I90" s="12">
        <v>0.94377172456096514</v>
      </c>
      <c r="J90" s="12">
        <v>0.9215039907985425</v>
      </c>
      <c r="K90" s="12">
        <v>0.94710804694489759</v>
      </c>
      <c r="L90" s="12">
        <f>AVERAGE(Table14[[#This Row],[Bulk GFP fluorescence, replicate 1]:[Bulk GFP fluorescence, replicate 3]])</f>
        <v>0.9374612541014683</v>
      </c>
      <c r="M90" s="25">
        <f>STDEV(Table14[[#This Row],[Bulk GFP fluorescence, replicate 1]:[Bulk GFP fluorescence, replicate 3]])</f>
        <v>1.391971446731439E-2</v>
      </c>
      <c r="N90" s="25"/>
      <c r="O90" s="25"/>
      <c r="P90" s="25"/>
      <c r="Q90" s="25"/>
      <c r="W90" s="39"/>
      <c r="X90" s="39"/>
      <c r="Y90" s="39"/>
      <c r="Z90" s="39"/>
    </row>
    <row r="91" spans="1:26" x14ac:dyDescent="0.25">
      <c r="A91" s="1" t="s">
        <v>948</v>
      </c>
      <c r="B91" s="2" t="s">
        <v>41</v>
      </c>
      <c r="C91" s="2">
        <v>30</v>
      </c>
      <c r="D91" s="8">
        <v>1.0615797864067602</v>
      </c>
      <c r="E91" s="8">
        <v>0.99673213839765218</v>
      </c>
      <c r="F91" s="8">
        <v>0.91544461084503492</v>
      </c>
      <c r="G91" s="8">
        <f>AVERAGE(Table14[[#This Row],[Bulk resorufin fluorescence, replicate 1]:[Bulk resorufin fluorescence, replicate 3]])</f>
        <v>0.99125217854981573</v>
      </c>
      <c r="H91" s="17">
        <f>STDEV(Table14[[#This Row],[Bulk resorufin fluorescence, replicate 1]:[Bulk resorufin fluorescence, replicate 3]])</f>
        <v>7.3221546378538685E-2</v>
      </c>
      <c r="I91" s="8">
        <v>0</v>
      </c>
      <c r="J91" s="8">
        <v>8.6934931288390471E-2</v>
      </c>
      <c r="K91" s="8">
        <v>6.0172271634826233E-2</v>
      </c>
      <c r="L91" s="8">
        <f>AVERAGE(Table14[[#This Row],[Bulk GFP fluorescence, replicate 1]:[Bulk GFP fluorescence, replicate 3]])</f>
        <v>4.9035734307738908E-2</v>
      </c>
      <c r="M91" s="17">
        <f>STDEV(Table14[[#This Row],[Bulk GFP fluorescence, replicate 1]:[Bulk GFP fluorescence, replicate 3]])</f>
        <v>4.4524570938499777E-2</v>
      </c>
      <c r="N91" s="17">
        <v>3.6846666666666668</v>
      </c>
      <c r="O91" s="17">
        <v>1.6268540266666665</v>
      </c>
      <c r="P91" s="17">
        <v>7.7250000000000005</v>
      </c>
      <c r="Q91" s="17">
        <v>3.4107419999999995</v>
      </c>
      <c r="W91" s="39"/>
      <c r="X91" s="39"/>
      <c r="Y91" s="39"/>
      <c r="Z91" s="39"/>
    </row>
    <row r="92" spans="1:26" x14ac:dyDescent="0.25">
      <c r="A92" s="1" t="s">
        <v>948</v>
      </c>
      <c r="B92" s="2" t="s">
        <v>41</v>
      </c>
      <c r="C92" s="2">
        <v>10</v>
      </c>
      <c r="D92" s="8">
        <v>1.1030866037638032</v>
      </c>
      <c r="E92" s="8">
        <v>0.99933621561202313</v>
      </c>
      <c r="F92" s="8">
        <v>0.91618599961447789</v>
      </c>
      <c r="G92" s="8">
        <f>AVERAGE(Table14[[#This Row],[Bulk resorufin fluorescence, replicate 1]:[Bulk resorufin fluorescence, replicate 3]])</f>
        <v>1.0062029396634349</v>
      </c>
      <c r="H92" s="17">
        <f>STDEV(Table14[[#This Row],[Bulk resorufin fluorescence, replicate 1]:[Bulk resorufin fluorescence, replicate 3]])</f>
        <v>9.3639323375622349E-2</v>
      </c>
      <c r="I92" s="8">
        <v>0</v>
      </c>
      <c r="J92" s="8">
        <v>0.22366136751952215</v>
      </c>
      <c r="K92" s="8">
        <v>0.14893952949844746</v>
      </c>
      <c r="L92" s="8">
        <f>AVERAGE(Table14[[#This Row],[Bulk GFP fluorescence, replicate 1]:[Bulk GFP fluorescence, replicate 3]])</f>
        <v>0.12420029900598988</v>
      </c>
      <c r="M92" s="17">
        <f>STDEV(Table14[[#This Row],[Bulk GFP fluorescence, replicate 1]:[Bulk GFP fluorescence, replicate 3]])</f>
        <v>0.11386449830476089</v>
      </c>
      <c r="N92" s="17"/>
      <c r="O92" s="17"/>
      <c r="W92" s="39"/>
      <c r="X92" s="39"/>
      <c r="Y92" s="39"/>
      <c r="Z92" s="39"/>
    </row>
    <row r="93" spans="1:26" x14ac:dyDescent="0.25">
      <c r="A93" s="1" t="s">
        <v>948</v>
      </c>
      <c r="B93" s="2" t="s">
        <v>41</v>
      </c>
      <c r="C93" s="2">
        <v>2.9999999999999996</v>
      </c>
      <c r="D93" s="8">
        <v>1.1134228057442064</v>
      </c>
      <c r="E93" s="8">
        <v>0.94126668628621446</v>
      </c>
      <c r="F93" s="8">
        <v>0.90569534852686051</v>
      </c>
      <c r="G93" s="8">
        <f>AVERAGE(Table14[[#This Row],[Bulk resorufin fluorescence, replicate 1]:[Bulk resorufin fluorescence, replicate 3]])</f>
        <v>0.98679494685242697</v>
      </c>
      <c r="H93" s="17">
        <f>STDEV(Table14[[#This Row],[Bulk resorufin fluorescence, replicate 1]:[Bulk resorufin fluorescence, replicate 3]])</f>
        <v>0.11109586402353051</v>
      </c>
      <c r="I93" s="8">
        <v>0.4505633351989502</v>
      </c>
      <c r="J93" s="8">
        <v>0.51894022291159003</v>
      </c>
      <c r="K93" s="8">
        <v>0.44646772976860866</v>
      </c>
      <c r="L93" s="8">
        <f>AVERAGE(Table14[[#This Row],[Bulk GFP fluorescence, replicate 1]:[Bulk GFP fluorescence, replicate 3]])</f>
        <v>0.47199042929304963</v>
      </c>
      <c r="M93" s="17">
        <f>STDEV(Table14[[#This Row],[Bulk GFP fluorescence, replicate 1]:[Bulk GFP fluorescence, replicate 3]])</f>
        <v>4.0711249508924602E-2</v>
      </c>
      <c r="N93" s="17"/>
      <c r="O93" s="17"/>
      <c r="W93" s="39"/>
      <c r="X93" s="39"/>
      <c r="Y93" s="39"/>
      <c r="Z93" s="39"/>
    </row>
    <row r="94" spans="1:26" x14ac:dyDescent="0.25">
      <c r="A94" s="1" t="s">
        <v>948</v>
      </c>
      <c r="B94" s="2" t="s">
        <v>41</v>
      </c>
      <c r="C94" s="2">
        <v>1</v>
      </c>
      <c r="D94" s="8">
        <v>1.068432785525429</v>
      </c>
      <c r="E94" s="8">
        <v>0.92344198663704546</v>
      </c>
      <c r="F94" s="8">
        <v>0.8929311052129516</v>
      </c>
      <c r="G94" s="8">
        <f>AVERAGE(Table14[[#This Row],[Bulk resorufin fluorescence, replicate 1]:[Bulk resorufin fluorescence, replicate 3]])</f>
        <v>0.96160195912514201</v>
      </c>
      <c r="H94" s="17">
        <f>STDEV(Table14[[#This Row],[Bulk resorufin fluorescence, replicate 1]:[Bulk resorufin fluorescence, replicate 3]])</f>
        <v>9.3767518754337129E-2</v>
      </c>
      <c r="I94" s="8">
        <v>0.95529070866613375</v>
      </c>
      <c r="J94" s="8">
        <v>0.84923486386730118</v>
      </c>
      <c r="K94" s="8">
        <v>0.83476308264477306</v>
      </c>
      <c r="L94" s="8">
        <f>AVERAGE(Table14[[#This Row],[Bulk GFP fluorescence, replicate 1]:[Bulk GFP fluorescence, replicate 3]])</f>
        <v>0.87976288505940259</v>
      </c>
      <c r="M94" s="17">
        <f>STDEV(Table14[[#This Row],[Bulk GFP fluorescence, replicate 1]:[Bulk GFP fluorescence, replicate 3]])</f>
        <v>6.5808033073594396E-2</v>
      </c>
      <c r="N94" s="17"/>
      <c r="O94" s="17"/>
      <c r="W94" s="39"/>
      <c r="X94" s="39"/>
      <c r="Y94" s="39"/>
      <c r="Z94" s="39"/>
    </row>
    <row r="95" spans="1:26" x14ac:dyDescent="0.25">
      <c r="A95" s="1" t="s">
        <v>948</v>
      </c>
      <c r="B95" s="2" t="s">
        <v>41</v>
      </c>
      <c r="C95" s="2">
        <v>0.33300000000000002</v>
      </c>
      <c r="D95" s="8">
        <v>1.1011262895951059</v>
      </c>
      <c r="E95" s="8">
        <v>0.91718941621323535</v>
      </c>
      <c r="F95" s="8">
        <v>0.88953307335300491</v>
      </c>
      <c r="G95" s="8">
        <f>AVERAGE(Table14[[#This Row],[Bulk resorufin fluorescence, replicate 1]:[Bulk resorufin fluorescence, replicate 3]])</f>
        <v>0.96928292638711555</v>
      </c>
      <c r="H95" s="17">
        <f>STDEV(Table14[[#This Row],[Bulk resorufin fluorescence, replicate 1]:[Bulk resorufin fluorescence, replicate 3]])</f>
        <v>0.11501401063173233</v>
      </c>
      <c r="I95" s="8">
        <v>0.91980031035379961</v>
      </c>
      <c r="J95" s="8">
        <v>0.88719480180456911</v>
      </c>
      <c r="K95" s="8">
        <v>0.87974317141203096</v>
      </c>
      <c r="L95" s="8">
        <f>AVERAGE(Table14[[#This Row],[Bulk GFP fluorescence, replicate 1]:[Bulk GFP fluorescence, replicate 3]])</f>
        <v>0.89557942785679989</v>
      </c>
      <c r="M95" s="17">
        <f>STDEV(Table14[[#This Row],[Bulk GFP fluorescence, replicate 1]:[Bulk GFP fluorescence, replicate 3]])</f>
        <v>2.1304226354806926E-2</v>
      </c>
      <c r="N95" s="17"/>
      <c r="O95" s="17"/>
      <c r="W95" s="39"/>
      <c r="X95" s="39"/>
      <c r="Y95" s="39"/>
      <c r="Z95" s="39"/>
    </row>
    <row r="96" spans="1:26" x14ac:dyDescent="0.25">
      <c r="A96" s="1" t="s">
        <v>948</v>
      </c>
      <c r="B96" s="2" t="s">
        <v>41</v>
      </c>
      <c r="C96" s="2">
        <v>0.11099999999999999</v>
      </c>
      <c r="D96" s="8">
        <v>1.1764930789569186</v>
      </c>
      <c r="E96" s="8">
        <v>0.89621754303225987</v>
      </c>
      <c r="F96" s="8">
        <v>0.86515373931782347</v>
      </c>
      <c r="G96" s="8">
        <f>AVERAGE(Table14[[#This Row],[Bulk resorufin fluorescence, replicate 1]:[Bulk resorufin fluorescence, replicate 3]])</f>
        <v>0.97928812043566715</v>
      </c>
      <c r="H96" s="17">
        <f>STDEV(Table14[[#This Row],[Bulk resorufin fluorescence, replicate 1]:[Bulk resorufin fluorescence, replicate 3]])</f>
        <v>0.17148931956343294</v>
      </c>
      <c r="I96" s="8">
        <v>0.92346914899790167</v>
      </c>
      <c r="J96" s="8">
        <v>0.95231945230914783</v>
      </c>
      <c r="K96" s="8">
        <v>0.7867656088276056</v>
      </c>
      <c r="L96" s="8">
        <f>AVERAGE(Table14[[#This Row],[Bulk GFP fluorescence, replicate 1]:[Bulk GFP fluorescence, replicate 3]])</f>
        <v>0.88751807004488503</v>
      </c>
      <c r="M96" s="17">
        <f>STDEV(Table14[[#This Row],[Bulk GFP fluorescence, replicate 1]:[Bulk GFP fluorescence, replicate 3]])</f>
        <v>8.8438559640533904E-2</v>
      </c>
      <c r="N96" s="17"/>
      <c r="O96" s="17"/>
      <c r="W96" s="39"/>
      <c r="X96" s="39"/>
      <c r="Y96" s="39"/>
      <c r="Z96" s="39"/>
    </row>
    <row r="97" spans="1:26" x14ac:dyDescent="0.25">
      <c r="A97" s="1" t="s">
        <v>948</v>
      </c>
      <c r="B97" s="2" t="s">
        <v>41</v>
      </c>
      <c r="C97" s="2">
        <v>3.6999999999999998E-2</v>
      </c>
      <c r="D97" s="8">
        <v>1.0646093628492923</v>
      </c>
      <c r="E97" s="8">
        <v>0.87764086386664153</v>
      </c>
      <c r="F97" s="8">
        <v>0.85158632483701813</v>
      </c>
      <c r="G97" s="8">
        <f>AVERAGE(Table14[[#This Row],[Bulk resorufin fluorescence, replicate 1]:[Bulk resorufin fluorescence, replicate 3]])</f>
        <v>0.93127885051765069</v>
      </c>
      <c r="H97" s="17">
        <f>STDEV(Table14[[#This Row],[Bulk resorufin fluorescence, replicate 1]:[Bulk resorufin fluorescence, replicate 3]])</f>
        <v>0.11620016734056425</v>
      </c>
      <c r="I97" s="8">
        <v>1.0631845145059515</v>
      </c>
      <c r="J97" s="8">
        <v>0.85253231452576084</v>
      </c>
      <c r="K97" s="8">
        <v>0.84413101064856233</v>
      </c>
      <c r="L97" s="8">
        <f>AVERAGE(Table14[[#This Row],[Bulk GFP fluorescence, replicate 1]:[Bulk GFP fluorescence, replicate 3]])</f>
        <v>0.9199492798934249</v>
      </c>
      <c r="M97" s="17">
        <f>STDEV(Table14[[#This Row],[Bulk GFP fluorescence, replicate 1]:[Bulk GFP fluorescence, replicate 3]])</f>
        <v>0.12411645661469714</v>
      </c>
      <c r="N97" s="17"/>
      <c r="O97" s="17"/>
      <c r="W97" s="39"/>
      <c r="X97" s="39"/>
      <c r="Y97" s="39"/>
      <c r="Z97" s="39"/>
    </row>
    <row r="98" spans="1:26" x14ac:dyDescent="0.25">
      <c r="A98" s="1" t="s">
        <v>948</v>
      </c>
      <c r="B98" s="2" t="s">
        <v>41</v>
      </c>
      <c r="C98" s="2">
        <v>1.2333333333333333E-2</v>
      </c>
      <c r="D98" s="8">
        <v>1.1542329825289026</v>
      </c>
      <c r="E98" s="8">
        <v>0.90379304038315667</v>
      </c>
      <c r="F98" s="8">
        <v>0.8512650563702594</v>
      </c>
      <c r="G98" s="8">
        <f>AVERAGE(Table14[[#This Row],[Bulk resorufin fluorescence, replicate 1]:[Bulk resorufin fluorescence, replicate 3]])</f>
        <v>0.96976369309410615</v>
      </c>
      <c r="H98" s="17">
        <f>STDEV(Table14[[#This Row],[Bulk resorufin fluorescence, replicate 1]:[Bulk resorufin fluorescence, replicate 3]])</f>
        <v>0.16189961808030637</v>
      </c>
      <c r="I98" s="8">
        <v>1.2035737483363875</v>
      </c>
      <c r="J98" s="8">
        <v>0.81076460618527157</v>
      </c>
      <c r="K98" s="8">
        <v>0.85184990263670335</v>
      </c>
      <c r="L98" s="8">
        <f>AVERAGE(Table14[[#This Row],[Bulk GFP fluorescence, replicate 1]:[Bulk GFP fluorescence, replicate 3]])</f>
        <v>0.95539608571945411</v>
      </c>
      <c r="M98" s="17">
        <f>STDEV(Table14[[#This Row],[Bulk GFP fluorescence, replicate 1]:[Bulk GFP fluorescence, replicate 3]])</f>
        <v>0.21590765285794922</v>
      </c>
      <c r="N98" s="17"/>
      <c r="O98" s="17"/>
      <c r="W98" s="39"/>
      <c r="X98" s="39"/>
      <c r="Y98" s="39"/>
      <c r="Z98" s="39"/>
    </row>
    <row r="99" spans="1:26" x14ac:dyDescent="0.25">
      <c r="A99" s="1" t="s">
        <v>948</v>
      </c>
      <c r="B99" s="2" t="s">
        <v>41</v>
      </c>
      <c r="C99" s="2">
        <v>3.7500000000000003E-3</v>
      </c>
      <c r="D99" s="8">
        <v>1.0457676655088393</v>
      </c>
      <c r="E99" s="8">
        <v>0.89621754303225987</v>
      </c>
      <c r="F99" s="8">
        <v>0.88577670358782745</v>
      </c>
      <c r="G99" s="8">
        <f>AVERAGE(Table14[[#This Row],[Bulk resorufin fluorescence, replicate 1]:[Bulk resorufin fluorescence, replicate 3]])</f>
        <v>0.94258730404297564</v>
      </c>
      <c r="H99" s="17">
        <f>STDEV(Table14[[#This Row],[Bulk resorufin fluorescence, replicate 1]:[Bulk resorufin fluorescence, replicate 3]])</f>
        <v>8.9509178446938203E-2</v>
      </c>
      <c r="I99" s="8">
        <v>0.99115547826868244</v>
      </c>
      <c r="J99" s="8">
        <v>0.84362134667492339</v>
      </c>
      <c r="K99" s="8">
        <v>0.90023332105327791</v>
      </c>
      <c r="L99" s="8">
        <f>AVERAGE(Table14[[#This Row],[Bulk GFP fluorescence, replicate 1]:[Bulk GFP fluorescence, replicate 3]])</f>
        <v>0.91167004866562795</v>
      </c>
      <c r="M99" s="17">
        <f>STDEV(Table14[[#This Row],[Bulk GFP fluorescence, replicate 1]:[Bulk GFP fluorescence, replicate 3]])</f>
        <v>7.4429020214836036E-2</v>
      </c>
      <c r="N99" s="17"/>
      <c r="O99" s="17"/>
      <c r="W99" s="39"/>
      <c r="X99" s="39"/>
      <c r="Y99" s="39"/>
      <c r="Z99" s="39"/>
    </row>
    <row r="100" spans="1:26" x14ac:dyDescent="0.25">
      <c r="A100" s="1" t="s">
        <v>948</v>
      </c>
      <c r="B100" s="2" t="s">
        <v>41</v>
      </c>
      <c r="C100" s="2">
        <v>1.25E-3</v>
      </c>
      <c r="D100" s="8">
        <v>1.1954967857328012</v>
      </c>
      <c r="E100" s="8">
        <v>0.92227224072256875</v>
      </c>
      <c r="F100" s="8">
        <v>0.87049173845781258</v>
      </c>
      <c r="G100" s="8">
        <f>AVERAGE(Table14[[#This Row],[Bulk resorufin fluorescence, replicate 1]:[Bulk resorufin fluorescence, replicate 3]])</f>
        <v>0.9960869216377275</v>
      </c>
      <c r="H100" s="17">
        <f>STDEV(Table14[[#This Row],[Bulk resorufin fluorescence, replicate 1]:[Bulk resorufin fluorescence, replicate 3]])</f>
        <v>0.17462395462109256</v>
      </c>
      <c r="I100" s="8">
        <v>0.95079825318355982</v>
      </c>
      <c r="J100" s="8">
        <v>0.87753798201908007</v>
      </c>
      <c r="K100" s="8">
        <v>0.97605389190042635</v>
      </c>
      <c r="L100" s="8">
        <f>AVERAGE(Table14[[#This Row],[Bulk GFP fluorescence, replicate 1]:[Bulk GFP fluorescence, replicate 3]])</f>
        <v>0.9347967090343553</v>
      </c>
      <c r="M100" s="17">
        <f>STDEV(Table14[[#This Row],[Bulk GFP fluorescence, replicate 1]:[Bulk GFP fluorescence, replicate 3]])</f>
        <v>5.11701395963172E-2</v>
      </c>
      <c r="N100" s="17"/>
      <c r="O100" s="17"/>
      <c r="W100" s="39"/>
      <c r="X100" s="39"/>
      <c r="Y100" s="39"/>
      <c r="Z100" s="39"/>
    </row>
    <row r="101" spans="1:26" ht="15.75" thickBot="1" x14ac:dyDescent="0.3">
      <c r="A101" s="10" t="s">
        <v>948</v>
      </c>
      <c r="B101" s="11" t="s">
        <v>41</v>
      </c>
      <c r="C101" s="11">
        <v>4.1666666666666669E-4</v>
      </c>
      <c r="D101" s="12">
        <v>1.0036452122971642</v>
      </c>
      <c r="E101" s="12">
        <v>0.97010649329670606</v>
      </c>
      <c r="F101" s="12">
        <v>0.90709163070931131</v>
      </c>
      <c r="G101" s="12">
        <f>AVERAGE(Table14[[#This Row],[Bulk resorufin fluorescence, replicate 1]:[Bulk resorufin fluorescence, replicate 3]])</f>
        <v>0.96028111210106049</v>
      </c>
      <c r="H101" s="25">
        <f>STDEV(Table14[[#This Row],[Bulk resorufin fluorescence, replicate 1]:[Bulk resorufin fluorescence, replicate 3]])</f>
        <v>4.9020935487711262E-2</v>
      </c>
      <c r="I101" s="12">
        <v>1.0056810843290049</v>
      </c>
      <c r="J101" s="12">
        <v>0.85610455273909214</v>
      </c>
      <c r="K101" s="12">
        <v>0.95566899987719944</v>
      </c>
      <c r="L101" s="12">
        <f>AVERAGE(Table14[[#This Row],[Bulk GFP fluorescence, replicate 1]:[Bulk GFP fluorescence, replicate 3]])</f>
        <v>0.93915154564843217</v>
      </c>
      <c r="M101" s="25">
        <f>STDEV(Table14[[#This Row],[Bulk GFP fluorescence, replicate 1]:[Bulk GFP fluorescence, replicate 3]])</f>
        <v>7.6143971667273908E-2</v>
      </c>
      <c r="N101" s="25"/>
      <c r="O101" s="25"/>
      <c r="P101" s="25"/>
      <c r="Q101" s="25"/>
      <c r="W101" s="39"/>
      <c r="X101" s="39"/>
      <c r="Y101" s="39"/>
      <c r="Z101" s="39"/>
    </row>
    <row r="102" spans="1:26" x14ac:dyDescent="0.25">
      <c r="A102" s="1" t="s">
        <v>950</v>
      </c>
      <c r="B102" s="2" t="s">
        <v>42</v>
      </c>
      <c r="C102" s="2">
        <v>30</v>
      </c>
      <c r="D102" s="8">
        <v>0.9451598061071077</v>
      </c>
      <c r="E102" s="8">
        <v>0.97718067096996997</v>
      </c>
      <c r="F102" s="8">
        <v>0.97828966553481311</v>
      </c>
      <c r="G102" s="8">
        <f>AVERAGE(Table14[[#This Row],[Bulk resorufin fluorescence, replicate 1]:[Bulk resorufin fluorescence, replicate 3]])</f>
        <v>0.96687671420396359</v>
      </c>
      <c r="H102" s="17">
        <f>STDEV(Table14[[#This Row],[Bulk resorufin fluorescence, replicate 1]:[Bulk resorufin fluorescence, replicate 3]])</f>
        <v>1.8815566433187089E-2</v>
      </c>
      <c r="I102" s="8">
        <v>0</v>
      </c>
      <c r="J102" s="8">
        <v>3.7983491156256904E-2</v>
      </c>
      <c r="K102" s="8">
        <v>6.2417767485921788E-2</v>
      </c>
      <c r="L102" s="8">
        <f>AVERAGE(Table14[[#This Row],[Bulk GFP fluorescence, replicate 1]:[Bulk GFP fluorescence, replicate 3]])</f>
        <v>3.3467086214059562E-2</v>
      </c>
      <c r="M102" s="17">
        <f>STDEV(Table14[[#This Row],[Bulk GFP fluorescence, replicate 1]:[Bulk GFP fluorescence, replicate 3]])</f>
        <v>3.1453026240460188E-2</v>
      </c>
      <c r="N102" s="17">
        <v>3.8136666666666668</v>
      </c>
      <c r="O102" s="17">
        <v>1.6342705766666665</v>
      </c>
      <c r="P102" s="17">
        <v>11.118</v>
      </c>
      <c r="Q102" s="17">
        <v>4.7643965399999999</v>
      </c>
      <c r="W102" s="39"/>
      <c r="X102" s="39"/>
      <c r="Y102" s="39"/>
      <c r="Z102" s="39"/>
    </row>
    <row r="103" spans="1:26" x14ac:dyDescent="0.25">
      <c r="A103" s="1" t="s">
        <v>950</v>
      </c>
      <c r="B103" s="2" t="s">
        <v>42</v>
      </c>
      <c r="C103" s="2">
        <v>10</v>
      </c>
      <c r="D103" s="8">
        <v>1.0767762714500493</v>
      </c>
      <c r="E103" s="8">
        <v>0.95856221516454876</v>
      </c>
      <c r="F103" s="8">
        <v>0.91307216678281766</v>
      </c>
      <c r="G103" s="8">
        <f>AVERAGE(Table14[[#This Row],[Bulk resorufin fluorescence, replicate 1]:[Bulk resorufin fluorescence, replicate 3]])</f>
        <v>0.98280355113247175</v>
      </c>
      <c r="H103" s="17">
        <f>STDEV(Table14[[#This Row],[Bulk resorufin fluorescence, replicate 1]:[Bulk resorufin fluorescence, replicate 3]])</f>
        <v>8.4501421575955013E-2</v>
      </c>
      <c r="I103" s="8">
        <v>0</v>
      </c>
      <c r="J103" s="8">
        <v>0.23987383325694889</v>
      </c>
      <c r="K103" s="8">
        <v>0.19563882602670035</v>
      </c>
      <c r="L103" s="8">
        <f>AVERAGE(Table14[[#This Row],[Bulk GFP fluorescence, replicate 1]:[Bulk GFP fluorescence, replicate 3]])</f>
        <v>0.14517088642788309</v>
      </c>
      <c r="M103" s="17">
        <f>STDEV(Table14[[#This Row],[Bulk GFP fluorescence, replicate 1]:[Bulk GFP fluorescence, replicate 3]])</f>
        <v>0.1276523547211646</v>
      </c>
      <c r="N103" s="17"/>
      <c r="O103" s="17"/>
      <c r="W103" s="39"/>
      <c r="X103" s="39"/>
      <c r="Y103" s="39"/>
      <c r="Z103" s="39"/>
    </row>
    <row r="104" spans="1:26" x14ac:dyDescent="0.25">
      <c r="A104" s="1" t="s">
        <v>950</v>
      </c>
      <c r="B104" s="2" t="s">
        <v>42</v>
      </c>
      <c r="C104" s="2">
        <v>2.9999999999999996</v>
      </c>
      <c r="D104" s="8">
        <v>0.96860257141375916</v>
      </c>
      <c r="E104" s="8">
        <v>0.92514090332235688</v>
      </c>
      <c r="F104" s="8">
        <v>0.90160535381543372</v>
      </c>
      <c r="G104" s="8">
        <f>AVERAGE(Table14[[#This Row],[Bulk resorufin fluorescence, replicate 1]:[Bulk resorufin fluorescence, replicate 3]])</f>
        <v>0.93178294285051655</v>
      </c>
      <c r="H104" s="17">
        <f>STDEV(Table14[[#This Row],[Bulk resorufin fluorescence, replicate 1]:[Bulk resorufin fluorescence, replicate 3]])</f>
        <v>3.398888506996911E-2</v>
      </c>
      <c r="I104" s="8">
        <v>0.5070185257632962</v>
      </c>
      <c r="J104" s="8">
        <v>0.60345702371711019</v>
      </c>
      <c r="K104" s="8">
        <v>0.60438924267143834</v>
      </c>
      <c r="L104" s="8">
        <f>AVERAGE(Table14[[#This Row],[Bulk GFP fluorescence, replicate 1]:[Bulk GFP fluorescence, replicate 3]])</f>
        <v>0.57162159738394824</v>
      </c>
      <c r="M104" s="17">
        <f>STDEV(Table14[[#This Row],[Bulk GFP fluorescence, replicate 1]:[Bulk GFP fluorescence, replicate 3]])</f>
        <v>5.5949842762621098E-2</v>
      </c>
      <c r="N104" s="17"/>
      <c r="O104" s="17"/>
      <c r="W104" s="39"/>
      <c r="X104" s="39"/>
      <c r="Y104" s="39"/>
      <c r="Z104" s="39"/>
    </row>
    <row r="105" spans="1:26" x14ac:dyDescent="0.25">
      <c r="A105" s="1" t="s">
        <v>950</v>
      </c>
      <c r="B105" s="2" t="s">
        <v>42</v>
      </c>
      <c r="C105" s="2">
        <v>1</v>
      </c>
      <c r="D105" s="8">
        <v>1.1110574679869356</v>
      </c>
      <c r="E105" s="8">
        <v>0.92516875441555868</v>
      </c>
      <c r="F105" s="8">
        <v>0.90819135738398504</v>
      </c>
      <c r="G105" s="8">
        <f>AVERAGE(Table14[[#This Row],[Bulk resorufin fluorescence, replicate 1]:[Bulk resorufin fluorescence, replicate 3]])</f>
        <v>0.98147252659549311</v>
      </c>
      <c r="H105" s="17">
        <f>STDEV(Table14[[#This Row],[Bulk resorufin fluorescence, replicate 1]:[Bulk resorufin fluorescence, replicate 3]])</f>
        <v>0.11254443912988155</v>
      </c>
      <c r="I105" s="8">
        <v>1.0014132516205598</v>
      </c>
      <c r="J105" s="8">
        <v>0.93029719255443499</v>
      </c>
      <c r="K105" s="8">
        <v>0.879848429030051</v>
      </c>
      <c r="L105" s="8">
        <f>AVERAGE(Table14[[#This Row],[Bulk GFP fluorescence, replicate 1]:[Bulk GFP fluorescence, replicate 3]])</f>
        <v>0.93718629106834861</v>
      </c>
      <c r="M105" s="17">
        <f>STDEV(Table14[[#This Row],[Bulk GFP fluorescence, replicate 1]:[Bulk GFP fluorescence, replicate 3]])</f>
        <v>6.1074514174214077E-2</v>
      </c>
      <c r="N105" s="17"/>
      <c r="O105" s="17"/>
      <c r="W105" s="39"/>
      <c r="X105" s="39"/>
      <c r="Y105" s="39"/>
      <c r="Z105" s="39"/>
    </row>
    <row r="106" spans="1:26" x14ac:dyDescent="0.25">
      <c r="A106" s="1" t="s">
        <v>950</v>
      </c>
      <c r="B106" s="2" t="s">
        <v>42</v>
      </c>
      <c r="C106" s="2">
        <v>0.33300000000000002</v>
      </c>
      <c r="D106" s="8">
        <v>0.91518806055264657</v>
      </c>
      <c r="E106" s="8">
        <v>0.92764750171052124</v>
      </c>
      <c r="F106" s="8">
        <v>0.88743247183958318</v>
      </c>
      <c r="G106" s="8">
        <f>AVERAGE(Table14[[#This Row],[Bulk resorufin fluorescence, replicate 1]:[Bulk resorufin fluorescence, replicate 3]])</f>
        <v>0.91008934470091696</v>
      </c>
      <c r="H106" s="17">
        <f>STDEV(Table14[[#This Row],[Bulk resorufin fluorescence, replicate 1]:[Bulk resorufin fluorescence, replicate 3]])</f>
        <v>2.0586642134710044E-2</v>
      </c>
      <c r="I106" s="8">
        <v>0.94181334221841195</v>
      </c>
      <c r="J106" s="8">
        <v>0.92276016247795567</v>
      </c>
      <c r="K106" s="8">
        <v>0.98805326035471819</v>
      </c>
      <c r="L106" s="8">
        <f>AVERAGE(Table14[[#This Row],[Bulk GFP fluorescence, replicate 1]:[Bulk GFP fluorescence, replicate 3]])</f>
        <v>0.95087558835036201</v>
      </c>
      <c r="M106" s="17">
        <f>STDEV(Table14[[#This Row],[Bulk GFP fluorescence, replicate 1]:[Bulk GFP fluorescence, replicate 3]])</f>
        <v>3.3576634529135799E-2</v>
      </c>
      <c r="N106" s="17"/>
      <c r="O106" s="17"/>
      <c r="W106" s="39"/>
      <c r="X106" s="39"/>
      <c r="Y106" s="39"/>
      <c r="Z106" s="39"/>
    </row>
    <row r="107" spans="1:26" x14ac:dyDescent="0.25">
      <c r="A107" s="1" t="s">
        <v>950</v>
      </c>
      <c r="B107" s="2" t="s">
        <v>42</v>
      </c>
      <c r="C107" s="2">
        <v>0.11099999999999999</v>
      </c>
      <c r="D107" s="8">
        <v>0.92393657006584062</v>
      </c>
      <c r="E107" s="8">
        <v>0.90533877605585811</v>
      </c>
      <c r="F107" s="8">
        <v>0.87511306178733994</v>
      </c>
      <c r="G107" s="8">
        <f>AVERAGE(Table14[[#This Row],[Bulk resorufin fluorescence, replicate 1]:[Bulk resorufin fluorescence, replicate 3]])</f>
        <v>0.90146280263634626</v>
      </c>
      <c r="H107" s="17">
        <f>STDEV(Table14[[#This Row],[Bulk resorufin fluorescence, replicate 1]:[Bulk resorufin fluorescence, replicate 3]])</f>
        <v>2.4641451207605008E-2</v>
      </c>
      <c r="I107" s="8">
        <v>0.83579139282966664</v>
      </c>
      <c r="J107" s="8">
        <v>0.94128869474930055</v>
      </c>
      <c r="K107" s="8">
        <v>1.0588214655369015</v>
      </c>
      <c r="L107" s="8">
        <f>AVERAGE(Table14[[#This Row],[Bulk GFP fluorescence, replicate 1]:[Bulk GFP fluorescence, replicate 3]])</f>
        <v>0.94530051770528944</v>
      </c>
      <c r="M107" s="17">
        <f>STDEV(Table14[[#This Row],[Bulk GFP fluorescence, replicate 1]:[Bulk GFP fluorescence, replicate 3]])</f>
        <v>0.11156914616291219</v>
      </c>
      <c r="N107" s="17"/>
      <c r="O107" s="17"/>
      <c r="W107" s="39"/>
      <c r="X107" s="39"/>
      <c r="Y107" s="39"/>
      <c r="Z107" s="39"/>
    </row>
    <row r="108" spans="1:26" x14ac:dyDescent="0.25">
      <c r="A108" s="1" t="s">
        <v>950</v>
      </c>
      <c r="B108" s="2" t="s">
        <v>42</v>
      </c>
      <c r="C108" s="2">
        <v>3.6999999999999998E-2</v>
      </c>
      <c r="D108" s="8">
        <v>0.94051013531028049</v>
      </c>
      <c r="E108" s="8">
        <v>0.92047584521105086</v>
      </c>
      <c r="F108" s="8">
        <v>0.86609283175911789</v>
      </c>
      <c r="G108" s="8">
        <f>AVERAGE(Table14[[#This Row],[Bulk resorufin fluorescence, replicate 1]:[Bulk resorufin fluorescence, replicate 3]])</f>
        <v>0.90902627076014975</v>
      </c>
      <c r="H108" s="17">
        <f>STDEV(Table14[[#This Row],[Bulk resorufin fluorescence, replicate 1]:[Bulk resorufin fluorescence, replicate 3]])</f>
        <v>3.85071854760448E-2</v>
      </c>
      <c r="I108" s="8">
        <v>1.0296408469027327</v>
      </c>
      <c r="J108" s="8">
        <v>0.9605238235903153</v>
      </c>
      <c r="K108" s="8">
        <v>0.99675455677771341</v>
      </c>
      <c r="L108" s="8">
        <f>AVERAGE(Table14[[#This Row],[Bulk GFP fluorescence, replicate 1]:[Bulk GFP fluorescence, replicate 3]])</f>
        <v>0.99563974242358722</v>
      </c>
      <c r="M108" s="17">
        <f>STDEV(Table14[[#This Row],[Bulk GFP fluorescence, replicate 1]:[Bulk GFP fluorescence, replicate 3]])</f>
        <v>3.4571994969562252E-2</v>
      </c>
      <c r="N108" s="17"/>
      <c r="O108" s="17"/>
      <c r="W108" s="39"/>
      <c r="X108" s="39"/>
      <c r="Y108" s="39"/>
      <c r="Z108" s="39"/>
    </row>
    <row r="109" spans="1:26" x14ac:dyDescent="0.25">
      <c r="A109" s="1" t="s">
        <v>950</v>
      </c>
      <c r="B109" s="2" t="s">
        <v>42</v>
      </c>
      <c r="C109" s="2">
        <v>1.2333333333333333E-2</v>
      </c>
      <c r="D109" s="8">
        <v>0.96358027891544396</v>
      </c>
      <c r="E109" s="8">
        <v>0.92994521689967191</v>
      </c>
      <c r="F109" s="8">
        <v>0.9141966064164726</v>
      </c>
      <c r="G109" s="8">
        <f>AVERAGE(Table14[[#This Row],[Bulk resorufin fluorescence, replicate 1]:[Bulk resorufin fluorescence, replicate 3]])</f>
        <v>0.93590736741052949</v>
      </c>
      <c r="H109" s="17">
        <f>STDEV(Table14[[#This Row],[Bulk resorufin fluorescence, replicate 1]:[Bulk resorufin fluorescence, replicate 3]])</f>
        <v>2.5225923301377975E-2</v>
      </c>
      <c r="I109" s="8">
        <v>1.1377592755166792</v>
      </c>
      <c r="J109" s="8">
        <v>0.96441010472349986</v>
      </c>
      <c r="K109" s="8">
        <v>0.85434099959651244</v>
      </c>
      <c r="L109" s="8">
        <f>AVERAGE(Table14[[#This Row],[Bulk GFP fluorescence, replicate 1]:[Bulk GFP fluorescence, replicate 3]])</f>
        <v>0.98550345994556376</v>
      </c>
      <c r="M109" s="17">
        <f>STDEV(Table14[[#This Row],[Bulk GFP fluorescence, replicate 1]:[Bulk GFP fluorescence, replicate 3]])</f>
        <v>0.14288168884529379</v>
      </c>
      <c r="N109" s="17"/>
      <c r="O109" s="17"/>
      <c r="W109" s="39"/>
      <c r="X109" s="39"/>
      <c r="Y109" s="39"/>
      <c r="Z109" s="39"/>
    </row>
    <row r="110" spans="1:26" x14ac:dyDescent="0.25">
      <c r="A110" s="1" t="s">
        <v>950</v>
      </c>
      <c r="B110" s="2" t="s">
        <v>42</v>
      </c>
      <c r="C110" s="2">
        <v>3.7500000000000003E-3</v>
      </c>
      <c r="D110" s="8">
        <v>0.96592941572917201</v>
      </c>
      <c r="E110" s="8">
        <v>0.93779922518258707</v>
      </c>
      <c r="F110" s="8">
        <v>0.90966177844338014</v>
      </c>
      <c r="G110" s="8">
        <f>AVERAGE(Table14[[#This Row],[Bulk resorufin fluorescence, replicate 1]:[Bulk resorufin fluorescence, replicate 3]])</f>
        <v>0.93779680645171304</v>
      </c>
      <c r="H110" s="17">
        <f>STDEV(Table14[[#This Row],[Bulk resorufin fluorescence, replicate 1]:[Bulk resorufin fluorescence, replicate 3]])</f>
        <v>2.8133818720874941E-2</v>
      </c>
      <c r="I110" s="8">
        <v>1.0753890185669441</v>
      </c>
      <c r="J110" s="8">
        <v>0.91443802510184313</v>
      </c>
      <c r="K110" s="8">
        <v>0.99405294458186411</v>
      </c>
      <c r="L110" s="8">
        <f>AVERAGE(Table14[[#This Row],[Bulk GFP fluorescence, replicate 1]:[Bulk GFP fluorescence, replicate 3]])</f>
        <v>0.99462666275021716</v>
      </c>
      <c r="M110" s="17">
        <f>STDEV(Table14[[#This Row],[Bulk GFP fluorescence, replicate 1]:[Bulk GFP fluorescence, replicate 3]])</f>
        <v>8.0477030504071595E-2</v>
      </c>
      <c r="N110" s="17"/>
      <c r="O110" s="17"/>
      <c r="W110" s="39"/>
      <c r="X110" s="39"/>
      <c r="Y110" s="39"/>
      <c r="Z110" s="39"/>
    </row>
    <row r="111" spans="1:26" x14ac:dyDescent="0.25">
      <c r="A111" s="1" t="s">
        <v>950</v>
      </c>
      <c r="B111" s="2" t="s">
        <v>42</v>
      </c>
      <c r="C111" s="2">
        <v>1.25E-3</v>
      </c>
      <c r="D111" s="8">
        <v>1.0331957333195085</v>
      </c>
      <c r="E111" s="8">
        <v>0.91759325706466188</v>
      </c>
      <c r="F111" s="8">
        <v>0.87492771459497931</v>
      </c>
      <c r="G111" s="8">
        <f>AVERAGE(Table14[[#This Row],[Bulk resorufin fluorescence, replicate 1]:[Bulk resorufin fluorescence, replicate 3]])</f>
        <v>0.94190556832638317</v>
      </c>
      <c r="H111" s="17">
        <f>STDEV(Table14[[#This Row],[Bulk resorufin fluorescence, replicate 1]:[Bulk resorufin fluorescence, replicate 3]])</f>
        <v>8.1887165031597597E-2</v>
      </c>
      <c r="I111" s="8">
        <v>1.0303895894831618</v>
      </c>
      <c r="J111" s="8">
        <v>1.0064526006188608</v>
      </c>
      <c r="K111" s="8">
        <v>1.0504359419679665</v>
      </c>
      <c r="L111" s="8">
        <f>AVERAGE(Table14[[#This Row],[Bulk GFP fluorescence, replicate 1]:[Bulk GFP fluorescence, replicate 3]])</f>
        <v>1.0290927106899963</v>
      </c>
      <c r="M111" s="17">
        <f>STDEV(Table14[[#This Row],[Bulk GFP fluorescence, replicate 1]:[Bulk GFP fluorescence, replicate 3]])</f>
        <v>2.2020331514559691E-2</v>
      </c>
      <c r="N111" s="17"/>
      <c r="O111" s="17"/>
      <c r="W111" s="39"/>
      <c r="X111" s="39"/>
      <c r="Y111" s="39"/>
      <c r="Z111" s="39"/>
    </row>
    <row r="112" spans="1:26" ht="15.75" thickBot="1" x14ac:dyDescent="0.3">
      <c r="A112" s="10" t="s">
        <v>950</v>
      </c>
      <c r="B112" s="11" t="s">
        <v>42</v>
      </c>
      <c r="C112" s="11">
        <v>4.1666666666666669E-4</v>
      </c>
      <c r="D112" s="12">
        <v>0.99988659339519925</v>
      </c>
      <c r="E112" s="12">
        <v>0.94561145682569947</v>
      </c>
      <c r="F112" s="12">
        <v>0.89714466471928556</v>
      </c>
      <c r="G112" s="12">
        <f>AVERAGE(Table14[[#This Row],[Bulk resorufin fluorescence, replicate 1]:[Bulk resorufin fluorescence, replicate 3]])</f>
        <v>0.94754757164672798</v>
      </c>
      <c r="H112" s="25">
        <f>STDEV(Table14[[#This Row],[Bulk resorufin fluorescence, replicate 1]:[Bulk resorufin fluorescence, replicate 3]])</f>
        <v>5.139832081363932E-2</v>
      </c>
      <c r="I112" s="12">
        <v>1.0530016154121173</v>
      </c>
      <c r="J112" s="12">
        <v>0.98509768206883619</v>
      </c>
      <c r="K112" s="12">
        <v>1.1658333771906741</v>
      </c>
      <c r="L112" s="12">
        <f>AVERAGE(Table14[[#This Row],[Bulk GFP fluorescence, replicate 1]:[Bulk GFP fluorescence, replicate 3]])</f>
        <v>1.067977558223876</v>
      </c>
      <c r="M112" s="25">
        <f>STDEV(Table14[[#This Row],[Bulk GFP fluorescence, replicate 1]:[Bulk GFP fluorescence, replicate 3]])</f>
        <v>9.1293795080056167E-2</v>
      </c>
      <c r="N112" s="25"/>
      <c r="O112" s="25"/>
      <c r="P112" s="25"/>
      <c r="Q112" s="25"/>
      <c r="W112" s="39"/>
      <c r="X112" s="39"/>
      <c r="Y112" s="39"/>
      <c r="Z112" s="39"/>
    </row>
    <row r="113" spans="1:26" x14ac:dyDescent="0.25">
      <c r="A113" s="1" t="s">
        <v>952</v>
      </c>
      <c r="B113" s="2" t="s">
        <v>43</v>
      </c>
      <c r="C113" s="2">
        <v>30</v>
      </c>
      <c r="D113" s="8">
        <v>1.0077162329248914</v>
      </c>
      <c r="E113" s="8">
        <v>1.0770706205503942</v>
      </c>
      <c r="F113" s="8">
        <v>0.94387995739295327</v>
      </c>
      <c r="G113" s="8">
        <f>AVERAGE(Table14[[#This Row],[Bulk resorufin fluorescence, replicate 1]:[Bulk resorufin fluorescence, replicate 3]])</f>
        <v>1.0095556036227462</v>
      </c>
      <c r="H113" s="17">
        <f>STDEV(Table14[[#This Row],[Bulk resorufin fluorescence, replicate 1]:[Bulk resorufin fluorescence, replicate 3]])</f>
        <v>6.661438021555717E-2</v>
      </c>
      <c r="I113" s="8">
        <v>9.8491355863674912E-2</v>
      </c>
      <c r="J113" s="8">
        <v>9.5496469179257665E-2</v>
      </c>
      <c r="K113" s="8">
        <v>9.2602334824401653E-2</v>
      </c>
      <c r="L113" s="8">
        <f>AVERAGE(Table14[[#This Row],[Bulk GFP fluorescence, replicate 1]:[Bulk GFP fluorescence, replicate 3]])</f>
        <v>9.5530053289111405E-2</v>
      </c>
      <c r="M113" s="17">
        <f>STDEV(Table14[[#This Row],[Bulk GFP fluorescence, replicate 1]:[Bulk GFP fluorescence, replicate 3]])</f>
        <v>2.9446541595876375E-3</v>
      </c>
      <c r="N113" s="17">
        <v>3.9286666666666665</v>
      </c>
      <c r="O113" s="17">
        <v>1.8288729066666667</v>
      </c>
      <c r="P113" s="17">
        <v>12.943333333333333</v>
      </c>
      <c r="Q113" s="17">
        <v>6.0253805333333332</v>
      </c>
      <c r="W113" s="39"/>
      <c r="X113" s="39"/>
      <c r="Y113" s="39"/>
      <c r="Z113" s="39"/>
    </row>
    <row r="114" spans="1:26" x14ac:dyDescent="0.25">
      <c r="A114" s="1" t="s">
        <v>952</v>
      </c>
      <c r="B114" s="2" t="s">
        <v>43</v>
      </c>
      <c r="C114" s="2">
        <v>10</v>
      </c>
      <c r="D114" s="8">
        <v>0.94611258661040609</v>
      </c>
      <c r="E114" s="8">
        <v>0.97083044969565235</v>
      </c>
      <c r="F114" s="8">
        <v>0.868118190059465</v>
      </c>
      <c r="G114" s="8">
        <f>AVERAGE(Table14[[#This Row],[Bulk resorufin fluorescence, replicate 1]:[Bulk resorufin fluorescence, replicate 3]])</f>
        <v>0.92835374212184119</v>
      </c>
      <c r="H114" s="17">
        <f>STDEV(Table14[[#This Row],[Bulk resorufin fluorescence, replicate 1]:[Bulk resorufin fluorescence, replicate 3]])</f>
        <v>5.3609555939866403E-2</v>
      </c>
      <c r="I114" s="8">
        <v>0.21787088110598185</v>
      </c>
      <c r="J114" s="8">
        <v>0.311216106676793</v>
      </c>
      <c r="K114" s="8">
        <v>0.2130838961583959</v>
      </c>
      <c r="L114" s="8">
        <f>AVERAGE(Table14[[#This Row],[Bulk GFP fluorescence, replicate 1]:[Bulk GFP fluorescence, replicate 3]])</f>
        <v>0.24739029464705689</v>
      </c>
      <c r="M114" s="17">
        <f>STDEV(Table14[[#This Row],[Bulk GFP fluorescence, replicate 1]:[Bulk GFP fluorescence, replicate 3]])</f>
        <v>5.5326571529090013E-2</v>
      </c>
      <c r="N114" s="17"/>
      <c r="O114" s="17"/>
      <c r="W114" s="39"/>
      <c r="X114" s="39"/>
      <c r="Y114" s="39"/>
      <c r="Z114" s="39"/>
    </row>
    <row r="115" spans="1:26" x14ac:dyDescent="0.25">
      <c r="A115" s="1" t="s">
        <v>952</v>
      </c>
      <c r="B115" s="2" t="s">
        <v>43</v>
      </c>
      <c r="C115" s="2">
        <v>2.9999999999999996</v>
      </c>
      <c r="D115" s="8">
        <v>0.92934998686856851</v>
      </c>
      <c r="E115" s="8">
        <v>0.99474302834462958</v>
      </c>
      <c r="F115" s="8">
        <v>0.92487857649439031</v>
      </c>
      <c r="G115" s="8">
        <f>AVERAGE(Table14[[#This Row],[Bulk resorufin fluorescence, replicate 1]:[Bulk resorufin fluorescence, replicate 3]])</f>
        <v>0.94965719723586284</v>
      </c>
      <c r="H115" s="17">
        <f>STDEV(Table14[[#This Row],[Bulk resorufin fluorescence, replicate 1]:[Bulk resorufin fluorescence, replicate 3]])</f>
        <v>3.9109429844473041E-2</v>
      </c>
      <c r="I115" s="8">
        <v>0.58055601111307764</v>
      </c>
      <c r="J115" s="8">
        <v>0.5614406624944317</v>
      </c>
      <c r="K115" s="8">
        <v>0.49497790765918503</v>
      </c>
      <c r="L115" s="8">
        <f>AVERAGE(Table14[[#This Row],[Bulk GFP fluorescence, replicate 1]:[Bulk GFP fluorescence, replicate 3]])</f>
        <v>0.54565819375556479</v>
      </c>
      <c r="M115" s="17">
        <f>STDEV(Table14[[#This Row],[Bulk GFP fluorescence, replicate 1]:[Bulk GFP fluorescence, replicate 3]])</f>
        <v>4.4919012537134755E-2</v>
      </c>
      <c r="N115" s="17"/>
      <c r="O115" s="17"/>
      <c r="W115" s="39"/>
      <c r="X115" s="39"/>
      <c r="Y115" s="39"/>
      <c r="Z115" s="39"/>
    </row>
    <row r="116" spans="1:26" x14ac:dyDescent="0.25">
      <c r="A116" s="1" t="s">
        <v>952</v>
      </c>
      <c r="B116" s="2" t="s">
        <v>43</v>
      </c>
      <c r="C116" s="2">
        <v>1</v>
      </c>
      <c r="D116" s="8">
        <v>0.97272011895474764</v>
      </c>
      <c r="E116" s="8">
        <v>0.97498035752468115</v>
      </c>
      <c r="F116" s="8">
        <v>0.91163448632624111</v>
      </c>
      <c r="G116" s="8">
        <f>AVERAGE(Table14[[#This Row],[Bulk resorufin fluorescence, replicate 1]:[Bulk resorufin fluorescence, replicate 3]])</f>
        <v>0.9531116542685566</v>
      </c>
      <c r="H116" s="17">
        <f>STDEV(Table14[[#This Row],[Bulk resorufin fluorescence, replicate 1]:[Bulk resorufin fluorescence, replicate 3]])</f>
        <v>3.5938054552027976E-2</v>
      </c>
      <c r="I116" s="8">
        <v>0.95285385588397187</v>
      </c>
      <c r="J116" s="8">
        <v>0.89524379824298761</v>
      </c>
      <c r="K116" s="8">
        <v>0.79295842747539136</v>
      </c>
      <c r="L116" s="8">
        <f>AVERAGE(Table14[[#This Row],[Bulk GFP fluorescence, replicate 1]:[Bulk GFP fluorescence, replicate 3]])</f>
        <v>0.88035202720078354</v>
      </c>
      <c r="M116" s="17">
        <f>STDEV(Table14[[#This Row],[Bulk GFP fluorescence, replicate 1]:[Bulk GFP fluorescence, replicate 3]])</f>
        <v>8.0981236345655669E-2</v>
      </c>
      <c r="N116" s="17"/>
      <c r="O116" s="17"/>
      <c r="W116" s="39"/>
      <c r="X116" s="39"/>
      <c r="Y116" s="39"/>
      <c r="Z116" s="39"/>
    </row>
    <row r="117" spans="1:26" x14ac:dyDescent="0.25">
      <c r="A117" s="1" t="s">
        <v>952</v>
      </c>
      <c r="B117" s="2" t="s">
        <v>43</v>
      </c>
      <c r="C117" s="2">
        <v>0.33300000000000002</v>
      </c>
      <c r="D117" s="8">
        <v>0.86722205420247045</v>
      </c>
      <c r="E117" s="8">
        <v>0.97296866440024343</v>
      </c>
      <c r="F117" s="8">
        <v>0.99509198703526236</v>
      </c>
      <c r="G117" s="8">
        <f>AVERAGE(Table14[[#This Row],[Bulk resorufin fluorescence, replicate 1]:[Bulk resorufin fluorescence, replicate 3]])</f>
        <v>0.94509423521265878</v>
      </c>
      <c r="H117" s="17">
        <f>STDEV(Table14[[#This Row],[Bulk resorufin fluorescence, replicate 1]:[Bulk resorufin fluorescence, replicate 3]])</f>
        <v>6.8340454948485188E-2</v>
      </c>
      <c r="I117" s="8">
        <v>1.1069170952064704</v>
      </c>
      <c r="J117" s="8">
        <v>0.96542205539773773</v>
      </c>
      <c r="K117" s="8">
        <v>0.93840600644068539</v>
      </c>
      <c r="L117" s="8">
        <f>AVERAGE(Table14[[#This Row],[Bulk GFP fluorescence, replicate 1]:[Bulk GFP fluorescence, replicate 3]])</f>
        <v>1.0035817190149645</v>
      </c>
      <c r="M117" s="17">
        <f>STDEV(Table14[[#This Row],[Bulk GFP fluorescence, replicate 1]:[Bulk GFP fluorescence, replicate 3]])</f>
        <v>9.0504788297595035E-2</v>
      </c>
      <c r="N117" s="17"/>
      <c r="O117" s="17"/>
      <c r="W117" s="39"/>
      <c r="X117" s="39"/>
      <c r="Y117" s="39"/>
      <c r="Z117" s="39"/>
    </row>
    <row r="118" spans="1:26" x14ac:dyDescent="0.25">
      <c r="A118" s="1" t="s">
        <v>952</v>
      </c>
      <c r="B118" s="2" t="s">
        <v>43</v>
      </c>
      <c r="C118" s="2">
        <v>0.11099999999999999</v>
      </c>
      <c r="D118" s="8">
        <v>0.88041659405138861</v>
      </c>
      <c r="E118" s="8">
        <v>1.0008287163500043</v>
      </c>
      <c r="F118" s="8">
        <v>0.87905239947085556</v>
      </c>
      <c r="G118" s="8">
        <f>AVERAGE(Table14[[#This Row],[Bulk resorufin fluorescence, replicate 1]:[Bulk resorufin fluorescence, replicate 3]])</f>
        <v>0.92009923662408288</v>
      </c>
      <c r="H118" s="17">
        <f>STDEV(Table14[[#This Row],[Bulk resorufin fluorescence, replicate 1]:[Bulk resorufin fluorescence, replicate 3]])</f>
        <v>6.9917107558356992E-2</v>
      </c>
      <c r="I118" s="8">
        <v>1.1245187553482903</v>
      </c>
      <c r="J118" s="8">
        <v>0.98590592754332285</v>
      </c>
      <c r="K118" s="8">
        <v>1.0576103780785595</v>
      </c>
      <c r="L118" s="8">
        <f>AVERAGE(Table14[[#This Row],[Bulk GFP fluorescence, replicate 1]:[Bulk GFP fluorescence, replicate 3]])</f>
        <v>1.0560116869900575</v>
      </c>
      <c r="M118" s="17">
        <f>STDEV(Table14[[#This Row],[Bulk GFP fluorescence, replicate 1]:[Bulk GFP fluorescence, replicate 3]])</f>
        <v>6.9320241401193403E-2</v>
      </c>
      <c r="N118" s="17"/>
      <c r="O118" s="17"/>
      <c r="W118" s="39"/>
      <c r="X118" s="39"/>
      <c r="Y118" s="39"/>
      <c r="Z118" s="39"/>
    </row>
    <row r="119" spans="1:26" x14ac:dyDescent="0.25">
      <c r="A119" s="1" t="s">
        <v>952</v>
      </c>
      <c r="B119" s="2" t="s">
        <v>43</v>
      </c>
      <c r="C119" s="2">
        <v>3.6999999999999998E-2</v>
      </c>
      <c r="D119" s="8">
        <v>0.96760832702652444</v>
      </c>
      <c r="E119" s="8">
        <v>0.9574191621994006</v>
      </c>
      <c r="F119" s="8">
        <v>0.8407478442080224</v>
      </c>
      <c r="G119" s="8">
        <f>AVERAGE(Table14[[#This Row],[Bulk resorufin fluorescence, replicate 1]:[Bulk resorufin fluorescence, replicate 3]])</f>
        <v>0.92192511114464926</v>
      </c>
      <c r="H119" s="17">
        <f>STDEV(Table14[[#This Row],[Bulk resorufin fluorescence, replicate 1]:[Bulk resorufin fluorescence, replicate 3]])</f>
        <v>7.0485929591967783E-2</v>
      </c>
      <c r="I119" s="8">
        <v>1.0220913824934927</v>
      </c>
      <c r="J119" s="8">
        <v>0.98868092626536297</v>
      </c>
      <c r="K119" s="8">
        <v>0.92633352288450266</v>
      </c>
      <c r="L119" s="8">
        <f>AVERAGE(Table14[[#This Row],[Bulk GFP fluorescence, replicate 1]:[Bulk GFP fluorescence, replicate 3]])</f>
        <v>0.97903527721445283</v>
      </c>
      <c r="M119" s="17">
        <f>STDEV(Table14[[#This Row],[Bulk GFP fluorescence, replicate 1]:[Bulk GFP fluorescence, replicate 3]])</f>
        <v>4.8602168968408771E-2</v>
      </c>
      <c r="N119" s="17"/>
      <c r="O119" s="17"/>
      <c r="W119" s="39"/>
      <c r="X119" s="39"/>
      <c r="Y119" s="39"/>
      <c r="Z119" s="39"/>
    </row>
    <row r="120" spans="1:26" x14ac:dyDescent="0.25">
      <c r="A120" s="1" t="s">
        <v>952</v>
      </c>
      <c r="B120" s="2" t="s">
        <v>43</v>
      </c>
      <c r="C120" s="2">
        <v>1.2333333333333333E-2</v>
      </c>
      <c r="D120" s="8">
        <v>1.0594895101466399</v>
      </c>
      <c r="E120" s="8">
        <v>1.0165300444470311</v>
      </c>
      <c r="F120" s="8">
        <v>0.93920215867449219</v>
      </c>
      <c r="G120" s="8">
        <f>AVERAGE(Table14[[#This Row],[Bulk resorufin fluorescence, replicate 1]:[Bulk resorufin fluorescence, replicate 3]])</f>
        <v>1.005073904422721</v>
      </c>
      <c r="H120" s="17">
        <f>STDEV(Table14[[#This Row],[Bulk resorufin fluorescence, replicate 1]:[Bulk resorufin fluorescence, replicate 3]])</f>
        <v>6.0956493413240644E-2</v>
      </c>
      <c r="I120" s="8">
        <v>1.2060319785142835</v>
      </c>
      <c r="J120" s="8">
        <v>1.0083615093071996</v>
      </c>
      <c r="K120" s="8">
        <v>0.89333945573473383</v>
      </c>
      <c r="L120" s="8">
        <f>AVERAGE(Table14[[#This Row],[Bulk GFP fluorescence, replicate 1]:[Bulk GFP fluorescence, replicate 3]])</f>
        <v>1.0359109811854055</v>
      </c>
      <c r="M120" s="17">
        <f>STDEV(Table14[[#This Row],[Bulk GFP fluorescence, replicate 1]:[Bulk GFP fluorescence, replicate 3]])</f>
        <v>0.15815619969238048</v>
      </c>
      <c r="N120" s="17"/>
      <c r="O120" s="17"/>
      <c r="W120" s="39"/>
      <c r="X120" s="39"/>
      <c r="Y120" s="39"/>
      <c r="Z120" s="39"/>
    </row>
    <row r="121" spans="1:26" x14ac:dyDescent="0.25">
      <c r="A121" s="1" t="s">
        <v>952</v>
      </c>
      <c r="B121" s="2" t="s">
        <v>43</v>
      </c>
      <c r="C121" s="2">
        <v>3.7500000000000003E-3</v>
      </c>
      <c r="D121" s="8">
        <v>0.91516512835549313</v>
      </c>
      <c r="E121" s="8">
        <v>0.94113583483366847</v>
      </c>
      <c r="F121" s="8">
        <v>0.88530881016378493</v>
      </c>
      <c r="G121" s="8">
        <f>AVERAGE(Table14[[#This Row],[Bulk resorufin fluorescence, replicate 1]:[Bulk resorufin fluorescence, replicate 3]])</f>
        <v>0.91386992445098214</v>
      </c>
      <c r="H121" s="17">
        <f>STDEV(Table14[[#This Row],[Bulk resorufin fluorescence, replicate 1]:[Bulk resorufin fluorescence, replicate 3]])</f>
        <v>2.7936040086931464E-2</v>
      </c>
      <c r="I121" s="8">
        <v>1.0876267149034424</v>
      </c>
      <c r="J121" s="8">
        <v>0.96943850091647987</v>
      </c>
      <c r="K121" s="8">
        <v>0.94059547449117686</v>
      </c>
      <c r="L121" s="8">
        <f>AVERAGE(Table14[[#This Row],[Bulk GFP fluorescence, replicate 1]:[Bulk GFP fluorescence, replicate 3]])</f>
        <v>0.99922023010369987</v>
      </c>
      <c r="M121" s="17">
        <f>STDEV(Table14[[#This Row],[Bulk GFP fluorescence, replicate 1]:[Bulk GFP fluorescence, replicate 3]])</f>
        <v>7.7908664212191669E-2</v>
      </c>
      <c r="N121" s="17"/>
      <c r="O121" s="17"/>
      <c r="W121" s="39"/>
      <c r="X121" s="39"/>
      <c r="Y121" s="39"/>
      <c r="Z121" s="39"/>
    </row>
    <row r="122" spans="1:26" x14ac:dyDescent="0.25">
      <c r="A122" s="1" t="s">
        <v>952</v>
      </c>
      <c r="B122" s="2" t="s">
        <v>43</v>
      </c>
      <c r="C122" s="2">
        <v>1.25E-3</v>
      </c>
      <c r="D122" s="8">
        <v>1.0158863619041885</v>
      </c>
      <c r="E122" s="8">
        <v>0.92163885933204193</v>
      </c>
      <c r="F122" s="8">
        <v>0.94429782526854789</v>
      </c>
      <c r="G122" s="8">
        <f>AVERAGE(Table14[[#This Row],[Bulk resorufin fluorescence, replicate 1]:[Bulk resorufin fluorescence, replicate 3]])</f>
        <v>0.96060768216825954</v>
      </c>
      <c r="H122" s="17">
        <f>STDEV(Table14[[#This Row],[Bulk resorufin fluorescence, replicate 1]:[Bulk resorufin fluorescence, replicate 3]])</f>
        <v>4.9195086231639977E-2</v>
      </c>
      <c r="I122" s="8">
        <v>1.0536574593529928</v>
      </c>
      <c r="J122" s="8">
        <v>1.044947676668833</v>
      </c>
      <c r="K122" s="8">
        <v>1.0441390677123406</v>
      </c>
      <c r="L122" s="8">
        <f>AVERAGE(Table14[[#This Row],[Bulk GFP fluorescence, replicate 1]:[Bulk GFP fluorescence, replicate 3]])</f>
        <v>1.0475814012447222</v>
      </c>
      <c r="M122" s="17">
        <f>STDEV(Table14[[#This Row],[Bulk GFP fluorescence, replicate 1]:[Bulk GFP fluorescence, replicate 3]])</f>
        <v>5.2775300768864797E-3</v>
      </c>
      <c r="N122" s="17"/>
      <c r="O122" s="17"/>
      <c r="W122" s="39"/>
      <c r="X122" s="39"/>
      <c r="Y122" s="39"/>
      <c r="Z122" s="39"/>
    </row>
    <row r="123" spans="1:26" ht="15.75" thickBot="1" x14ac:dyDescent="0.3">
      <c r="A123" s="10" t="s">
        <v>952</v>
      </c>
      <c r="B123" s="11" t="s">
        <v>43</v>
      </c>
      <c r="C123" s="11">
        <v>4.1666666666666669E-4</v>
      </c>
      <c r="D123" s="12">
        <v>1.0405132569202156</v>
      </c>
      <c r="E123" s="12">
        <v>1.052550738316681</v>
      </c>
      <c r="F123" s="12">
        <v>1.0330251041864558</v>
      </c>
      <c r="G123" s="12">
        <f>AVERAGE(Table14[[#This Row],[Bulk resorufin fluorescence, replicate 1]:[Bulk resorufin fluorescence, replicate 3]])</f>
        <v>1.042029699807784</v>
      </c>
      <c r="H123" s="25">
        <f>STDEV(Table14[[#This Row],[Bulk resorufin fluorescence, replicate 1]:[Bulk resorufin fluorescence, replicate 3]])</f>
        <v>9.8507510536150009E-3</v>
      </c>
      <c r="I123" s="12">
        <v>1.0971095281163787</v>
      </c>
      <c r="J123" s="12">
        <v>1.0401644551874218</v>
      </c>
      <c r="K123" s="12">
        <v>0.96337202407198497</v>
      </c>
      <c r="L123" s="12">
        <f>AVERAGE(Table14[[#This Row],[Bulk GFP fluorescence, replicate 1]:[Bulk GFP fluorescence, replicate 3]])</f>
        <v>1.0335486691252618</v>
      </c>
      <c r="M123" s="25">
        <f>STDEV(Table14[[#This Row],[Bulk GFP fluorescence, replicate 1]:[Bulk GFP fluorescence, replicate 3]])</f>
        <v>6.7113757650136552E-2</v>
      </c>
      <c r="N123" s="25"/>
      <c r="O123" s="25"/>
      <c r="P123" s="25"/>
      <c r="Q123" s="25"/>
      <c r="W123" s="39"/>
      <c r="X123" s="39"/>
      <c r="Y123" s="39"/>
      <c r="Z123" s="39"/>
    </row>
    <row r="124" spans="1:26" x14ac:dyDescent="0.25">
      <c r="A124" s="1" t="s">
        <v>954</v>
      </c>
      <c r="B124" s="2" t="s">
        <v>44</v>
      </c>
      <c r="C124" s="2">
        <v>30</v>
      </c>
      <c r="D124" s="8">
        <v>0.99018222821297108</v>
      </c>
      <c r="E124" s="8">
        <v>1.2263922529399149</v>
      </c>
      <c r="F124" s="8">
        <v>1.0455089139643046</v>
      </c>
      <c r="G124" s="8">
        <f>AVERAGE(Table14[[#This Row],[Bulk resorufin fluorescence, replicate 1]:[Bulk resorufin fluorescence, replicate 3]])</f>
        <v>1.0873611317057301</v>
      </c>
      <c r="H124" s="17">
        <f>STDEV(Table14[[#This Row],[Bulk resorufin fluorescence, replicate 1]:[Bulk resorufin fluorescence, replicate 3]])</f>
        <v>0.12354149117920923</v>
      </c>
      <c r="I124" s="8">
        <v>1.5736344291220762E-2</v>
      </c>
      <c r="J124" s="8">
        <v>8.8465890522675311E-2</v>
      </c>
      <c r="K124" s="8">
        <v>7.2101468343771374E-2</v>
      </c>
      <c r="L124" s="8">
        <f>AVERAGE(Table14[[#This Row],[Bulk GFP fluorescence, replicate 1]:[Bulk GFP fluorescence, replicate 3]])</f>
        <v>5.8767901052555811E-2</v>
      </c>
      <c r="M124" s="17">
        <f>STDEV(Table14[[#This Row],[Bulk GFP fluorescence, replicate 1]:[Bulk GFP fluorescence, replicate 3]])</f>
        <v>3.8154091999290873E-2</v>
      </c>
      <c r="N124" s="17">
        <v>5.4289999999999994</v>
      </c>
      <c r="O124" s="17">
        <v>2.2554237599999993</v>
      </c>
      <c r="P124" s="17">
        <v>16.225000000000001</v>
      </c>
      <c r="Q124" s="17">
        <v>6.7405140000000001</v>
      </c>
      <c r="W124" s="39"/>
      <c r="X124" s="39"/>
      <c r="Y124" s="39"/>
      <c r="Z124" s="39"/>
    </row>
    <row r="125" spans="1:26" x14ac:dyDescent="0.25">
      <c r="A125" s="1" t="s">
        <v>954</v>
      </c>
      <c r="B125" s="2" t="s">
        <v>44</v>
      </c>
      <c r="C125" s="2">
        <v>10</v>
      </c>
      <c r="D125" s="8">
        <v>0.98370185079579031</v>
      </c>
      <c r="E125" s="8">
        <v>1.049008640337481</v>
      </c>
      <c r="F125" s="8">
        <v>1.0129125210677976</v>
      </c>
      <c r="G125" s="8">
        <f>AVERAGE(Table14[[#This Row],[Bulk resorufin fluorescence, replicate 1]:[Bulk resorufin fluorescence, replicate 3]])</f>
        <v>1.0152076707336894</v>
      </c>
      <c r="H125" s="17">
        <f>STDEV(Table14[[#This Row],[Bulk resorufin fluorescence, replicate 1]:[Bulk resorufin fluorescence, replicate 3]])</f>
        <v>3.2713834597189954E-2</v>
      </c>
      <c r="I125" s="8">
        <v>0.25767317172910459</v>
      </c>
      <c r="J125" s="8">
        <v>0.32254563190833085</v>
      </c>
      <c r="K125" s="8">
        <v>0.29731768503412104</v>
      </c>
      <c r="L125" s="8">
        <f>AVERAGE(Table14[[#This Row],[Bulk GFP fluorescence, replicate 1]:[Bulk GFP fluorescence, replicate 3]])</f>
        <v>0.29251216289051879</v>
      </c>
      <c r="M125" s="17">
        <f>STDEV(Table14[[#This Row],[Bulk GFP fluorescence, replicate 1]:[Bulk GFP fluorescence, replicate 3]])</f>
        <v>3.2702122327622908E-2</v>
      </c>
      <c r="N125" s="17"/>
      <c r="O125" s="17"/>
      <c r="W125" s="39"/>
      <c r="X125" s="39"/>
      <c r="Y125" s="39"/>
      <c r="Z125" s="39"/>
    </row>
    <row r="126" spans="1:26" x14ac:dyDescent="0.25">
      <c r="A126" s="1" t="s">
        <v>954</v>
      </c>
      <c r="B126" s="2" t="s">
        <v>44</v>
      </c>
      <c r="C126" s="2">
        <v>2.9999999999999996</v>
      </c>
      <c r="D126" s="8">
        <v>0.93399735600601375</v>
      </c>
      <c r="E126" s="8">
        <v>1.1938343249869794</v>
      </c>
      <c r="F126" s="8">
        <v>0.96615560267493072</v>
      </c>
      <c r="G126" s="8">
        <f>AVERAGE(Table14[[#This Row],[Bulk resorufin fluorescence, replicate 1]:[Bulk resorufin fluorescence, replicate 3]])</f>
        <v>1.0313290945559748</v>
      </c>
      <c r="H126" s="17">
        <f>STDEV(Table14[[#This Row],[Bulk resorufin fluorescence, replicate 1]:[Bulk resorufin fluorescence, replicate 3]])</f>
        <v>0.14164921688904594</v>
      </c>
      <c r="I126" s="8">
        <v>0.8457792822470106</v>
      </c>
      <c r="J126" s="8">
        <v>0.62861971267035599</v>
      </c>
      <c r="K126" s="8">
        <v>0.73231233443853827</v>
      </c>
      <c r="L126" s="8">
        <f>AVERAGE(Table14[[#This Row],[Bulk GFP fluorescence, replicate 1]:[Bulk GFP fluorescence, replicate 3]])</f>
        <v>0.73557044311863484</v>
      </c>
      <c r="M126" s="17">
        <f>STDEV(Table14[[#This Row],[Bulk GFP fluorescence, replicate 1]:[Bulk GFP fluorescence, replicate 3]])</f>
        <v>0.10861644037072837</v>
      </c>
      <c r="N126" s="17"/>
      <c r="O126" s="17"/>
      <c r="W126" s="39"/>
      <c r="X126" s="39"/>
      <c r="Y126" s="39"/>
      <c r="Z126" s="39"/>
    </row>
    <row r="127" spans="1:26" x14ac:dyDescent="0.25">
      <c r="A127" s="1" t="s">
        <v>954</v>
      </c>
      <c r="B127" s="2" t="s">
        <v>44</v>
      </c>
      <c r="C127" s="2">
        <v>1</v>
      </c>
      <c r="D127" s="8">
        <v>0.92712815594380205</v>
      </c>
      <c r="E127" s="8">
        <v>1.0478667455162061</v>
      </c>
      <c r="F127" s="8">
        <v>0.96952892157589599</v>
      </c>
      <c r="G127" s="8">
        <f>AVERAGE(Table14[[#This Row],[Bulk resorufin fluorescence, replicate 1]:[Bulk resorufin fluorescence, replicate 3]])</f>
        <v>0.98150794101196803</v>
      </c>
      <c r="H127" s="17">
        <f>STDEV(Table14[[#This Row],[Bulk resorufin fluorescence, replicate 1]:[Bulk resorufin fluorescence, replicate 3]])</f>
        <v>6.1254178902101858E-2</v>
      </c>
      <c r="I127" s="8">
        <v>1.0565311887073934</v>
      </c>
      <c r="J127" s="8">
        <v>0.8199896169559624</v>
      </c>
      <c r="K127" s="8">
        <v>0.84065750925389893</v>
      </c>
      <c r="L127" s="8">
        <f>AVERAGE(Table14[[#This Row],[Bulk GFP fluorescence, replicate 1]:[Bulk GFP fluorescence, replicate 3]])</f>
        <v>0.90572610497241823</v>
      </c>
      <c r="M127" s="17">
        <f>STDEV(Table14[[#This Row],[Bulk GFP fluorescence, replicate 1]:[Bulk GFP fluorescence, replicate 3]])</f>
        <v>0.13100923785460503</v>
      </c>
      <c r="N127" s="17"/>
      <c r="O127" s="17"/>
      <c r="W127" s="39"/>
      <c r="X127" s="39"/>
      <c r="Y127" s="39"/>
      <c r="Z127" s="39"/>
    </row>
    <row r="128" spans="1:26" x14ac:dyDescent="0.25">
      <c r="A128" s="1" t="s">
        <v>954</v>
      </c>
      <c r="B128" s="2" t="s">
        <v>44</v>
      </c>
      <c r="C128" s="2">
        <v>0.33300000000000002</v>
      </c>
      <c r="D128" s="8">
        <v>0.86695785162527872</v>
      </c>
      <c r="E128" s="8">
        <v>0.97294730480329239</v>
      </c>
      <c r="F128" s="8">
        <v>0.91731043924813294</v>
      </c>
      <c r="G128" s="8">
        <f>AVERAGE(Table14[[#This Row],[Bulk resorufin fluorescence, replicate 1]:[Bulk resorufin fluorescence, replicate 3]])</f>
        <v>0.91907186522556794</v>
      </c>
      <c r="H128" s="17">
        <f>STDEV(Table14[[#This Row],[Bulk resorufin fluorescence, replicate 1]:[Bulk resorufin fluorescence, replicate 3]])</f>
        <v>5.3016676738070596E-2</v>
      </c>
      <c r="I128" s="8">
        <v>0.98216598132539712</v>
      </c>
      <c r="J128" s="8">
        <v>0.69507904558431122</v>
      </c>
      <c r="K128" s="8">
        <v>1.1095205515499185</v>
      </c>
      <c r="L128" s="8">
        <f>AVERAGE(Table14[[#This Row],[Bulk GFP fluorescence, replicate 1]:[Bulk GFP fluorescence, replicate 3]])</f>
        <v>0.92892185948654227</v>
      </c>
      <c r="M128" s="17">
        <f>STDEV(Table14[[#This Row],[Bulk GFP fluorescence, replicate 1]:[Bulk GFP fluorescence, replicate 3]])</f>
        <v>0.21228905494526371</v>
      </c>
      <c r="N128" s="17"/>
      <c r="O128" s="17"/>
      <c r="W128" s="39"/>
      <c r="X128" s="39"/>
      <c r="Y128" s="39"/>
      <c r="Z128" s="39"/>
    </row>
    <row r="129" spans="1:26" x14ac:dyDescent="0.25">
      <c r="A129" s="1" t="s">
        <v>954</v>
      </c>
      <c r="B129" s="2" t="s">
        <v>44</v>
      </c>
      <c r="C129" s="2">
        <v>0.11099999999999999</v>
      </c>
      <c r="D129" s="8">
        <v>0.96338586759292855</v>
      </c>
      <c r="E129" s="8">
        <v>0.9504157704030145</v>
      </c>
      <c r="F129" s="8">
        <v>0.9206837581490982</v>
      </c>
      <c r="G129" s="8">
        <f>AVERAGE(Table14[[#This Row],[Bulk resorufin fluorescence, replicate 1]:[Bulk resorufin fluorescence, replicate 3]])</f>
        <v>0.94482846538168042</v>
      </c>
      <c r="H129" s="17">
        <f>STDEV(Table14[[#This Row],[Bulk resorufin fluorescence, replicate 1]:[Bulk resorufin fluorescence, replicate 3]])</f>
        <v>2.1892487770677985E-2</v>
      </c>
      <c r="I129" s="8">
        <v>0.97095819039613485</v>
      </c>
      <c r="J129" s="8">
        <v>0.90709727185027211</v>
      </c>
      <c r="K129" s="8">
        <v>1.0788905847060679</v>
      </c>
      <c r="L129" s="8">
        <f>AVERAGE(Table14[[#This Row],[Bulk GFP fluorescence, replicate 1]:[Bulk GFP fluorescence, replicate 3]])</f>
        <v>0.9856486823174917</v>
      </c>
      <c r="M129" s="17">
        <f>STDEV(Table14[[#This Row],[Bulk GFP fluorescence, replicate 1]:[Bulk GFP fluorescence, replicate 3]])</f>
        <v>8.6833711772334829E-2</v>
      </c>
      <c r="N129" s="17"/>
      <c r="O129" s="17"/>
      <c r="W129" s="39"/>
      <c r="X129" s="39"/>
      <c r="Y129" s="39"/>
      <c r="Z129" s="39"/>
    </row>
    <row r="130" spans="1:26" x14ac:dyDescent="0.25">
      <c r="A130" s="1" t="s">
        <v>954</v>
      </c>
      <c r="B130" s="2" t="s">
        <v>44</v>
      </c>
      <c r="C130" s="2">
        <v>3.6999999999999998E-2</v>
      </c>
      <c r="D130" s="8">
        <v>0.83664588625641556</v>
      </c>
      <c r="E130" s="8">
        <v>0.93789670400879355</v>
      </c>
      <c r="F130" s="8">
        <v>0.89745357670655335</v>
      </c>
      <c r="G130" s="8">
        <f>AVERAGE(Table14[[#This Row],[Bulk resorufin fluorescence, replicate 1]:[Bulk resorufin fluorescence, replicate 3]])</f>
        <v>0.89066538899058745</v>
      </c>
      <c r="H130" s="17">
        <f>STDEV(Table14[[#This Row],[Bulk resorufin fluorescence, replicate 1]:[Bulk resorufin fluorescence, replicate 3]])</f>
        <v>5.0965592738942099E-2</v>
      </c>
      <c r="I130" s="8">
        <v>1.0590302231713504</v>
      </c>
      <c r="J130" s="8">
        <v>0.89025672027313885</v>
      </c>
      <c r="K130" s="8">
        <v>1.0061224847815029</v>
      </c>
      <c r="L130" s="8">
        <f>AVERAGE(Table14[[#This Row],[Bulk GFP fluorescence, replicate 1]:[Bulk GFP fluorescence, replicate 3]])</f>
        <v>0.98513647607533061</v>
      </c>
      <c r="M130" s="17">
        <f>STDEV(Table14[[#This Row],[Bulk GFP fluorescence, replicate 1]:[Bulk GFP fluorescence, replicate 3]])</f>
        <v>8.6321684652205494E-2</v>
      </c>
      <c r="N130" s="17"/>
      <c r="O130" s="17"/>
      <c r="W130" s="39"/>
      <c r="X130" s="39"/>
      <c r="Y130" s="39"/>
      <c r="Z130" s="39"/>
    </row>
    <row r="131" spans="1:26" x14ac:dyDescent="0.25">
      <c r="A131" s="1" t="s">
        <v>954</v>
      </c>
      <c r="B131" s="2" t="s">
        <v>44</v>
      </c>
      <c r="C131" s="2">
        <v>1.2333333333333333E-2</v>
      </c>
      <c r="D131" s="8">
        <v>0.93759396547254914</v>
      </c>
      <c r="E131" s="8">
        <v>0.93610030849727566</v>
      </c>
      <c r="F131" s="8">
        <v>0.89151011007151926</v>
      </c>
      <c r="G131" s="8">
        <f>AVERAGE(Table14[[#This Row],[Bulk resorufin fluorescence, replicate 1]:[Bulk resorufin fluorescence, replicate 3]])</f>
        <v>0.92173479468044806</v>
      </c>
      <c r="H131" s="17">
        <f>STDEV(Table14[[#This Row],[Bulk resorufin fluorescence, replicate 1]:[Bulk resorufin fluorescence, replicate 3]])</f>
        <v>2.6185996688532921E-2</v>
      </c>
      <c r="I131" s="8">
        <v>1.0032184534763084</v>
      </c>
      <c r="J131" s="8">
        <v>1.0155598452946066</v>
      </c>
      <c r="K131" s="8">
        <v>1.0759784572741786</v>
      </c>
      <c r="L131" s="8">
        <f>AVERAGE(Table14[[#This Row],[Bulk GFP fluorescence, replicate 1]:[Bulk GFP fluorescence, replicate 3]])</f>
        <v>1.0315855853483644</v>
      </c>
      <c r="M131" s="17">
        <f>STDEV(Table14[[#This Row],[Bulk GFP fluorescence, replicate 1]:[Bulk GFP fluorescence, replicate 3]])</f>
        <v>3.8937421542386275E-2</v>
      </c>
      <c r="N131" s="17"/>
      <c r="O131" s="17"/>
      <c r="W131" s="39"/>
      <c r="X131" s="39"/>
      <c r="Y131" s="39"/>
      <c r="Z131" s="39"/>
    </row>
    <row r="132" spans="1:26" x14ac:dyDescent="0.25">
      <c r="A132" s="1" t="s">
        <v>954</v>
      </c>
      <c r="B132" s="2" t="s">
        <v>44</v>
      </c>
      <c r="C132" s="2">
        <v>3.7500000000000003E-3</v>
      </c>
      <c r="D132" s="8">
        <v>0.88379063196640573</v>
      </c>
      <c r="E132" s="8">
        <v>0.95857614071114972</v>
      </c>
      <c r="F132" s="8">
        <v>0.92762809962288029</v>
      </c>
      <c r="G132" s="8">
        <f>AVERAGE(Table14[[#This Row],[Bulk resorufin fluorescence, replicate 1]:[Bulk resorufin fluorescence, replicate 3]])</f>
        <v>0.92333162410014535</v>
      </c>
      <c r="H132" s="17">
        <f>STDEV(Table14[[#This Row],[Bulk resorufin fluorescence, replicate 1]:[Bulk resorufin fluorescence, replicate 3]])</f>
        <v>3.7577424818508266E-2</v>
      </c>
      <c r="I132" s="8">
        <v>1.1286245465767015</v>
      </c>
      <c r="J132" s="8">
        <v>0.78701511037136551</v>
      </c>
      <c r="K132" s="8">
        <v>0.99387751521849732</v>
      </c>
      <c r="L132" s="8">
        <f>AVERAGE(Table14[[#This Row],[Bulk GFP fluorescence, replicate 1]:[Bulk GFP fluorescence, replicate 3]])</f>
        <v>0.9698390573888549</v>
      </c>
      <c r="M132" s="17">
        <f>STDEV(Table14[[#This Row],[Bulk GFP fluorescence, replicate 1]:[Bulk GFP fluorescence, replicate 3]])</f>
        <v>0.1720686994117531</v>
      </c>
      <c r="N132" s="17"/>
      <c r="O132" s="17"/>
      <c r="W132" s="39"/>
      <c r="X132" s="39"/>
      <c r="Y132" s="39"/>
      <c r="Z132" s="39"/>
    </row>
    <row r="133" spans="1:26" x14ac:dyDescent="0.25">
      <c r="A133" s="1" t="s">
        <v>954</v>
      </c>
      <c r="B133" s="2" t="s">
        <v>44</v>
      </c>
      <c r="C133" s="2">
        <v>1.25E-3</v>
      </c>
      <c r="D133" s="8">
        <v>1.0278818238374203</v>
      </c>
      <c r="E133" s="8">
        <v>0.94382898686078254</v>
      </c>
      <c r="F133" s="8">
        <v>0.91175002347731104</v>
      </c>
      <c r="G133" s="8">
        <f>AVERAGE(Table14[[#This Row],[Bulk resorufin fluorescence, replicate 1]:[Bulk resorufin fluorescence, replicate 3]])</f>
        <v>0.96115361139183797</v>
      </c>
      <c r="H133" s="17">
        <f>STDEV(Table14[[#This Row],[Bulk resorufin fluorescence, replicate 1]:[Bulk resorufin fluorescence, replicate 3]])</f>
        <v>5.9972958281850709E-2</v>
      </c>
      <c r="I133" s="8">
        <v>0.93074645402155221</v>
      </c>
      <c r="J133" s="8">
        <v>1.0633728798422721</v>
      </c>
      <c r="K133" s="8">
        <v>0.87423468940231208</v>
      </c>
      <c r="L133" s="8">
        <f>AVERAGE(Table14[[#This Row],[Bulk GFP fluorescence, replicate 1]:[Bulk GFP fluorescence, replicate 3]])</f>
        <v>0.95611800775537892</v>
      </c>
      <c r="M133" s="17">
        <f>STDEV(Table14[[#This Row],[Bulk GFP fluorescence, replicate 1]:[Bulk GFP fluorescence, replicate 3]])</f>
        <v>9.7088107278270622E-2</v>
      </c>
      <c r="N133" s="17"/>
      <c r="O133" s="17"/>
      <c r="W133" s="39"/>
      <c r="X133" s="39"/>
      <c r="Y133" s="39"/>
      <c r="Z133" s="39"/>
    </row>
    <row r="134" spans="1:26" ht="15.75" thickBot="1" x14ac:dyDescent="0.3">
      <c r="A134" s="10" t="s">
        <v>954</v>
      </c>
      <c r="B134" s="11" t="s">
        <v>44</v>
      </c>
      <c r="C134" s="11">
        <v>4.1666666666666669E-4</v>
      </c>
      <c r="D134" s="12">
        <v>0.49974078490331275</v>
      </c>
      <c r="E134" s="12">
        <v>0.96020542966345657</v>
      </c>
      <c r="F134" s="12">
        <v>0.92544100275302354</v>
      </c>
      <c r="G134" s="12">
        <f>AVERAGE(Table14[[#This Row],[Bulk resorufin fluorescence, replicate 1]:[Bulk resorufin fluorescence, replicate 3]])</f>
        <v>0.79512907243993103</v>
      </c>
      <c r="H134" s="25">
        <f>STDEV(Table14[[#This Row],[Bulk resorufin fluorescence, replicate 1]:[Bulk resorufin fluorescence, replicate 3]])</f>
        <v>0.25640363034669494</v>
      </c>
      <c r="I134" s="12">
        <v>1.2592558935562774</v>
      </c>
      <c r="J134" s="12">
        <v>1.0019382336459697</v>
      </c>
      <c r="K134" s="12">
        <v>1.1953405961089767</v>
      </c>
      <c r="L134" s="12">
        <f>AVERAGE(Table14[[#This Row],[Bulk GFP fluorescence, replicate 1]:[Bulk GFP fluorescence, replicate 3]])</f>
        <v>1.1521782411037413</v>
      </c>
      <c r="M134" s="25">
        <f>STDEV(Table14[[#This Row],[Bulk GFP fluorescence, replicate 1]:[Bulk GFP fluorescence, replicate 3]])</f>
        <v>0.13397886472361109</v>
      </c>
      <c r="N134" s="25"/>
      <c r="O134" s="25"/>
      <c r="P134" s="25"/>
      <c r="Q134" s="25"/>
      <c r="W134" s="39"/>
      <c r="X134" s="39"/>
      <c r="Y134" s="39"/>
      <c r="Z134" s="39"/>
    </row>
    <row r="135" spans="1:26" x14ac:dyDescent="0.25">
      <c r="A135" s="1" t="s">
        <v>956</v>
      </c>
      <c r="B135" s="2" t="s">
        <v>45</v>
      </c>
      <c r="C135" s="2">
        <v>30</v>
      </c>
      <c r="D135" s="8">
        <v>6.2516200943542932E-2</v>
      </c>
      <c r="E135" s="8">
        <v>0.46214432993519045</v>
      </c>
      <c r="F135" s="8">
        <v>0.15770821903589805</v>
      </c>
      <c r="G135" s="8">
        <f>AVERAGE(Table14[[#This Row],[Bulk resorufin fluorescence, replicate 1]:[Bulk resorufin fluorescence, replicate 3]])</f>
        <v>0.22745624997154379</v>
      </c>
      <c r="H135" s="17">
        <f>STDEV(Table14[[#This Row],[Bulk resorufin fluorescence, replicate 1]:[Bulk resorufin fluorescence, replicate 3]])</f>
        <v>0.20874446396225957</v>
      </c>
      <c r="I135" s="8">
        <v>1.099154108069755E-2</v>
      </c>
      <c r="J135" s="8">
        <v>4.7404778751855989E-2</v>
      </c>
      <c r="K135" s="8">
        <v>8.5855130431731666E-2</v>
      </c>
      <c r="L135" s="8">
        <f>AVERAGE(Table14[[#This Row],[Bulk GFP fluorescence, replicate 1]:[Bulk GFP fluorescence, replicate 3]])</f>
        <v>4.8083816754761734E-2</v>
      </c>
      <c r="M135" s="17">
        <f>STDEV(Table14[[#This Row],[Bulk GFP fluorescence, replicate 1]:[Bulk GFP fluorescence, replicate 3]])</f>
        <v>3.7436413718291851E-2</v>
      </c>
      <c r="N135" s="17">
        <v>10.137666666666666</v>
      </c>
      <c r="O135" s="17">
        <v>6.6028650533333337</v>
      </c>
      <c r="P135" s="17">
        <v>20.13</v>
      </c>
      <c r="Q135" s="17">
        <v>13.111071599999999</v>
      </c>
      <c r="W135" s="39"/>
      <c r="X135" s="39"/>
      <c r="Y135" s="39"/>
      <c r="Z135" s="39"/>
    </row>
    <row r="136" spans="1:26" x14ac:dyDescent="0.25">
      <c r="A136" s="1" t="s">
        <v>956</v>
      </c>
      <c r="B136" s="2" t="s">
        <v>45</v>
      </c>
      <c r="C136" s="2">
        <v>10</v>
      </c>
      <c r="D136" s="8">
        <v>1.0568329099486755</v>
      </c>
      <c r="E136" s="8">
        <v>1.0141529971953949</v>
      </c>
      <c r="F136" s="8">
        <v>0.94965970255482568</v>
      </c>
      <c r="G136" s="8">
        <f>AVERAGE(Table14[[#This Row],[Bulk resorufin fluorescence, replicate 1]:[Bulk resorufin fluorescence, replicate 3]])</f>
        <v>1.006881869899632</v>
      </c>
      <c r="H136" s="17">
        <f>STDEV(Table14[[#This Row],[Bulk resorufin fluorescence, replicate 1]:[Bulk resorufin fluorescence, replicate 3]])</f>
        <v>5.3955315446067756E-2</v>
      </c>
      <c r="I136" s="8">
        <v>0.66410471913729885</v>
      </c>
      <c r="J136" s="8">
        <v>0.46500335142678528</v>
      </c>
      <c r="K136" s="8">
        <v>0.59677560830131748</v>
      </c>
      <c r="L136" s="8">
        <f>AVERAGE(Table14[[#This Row],[Bulk GFP fluorescence, replicate 1]:[Bulk GFP fluorescence, replicate 3]])</f>
        <v>0.57529455962180054</v>
      </c>
      <c r="M136" s="17">
        <f>STDEV(Table14[[#This Row],[Bulk GFP fluorescence, replicate 1]:[Bulk GFP fluorescence, replicate 3]])</f>
        <v>0.10127396133917202</v>
      </c>
      <c r="N136" s="17"/>
      <c r="O136" s="17"/>
      <c r="W136" s="39"/>
      <c r="X136" s="39"/>
      <c r="Y136" s="39"/>
      <c r="Z136" s="39"/>
    </row>
    <row r="137" spans="1:26" x14ac:dyDescent="0.25">
      <c r="A137" s="1" t="s">
        <v>956</v>
      </c>
      <c r="B137" s="2" t="s">
        <v>45</v>
      </c>
      <c r="C137" s="2">
        <v>2.9999999999999996</v>
      </c>
      <c r="D137" s="8">
        <v>1.0804214837472135</v>
      </c>
      <c r="E137" s="8">
        <v>0.98062028098039555</v>
      </c>
      <c r="F137" s="8">
        <v>0.93475778828902301</v>
      </c>
      <c r="G137" s="8">
        <f>AVERAGE(Table14[[#This Row],[Bulk resorufin fluorescence, replicate 1]:[Bulk resorufin fluorescence, replicate 3]])</f>
        <v>0.99859985100554416</v>
      </c>
      <c r="H137" s="17">
        <f>STDEV(Table14[[#This Row],[Bulk resorufin fluorescence, replicate 1]:[Bulk resorufin fluorescence, replicate 3]])</f>
        <v>7.4477692951319507E-2</v>
      </c>
      <c r="I137" s="8">
        <v>0.95469171460179059</v>
      </c>
      <c r="J137" s="8">
        <v>0.73598313589520381</v>
      </c>
      <c r="K137" s="8">
        <v>0.72518990228584457</v>
      </c>
      <c r="L137" s="8">
        <f>AVERAGE(Table14[[#This Row],[Bulk GFP fluorescence, replicate 1]:[Bulk GFP fluorescence, replicate 3]])</f>
        <v>0.80528825092761291</v>
      </c>
      <c r="M137" s="17">
        <f>STDEV(Table14[[#This Row],[Bulk GFP fluorescence, replicate 1]:[Bulk GFP fluorescence, replicate 3]])</f>
        <v>0.12949968992749689</v>
      </c>
      <c r="N137" s="17"/>
      <c r="O137" s="17"/>
      <c r="W137" s="39"/>
      <c r="X137" s="39"/>
      <c r="Y137" s="39"/>
      <c r="Z137" s="39"/>
    </row>
    <row r="138" spans="1:26" x14ac:dyDescent="0.25">
      <c r="A138" s="1" t="s">
        <v>956</v>
      </c>
      <c r="B138" s="2" t="s">
        <v>45</v>
      </c>
      <c r="C138" s="2">
        <v>1</v>
      </c>
      <c r="D138" s="8">
        <v>1.1317622738348281</v>
      </c>
      <c r="E138" s="8">
        <v>0.95813052321992054</v>
      </c>
      <c r="F138" s="8">
        <v>0.88190912550723355</v>
      </c>
      <c r="G138" s="8">
        <f>AVERAGE(Table14[[#This Row],[Bulk resorufin fluorescence, replicate 1]:[Bulk resorufin fluorescence, replicate 3]])</f>
        <v>0.99060064085399413</v>
      </c>
      <c r="H138" s="17">
        <f>STDEV(Table14[[#This Row],[Bulk resorufin fluorescence, replicate 1]:[Bulk resorufin fluorescence, replicate 3]])</f>
        <v>0.12805225627329098</v>
      </c>
      <c r="I138" s="8">
        <v>0.83451853044293733</v>
      </c>
      <c r="J138" s="8">
        <v>0.77280466824800365</v>
      </c>
      <c r="K138" s="8">
        <v>0.76108275003070014</v>
      </c>
      <c r="L138" s="8">
        <f>AVERAGE(Table14[[#This Row],[Bulk GFP fluorescence, replicate 1]:[Bulk GFP fluorescence, replicate 3]])</f>
        <v>0.78946864957388041</v>
      </c>
      <c r="M138" s="17">
        <f>STDEV(Table14[[#This Row],[Bulk GFP fluorescence, replicate 1]:[Bulk GFP fluorescence, replicate 3]])</f>
        <v>3.9452118655535551E-2</v>
      </c>
      <c r="N138" s="17"/>
      <c r="O138" s="17"/>
      <c r="W138" s="39"/>
      <c r="X138" s="39"/>
      <c r="Y138" s="39"/>
      <c r="Z138" s="39"/>
    </row>
    <row r="139" spans="1:26" x14ac:dyDescent="0.25">
      <c r="A139" s="1" t="s">
        <v>956</v>
      </c>
      <c r="B139" s="2" t="s">
        <v>45</v>
      </c>
      <c r="C139" s="2">
        <v>0.33300000000000002</v>
      </c>
      <c r="D139" s="8">
        <v>0.98151472341749191</v>
      </c>
      <c r="E139" s="8">
        <v>0.91128498445444817</v>
      </c>
      <c r="F139" s="8">
        <v>0.87621278846201367</v>
      </c>
      <c r="G139" s="8">
        <f>AVERAGE(Table14[[#This Row],[Bulk resorufin fluorescence, replicate 1]:[Bulk resorufin fluorescence, replicate 3]])</f>
        <v>0.92300416544465114</v>
      </c>
      <c r="H139" s="17">
        <f>STDEV(Table14[[#This Row],[Bulk resorufin fluorescence, replicate 1]:[Bulk resorufin fluorescence, replicate 3]])</f>
        <v>5.3620227327500165E-2</v>
      </c>
      <c r="I139" s="8">
        <v>1.0217790498082284</v>
      </c>
      <c r="J139" s="8">
        <v>0.72510939979528322</v>
      </c>
      <c r="K139" s="8">
        <v>0.97861516060558218</v>
      </c>
      <c r="L139" s="8">
        <f>AVERAGE(Table14[[#This Row],[Bulk GFP fluorescence, replicate 1]:[Bulk GFP fluorescence, replicate 3]])</f>
        <v>0.9085012034030312</v>
      </c>
      <c r="M139" s="17">
        <f>STDEV(Table14[[#This Row],[Bulk GFP fluorescence, replicate 1]:[Bulk GFP fluorescence, replicate 3]])</f>
        <v>0.16028161328003873</v>
      </c>
      <c r="N139" s="17"/>
      <c r="O139" s="17"/>
      <c r="W139" s="39"/>
      <c r="X139" s="39"/>
      <c r="Y139" s="39"/>
      <c r="Z139" s="39"/>
    </row>
    <row r="140" spans="1:26" x14ac:dyDescent="0.25">
      <c r="A140" s="1" t="s">
        <v>956</v>
      </c>
      <c r="B140" s="2" t="s">
        <v>45</v>
      </c>
      <c r="C140" s="2">
        <v>0.11099999999999999</v>
      </c>
      <c r="D140" s="8">
        <v>1.167566359064752</v>
      </c>
      <c r="E140" s="8">
        <v>0.91070011149720975</v>
      </c>
      <c r="F140" s="8">
        <v>0.87061530325271963</v>
      </c>
      <c r="G140" s="8">
        <f>AVERAGE(Table14[[#This Row],[Bulk resorufin fluorescence, replicate 1]:[Bulk resorufin fluorescence, replicate 3]])</f>
        <v>0.98296059127156055</v>
      </c>
      <c r="H140" s="17">
        <f>STDEV(Table14[[#This Row],[Bulk resorufin fluorescence, replicate 1]:[Bulk resorufin fluorescence, replicate 3]])</f>
        <v>0.16112468802106059</v>
      </c>
      <c r="I140" s="8">
        <v>0.92279528067551553</v>
      </c>
      <c r="J140" s="8">
        <v>0.79011628420491697</v>
      </c>
      <c r="K140" s="8">
        <v>0.91879374769748967</v>
      </c>
      <c r="L140" s="8">
        <f>AVERAGE(Table14[[#This Row],[Bulk GFP fluorescence, replicate 1]:[Bulk GFP fluorescence, replicate 3]])</f>
        <v>0.87723510419264061</v>
      </c>
      <c r="M140" s="17">
        <f>STDEV(Table14[[#This Row],[Bulk GFP fluorescence, replicate 1]:[Bulk GFP fluorescence, replicate 3]])</f>
        <v>7.5473635552977161E-2</v>
      </c>
      <c r="N140" s="17"/>
      <c r="O140" s="17"/>
      <c r="W140" s="39"/>
      <c r="X140" s="39"/>
      <c r="Y140" s="39"/>
      <c r="Z140" s="39"/>
    </row>
    <row r="141" spans="1:26" x14ac:dyDescent="0.25">
      <c r="A141" s="1" t="s">
        <v>956</v>
      </c>
      <c r="B141" s="2" t="s">
        <v>45</v>
      </c>
      <c r="C141" s="2">
        <v>3.6999999999999998E-2</v>
      </c>
      <c r="D141" s="8">
        <v>1.0973838716366839</v>
      </c>
      <c r="E141" s="8">
        <v>0.91401439158822706</v>
      </c>
      <c r="F141" s="8">
        <v>0.86840349342388157</v>
      </c>
      <c r="G141" s="8">
        <f>AVERAGE(Table14[[#This Row],[Bulk resorufin fluorescence, replicate 1]:[Bulk resorufin fluorescence, replicate 3]])</f>
        <v>0.95993391888293089</v>
      </c>
      <c r="H141" s="17">
        <f>STDEV(Table14[[#This Row],[Bulk resorufin fluorescence, replicate 1]:[Bulk resorufin fluorescence, replicate 3]])</f>
        <v>0.12120006452905224</v>
      </c>
      <c r="I141" s="8">
        <v>1.0209554329697563</v>
      </c>
      <c r="J141" s="8">
        <v>0.88480022454068763</v>
      </c>
      <c r="K141" s="8">
        <v>0.93352981422030412</v>
      </c>
      <c r="L141" s="8">
        <f>AVERAGE(Table14[[#This Row],[Bulk GFP fluorescence, replicate 1]:[Bulk GFP fluorescence, replicate 3]])</f>
        <v>0.94642849057691603</v>
      </c>
      <c r="M141" s="17">
        <f>STDEV(Table14[[#This Row],[Bulk GFP fluorescence, replicate 1]:[Bulk GFP fluorescence, replicate 3]])</f>
        <v>6.898798507280271E-2</v>
      </c>
      <c r="N141" s="17"/>
      <c r="O141" s="17"/>
      <c r="W141" s="39"/>
      <c r="X141" s="39"/>
      <c r="Y141" s="39"/>
      <c r="Z141" s="39"/>
    </row>
    <row r="142" spans="1:26" x14ac:dyDescent="0.25">
      <c r="A142" s="1" t="s">
        <v>956</v>
      </c>
      <c r="B142" s="2" t="s">
        <v>45</v>
      </c>
      <c r="C142" s="2">
        <v>1.2333333333333333E-2</v>
      </c>
      <c r="D142" s="8">
        <v>0.96463334024573588</v>
      </c>
      <c r="E142" s="8">
        <v>0.89862666259421786</v>
      </c>
      <c r="F142" s="8">
        <v>0.88769195790888822</v>
      </c>
      <c r="G142" s="8">
        <f>AVERAGE(Table14[[#This Row],[Bulk resorufin fluorescence, replicate 1]:[Bulk resorufin fluorescence, replicate 3]])</f>
        <v>0.91698398691628069</v>
      </c>
      <c r="H142" s="17">
        <f>STDEV(Table14[[#This Row],[Bulk resorufin fluorescence, replicate 1]:[Bulk resorufin fluorescence, replicate 3]])</f>
        <v>4.1626164802624946E-2</v>
      </c>
      <c r="I142" s="8">
        <v>1.0768116294697592</v>
      </c>
      <c r="J142" s="8">
        <v>0.8095084345058583</v>
      </c>
      <c r="K142" s="8">
        <v>0.88451485009560904</v>
      </c>
      <c r="L142" s="8">
        <f>AVERAGE(Table14[[#This Row],[Bulk GFP fluorescence, replicate 1]:[Bulk GFP fluorescence, replicate 3]])</f>
        <v>0.92361163802374213</v>
      </c>
      <c r="M142" s="17">
        <f>STDEV(Table14[[#This Row],[Bulk GFP fluorescence, replicate 1]:[Bulk GFP fluorescence, replicate 3]])</f>
        <v>0.13787374162326999</v>
      </c>
      <c r="N142" s="17"/>
      <c r="O142" s="17"/>
      <c r="W142" s="39"/>
      <c r="X142" s="39"/>
      <c r="Y142" s="39"/>
      <c r="Z142" s="39"/>
    </row>
    <row r="143" spans="1:26" x14ac:dyDescent="0.25">
      <c r="A143" s="1" t="s">
        <v>956</v>
      </c>
      <c r="B143" s="2" t="s">
        <v>45</v>
      </c>
      <c r="C143" s="2">
        <v>3.7500000000000003E-3</v>
      </c>
      <c r="D143" s="8">
        <v>0.95118655710508582</v>
      </c>
      <c r="E143" s="8">
        <v>0.90223337916385438</v>
      </c>
      <c r="F143" s="8">
        <v>0.85487314838154838</v>
      </c>
      <c r="G143" s="8">
        <f>AVERAGE(Table14[[#This Row],[Bulk resorufin fluorescence, replicate 1]:[Bulk resorufin fluorescence, replicate 3]])</f>
        <v>0.90276436155016293</v>
      </c>
      <c r="H143" s="17">
        <f>STDEV(Table14[[#This Row],[Bulk resorufin fluorescence, replicate 1]:[Bulk resorufin fluorescence, replicate 3]])</f>
        <v>4.8158899818286152E-2</v>
      </c>
      <c r="I143" s="8">
        <v>0.97408414743490157</v>
      </c>
      <c r="J143" s="8">
        <v>0.97956267560642174</v>
      </c>
      <c r="K143" s="8">
        <v>0.91412732663193164</v>
      </c>
      <c r="L143" s="8">
        <f>AVERAGE(Table14[[#This Row],[Bulk GFP fluorescence, replicate 1]:[Bulk GFP fluorescence, replicate 3]])</f>
        <v>0.95592471655775169</v>
      </c>
      <c r="M143" s="17">
        <f>STDEV(Table14[[#This Row],[Bulk GFP fluorescence, replicate 1]:[Bulk GFP fluorescence, replicate 3]])</f>
        <v>3.6301100826143212E-2</v>
      </c>
      <c r="N143" s="17"/>
      <c r="O143" s="17"/>
      <c r="W143" s="39"/>
      <c r="X143" s="39"/>
      <c r="Y143" s="39"/>
      <c r="Z143" s="39"/>
    </row>
    <row r="144" spans="1:26" x14ac:dyDescent="0.25">
      <c r="A144" s="1" t="s">
        <v>956</v>
      </c>
      <c r="B144" s="2" t="s">
        <v>45</v>
      </c>
      <c r="C144" s="2">
        <v>1.25E-3</v>
      </c>
      <c r="D144" s="8">
        <v>1.0701824874280677</v>
      </c>
      <c r="E144" s="8">
        <v>0.91242687927572297</v>
      </c>
      <c r="F144" s="8">
        <v>0.91476500447304554</v>
      </c>
      <c r="G144" s="8">
        <f>AVERAGE(Table14[[#This Row],[Bulk resorufin fluorescence, replicate 1]:[Bulk resorufin fluorescence, replicate 3]])</f>
        <v>0.96579145705894531</v>
      </c>
      <c r="H144" s="17">
        <f>STDEV(Table14[[#This Row],[Bulk resorufin fluorescence, replicate 1]:[Bulk resorufin fluorescence, replicate 3]])</f>
        <v>9.041284269120646E-2</v>
      </c>
      <c r="I144" s="8">
        <v>0.87592399514066055</v>
      </c>
      <c r="J144" s="8">
        <v>0.92107218178374417</v>
      </c>
      <c r="K144" s="8">
        <v>0.9819132326368788</v>
      </c>
      <c r="L144" s="8">
        <f>AVERAGE(Table14[[#This Row],[Bulk GFP fluorescence, replicate 1]:[Bulk GFP fluorescence, replicate 3]])</f>
        <v>0.92630313652042784</v>
      </c>
      <c r="M144" s="17">
        <f>STDEV(Table14[[#This Row],[Bulk GFP fluorescence, replicate 1]:[Bulk GFP fluorescence, replicate 3]])</f>
        <v>5.3187891308552213E-2</v>
      </c>
      <c r="N144" s="17"/>
      <c r="O144" s="17"/>
      <c r="W144" s="39"/>
      <c r="X144" s="39"/>
      <c r="Y144" s="39"/>
      <c r="Z144" s="39"/>
    </row>
    <row r="145" spans="1:26" ht="15.75" thickBot="1" x14ac:dyDescent="0.3">
      <c r="A145" s="10" t="s">
        <v>956</v>
      </c>
      <c r="B145" s="11" t="s">
        <v>45</v>
      </c>
      <c r="C145" s="11">
        <v>4.1666666666666669E-4</v>
      </c>
      <c r="D145" s="12">
        <v>1.1398627456063042</v>
      </c>
      <c r="E145" s="12">
        <v>0.92839948122697058</v>
      </c>
      <c r="F145" s="12">
        <v>0.88945893447606061</v>
      </c>
      <c r="G145" s="12">
        <f>AVERAGE(Table14[[#This Row],[Bulk resorufin fluorescence, replicate 1]:[Bulk resorufin fluorescence, replicate 3]])</f>
        <v>0.98590705376977839</v>
      </c>
      <c r="H145" s="25">
        <f>STDEV(Table14[[#This Row],[Bulk resorufin fluorescence, replicate 1]:[Bulk resorufin fluorescence, replicate 3]])</f>
        <v>0.13474367455269631</v>
      </c>
      <c r="I145" s="12">
        <v>0.93664701841345188</v>
      </c>
      <c r="J145" s="12">
        <v>0.90741131477012549</v>
      </c>
      <c r="K145" s="12">
        <v>1.1359051278002912</v>
      </c>
      <c r="L145" s="12">
        <f>AVERAGE(Table14[[#This Row],[Bulk GFP fluorescence, replicate 1]:[Bulk GFP fluorescence, replicate 3]])</f>
        <v>0.99332115366128948</v>
      </c>
      <c r="M145" s="25">
        <f>STDEV(Table14[[#This Row],[Bulk GFP fluorescence, replicate 1]:[Bulk GFP fluorescence, replicate 3]])</f>
        <v>0.12434357181951076</v>
      </c>
      <c r="N145" s="25"/>
      <c r="O145" s="25"/>
      <c r="P145" s="25"/>
      <c r="Q145" s="25"/>
      <c r="W145" s="39"/>
      <c r="X145" s="39"/>
      <c r="Y145" s="39"/>
      <c r="Z145" s="39"/>
    </row>
    <row r="146" spans="1:26" x14ac:dyDescent="0.25">
      <c r="A146" s="1" t="s">
        <v>958</v>
      </c>
      <c r="B146" s="2" t="s">
        <v>46</v>
      </c>
      <c r="C146" s="2">
        <v>30</v>
      </c>
      <c r="D146" s="8">
        <v>1.2289355332054539</v>
      </c>
      <c r="E146" s="8">
        <v>1.2951287509620231</v>
      </c>
      <c r="F146" s="8">
        <v>1.1507614062662177</v>
      </c>
      <c r="G146" s="8">
        <f>AVERAGE(Table14[[#This Row],[Bulk resorufin fluorescence, replicate 1]:[Bulk resorufin fluorescence, replicate 3]])</f>
        <v>1.2249418968112316</v>
      </c>
      <c r="H146" s="17">
        <f>STDEV(Table14[[#This Row],[Bulk resorufin fluorescence, replicate 1]:[Bulk resorufin fluorescence, replicate 3]])</f>
        <v>7.22664818734544E-2</v>
      </c>
      <c r="I146" s="8">
        <v>2.7762001045050669E-2</v>
      </c>
      <c r="J146" s="8">
        <v>0.10185196998142235</v>
      </c>
      <c r="K146" s="8">
        <v>9.1889900531550966E-2</v>
      </c>
      <c r="L146" s="8">
        <f>AVERAGE(Table14[[#This Row],[Bulk GFP fluorescence, replicate 1]:[Bulk GFP fluorescence, replicate 3]])</f>
        <v>7.3834623852674655E-2</v>
      </c>
      <c r="M146" s="17">
        <f>STDEV(Table14[[#This Row],[Bulk GFP fluorescence, replicate 1]:[Bulk GFP fluorescence, replicate 3]])</f>
        <v>4.02097704073427E-2</v>
      </c>
      <c r="N146" s="17">
        <v>13.46</v>
      </c>
      <c r="O146" s="17">
        <v>6.1992722000000002</v>
      </c>
      <c r="P146" s="17" t="s">
        <v>15</v>
      </c>
      <c r="Q146" s="8" t="s">
        <v>15</v>
      </c>
      <c r="W146" s="39"/>
      <c r="X146" s="39"/>
      <c r="Y146" s="39"/>
      <c r="Z146" s="39"/>
    </row>
    <row r="147" spans="1:26" x14ac:dyDescent="0.25">
      <c r="A147" s="1" t="s">
        <v>958</v>
      </c>
      <c r="B147" s="2" t="s">
        <v>46</v>
      </c>
      <c r="C147" s="2">
        <v>10</v>
      </c>
      <c r="D147" s="8">
        <v>1.0044228575872258</v>
      </c>
      <c r="E147" s="8">
        <v>1.1201960345613498</v>
      </c>
      <c r="F147" s="8">
        <v>1.0354260266998807</v>
      </c>
      <c r="G147" s="8">
        <f>AVERAGE(Table14[[#This Row],[Bulk resorufin fluorescence, replicate 1]:[Bulk resorufin fluorescence, replicate 3]])</f>
        <v>1.0533483062828186</v>
      </c>
      <c r="H147" s="17">
        <f>STDEV(Table14[[#This Row],[Bulk resorufin fluorescence, replicate 1]:[Bulk resorufin fluorescence, replicate 3]])</f>
        <v>5.9931320740971523E-2</v>
      </c>
      <c r="I147" s="8">
        <v>0.73930526841901989</v>
      </c>
      <c r="J147" s="8">
        <v>0.64659866983195757</v>
      </c>
      <c r="K147" s="8">
        <v>0.81276424047857132</v>
      </c>
      <c r="L147" s="8">
        <f>AVERAGE(Table14[[#This Row],[Bulk GFP fluorescence, replicate 1]:[Bulk GFP fluorescence, replicate 3]])</f>
        <v>0.73288939290984967</v>
      </c>
      <c r="M147" s="17">
        <f>STDEV(Table14[[#This Row],[Bulk GFP fluorescence, replicate 1]:[Bulk GFP fluorescence, replicate 3]])</f>
        <v>8.3268372212927128E-2</v>
      </c>
      <c r="N147" s="17"/>
      <c r="O147" s="17"/>
      <c r="W147" s="39"/>
      <c r="X147" s="39"/>
      <c r="Y147" s="39"/>
      <c r="Z147" s="39"/>
    </row>
    <row r="148" spans="1:26" x14ac:dyDescent="0.25">
      <c r="A148" s="1" t="s">
        <v>958</v>
      </c>
      <c r="B148" s="2" t="s">
        <v>46</v>
      </c>
      <c r="C148" s="2">
        <v>2.9999999999999996</v>
      </c>
      <c r="D148" s="8">
        <v>0.96532998081808286</v>
      </c>
      <c r="E148" s="8">
        <v>1.0759963496500511</v>
      </c>
      <c r="F148" s="8">
        <v>1.0075374524893363</v>
      </c>
      <c r="G148" s="8">
        <f>AVERAGE(Table14[[#This Row],[Bulk resorufin fluorescence, replicate 1]:[Bulk resorufin fluorescence, replicate 3]])</f>
        <v>1.0162879276524901</v>
      </c>
      <c r="H148" s="17">
        <f>STDEV(Table14[[#This Row],[Bulk resorufin fluorescence, replicate 1]:[Bulk resorufin fluorescence, replicate 3]])</f>
        <v>5.5849703753010502E-2</v>
      </c>
      <c r="I148" s="8">
        <v>0.90484736957690592</v>
      </c>
      <c r="J148" s="8">
        <v>0.74693538272508775</v>
      </c>
      <c r="K148" s="8">
        <v>0.87970808553935753</v>
      </c>
      <c r="L148" s="8">
        <f>AVERAGE(Table14[[#This Row],[Bulk GFP fluorescence, replicate 1]:[Bulk GFP fluorescence, replicate 3]])</f>
        <v>0.8438302792804504</v>
      </c>
      <c r="M148" s="17">
        <f>STDEV(Table14[[#This Row],[Bulk GFP fluorescence, replicate 1]:[Bulk GFP fluorescence, replicate 3]])</f>
        <v>8.4849641332983575E-2</v>
      </c>
      <c r="N148" s="17"/>
      <c r="O148" s="17"/>
      <c r="W148" s="39"/>
      <c r="X148" s="39"/>
      <c r="Y148" s="39"/>
      <c r="Z148" s="39"/>
    </row>
    <row r="149" spans="1:26" x14ac:dyDescent="0.25">
      <c r="A149" s="1" t="s">
        <v>958</v>
      </c>
      <c r="B149" s="2" t="s">
        <v>46</v>
      </c>
      <c r="C149" s="2">
        <v>1</v>
      </c>
      <c r="D149" s="8">
        <v>1.1148646897195293</v>
      </c>
      <c r="E149" s="8">
        <v>1.2027327492649631</v>
      </c>
      <c r="F149" s="8">
        <v>0.91707566613780933</v>
      </c>
      <c r="G149" s="8">
        <f>AVERAGE(Table14[[#This Row],[Bulk resorufin fluorescence, replicate 1]:[Bulk resorufin fluorescence, replicate 3]])</f>
        <v>1.0782243683741006</v>
      </c>
      <c r="H149" s="17">
        <f>STDEV(Table14[[#This Row],[Bulk resorufin fluorescence, replicate 1]:[Bulk resorufin fluorescence, replicate 3]])</f>
        <v>0.14631089209761669</v>
      </c>
      <c r="I149" s="8">
        <v>1.0641797487334439</v>
      </c>
      <c r="J149" s="8">
        <v>0.82925388309163472</v>
      </c>
      <c r="K149" s="8">
        <v>0.9242320579618617</v>
      </c>
      <c r="L149" s="8">
        <f>AVERAGE(Table14[[#This Row],[Bulk GFP fluorescence, replicate 1]:[Bulk GFP fluorescence, replicate 3]])</f>
        <v>0.93922189659564681</v>
      </c>
      <c r="M149" s="17">
        <f>STDEV(Table14[[#This Row],[Bulk GFP fluorescence, replicate 1]:[Bulk GFP fluorescence, replicate 3]])</f>
        <v>0.11817809455896906</v>
      </c>
      <c r="N149" s="17"/>
      <c r="O149" s="17"/>
      <c r="W149" s="39"/>
      <c r="X149" s="39"/>
      <c r="Y149" s="39"/>
      <c r="Z149" s="39"/>
    </row>
    <row r="150" spans="1:26" x14ac:dyDescent="0.25">
      <c r="A150" s="1" t="s">
        <v>958</v>
      </c>
      <c r="B150" s="2" t="s">
        <v>46</v>
      </c>
      <c r="C150" s="2">
        <v>0.33300000000000002</v>
      </c>
      <c r="D150" s="8">
        <v>0.95235302504017838</v>
      </c>
      <c r="E150" s="8">
        <v>1.0893787999335287</v>
      </c>
      <c r="F150" s="8">
        <v>0.89855330338122696</v>
      </c>
      <c r="G150" s="8">
        <f>AVERAGE(Table14[[#This Row],[Bulk resorufin fluorescence, replicate 1]:[Bulk resorufin fluorescence, replicate 3]])</f>
        <v>0.98009504278497805</v>
      </c>
      <c r="H150" s="17">
        <f>STDEV(Table14[[#This Row],[Bulk resorufin fluorescence, replicate 1]:[Bulk resorufin fluorescence, replicate 3]])</f>
        <v>9.8391093067526775E-2</v>
      </c>
      <c r="I150" s="8">
        <v>1.0421428084603677</v>
      </c>
      <c r="J150" s="8">
        <v>0.85661487248385382</v>
      </c>
      <c r="K150" s="8">
        <v>0.87416451765696546</v>
      </c>
      <c r="L150" s="8">
        <f>AVERAGE(Table14[[#This Row],[Bulk GFP fluorescence, replicate 1]:[Bulk GFP fluorescence, replicate 3]])</f>
        <v>0.92430739953372898</v>
      </c>
      <c r="M150" s="17">
        <f>STDEV(Table14[[#This Row],[Bulk GFP fluorescence, replicate 1]:[Bulk GFP fluorescence, replicate 3]])</f>
        <v>0.10242502237786746</v>
      </c>
      <c r="N150" s="17"/>
      <c r="O150" s="17"/>
      <c r="W150" s="39"/>
      <c r="X150" s="39"/>
      <c r="Y150" s="39"/>
      <c r="Z150" s="39"/>
    </row>
    <row r="151" spans="1:26" x14ac:dyDescent="0.25">
      <c r="A151" s="1" t="s">
        <v>958</v>
      </c>
      <c r="B151" s="2" t="s">
        <v>46</v>
      </c>
      <c r="C151" s="2">
        <v>0.11099999999999999</v>
      </c>
      <c r="D151" s="8">
        <v>1.1600005184301934</v>
      </c>
      <c r="E151" s="8">
        <v>1.0009098023779261</v>
      </c>
      <c r="F151" s="8">
        <v>0.91110748654379381</v>
      </c>
      <c r="G151" s="8">
        <f>AVERAGE(Table14[[#This Row],[Bulk resorufin fluorescence, replicate 1]:[Bulk resorufin fluorescence, replicate 3]])</f>
        <v>1.024005935783971</v>
      </c>
      <c r="H151" s="17">
        <f>STDEV(Table14[[#This Row],[Bulk resorufin fluorescence, replicate 1]:[Bulk resorufin fluorescence, replicate 3]])</f>
        <v>0.12604367839813882</v>
      </c>
      <c r="I151" s="8">
        <v>0.93354840175386777</v>
      </c>
      <c r="J151" s="8">
        <v>0.76809402445020403</v>
      </c>
      <c r="K151" s="8">
        <v>0.95868638492710911</v>
      </c>
      <c r="L151" s="8">
        <f>AVERAGE(Table14[[#This Row],[Bulk GFP fluorescence, replicate 1]:[Bulk GFP fluorescence, replicate 3]])</f>
        <v>0.88677627037706019</v>
      </c>
      <c r="M151" s="17">
        <f>STDEV(Table14[[#This Row],[Bulk GFP fluorescence, replicate 1]:[Bulk GFP fluorescence, replicate 3]])</f>
        <v>0.10354750684196426</v>
      </c>
      <c r="N151" s="17"/>
      <c r="O151" s="17"/>
      <c r="W151" s="39"/>
      <c r="X151" s="39"/>
      <c r="Y151" s="39"/>
      <c r="Z151" s="39"/>
    </row>
    <row r="152" spans="1:26" x14ac:dyDescent="0.25">
      <c r="A152" s="1" t="s">
        <v>958</v>
      </c>
      <c r="B152" s="2" t="s">
        <v>46</v>
      </c>
      <c r="C152" s="2">
        <v>3.6999999999999998E-2</v>
      </c>
      <c r="D152" s="8">
        <v>0.93911685416558655</v>
      </c>
      <c r="E152" s="8">
        <v>1.0370326702606953</v>
      </c>
      <c r="F152" s="8">
        <v>0.8945498040262353</v>
      </c>
      <c r="G152" s="8">
        <f>AVERAGE(Table14[[#This Row],[Bulk resorufin fluorescence, replicate 1]:[Bulk resorufin fluorescence, replicate 3]])</f>
        <v>0.9568997761508391</v>
      </c>
      <c r="H152" s="17">
        <f>STDEV(Table14[[#This Row],[Bulk resorufin fluorescence, replicate 1]:[Bulk resorufin fluorescence, replicate 3]])</f>
        <v>7.288700863903623E-2</v>
      </c>
      <c r="I152" s="8">
        <v>0.98966308471726838</v>
      </c>
      <c r="J152" s="8">
        <v>0.83156994962555286</v>
      </c>
      <c r="K152" s="8">
        <v>1.0252442853884882</v>
      </c>
      <c r="L152" s="8">
        <f>AVERAGE(Table14[[#This Row],[Bulk GFP fluorescence, replicate 1]:[Bulk GFP fluorescence, replicate 3]])</f>
        <v>0.94882577324376982</v>
      </c>
      <c r="M152" s="17">
        <f>STDEV(Table14[[#This Row],[Bulk GFP fluorescence, replicate 1]:[Bulk GFP fluorescence, replicate 3]])</f>
        <v>0.10309316946137222</v>
      </c>
      <c r="N152" s="17"/>
      <c r="O152" s="17"/>
      <c r="W152" s="39"/>
      <c r="X152" s="39"/>
      <c r="Y152" s="39"/>
      <c r="Z152" s="39"/>
    </row>
    <row r="153" spans="1:26" x14ac:dyDescent="0.25">
      <c r="A153" s="1" t="s">
        <v>958</v>
      </c>
      <c r="B153" s="2" t="s">
        <v>46</v>
      </c>
      <c r="C153" s="2">
        <v>1.2333333333333333E-2</v>
      </c>
      <c r="D153" s="8">
        <v>0.87789348851677129</v>
      </c>
      <c r="E153" s="8">
        <v>0.97548175428465855</v>
      </c>
      <c r="F153" s="8">
        <v>0.90768474172486568</v>
      </c>
      <c r="G153" s="8">
        <f>AVERAGE(Table14[[#This Row],[Bulk resorufin fluorescence, replicate 1]:[Bulk resorufin fluorescence, replicate 3]])</f>
        <v>0.92035332817543181</v>
      </c>
      <c r="H153" s="17">
        <f>STDEV(Table14[[#This Row],[Bulk resorufin fluorescence, replicate 1]:[Bulk resorufin fluorescence, replicate 3]])</f>
        <v>5.0012370628550996E-2</v>
      </c>
      <c r="I153" s="8">
        <v>1.1352129101634976</v>
      </c>
      <c r="J153" s="8">
        <v>0.93422272905260118</v>
      </c>
      <c r="K153" s="8">
        <v>1.0384365735136747</v>
      </c>
      <c r="L153" s="8">
        <f>AVERAGE(Table14[[#This Row],[Bulk GFP fluorescence, replicate 1]:[Bulk GFP fluorescence, replicate 3]])</f>
        <v>1.0359574042432578</v>
      </c>
      <c r="M153" s="17">
        <f>STDEV(Table14[[#This Row],[Bulk GFP fluorescence, replicate 1]:[Bulk GFP fluorescence, replicate 3]])</f>
        <v>0.10051802294091974</v>
      </c>
      <c r="N153" s="17"/>
      <c r="O153" s="17"/>
      <c r="W153" s="39"/>
      <c r="X153" s="39"/>
      <c r="Y153" s="39"/>
      <c r="Z153" s="39"/>
    </row>
    <row r="154" spans="1:26" x14ac:dyDescent="0.25">
      <c r="A154" s="1" t="s">
        <v>958</v>
      </c>
      <c r="B154" s="2" t="s">
        <v>46</v>
      </c>
      <c r="C154" s="2">
        <v>3.7500000000000003E-3</v>
      </c>
      <c r="D154" s="8">
        <v>0.97155114313857638</v>
      </c>
      <c r="E154" s="8">
        <v>1.0591603638095468</v>
      </c>
      <c r="F154" s="8">
        <v>0.92972870113630179</v>
      </c>
      <c r="G154" s="8">
        <f>AVERAGE(Table14[[#This Row],[Bulk resorufin fluorescence, replicate 1]:[Bulk resorufin fluorescence, replicate 3]])</f>
        <v>0.98681340269480833</v>
      </c>
      <c r="H154" s="17">
        <f>STDEV(Table14[[#This Row],[Bulk resorufin fluorescence, replicate 1]:[Bulk resorufin fluorescence, replicate 3]])</f>
        <v>6.6051807323202871E-2</v>
      </c>
      <c r="I154" s="8">
        <v>1.0096553604289251</v>
      </c>
      <c r="J154" s="8">
        <v>0.93088602302915979</v>
      </c>
      <c r="K154" s="8">
        <v>1.0606459309159166</v>
      </c>
      <c r="L154" s="8">
        <f>AVERAGE(Table14[[#This Row],[Bulk GFP fluorescence, replicate 1]:[Bulk GFP fluorescence, replicate 3]])</f>
        <v>1.0003957714580005</v>
      </c>
      <c r="M154" s="17">
        <f>STDEV(Table14[[#This Row],[Bulk GFP fluorescence, replicate 1]:[Bulk GFP fluorescence, replicate 3]])</f>
        <v>6.5373644648495446E-2</v>
      </c>
      <c r="N154" s="17"/>
      <c r="O154" s="17"/>
      <c r="W154" s="39"/>
      <c r="X154" s="39"/>
      <c r="Y154" s="39"/>
      <c r="Z154" s="39"/>
    </row>
    <row r="155" spans="1:26" x14ac:dyDescent="0.25">
      <c r="A155" s="1" t="s">
        <v>958</v>
      </c>
      <c r="B155" s="2" t="s">
        <v>46</v>
      </c>
      <c r="C155" s="2">
        <v>1.25E-3</v>
      </c>
      <c r="D155" s="8">
        <v>1.1706769402249986</v>
      </c>
      <c r="E155" s="8">
        <v>0.9508892389874456</v>
      </c>
      <c r="F155" s="8">
        <v>0.98947227947391059</v>
      </c>
      <c r="G155" s="8">
        <f>AVERAGE(Table14[[#This Row],[Bulk resorufin fluorescence, replicate 1]:[Bulk resorufin fluorescence, replicate 3]])</f>
        <v>1.0370128195621182</v>
      </c>
      <c r="H155" s="17">
        <f>STDEV(Table14[[#This Row],[Bulk resorufin fluorescence, replicate 1]:[Bulk resorufin fluorescence, replicate 3]])</f>
        <v>0.11735303838303812</v>
      </c>
      <c r="I155" s="8">
        <v>0.89394249191600217</v>
      </c>
      <c r="J155" s="8">
        <v>0.84519156127418982</v>
      </c>
      <c r="K155" s="8">
        <v>1.055628651123625</v>
      </c>
      <c r="L155" s="8">
        <f>AVERAGE(Table14[[#This Row],[Bulk GFP fluorescence, replicate 1]:[Bulk GFP fluorescence, replicate 3]])</f>
        <v>0.93158756810460563</v>
      </c>
      <c r="M155" s="17">
        <f>STDEV(Table14[[#This Row],[Bulk GFP fluorescence, replicate 1]:[Bulk GFP fluorescence, replicate 3]])</f>
        <v>0.11015355653363688</v>
      </c>
      <c r="N155" s="17"/>
      <c r="O155" s="17"/>
      <c r="W155" s="39"/>
      <c r="X155" s="39"/>
      <c r="Y155" s="39"/>
      <c r="Z155" s="39"/>
    </row>
    <row r="156" spans="1:26" ht="15.75" thickBot="1" x14ac:dyDescent="0.3">
      <c r="A156" s="10" t="s">
        <v>958</v>
      </c>
      <c r="B156" s="11" t="s">
        <v>46</v>
      </c>
      <c r="C156" s="11">
        <v>4.1666666666666669E-4</v>
      </c>
      <c r="D156" s="12">
        <v>1.06174179584219</v>
      </c>
      <c r="E156" s="12">
        <v>0.99818039524414726</v>
      </c>
      <c r="F156" s="12">
        <v>0.93596872327911307</v>
      </c>
      <c r="G156" s="12">
        <f>AVERAGE(Table14[[#This Row],[Bulk resorufin fluorescence, replicate 1]:[Bulk resorufin fluorescence, replicate 3]])</f>
        <v>0.99863030478848336</v>
      </c>
      <c r="H156" s="25">
        <f>STDEV(Table14[[#This Row],[Bulk resorufin fluorescence, replicate 1]:[Bulk resorufin fluorescence, replicate 3]])</f>
        <v>6.2887743316466807E-2</v>
      </c>
      <c r="I156" s="12">
        <v>1.2535762697745567</v>
      </c>
      <c r="J156" s="12">
        <v>0.9202085637541475</v>
      </c>
      <c r="K156" s="12">
        <v>1.0254898864972017</v>
      </c>
      <c r="L156" s="12">
        <f>AVERAGE(Table14[[#This Row],[Bulk GFP fluorescence, replicate 1]:[Bulk GFP fluorescence, replicate 3]])</f>
        <v>1.066424906675302</v>
      </c>
      <c r="M156" s="25">
        <f>STDEV(Table14[[#This Row],[Bulk GFP fluorescence, replicate 1]:[Bulk GFP fluorescence, replicate 3]])</f>
        <v>0.17041204112991459</v>
      </c>
      <c r="N156" s="25"/>
      <c r="O156" s="25"/>
      <c r="P156" s="25"/>
      <c r="Q156" s="25"/>
      <c r="W156" s="39"/>
      <c r="X156" s="39"/>
      <c r="Y156" s="39"/>
      <c r="Z156" s="39"/>
    </row>
    <row r="157" spans="1:26" x14ac:dyDescent="0.25">
      <c r="A157" s="1" t="s">
        <v>960</v>
      </c>
      <c r="B157" s="2" t="s">
        <v>47</v>
      </c>
      <c r="C157" s="2">
        <v>30</v>
      </c>
      <c r="D157" s="8">
        <v>0.10358441956889097</v>
      </c>
      <c r="E157" s="8">
        <v>0.23649919848578976</v>
      </c>
      <c r="F157" s="8">
        <v>0.3154647097037046</v>
      </c>
      <c r="G157" s="8">
        <f>AVERAGE(Table14[[#This Row],[Bulk resorufin fluorescence, replicate 1]:[Bulk resorufin fluorescence, replicate 3]])</f>
        <v>0.2185161092527951</v>
      </c>
      <c r="H157" s="17">
        <f>STDEV(Table14[[#This Row],[Bulk resorufin fluorescence, replicate 1]:[Bulk resorufin fluorescence, replicate 3]])</f>
        <v>0.107078746540453</v>
      </c>
      <c r="I157" s="8">
        <v>0.27203982781549441</v>
      </c>
      <c r="J157" s="8">
        <v>0.13076816346203005</v>
      </c>
      <c r="K157" s="8">
        <v>0.12474494217675701</v>
      </c>
      <c r="L157" s="8">
        <f>AVERAGE(Table14[[#This Row],[Bulk GFP fluorescence, replicate 1]:[Bulk GFP fluorescence, replicate 3]])</f>
        <v>0.17585097781809381</v>
      </c>
      <c r="M157" s="17">
        <f>STDEV(Table14[[#This Row],[Bulk GFP fluorescence, replicate 1]:[Bulk GFP fluorescence, replicate 3]])</f>
        <v>8.3356409150884547E-2</v>
      </c>
      <c r="N157" s="17">
        <v>14.12</v>
      </c>
      <c r="O157" s="17">
        <v>7.026535599999999</v>
      </c>
      <c r="P157" s="17" t="s">
        <v>15</v>
      </c>
      <c r="Q157" s="8" t="s">
        <v>15</v>
      </c>
      <c r="W157" s="39"/>
      <c r="X157" s="39"/>
      <c r="Y157" s="39"/>
      <c r="Z157" s="39"/>
    </row>
    <row r="158" spans="1:26" x14ac:dyDescent="0.25">
      <c r="A158" s="1" t="s">
        <v>960</v>
      </c>
      <c r="B158" s="2" t="s">
        <v>47</v>
      </c>
      <c r="C158" s="2">
        <v>10</v>
      </c>
      <c r="D158" s="8">
        <v>0.86412002662209564</v>
      </c>
      <c r="E158" s="8">
        <v>0.88282203854100372</v>
      </c>
      <c r="F158" s="8">
        <v>0.84977843329725999</v>
      </c>
      <c r="G158" s="8">
        <f>AVERAGE(Table14[[#This Row],[Bulk resorufin fluorescence, replicate 1]:[Bulk resorufin fluorescence, replicate 3]])</f>
        <v>0.86557349948678652</v>
      </c>
      <c r="H158" s="17">
        <f>STDEV(Table14[[#This Row],[Bulk resorufin fluorescence, replicate 1]:[Bulk resorufin fluorescence, replicate 3]])</f>
        <v>1.6569683141279025E-2</v>
      </c>
      <c r="I158" s="8">
        <v>0.57548985062945424</v>
      </c>
      <c r="J158" s="8">
        <v>0.60167814396401265</v>
      </c>
      <c r="K158" s="8">
        <v>0.63963484538402371</v>
      </c>
      <c r="L158" s="8">
        <f>AVERAGE(Table14[[#This Row],[Bulk GFP fluorescence, replicate 1]:[Bulk GFP fluorescence, replicate 3]])</f>
        <v>0.60560094665916353</v>
      </c>
      <c r="M158" s="17">
        <f>STDEV(Table14[[#This Row],[Bulk GFP fluorescence, replicate 1]:[Bulk GFP fluorescence, replicate 3]])</f>
        <v>3.2251920466148193E-2</v>
      </c>
      <c r="N158" s="17"/>
      <c r="O158" s="17"/>
      <c r="W158" s="39"/>
      <c r="X158" s="39"/>
      <c r="Y158" s="39"/>
      <c r="Z158" s="39"/>
    </row>
    <row r="159" spans="1:26" x14ac:dyDescent="0.25">
      <c r="A159" s="1" t="s">
        <v>960</v>
      </c>
      <c r="B159" s="2" t="s">
        <v>47</v>
      </c>
      <c r="C159" s="2">
        <v>2.9999999999999996</v>
      </c>
      <c r="D159" s="8">
        <v>0.95853526044167237</v>
      </c>
      <c r="E159" s="8">
        <v>0.8728141815508762</v>
      </c>
      <c r="F159" s="8">
        <v>0.8543981948107775</v>
      </c>
      <c r="G159" s="8">
        <f>AVERAGE(Table14[[#This Row],[Bulk resorufin fluorescence, replicate 1]:[Bulk resorufin fluorescence, replicate 3]])</f>
        <v>0.89524921226777543</v>
      </c>
      <c r="H159" s="17">
        <f>STDEV(Table14[[#This Row],[Bulk resorufin fluorescence, replicate 1]:[Bulk resorufin fluorescence, replicate 3]])</f>
        <v>5.5575444775588456E-2</v>
      </c>
      <c r="I159" s="8">
        <v>0.83204541358218143</v>
      </c>
      <c r="J159" s="8">
        <v>0.78409779679706726</v>
      </c>
      <c r="K159" s="8">
        <v>0.99140937882966851</v>
      </c>
      <c r="L159" s="8">
        <f>AVERAGE(Table14[[#This Row],[Bulk GFP fluorescence, replicate 1]:[Bulk GFP fluorescence, replicate 3]])</f>
        <v>0.8691841964029724</v>
      </c>
      <c r="M159" s="17">
        <f>STDEV(Table14[[#This Row],[Bulk GFP fluorescence, replicate 1]:[Bulk GFP fluorescence, replicate 3]])</f>
        <v>0.10853105501777963</v>
      </c>
      <c r="N159" s="17"/>
      <c r="O159" s="17"/>
      <c r="W159" s="39"/>
      <c r="X159" s="39"/>
      <c r="Y159" s="39"/>
      <c r="Z159" s="39"/>
    </row>
    <row r="160" spans="1:26" x14ac:dyDescent="0.25">
      <c r="A160" s="1" t="s">
        <v>960</v>
      </c>
      <c r="B160" s="2" t="s">
        <v>47</v>
      </c>
      <c r="C160" s="2">
        <v>1</v>
      </c>
      <c r="D160" s="8">
        <v>0.94582131641506573</v>
      </c>
      <c r="E160" s="8">
        <v>0.84823103852708637</v>
      </c>
      <c r="F160" s="8">
        <v>0.86421808988724924</v>
      </c>
      <c r="G160" s="8">
        <f>AVERAGE(Table14[[#This Row],[Bulk resorufin fluorescence, replicate 1]:[Bulk resorufin fluorescence, replicate 3]])</f>
        <v>0.88609014827646704</v>
      </c>
      <c r="H160" s="17">
        <f>STDEV(Table14[[#This Row],[Bulk resorufin fluorescence, replicate 1]:[Bulk resorufin fluorescence, replicate 3]])</f>
        <v>5.2342676547911415E-2</v>
      </c>
      <c r="I160" s="8">
        <v>1.0793130156482658</v>
      </c>
      <c r="J160" s="8">
        <v>0.79749811957323447</v>
      </c>
      <c r="K160" s="8">
        <v>0.82783786989086128</v>
      </c>
      <c r="L160" s="8">
        <f>AVERAGE(Table14[[#This Row],[Bulk GFP fluorescence, replicate 1]:[Bulk GFP fluorescence, replicate 3]])</f>
        <v>0.9015496683707872</v>
      </c>
      <c r="M160" s="17">
        <f>STDEV(Table14[[#This Row],[Bulk GFP fluorescence, replicate 1]:[Bulk GFP fluorescence, replicate 3]])</f>
        <v>0.15469318290992673</v>
      </c>
      <c r="N160" s="17"/>
      <c r="O160" s="17"/>
      <c r="W160" s="39"/>
      <c r="X160" s="39"/>
      <c r="Y160" s="39"/>
      <c r="Z160" s="39"/>
    </row>
    <row r="161" spans="1:26" x14ac:dyDescent="0.25">
      <c r="A161" s="1" t="s">
        <v>960</v>
      </c>
      <c r="B161" s="2" t="s">
        <v>47</v>
      </c>
      <c r="C161" s="2">
        <v>0.33300000000000002</v>
      </c>
      <c r="D161" s="8">
        <v>0.87629512078732263</v>
      </c>
      <c r="E161" s="8">
        <v>0.91364269546635213</v>
      </c>
      <c r="F161" s="8">
        <v>0.89276078727855424</v>
      </c>
      <c r="G161" s="8">
        <f>AVERAGE(Table14[[#This Row],[Bulk resorufin fluorescence, replicate 1]:[Bulk resorufin fluorescence, replicate 3]])</f>
        <v>0.8942328678440763</v>
      </c>
      <c r="H161" s="17">
        <f>STDEV(Table14[[#This Row],[Bulk resorufin fluorescence, replicate 1]:[Bulk resorufin fluorescence, replicate 3]])</f>
        <v>1.8717254058620941E-2</v>
      </c>
      <c r="I161" s="8">
        <v>1.0971095281163787</v>
      </c>
      <c r="J161" s="8">
        <v>0.78267378429496781</v>
      </c>
      <c r="K161" s="8">
        <v>0.89884353513944182</v>
      </c>
      <c r="L161" s="8">
        <f>AVERAGE(Table14[[#This Row],[Bulk GFP fluorescence, replicate 1]:[Bulk GFP fluorescence, replicate 3]])</f>
        <v>0.92620894918359609</v>
      </c>
      <c r="M161" s="17">
        <f>STDEV(Table14[[#This Row],[Bulk GFP fluorescence, replicate 1]:[Bulk GFP fluorescence, replicate 3]])</f>
        <v>0.15899405228651498</v>
      </c>
      <c r="N161" s="17"/>
      <c r="O161" s="17"/>
      <c r="W161" s="39"/>
      <c r="X161" s="39"/>
      <c r="Y161" s="39"/>
      <c r="Z161" s="39"/>
    </row>
    <row r="162" spans="1:26" x14ac:dyDescent="0.25">
      <c r="A162" s="1" t="s">
        <v>960</v>
      </c>
      <c r="B162" s="2" t="s">
        <v>47</v>
      </c>
      <c r="C162" s="2">
        <v>0.11099999999999999</v>
      </c>
      <c r="D162" s="8">
        <v>0.85481394388097132</v>
      </c>
      <c r="E162" s="8">
        <v>0.85858050378362782</v>
      </c>
      <c r="F162" s="8">
        <v>0.87619696898762611</v>
      </c>
      <c r="G162" s="8">
        <f>AVERAGE(Table14[[#This Row],[Bulk resorufin fluorescence, replicate 1]:[Bulk resorufin fluorescence, replicate 3]])</f>
        <v>0.86319713888407501</v>
      </c>
      <c r="H162" s="17">
        <f>STDEV(Table14[[#This Row],[Bulk resorufin fluorescence, replicate 1]:[Bulk resorufin fluorescence, replicate 3]])</f>
        <v>1.1414614772999069E-2</v>
      </c>
      <c r="I162" s="8">
        <v>0.9195990588632641</v>
      </c>
      <c r="J162" s="8">
        <v>0.83101718308419203</v>
      </c>
      <c r="K162" s="8">
        <v>0.92624229504906541</v>
      </c>
      <c r="L162" s="8">
        <f>AVERAGE(Table14[[#This Row],[Bulk GFP fluorescence, replicate 1]:[Bulk GFP fluorescence, replicate 3]])</f>
        <v>0.89228617899884055</v>
      </c>
      <c r="M162" s="17">
        <f>STDEV(Table14[[#This Row],[Bulk GFP fluorescence, replicate 1]:[Bulk GFP fluorescence, replicate 3]])</f>
        <v>5.3164372864231119E-2</v>
      </c>
      <c r="N162" s="17"/>
      <c r="O162" s="17"/>
      <c r="W162" s="39"/>
      <c r="X162" s="39"/>
      <c r="Y162" s="39"/>
      <c r="Z162" s="39"/>
    </row>
    <row r="163" spans="1:26" x14ac:dyDescent="0.25">
      <c r="A163" s="1" t="s">
        <v>960</v>
      </c>
      <c r="B163" s="2" t="s">
        <v>47</v>
      </c>
      <c r="C163" s="2">
        <v>3.6999999999999998E-2</v>
      </c>
      <c r="D163" s="8">
        <v>0.87167848819117788</v>
      </c>
      <c r="E163" s="8">
        <v>0.85866906888973515</v>
      </c>
      <c r="F163" s="8">
        <v>0.87453710492623671</v>
      </c>
      <c r="G163" s="8">
        <f>AVERAGE(Table14[[#This Row],[Bulk resorufin fluorescence, replicate 1]:[Bulk resorufin fluorescence, replicate 3]])</f>
        <v>0.86829488733571658</v>
      </c>
      <c r="H163" s="17">
        <f>STDEV(Table14[[#This Row],[Bulk resorufin fluorescence, replicate 1]:[Bulk resorufin fluorescence, replicate 3]])</f>
        <v>8.4578488976652221E-3</v>
      </c>
      <c r="I163" s="8">
        <v>0.86835289704814977</v>
      </c>
      <c r="J163" s="8">
        <v>0.82491948852391972</v>
      </c>
      <c r="K163" s="8">
        <v>0.87989855464699396</v>
      </c>
      <c r="L163" s="8">
        <f>AVERAGE(Table14[[#This Row],[Bulk GFP fluorescence, replicate 1]:[Bulk GFP fluorescence, replicate 3]])</f>
        <v>0.85772364673968793</v>
      </c>
      <c r="M163" s="17">
        <f>STDEV(Table14[[#This Row],[Bulk GFP fluorescence, replicate 1]:[Bulk GFP fluorescence, replicate 3]])</f>
        <v>2.8989828380507811E-2</v>
      </c>
      <c r="N163" s="17"/>
      <c r="O163" s="17"/>
      <c r="W163" s="39"/>
      <c r="X163" s="39"/>
      <c r="Y163" s="39"/>
      <c r="Z163" s="39"/>
    </row>
    <row r="164" spans="1:26" x14ac:dyDescent="0.25">
      <c r="A164" s="1" t="s">
        <v>960</v>
      </c>
      <c r="B164" s="2" t="s">
        <v>47</v>
      </c>
      <c r="C164" s="2">
        <v>1.2333333333333333E-2</v>
      </c>
      <c r="D164" s="8">
        <v>0.87737282051008192</v>
      </c>
      <c r="E164" s="8">
        <v>0.90400175105866931</v>
      </c>
      <c r="F164" s="8">
        <v>0.86123497755314382</v>
      </c>
      <c r="G164" s="8">
        <f>AVERAGE(Table14[[#This Row],[Bulk resorufin fluorescence, replicate 1]:[Bulk resorufin fluorescence, replicate 3]])</f>
        <v>0.88086984970729831</v>
      </c>
      <c r="H164" s="17">
        <f>STDEV(Table14[[#This Row],[Bulk resorufin fluorescence, replicate 1]:[Bulk resorufin fluorescence, replicate 3]])</f>
        <v>2.1596785384007208E-2</v>
      </c>
      <c r="I164" s="8">
        <v>1.0022164452115854</v>
      </c>
      <c r="J164" s="8">
        <v>0.86738427159934861</v>
      </c>
      <c r="K164" s="8">
        <v>0.93299315487141443</v>
      </c>
      <c r="L164" s="8">
        <f>AVERAGE(Table14[[#This Row],[Bulk GFP fluorescence, replicate 1]:[Bulk GFP fluorescence, replicate 3]])</f>
        <v>0.93419795722744947</v>
      </c>
      <c r="M164" s="17">
        <f>STDEV(Table14[[#This Row],[Bulk GFP fluorescence, replicate 1]:[Bulk GFP fluorescence, replicate 3]])</f>
        <v>6.7424160519712215E-2</v>
      </c>
      <c r="N164" s="17"/>
      <c r="O164" s="17"/>
      <c r="W164" s="39"/>
      <c r="X164" s="39"/>
      <c r="Y164" s="39"/>
      <c r="Z164" s="39"/>
    </row>
    <row r="165" spans="1:26" x14ac:dyDescent="0.25">
      <c r="A165" s="1" t="s">
        <v>960</v>
      </c>
      <c r="B165" s="2" t="s">
        <v>47</v>
      </c>
      <c r="C165" s="2">
        <v>3.7500000000000003E-3</v>
      </c>
      <c r="D165" s="8">
        <v>1.0107891334857322</v>
      </c>
      <c r="E165" s="8">
        <v>0.91785586408545772</v>
      </c>
      <c r="F165" s="8">
        <v>0.87857649439031726</v>
      </c>
      <c r="G165" s="8">
        <f>AVERAGE(Table14[[#This Row],[Bulk resorufin fluorescence, replicate 1]:[Bulk resorufin fluorescence, replicate 3]])</f>
        <v>0.93574049732050246</v>
      </c>
      <c r="H165" s="17">
        <f>STDEV(Table14[[#This Row],[Bulk resorufin fluorescence, replicate 1]:[Bulk resorufin fluorescence, replicate 3]])</f>
        <v>6.7896543090260913E-2</v>
      </c>
      <c r="I165" s="8">
        <v>0.9635707338300985</v>
      </c>
      <c r="J165" s="8">
        <v>0.96063883391632654</v>
      </c>
      <c r="K165" s="8">
        <v>1.0259847284603478</v>
      </c>
      <c r="L165" s="8">
        <f>AVERAGE(Table14[[#This Row],[Bulk GFP fluorescence, replicate 1]:[Bulk GFP fluorescence, replicate 3]])</f>
        <v>0.98339809873559092</v>
      </c>
      <c r="M165" s="17">
        <f>STDEV(Table14[[#This Row],[Bulk GFP fluorescence, replicate 1]:[Bulk GFP fluorescence, replicate 3]])</f>
        <v>3.6910225991739105E-2</v>
      </c>
      <c r="N165" s="17"/>
      <c r="O165" s="17"/>
      <c r="W165" s="39"/>
      <c r="X165" s="39"/>
      <c r="Y165" s="39"/>
      <c r="Z165" s="39"/>
    </row>
    <row r="166" spans="1:26" x14ac:dyDescent="0.25">
      <c r="A166" s="1" t="s">
        <v>960</v>
      </c>
      <c r="B166" s="2" t="s">
        <v>47</v>
      </c>
      <c r="C166" s="2">
        <v>1.25E-3</v>
      </c>
      <c r="D166" s="8">
        <v>0.94137944593612533</v>
      </c>
      <c r="E166" s="8">
        <v>0.92505494199618155</v>
      </c>
      <c r="F166" s="8">
        <v>0.86186177936653552</v>
      </c>
      <c r="G166" s="8">
        <f>AVERAGE(Table14[[#This Row],[Bulk resorufin fluorescence, replicate 1]:[Bulk resorufin fluorescence, replicate 3]])</f>
        <v>0.90943205576628083</v>
      </c>
      <c r="H166" s="17">
        <f>STDEV(Table14[[#This Row],[Bulk resorufin fluorescence, replicate 1]:[Bulk resorufin fluorescence, replicate 3]])</f>
        <v>4.199786607415229E-2</v>
      </c>
      <c r="I166" s="8">
        <v>0.95843962257104387</v>
      </c>
      <c r="J166" s="8">
        <v>0.85967999883157953</v>
      </c>
      <c r="K166" s="8">
        <v>0.96775096017296813</v>
      </c>
      <c r="L166" s="8">
        <f>AVERAGE(Table14[[#This Row],[Bulk GFP fluorescence, replicate 1]:[Bulk GFP fluorescence, replicate 3]])</f>
        <v>0.92862352719186381</v>
      </c>
      <c r="M166" s="17">
        <f>STDEV(Table14[[#This Row],[Bulk GFP fluorescence, replicate 1]:[Bulk GFP fluorescence, replicate 3]])</f>
        <v>5.9888085869046176E-2</v>
      </c>
      <c r="N166" s="17"/>
      <c r="O166" s="17"/>
      <c r="W166" s="39"/>
      <c r="X166" s="39"/>
      <c r="Y166" s="39"/>
      <c r="Z166" s="39"/>
    </row>
    <row r="167" spans="1:26" ht="15.75" thickBot="1" x14ac:dyDescent="0.3">
      <c r="A167" s="10" t="s">
        <v>960</v>
      </c>
      <c r="B167" s="11" t="s">
        <v>47</v>
      </c>
      <c r="C167" s="11">
        <v>4.1666666666666669E-4</v>
      </c>
      <c r="D167" s="12">
        <v>0.97800667300017508</v>
      </c>
      <c r="E167" s="12">
        <v>0.88162008352954713</v>
      </c>
      <c r="F167" s="12">
        <v>0.98068715276823937</v>
      </c>
      <c r="G167" s="12">
        <f>AVERAGE(Table14[[#This Row],[Bulk resorufin fluorescence, replicate 1]:[Bulk resorufin fluorescence, replicate 3]])</f>
        <v>0.94677130309932045</v>
      </c>
      <c r="H167" s="25">
        <f>STDEV(Table14[[#This Row],[Bulk resorufin fluorescence, replicate 1]:[Bulk resorufin fluorescence, replicate 3]])</f>
        <v>5.6438526748298169E-2</v>
      </c>
      <c r="I167" s="12">
        <v>1.0207923669848713</v>
      </c>
      <c r="J167" s="12">
        <v>0.9935006608878536</v>
      </c>
      <c r="K167" s="12">
        <v>1.0011707572214434</v>
      </c>
      <c r="L167" s="12">
        <f>AVERAGE(Table14[[#This Row],[Bulk GFP fluorescence, replicate 1]:[Bulk GFP fluorescence, replicate 3]])</f>
        <v>1.0051545950313894</v>
      </c>
      <c r="M167" s="25">
        <f>STDEV(Table14[[#This Row],[Bulk GFP fluorescence, replicate 1]:[Bulk GFP fluorescence, replicate 3]])</f>
        <v>1.4075245226761231E-2</v>
      </c>
      <c r="N167" s="25"/>
      <c r="O167" s="25"/>
      <c r="P167" s="25"/>
      <c r="Q167" s="25"/>
      <c r="W167" s="39"/>
      <c r="X167" s="39"/>
      <c r="Y167" s="39"/>
      <c r="Z167" s="39"/>
    </row>
    <row r="168" spans="1:26" x14ac:dyDescent="0.25">
      <c r="A168" s="1" t="s">
        <v>962</v>
      </c>
      <c r="B168" s="2" t="s">
        <v>48</v>
      </c>
      <c r="C168" s="2">
        <v>30</v>
      </c>
      <c r="E168" s="8">
        <v>0.75045516138460155</v>
      </c>
      <c r="F168" s="8">
        <v>0.73274060580782185</v>
      </c>
      <c r="G168" s="8">
        <f>AVERAGE(Table14[[#This Row],[Bulk resorufin fluorescence, replicate 1]:[Bulk resorufin fluorescence, replicate 3]])</f>
        <v>0.7415978835962117</v>
      </c>
      <c r="H168" s="17">
        <f>STDEV(Table14[[#This Row],[Bulk resorufin fluorescence, replicate 1]:[Bulk resorufin fluorescence, replicate 3]])</f>
        <v>1.2526082374046899E-2</v>
      </c>
      <c r="I168" s="8"/>
      <c r="J168" s="8">
        <v>0.31026676500872669</v>
      </c>
      <c r="K168" s="8">
        <v>0.21518213637345029</v>
      </c>
      <c r="L168" s="8">
        <f>AVERAGE(Table14[[#This Row],[Bulk GFP fluorescence, replicate 1]:[Bulk GFP fluorescence, replicate 3]])</f>
        <v>0.26272445069108852</v>
      </c>
      <c r="M168" s="17">
        <f>STDEV(Table14[[#This Row],[Bulk GFP fluorescence, replicate 1]:[Bulk GFP fluorescence, replicate 3]])</f>
        <v>6.7234985694608479E-2</v>
      </c>
      <c r="N168" s="17">
        <v>18.285</v>
      </c>
      <c r="O168" s="17">
        <v>7.5599332499999994</v>
      </c>
      <c r="P168" s="17" t="s">
        <v>15</v>
      </c>
      <c r="Q168" s="8" t="s">
        <v>15</v>
      </c>
      <c r="W168" s="39"/>
      <c r="X168" s="39"/>
      <c r="Y168" s="39"/>
      <c r="Z168" s="39"/>
    </row>
    <row r="169" spans="1:26" x14ac:dyDescent="0.25">
      <c r="A169" s="1" t="s">
        <v>962</v>
      </c>
      <c r="B169" s="2" t="s">
        <v>48</v>
      </c>
      <c r="C169" s="2">
        <v>10</v>
      </c>
      <c r="E169" s="8">
        <v>0.83158079857890965</v>
      </c>
      <c r="F169" s="8">
        <v>0.81955265696258817</v>
      </c>
      <c r="G169" s="8">
        <f>AVERAGE(Table14[[#This Row],[Bulk resorufin fluorescence, replicate 1]:[Bulk resorufin fluorescence, replicate 3]])</f>
        <v>0.82556672777074891</v>
      </c>
      <c r="H169" s="17">
        <f>STDEV(Table14[[#This Row],[Bulk resorufin fluorescence, replicate 1]:[Bulk resorufin fluorescence, replicate 3]])</f>
        <v>8.5051805019730441E-3</v>
      </c>
      <c r="I169" s="8"/>
      <c r="J169" s="8">
        <v>0.73235867588745185</v>
      </c>
      <c r="K169" s="8">
        <v>0.7745912232740455</v>
      </c>
      <c r="L169" s="8">
        <f>AVERAGE(Table14[[#This Row],[Bulk GFP fluorescence, replicate 1]:[Bulk GFP fluorescence, replicate 3]])</f>
        <v>0.75347494958074868</v>
      </c>
      <c r="M169" s="17">
        <f>STDEV(Table14[[#This Row],[Bulk GFP fluorescence, replicate 1]:[Bulk GFP fluorescence, replicate 3]])</f>
        <v>2.9862920643842578E-2</v>
      </c>
      <c r="N169" s="17"/>
      <c r="O169" s="17"/>
      <c r="W169" s="39"/>
      <c r="X169" s="39"/>
      <c r="Y169" s="39"/>
      <c r="Z169" s="39"/>
    </row>
    <row r="170" spans="1:26" x14ac:dyDescent="0.25">
      <c r="A170" s="1" t="s">
        <v>962</v>
      </c>
      <c r="B170" s="2" t="s">
        <v>48</v>
      </c>
      <c r="C170" s="2">
        <v>2.9999999999999996</v>
      </c>
      <c r="E170" s="8">
        <v>0.8983968450578772</v>
      </c>
      <c r="F170" s="8">
        <v>0.91048534966835604</v>
      </c>
      <c r="G170" s="8">
        <f>AVERAGE(Table14[[#This Row],[Bulk resorufin fluorescence, replicate 1]:[Bulk resorufin fluorescence, replicate 3]])</f>
        <v>0.90444109736311662</v>
      </c>
      <c r="H170" s="17">
        <f>STDEV(Table14[[#This Row],[Bulk resorufin fluorescence, replicate 1]:[Bulk resorufin fluorescence, replicate 3]])</f>
        <v>8.5478635844744282E-3</v>
      </c>
      <c r="I170" s="8"/>
      <c r="J170" s="8">
        <v>0.78891753141955789</v>
      </c>
      <c r="K170" s="8">
        <v>0.90991251250581584</v>
      </c>
      <c r="L170" s="8">
        <f>AVERAGE(Table14[[#This Row],[Bulk GFP fluorescence, replicate 1]:[Bulk GFP fluorescence, replicate 3]])</f>
        <v>0.84941502196268681</v>
      </c>
      <c r="M170" s="17">
        <f>STDEV(Table14[[#This Row],[Bulk GFP fluorescence, replicate 1]:[Bulk GFP fluorescence, replicate 3]])</f>
        <v>8.5556371615631052E-2</v>
      </c>
      <c r="N170" s="17"/>
      <c r="O170" s="17"/>
      <c r="W170" s="39"/>
      <c r="X170" s="39"/>
      <c r="Y170" s="39"/>
      <c r="Z170" s="39"/>
    </row>
    <row r="171" spans="1:26" x14ac:dyDescent="0.25">
      <c r="A171" s="1" t="s">
        <v>962</v>
      </c>
      <c r="B171" s="2" t="s">
        <v>48</v>
      </c>
      <c r="C171" s="2">
        <v>1</v>
      </c>
      <c r="E171" s="8">
        <v>0.89357637285403579</v>
      </c>
      <c r="F171" s="8">
        <v>0.84446222532441839</v>
      </c>
      <c r="G171" s="8">
        <f>AVERAGE(Table14[[#This Row],[Bulk resorufin fluorescence, replicate 1]:[Bulk resorufin fluorescence, replicate 3]])</f>
        <v>0.86901929908922715</v>
      </c>
      <c r="H171" s="17">
        <f>STDEV(Table14[[#This Row],[Bulk resorufin fluorescence, replicate 1]:[Bulk resorufin fluorescence, replicate 3]])</f>
        <v>3.4728946770388985E-2</v>
      </c>
      <c r="I171" s="8"/>
      <c r="J171" s="8">
        <v>0.82736586897624464</v>
      </c>
      <c r="K171" s="8">
        <v>0.937645774478709</v>
      </c>
      <c r="L171" s="8">
        <f>AVERAGE(Table14[[#This Row],[Bulk GFP fluorescence, replicate 1]:[Bulk GFP fluorescence, replicate 3]])</f>
        <v>0.88250582172747682</v>
      </c>
      <c r="M171" s="17">
        <f>STDEV(Table14[[#This Row],[Bulk GFP fluorescence, replicate 1]:[Bulk GFP fluorescence, replicate 3]])</f>
        <v>7.7979669009404201E-2</v>
      </c>
      <c r="N171" s="17"/>
      <c r="O171" s="17"/>
      <c r="W171" s="39"/>
      <c r="X171" s="39"/>
      <c r="Y171" s="39"/>
      <c r="Z171" s="39"/>
    </row>
    <row r="172" spans="1:26" x14ac:dyDescent="0.25">
      <c r="A172" s="1" t="s">
        <v>962</v>
      </c>
      <c r="B172" s="2" t="s">
        <v>48</v>
      </c>
      <c r="C172" s="2">
        <v>0.33300000000000002</v>
      </c>
      <c r="E172" s="8">
        <v>0.90387522947851595</v>
      </c>
      <c r="F172" s="8">
        <v>0.90841922517236084</v>
      </c>
      <c r="G172" s="8">
        <f>AVERAGE(Table14[[#This Row],[Bulk resorufin fluorescence, replicate 1]:[Bulk resorufin fluorescence, replicate 3]])</f>
        <v>0.9061472273254384</v>
      </c>
      <c r="H172" s="17">
        <f>STDEV(Table14[[#This Row],[Bulk resorufin fluorescence, replicate 1]:[Bulk resorufin fluorescence, replicate 3]])</f>
        <v>3.2130901688001952E-3</v>
      </c>
      <c r="I172" s="8"/>
      <c r="J172" s="8">
        <v>0.93664970022711169</v>
      </c>
      <c r="K172" s="8">
        <v>0.96799423440080057</v>
      </c>
      <c r="L172" s="8">
        <f>AVERAGE(Table14[[#This Row],[Bulk GFP fluorescence, replicate 1]:[Bulk GFP fluorescence, replicate 3]])</f>
        <v>0.95232196731395613</v>
      </c>
      <c r="M172" s="17">
        <f>STDEV(Table14[[#This Row],[Bulk GFP fluorescence, replicate 1]:[Bulk GFP fluorescence, replicate 3]])</f>
        <v>2.2163932667348882E-2</v>
      </c>
      <c r="N172" s="17"/>
      <c r="O172" s="17"/>
      <c r="W172" s="39"/>
      <c r="X172" s="39"/>
      <c r="Y172" s="39"/>
      <c r="Z172" s="39"/>
    </row>
    <row r="173" spans="1:26" x14ac:dyDescent="0.25">
      <c r="A173" s="1" t="s">
        <v>962</v>
      </c>
      <c r="B173" s="2" t="s">
        <v>48</v>
      </c>
      <c r="C173" s="2">
        <v>0.11099999999999999</v>
      </c>
      <c r="E173" s="8">
        <v>0.86910709925238394</v>
      </c>
      <c r="F173" s="8">
        <v>0.92020077777592924</v>
      </c>
      <c r="G173" s="8">
        <f>AVERAGE(Table14[[#This Row],[Bulk resorufin fluorescence, replicate 1]:[Bulk resorufin fluorescence, replicate 3]])</f>
        <v>0.89465393851415653</v>
      </c>
      <c r="H173" s="17">
        <f>STDEV(Table14[[#This Row],[Bulk resorufin fluorescence, replicate 1]:[Bulk resorufin fluorescence, replicate 3]])</f>
        <v>3.6128686559764346E-2</v>
      </c>
      <c r="I173" s="8"/>
      <c r="J173" s="8">
        <v>0.87669512257461457</v>
      </c>
      <c r="K173" s="8">
        <v>0.9663521333629318</v>
      </c>
      <c r="L173" s="8">
        <f>AVERAGE(Table14[[#This Row],[Bulk GFP fluorescence, replicate 1]:[Bulk GFP fluorescence, replicate 3]])</f>
        <v>0.92152362796877318</v>
      </c>
      <c r="M173" s="17">
        <f>STDEV(Table14[[#This Row],[Bulk GFP fluorescence, replicate 1]:[Bulk GFP fluorescence, replicate 3]])</f>
        <v>6.3397080309334566E-2</v>
      </c>
      <c r="N173" s="17"/>
      <c r="O173" s="17"/>
      <c r="W173" s="39"/>
      <c r="X173" s="39"/>
      <c r="Y173" s="39"/>
      <c r="Z173" s="39"/>
    </row>
    <row r="174" spans="1:26" x14ac:dyDescent="0.25">
      <c r="A174" s="1" t="s">
        <v>962</v>
      </c>
      <c r="B174" s="2" t="s">
        <v>48</v>
      </c>
      <c r="C174" s="2">
        <v>3.6999999999999998E-2</v>
      </c>
      <c r="E174" s="8">
        <v>0.90603874849913779</v>
      </c>
      <c r="F174" s="8">
        <v>0.88313821869889098</v>
      </c>
      <c r="G174" s="8">
        <f>AVERAGE(Table14[[#This Row],[Bulk resorufin fluorescence, replicate 1]:[Bulk resorufin fluorescence, replicate 3]])</f>
        <v>0.89458848359901433</v>
      </c>
      <c r="H174" s="17">
        <f>STDEV(Table14[[#This Row],[Bulk resorufin fluorescence, replicate 1]:[Bulk resorufin fluorescence, replicate 3]])</f>
        <v>1.6193119914519136E-2</v>
      </c>
      <c r="I174" s="8"/>
      <c r="J174" s="8">
        <v>0.91605628865828814</v>
      </c>
      <c r="K174" s="8">
        <v>0.85696995867379067</v>
      </c>
      <c r="L174" s="8">
        <f>AVERAGE(Table14[[#This Row],[Bulk GFP fluorescence, replicate 1]:[Bulk GFP fluorescence, replicate 3]])</f>
        <v>0.8865131236660394</v>
      </c>
      <c r="M174" s="17">
        <f>STDEV(Table14[[#This Row],[Bulk GFP fluorescence, replicate 1]:[Bulk GFP fluorescence, replicate 3]])</f>
        <v>4.1780344607464201E-2</v>
      </c>
      <c r="N174" s="17"/>
      <c r="O174" s="17"/>
      <c r="W174" s="39"/>
      <c r="X174" s="39"/>
      <c r="Y174" s="39"/>
      <c r="Z174" s="39"/>
    </row>
    <row r="175" spans="1:26" x14ac:dyDescent="0.25">
      <c r="A175" s="1" t="s">
        <v>962</v>
      </c>
      <c r="B175" s="2" t="s">
        <v>48</v>
      </c>
      <c r="C175" s="2">
        <v>1.2333333333333333E-2</v>
      </c>
      <c r="E175" s="8">
        <v>0.95612864208183668</v>
      </c>
      <c r="F175" s="8">
        <v>0.86167606031071586</v>
      </c>
      <c r="G175" s="8">
        <f>AVERAGE(Table14[[#This Row],[Bulk resorufin fluorescence, replicate 1]:[Bulk resorufin fluorescence, replicate 3]])</f>
        <v>0.90890235119627627</v>
      </c>
      <c r="H175" s="17">
        <f>STDEV(Table14[[#This Row],[Bulk resorufin fluorescence, replicate 1]:[Bulk resorufin fluorescence, replicate 3]])</f>
        <v>6.6788061070936419E-2</v>
      </c>
      <c r="I175" s="8"/>
      <c r="J175" s="8">
        <v>0.99572796249370144</v>
      </c>
      <c r="K175" s="8">
        <v>1.0426186037883878</v>
      </c>
      <c r="L175" s="8">
        <f>AVERAGE(Table14[[#This Row],[Bulk GFP fluorescence, replicate 1]:[Bulk GFP fluorescence, replicate 3]])</f>
        <v>1.0191732831410447</v>
      </c>
      <c r="M175" s="17">
        <f>STDEV(Table14[[#This Row],[Bulk GFP fluorescence, replicate 1]:[Bulk GFP fluorescence, replicate 3]])</f>
        <v>3.3156690433658667E-2</v>
      </c>
      <c r="N175" s="17"/>
      <c r="O175" s="17"/>
      <c r="W175" s="39"/>
      <c r="X175" s="39"/>
      <c r="Y175" s="39"/>
      <c r="Z175" s="39"/>
    </row>
    <row r="176" spans="1:26" x14ac:dyDescent="0.25">
      <c r="A176" s="1" t="s">
        <v>962</v>
      </c>
      <c r="B176" s="2" t="s">
        <v>48</v>
      </c>
      <c r="C176" s="2">
        <v>3.7500000000000003E-3</v>
      </c>
      <c r="E176" s="8">
        <v>0.8692842294645986</v>
      </c>
      <c r="F176" s="8">
        <v>0.83789241372479295</v>
      </c>
      <c r="G176" s="8">
        <f>AVERAGE(Table14[[#This Row],[Bulk resorufin fluorescence, replicate 1]:[Bulk resorufin fluorescence, replicate 3]])</f>
        <v>0.85358832159469578</v>
      </c>
      <c r="H176" s="17">
        <f>STDEV(Table14[[#This Row],[Bulk resorufin fluorescence, replicate 1]:[Bulk resorufin fluorescence, replicate 3]])</f>
        <v>2.2197365783375174E-2</v>
      </c>
      <c r="I176" s="8"/>
      <c r="J176" s="8">
        <v>0.96436317430643292</v>
      </c>
      <c r="K176" s="8">
        <v>1.1030722494047382</v>
      </c>
      <c r="L176" s="8">
        <f>AVERAGE(Table14[[#This Row],[Bulk GFP fluorescence, replicate 1]:[Bulk GFP fluorescence, replicate 3]])</f>
        <v>1.0337177118555856</v>
      </c>
      <c r="M176" s="17">
        <f>STDEV(Table14[[#This Row],[Bulk GFP fluorescence, replicate 1]:[Bulk GFP fluorescence, replicate 3]])</f>
        <v>9.8082127614125769E-2</v>
      </c>
      <c r="N176" s="17"/>
      <c r="O176" s="17"/>
      <c r="W176" s="39"/>
      <c r="X176" s="39"/>
      <c r="Y176" s="39"/>
      <c r="Z176" s="39"/>
    </row>
    <row r="177" spans="1:26" x14ac:dyDescent="0.25">
      <c r="A177" s="1" t="s">
        <v>962</v>
      </c>
      <c r="B177" s="2" t="s">
        <v>48</v>
      </c>
      <c r="C177" s="2">
        <v>1.25E-3</v>
      </c>
      <c r="E177" s="8">
        <v>0.91468017242360944</v>
      </c>
      <c r="F177" s="8">
        <v>0.87131023633136773</v>
      </c>
      <c r="G177" s="8">
        <f>AVERAGE(Table14[[#This Row],[Bulk resorufin fluorescence, replicate 1]:[Bulk resorufin fluorescence, replicate 3]])</f>
        <v>0.89299520437748858</v>
      </c>
      <c r="H177" s="17">
        <f>STDEV(Table14[[#This Row],[Bulk resorufin fluorescence, replicate 1]:[Bulk resorufin fluorescence, replicate 3]])</f>
        <v>3.0667175910451309E-2</v>
      </c>
      <c r="I177" s="8"/>
      <c r="J177" s="8">
        <v>0.99437697627376087</v>
      </c>
      <c r="K177" s="8">
        <v>1.1270955794031876</v>
      </c>
      <c r="L177" s="8">
        <f>AVERAGE(Table14[[#This Row],[Bulk GFP fluorescence, replicate 1]:[Bulk GFP fluorescence, replicate 3]])</f>
        <v>1.0607362778384744</v>
      </c>
      <c r="M177" s="17">
        <f>STDEV(Table14[[#This Row],[Bulk GFP fluorescence, replicate 1]:[Bulk GFP fluorescence, replicate 3]])</f>
        <v>9.3846224262423797E-2</v>
      </c>
      <c r="N177" s="17"/>
      <c r="O177" s="17"/>
      <c r="W177" s="39"/>
      <c r="X177" s="39"/>
      <c r="Y177" s="39"/>
      <c r="Z177" s="39"/>
    </row>
    <row r="178" spans="1:26" ht="15.75" thickBot="1" x14ac:dyDescent="0.3">
      <c r="A178" s="10" t="s">
        <v>962</v>
      </c>
      <c r="B178" s="11" t="s">
        <v>48</v>
      </c>
      <c r="C178" s="11">
        <v>4.1666666666666669E-4</v>
      </c>
      <c r="D178" s="11"/>
      <c r="E178" s="12">
        <v>0.97295601224222805</v>
      </c>
      <c r="F178" s="12">
        <v>0.89020715026103203</v>
      </c>
      <c r="G178" s="12">
        <f>AVERAGE(Table14[[#This Row],[Bulk resorufin fluorescence, replicate 1]:[Bulk resorufin fluorescence, replicate 3]])</f>
        <v>0.93158158125163004</v>
      </c>
      <c r="H178" s="25">
        <f>STDEV(Table14[[#This Row],[Bulk resorufin fluorescence, replicate 1]:[Bulk resorufin fluorescence, replicate 3]])</f>
        <v>5.8512281442373394E-2</v>
      </c>
      <c r="I178" s="12"/>
      <c r="J178" s="12">
        <v>1.0056230237262391</v>
      </c>
      <c r="K178" s="12">
        <v>0.99642690977871173</v>
      </c>
      <c r="L178" s="12">
        <f>AVERAGE(Table14[[#This Row],[Bulk GFP fluorescence, replicate 1]:[Bulk GFP fluorescence, replicate 3]])</f>
        <v>1.0010249667524755</v>
      </c>
      <c r="M178" s="25">
        <f>STDEV(Table14[[#This Row],[Bulk GFP fluorescence, replicate 1]:[Bulk GFP fluorescence, replicate 3]])</f>
        <v>6.5026345328608121E-3</v>
      </c>
      <c r="N178" s="25"/>
      <c r="O178" s="25"/>
      <c r="P178" s="25"/>
      <c r="Q178" s="25"/>
      <c r="W178" s="39"/>
      <c r="X178" s="39"/>
      <c r="Y178" s="39"/>
      <c r="Z178" s="39"/>
    </row>
    <row r="179" spans="1:26" x14ac:dyDescent="0.25">
      <c r="A179" s="1" t="s">
        <v>964</v>
      </c>
      <c r="B179" s="2" t="s">
        <v>49</v>
      </c>
      <c r="C179" s="2">
        <v>30</v>
      </c>
      <c r="D179" s="8">
        <v>1.1111384727046505</v>
      </c>
      <c r="E179" s="8">
        <v>1.2761343053983774</v>
      </c>
      <c r="F179" s="8">
        <v>1.1854707571556373</v>
      </c>
      <c r="G179" s="8">
        <f>AVERAGE(Table14[[#This Row],[Bulk resorufin fluorescence, replicate 1]:[Bulk resorufin fluorescence, replicate 3]])</f>
        <v>1.1909145117528883</v>
      </c>
      <c r="H179" s="17">
        <f>STDEV(Table14[[#This Row],[Bulk resorufin fluorescence, replicate 1]:[Bulk resorufin fluorescence, replicate 3]])</f>
        <v>8.26325120619021E-2</v>
      </c>
      <c r="I179" s="8">
        <v>0.13469038477557904</v>
      </c>
      <c r="J179" s="8">
        <v>0.18456302399778596</v>
      </c>
      <c r="K179" s="8">
        <v>0.25405680402785819</v>
      </c>
      <c r="L179" s="8">
        <f>AVERAGE(Table14[[#This Row],[Bulk GFP fluorescence, replicate 1]:[Bulk GFP fluorescence, replicate 3]])</f>
        <v>0.19110340426707439</v>
      </c>
      <c r="M179" s="17">
        <f>STDEV(Table14[[#This Row],[Bulk GFP fluorescence, replicate 1]:[Bulk GFP fluorescence, replicate 3]])</f>
        <v>5.9951379815879877E-2</v>
      </c>
      <c r="N179" s="17">
        <v>18.366666666666664</v>
      </c>
      <c r="O179" s="17">
        <v>7.8697493333333339</v>
      </c>
      <c r="P179" s="17" t="s">
        <v>15</v>
      </c>
      <c r="Q179" s="8" t="s">
        <v>15</v>
      </c>
      <c r="W179" s="39"/>
      <c r="X179" s="39"/>
      <c r="Y179" s="39"/>
      <c r="Z179" s="39"/>
    </row>
    <row r="180" spans="1:26" x14ac:dyDescent="0.25">
      <c r="A180" s="1" t="s">
        <v>964</v>
      </c>
      <c r="B180" s="2" t="s">
        <v>49</v>
      </c>
      <c r="C180" s="2">
        <v>10</v>
      </c>
      <c r="D180" s="8">
        <v>1.100138032038986</v>
      </c>
      <c r="E180" s="8">
        <v>1.1804658002501027</v>
      </c>
      <c r="F180" s="8">
        <v>1.0310765459191491</v>
      </c>
      <c r="G180" s="8">
        <f>AVERAGE(Table14[[#This Row],[Bulk resorufin fluorescence, replicate 1]:[Bulk resorufin fluorescence, replicate 3]])</f>
        <v>1.1038934594027459</v>
      </c>
      <c r="H180" s="17">
        <f>STDEV(Table14[[#This Row],[Bulk resorufin fluorescence, replicate 1]:[Bulk resorufin fluorescence, replicate 3]])</f>
        <v>7.4765398102350417E-2</v>
      </c>
      <c r="I180" s="8">
        <v>0.78883158779562446</v>
      </c>
      <c r="J180" s="8">
        <v>0.71411789760041766</v>
      </c>
      <c r="K180" s="8">
        <v>0.78444994123116318</v>
      </c>
      <c r="L180" s="8">
        <f>AVERAGE(Table14[[#This Row],[Bulk GFP fluorescence, replicate 1]:[Bulk GFP fluorescence, replicate 3]])</f>
        <v>0.76246647554240177</v>
      </c>
      <c r="M180" s="17">
        <f>STDEV(Table14[[#This Row],[Bulk GFP fluorescence, replicate 1]:[Bulk GFP fluorescence, replicate 3]])</f>
        <v>4.1928372832880693E-2</v>
      </c>
      <c r="N180" s="17"/>
      <c r="O180" s="17"/>
      <c r="W180" s="39"/>
      <c r="X180" s="39"/>
      <c r="Y180" s="39"/>
      <c r="Z180" s="39"/>
    </row>
    <row r="181" spans="1:26" x14ac:dyDescent="0.25">
      <c r="A181" s="1" t="s">
        <v>964</v>
      </c>
      <c r="B181" s="2" t="s">
        <v>49</v>
      </c>
      <c r="C181" s="2">
        <v>2.9999999999999996</v>
      </c>
      <c r="D181" s="8">
        <v>0.93040074653947846</v>
      </c>
      <c r="E181" s="8">
        <v>1.0768040313529039</v>
      </c>
      <c r="F181" s="8">
        <v>1.018052816535935</v>
      </c>
      <c r="G181" s="8">
        <f>AVERAGE(Table14[[#This Row],[Bulk resorufin fluorescence, replicate 1]:[Bulk resorufin fluorescence, replicate 3]])</f>
        <v>1.0084191981427724</v>
      </c>
      <c r="H181" s="17">
        <f>STDEV(Table14[[#This Row],[Bulk resorufin fluorescence, replicate 1]:[Bulk resorufin fluorescence, replicate 3]])</f>
        <v>7.3675541420128388E-2</v>
      </c>
      <c r="I181" s="8">
        <v>1.1015138090586212</v>
      </c>
      <c r="J181" s="8">
        <v>0.9031324799871242</v>
      </c>
      <c r="K181" s="8">
        <v>0.97594863428240619</v>
      </c>
      <c r="L181" s="8">
        <f>AVERAGE(Table14[[#This Row],[Bulk GFP fluorescence, replicate 1]:[Bulk GFP fluorescence, replicate 3]])</f>
        <v>0.99353164110938386</v>
      </c>
      <c r="M181" s="17">
        <f>STDEV(Table14[[#This Row],[Bulk GFP fluorescence, replicate 1]:[Bulk GFP fluorescence, replicate 3]])</f>
        <v>0.10035267573837556</v>
      </c>
      <c r="N181" s="17"/>
      <c r="O181" s="17"/>
      <c r="W181" s="39"/>
      <c r="X181" s="39"/>
      <c r="Y181" s="39"/>
      <c r="Z181" s="39"/>
    </row>
    <row r="182" spans="1:26" x14ac:dyDescent="0.25">
      <c r="A182" s="1" t="s">
        <v>964</v>
      </c>
      <c r="B182" s="2" t="s">
        <v>49</v>
      </c>
      <c r="C182" s="2">
        <v>1</v>
      </c>
      <c r="D182" s="8">
        <v>0.93726994660169005</v>
      </c>
      <c r="E182" s="8">
        <v>0.98900346003414541</v>
      </c>
      <c r="F182" s="8">
        <v>0.92811000232301821</v>
      </c>
      <c r="G182" s="8">
        <f>AVERAGE(Table14[[#This Row],[Bulk resorufin fluorescence, replicate 1]:[Bulk resorufin fluorescence, replicate 3]])</f>
        <v>0.95146113631961793</v>
      </c>
      <c r="H182" s="17">
        <f>STDEV(Table14[[#This Row],[Bulk resorufin fluorescence, replicate 1]:[Bulk resorufin fluorescence, replicate 3]])</f>
        <v>3.2833606216982544E-2</v>
      </c>
      <c r="I182" s="8">
        <v>1.1303662978697626</v>
      </c>
      <c r="J182" s="8">
        <v>0.98768853615762597</v>
      </c>
      <c r="K182" s="8">
        <v>0.93209129344069608</v>
      </c>
      <c r="L182" s="8">
        <f>AVERAGE(Table14[[#This Row],[Bulk GFP fluorescence, replicate 1]:[Bulk GFP fluorescence, replicate 3]])</f>
        <v>1.0167153758226948</v>
      </c>
      <c r="M182" s="17">
        <f>STDEV(Table14[[#This Row],[Bulk GFP fluorescence, replicate 1]:[Bulk GFP fluorescence, replicate 3]])</f>
        <v>0.10227493539984664</v>
      </c>
      <c r="N182" s="17"/>
      <c r="O182" s="17"/>
      <c r="W182" s="39"/>
      <c r="X182" s="39"/>
      <c r="Y182" s="39"/>
      <c r="Z182" s="39"/>
    </row>
    <row r="183" spans="1:26" x14ac:dyDescent="0.25">
      <c r="A183" s="1" t="s">
        <v>964</v>
      </c>
      <c r="B183" s="2" t="s">
        <v>49</v>
      </c>
      <c r="C183" s="2">
        <v>0.33300000000000002</v>
      </c>
      <c r="D183" s="8">
        <v>0.95245023070143608</v>
      </c>
      <c r="E183" s="8">
        <v>0.95411996579885749</v>
      </c>
      <c r="F183" s="8">
        <v>0.89356128566697801</v>
      </c>
      <c r="G183" s="8">
        <f>AVERAGE(Table14[[#This Row],[Bulk resorufin fluorescence, replicate 1]:[Bulk resorufin fluorescence, replicate 3]])</f>
        <v>0.93337716072242394</v>
      </c>
      <c r="H183" s="17">
        <f>STDEV(Table14[[#This Row],[Bulk resorufin fluorescence, replicate 1]:[Bulk resorufin fluorescence, replicate 3]])</f>
        <v>3.4491664698112885E-2</v>
      </c>
      <c r="I183" s="8">
        <v>1.0639525637821752</v>
      </c>
      <c r="J183" s="8">
        <v>0.91514462167151311</v>
      </c>
      <c r="K183" s="8">
        <v>0.91686402470045436</v>
      </c>
      <c r="L183" s="8">
        <f>AVERAGE(Table14[[#This Row],[Bulk GFP fluorescence, replicate 1]:[Bulk GFP fluorescence, replicate 3]])</f>
        <v>0.96532040338471425</v>
      </c>
      <c r="M183" s="17">
        <f>STDEV(Table14[[#This Row],[Bulk GFP fluorescence, replicate 1]:[Bulk GFP fluorescence, replicate 3]])</f>
        <v>8.5422282720592477E-2</v>
      </c>
      <c r="N183" s="17"/>
      <c r="O183" s="17"/>
      <c r="W183" s="39"/>
      <c r="X183" s="39"/>
      <c r="Y183" s="39"/>
      <c r="Z183" s="39"/>
    </row>
    <row r="184" spans="1:26" x14ac:dyDescent="0.25">
      <c r="A184" s="1" t="s">
        <v>964</v>
      </c>
      <c r="B184" s="2" t="s">
        <v>49</v>
      </c>
      <c r="C184" s="2">
        <v>0.11099999999999999</v>
      </c>
      <c r="D184" s="8">
        <v>0.93140520503914148</v>
      </c>
      <c r="E184" s="8">
        <v>0.95679367074623278</v>
      </c>
      <c r="F184" s="8">
        <v>0.88321891233324923</v>
      </c>
      <c r="G184" s="8">
        <f>AVERAGE(Table14[[#This Row],[Bulk resorufin fluorescence, replicate 1]:[Bulk resorufin fluorescence, replicate 3]])</f>
        <v>0.92380592937287442</v>
      </c>
      <c r="H184" s="17">
        <f>STDEV(Table14[[#This Row],[Bulk resorufin fluorescence, replicate 1]:[Bulk resorufin fluorescence, replicate 3]])</f>
        <v>3.7371419719769303E-2</v>
      </c>
      <c r="I184" s="8">
        <v>0.9982961128654837</v>
      </c>
      <c r="J184" s="8">
        <v>0.981525443855505</v>
      </c>
      <c r="K184" s="8">
        <v>1.0536989281265898</v>
      </c>
      <c r="L184" s="8">
        <f>AVERAGE(Table14[[#This Row],[Bulk GFP fluorescence, replicate 1]:[Bulk GFP fluorescence, replicate 3]])</f>
        <v>1.0111734949491928</v>
      </c>
      <c r="M184" s="17">
        <f>STDEV(Table14[[#This Row],[Bulk GFP fluorescence, replicate 1]:[Bulk GFP fluorescence, replicate 3]])</f>
        <v>3.7770665667347027E-2</v>
      </c>
      <c r="N184" s="17"/>
      <c r="O184" s="17"/>
      <c r="W184" s="39"/>
      <c r="X184" s="39"/>
      <c r="Y184" s="39"/>
      <c r="Z184" s="39"/>
    </row>
    <row r="185" spans="1:26" x14ac:dyDescent="0.25">
      <c r="A185" s="1" t="s">
        <v>964</v>
      </c>
      <c r="B185" s="2" t="s">
        <v>49</v>
      </c>
      <c r="C185" s="2">
        <v>3.6999999999999998E-2</v>
      </c>
      <c r="D185" s="8">
        <v>0.92643151537145529</v>
      </c>
      <c r="E185" s="8">
        <v>0.96360326303407939</v>
      </c>
      <c r="F185" s="8">
        <v>0.88665401363166807</v>
      </c>
      <c r="G185" s="8">
        <f>AVERAGE(Table14[[#This Row],[Bulk resorufin fluorescence, replicate 1]:[Bulk resorufin fluorescence, replicate 3]])</f>
        <v>0.9255629306790677</v>
      </c>
      <c r="H185" s="17">
        <f>STDEV(Table14[[#This Row],[Bulk resorufin fluorescence, replicate 1]:[Bulk resorufin fluorescence, replicate 3]])</f>
        <v>3.8481977280598677E-2</v>
      </c>
      <c r="I185" s="8">
        <v>1.0491855419497012</v>
      </c>
      <c r="J185" s="8">
        <v>0.82305153542453202</v>
      </c>
      <c r="K185" s="8">
        <v>0.96128273950493837</v>
      </c>
      <c r="L185" s="8">
        <f>AVERAGE(Table14[[#This Row],[Bulk GFP fluorescence, replicate 1]:[Bulk GFP fluorescence, replicate 3]])</f>
        <v>0.94450660562639044</v>
      </c>
      <c r="M185" s="17">
        <f>STDEV(Table14[[#This Row],[Bulk GFP fluorescence, replicate 1]:[Bulk GFP fluorescence, replicate 3]])</f>
        <v>0.11399660621138916</v>
      </c>
      <c r="N185" s="17"/>
      <c r="O185" s="17"/>
      <c r="W185" s="39"/>
      <c r="X185" s="39"/>
      <c r="Y185" s="39"/>
      <c r="Z185" s="39"/>
    </row>
    <row r="186" spans="1:26" x14ac:dyDescent="0.25">
      <c r="A186" s="1" t="s">
        <v>964</v>
      </c>
      <c r="B186" s="2" t="s">
        <v>49</v>
      </c>
      <c r="C186" s="2">
        <v>1.2333333333333333E-2</v>
      </c>
      <c r="D186" s="8">
        <v>0.87170472808336363</v>
      </c>
      <c r="E186" s="8">
        <v>0.94634951079554785</v>
      </c>
      <c r="F186" s="8">
        <v>0.88602383317764166</v>
      </c>
      <c r="G186" s="8">
        <f>AVERAGE(Table14[[#This Row],[Bulk resorufin fluorescence, replicate 1]:[Bulk resorufin fluorescence, replicate 3]])</f>
        <v>0.90135935735218442</v>
      </c>
      <c r="H186" s="17">
        <f>STDEV(Table14[[#This Row],[Bulk resorufin fluorescence, replicate 1]:[Bulk resorufin fluorescence, replicate 3]])</f>
        <v>3.9614954535103122E-2</v>
      </c>
      <c r="I186" s="8">
        <v>0.96997372227396994</v>
      </c>
      <c r="J186" s="8">
        <v>0.91267153367766829</v>
      </c>
      <c r="K186" s="8">
        <v>0.98110625756539127</v>
      </c>
      <c r="L186" s="8">
        <f>AVERAGE(Table14[[#This Row],[Bulk GFP fluorescence, replicate 1]:[Bulk GFP fluorescence, replicate 3]])</f>
        <v>0.9545838378390098</v>
      </c>
      <c r="M186" s="17">
        <f>STDEV(Table14[[#This Row],[Bulk GFP fluorescence, replicate 1]:[Bulk GFP fluorescence, replicate 3]])</f>
        <v>3.6721441496601018E-2</v>
      </c>
      <c r="N186" s="17"/>
      <c r="O186" s="17"/>
      <c r="W186" s="39"/>
      <c r="X186" s="39"/>
      <c r="Y186" s="39"/>
      <c r="Z186" s="39"/>
    </row>
    <row r="187" spans="1:26" x14ac:dyDescent="0.25">
      <c r="A187" s="1" t="s">
        <v>964</v>
      </c>
      <c r="B187" s="2" t="s">
        <v>49</v>
      </c>
      <c r="C187" s="2">
        <v>3.7500000000000003E-3</v>
      </c>
      <c r="D187" s="8">
        <v>0.88362862253097618</v>
      </c>
      <c r="E187" s="8">
        <v>0.93463812610417973</v>
      </c>
      <c r="F187" s="8">
        <v>0.8651043133998606</v>
      </c>
      <c r="G187" s="8">
        <f>AVERAGE(Table14[[#This Row],[Bulk resorufin fluorescence, replicate 1]:[Bulk resorufin fluorescence, replicate 3]])</f>
        <v>0.89445702067833877</v>
      </c>
      <c r="H187" s="17">
        <f>STDEV(Table14[[#This Row],[Bulk resorufin fluorescence, replicate 1]:[Bulk resorufin fluorescence, replicate 3]])</f>
        <v>3.6009421435621379E-2</v>
      </c>
      <c r="I187" s="8">
        <v>0.96429409849224923</v>
      </c>
      <c r="J187" s="8">
        <v>0.90266141560734425</v>
      </c>
      <c r="K187" s="8">
        <v>1.0651720084907812</v>
      </c>
      <c r="L187" s="8">
        <f>AVERAGE(Table14[[#This Row],[Bulk GFP fluorescence, replicate 1]:[Bulk GFP fluorescence, replicate 3]])</f>
        <v>0.9773758408634583</v>
      </c>
      <c r="M187" s="17">
        <f>STDEV(Table14[[#This Row],[Bulk GFP fluorescence, replicate 1]:[Bulk GFP fluorescence, replicate 3]])</f>
        <v>8.2041283433595555E-2</v>
      </c>
      <c r="N187" s="17"/>
      <c r="O187" s="17"/>
      <c r="W187" s="39"/>
      <c r="X187" s="39"/>
      <c r="Y187" s="39"/>
      <c r="Z187" s="39"/>
    </row>
    <row r="188" spans="1:26" x14ac:dyDescent="0.25">
      <c r="A188" s="1" t="s">
        <v>964</v>
      </c>
      <c r="B188" s="2" t="s">
        <v>49</v>
      </c>
      <c r="C188" s="2">
        <v>1.25E-3</v>
      </c>
      <c r="D188" s="8">
        <v>1.0624708383016226</v>
      </c>
      <c r="E188" s="8">
        <v>0.93323164589748742</v>
      </c>
      <c r="F188" s="8">
        <v>0.85772749514390356</v>
      </c>
      <c r="G188" s="8">
        <f>AVERAGE(Table14[[#This Row],[Bulk resorufin fluorescence, replicate 1]:[Bulk resorufin fluorescence, replicate 3]])</f>
        <v>0.95114332644767119</v>
      </c>
      <c r="H188" s="17">
        <f>STDEV(Table14[[#This Row],[Bulk resorufin fluorescence, replicate 1]:[Bulk resorufin fluorescence, replicate 3]])</f>
        <v>0.1035402354978428</v>
      </c>
      <c r="I188" s="8">
        <v>0.94248434317044172</v>
      </c>
      <c r="J188" s="8">
        <v>1.0555218068459395</v>
      </c>
      <c r="K188" s="8">
        <v>1.064856235636721</v>
      </c>
      <c r="L188" s="8">
        <f>AVERAGE(Table14[[#This Row],[Bulk GFP fluorescence, replicate 1]:[Bulk GFP fluorescence, replicate 3]])</f>
        <v>1.0209541285510342</v>
      </c>
      <c r="M188" s="17">
        <f>STDEV(Table14[[#This Row],[Bulk GFP fluorescence, replicate 1]:[Bulk GFP fluorescence, replicate 3]])</f>
        <v>6.811690908628866E-2</v>
      </c>
      <c r="N188" s="17"/>
      <c r="O188" s="17"/>
      <c r="W188" s="39"/>
      <c r="X188" s="39"/>
      <c r="Y188" s="39"/>
      <c r="Z188" s="39"/>
    </row>
    <row r="189" spans="1:26" ht="15.75" thickBot="1" x14ac:dyDescent="0.3">
      <c r="A189" s="10" t="s">
        <v>964</v>
      </c>
      <c r="B189" s="11" t="s">
        <v>49</v>
      </c>
      <c r="C189" s="11">
        <v>4.1666666666666669E-4</v>
      </c>
      <c r="D189" s="12">
        <v>0.95036030898439527</v>
      </c>
      <c r="E189" s="12">
        <v>1.0486465761258572</v>
      </c>
      <c r="F189" s="12">
        <v>0.86877418780860305</v>
      </c>
      <c r="G189" s="12">
        <f>AVERAGE(Table14[[#This Row],[Bulk resorufin fluorescence, replicate 1]:[Bulk resorufin fluorescence, replicate 3]])</f>
        <v>0.95592702430628529</v>
      </c>
      <c r="H189" s="25">
        <f>STDEV(Table14[[#This Row],[Bulk resorufin fluorescence, replicate 1]:[Bulk resorufin fluorescence, replicate 3]])</f>
        <v>9.0065311076709717E-2</v>
      </c>
      <c r="I189" s="12">
        <v>1.0014009738661578</v>
      </c>
      <c r="J189" s="12">
        <v>1.027964540628812</v>
      </c>
      <c r="K189" s="12">
        <v>0.97419434064873778</v>
      </c>
      <c r="L189" s="12">
        <f>AVERAGE(Table14[[#This Row],[Bulk GFP fluorescence, replicate 1]:[Bulk GFP fluorescence, replicate 3]])</f>
        <v>1.0011866183812359</v>
      </c>
      <c r="M189" s="25">
        <f>STDEV(Table14[[#This Row],[Bulk GFP fluorescence, replicate 1]:[Bulk GFP fluorescence, replicate 3]])</f>
        <v>2.688574088024601E-2</v>
      </c>
      <c r="N189" s="25"/>
      <c r="O189" s="25"/>
      <c r="P189" s="25"/>
      <c r="Q189" s="25"/>
      <c r="W189" s="39"/>
      <c r="X189" s="39"/>
      <c r="Y189" s="39"/>
      <c r="Z189" s="39"/>
    </row>
    <row r="190" spans="1:26" x14ac:dyDescent="0.25">
      <c r="A190" s="1" t="s">
        <v>966</v>
      </c>
      <c r="B190" s="2" t="s">
        <v>50</v>
      </c>
      <c r="C190" s="2">
        <v>30</v>
      </c>
      <c r="D190" s="8">
        <v>1.1563067033024002</v>
      </c>
      <c r="E190" s="8">
        <v>1.3220329069949877</v>
      </c>
      <c r="F190" s="8">
        <v>1.1908705386930798</v>
      </c>
      <c r="G190" s="8">
        <f>AVERAGE(Table14[[#This Row],[Bulk resorufin fluorescence, replicate 1]:[Bulk resorufin fluorescence, replicate 3]])</f>
        <v>1.2230700496634892</v>
      </c>
      <c r="H190" s="17">
        <f>STDEV(Table14[[#This Row],[Bulk resorufin fluorescence, replicate 1]:[Bulk resorufin fluorescence, replicate 3]])</f>
        <v>8.7429400247510489E-2</v>
      </c>
      <c r="I190" s="8">
        <v>0.28417808271046785</v>
      </c>
      <c r="J190" s="8">
        <v>0.28866825192915579</v>
      </c>
      <c r="K190" s="8">
        <v>0.3860849428977422</v>
      </c>
      <c r="L190" s="8">
        <f>AVERAGE(Table14[[#This Row],[Bulk GFP fluorescence, replicate 1]:[Bulk GFP fluorescence, replicate 3]])</f>
        <v>0.31964375917912197</v>
      </c>
      <c r="M190" s="17">
        <f>STDEV(Table14[[#This Row],[Bulk GFP fluorescence, replicate 1]:[Bulk GFP fluorescence, replicate 3]])</f>
        <v>5.7583535627396876E-2</v>
      </c>
      <c r="N190" s="17">
        <v>24.266666666666666</v>
      </c>
      <c r="O190" s="17">
        <v>10.519600000000001</v>
      </c>
      <c r="P190" s="17" t="s">
        <v>15</v>
      </c>
      <c r="Q190" s="8" t="s">
        <v>15</v>
      </c>
      <c r="W190" s="39"/>
      <c r="X190" s="39"/>
      <c r="Y190" s="39"/>
      <c r="Z190" s="39"/>
    </row>
    <row r="191" spans="1:26" x14ac:dyDescent="0.25">
      <c r="A191" s="1" t="s">
        <v>966</v>
      </c>
      <c r="B191" s="2" t="s">
        <v>50</v>
      </c>
      <c r="C191" s="2">
        <v>10</v>
      </c>
      <c r="D191" s="8">
        <v>1.1094211726890975</v>
      </c>
      <c r="E191" s="8">
        <v>1.2420584928659424</v>
      </c>
      <c r="F191" s="8">
        <v>1.2041166847071267</v>
      </c>
      <c r="G191" s="8">
        <f>AVERAGE(Table14[[#This Row],[Bulk resorufin fluorescence, replicate 1]:[Bulk resorufin fluorescence, replicate 3]])</f>
        <v>1.185198783420722</v>
      </c>
      <c r="H191" s="17">
        <f>STDEV(Table14[[#This Row],[Bulk resorufin fluorescence, replicate 1]:[Bulk resorufin fluorescence, replicate 3]])</f>
        <v>6.8312370166283415E-2</v>
      </c>
      <c r="I191" s="8">
        <v>1.0382049359717078</v>
      </c>
      <c r="J191" s="8">
        <v>0.75086091922325404</v>
      </c>
      <c r="K191" s="8">
        <v>0.87146290546111604</v>
      </c>
      <c r="L191" s="8">
        <f>AVERAGE(Table14[[#This Row],[Bulk GFP fluorescence, replicate 1]:[Bulk GFP fluorescence, replicate 3]])</f>
        <v>0.8868429202186926</v>
      </c>
      <c r="M191" s="17">
        <f>STDEV(Table14[[#This Row],[Bulk GFP fluorescence, replicate 1]:[Bulk GFP fluorescence, replicate 3]])</f>
        <v>0.14428809594260161</v>
      </c>
      <c r="N191" s="17"/>
      <c r="O191" s="17"/>
      <c r="W191" s="39"/>
      <c r="X191" s="39"/>
      <c r="Y191" s="39"/>
      <c r="Z191" s="39"/>
    </row>
    <row r="192" spans="1:26" x14ac:dyDescent="0.25">
      <c r="A192" s="1" t="s">
        <v>966</v>
      </c>
      <c r="B192" s="2" t="s">
        <v>50</v>
      </c>
      <c r="C192" s="2">
        <v>2.9999999999999996</v>
      </c>
      <c r="D192" s="8">
        <v>1.1252008916999325</v>
      </c>
      <c r="E192" s="8">
        <v>1.2948641655766058</v>
      </c>
      <c r="F192" s="8">
        <v>1.1396158617655927</v>
      </c>
      <c r="G192" s="8">
        <f>AVERAGE(Table14[[#This Row],[Bulk resorufin fluorescence, replicate 1]:[Bulk resorufin fluorescence, replicate 3]])</f>
        <v>1.1865603063473771</v>
      </c>
      <c r="H192" s="17">
        <f>STDEV(Table14[[#This Row],[Bulk resorufin fluorescence, replicate 1]:[Bulk resorufin fluorescence, replicate 3]])</f>
        <v>9.4070411306940299E-2</v>
      </c>
      <c r="I192" s="8">
        <v>1.1011351674731733</v>
      </c>
      <c r="J192" s="8">
        <v>0.84350358057997843</v>
      </c>
      <c r="K192" s="8">
        <v>0.8907952213041419</v>
      </c>
      <c r="L192" s="8">
        <f>AVERAGE(Table14[[#This Row],[Bulk GFP fluorescence, replicate 1]:[Bulk GFP fluorescence, replicate 3]])</f>
        <v>0.94514465645243118</v>
      </c>
      <c r="M192" s="17">
        <f>STDEV(Table14[[#This Row],[Bulk GFP fluorescence, replicate 1]:[Bulk GFP fluorescence, replicate 3]])</f>
        <v>0.13714555941400333</v>
      </c>
      <c r="N192" s="17"/>
      <c r="O192" s="17"/>
      <c r="W192" s="39"/>
      <c r="X192" s="39"/>
      <c r="Y192" s="39"/>
      <c r="Z192" s="39"/>
    </row>
    <row r="193" spans="1:26" x14ac:dyDescent="0.25">
      <c r="A193" s="1" t="s">
        <v>966</v>
      </c>
      <c r="B193" s="2" t="s">
        <v>50</v>
      </c>
      <c r="C193" s="2">
        <v>1</v>
      </c>
      <c r="D193" s="8">
        <v>1.1052089273679297</v>
      </c>
      <c r="E193" s="8">
        <v>1.2177027118609449</v>
      </c>
      <c r="F193" s="8">
        <v>1.0558760002570149</v>
      </c>
      <c r="G193" s="8">
        <f>AVERAGE(Table14[[#This Row],[Bulk resorufin fluorescence, replicate 1]:[Bulk resorufin fluorescence, replicate 3]])</f>
        <v>1.1262625464952964</v>
      </c>
      <c r="H193" s="17">
        <f>STDEV(Table14[[#This Row],[Bulk resorufin fluorescence, replicate 1]:[Bulk resorufin fluorescence, replicate 3]])</f>
        <v>8.294222269692049E-2</v>
      </c>
      <c r="I193" s="8">
        <v>0.91075417830989536</v>
      </c>
      <c r="J193" s="8">
        <v>0.90093417954815114</v>
      </c>
      <c r="K193" s="8">
        <v>0.89542655649702652</v>
      </c>
      <c r="L193" s="8">
        <f>AVERAGE(Table14[[#This Row],[Bulk GFP fluorescence, replicate 1]:[Bulk GFP fluorescence, replicate 3]])</f>
        <v>0.90237163811835774</v>
      </c>
      <c r="M193" s="17">
        <f>STDEV(Table14[[#This Row],[Bulk GFP fluorescence, replicate 1]:[Bulk GFP fluorescence, replicate 3]])</f>
        <v>7.7642586874329686E-3</v>
      </c>
      <c r="N193" s="17"/>
      <c r="O193" s="17"/>
      <c r="W193" s="39"/>
      <c r="X193" s="39"/>
      <c r="Y193" s="39"/>
      <c r="Z193" s="39"/>
    </row>
    <row r="194" spans="1:26" x14ac:dyDescent="0.25">
      <c r="A194" s="1" t="s">
        <v>966</v>
      </c>
      <c r="B194" s="2" t="s">
        <v>50</v>
      </c>
      <c r="C194" s="2">
        <v>0.33300000000000002</v>
      </c>
      <c r="D194" s="8">
        <v>1.111543496293224</v>
      </c>
      <c r="E194" s="8">
        <v>1.2291216600736941</v>
      </c>
      <c r="F194" s="8">
        <v>1.0340544574764114</v>
      </c>
      <c r="G194" s="8">
        <f>AVERAGE(Table14[[#This Row],[Bulk resorufin fluorescence, replicate 1]:[Bulk resorufin fluorescence, replicate 3]])</f>
        <v>1.1249065379477765</v>
      </c>
      <c r="H194" s="17">
        <f>STDEV(Table14[[#This Row],[Bulk resorufin fluorescence, replicate 1]:[Bulk resorufin fluorescence, replicate 3]])</f>
        <v>9.8217776109919649E-2</v>
      </c>
      <c r="I194" s="8">
        <v>1.1034070169858614</v>
      </c>
      <c r="J194" s="8">
        <v>0.80271725636403068</v>
      </c>
      <c r="K194" s="8">
        <v>0.84553444555549706</v>
      </c>
      <c r="L194" s="8">
        <f>AVERAGE(Table14[[#This Row],[Bulk GFP fluorescence, replicate 1]:[Bulk GFP fluorescence, replicate 3]])</f>
        <v>0.91721957296846313</v>
      </c>
      <c r="M194" s="17">
        <f>STDEV(Table14[[#This Row],[Bulk GFP fluorescence, replicate 1]:[Bulk GFP fluorescence, replicate 3]])</f>
        <v>0.16265808050897163</v>
      </c>
      <c r="N194" s="17"/>
      <c r="O194" s="17"/>
      <c r="W194" s="39"/>
      <c r="X194" s="39"/>
      <c r="Y194" s="39"/>
      <c r="Z194" s="39"/>
    </row>
    <row r="195" spans="1:26" x14ac:dyDescent="0.25">
      <c r="A195" s="1" t="s">
        <v>966</v>
      </c>
      <c r="B195" s="2" t="s">
        <v>50</v>
      </c>
      <c r="C195" s="2">
        <v>0.11099999999999999</v>
      </c>
      <c r="D195" s="8">
        <v>1.0369381512779303</v>
      </c>
      <c r="E195" s="8">
        <v>1.2528090148418474</v>
      </c>
      <c r="F195" s="8">
        <v>1.0544055791976197</v>
      </c>
      <c r="G195" s="8">
        <f>AVERAGE(Table14[[#This Row],[Bulk resorufin fluorescence, replicate 1]:[Bulk resorufin fluorescence, replicate 3]])</f>
        <v>1.1147175817724657</v>
      </c>
      <c r="H195" s="17">
        <f>STDEV(Table14[[#This Row],[Bulk resorufin fluorescence, replicate 1]:[Bulk resorufin fluorescence, replicate 3]])</f>
        <v>0.11990917677517014</v>
      </c>
      <c r="I195" s="8">
        <v>1.1028011904491448</v>
      </c>
      <c r="J195" s="8">
        <v>0.92535101656674534</v>
      </c>
      <c r="K195" s="8">
        <v>0.97636966475448661</v>
      </c>
      <c r="L195" s="8">
        <f>AVERAGE(Table14[[#This Row],[Bulk GFP fluorescence, replicate 1]:[Bulk GFP fluorescence, replicate 3]])</f>
        <v>1.0015072905901257</v>
      </c>
      <c r="M195" s="17">
        <f>STDEV(Table14[[#This Row],[Bulk GFP fluorescence, replicate 1]:[Bulk GFP fluorescence, replicate 3]])</f>
        <v>9.1356807229745554E-2</v>
      </c>
      <c r="N195" s="17"/>
      <c r="O195" s="17"/>
      <c r="W195" s="39"/>
      <c r="X195" s="39"/>
      <c r="Y195" s="39"/>
      <c r="Z195" s="39"/>
    </row>
    <row r="196" spans="1:26" x14ac:dyDescent="0.25">
      <c r="A196" s="1" t="s">
        <v>966</v>
      </c>
      <c r="B196" s="2" t="s">
        <v>50</v>
      </c>
      <c r="C196" s="2">
        <v>3.6999999999999998E-2</v>
      </c>
      <c r="D196" s="8">
        <v>1.0508547617813262</v>
      </c>
      <c r="E196" s="8">
        <v>1.1949065920752497</v>
      </c>
      <c r="F196" s="8">
        <v>0.96800907459853791</v>
      </c>
      <c r="G196" s="8">
        <f>AVERAGE(Table14[[#This Row],[Bulk resorufin fluorescence, replicate 1]:[Bulk resorufin fluorescence, replicate 3]])</f>
        <v>1.0712568094850379</v>
      </c>
      <c r="H196" s="17">
        <f>STDEV(Table14[[#This Row],[Bulk resorufin fluorescence, replicate 1]:[Bulk resorufin fluorescence, replicate 3]])</f>
        <v>0.11481639047693533</v>
      </c>
      <c r="I196" s="8">
        <v>1.0429000916312636</v>
      </c>
      <c r="J196" s="8">
        <v>0.95966020556071863</v>
      </c>
      <c r="K196" s="8">
        <v>1.2615827237162955</v>
      </c>
      <c r="L196" s="8">
        <f>AVERAGE(Table14[[#This Row],[Bulk GFP fluorescence, replicate 1]:[Bulk GFP fluorescence, replicate 3]])</f>
        <v>1.0880476736360924</v>
      </c>
      <c r="M196" s="17">
        <f>STDEV(Table14[[#This Row],[Bulk GFP fluorescence, replicate 1]:[Bulk GFP fluorescence, replicate 3]])</f>
        <v>0.15594239277057878</v>
      </c>
      <c r="N196" s="17"/>
      <c r="O196" s="17"/>
      <c r="W196" s="39"/>
      <c r="X196" s="39"/>
      <c r="Y196" s="39"/>
      <c r="Z196" s="39"/>
    </row>
    <row r="197" spans="1:26" x14ac:dyDescent="0.25">
      <c r="A197" s="1" t="s">
        <v>966</v>
      </c>
      <c r="B197" s="2" t="s">
        <v>50</v>
      </c>
      <c r="C197" s="2">
        <v>1.2333333333333333E-2</v>
      </c>
      <c r="D197" s="8">
        <v>1.0322722795375603</v>
      </c>
      <c r="E197" s="8">
        <v>1.1640893574474287</v>
      </c>
      <c r="F197" s="8">
        <v>1.0941316607602696</v>
      </c>
      <c r="G197" s="8">
        <f>AVERAGE(Table14[[#This Row],[Bulk resorufin fluorescence, replicate 1]:[Bulk resorufin fluorescence, replicate 3]])</f>
        <v>1.0968310992484194</v>
      </c>
      <c r="H197" s="17">
        <f>STDEV(Table14[[#This Row],[Bulk resorufin fluorescence, replicate 1]:[Bulk resorufin fluorescence, replicate 3]])</f>
        <v>6.5949986605666255E-2</v>
      </c>
      <c r="I197" s="8">
        <v>0.93635034948618334</v>
      </c>
      <c r="J197" s="8">
        <v>0.9368920938713543</v>
      </c>
      <c r="K197" s="8">
        <v>1.2798975492517939</v>
      </c>
      <c r="L197" s="8">
        <f>AVERAGE(Table14[[#This Row],[Bulk GFP fluorescence, replicate 1]:[Bulk GFP fluorescence, replicate 3]])</f>
        <v>1.0510466642031104</v>
      </c>
      <c r="M197" s="17">
        <f>STDEV(Table14[[#This Row],[Bulk GFP fluorescence, replicate 1]:[Bulk GFP fluorescence, replicate 3]])</f>
        <v>0.19819086523454846</v>
      </c>
      <c r="N197" s="17"/>
      <c r="O197" s="17"/>
      <c r="W197" s="39"/>
      <c r="X197" s="39"/>
      <c r="Y197" s="39"/>
      <c r="Z197" s="39"/>
    </row>
    <row r="198" spans="1:26" x14ac:dyDescent="0.25">
      <c r="A198" s="1" t="s">
        <v>966</v>
      </c>
      <c r="B198" s="2" t="s">
        <v>50</v>
      </c>
      <c r="C198" s="2">
        <v>3.7500000000000003E-3</v>
      </c>
      <c r="D198" s="8">
        <v>1.0820091762144228</v>
      </c>
      <c r="E198" s="8">
        <v>1.18082786446173</v>
      </c>
      <c r="F198" s="8">
        <v>1.0295690554212817</v>
      </c>
      <c r="G198" s="8">
        <f>AVERAGE(Table14[[#This Row],[Bulk resorufin fluorescence, replicate 1]:[Bulk resorufin fluorescence, replicate 3]])</f>
        <v>1.0974686986991449</v>
      </c>
      <c r="H198" s="17">
        <f>STDEV(Table14[[#This Row],[Bulk resorufin fluorescence, replicate 1]:[Bulk resorufin fluorescence, replicate 3]])</f>
        <v>7.6805302256259769E-2</v>
      </c>
      <c r="I198" s="8">
        <v>0.9895873564001787</v>
      </c>
      <c r="J198" s="8">
        <v>0.88986416662332224</v>
      </c>
      <c r="K198" s="8">
        <v>1.1419398979001105</v>
      </c>
      <c r="L198" s="8">
        <f>AVERAGE(Table14[[#This Row],[Bulk GFP fluorescence, replicate 1]:[Bulk GFP fluorescence, replicate 3]])</f>
        <v>1.0071304736412039</v>
      </c>
      <c r="M198" s="17">
        <f>STDEV(Table14[[#This Row],[Bulk GFP fluorescence, replicate 1]:[Bulk GFP fluorescence, replicate 3]])</f>
        <v>0.12695024338921584</v>
      </c>
      <c r="N198" s="17"/>
      <c r="O198" s="17"/>
      <c r="W198" s="39"/>
      <c r="X198" s="39"/>
      <c r="Y198" s="39"/>
      <c r="Z198" s="39"/>
    </row>
    <row r="199" spans="1:26" x14ac:dyDescent="0.25">
      <c r="A199" s="1" t="s">
        <v>966</v>
      </c>
      <c r="B199" s="2" t="s">
        <v>50</v>
      </c>
      <c r="C199" s="2">
        <v>1.25E-3</v>
      </c>
      <c r="D199" s="8">
        <v>1.0911789102597336</v>
      </c>
      <c r="E199" s="8">
        <v>1.0744645395239505</v>
      </c>
      <c r="F199" s="8">
        <v>0.97883335063240462</v>
      </c>
      <c r="G199" s="8">
        <f>AVERAGE(Table14[[#This Row],[Bulk resorufin fluorescence, replicate 1]:[Bulk resorufin fluorescence, replicate 3]])</f>
        <v>1.0481589334720296</v>
      </c>
      <c r="H199" s="17">
        <f>STDEV(Table14[[#This Row],[Bulk resorufin fluorescence, replicate 1]:[Bulk resorufin fluorescence, replicate 3]])</f>
        <v>6.0616580853043625E-2</v>
      </c>
      <c r="I199" s="8">
        <v>0.89409394855018132</v>
      </c>
      <c r="J199" s="8">
        <v>0.97414543523895236</v>
      </c>
      <c r="K199" s="8">
        <v>1.1866042138133082</v>
      </c>
      <c r="L199" s="8">
        <f>AVERAGE(Table14[[#This Row],[Bulk GFP fluorescence, replicate 1]:[Bulk GFP fluorescence, replicate 3]])</f>
        <v>1.0182811992008141</v>
      </c>
      <c r="M199" s="17">
        <f>STDEV(Table14[[#This Row],[Bulk GFP fluorescence, replicate 1]:[Bulk GFP fluorescence, replicate 3]])</f>
        <v>0.15116725196433481</v>
      </c>
      <c r="N199" s="17"/>
      <c r="O199" s="17"/>
      <c r="W199" s="39"/>
      <c r="X199" s="39"/>
      <c r="Y199" s="39"/>
      <c r="Z199" s="39"/>
    </row>
    <row r="200" spans="1:26" ht="15.75" thickBot="1" x14ac:dyDescent="0.3">
      <c r="A200" s="10" t="s">
        <v>966</v>
      </c>
      <c r="B200" s="11" t="s">
        <v>50</v>
      </c>
      <c r="C200" s="11">
        <v>4.1666666666666669E-4</v>
      </c>
      <c r="D200" s="12">
        <v>1.0247550417336306</v>
      </c>
      <c r="E200" s="12">
        <v>1.087693808794818</v>
      </c>
      <c r="F200" s="12">
        <v>0.96200382556605035</v>
      </c>
      <c r="G200" s="12">
        <f>AVERAGE(Table14[[#This Row],[Bulk resorufin fluorescence, replicate 1]:[Bulk resorufin fluorescence, replicate 3]])</f>
        <v>1.0248175586981663</v>
      </c>
      <c r="H200" s="25">
        <f>STDEV(Table14[[#This Row],[Bulk resorufin fluorescence, replicate 1]:[Bulk resorufin fluorescence, replicate 3]])</f>
        <v>6.284501493587312E-2</v>
      </c>
      <c r="I200" s="12">
        <v>0.89742599450212412</v>
      </c>
      <c r="J200" s="12">
        <v>1.0748354464169174</v>
      </c>
      <c r="K200" s="12">
        <v>1.1159061803764714</v>
      </c>
      <c r="L200" s="12">
        <f>AVERAGE(Table14[[#This Row],[Bulk GFP fluorescence, replicate 1]:[Bulk GFP fluorescence, replicate 3]])</f>
        <v>1.0293892070985045</v>
      </c>
      <c r="M200" s="25">
        <f>STDEV(Table14[[#This Row],[Bulk GFP fluorescence, replicate 1]:[Bulk GFP fluorescence, replicate 3]])</f>
        <v>0.11611381660277208</v>
      </c>
      <c r="N200" s="25"/>
      <c r="O200" s="25"/>
      <c r="P200" s="25"/>
      <c r="Q200" s="25"/>
      <c r="W200" s="39"/>
      <c r="X200" s="39"/>
      <c r="Y200" s="39"/>
      <c r="Z200" s="39"/>
    </row>
    <row r="201" spans="1:26" x14ac:dyDescent="0.25">
      <c r="A201" s="1" t="s">
        <v>968</v>
      </c>
      <c r="B201" s="2" t="s">
        <v>51</v>
      </c>
      <c r="C201" s="2">
        <v>30</v>
      </c>
      <c r="D201" s="8">
        <v>1.0155367048576909</v>
      </c>
      <c r="E201" s="8">
        <v>1.053631921808984</v>
      </c>
      <c r="F201" s="8">
        <v>0.99492148692931603</v>
      </c>
      <c r="G201" s="8">
        <f>AVERAGE(Table14[[#This Row],[Bulk resorufin fluorescence, replicate 1]:[Bulk resorufin fluorescence, replicate 3]])</f>
        <v>1.0213633711986636</v>
      </c>
      <c r="H201" s="17">
        <f>STDEV(Table14[[#This Row],[Bulk resorufin fluorescence, replicate 1]:[Bulk resorufin fluorescence, replicate 3]])</f>
        <v>2.9785757022891032E-2</v>
      </c>
      <c r="I201" s="8">
        <v>0.17352858044022312</v>
      </c>
      <c r="J201" s="8">
        <v>0.40227327818608805</v>
      </c>
      <c r="K201" s="8">
        <v>0.39696156342648636</v>
      </c>
      <c r="L201" s="8">
        <f>AVERAGE(Table14[[#This Row],[Bulk GFP fluorescence, replicate 1]:[Bulk GFP fluorescence, replicate 3]])</f>
        <v>0.32425447401759916</v>
      </c>
      <c r="M201" s="17">
        <f>STDEV(Table14[[#This Row],[Bulk GFP fluorescence, replicate 1]:[Bulk GFP fluorescence, replicate 3]])</f>
        <v>0.13055946853616437</v>
      </c>
      <c r="N201" s="17">
        <v>26.896666666666665</v>
      </c>
      <c r="O201" s="17">
        <v>12.037603166666667</v>
      </c>
      <c r="P201" s="17" t="s">
        <v>15</v>
      </c>
      <c r="Q201" s="8" t="s">
        <v>15</v>
      </c>
      <c r="W201" s="39"/>
      <c r="X201" s="39"/>
      <c r="Y201" s="39"/>
      <c r="Z201" s="39"/>
    </row>
    <row r="202" spans="1:26" x14ac:dyDescent="0.25">
      <c r="A202" s="1" t="s">
        <v>968</v>
      </c>
      <c r="B202" s="2" t="s">
        <v>51</v>
      </c>
      <c r="C202" s="2">
        <v>10</v>
      </c>
      <c r="D202" s="8">
        <v>0.95870379490901558</v>
      </c>
      <c r="E202" s="8">
        <v>0.9884464381701088</v>
      </c>
      <c r="F202" s="8">
        <v>0.93530147338661451</v>
      </c>
      <c r="G202" s="8">
        <f>AVERAGE(Table14[[#This Row],[Bulk resorufin fluorescence, replicate 1]:[Bulk resorufin fluorescence, replicate 3]])</f>
        <v>0.96081723548857967</v>
      </c>
      <c r="H202" s="17">
        <f>STDEV(Table14[[#This Row],[Bulk resorufin fluorescence, replicate 1]:[Bulk resorufin fluorescence, replicate 3]])</f>
        <v>2.6635442436201862E-2</v>
      </c>
      <c r="I202" s="8">
        <v>0.86701395843355566</v>
      </c>
      <c r="J202" s="8">
        <v>0.95353636862357938</v>
      </c>
      <c r="K202" s="8">
        <v>1.0701542024103996</v>
      </c>
      <c r="L202" s="8">
        <f>AVERAGE(Table14[[#This Row],[Bulk GFP fluorescence, replicate 1]:[Bulk GFP fluorescence, replicate 3]])</f>
        <v>0.96356817648917825</v>
      </c>
      <c r="M202" s="17">
        <f>STDEV(Table14[[#This Row],[Bulk GFP fluorescence, replicate 1]:[Bulk GFP fluorescence, replicate 3]])</f>
        <v>0.10194100037537467</v>
      </c>
      <c r="N202" s="8"/>
      <c r="O202" s="17"/>
      <c r="W202" s="39"/>
      <c r="X202" s="39"/>
      <c r="Y202" s="39"/>
      <c r="Z202" s="39"/>
    </row>
    <row r="203" spans="1:26" x14ac:dyDescent="0.25">
      <c r="A203" s="1" t="s">
        <v>968</v>
      </c>
      <c r="B203" s="2" t="s">
        <v>51</v>
      </c>
      <c r="C203" s="2">
        <v>2.9999999999999996</v>
      </c>
      <c r="D203" s="8">
        <v>0.9597568562393074</v>
      </c>
      <c r="E203" s="8">
        <v>0.9414337928454255</v>
      </c>
      <c r="F203" s="8">
        <v>0.92172170242631835</v>
      </c>
      <c r="G203" s="8">
        <f>AVERAGE(Table14[[#This Row],[Bulk resorufin fluorescence, replicate 1]:[Bulk resorufin fluorescence, replicate 3]])</f>
        <v>0.94097078383701704</v>
      </c>
      <c r="H203" s="17">
        <f>STDEV(Table14[[#This Row],[Bulk resorufin fluorescence, replicate 1]:[Bulk resorufin fluorescence, replicate 3]])</f>
        <v>1.9021803657929874E-2</v>
      </c>
      <c r="I203" s="8">
        <v>0.90512495577739127</v>
      </c>
      <c r="J203" s="8">
        <v>0.93316283419809631</v>
      </c>
      <c r="K203" s="8">
        <v>1.1846744908162727</v>
      </c>
      <c r="L203" s="8">
        <f>AVERAGE(Table14[[#This Row],[Bulk GFP fluorescence, replicate 1]:[Bulk GFP fluorescence, replicate 3]])</f>
        <v>1.0076540935972533</v>
      </c>
      <c r="M203" s="17">
        <f>STDEV(Table14[[#This Row],[Bulk GFP fluorescence, replicate 1]:[Bulk GFP fluorescence, replicate 3]])</f>
        <v>0.15394380932752091</v>
      </c>
      <c r="N203" s="8"/>
      <c r="O203" s="17"/>
      <c r="W203" s="39"/>
      <c r="X203" s="39"/>
      <c r="Y203" s="39"/>
      <c r="Z203" s="39"/>
    </row>
    <row r="204" spans="1:26" x14ac:dyDescent="0.25">
      <c r="A204" s="1" t="s">
        <v>968</v>
      </c>
      <c r="B204" s="2" t="s">
        <v>51</v>
      </c>
      <c r="C204" s="2">
        <v>1</v>
      </c>
      <c r="D204" s="8">
        <v>1.0730500544351702</v>
      </c>
      <c r="E204" s="8">
        <v>0.94916247120893238</v>
      </c>
      <c r="F204" s="8">
        <v>0.90546057541653702</v>
      </c>
      <c r="G204" s="8">
        <f>AVERAGE(Table14[[#This Row],[Bulk resorufin fluorescence, replicate 1]:[Bulk resorufin fluorescence, replicate 3]])</f>
        <v>0.97589103368687979</v>
      </c>
      <c r="H204" s="17">
        <f>STDEV(Table14[[#This Row],[Bulk resorufin fluorescence, replicate 1]:[Bulk resorufin fluorescence, replicate 3]])</f>
        <v>8.6933137574444999E-2</v>
      </c>
      <c r="I204" s="8">
        <v>1.1069110812030047</v>
      </c>
      <c r="J204" s="8">
        <v>0.99707056838824348</v>
      </c>
      <c r="K204" s="8">
        <v>1.1866392996859814</v>
      </c>
      <c r="L204" s="8">
        <f>AVERAGE(Table14[[#This Row],[Bulk GFP fluorescence, replicate 1]:[Bulk GFP fluorescence, replicate 3]])</f>
        <v>1.0968736497590765</v>
      </c>
      <c r="M204" s="17">
        <f>STDEV(Table14[[#This Row],[Bulk GFP fluorescence, replicate 1]:[Bulk GFP fluorescence, replicate 3]])</f>
        <v>9.5182133270651989E-2</v>
      </c>
      <c r="N204" s="8"/>
      <c r="O204" s="17"/>
      <c r="W204" s="39"/>
      <c r="X204" s="39"/>
      <c r="Y204" s="39"/>
      <c r="Z204" s="39"/>
    </row>
    <row r="205" spans="1:26" x14ac:dyDescent="0.25">
      <c r="A205" s="1" t="s">
        <v>968</v>
      </c>
      <c r="B205" s="2" t="s">
        <v>51</v>
      </c>
      <c r="C205" s="2">
        <v>0.33300000000000002</v>
      </c>
      <c r="D205" s="8">
        <v>0.88886152729534973</v>
      </c>
      <c r="E205" s="8">
        <v>0.93387222104112944</v>
      </c>
      <c r="F205" s="8">
        <v>0.90909338038680731</v>
      </c>
      <c r="G205" s="8">
        <f>AVERAGE(Table14[[#This Row],[Bulk resorufin fluorescence, replicate 1]:[Bulk resorufin fluorescence, replicate 3]])</f>
        <v>0.91060904290776212</v>
      </c>
      <c r="H205" s="17">
        <f>STDEV(Table14[[#This Row],[Bulk resorufin fluorescence, replicate 1]:[Bulk resorufin fluorescence, replicate 3]])</f>
        <v>2.2543592493814369E-2</v>
      </c>
      <c r="I205" s="8">
        <v>1.0627352689576943</v>
      </c>
      <c r="J205" s="8">
        <v>0.99919035809725321</v>
      </c>
      <c r="K205" s="8">
        <v>1.1477290668912163</v>
      </c>
      <c r="L205" s="8">
        <f>AVERAGE(Table14[[#This Row],[Bulk GFP fluorescence, replicate 1]:[Bulk GFP fluorescence, replicate 3]])</f>
        <v>1.0698848979820548</v>
      </c>
      <c r="M205" s="17">
        <f>STDEV(Table14[[#This Row],[Bulk GFP fluorescence, replicate 1]:[Bulk GFP fluorescence, replicate 3]])</f>
        <v>7.4527007849060509E-2</v>
      </c>
      <c r="N205" s="8"/>
      <c r="O205" s="17"/>
      <c r="W205" s="39"/>
      <c r="X205" s="39"/>
      <c r="Y205" s="39"/>
      <c r="Z205" s="39"/>
    </row>
    <row r="206" spans="1:26" x14ac:dyDescent="0.25">
      <c r="A206" s="1" t="s">
        <v>968</v>
      </c>
      <c r="B206" s="2" t="s">
        <v>51</v>
      </c>
      <c r="C206" s="2">
        <v>0.11099999999999999</v>
      </c>
      <c r="D206" s="8">
        <v>0.96641544403546065</v>
      </c>
      <c r="E206" s="8">
        <v>0.91223192162331013</v>
      </c>
      <c r="F206" s="8">
        <v>0.88828506892444259</v>
      </c>
      <c r="G206" s="8">
        <f>AVERAGE(Table14[[#This Row],[Bulk resorufin fluorescence, replicate 1]:[Bulk resorufin fluorescence, replicate 3]])</f>
        <v>0.92231081152773786</v>
      </c>
      <c r="H206" s="17">
        <f>STDEV(Table14[[#This Row],[Bulk resorufin fluorescence, replicate 1]:[Bulk resorufin fluorescence, replicate 3]])</f>
        <v>4.0028451069536501E-2</v>
      </c>
      <c r="I206" s="8">
        <v>0.99295246046171215</v>
      </c>
      <c r="J206" s="8">
        <v>1.0887318456204262</v>
      </c>
      <c r="K206" s="8">
        <v>1.1181516762275669</v>
      </c>
      <c r="L206" s="8">
        <f>AVERAGE(Table14[[#This Row],[Bulk GFP fluorescence, replicate 1]:[Bulk GFP fluorescence, replicate 3]])</f>
        <v>1.066611994103235</v>
      </c>
      <c r="M206" s="17">
        <f>STDEV(Table14[[#This Row],[Bulk GFP fluorescence, replicate 1]:[Bulk GFP fluorescence, replicate 3]])</f>
        <v>6.5465080619007895E-2</v>
      </c>
      <c r="N206" s="8"/>
      <c r="O206" s="17"/>
      <c r="W206" s="39"/>
      <c r="X206" s="39"/>
      <c r="Y206" s="39"/>
      <c r="Z206" s="39"/>
    </row>
    <row r="207" spans="1:26" x14ac:dyDescent="0.25">
      <c r="A207" s="1" t="s">
        <v>968</v>
      </c>
      <c r="B207" s="2" t="s">
        <v>51</v>
      </c>
      <c r="C207" s="2">
        <v>3.6999999999999998E-2</v>
      </c>
      <c r="D207" s="8">
        <v>0.89697820001036854</v>
      </c>
      <c r="E207" s="8">
        <v>0.93901074773686655</v>
      </c>
      <c r="F207" s="8">
        <v>0.8977995581322934</v>
      </c>
      <c r="G207" s="8">
        <f>AVERAGE(Table14[[#This Row],[Bulk resorufin fluorescence, replicate 1]:[Bulk resorufin fluorescence, replicate 3]])</f>
        <v>0.9112628352931762</v>
      </c>
      <c r="H207" s="17">
        <f>STDEV(Table14[[#This Row],[Bulk resorufin fluorescence, replicate 1]:[Bulk resorufin fluorescence, replicate 3]])</f>
        <v>2.4033906070968648E-2</v>
      </c>
      <c r="I207" s="8">
        <v>1.1730999253129277</v>
      </c>
      <c r="J207" s="8">
        <v>0.98427331940422125</v>
      </c>
      <c r="K207" s="8">
        <v>1.1064329947546621</v>
      </c>
      <c r="L207" s="8">
        <f>AVERAGE(Table14[[#This Row],[Bulk GFP fluorescence, replicate 1]:[Bulk GFP fluorescence, replicate 3]])</f>
        <v>1.0879354131572703</v>
      </c>
      <c r="M207" s="17">
        <f>STDEV(Table14[[#This Row],[Bulk GFP fluorescence, replicate 1]:[Bulk GFP fluorescence, replicate 3]])</f>
        <v>9.576268672329849E-2</v>
      </c>
      <c r="N207" s="8"/>
      <c r="O207" s="17"/>
      <c r="W207" s="39"/>
      <c r="X207" s="39"/>
      <c r="Y207" s="39"/>
      <c r="Z207" s="39"/>
    </row>
    <row r="208" spans="1:26" x14ac:dyDescent="0.25">
      <c r="A208" s="1" t="s">
        <v>968</v>
      </c>
      <c r="B208" s="2" t="s">
        <v>51</v>
      </c>
      <c r="C208" s="2">
        <v>1.2333333333333333E-2</v>
      </c>
      <c r="D208" s="8">
        <v>0.90214630100057025</v>
      </c>
      <c r="E208" s="8">
        <v>0.9147942221978782</v>
      </c>
      <c r="F208" s="8">
        <v>0.88724712464722244</v>
      </c>
      <c r="G208" s="8">
        <f>AVERAGE(Table14[[#This Row],[Bulk resorufin fluorescence, replicate 1]:[Bulk resorufin fluorescence, replicate 3]])</f>
        <v>0.90139588261522352</v>
      </c>
      <c r="H208" s="17">
        <f>STDEV(Table14[[#This Row],[Bulk resorufin fluorescence, replicate 1]:[Bulk resorufin fluorescence, replicate 3]])</f>
        <v>1.3788872023524471E-2</v>
      </c>
      <c r="I208" s="8">
        <v>0.97483289001533047</v>
      </c>
      <c r="J208" s="8">
        <v>1.1258281655280975</v>
      </c>
      <c r="K208" s="8">
        <v>1.1252741083802607</v>
      </c>
      <c r="L208" s="8">
        <f>AVERAGE(Table14[[#This Row],[Bulk GFP fluorescence, replicate 1]:[Bulk GFP fluorescence, replicate 3]])</f>
        <v>1.0753117213078962</v>
      </c>
      <c r="M208" s="17">
        <f>STDEV(Table14[[#This Row],[Bulk GFP fluorescence, replicate 1]:[Bulk GFP fluorescence, replicate 3]])</f>
        <v>8.7017661415776298E-2</v>
      </c>
      <c r="N208" s="8"/>
      <c r="O208" s="17"/>
      <c r="W208" s="39"/>
      <c r="X208" s="39"/>
      <c r="Y208" s="39"/>
      <c r="Z208" s="39"/>
    </row>
    <row r="209" spans="1:26" x14ac:dyDescent="0.25">
      <c r="A209" s="1" t="s">
        <v>968</v>
      </c>
      <c r="B209" s="2" t="s">
        <v>51</v>
      </c>
      <c r="C209" s="2">
        <v>3.7500000000000003E-3</v>
      </c>
      <c r="D209" s="8">
        <v>0.89286316035045887</v>
      </c>
      <c r="E209" s="8">
        <v>0.9601079508372502</v>
      </c>
      <c r="F209" s="8">
        <v>0.88952071687351419</v>
      </c>
      <c r="G209" s="8">
        <f>AVERAGE(Table14[[#This Row],[Bulk resorufin fluorescence, replicate 1]:[Bulk resorufin fluorescence, replicate 3]])</f>
        <v>0.91416394268707446</v>
      </c>
      <c r="H209" s="17">
        <f>STDEV(Table14[[#This Row],[Bulk resorufin fluorescence, replicate 1]:[Bulk resorufin fluorescence, replicate 3]])</f>
        <v>3.9823760442438211E-2</v>
      </c>
      <c r="I209" s="8">
        <v>1.0662543590857103</v>
      </c>
      <c r="J209" s="8">
        <v>0.90792163451488705</v>
      </c>
      <c r="K209" s="8">
        <v>1.1756574215392173</v>
      </c>
      <c r="L209" s="8">
        <f>AVERAGE(Table14[[#This Row],[Bulk GFP fluorescence, replicate 1]:[Bulk GFP fluorescence, replicate 3]])</f>
        <v>1.0499444717132715</v>
      </c>
      <c r="M209" s="17">
        <f>STDEV(Table14[[#This Row],[Bulk GFP fluorescence, replicate 1]:[Bulk GFP fluorescence, replicate 3]])</f>
        <v>0.13461100338739235</v>
      </c>
      <c r="N209" s="8"/>
      <c r="O209" s="17"/>
      <c r="W209" s="39"/>
      <c r="X209" s="39"/>
      <c r="Y209" s="39"/>
      <c r="Z209" s="39"/>
    </row>
    <row r="210" spans="1:26" x14ac:dyDescent="0.25">
      <c r="A210" s="1" t="s">
        <v>968</v>
      </c>
      <c r="B210" s="2" t="s">
        <v>51</v>
      </c>
      <c r="C210" s="2">
        <v>1.25E-3</v>
      </c>
      <c r="D210" s="8">
        <v>0.98046166208719998</v>
      </c>
      <c r="E210" s="8">
        <v>0.94693438375278616</v>
      </c>
      <c r="F210" s="8">
        <v>0.90442263113931687</v>
      </c>
      <c r="G210" s="8">
        <f>AVERAGE(Table14[[#This Row],[Bulk resorufin fluorescence, replicate 1]:[Bulk resorufin fluorescence, replicate 3]])</f>
        <v>0.943939558993101</v>
      </c>
      <c r="H210" s="17">
        <f>STDEV(Table14[[#This Row],[Bulk resorufin fluorescence, replicate 1]:[Bulk resorufin fluorescence, replicate 3]])</f>
        <v>3.8107876985988068E-2</v>
      </c>
      <c r="I210" s="8">
        <v>1.0079273120702918</v>
      </c>
      <c r="J210" s="8">
        <v>0.97862054684686184</v>
      </c>
      <c r="K210" s="8">
        <v>1.1535533217549951</v>
      </c>
      <c r="L210" s="8">
        <f>AVERAGE(Table14[[#This Row],[Bulk GFP fluorescence, replicate 1]:[Bulk GFP fluorescence, replicate 3]])</f>
        <v>1.0467003935573829</v>
      </c>
      <c r="M210" s="17">
        <f>STDEV(Table14[[#This Row],[Bulk GFP fluorescence, replicate 1]:[Bulk GFP fluorescence, replicate 3]])</f>
        <v>9.3690356068639014E-2</v>
      </c>
      <c r="N210" s="8"/>
      <c r="O210" s="17"/>
      <c r="W210" s="39"/>
      <c r="X210" s="39"/>
      <c r="Y210" s="39"/>
      <c r="Z210" s="39"/>
    </row>
    <row r="211" spans="1:26" ht="15.75" thickBot="1" x14ac:dyDescent="0.3">
      <c r="A211" s="10" t="s">
        <v>968</v>
      </c>
      <c r="B211" s="11" t="s">
        <v>51</v>
      </c>
      <c r="C211" s="11">
        <v>4.1666666666666669E-4</v>
      </c>
      <c r="D211" s="12">
        <v>1.0235885737985382</v>
      </c>
      <c r="E211" s="12">
        <v>0.95148803749128485</v>
      </c>
      <c r="F211" s="12">
        <v>0.90833963513787364</v>
      </c>
      <c r="G211" s="12">
        <f>AVERAGE(Table14[[#This Row],[Bulk resorufin fluorescence, replicate 1]:[Bulk resorufin fluorescence, replicate 3]])</f>
        <v>0.96113874880923211</v>
      </c>
      <c r="H211" s="25">
        <f>STDEV(Table14[[#This Row],[Bulk resorufin fluorescence, replicate 1]:[Bulk resorufin fluorescence, replicate 3]])</f>
        <v>5.8227413108510782E-2</v>
      </c>
      <c r="I211" s="12">
        <v>0.87757122881760441</v>
      </c>
      <c r="J211" s="12">
        <v>0.99864078298750991</v>
      </c>
      <c r="K211" s="12">
        <v>1.1353086679648439</v>
      </c>
      <c r="L211" s="12">
        <f>AVERAGE(Table14[[#This Row],[Bulk GFP fluorescence, replicate 1]:[Bulk GFP fluorescence, replicate 3]])</f>
        <v>1.0038402265899862</v>
      </c>
      <c r="M211" s="25">
        <f>STDEV(Table14[[#This Row],[Bulk GFP fluorescence, replicate 1]:[Bulk GFP fluorescence, replicate 3]])</f>
        <v>0.12894736346616584</v>
      </c>
      <c r="N211" s="12"/>
      <c r="O211" s="25"/>
      <c r="P211" s="25"/>
      <c r="Q211" s="25"/>
      <c r="W211" s="39"/>
      <c r="X211" s="39"/>
      <c r="Y211" s="39"/>
      <c r="Z211" s="39"/>
    </row>
    <row r="212" spans="1:26" x14ac:dyDescent="0.25">
      <c r="A212" s="1" t="s">
        <v>970</v>
      </c>
      <c r="B212" s="2" t="s">
        <v>52</v>
      </c>
      <c r="C212" s="2">
        <v>30</v>
      </c>
      <c r="D212" s="8">
        <v>0.91711597283425794</v>
      </c>
      <c r="E212" s="8">
        <v>0.95787986338110409</v>
      </c>
      <c r="F212" s="8">
        <v>0.93016117791847686</v>
      </c>
      <c r="G212" s="8">
        <f>AVERAGE(Table14[[#This Row],[Bulk resorufin fluorescence, replicate 1]:[Bulk resorufin fluorescence, replicate 3]])</f>
        <v>0.93505233804461296</v>
      </c>
      <c r="H212" s="17">
        <f>STDEV(Table14[[#This Row],[Bulk resorufin fluorescence, replicate 1]:[Bulk resorufin fluorescence, replicate 3]])</f>
        <v>2.0817451300854314E-2</v>
      </c>
      <c r="I212" s="8">
        <v>0.4056463033222012</v>
      </c>
      <c r="J212" s="8">
        <v>0.30990540438423542</v>
      </c>
      <c r="K212" s="8">
        <v>0.416855253232286</v>
      </c>
      <c r="L212" s="8">
        <f>AVERAGE(Table14[[#This Row],[Bulk GFP fluorescence, replicate 1]:[Bulk GFP fluorescence, replicate 3]])</f>
        <v>0.37746898697957421</v>
      </c>
      <c r="M212" s="17">
        <f>STDEV(Table14[[#This Row],[Bulk GFP fluorescence, replicate 1]:[Bulk GFP fluorescence, replicate 3]])</f>
        <v>5.8779574763344174E-2</v>
      </c>
      <c r="N212" s="8" t="s">
        <v>53</v>
      </c>
      <c r="O212" s="17" t="s">
        <v>1282</v>
      </c>
      <c r="P212" s="17" t="s">
        <v>15</v>
      </c>
      <c r="Q212" s="8" t="s">
        <v>15</v>
      </c>
      <c r="W212" s="39"/>
      <c r="X212" s="39"/>
      <c r="Y212" s="39"/>
      <c r="Z212" s="39"/>
    </row>
    <row r="213" spans="1:26" x14ac:dyDescent="0.25">
      <c r="A213" s="1" t="s">
        <v>970</v>
      </c>
      <c r="B213" s="2" t="s">
        <v>52</v>
      </c>
      <c r="C213" s="2">
        <v>10</v>
      </c>
      <c r="D213" s="8">
        <v>0.95097594483902748</v>
      </c>
      <c r="E213" s="8">
        <v>0.947129341405199</v>
      </c>
      <c r="F213" s="8">
        <v>0.9299634742466254</v>
      </c>
      <c r="G213" s="8">
        <f>AVERAGE(Table14[[#This Row],[Bulk resorufin fluorescence, replicate 1]:[Bulk resorufin fluorescence, replicate 3]])</f>
        <v>0.94268958683028392</v>
      </c>
      <c r="H213" s="17">
        <f>STDEV(Table14[[#This Row],[Bulk resorufin fluorescence, replicate 1]:[Bulk resorufin fluorescence, replicate 3]])</f>
        <v>1.1187696170939296E-2</v>
      </c>
      <c r="I213" s="8">
        <v>1.0004165057439929</v>
      </c>
      <c r="J213" s="8">
        <v>0.8196363186711273</v>
      </c>
      <c r="K213" s="8">
        <v>0.76915250074557484</v>
      </c>
      <c r="L213" s="8">
        <f>AVERAGE(Table14[[#This Row],[Bulk GFP fluorescence, replicate 1]:[Bulk GFP fluorescence, replicate 3]])</f>
        <v>0.86306844172023167</v>
      </c>
      <c r="M213" s="17">
        <f>STDEV(Table14[[#This Row],[Bulk GFP fluorescence, replicate 1]:[Bulk GFP fluorescence, replicate 3]])</f>
        <v>0.12159573177703029</v>
      </c>
      <c r="N213" s="8"/>
      <c r="O213" s="17"/>
      <c r="W213" s="39"/>
      <c r="X213" s="39"/>
      <c r="Y213" s="39"/>
      <c r="Z213" s="39"/>
    </row>
    <row r="214" spans="1:26" x14ac:dyDescent="0.25">
      <c r="A214" s="1" t="s">
        <v>970</v>
      </c>
      <c r="B214" s="2" t="s">
        <v>52</v>
      </c>
      <c r="C214" s="2">
        <v>2.9999999999999996</v>
      </c>
      <c r="D214" s="8">
        <v>0.91180206335216962</v>
      </c>
      <c r="E214" s="8">
        <v>0.97375498650614523</v>
      </c>
      <c r="F214" s="8">
        <v>0.91997943881812749</v>
      </c>
      <c r="G214" s="8">
        <f>AVERAGE(Table14[[#This Row],[Bulk resorufin fluorescence, replicate 1]:[Bulk resorufin fluorescence, replicate 3]])</f>
        <v>0.93517882955881415</v>
      </c>
      <c r="H214" s="17">
        <f>STDEV(Table14[[#This Row],[Bulk resorufin fluorescence, replicate 1]:[Bulk resorufin fluorescence, replicate 3]])</f>
        <v>3.3657202512934054E-2</v>
      </c>
      <c r="I214" s="8">
        <v>1.1059817797669083</v>
      </c>
      <c r="J214" s="8">
        <v>1.0197601693476446</v>
      </c>
      <c r="K214" s="8">
        <v>0.91503955932143921</v>
      </c>
      <c r="L214" s="8">
        <f>AVERAGE(Table14[[#This Row],[Bulk GFP fluorescence, replicate 1]:[Bulk GFP fluorescence, replicate 3]])</f>
        <v>1.0135938361453307</v>
      </c>
      <c r="M214" s="17">
        <f>STDEV(Table14[[#This Row],[Bulk GFP fluorescence, replicate 1]:[Bulk GFP fluorescence, replicate 3]])</f>
        <v>9.5620346349681209E-2</v>
      </c>
      <c r="N214" s="8"/>
      <c r="O214" s="17"/>
      <c r="W214" s="39"/>
      <c r="X214" s="39"/>
      <c r="Y214" s="39"/>
      <c r="Z214" s="39"/>
    </row>
    <row r="215" spans="1:26" x14ac:dyDescent="0.25">
      <c r="A215" s="1" t="s">
        <v>970</v>
      </c>
      <c r="B215" s="2" t="s">
        <v>52</v>
      </c>
      <c r="C215" s="2">
        <v>1</v>
      </c>
      <c r="D215" s="8">
        <v>0.84335307688319772</v>
      </c>
      <c r="E215" s="8">
        <v>0.93795240619519715</v>
      </c>
      <c r="F215" s="8">
        <v>0.93224942295240787</v>
      </c>
      <c r="G215" s="8">
        <f>AVERAGE(Table14[[#This Row],[Bulk resorufin fluorescence, replicate 1]:[Bulk resorufin fluorescence, replicate 3]])</f>
        <v>0.90451830201026751</v>
      </c>
      <c r="H215" s="17">
        <f>STDEV(Table14[[#This Row],[Bulk resorufin fluorescence, replicate 1]:[Bulk resorufin fluorescence, replicate 3]])</f>
        <v>5.3047333374079582E-2</v>
      </c>
      <c r="I215" s="8">
        <v>1.1354400951147663</v>
      </c>
      <c r="J215" s="8">
        <v>0.84691879733338304</v>
      </c>
      <c r="K215" s="8">
        <v>1.080118590249636</v>
      </c>
      <c r="L215" s="8">
        <f>AVERAGE(Table14[[#This Row],[Bulk GFP fluorescence, replicate 1]:[Bulk GFP fluorescence, replicate 3]])</f>
        <v>1.0208258275659283</v>
      </c>
      <c r="M215" s="17">
        <f>STDEV(Table14[[#This Row],[Bulk GFP fluorescence, replicate 1]:[Bulk GFP fluorescence, replicate 3]])</f>
        <v>0.15312693622731205</v>
      </c>
      <c r="N215" s="8"/>
      <c r="O215" s="17"/>
      <c r="W215" s="39"/>
      <c r="X215" s="39"/>
      <c r="Y215" s="39"/>
      <c r="Z215" s="39"/>
    </row>
    <row r="216" spans="1:26" x14ac:dyDescent="0.25">
      <c r="A216" s="1" t="s">
        <v>970</v>
      </c>
      <c r="B216" s="2" t="s">
        <v>52</v>
      </c>
      <c r="C216" s="2">
        <v>0.33300000000000002</v>
      </c>
      <c r="D216" s="8">
        <v>0.85867916947483014</v>
      </c>
      <c r="E216" s="8">
        <v>0.96321334772925393</v>
      </c>
      <c r="F216" s="8">
        <v>0.91702624021984658</v>
      </c>
      <c r="G216" s="8">
        <f>AVERAGE(Table14[[#This Row],[Bulk resorufin fluorescence, replicate 1]:[Bulk resorufin fluorescence, replicate 3]])</f>
        <v>0.91297291914131018</v>
      </c>
      <c r="H216" s="17">
        <f>STDEV(Table14[[#This Row],[Bulk resorufin fluorescence, replicate 1]:[Bulk resorufin fluorescence, replicate 3]])</f>
        <v>5.2384832391219813E-2</v>
      </c>
      <c r="I216" s="8">
        <v>1.1053759532301912</v>
      </c>
      <c r="J216" s="8">
        <v>0.94034656598974065</v>
      </c>
      <c r="K216" s="8">
        <v>0.97159798607090853</v>
      </c>
      <c r="L216" s="8">
        <f>AVERAGE(Table14[[#This Row],[Bulk GFP fluorescence, replicate 1]:[Bulk GFP fluorescence, replicate 3]])</f>
        <v>1.0057735017636136</v>
      </c>
      <c r="M216" s="17">
        <f>STDEV(Table14[[#This Row],[Bulk GFP fluorescence, replicate 1]:[Bulk GFP fluorescence, replicate 3]])</f>
        <v>8.7662130181090106E-2</v>
      </c>
      <c r="N216" s="8"/>
      <c r="O216" s="17"/>
      <c r="W216" s="39"/>
      <c r="X216" s="39"/>
      <c r="Y216" s="39"/>
      <c r="Z216" s="39"/>
    </row>
    <row r="217" spans="1:26" x14ac:dyDescent="0.25">
      <c r="A217" s="1" t="s">
        <v>970</v>
      </c>
      <c r="B217" s="2" t="s">
        <v>52</v>
      </c>
      <c r="C217" s="2">
        <v>0.11099999999999999</v>
      </c>
      <c r="D217" s="8">
        <v>0.95633845715174459</v>
      </c>
      <c r="E217" s="8">
        <v>0.92055939849065638</v>
      </c>
      <c r="F217" s="8">
        <v>0.93047008990574476</v>
      </c>
      <c r="G217" s="8">
        <f>AVERAGE(Table14[[#This Row],[Bulk resorufin fluorescence, replicate 1]:[Bulk resorufin fluorescence, replicate 3]])</f>
        <v>0.93578931518271524</v>
      </c>
      <c r="H217" s="17">
        <f>STDEV(Table14[[#This Row],[Bulk resorufin fluorescence, replicate 1]:[Bulk resorufin fluorescence, replicate 3]])</f>
        <v>1.8473112294055086E-2</v>
      </c>
      <c r="I217" s="8">
        <v>1.0347214333855859</v>
      </c>
      <c r="J217" s="8">
        <v>0.9081964220697587</v>
      </c>
      <c r="K217" s="8">
        <v>0.95752855112888802</v>
      </c>
      <c r="L217" s="8">
        <f>AVERAGE(Table14[[#This Row],[Bulk GFP fluorescence, replicate 1]:[Bulk GFP fluorescence, replicate 3]])</f>
        <v>0.9668154688614109</v>
      </c>
      <c r="M217" s="17">
        <f>STDEV(Table14[[#This Row],[Bulk GFP fluorescence, replicate 1]:[Bulk GFP fluorescence, replicate 3]])</f>
        <v>6.3771700250546348E-2</v>
      </c>
      <c r="N217" s="8"/>
      <c r="O217" s="17"/>
      <c r="W217" s="39"/>
      <c r="X217" s="39"/>
      <c r="Y217" s="39"/>
      <c r="Z217" s="39"/>
    </row>
    <row r="218" spans="1:26" x14ac:dyDescent="0.25">
      <c r="A218" s="1" t="s">
        <v>970</v>
      </c>
      <c r="B218" s="2" t="s">
        <v>52</v>
      </c>
      <c r="C218" s="2">
        <v>3.6999999999999998E-2</v>
      </c>
      <c r="D218" s="8">
        <v>0.98483591684379701</v>
      </c>
      <c r="E218" s="8">
        <v>0.91863767305973032</v>
      </c>
      <c r="F218" s="8">
        <v>0.86745204450309643</v>
      </c>
      <c r="G218" s="8">
        <f>AVERAGE(Table14[[#This Row],[Bulk resorufin fluorescence, replicate 1]:[Bulk resorufin fluorescence, replicate 3]])</f>
        <v>0.92364187813554122</v>
      </c>
      <c r="H218" s="17">
        <f>STDEV(Table14[[#This Row],[Bulk resorufin fluorescence, replicate 1]:[Bulk resorufin fluorescence, replicate 3]])</f>
        <v>5.8851719794370087E-2</v>
      </c>
      <c r="I218" s="8">
        <v>1.0066262277453408</v>
      </c>
      <c r="J218" s="8">
        <v>0.90591961090082229</v>
      </c>
      <c r="K218" s="8">
        <v>1.0004385734084171</v>
      </c>
      <c r="L218" s="8">
        <f>AVERAGE(Table14[[#This Row],[Bulk GFP fluorescence, replicate 1]:[Bulk GFP fluorescence, replicate 3]])</f>
        <v>0.97099480401819349</v>
      </c>
      <c r="M218" s="17">
        <f>STDEV(Table14[[#This Row],[Bulk GFP fluorescence, replicate 1]:[Bulk GFP fluorescence, replicate 3]])</f>
        <v>5.6441627687334392E-2</v>
      </c>
      <c r="N218" s="8"/>
      <c r="O218" s="17"/>
      <c r="W218" s="39"/>
      <c r="X218" s="39"/>
      <c r="Y218" s="39"/>
      <c r="Z218" s="39"/>
    </row>
    <row r="219" spans="1:26" x14ac:dyDescent="0.25">
      <c r="A219" s="1" t="s">
        <v>970</v>
      </c>
      <c r="B219" s="2" t="s">
        <v>52</v>
      </c>
      <c r="C219" s="2">
        <v>1.2333333333333333E-2</v>
      </c>
      <c r="D219" s="8">
        <v>0.81692933796464307</v>
      </c>
      <c r="E219" s="8">
        <v>0.92675626672806277</v>
      </c>
      <c r="F219" s="8">
        <v>0.88288528738700001</v>
      </c>
      <c r="G219" s="8">
        <f>AVERAGE(Table14[[#This Row],[Bulk resorufin fluorescence, replicate 1]:[Bulk resorufin fluorescence, replicate 3]])</f>
        <v>0.87552363069323524</v>
      </c>
      <c r="H219" s="17">
        <f>STDEV(Table14[[#This Row],[Bulk resorufin fluorescence, replicate 1]:[Bulk resorufin fluorescence, replicate 3]])</f>
        <v>5.5282312382523895E-2</v>
      </c>
      <c r="I219" s="8">
        <v>0.9536164057826142</v>
      </c>
      <c r="J219" s="8">
        <v>0.93646028485655597</v>
      </c>
      <c r="K219" s="8">
        <v>0.96156342648632531</v>
      </c>
      <c r="L219" s="8">
        <f>AVERAGE(Table14[[#This Row],[Bulk GFP fluorescence, replicate 1]:[Bulk GFP fluorescence, replicate 3]])</f>
        <v>0.95054670570849853</v>
      </c>
      <c r="M219" s="17">
        <f>STDEV(Table14[[#This Row],[Bulk GFP fluorescence, replicate 1]:[Bulk GFP fluorescence, replicate 3]])</f>
        <v>1.2830012620018505E-2</v>
      </c>
      <c r="N219" s="8"/>
      <c r="O219" s="17"/>
      <c r="W219" s="39"/>
      <c r="X219" s="39"/>
      <c r="Y219" s="39"/>
      <c r="Z219" s="39"/>
    </row>
    <row r="220" spans="1:26" x14ac:dyDescent="0.25">
      <c r="A220" s="1" t="s">
        <v>970</v>
      </c>
      <c r="B220" s="2" t="s">
        <v>52</v>
      </c>
      <c r="C220" s="2">
        <v>3.7500000000000003E-3</v>
      </c>
      <c r="D220" s="8">
        <v>0.82025053139094828</v>
      </c>
      <c r="E220" s="8">
        <v>0.91071403704381071</v>
      </c>
      <c r="F220" s="8">
        <v>0.85210529697562809</v>
      </c>
      <c r="G220" s="8">
        <f>AVERAGE(Table14[[#This Row],[Bulk resorufin fluorescence, replicate 1]:[Bulk resorufin fluorescence, replicate 3]])</f>
        <v>0.86102328847012899</v>
      </c>
      <c r="H220" s="17">
        <f>STDEV(Table14[[#This Row],[Bulk resorufin fluorescence, replicate 1]:[Bulk resorufin fluorescence, replicate 3]])</f>
        <v>4.5886374807489007E-2</v>
      </c>
      <c r="I220" s="8">
        <v>0.97451742129934638</v>
      </c>
      <c r="J220" s="8">
        <v>0.94046433208468549</v>
      </c>
      <c r="K220" s="8">
        <v>1.0024735540234726</v>
      </c>
      <c r="L220" s="8">
        <f>AVERAGE(Table14[[#This Row],[Bulk GFP fluorescence, replicate 1]:[Bulk GFP fluorescence, replicate 3]])</f>
        <v>0.97248510246916808</v>
      </c>
      <c r="M220" s="17">
        <f>STDEV(Table14[[#This Row],[Bulk GFP fluorescence, replicate 1]:[Bulk GFP fluorescence, replicate 3]])</f>
        <v>3.1054526904045116E-2</v>
      </c>
      <c r="N220" s="8"/>
      <c r="O220" s="17"/>
      <c r="W220" s="39"/>
      <c r="X220" s="39"/>
      <c r="Y220" s="39"/>
      <c r="Z220" s="39"/>
    </row>
    <row r="221" spans="1:26" x14ac:dyDescent="0.25">
      <c r="A221" s="1" t="s">
        <v>970</v>
      </c>
      <c r="B221" s="2" t="s">
        <v>52</v>
      </c>
      <c r="C221" s="2">
        <v>1.25E-3</v>
      </c>
      <c r="D221" s="8">
        <v>0.95452395147493396</v>
      </c>
      <c r="E221" s="8">
        <v>0.96177901642935981</v>
      </c>
      <c r="F221" s="8">
        <v>0.90102459927937018</v>
      </c>
      <c r="G221" s="8">
        <f>AVERAGE(Table14[[#This Row],[Bulk resorufin fluorescence, replicate 1]:[Bulk resorufin fluorescence, replicate 3]])</f>
        <v>0.93910918906122143</v>
      </c>
      <c r="H221" s="17">
        <f>STDEV(Table14[[#This Row],[Bulk resorufin fluorescence, replicate 1]:[Bulk resorufin fluorescence, replicate 3]])</f>
        <v>3.3181108721863785E-2</v>
      </c>
      <c r="I221" s="8">
        <v>1.0700865574664333</v>
      </c>
      <c r="J221" s="8">
        <v>0.96229031501449014</v>
      </c>
      <c r="K221" s="8">
        <v>0.96208971457642578</v>
      </c>
      <c r="L221" s="8">
        <f>AVERAGE(Table14[[#This Row],[Bulk GFP fluorescence, replicate 1]:[Bulk GFP fluorescence, replicate 3]])</f>
        <v>0.99815552901911631</v>
      </c>
      <c r="M221" s="17">
        <f>STDEV(Table14[[#This Row],[Bulk GFP fluorescence, replicate 1]:[Bulk GFP fluorescence, replicate 3]])</f>
        <v>6.2294178702752591E-2</v>
      </c>
      <c r="N221" s="8"/>
      <c r="O221" s="17"/>
      <c r="W221" s="39"/>
      <c r="X221" s="39"/>
      <c r="Y221" s="39"/>
      <c r="Z221" s="39"/>
    </row>
    <row r="222" spans="1:26" ht="15.75" thickBot="1" x14ac:dyDescent="0.3">
      <c r="A222" s="10" t="s">
        <v>970</v>
      </c>
      <c r="B222" s="11" t="s">
        <v>52</v>
      </c>
      <c r="C222" s="11">
        <v>4.1666666666666669E-4</v>
      </c>
      <c r="D222" s="12">
        <v>0.90592112084607801</v>
      </c>
      <c r="E222" s="12">
        <v>0.9223140173623714</v>
      </c>
      <c r="F222" s="12">
        <v>0.86616697063606218</v>
      </c>
      <c r="G222" s="12">
        <f>AVERAGE(Table14[[#This Row],[Bulk resorufin fluorescence, replicate 1]:[Bulk resorufin fluorescence, replicate 3]])</f>
        <v>0.89813403628150379</v>
      </c>
      <c r="H222" s="25">
        <f>STDEV(Table14[[#This Row],[Bulk resorufin fluorescence, replicate 1]:[Bulk resorufin fluorescence, replicate 3]])</f>
        <v>2.887216182646286E-2</v>
      </c>
      <c r="I222" s="12">
        <v>0.90621047928451892</v>
      </c>
      <c r="J222" s="12">
        <v>1.0626270279076202</v>
      </c>
      <c r="K222" s="12">
        <v>0.80781713243162634</v>
      </c>
      <c r="L222" s="12">
        <f>AVERAGE(Table14[[#This Row],[Bulk GFP fluorescence, replicate 1]:[Bulk GFP fluorescence, replicate 3]])</f>
        <v>0.92555154654125504</v>
      </c>
      <c r="M222" s="25">
        <f>STDEV(Table14[[#This Row],[Bulk GFP fluorescence, replicate 1]:[Bulk GFP fluorescence, replicate 3]])</f>
        <v>0.12850127769829334</v>
      </c>
      <c r="N222" s="12"/>
      <c r="O222" s="25"/>
      <c r="P222" s="25"/>
      <c r="Q222" s="25"/>
      <c r="W222" s="39"/>
      <c r="X222" s="39"/>
      <c r="Y222" s="39"/>
      <c r="Z222" s="39"/>
    </row>
    <row r="223" spans="1:26" x14ac:dyDescent="0.25">
      <c r="A223" s="1" t="s">
        <v>972</v>
      </c>
      <c r="B223" s="2" t="s">
        <v>54</v>
      </c>
      <c r="C223" s="2">
        <v>30</v>
      </c>
      <c r="D223" s="8">
        <v>0.88513517121590235</v>
      </c>
      <c r="E223" s="8">
        <v>0.9703370155330544</v>
      </c>
      <c r="F223" s="8">
        <v>0.91147198215239877</v>
      </c>
      <c r="G223" s="8">
        <f>AVERAGE(Table14[[#This Row],[Bulk resorufin fluorescence, replicate 1]:[Bulk resorufin fluorescence, replicate 3]])</f>
        <v>0.92231472296711858</v>
      </c>
      <c r="H223" s="17">
        <f>STDEV(Table14[[#This Row],[Bulk resorufin fluorescence, replicate 1]:[Bulk resorufin fluorescence, replicate 3]])</f>
        <v>4.3623529660522034E-2</v>
      </c>
      <c r="I223" s="8">
        <v>0.37667552703494844</v>
      </c>
      <c r="J223" s="8">
        <v>0.53120778168062688</v>
      </c>
      <c r="K223" s="8">
        <v>0.52456613561930021</v>
      </c>
      <c r="L223" s="8">
        <f>AVERAGE(Table14[[#This Row],[Bulk GFP fluorescence, replicate 1]:[Bulk GFP fluorescence, replicate 3]])</f>
        <v>0.47748314811162523</v>
      </c>
      <c r="M223" s="17">
        <f>STDEV(Table14[[#This Row],[Bulk GFP fluorescence, replicate 1]:[Bulk GFP fluorescence, replicate 3]])</f>
        <v>8.7365097241147174E-2</v>
      </c>
      <c r="N223" s="8" t="s">
        <v>53</v>
      </c>
      <c r="O223" s="17" t="s">
        <v>1283</v>
      </c>
      <c r="P223" s="17" t="s">
        <v>15</v>
      </c>
      <c r="Q223" s="8" t="s">
        <v>15</v>
      </c>
      <c r="W223" s="39"/>
      <c r="X223" s="39"/>
      <c r="Y223" s="39"/>
      <c r="Z223" s="39"/>
    </row>
    <row r="224" spans="1:26" x14ac:dyDescent="0.25">
      <c r="A224" s="1" t="s">
        <v>972</v>
      </c>
      <c r="B224" s="2" t="s">
        <v>54</v>
      </c>
      <c r="C224" s="2">
        <v>10</v>
      </c>
      <c r="D224" s="8">
        <v>0.90486872695021159</v>
      </c>
      <c r="E224" s="8">
        <v>0.88372034176009229</v>
      </c>
      <c r="F224" s="8">
        <v>0.91738016961566604</v>
      </c>
      <c r="G224" s="8">
        <f>AVERAGE(Table14[[#This Row],[Bulk resorufin fluorescence, replicate 1]:[Bulk resorufin fluorescence, replicate 3]])</f>
        <v>0.90198974610865668</v>
      </c>
      <c r="H224" s="17">
        <f>STDEV(Table14[[#This Row],[Bulk resorufin fluorescence, replicate 1]:[Bulk resorufin fluorescence, replicate 3]])</f>
        <v>1.70135945887765E-2</v>
      </c>
      <c r="I224" s="8">
        <v>0.64953373462087427</v>
      </c>
      <c r="J224" s="8">
        <v>0.70333072872926961</v>
      </c>
      <c r="K224" s="8">
        <v>0.93007386413742577</v>
      </c>
      <c r="L224" s="8">
        <f>AVERAGE(Table14[[#This Row],[Bulk GFP fluorescence, replicate 1]:[Bulk GFP fluorescence, replicate 3]])</f>
        <v>0.76097944249585658</v>
      </c>
      <c r="M224" s="17">
        <f>STDEV(Table14[[#This Row],[Bulk GFP fluorescence, replicate 1]:[Bulk GFP fluorescence, replicate 3]])</f>
        <v>0.14888996513028419</v>
      </c>
      <c r="N224" s="8"/>
      <c r="O224" s="17"/>
      <c r="W224" s="39"/>
      <c r="X224" s="39"/>
      <c r="Y224" s="39"/>
      <c r="Z224" s="39"/>
    </row>
    <row r="225" spans="1:26" x14ac:dyDescent="0.25">
      <c r="A225" s="1" t="s">
        <v>972</v>
      </c>
      <c r="B225" s="2" t="s">
        <v>54</v>
      </c>
      <c r="C225" s="2">
        <v>2.9999999999999996</v>
      </c>
      <c r="D225" s="8">
        <v>0.94238432811004957</v>
      </c>
      <c r="E225" s="8">
        <v>0.88522594856391679</v>
      </c>
      <c r="F225" s="8">
        <v>0.90074670667880552</v>
      </c>
      <c r="G225" s="8">
        <f>AVERAGE(Table14[[#This Row],[Bulk resorufin fluorescence, replicate 1]:[Bulk resorufin fluorescence, replicate 3]])</f>
        <v>0.90945232778425733</v>
      </c>
      <c r="H225" s="17">
        <f>STDEV(Table14[[#This Row],[Bulk resorufin fluorescence, replicate 1]:[Bulk resorufin fluorescence, replicate 3]])</f>
        <v>2.9556910650619564E-2</v>
      </c>
      <c r="I225" s="8">
        <v>0.91336378442188126</v>
      </c>
      <c r="J225" s="8">
        <v>0.77781753653139762</v>
      </c>
      <c r="K225" s="8">
        <v>0.8472693988389739</v>
      </c>
      <c r="L225" s="8">
        <f>AVERAGE(Table14[[#This Row],[Bulk GFP fluorescence, replicate 1]:[Bulk GFP fluorescence, replicate 3]])</f>
        <v>0.84615023993075089</v>
      </c>
      <c r="M225" s="17">
        <f>STDEV(Table14[[#This Row],[Bulk GFP fluorescence, replicate 1]:[Bulk GFP fluorescence, replicate 3]])</f>
        <v>6.7780053974554347E-2</v>
      </c>
      <c r="N225" s="8"/>
      <c r="O225" s="17"/>
      <c r="W225" s="39"/>
      <c r="X225" s="39"/>
      <c r="Y225" s="39"/>
      <c r="Z225" s="39"/>
    </row>
    <row r="226" spans="1:26" x14ac:dyDescent="0.25">
      <c r="A226" s="1" t="s">
        <v>972</v>
      </c>
      <c r="B226" s="2" t="s">
        <v>54</v>
      </c>
      <c r="C226" s="2">
        <v>1</v>
      </c>
      <c r="D226" s="8">
        <v>0.99519161452525617</v>
      </c>
      <c r="E226" s="8">
        <v>0.93015376167636032</v>
      </c>
      <c r="F226" s="8">
        <v>0.86691101619663624</v>
      </c>
      <c r="G226" s="8">
        <f>AVERAGE(Table14[[#This Row],[Bulk resorufin fluorescence, replicate 1]:[Bulk resorufin fluorescence, replicate 3]])</f>
        <v>0.93075213079941754</v>
      </c>
      <c r="H226" s="17">
        <f>STDEV(Table14[[#This Row],[Bulk resorufin fluorescence, replicate 1]:[Bulk resorufin fluorescence, replicate 3]])</f>
        <v>6.4142392464677789E-2</v>
      </c>
      <c r="I226" s="8">
        <v>1.022221284044355</v>
      </c>
      <c r="J226" s="8">
        <v>0.79355470033665121</v>
      </c>
      <c r="K226" s="8">
        <v>0.80162507184192044</v>
      </c>
      <c r="L226" s="8">
        <f>AVERAGE(Table14[[#This Row],[Bulk GFP fluorescence, replicate 1]:[Bulk GFP fluorescence, replicate 3]])</f>
        <v>0.87246701874097565</v>
      </c>
      <c r="M226" s="17">
        <f>STDEV(Table14[[#This Row],[Bulk GFP fluorescence, replicate 1]:[Bulk GFP fluorescence, replicate 3]])</f>
        <v>0.12975375796667493</v>
      </c>
      <c r="N226" s="8"/>
      <c r="O226" s="17"/>
      <c r="W226" s="39"/>
      <c r="X226" s="39"/>
      <c r="Y226" s="39"/>
      <c r="Z226" s="39"/>
    </row>
    <row r="227" spans="1:26" x14ac:dyDescent="0.25">
      <c r="A227" s="1" t="s">
        <v>972</v>
      </c>
      <c r="B227" s="2" t="s">
        <v>54</v>
      </c>
      <c r="C227" s="2">
        <v>0.33300000000000002</v>
      </c>
      <c r="D227" s="8">
        <v>0.99682272761916224</v>
      </c>
      <c r="E227" s="8">
        <v>0.91554051916865209</v>
      </c>
      <c r="F227" s="8">
        <v>0.89335276676897979</v>
      </c>
      <c r="G227" s="8">
        <f>AVERAGE(Table14[[#This Row],[Bulk resorufin fluorescence, replicate 1]:[Bulk resorufin fluorescence, replicate 3]])</f>
        <v>0.93523867118559811</v>
      </c>
      <c r="H227" s="17">
        <f>STDEV(Table14[[#This Row],[Bulk resorufin fluorescence, replicate 1]:[Bulk resorufin fluorescence, replicate 3]])</f>
        <v>5.4474958414363256E-2</v>
      </c>
      <c r="I227" s="8">
        <v>1.0651537466042922</v>
      </c>
      <c r="J227" s="8">
        <v>0.95293456114855735</v>
      </c>
      <c r="K227" s="8">
        <v>0.97076147874239394</v>
      </c>
      <c r="L227" s="8">
        <f>AVERAGE(Table14[[#This Row],[Bulk GFP fluorescence, replicate 1]:[Bulk GFP fluorescence, replicate 3]])</f>
        <v>0.99628326216508112</v>
      </c>
      <c r="M227" s="17">
        <f>STDEV(Table14[[#This Row],[Bulk GFP fluorescence, replicate 1]:[Bulk GFP fluorescence, replicate 3]])</f>
        <v>6.0305948859901592E-2</v>
      </c>
      <c r="N227" s="8"/>
      <c r="O227" s="17"/>
      <c r="W227" s="39"/>
      <c r="X227" s="39"/>
      <c r="Y227" s="39"/>
      <c r="Z227" s="39"/>
    </row>
    <row r="228" spans="1:26" x14ac:dyDescent="0.25">
      <c r="A228" s="1" t="s">
        <v>972</v>
      </c>
      <c r="B228" s="2" t="s">
        <v>54</v>
      </c>
      <c r="C228" s="2">
        <v>0.11099999999999999</v>
      </c>
      <c r="D228" s="8">
        <v>0.93115586207967871</v>
      </c>
      <c r="E228" s="8">
        <v>0.95830481326047379</v>
      </c>
      <c r="F228" s="8">
        <v>0.88137388766860303</v>
      </c>
      <c r="G228" s="8">
        <f>AVERAGE(Table14[[#This Row],[Bulk resorufin fluorescence, replicate 1]:[Bulk resorufin fluorescence, replicate 3]])</f>
        <v>0.92361152100291843</v>
      </c>
      <c r="H228" s="17">
        <f>STDEV(Table14[[#This Row],[Bulk resorufin fluorescence, replicate 1]:[Bulk resorufin fluorescence, replicate 3]])</f>
        <v>3.9016402189558139E-2</v>
      </c>
      <c r="I228" s="8">
        <v>0.90693365765420531</v>
      </c>
      <c r="J228" s="8">
        <v>0.97217698649744033</v>
      </c>
      <c r="K228" s="8">
        <v>0.8887780639628764</v>
      </c>
      <c r="L228" s="8">
        <f>AVERAGE(Table14[[#This Row],[Bulk GFP fluorescence, replicate 1]:[Bulk GFP fluorescence, replicate 3]])</f>
        <v>0.92262956937150731</v>
      </c>
      <c r="M228" s="17">
        <f>STDEV(Table14[[#This Row],[Bulk GFP fluorescence, replicate 1]:[Bulk GFP fluorescence, replicate 3]])</f>
        <v>4.3859050416756099E-2</v>
      </c>
      <c r="N228" s="8"/>
      <c r="O228" s="17"/>
      <c r="W228" s="39"/>
      <c r="X228" s="39"/>
      <c r="Y228" s="39"/>
      <c r="Z228" s="39"/>
    </row>
    <row r="229" spans="1:26" x14ac:dyDescent="0.25">
      <c r="A229" s="1" t="s">
        <v>972</v>
      </c>
      <c r="B229" s="2" t="s">
        <v>54</v>
      </c>
      <c r="C229" s="2">
        <v>3.6999999999999998E-2</v>
      </c>
      <c r="D229" s="8">
        <v>0.92269446290504131</v>
      </c>
      <c r="E229" s="8">
        <v>0.92591528874122409</v>
      </c>
      <c r="F229" s="8">
        <v>0.84243092315138934</v>
      </c>
      <c r="G229" s="8">
        <f>AVERAGE(Table14[[#This Row],[Bulk resorufin fluorescence, replicate 1]:[Bulk resorufin fluorescence, replicate 3]])</f>
        <v>0.89701355826588491</v>
      </c>
      <c r="H229" s="17">
        <f>STDEV(Table14[[#This Row],[Bulk resorufin fluorescence, replicate 1]:[Bulk resorufin fluorescence, replicate 3]])</f>
        <v>4.7297372779028429E-2</v>
      </c>
      <c r="I229" s="8">
        <v>1.0785336063430928</v>
      </c>
      <c r="J229" s="8">
        <v>0.91459576301510914</v>
      </c>
      <c r="K229" s="8">
        <v>0.93615571983323553</v>
      </c>
      <c r="L229" s="8">
        <f>AVERAGE(Table14[[#This Row],[Bulk GFP fluorescence, replicate 1]:[Bulk GFP fluorescence, replicate 3]])</f>
        <v>0.97642836306381253</v>
      </c>
      <c r="M229" s="17">
        <f>STDEV(Table14[[#This Row],[Bulk GFP fluorescence, replicate 1]:[Bulk GFP fluorescence, replicate 3]])</f>
        <v>8.9080404485726447E-2</v>
      </c>
      <c r="N229" s="8"/>
      <c r="O229" s="17"/>
      <c r="W229" s="39"/>
      <c r="X229" s="39"/>
      <c r="Y229" s="39"/>
      <c r="Z229" s="39"/>
    </row>
    <row r="230" spans="1:26" x14ac:dyDescent="0.25">
      <c r="A230" s="1" t="s">
        <v>972</v>
      </c>
      <c r="B230" s="2" t="s">
        <v>54</v>
      </c>
      <c r="C230" s="2">
        <v>1.2333333333333333E-2</v>
      </c>
      <c r="D230" s="8">
        <v>0.90098026984241786</v>
      </c>
      <c r="E230" s="8">
        <v>0.90266062230904409</v>
      </c>
      <c r="F230" s="8">
        <v>0.87414245193261964</v>
      </c>
      <c r="G230" s="8">
        <f>AVERAGE(Table14[[#This Row],[Bulk resorufin fluorescence, replicate 1]:[Bulk resorufin fluorescence, replicate 3]])</f>
        <v>0.89259444802802712</v>
      </c>
      <c r="H230" s="17">
        <f>STDEV(Table14[[#This Row],[Bulk resorufin fluorescence, replicate 1]:[Bulk resorufin fluorescence, replicate 3]])</f>
        <v>1.6001969129820433E-2</v>
      </c>
      <c r="I230" s="8">
        <v>1.0559956872685112</v>
      </c>
      <c r="J230" s="8">
        <v>0.94745758998663621</v>
      </c>
      <c r="K230" s="8">
        <v>0.94242003119991979</v>
      </c>
      <c r="L230" s="8">
        <f>AVERAGE(Table14[[#This Row],[Bulk GFP fluorescence, replicate 1]:[Bulk GFP fluorescence, replicate 3]])</f>
        <v>0.98195776948502234</v>
      </c>
      <c r="M230" s="17">
        <f>STDEV(Table14[[#This Row],[Bulk GFP fluorescence, replicate 1]:[Bulk GFP fluorescence, replicate 3]])</f>
        <v>6.4168171252719938E-2</v>
      </c>
      <c r="N230" s="8"/>
      <c r="O230" s="17"/>
      <c r="W230" s="39"/>
      <c r="X230" s="39"/>
      <c r="Y230" s="39"/>
      <c r="Z230" s="39"/>
    </row>
    <row r="231" spans="1:26" x14ac:dyDescent="0.25">
      <c r="A231" s="1" t="s">
        <v>972</v>
      </c>
      <c r="B231" s="2" t="s">
        <v>54</v>
      </c>
      <c r="C231" s="2">
        <v>3.7500000000000003E-3</v>
      </c>
      <c r="D231" s="8">
        <v>0.94899616154427568</v>
      </c>
      <c r="E231" s="8">
        <v>0.88647851220743468</v>
      </c>
      <c r="F231" s="8">
        <v>0.88985892703136993</v>
      </c>
      <c r="G231" s="8">
        <f>AVERAGE(Table14[[#This Row],[Bulk resorufin fluorescence, replicate 1]:[Bulk resorufin fluorescence, replicate 3]])</f>
        <v>0.90844453359436006</v>
      </c>
      <c r="H231" s="17">
        <f>STDEV(Table14[[#This Row],[Bulk resorufin fluorescence, replicate 1]:[Bulk resorufin fluorescence, replicate 3]])</f>
        <v>3.5159389899950648E-2</v>
      </c>
      <c r="I231" s="8">
        <v>1.0434601876103149</v>
      </c>
      <c r="J231" s="8">
        <v>0.92149674667912984</v>
      </c>
      <c r="K231" s="8">
        <v>0.94156857140250638</v>
      </c>
      <c r="L231" s="8">
        <f>AVERAGE(Table14[[#This Row],[Bulk GFP fluorescence, replicate 1]:[Bulk GFP fluorescence, replicate 3]])</f>
        <v>0.96884183523065037</v>
      </c>
      <c r="M231" s="17">
        <f>STDEV(Table14[[#This Row],[Bulk GFP fluorescence, replicate 1]:[Bulk GFP fluorescence, replicate 3]])</f>
        <v>6.5396050498660291E-2</v>
      </c>
      <c r="N231" s="8"/>
      <c r="O231" s="17"/>
      <c r="W231" s="39"/>
      <c r="X231" s="39"/>
      <c r="Y231" s="39"/>
      <c r="Z231" s="39"/>
    </row>
    <row r="232" spans="1:26" x14ac:dyDescent="0.25">
      <c r="A232" s="1" t="s">
        <v>972</v>
      </c>
      <c r="B232" s="2" t="s">
        <v>54</v>
      </c>
      <c r="C232" s="2">
        <v>1.25E-3</v>
      </c>
      <c r="D232" s="8">
        <v>1.019439858287341</v>
      </c>
      <c r="E232" s="8">
        <v>1.013974308527934</v>
      </c>
      <c r="F232" s="8">
        <v>0.96616624409132901</v>
      </c>
      <c r="G232" s="8">
        <f>AVERAGE(Table14[[#This Row],[Bulk resorufin fluorescence, replicate 1]:[Bulk resorufin fluorescence, replicate 3]])</f>
        <v>0.99986013696886789</v>
      </c>
      <c r="H232" s="17">
        <f>STDEV(Table14[[#This Row],[Bulk resorufin fluorescence, replicate 1]:[Bulk resorufin fluorescence, replicate 3]])</f>
        <v>2.9307454196423183E-2</v>
      </c>
      <c r="I232" s="8">
        <v>0.92882206897447595</v>
      </c>
      <c r="J232" s="8">
        <v>0.92328589059202404</v>
      </c>
      <c r="K232" s="8">
        <v>0.84200859366209824</v>
      </c>
      <c r="L232" s="8">
        <f>AVERAGE(Table14[[#This Row],[Bulk GFP fluorescence, replicate 1]:[Bulk GFP fluorescence, replicate 3]])</f>
        <v>0.89803885107619941</v>
      </c>
      <c r="M232" s="17">
        <f>STDEV(Table14[[#This Row],[Bulk GFP fluorescence, replicate 1]:[Bulk GFP fluorescence, replicate 3]])</f>
        <v>4.860251667546045E-2</v>
      </c>
      <c r="N232" s="8"/>
      <c r="O232" s="17"/>
      <c r="W232" s="39"/>
      <c r="X232" s="39"/>
      <c r="Y232" s="39"/>
      <c r="Z232" s="39"/>
    </row>
    <row r="233" spans="1:26" ht="15.75" thickBot="1" x14ac:dyDescent="0.3">
      <c r="A233" s="10" t="s">
        <v>972</v>
      </c>
      <c r="B233" s="11" t="s">
        <v>54</v>
      </c>
      <c r="C233" s="11">
        <v>4.1666666666666669E-4</v>
      </c>
      <c r="D233" s="12">
        <v>0.92024779326418238</v>
      </c>
      <c r="E233" s="12">
        <v>0.97093166695977495</v>
      </c>
      <c r="F233" s="12">
        <v>0.92495982858131154</v>
      </c>
      <c r="G233" s="12">
        <f>AVERAGE(Table14[[#This Row],[Bulk resorufin fluorescence, replicate 1]:[Bulk resorufin fluorescence, replicate 3]])</f>
        <v>0.93871309626842292</v>
      </c>
      <c r="H233" s="25">
        <f>STDEV(Table14[[#This Row],[Bulk resorufin fluorescence, replicate 1]:[Bulk resorufin fluorescence, replicate 3]])</f>
        <v>2.8001393576975817E-2</v>
      </c>
      <c r="I233" s="12">
        <v>0.98714786531157706</v>
      </c>
      <c r="J233" s="12">
        <v>0.93402075406938956</v>
      </c>
      <c r="K233" s="12">
        <v>1.0662770224450884</v>
      </c>
      <c r="L233" s="12">
        <f>AVERAGE(Table14[[#This Row],[Bulk GFP fluorescence, replicate 1]:[Bulk GFP fluorescence, replicate 3]])</f>
        <v>0.99581521394201833</v>
      </c>
      <c r="M233" s="25">
        <f>STDEV(Table14[[#This Row],[Bulk GFP fluorescence, replicate 1]:[Bulk GFP fluorescence, replicate 3]])</f>
        <v>6.655277853236051E-2</v>
      </c>
      <c r="N233" s="12"/>
      <c r="O233" s="25"/>
      <c r="P233" s="25"/>
      <c r="Q233" s="25"/>
      <c r="W233" s="39"/>
      <c r="X233" s="39"/>
      <c r="Y233" s="39"/>
      <c r="Z233" s="39"/>
    </row>
    <row r="234" spans="1:26" x14ac:dyDescent="0.25">
      <c r="A234" s="1" t="s">
        <v>974</v>
      </c>
      <c r="B234" s="2" t="s">
        <v>55</v>
      </c>
      <c r="C234" s="2">
        <v>30</v>
      </c>
      <c r="D234" s="8">
        <v>1.0508679123645654</v>
      </c>
      <c r="E234" s="8">
        <v>1.0884449106061775</v>
      </c>
      <c r="F234" s="8">
        <v>1.0772146320305787</v>
      </c>
      <c r="G234" s="8">
        <f>AVERAGE(Table14[[#This Row],[Bulk resorufin fluorescence, replicate 1]:[Bulk resorufin fluorescence, replicate 3]])</f>
        <v>1.072175818333774</v>
      </c>
      <c r="H234" s="17">
        <f>STDEV(Table14[[#This Row],[Bulk resorufin fluorescence, replicate 1]:[Bulk resorufin fluorescence, replicate 3]])</f>
        <v>1.9288595900579703E-2</v>
      </c>
      <c r="I234" s="8">
        <v>0.61101792479024963</v>
      </c>
      <c r="J234" s="8">
        <v>0.62979326259520807</v>
      </c>
      <c r="K234" s="8">
        <v>0.60347821327243378</v>
      </c>
      <c r="L234" s="8">
        <f>AVERAGE(Table14[[#This Row],[Bulk GFP fluorescence, replicate 1]:[Bulk GFP fluorescence, replicate 3]])</f>
        <v>0.61476313355263057</v>
      </c>
      <c r="M234" s="17">
        <f>STDEV(Table14[[#This Row],[Bulk GFP fluorescence, replicate 1]:[Bulk GFP fluorescence, replicate 3]])</f>
        <v>1.3551398330813379E-2</v>
      </c>
      <c r="N234" s="8" t="s">
        <v>53</v>
      </c>
      <c r="O234" s="17" t="s">
        <v>1284</v>
      </c>
      <c r="P234" s="17" t="s">
        <v>15</v>
      </c>
      <c r="Q234" s="8" t="s">
        <v>15</v>
      </c>
      <c r="W234" s="39"/>
      <c r="X234" s="39"/>
      <c r="Y234" s="39"/>
      <c r="Z234" s="39"/>
    </row>
    <row r="235" spans="1:26" x14ac:dyDescent="0.25">
      <c r="A235" s="1" t="s">
        <v>974</v>
      </c>
      <c r="B235" s="2" t="s">
        <v>55</v>
      </c>
      <c r="C235" s="2">
        <v>10</v>
      </c>
      <c r="D235" s="8">
        <v>1.0455376677898369</v>
      </c>
      <c r="E235" s="8">
        <v>1.0174283476661197</v>
      </c>
      <c r="F235" s="8">
        <v>0.98681588161029254</v>
      </c>
      <c r="G235" s="8">
        <f>AVERAGE(Table14[[#This Row],[Bulk resorufin fluorescence, replicate 1]:[Bulk resorufin fluorescence, replicate 3]])</f>
        <v>1.0165939656887497</v>
      </c>
      <c r="H235" s="17">
        <f>STDEV(Table14[[#This Row],[Bulk resorufin fluorescence, replicate 1]:[Bulk resorufin fluorescence, replicate 3]])</f>
        <v>2.9369783587765031E-2</v>
      </c>
      <c r="I235" s="8">
        <v>0.90946673789601706</v>
      </c>
      <c r="J235" s="8">
        <v>0.8210856087105749</v>
      </c>
      <c r="K235" s="8">
        <v>0.8601021143571328</v>
      </c>
      <c r="L235" s="8">
        <f>AVERAGE(Table14[[#This Row],[Bulk GFP fluorescence, replicate 1]:[Bulk GFP fluorescence, replicate 3]])</f>
        <v>0.86355148698790829</v>
      </c>
      <c r="M235" s="17">
        <f>STDEV(Table14[[#This Row],[Bulk GFP fluorescence, replicate 1]:[Bulk GFP fluorescence, replicate 3]])</f>
        <v>4.4291417088222762E-2</v>
      </c>
      <c r="N235" s="8"/>
      <c r="O235" s="17"/>
      <c r="W235" s="39"/>
      <c r="X235" s="39"/>
      <c r="Y235" s="39"/>
      <c r="Z235" s="39"/>
    </row>
    <row r="236" spans="1:26" x14ac:dyDescent="0.25">
      <c r="A236" s="1" t="s">
        <v>974</v>
      </c>
      <c r="B236" s="2" t="s">
        <v>55</v>
      </c>
      <c r="C236" s="2">
        <v>2.9999999999999996</v>
      </c>
      <c r="D236" s="8">
        <v>1.0600137964982526</v>
      </c>
      <c r="E236" s="8">
        <v>1.0651902441739975</v>
      </c>
      <c r="F236" s="8">
        <v>1.0425199909152429</v>
      </c>
      <c r="G236" s="8">
        <f>AVERAGE(Table14[[#This Row],[Bulk resorufin fluorescence, replicate 1]:[Bulk resorufin fluorescence, replicate 3]])</f>
        <v>1.0559080105291645</v>
      </c>
      <c r="H236" s="17">
        <f>STDEV(Table14[[#This Row],[Bulk resorufin fluorescence, replicate 1]:[Bulk resorufin fluorescence, replicate 3]])</f>
        <v>1.1879739244696813E-2</v>
      </c>
      <c r="I236" s="8">
        <v>1.0790532125465413</v>
      </c>
      <c r="J236" s="8">
        <v>0.87957966071989313</v>
      </c>
      <c r="K236" s="8">
        <v>0.94625160028828004</v>
      </c>
      <c r="L236" s="8">
        <f>AVERAGE(Table14[[#This Row],[Bulk GFP fluorescence, replicate 1]:[Bulk GFP fluorescence, replicate 3]])</f>
        <v>0.96829482451823823</v>
      </c>
      <c r="M236" s="17">
        <f>STDEV(Table14[[#This Row],[Bulk GFP fluorescence, replicate 1]:[Bulk GFP fluorescence, replicate 3]])</f>
        <v>0.1015472908078979</v>
      </c>
      <c r="N236" s="8"/>
      <c r="O236" s="17"/>
      <c r="W236" s="39"/>
      <c r="X236" s="39"/>
      <c r="Y236" s="39"/>
      <c r="Z236" s="39"/>
    </row>
    <row r="237" spans="1:26" x14ac:dyDescent="0.25">
      <c r="A237" s="1" t="s">
        <v>974</v>
      </c>
      <c r="B237" s="2" t="s">
        <v>55</v>
      </c>
      <c r="C237" s="2">
        <v>1</v>
      </c>
      <c r="D237" s="8">
        <v>1.1315206294543101</v>
      </c>
      <c r="E237" s="8">
        <v>1.1159886586055552</v>
      </c>
      <c r="F237" s="8">
        <v>1.1069645032847124</v>
      </c>
      <c r="G237" s="8">
        <f>AVERAGE(Table14[[#This Row],[Bulk resorufin fluorescence, replicate 1]:[Bulk resorufin fluorescence, replicate 3]])</f>
        <v>1.1181579304481926</v>
      </c>
      <c r="H237" s="17">
        <f>STDEV(Table14[[#This Row],[Bulk resorufin fluorescence, replicate 1]:[Bulk resorufin fluorescence, replicate 3]])</f>
        <v>1.2420955613790129E-2</v>
      </c>
      <c r="I237" s="8">
        <v>1.2919618544095894</v>
      </c>
      <c r="J237" s="8">
        <v>0.92591483674974628</v>
      </c>
      <c r="K237" s="8">
        <v>1.0410069120289984</v>
      </c>
      <c r="L237" s="8">
        <f>AVERAGE(Table14[[#This Row],[Bulk GFP fluorescence, replicate 1]:[Bulk GFP fluorescence, replicate 3]])</f>
        <v>1.0862945343961112</v>
      </c>
      <c r="M237" s="17">
        <f>STDEV(Table14[[#This Row],[Bulk GFP fluorescence, replicate 1]:[Bulk GFP fluorescence, replicate 3]])</f>
        <v>0.18717860812380865</v>
      </c>
      <c r="N237" s="8"/>
      <c r="O237" s="17"/>
      <c r="W237" s="39"/>
      <c r="X237" s="39"/>
      <c r="Y237" s="39"/>
      <c r="Z237" s="39"/>
    </row>
    <row r="238" spans="1:26" x14ac:dyDescent="0.25">
      <c r="A238" s="1" t="s">
        <v>974</v>
      </c>
      <c r="B238" s="2" t="s">
        <v>55</v>
      </c>
      <c r="C238" s="2">
        <v>0.33300000000000002</v>
      </c>
      <c r="D238" s="8">
        <v>0.97906980921316755</v>
      </c>
      <c r="E238" s="8">
        <v>1.1192655675315262</v>
      </c>
      <c r="F238" s="8">
        <v>0.97093690233769991</v>
      </c>
      <c r="G238" s="8">
        <f>AVERAGE(Table14[[#This Row],[Bulk resorufin fluorescence, replicate 1]:[Bulk resorufin fluorescence, replicate 3]])</f>
        <v>1.0230907596941312</v>
      </c>
      <c r="H238" s="17">
        <f>STDEV(Table14[[#This Row],[Bulk resorufin fluorescence, replicate 1]:[Bulk resorufin fluorescence, replicate 3]])</f>
        <v>8.3389035792969468E-2</v>
      </c>
      <c r="I238" s="8">
        <v>1.0179345328659042</v>
      </c>
      <c r="J238" s="8">
        <v>1.0279325529257981</v>
      </c>
      <c r="K238" s="8">
        <v>1.1142020453280705</v>
      </c>
      <c r="L238" s="8">
        <f>AVERAGE(Table14[[#This Row],[Bulk GFP fluorescence, replicate 1]:[Bulk GFP fluorescence, replicate 3]])</f>
        <v>1.0533563770399244</v>
      </c>
      <c r="M238" s="17">
        <f>STDEV(Table14[[#This Row],[Bulk GFP fluorescence, replicate 1]:[Bulk GFP fluorescence, replicate 3]])</f>
        <v>5.2930488504763076E-2</v>
      </c>
      <c r="N238" s="8"/>
      <c r="O238" s="17"/>
      <c r="W238" s="39"/>
      <c r="X238" s="39"/>
      <c r="Y238" s="39"/>
      <c r="Z238" s="39"/>
    </row>
    <row r="239" spans="1:26" x14ac:dyDescent="0.25">
      <c r="A239" s="1" t="s">
        <v>974</v>
      </c>
      <c r="B239" s="2" t="s">
        <v>55</v>
      </c>
      <c r="C239" s="2">
        <v>0.11099999999999999</v>
      </c>
      <c r="D239" s="8">
        <v>1.0324305089995207</v>
      </c>
      <c r="E239" s="8">
        <v>1.0261583366966986</v>
      </c>
      <c r="F239" s="8">
        <v>1.0065253164091685</v>
      </c>
      <c r="G239" s="8">
        <f>AVERAGE(Table14[[#This Row],[Bulk resorufin fluorescence, replicate 1]:[Bulk resorufin fluorescence, replicate 3]])</f>
        <v>1.021704720701796</v>
      </c>
      <c r="H239" s="17">
        <f>STDEV(Table14[[#This Row],[Bulk resorufin fluorescence, replicate 1]:[Bulk resorufin fluorescence, replicate 3]])</f>
        <v>1.3514650286202344E-2</v>
      </c>
      <c r="I239" s="8">
        <v>1.186092090456945</v>
      </c>
      <c r="J239" s="8">
        <v>1.0441078744240051</v>
      </c>
      <c r="K239" s="8">
        <v>1.0620805420149795</v>
      </c>
      <c r="L239" s="8">
        <f>AVERAGE(Table14[[#This Row],[Bulk GFP fluorescence, replicate 1]:[Bulk GFP fluorescence, replicate 3]])</f>
        <v>1.0974268356319765</v>
      </c>
      <c r="M239" s="17">
        <f>STDEV(Table14[[#This Row],[Bulk GFP fluorescence, replicate 1]:[Bulk GFP fluorescence, replicate 3]])</f>
        <v>7.7310411685402106E-2</v>
      </c>
      <c r="N239" s="8"/>
      <c r="O239" s="17"/>
      <c r="W239" s="39"/>
      <c r="X239" s="39"/>
      <c r="Y239" s="39"/>
      <c r="Z239" s="39"/>
    </row>
    <row r="240" spans="1:26" x14ac:dyDescent="0.25">
      <c r="A240" s="1" t="s">
        <v>974</v>
      </c>
      <c r="B240" s="2" t="s">
        <v>55</v>
      </c>
      <c r="C240" s="2">
        <v>3.6999999999999998E-2</v>
      </c>
      <c r="D240" s="8">
        <v>1.0381830953574929</v>
      </c>
      <c r="E240" s="8">
        <v>1.0019674105713841</v>
      </c>
      <c r="F240" s="8">
        <v>1.1132789511825856</v>
      </c>
      <c r="G240" s="8">
        <f>AVERAGE(Table14[[#This Row],[Bulk resorufin fluorescence, replicate 1]:[Bulk resorufin fluorescence, replicate 3]])</f>
        <v>1.0511431523704875</v>
      </c>
      <c r="H240" s="17">
        <f>STDEV(Table14[[#This Row],[Bulk resorufin fluorescence, replicate 1]:[Bulk resorufin fluorescence, replicate 3]])</f>
        <v>5.6776201675040265E-2</v>
      </c>
      <c r="I240" s="8">
        <v>1.2547450600875862</v>
      </c>
      <c r="J240" s="8">
        <v>0.98952072851019079</v>
      </c>
      <c r="K240" s="8">
        <v>1.0257414542325156</v>
      </c>
      <c r="L240" s="8">
        <f>AVERAGE(Table14[[#This Row],[Bulk GFP fluorescence, replicate 1]:[Bulk GFP fluorescence, replicate 3]])</f>
        <v>1.0900024142767641</v>
      </c>
      <c r="M240" s="17">
        <f>STDEV(Table14[[#This Row],[Bulk GFP fluorescence, replicate 1]:[Bulk GFP fluorescence, replicate 3]])</f>
        <v>0.14381616652701321</v>
      </c>
      <c r="N240" s="8"/>
      <c r="O240" s="17"/>
      <c r="W240" s="39"/>
      <c r="X240" s="39"/>
      <c r="Y240" s="39"/>
      <c r="Z240" s="39"/>
    </row>
    <row r="241" spans="1:26" x14ac:dyDescent="0.25">
      <c r="A241" s="1" t="s">
        <v>974</v>
      </c>
      <c r="B241" s="2" t="s">
        <v>55</v>
      </c>
      <c r="C241" s="2">
        <v>1.2333333333333333E-2</v>
      </c>
      <c r="D241" s="8">
        <v>1.0434987764224544</v>
      </c>
      <c r="E241" s="8">
        <v>1.0125319625141862</v>
      </c>
      <c r="F241" s="8">
        <v>1.0333965422980955</v>
      </c>
      <c r="G241" s="8">
        <f>AVERAGE(Table14[[#This Row],[Bulk resorufin fluorescence, replicate 1]:[Bulk resorufin fluorescence, replicate 3]])</f>
        <v>1.029809093744912</v>
      </c>
      <c r="H241" s="17">
        <f>STDEV(Table14[[#This Row],[Bulk resorufin fluorescence, replicate 1]:[Bulk resorufin fluorescence, replicate 3]])</f>
        <v>1.5792030624610359E-2</v>
      </c>
      <c r="I241" s="8">
        <v>1.0808068834831803</v>
      </c>
      <c r="J241" s="8">
        <v>1.0511914237934232</v>
      </c>
      <c r="K241" s="8">
        <v>1.0030561324871445</v>
      </c>
      <c r="L241" s="8">
        <f>AVERAGE(Table14[[#This Row],[Bulk GFP fluorescence, replicate 1]:[Bulk GFP fluorescence, replicate 3]])</f>
        <v>1.045018146587916</v>
      </c>
      <c r="M241" s="17">
        <f>STDEV(Table14[[#This Row],[Bulk GFP fluorescence, replicate 1]:[Bulk GFP fluorescence, replicate 3]])</f>
        <v>3.9241264425396848E-2</v>
      </c>
      <c r="N241" s="8"/>
      <c r="O241" s="17"/>
      <c r="W241" s="39"/>
      <c r="X241" s="39"/>
      <c r="Y241" s="39"/>
      <c r="Z241" s="39"/>
    </row>
    <row r="242" spans="1:26" x14ac:dyDescent="0.25">
      <c r="A242" s="1" t="s">
        <v>974</v>
      </c>
      <c r="B242" s="2" t="s">
        <v>55</v>
      </c>
      <c r="C242" s="2">
        <v>3.7500000000000003E-3</v>
      </c>
      <c r="D242" s="8">
        <v>0.99768197469541631</v>
      </c>
      <c r="E242" s="8">
        <v>1.0972002039527871</v>
      </c>
      <c r="F242" s="8">
        <v>1.0155326906164288</v>
      </c>
      <c r="G242" s="8">
        <f>AVERAGE(Table14[[#This Row],[Bulk resorufin fluorescence, replicate 1]:[Bulk resorufin fluorescence, replicate 3]])</f>
        <v>1.036804956421544</v>
      </c>
      <c r="H242" s="17">
        <f>STDEV(Table14[[#This Row],[Bulk resorufin fluorescence, replicate 1]:[Bulk resorufin fluorescence, replicate 3]])</f>
        <v>5.3059885582172686E-2</v>
      </c>
      <c r="I242" s="8">
        <v>1.0680765314986904</v>
      </c>
      <c r="J242" s="8">
        <v>0.99718848813688044</v>
      </c>
      <c r="K242" s="8">
        <v>1.1024944731136364</v>
      </c>
      <c r="L242" s="8">
        <f>AVERAGE(Table14[[#This Row],[Bulk GFP fluorescence, replicate 1]:[Bulk GFP fluorescence, replicate 3]])</f>
        <v>1.0559198309164024</v>
      </c>
      <c r="M242" s="17">
        <f>STDEV(Table14[[#This Row],[Bulk GFP fluorescence, replicate 1]:[Bulk GFP fluorescence, replicate 3]])</f>
        <v>5.369521994336867E-2</v>
      </c>
      <c r="N242" s="8"/>
      <c r="O242" s="17"/>
      <c r="W242" s="39"/>
      <c r="X242" s="39"/>
      <c r="Y242" s="39"/>
      <c r="Z242" s="39"/>
    </row>
    <row r="243" spans="1:26" x14ac:dyDescent="0.25">
      <c r="A243" s="1" t="s">
        <v>974</v>
      </c>
      <c r="B243" s="2" t="s">
        <v>55</v>
      </c>
      <c r="C243" s="2">
        <v>1.25E-3</v>
      </c>
      <c r="D243" s="8">
        <v>1.05064945971806</v>
      </c>
      <c r="E243" s="8">
        <v>1.037532626752482</v>
      </c>
      <c r="F243" s="8">
        <v>1.0730591681566106</v>
      </c>
      <c r="G243" s="8">
        <f>AVERAGE(Table14[[#This Row],[Bulk resorufin fluorescence, replicate 1]:[Bulk resorufin fluorescence, replicate 3]])</f>
        <v>1.0537470848757176</v>
      </c>
      <c r="H243" s="17">
        <f>STDEV(Table14[[#This Row],[Bulk resorufin fluorescence, replicate 1]:[Bulk resorufin fluorescence, replicate 3]])</f>
        <v>1.7964694465752273E-2</v>
      </c>
      <c r="I243" s="8">
        <v>1.1407564492060578</v>
      </c>
      <c r="J243" s="8">
        <v>0.97535362977135476</v>
      </c>
      <c r="K243" s="8">
        <v>1.0331917274598827</v>
      </c>
      <c r="L243" s="8">
        <f>AVERAGE(Table14[[#This Row],[Bulk GFP fluorescence, replicate 1]:[Bulk GFP fluorescence, replicate 3]])</f>
        <v>1.0497672688124318</v>
      </c>
      <c r="M243" s="17">
        <f>STDEV(Table14[[#This Row],[Bulk GFP fluorescence, replicate 1]:[Bulk GFP fluorescence, replicate 3]])</f>
        <v>8.3937980661824299E-2</v>
      </c>
      <c r="N243" s="8"/>
      <c r="O243" s="17"/>
      <c r="W243" s="39"/>
      <c r="X243" s="39"/>
      <c r="Y243" s="39"/>
      <c r="Z243" s="39"/>
    </row>
    <row r="244" spans="1:26" ht="15.75" thickBot="1" x14ac:dyDescent="0.3">
      <c r="A244" s="10" t="s">
        <v>974</v>
      </c>
      <c r="B244" s="11" t="s">
        <v>55</v>
      </c>
      <c r="C244" s="11">
        <v>4.1666666666666669E-4</v>
      </c>
      <c r="D244" s="12">
        <v>0.97378325516774</v>
      </c>
      <c r="E244" s="12">
        <v>0.99912067501793445</v>
      </c>
      <c r="F244" s="12">
        <v>1.0628910498504769</v>
      </c>
      <c r="G244" s="12">
        <f>AVERAGE(Table14[[#This Row],[Bulk resorufin fluorescence, replicate 1]:[Bulk resorufin fluorescence, replicate 3]])</f>
        <v>1.0119316600120503</v>
      </c>
      <c r="H244" s="25">
        <f>STDEV(Table14[[#This Row],[Bulk resorufin fluorescence, replicate 1]:[Bulk resorufin fluorescence, replicate 3]])</f>
        <v>4.5914494124348108E-2</v>
      </c>
      <c r="I244" s="12">
        <v>1.0192984991499567</v>
      </c>
      <c r="J244" s="12">
        <v>0.98502961215741536</v>
      </c>
      <c r="K244" s="12">
        <v>1.0603168038631949</v>
      </c>
      <c r="L244" s="12">
        <f>AVERAGE(Table14[[#This Row],[Bulk GFP fluorescence, replicate 1]:[Bulk GFP fluorescence, replicate 3]])</f>
        <v>1.0215483050568557</v>
      </c>
      <c r="M244" s="25">
        <f>STDEV(Table14[[#This Row],[Bulk GFP fluorescence, replicate 1]:[Bulk GFP fluorescence, replicate 3]])</f>
        <v>3.7693985311979671E-2</v>
      </c>
      <c r="N244" s="12"/>
      <c r="O244" s="25"/>
      <c r="P244" s="25"/>
      <c r="Q244" s="25"/>
      <c r="W244" s="39"/>
      <c r="X244" s="39"/>
      <c r="Y244" s="39"/>
      <c r="Z244" s="39"/>
    </row>
    <row r="245" spans="1:26" x14ac:dyDescent="0.25">
      <c r="A245" s="1" t="s">
        <v>976</v>
      </c>
      <c r="B245" s="2" t="s">
        <v>56</v>
      </c>
      <c r="C245" s="2">
        <v>30</v>
      </c>
      <c r="D245" s="8">
        <v>1.0794269550176874</v>
      </c>
      <c r="E245" s="8">
        <v>1.0833081344519528</v>
      </c>
      <c r="F245" s="8">
        <v>1.0567391061264462</v>
      </c>
      <c r="G245" s="8">
        <f>AVERAGE(Table14[[#This Row],[Bulk resorufin fluorescence, replicate 1]:[Bulk resorufin fluorescence, replicate 3]])</f>
        <v>1.0731580651986954</v>
      </c>
      <c r="H245" s="17">
        <f>STDEV(Table14[[#This Row],[Bulk resorufin fluorescence, replicate 1]:[Bulk resorufin fluorescence, replicate 3]])</f>
        <v>1.4351047042372528E-2</v>
      </c>
      <c r="I245" s="8">
        <v>0.71760214727263572</v>
      </c>
      <c r="J245" s="8">
        <v>0.68938270883691044</v>
      </c>
      <c r="K245" s="8">
        <v>0.72630128904931479</v>
      </c>
      <c r="L245" s="8">
        <f>AVERAGE(Table14[[#This Row],[Bulk GFP fluorescence, replicate 1]:[Bulk GFP fluorescence, replicate 3]])</f>
        <v>0.71109538171962028</v>
      </c>
      <c r="M245" s="17">
        <f>STDEV(Table14[[#This Row],[Bulk GFP fluorescence, replicate 1]:[Bulk GFP fluorescence, replicate 3]])</f>
        <v>1.9300230301640558E-2</v>
      </c>
      <c r="N245" s="8" t="s">
        <v>53</v>
      </c>
      <c r="O245" s="17" t="s">
        <v>1285</v>
      </c>
      <c r="P245" s="17" t="s">
        <v>15</v>
      </c>
      <c r="Q245" s="8" t="s">
        <v>15</v>
      </c>
      <c r="W245" s="39"/>
      <c r="X245" s="39"/>
      <c r="Y245" s="39"/>
      <c r="Z245" s="39"/>
    </row>
    <row r="246" spans="1:26" x14ac:dyDescent="0.25">
      <c r="A246" s="1" t="s">
        <v>976</v>
      </c>
      <c r="B246" s="2" t="s">
        <v>56</v>
      </c>
      <c r="C246" s="2">
        <v>10</v>
      </c>
      <c r="D246" s="8">
        <v>1.0018908290180844</v>
      </c>
      <c r="E246" s="8">
        <v>0.98806268891253435</v>
      </c>
      <c r="F246" s="8">
        <v>0.92180260463237507</v>
      </c>
      <c r="G246" s="8">
        <f>AVERAGE(Table14[[#This Row],[Bulk resorufin fluorescence, replicate 1]:[Bulk resorufin fluorescence, replicate 3]])</f>
        <v>0.97058537418766466</v>
      </c>
      <c r="H246" s="17">
        <f>STDEV(Table14[[#This Row],[Bulk resorufin fluorescence, replicate 1]:[Bulk resorufin fluorescence, replicate 3]])</f>
        <v>4.2809149942600377E-2</v>
      </c>
      <c r="I246" s="8">
        <v>0.91557211078653766</v>
      </c>
      <c r="J246" s="8">
        <v>0.90265596588212094</v>
      </c>
      <c r="K246" s="8">
        <v>0.90428679598719164</v>
      </c>
      <c r="L246" s="8">
        <f>AVERAGE(Table14[[#This Row],[Bulk GFP fluorescence, replicate 1]:[Bulk GFP fluorescence, replicate 3]])</f>
        <v>0.90750495755195004</v>
      </c>
      <c r="M246" s="17">
        <f>STDEV(Table14[[#This Row],[Bulk GFP fluorescence, replicate 1]:[Bulk GFP fluorescence, replicate 3]])</f>
        <v>7.0337843790266212E-3</v>
      </c>
      <c r="N246" s="8"/>
      <c r="O246" s="17"/>
      <c r="W246" s="39"/>
      <c r="X246" s="39"/>
      <c r="Y246" s="39"/>
      <c r="Z246" s="39"/>
    </row>
    <row r="247" spans="1:26" x14ac:dyDescent="0.25">
      <c r="A247" s="1" t="s">
        <v>976</v>
      </c>
      <c r="B247" s="2" t="s">
        <v>56</v>
      </c>
      <c r="C247" s="2">
        <v>2.9999999999999996</v>
      </c>
      <c r="D247" s="8">
        <v>1.0490183466241541</v>
      </c>
      <c r="E247" s="8">
        <v>0.9134529130961222</v>
      </c>
      <c r="F247" s="8">
        <v>0.89857611521391156</v>
      </c>
      <c r="G247" s="8">
        <f>AVERAGE(Table14[[#This Row],[Bulk resorufin fluorescence, replicate 1]:[Bulk resorufin fluorescence, replicate 3]])</f>
        <v>0.95368245831139598</v>
      </c>
      <c r="H247" s="17">
        <f>STDEV(Table14[[#This Row],[Bulk resorufin fluorescence, replicate 1]:[Bulk resorufin fluorescence, replicate 3]])</f>
        <v>8.2897698876953474E-2</v>
      </c>
      <c r="I247" s="8">
        <v>0.91089565495550062</v>
      </c>
      <c r="J247" s="8">
        <v>0.84580500522137925</v>
      </c>
      <c r="K247" s="8">
        <v>1.064756558521136</v>
      </c>
      <c r="L247" s="8">
        <f>AVERAGE(Table14[[#This Row],[Bulk GFP fluorescence, replicate 1]:[Bulk GFP fluorescence, replicate 3]])</f>
        <v>0.94048573956600523</v>
      </c>
      <c r="M247" s="17">
        <f>STDEV(Table14[[#This Row],[Bulk GFP fluorescence, replicate 1]:[Bulk GFP fluorescence, replicate 3]])</f>
        <v>0.11243498345059993</v>
      </c>
      <c r="N247" s="8"/>
      <c r="O247" s="17"/>
      <c r="W247" s="39"/>
      <c r="X247" s="39"/>
      <c r="Y247" s="39"/>
      <c r="Z247" s="39"/>
    </row>
    <row r="248" spans="1:26" x14ac:dyDescent="0.25">
      <c r="A248" s="1" t="s">
        <v>976</v>
      </c>
      <c r="B248" s="2" t="s">
        <v>56</v>
      </c>
      <c r="C248" s="2">
        <v>1</v>
      </c>
      <c r="D248" s="8">
        <v>1.0654751126608843</v>
      </c>
      <c r="E248" s="8">
        <v>1.0044598857004043</v>
      </c>
      <c r="F248" s="8">
        <v>0.8676422849789267</v>
      </c>
      <c r="G248" s="8">
        <f>AVERAGE(Table14[[#This Row],[Bulk resorufin fluorescence, replicate 1]:[Bulk resorufin fluorescence, replicate 3]])</f>
        <v>0.97919242778007176</v>
      </c>
      <c r="H248" s="17">
        <f>STDEV(Table14[[#This Row],[Bulk resorufin fluorescence, replicate 1]:[Bulk resorufin fluorescence, replicate 3]])</f>
        <v>0.10130789825811519</v>
      </c>
      <c r="I248" s="8">
        <v>1.1079563076133674</v>
      </c>
      <c r="J248" s="8">
        <v>0.88268327771164845</v>
      </c>
      <c r="K248" s="8">
        <v>1.0396384944974411</v>
      </c>
      <c r="L248" s="8">
        <f>AVERAGE(Table14[[#This Row],[Bulk GFP fluorescence, replicate 1]:[Bulk GFP fluorescence, replicate 3]])</f>
        <v>1.0100926932741523</v>
      </c>
      <c r="M248" s="17">
        <f>STDEV(Table14[[#This Row],[Bulk GFP fluorescence, replicate 1]:[Bulk GFP fluorescence, replicate 3]])</f>
        <v>0.11550627808790204</v>
      </c>
      <c r="N248" s="8"/>
      <c r="O248" s="17"/>
      <c r="W248" s="39"/>
      <c r="X248" s="39"/>
      <c r="Y248" s="39"/>
      <c r="Z248" s="39"/>
    </row>
    <row r="249" spans="1:26" x14ac:dyDescent="0.25">
      <c r="A249" s="1" t="s">
        <v>976</v>
      </c>
      <c r="B249" s="2" t="s">
        <v>56</v>
      </c>
      <c r="C249" s="2">
        <v>0.33300000000000002</v>
      </c>
      <c r="D249" s="8">
        <v>0.90178126287960381</v>
      </c>
      <c r="E249" s="8">
        <v>0.99313620427668248</v>
      </c>
      <c r="F249" s="8">
        <v>0.98103537599790147</v>
      </c>
      <c r="G249" s="8">
        <f>AVERAGE(Table14[[#This Row],[Bulk resorufin fluorescence, replicate 1]:[Bulk resorufin fluorescence, replicate 3]])</f>
        <v>0.95865094771806258</v>
      </c>
      <c r="H249" s="17">
        <f>STDEV(Table14[[#This Row],[Bulk resorufin fluorescence, replicate 1]:[Bulk resorufin fluorescence, replicate 3]])</f>
        <v>4.9620845432916172E-2</v>
      </c>
      <c r="I249" s="8">
        <v>1.0817811451146464</v>
      </c>
      <c r="J249" s="8">
        <v>0.90638030627222732</v>
      </c>
      <c r="K249" s="8">
        <v>1.0822114843681105</v>
      </c>
      <c r="L249" s="8">
        <f>AVERAGE(Table14[[#This Row],[Bulk GFP fluorescence, replicate 1]:[Bulk GFP fluorescence, replicate 3]])</f>
        <v>1.0234576452516615</v>
      </c>
      <c r="M249" s="17">
        <f>STDEV(Table14[[#This Row],[Bulk GFP fluorescence, replicate 1]:[Bulk GFP fluorescence, replicate 3]])</f>
        <v>0.10139217807526997</v>
      </c>
      <c r="N249" s="8"/>
      <c r="O249" s="17"/>
      <c r="W249" s="39"/>
      <c r="X249" s="39"/>
      <c r="Y249" s="39"/>
      <c r="Z249" s="39"/>
    </row>
    <row r="250" spans="1:26" x14ac:dyDescent="0.25">
      <c r="A250" s="1" t="s">
        <v>976</v>
      </c>
      <c r="B250" s="2" t="s">
        <v>56</v>
      </c>
      <c r="C250" s="2">
        <v>0.11099999999999999</v>
      </c>
      <c r="D250" s="8">
        <v>0.99108470477095711</v>
      </c>
      <c r="E250" s="8">
        <v>0.94628526314590844</v>
      </c>
      <c r="F250" s="8">
        <v>0.92020077777592924</v>
      </c>
      <c r="G250" s="8">
        <f>AVERAGE(Table14[[#This Row],[Bulk resorufin fluorescence, replicate 1]:[Bulk resorufin fluorescence, replicate 3]])</f>
        <v>0.95252358189759834</v>
      </c>
      <c r="H250" s="17">
        <f>STDEV(Table14[[#This Row],[Bulk resorufin fluorescence, replicate 1]:[Bulk resorufin fluorescence, replicate 3]])</f>
        <v>3.5851363184610907E-2</v>
      </c>
      <c r="I250" s="8">
        <v>1.0541121147810104</v>
      </c>
      <c r="J250" s="8">
        <v>0.9641075823188765</v>
      </c>
      <c r="K250" s="8">
        <v>1.1026465195060318</v>
      </c>
      <c r="L250" s="8">
        <f>AVERAGE(Table14[[#This Row],[Bulk GFP fluorescence, replicate 1]:[Bulk GFP fluorescence, replicate 3]])</f>
        <v>1.0402887388686395</v>
      </c>
      <c r="M250" s="17">
        <f>STDEV(Table14[[#This Row],[Bulk GFP fluorescence, replicate 1]:[Bulk GFP fluorescence, replicate 3]])</f>
        <v>7.0296326863127589E-2</v>
      </c>
      <c r="N250" s="8"/>
      <c r="O250" s="17"/>
      <c r="W250" s="39"/>
      <c r="X250" s="39"/>
      <c r="Y250" s="39"/>
      <c r="Z250" s="39"/>
    </row>
    <row r="251" spans="1:26" x14ac:dyDescent="0.25">
      <c r="A251" s="1" t="s">
        <v>976</v>
      </c>
      <c r="B251" s="2" t="s">
        <v>56</v>
      </c>
      <c r="C251" s="2">
        <v>3.6999999999999998E-2</v>
      </c>
      <c r="D251" s="8">
        <v>1.0454939772605358</v>
      </c>
      <c r="E251" s="8">
        <v>0.90407766400676137</v>
      </c>
      <c r="F251" s="8">
        <v>0.92101329864514092</v>
      </c>
      <c r="G251" s="8">
        <f>AVERAGE(Table14[[#This Row],[Bulk resorufin fluorescence, replicate 1]:[Bulk resorufin fluorescence, replicate 3]])</f>
        <v>0.95686164663747941</v>
      </c>
      <c r="H251" s="17">
        <f>STDEV(Table14[[#This Row],[Bulk resorufin fluorescence, replicate 1]:[Bulk resorufin fluorescence, replicate 3]])</f>
        <v>7.7223516197511125E-2</v>
      </c>
      <c r="I251" s="8">
        <v>1.0866524532719763</v>
      </c>
      <c r="J251" s="8">
        <v>1.0039799323776628</v>
      </c>
      <c r="K251" s="8">
        <v>1.0324619047763854</v>
      </c>
      <c r="L251" s="8">
        <f>AVERAGE(Table14[[#This Row],[Bulk GFP fluorescence, replicate 1]:[Bulk GFP fluorescence, replicate 3]])</f>
        <v>1.0410314301420083</v>
      </c>
      <c r="M251" s="17">
        <f>STDEV(Table14[[#This Row],[Bulk GFP fluorescence, replicate 1]:[Bulk GFP fluorescence, replicate 3]])</f>
        <v>4.1997190400063861E-2</v>
      </c>
      <c r="N251" s="8"/>
      <c r="O251" s="17"/>
      <c r="W251" s="39"/>
      <c r="X251" s="39"/>
      <c r="Y251" s="39"/>
      <c r="Z251" s="39"/>
    </row>
    <row r="252" spans="1:26" x14ac:dyDescent="0.25">
      <c r="A252" s="1" t="s">
        <v>976</v>
      </c>
      <c r="B252" s="2" t="s">
        <v>56</v>
      </c>
      <c r="C252" s="2">
        <v>1.2333333333333333E-2</v>
      </c>
      <c r="D252" s="8">
        <v>1.0221341075942392</v>
      </c>
      <c r="E252" s="8">
        <v>0.94519717755658994</v>
      </c>
      <c r="F252" s="8">
        <v>0.89355009326578849</v>
      </c>
      <c r="G252" s="8">
        <f>AVERAGE(Table14[[#This Row],[Bulk resorufin fluorescence, replicate 1]:[Bulk resorufin fluorescence, replicate 3]])</f>
        <v>0.95362712613887257</v>
      </c>
      <c r="H252" s="17">
        <f>STDEV(Table14[[#This Row],[Bulk resorufin fluorescence, replicate 1]:[Bulk resorufin fluorescence, replicate 3]])</f>
        <v>6.4705179159243106E-2</v>
      </c>
      <c r="I252" s="8">
        <v>1.0206624654340093</v>
      </c>
      <c r="J252" s="8">
        <v>0.91470530243834758</v>
      </c>
      <c r="K252" s="8">
        <v>1.0929155503927359</v>
      </c>
      <c r="L252" s="8">
        <f>AVERAGE(Table14[[#This Row],[Bulk GFP fluorescence, replicate 1]:[Bulk GFP fluorescence, replicate 3]])</f>
        <v>1.0094277727550309</v>
      </c>
      <c r="M252" s="17">
        <f>STDEV(Table14[[#This Row],[Bulk GFP fluorescence, replicate 1]:[Bulk GFP fluorescence, replicate 3]])</f>
        <v>8.9634741360057821E-2</v>
      </c>
      <c r="N252" s="8"/>
      <c r="O252" s="17"/>
      <c r="W252" s="39"/>
      <c r="X252" s="39"/>
      <c r="Y252" s="39"/>
      <c r="Z252" s="39"/>
    </row>
    <row r="253" spans="1:26" x14ac:dyDescent="0.25">
      <c r="A253" s="1" t="s">
        <v>976</v>
      </c>
      <c r="B253" s="2" t="s">
        <v>56</v>
      </c>
      <c r="C253" s="2">
        <v>3.7500000000000003E-3</v>
      </c>
      <c r="D253" s="8">
        <v>0.91815064785773193</v>
      </c>
      <c r="E253" s="8">
        <v>0.88113930152496467</v>
      </c>
      <c r="F253" s="8">
        <v>0.86407880059538433</v>
      </c>
      <c r="G253" s="8">
        <f>AVERAGE(Table14[[#This Row],[Bulk resorufin fluorescence, replicate 1]:[Bulk resorufin fluorescence, replicate 3]])</f>
        <v>0.88778958332602687</v>
      </c>
      <c r="H253" s="17">
        <f>STDEV(Table14[[#This Row],[Bulk resorufin fluorescence, replicate 1]:[Bulk resorufin fluorescence, replicate 3]])</f>
        <v>2.7642555102881088E-2</v>
      </c>
      <c r="I253" s="8">
        <v>1.0683363346004147</v>
      </c>
      <c r="J253" s="8">
        <v>0.98196250830673959</v>
      </c>
      <c r="K253" s="8">
        <v>1.0252549057768507</v>
      </c>
      <c r="L253" s="8">
        <f>AVERAGE(Table14[[#This Row],[Bulk GFP fluorescence, replicate 1]:[Bulk GFP fluorescence, replicate 3]])</f>
        <v>1.0251845828946684</v>
      </c>
      <c r="M253" s="17">
        <f>STDEV(Table14[[#This Row],[Bulk GFP fluorescence, replicate 1]:[Bulk GFP fluorescence, replicate 3]])</f>
        <v>4.3186956087843328E-2</v>
      </c>
      <c r="N253" s="8"/>
      <c r="O253" s="17"/>
      <c r="W253" s="39"/>
      <c r="X253" s="39"/>
      <c r="Y253" s="39"/>
      <c r="Z253" s="39"/>
    </row>
    <row r="254" spans="1:26" x14ac:dyDescent="0.25">
      <c r="A254" s="1" t="s">
        <v>976</v>
      </c>
      <c r="B254" s="2" t="s">
        <v>56</v>
      </c>
      <c r="C254" s="2">
        <v>1.25E-3</v>
      </c>
      <c r="D254" s="8">
        <v>0.9022472951921483</v>
      </c>
      <c r="E254" s="8">
        <v>0.91909577557096023</v>
      </c>
      <c r="F254" s="8">
        <v>0.86662083017191782</v>
      </c>
      <c r="G254" s="8">
        <f>AVERAGE(Table14[[#This Row],[Bulk resorufin fluorescence, replicate 1]:[Bulk resorufin fluorescence, replicate 3]])</f>
        <v>0.89598796697834204</v>
      </c>
      <c r="H254" s="17">
        <f>STDEV(Table14[[#This Row],[Bulk resorufin fluorescence, replicate 1]:[Bulk resorufin fluorescence, replicate 3]])</f>
        <v>2.6791591328702985E-2</v>
      </c>
      <c r="I254" s="8">
        <v>0.98805717616761202</v>
      </c>
      <c r="J254" s="8">
        <v>0.98378816536071345</v>
      </c>
      <c r="K254" s="8">
        <v>1.0485484130918024</v>
      </c>
      <c r="L254" s="8">
        <f>AVERAGE(Table14[[#This Row],[Bulk GFP fluorescence, replicate 1]:[Bulk GFP fluorescence, replicate 3]])</f>
        <v>1.0067979182067093</v>
      </c>
      <c r="M254" s="17">
        <f>STDEV(Table14[[#This Row],[Bulk GFP fluorescence, replicate 1]:[Bulk GFP fluorescence, replicate 3]])</f>
        <v>3.6219938993322334E-2</v>
      </c>
      <c r="N254" s="8"/>
      <c r="O254" s="17"/>
      <c r="W254" s="39"/>
      <c r="X254" s="39"/>
      <c r="Y254" s="39"/>
      <c r="Z254" s="39"/>
    </row>
    <row r="255" spans="1:26" ht="15.75" thickBot="1" x14ac:dyDescent="0.3">
      <c r="A255" s="10" t="s">
        <v>976</v>
      </c>
      <c r="B255" s="11" t="s">
        <v>56</v>
      </c>
      <c r="C255" s="11">
        <v>4.1666666666666669E-4</v>
      </c>
      <c r="D255" s="12">
        <v>0.93717059161345706</v>
      </c>
      <c r="E255" s="12">
        <v>0.8642486705744965</v>
      </c>
      <c r="F255" s="12">
        <v>0.89371259743963072</v>
      </c>
      <c r="G255" s="12">
        <f>AVERAGE(Table14[[#This Row],[Bulk resorufin fluorescence, replicate 1]:[Bulk resorufin fluorescence, replicate 3]])</f>
        <v>0.89837728654252802</v>
      </c>
      <c r="H255" s="25">
        <f>STDEV(Table14[[#This Row],[Bulk resorufin fluorescence, replicate 1]:[Bulk resorufin fluorescence, replicate 3]])</f>
        <v>3.668407195668328E-2</v>
      </c>
      <c r="I255" s="12">
        <v>0.89128052077531739</v>
      </c>
      <c r="J255" s="12">
        <v>1.0576177366234107</v>
      </c>
      <c r="K255" s="12">
        <v>1.01248300881565</v>
      </c>
      <c r="L255" s="12">
        <f>AVERAGE(Table14[[#This Row],[Bulk GFP fluorescence, replicate 1]:[Bulk GFP fluorescence, replicate 3]])</f>
        <v>0.98712708873812594</v>
      </c>
      <c r="M255" s="25">
        <f>STDEV(Table14[[#This Row],[Bulk GFP fluorescence, replicate 1]:[Bulk GFP fluorescence, replicate 3]])</f>
        <v>8.601865702425919E-2</v>
      </c>
      <c r="N255" s="12"/>
      <c r="O255" s="25"/>
      <c r="P255" s="25"/>
      <c r="Q255" s="25"/>
      <c r="W255" s="39"/>
      <c r="X255" s="39"/>
      <c r="Y255" s="39"/>
      <c r="Z255" s="39"/>
    </row>
    <row r="256" spans="1:26" x14ac:dyDescent="0.25">
      <c r="A256" s="1" t="s">
        <v>978</v>
      </c>
      <c r="B256" s="2" t="s">
        <v>57</v>
      </c>
      <c r="C256" s="2">
        <v>30</v>
      </c>
      <c r="D256" s="8">
        <v>1.1411102182591115</v>
      </c>
      <c r="E256" s="8">
        <v>1.0886825226034831</v>
      </c>
      <c r="F256" s="8">
        <v>1.0042753419037875</v>
      </c>
      <c r="G256" s="8">
        <f>AVERAGE(Table14[[#This Row],[Bulk resorufin fluorescence, replicate 1]:[Bulk resorufin fluorescence, replicate 3]])</f>
        <v>1.0780226942554607</v>
      </c>
      <c r="H256" s="17">
        <f>STDEV(Table14[[#This Row],[Bulk resorufin fluorescence, replicate 1]:[Bulk resorufin fluorescence, replicate 3]])</f>
        <v>6.9037452169827193E-2</v>
      </c>
      <c r="I256" s="8">
        <v>0.83585887270827186</v>
      </c>
      <c r="J256" s="8">
        <v>0.74603250933050957</v>
      </c>
      <c r="K256" s="8">
        <v>0.86518253425258318</v>
      </c>
      <c r="L256" s="8">
        <f>AVERAGE(Table14[[#This Row],[Bulk GFP fluorescence, replicate 1]:[Bulk GFP fluorescence, replicate 3]])</f>
        <v>0.81569130543045487</v>
      </c>
      <c r="M256" s="17">
        <f>STDEV(Table14[[#This Row],[Bulk GFP fluorescence, replicate 1]:[Bulk GFP fluorescence, replicate 3]])</f>
        <v>6.2082446691167428E-2</v>
      </c>
      <c r="N256" s="8" t="s">
        <v>53</v>
      </c>
      <c r="O256" s="17" t="s">
        <v>1286</v>
      </c>
      <c r="P256" s="17" t="s">
        <v>15</v>
      </c>
      <c r="Q256" s="8" t="s">
        <v>15</v>
      </c>
      <c r="W256" s="39"/>
      <c r="X256" s="39"/>
      <c r="Y256" s="39"/>
      <c r="Z256" s="39"/>
    </row>
    <row r="257" spans="1:17" x14ac:dyDescent="0.25">
      <c r="A257" s="1" t="s">
        <v>978</v>
      </c>
      <c r="B257" s="2" t="s">
        <v>57</v>
      </c>
      <c r="C257" s="2">
        <v>10</v>
      </c>
      <c r="D257" s="8">
        <v>1.06882160817046</v>
      </c>
      <c r="E257" s="8">
        <v>1.1274373187938247</v>
      </c>
      <c r="F257" s="8">
        <v>0.98943521003543844</v>
      </c>
      <c r="G257" s="8">
        <f>AVERAGE(Table14[[#This Row],[Bulk resorufin fluorescence, replicate 1]:[Bulk resorufin fluorescence, replicate 3]])</f>
        <v>1.0618980456665745</v>
      </c>
      <c r="H257" s="17">
        <f>STDEV(Table14[[#This Row],[Bulk resorufin fluorescence, replicate 1]:[Bulk resorufin fluorescence, replicate 3]])</f>
        <v>6.9261080656810969E-2</v>
      </c>
      <c r="I257" s="8">
        <v>1.0302534626772988</v>
      </c>
      <c r="J257" s="8">
        <v>0.84409241105470334</v>
      </c>
      <c r="K257" s="8">
        <v>1.0287879585284987</v>
      </c>
      <c r="L257" s="8">
        <f>AVERAGE(Table14[[#This Row],[Bulk GFP fluorescence, replicate 1]:[Bulk GFP fluorescence, replicate 3]])</f>
        <v>0.96771127742016694</v>
      </c>
      <c r="M257" s="17">
        <f>STDEV(Table14[[#This Row],[Bulk GFP fluorescence, replicate 1]:[Bulk GFP fluorescence, replicate 3]])</f>
        <v>0.1070595862905994</v>
      </c>
      <c r="N257" s="8"/>
      <c r="O257" s="17"/>
    </row>
    <row r="258" spans="1:17" x14ac:dyDescent="0.25">
      <c r="A258" s="1" t="s">
        <v>978</v>
      </c>
      <c r="B258" s="2" t="s">
        <v>57</v>
      </c>
      <c r="C258" s="2">
        <v>2.9999999999999996</v>
      </c>
      <c r="D258" s="8">
        <v>1.0864482347451916</v>
      </c>
      <c r="E258" s="8">
        <v>1.1113811635629718</v>
      </c>
      <c r="F258" s="8">
        <v>0.99655254222209044</v>
      </c>
      <c r="G258" s="8">
        <f>AVERAGE(Table14[[#This Row],[Bulk resorufin fluorescence, replicate 1]:[Bulk resorufin fluorescence, replicate 3]])</f>
        <v>1.0647939801767512</v>
      </c>
      <c r="H258" s="17">
        <f>STDEV(Table14[[#This Row],[Bulk resorufin fluorescence, replicate 1]:[Bulk resorufin fluorescence, replicate 3]])</f>
        <v>6.0399363617905703E-2</v>
      </c>
      <c r="I258" s="8">
        <v>1.1520245965573908</v>
      </c>
      <c r="J258" s="8">
        <v>0.88695926961467908</v>
      </c>
      <c r="K258" s="8">
        <v>1.0321912881778152</v>
      </c>
      <c r="L258" s="8">
        <f>AVERAGE(Table14[[#This Row],[Bulk GFP fluorescence, replicate 1]:[Bulk GFP fluorescence, replicate 3]])</f>
        <v>1.0237250514499616</v>
      </c>
      <c r="M258" s="17">
        <f>STDEV(Table14[[#This Row],[Bulk GFP fluorescence, replicate 1]:[Bulk GFP fluorescence, replicate 3]])</f>
        <v>0.13273531843507472</v>
      </c>
      <c r="N258" s="8"/>
      <c r="O258" s="17"/>
    </row>
    <row r="259" spans="1:17" x14ac:dyDescent="0.25">
      <c r="A259" s="1" t="s">
        <v>978</v>
      </c>
      <c r="B259" s="2" t="s">
        <v>57</v>
      </c>
      <c r="C259" s="2">
        <v>1</v>
      </c>
      <c r="D259" s="8">
        <v>1.0815555497952201</v>
      </c>
      <c r="E259" s="8">
        <v>1.0550662531088784</v>
      </c>
      <c r="F259" s="8">
        <v>1.0055974852092939</v>
      </c>
      <c r="G259" s="8">
        <f>AVERAGE(Table14[[#This Row],[Bulk resorufin fluorescence, replicate 1]:[Bulk resorufin fluorescence, replicate 3]])</f>
        <v>1.0474064293711309</v>
      </c>
      <c r="H259" s="17">
        <f>STDEV(Table14[[#This Row],[Bulk resorufin fluorescence, replicate 1]:[Bulk resorufin fluorescence, replicate 3]])</f>
        <v>3.8554008464489815E-2</v>
      </c>
      <c r="I259" s="8">
        <v>1.0229078159196068</v>
      </c>
      <c r="J259" s="8">
        <v>0.83541697539375592</v>
      </c>
      <c r="K259" s="8">
        <v>0.99521077838008531</v>
      </c>
      <c r="L259" s="8">
        <f>AVERAGE(Table14[[#This Row],[Bulk GFP fluorescence, replicate 1]:[Bulk GFP fluorescence, replicate 3]])</f>
        <v>0.95117852323114926</v>
      </c>
      <c r="M259" s="17">
        <f>STDEV(Table14[[#This Row],[Bulk GFP fluorescence, replicate 1]:[Bulk GFP fluorescence, replicate 3]])</f>
        <v>0.10120441413494898</v>
      </c>
      <c r="N259" s="8"/>
      <c r="O259" s="17"/>
    </row>
    <row r="260" spans="1:17" x14ac:dyDescent="0.25">
      <c r="A260" s="1" t="s">
        <v>978</v>
      </c>
      <c r="B260" s="2" t="s">
        <v>57</v>
      </c>
      <c r="C260" s="2">
        <v>0.33300000000000002</v>
      </c>
      <c r="D260" s="8">
        <v>1.0565250920213594</v>
      </c>
      <c r="E260" s="8">
        <v>1.031490302713532</v>
      </c>
      <c r="F260" s="8">
        <v>1.011590377762291</v>
      </c>
      <c r="G260" s="8">
        <f>AVERAGE(Table14[[#This Row],[Bulk resorufin fluorescence, replicate 1]:[Bulk resorufin fluorescence, replicate 3]])</f>
        <v>1.0332019241657273</v>
      </c>
      <c r="H260" s="17">
        <f>STDEV(Table14[[#This Row],[Bulk resorufin fluorescence, replicate 1]:[Bulk resorufin fluorescence, replicate 3]])</f>
        <v>2.2516202441414095E-2</v>
      </c>
      <c r="I260" s="8">
        <v>1.0797040537368137</v>
      </c>
      <c r="J260" s="8">
        <v>0.97854203611689861</v>
      </c>
      <c r="K260" s="8">
        <v>0.96415978106415456</v>
      </c>
      <c r="L260" s="8">
        <f>AVERAGE(Table14[[#This Row],[Bulk GFP fluorescence, replicate 1]:[Bulk GFP fluorescence, replicate 3]])</f>
        <v>1.0074686236392891</v>
      </c>
      <c r="M260" s="17">
        <f>STDEV(Table14[[#This Row],[Bulk GFP fluorescence, replicate 1]:[Bulk GFP fluorescence, replicate 3]])</f>
        <v>6.296967791033499E-2</v>
      </c>
      <c r="N260" s="8"/>
      <c r="O260" s="17"/>
    </row>
    <row r="261" spans="1:17" x14ac:dyDescent="0.25">
      <c r="A261" s="1" t="s">
        <v>978</v>
      </c>
      <c r="B261" s="2" t="s">
        <v>57</v>
      </c>
      <c r="C261" s="2">
        <v>0.11099999999999999</v>
      </c>
      <c r="D261" s="8">
        <v>1.1285058841826947</v>
      </c>
      <c r="E261" s="8">
        <v>0.99216455911255275</v>
      </c>
      <c r="F261" s="8">
        <v>0.97978479955318964</v>
      </c>
      <c r="G261" s="8">
        <f>AVERAGE(Table14[[#This Row],[Bulk resorufin fluorescence, replicate 1]:[Bulk resorufin fluorescence, replicate 3]])</f>
        <v>1.0334850809494789</v>
      </c>
      <c r="H261" s="17">
        <f>STDEV(Table14[[#This Row],[Bulk resorufin fluorescence, replicate 1]:[Bulk resorufin fluorescence, replicate 3]])</f>
        <v>8.252290225750078E-2</v>
      </c>
      <c r="I261" s="8">
        <v>0.83457149131774844</v>
      </c>
      <c r="J261" s="8">
        <v>0.78689734427642055</v>
      </c>
      <c r="K261" s="8">
        <v>1.008613581741312</v>
      </c>
      <c r="L261" s="8">
        <f>AVERAGE(Table14[[#This Row],[Bulk GFP fluorescence, replicate 1]:[Bulk GFP fluorescence, replicate 3]])</f>
        <v>0.87669413911182703</v>
      </c>
      <c r="M261" s="17">
        <f>STDEV(Table14[[#This Row],[Bulk GFP fluorescence, replicate 1]:[Bulk GFP fluorescence, replicate 3]])</f>
        <v>0.11670587209641692</v>
      </c>
      <c r="N261" s="8"/>
      <c r="O261" s="17"/>
    </row>
    <row r="262" spans="1:17" x14ac:dyDescent="0.25">
      <c r="A262" s="1" t="s">
        <v>978</v>
      </c>
      <c r="B262" s="2" t="s">
        <v>57</v>
      </c>
      <c r="C262" s="2">
        <v>3.6999999999999998E-2</v>
      </c>
      <c r="D262" s="8">
        <v>0.95706749961117743</v>
      </c>
      <c r="E262" s="8">
        <v>1.0558043070787266</v>
      </c>
      <c r="F262" s="8">
        <v>0.98722340020660038</v>
      </c>
      <c r="G262" s="8">
        <f>AVERAGE(Table14[[#This Row],[Bulk resorufin fluorescence, replicate 1]:[Bulk resorufin fluorescence, replicate 3]])</f>
        <v>1.0000317356321682</v>
      </c>
      <c r="H262" s="17">
        <f>STDEV(Table14[[#This Row],[Bulk resorufin fluorescence, replicate 1]:[Bulk resorufin fluorescence, replicate 3]])</f>
        <v>5.059920334848525E-2</v>
      </c>
      <c r="I262" s="8">
        <v>0.83896373370894572</v>
      </c>
      <c r="J262" s="8">
        <v>0.94643114756189828</v>
      </c>
      <c r="K262" s="8">
        <v>0.94928337105064653</v>
      </c>
      <c r="L262" s="8">
        <f>AVERAGE(Table14[[#This Row],[Bulk GFP fluorescence, replicate 1]:[Bulk GFP fluorescence, replicate 3]])</f>
        <v>0.91155941744049684</v>
      </c>
      <c r="M262" s="17">
        <f>STDEV(Table14[[#This Row],[Bulk GFP fluorescence, replicate 1]:[Bulk GFP fluorescence, replicate 3]])</f>
        <v>6.2885878916065008E-2</v>
      </c>
      <c r="N262" s="8"/>
      <c r="O262" s="17"/>
    </row>
    <row r="263" spans="1:17" x14ac:dyDescent="0.25">
      <c r="A263" s="1" t="s">
        <v>978</v>
      </c>
      <c r="B263" s="2" t="s">
        <v>57</v>
      </c>
      <c r="C263" s="2">
        <v>1.2333333333333333E-2</v>
      </c>
      <c r="D263" s="8">
        <v>1.1297209549484162</v>
      </c>
      <c r="E263" s="8">
        <v>1.0904649925683998</v>
      </c>
      <c r="F263" s="8">
        <v>1.0568892315752534</v>
      </c>
      <c r="G263" s="8">
        <f>AVERAGE(Table14[[#This Row],[Bulk resorufin fluorescence, replicate 1]:[Bulk resorufin fluorescence, replicate 3]])</f>
        <v>1.0923583930306897</v>
      </c>
      <c r="H263" s="17">
        <f>STDEV(Table14[[#This Row],[Bulk resorufin fluorescence, replicate 1]:[Bulk resorufin fluorescence, replicate 3]])</f>
        <v>3.6452759927873453E-2</v>
      </c>
      <c r="I263" s="8">
        <v>0.9224163391416953</v>
      </c>
      <c r="J263" s="8">
        <v>0.98415555330927629</v>
      </c>
      <c r="K263" s="8">
        <v>1.0230689612827395</v>
      </c>
      <c r="L263" s="8">
        <f>AVERAGE(Table14[[#This Row],[Bulk GFP fluorescence, replicate 1]:[Bulk GFP fluorescence, replicate 3]])</f>
        <v>0.97654695124457047</v>
      </c>
      <c r="M263" s="17">
        <f>STDEV(Table14[[#This Row],[Bulk GFP fluorescence, replicate 1]:[Bulk GFP fluorescence, replicate 3]])</f>
        <v>5.0755844047766958E-2</v>
      </c>
      <c r="N263" s="8"/>
      <c r="O263" s="17"/>
    </row>
    <row r="264" spans="1:17" x14ac:dyDescent="0.25">
      <c r="A264" s="1" t="s">
        <v>978</v>
      </c>
      <c r="B264" s="2" t="s">
        <v>57</v>
      </c>
      <c r="C264" s="2">
        <v>3.7500000000000003E-3</v>
      </c>
      <c r="D264" s="8">
        <v>1.0301661568769767</v>
      </c>
      <c r="E264" s="8">
        <v>1.0298470882146242</v>
      </c>
      <c r="F264" s="8">
        <v>0.99183236705663713</v>
      </c>
      <c r="G264" s="8">
        <f>AVERAGE(Table14[[#This Row],[Bulk resorufin fluorescence, replicate 1]:[Bulk resorufin fluorescence, replicate 3]])</f>
        <v>1.0172818707160793</v>
      </c>
      <c r="H264" s="17">
        <f>STDEV(Table14[[#This Row],[Bulk resorufin fluorescence, replicate 1]:[Bulk resorufin fluorescence, replicate 3]])</f>
        <v>2.204049406403576E-2</v>
      </c>
      <c r="I264" s="8">
        <v>0.91340466940803178</v>
      </c>
      <c r="J264" s="8">
        <v>0.91553717532132972</v>
      </c>
      <c r="K264" s="8">
        <v>1.0434889391786397</v>
      </c>
      <c r="L264" s="8">
        <f>AVERAGE(Table14[[#This Row],[Bulk GFP fluorescence, replicate 1]:[Bulk GFP fluorescence, replicate 3]])</f>
        <v>0.9574769279693337</v>
      </c>
      <c r="M264" s="17">
        <f>STDEV(Table14[[#This Row],[Bulk GFP fluorescence, replicate 1]:[Bulk GFP fluorescence, replicate 3]])</f>
        <v>7.4496217686335561E-2</v>
      </c>
      <c r="N264" s="8"/>
      <c r="O264" s="17"/>
    </row>
    <row r="265" spans="1:17" x14ac:dyDescent="0.25">
      <c r="A265" s="1" t="s">
        <v>978</v>
      </c>
      <c r="B265" s="2" t="s">
        <v>57</v>
      </c>
      <c r="C265" s="2">
        <v>1.25E-3</v>
      </c>
      <c r="D265" s="8">
        <v>1.1150915029291304</v>
      </c>
      <c r="E265" s="8">
        <v>0.99689924495686322</v>
      </c>
      <c r="F265" s="8">
        <v>0.98449261823915224</v>
      </c>
      <c r="G265" s="8">
        <f>AVERAGE(Table14[[#This Row],[Bulk resorufin fluorescence, replicate 1]:[Bulk resorufin fluorescence, replicate 3]])</f>
        <v>1.0321611220417153</v>
      </c>
      <c r="H265" s="17">
        <f>STDEV(Table14[[#This Row],[Bulk resorufin fluorescence, replicate 1]:[Bulk resorufin fluorescence, replicate 3]])</f>
        <v>7.2087219062930724E-2</v>
      </c>
      <c r="I265" s="8">
        <v>1.0554709922681389</v>
      </c>
      <c r="J265" s="8">
        <v>0.98344895673960642</v>
      </c>
      <c r="K265" s="8">
        <v>1.1035559531954457</v>
      </c>
      <c r="L265" s="8">
        <f>AVERAGE(Table14[[#This Row],[Bulk GFP fluorescence, replicate 1]:[Bulk GFP fluorescence, replicate 3]])</f>
        <v>1.0474919674010637</v>
      </c>
      <c r="M265" s="17">
        <f>STDEV(Table14[[#This Row],[Bulk GFP fluorescence, replicate 1]:[Bulk GFP fluorescence, replicate 3]])</f>
        <v>6.0449741751167178E-2</v>
      </c>
      <c r="N265" s="8"/>
      <c r="O265" s="17"/>
    </row>
    <row r="266" spans="1:17" ht="15.75" thickBot="1" x14ac:dyDescent="0.3">
      <c r="A266" s="10" t="s">
        <v>978</v>
      </c>
      <c r="B266" s="11" t="s">
        <v>57</v>
      </c>
      <c r="C266" s="11">
        <v>4.1666666666666669E-4</v>
      </c>
      <c r="D266" s="12">
        <v>1.0104172066981181</v>
      </c>
      <c r="E266" s="12">
        <v>1.0165481912107519</v>
      </c>
      <c r="F266" s="12">
        <v>0.97726407773708379</v>
      </c>
      <c r="G266" s="12">
        <f>AVERAGE(Table14[[#This Row],[Bulk resorufin fluorescence, replicate 1]:[Bulk resorufin fluorescence, replicate 3]])</f>
        <v>1.0014098252153179</v>
      </c>
      <c r="H266" s="25">
        <f>STDEV(Table14[[#This Row],[Bulk resorufin fluorescence, replicate 1]:[Bulk resorufin fluorescence, replicate 3]])</f>
        <v>2.1134334239230872E-2</v>
      </c>
      <c r="I266" s="12">
        <v>0.8773579904733777</v>
      </c>
      <c r="J266" s="12">
        <v>0.97037692020071264</v>
      </c>
      <c r="K266" s="12">
        <v>1.0003684016630703</v>
      </c>
      <c r="L266" s="12">
        <f>AVERAGE(Table14[[#This Row],[Bulk GFP fluorescence, replicate 1]:[Bulk GFP fluorescence, replicate 3]])</f>
        <v>0.94936777077905354</v>
      </c>
      <c r="M266" s="25">
        <f>STDEV(Table14[[#This Row],[Bulk GFP fluorescence, replicate 1]:[Bulk GFP fluorescence, replicate 3]])</f>
        <v>6.413991413176752E-2</v>
      </c>
      <c r="N266" s="12"/>
      <c r="O266" s="25"/>
      <c r="P266" s="25"/>
      <c r="Q266" s="25"/>
    </row>
    <row r="267" spans="1:17" x14ac:dyDescent="0.25">
      <c r="A267" s="1" t="s">
        <v>980</v>
      </c>
      <c r="B267" s="2" t="s">
        <v>58</v>
      </c>
      <c r="C267" s="2">
        <v>30</v>
      </c>
      <c r="D267" s="8">
        <v>1.1465375343460003</v>
      </c>
      <c r="E267" s="8">
        <v>1.1974131904634142</v>
      </c>
      <c r="F267" s="8">
        <v>1.0662801559881971</v>
      </c>
      <c r="G267" s="8">
        <f>AVERAGE(Table14[[#This Row],[Bulk resorufin fluorescence, replicate 1]:[Bulk resorufin fluorescence, replicate 3]])</f>
        <v>1.1367436269325373</v>
      </c>
      <c r="H267" s="17">
        <f>STDEV(Table14[[#This Row],[Bulk resorufin fluorescence, replicate 1]:[Bulk resorufin fluorescence, replicate 3]])</f>
        <v>6.6112847839790045E-2</v>
      </c>
      <c r="I267" s="8">
        <v>0.7338875276332808</v>
      </c>
      <c r="J267" s="8">
        <v>0.78002765540462948</v>
      </c>
      <c r="K267" s="8">
        <v>0.95391470624353114</v>
      </c>
      <c r="L267" s="8">
        <f>AVERAGE(Table14[[#This Row],[Bulk GFP fluorescence, replicate 1]:[Bulk GFP fluorescence, replicate 3]])</f>
        <v>0.82260996309381385</v>
      </c>
      <c r="M267" s="17">
        <f>STDEV(Table14[[#This Row],[Bulk GFP fluorescence, replicate 1]:[Bulk GFP fluorescence, replicate 3]])</f>
        <v>0.11602986481031062</v>
      </c>
      <c r="N267" s="8" t="s">
        <v>53</v>
      </c>
      <c r="O267" s="17" t="s">
        <v>1287</v>
      </c>
      <c r="P267" s="17" t="s">
        <v>15</v>
      </c>
      <c r="Q267" s="8" t="s">
        <v>15</v>
      </c>
    </row>
    <row r="268" spans="1:17" x14ac:dyDescent="0.25">
      <c r="A268" s="1" t="s">
        <v>980</v>
      </c>
      <c r="B268" s="2" t="s">
        <v>58</v>
      </c>
      <c r="C268" s="2">
        <v>10</v>
      </c>
      <c r="D268" s="8">
        <v>1.1736903157239877</v>
      </c>
      <c r="E268" s="8">
        <v>1.039205055530438</v>
      </c>
      <c r="F268" s="8">
        <v>0.94257943980664582</v>
      </c>
      <c r="G268" s="8">
        <f>AVERAGE(Table14[[#This Row],[Bulk resorufin fluorescence, replicate 1]:[Bulk resorufin fluorescence, replicate 3]])</f>
        <v>1.0518249370203572</v>
      </c>
      <c r="H268" s="17">
        <f>STDEV(Table14[[#This Row],[Bulk resorufin fluorescence, replicate 1]:[Bulk resorufin fluorescence, replicate 3]])</f>
        <v>0.11607112172472081</v>
      </c>
      <c r="I268" s="8">
        <v>0.78547589142483831</v>
      </c>
      <c r="J268" s="8">
        <v>0.95016040723515638</v>
      </c>
      <c r="K268" s="8">
        <v>0.80771187481360629</v>
      </c>
      <c r="L268" s="8">
        <f>AVERAGE(Table14[[#This Row],[Bulk GFP fluorescence, replicate 1]:[Bulk GFP fluorescence, replicate 3]])</f>
        <v>0.84778272449120029</v>
      </c>
      <c r="M268" s="17">
        <f>STDEV(Table14[[#This Row],[Bulk GFP fluorescence, replicate 1]:[Bulk GFP fluorescence, replicate 3]])</f>
        <v>8.9356041666654978E-2</v>
      </c>
      <c r="N268" s="8"/>
      <c r="O268" s="17"/>
    </row>
    <row r="269" spans="1:17" x14ac:dyDescent="0.25">
      <c r="A269" s="1" t="s">
        <v>980</v>
      </c>
      <c r="B269" s="2" t="s">
        <v>58</v>
      </c>
      <c r="C269" s="2">
        <v>2.9999999999999996</v>
      </c>
      <c r="D269" s="8">
        <v>1.0507413551765254</v>
      </c>
      <c r="E269" s="8">
        <v>0.99723345807528507</v>
      </c>
      <c r="F269" s="8">
        <v>0.90719048254523704</v>
      </c>
      <c r="G269" s="8">
        <f>AVERAGE(Table14[[#This Row],[Bulk resorufin fluorescence, replicate 1]:[Bulk resorufin fluorescence, replicate 3]])</f>
        <v>0.98505509859901597</v>
      </c>
      <c r="H269" s="17">
        <f>STDEV(Table14[[#This Row],[Bulk resorufin fluorescence, replicate 1]:[Bulk resorufin fluorescence, replicate 3]])</f>
        <v>7.254617555702729E-2</v>
      </c>
      <c r="I269" s="8">
        <v>0.94877664821640151</v>
      </c>
      <c r="J269" s="8">
        <v>0.88672373742478916</v>
      </c>
      <c r="K269" s="8">
        <v>1.015490412785292</v>
      </c>
      <c r="L269" s="8">
        <f>AVERAGE(Table14[[#This Row],[Bulk GFP fluorescence, replicate 1]:[Bulk GFP fluorescence, replicate 3]])</f>
        <v>0.95033026614216087</v>
      </c>
      <c r="M269" s="17">
        <f>STDEV(Table14[[#This Row],[Bulk GFP fluorescence, replicate 1]:[Bulk GFP fluorescence, replicate 3]])</f>
        <v>6.4397394880101391E-2</v>
      </c>
      <c r="N269" s="8"/>
      <c r="O269" s="17"/>
    </row>
    <row r="270" spans="1:17" x14ac:dyDescent="0.25">
      <c r="A270" s="1" t="s">
        <v>980</v>
      </c>
      <c r="B270" s="2" t="s">
        <v>58</v>
      </c>
      <c r="C270" s="2">
        <v>1</v>
      </c>
      <c r="D270" s="8">
        <v>1.190053268702369</v>
      </c>
      <c r="E270" s="8">
        <v>0.95310340089699075</v>
      </c>
      <c r="F270" s="8">
        <v>0.90279157584654235</v>
      </c>
      <c r="G270" s="8">
        <f>AVERAGE(Table14[[#This Row],[Bulk resorufin fluorescence, replicate 1]:[Bulk resorufin fluorescence, replicate 3]])</f>
        <v>1.0153160818153006</v>
      </c>
      <c r="H270" s="17">
        <f>STDEV(Table14[[#This Row],[Bulk resorufin fluorescence, replicate 1]:[Bulk resorufin fluorescence, replicate 3]])</f>
        <v>0.15340349831696024</v>
      </c>
      <c r="I270" s="8">
        <v>1.0545739748310181</v>
      </c>
      <c r="J270" s="8">
        <v>0.741204099437765</v>
      </c>
      <c r="K270" s="8">
        <v>0.97773801378874792</v>
      </c>
      <c r="L270" s="8">
        <f>AVERAGE(Table14[[#This Row],[Bulk GFP fluorescence, replicate 1]:[Bulk GFP fluorescence, replicate 3]])</f>
        <v>0.9245053626858436</v>
      </c>
      <c r="M270" s="17">
        <f>STDEV(Table14[[#This Row],[Bulk GFP fluorescence, replicate 1]:[Bulk GFP fluorescence, replicate 3]])</f>
        <v>0.16332622587502124</v>
      </c>
      <c r="N270" s="8"/>
      <c r="O270" s="17"/>
    </row>
    <row r="271" spans="1:17" x14ac:dyDescent="0.25">
      <c r="A271" s="1" t="s">
        <v>980</v>
      </c>
      <c r="B271" s="2" t="s">
        <v>58</v>
      </c>
      <c r="C271" s="2">
        <v>0.33300000000000002</v>
      </c>
      <c r="D271" s="8">
        <v>1.0399191248898336</v>
      </c>
      <c r="E271" s="8">
        <v>0.94027797247754963</v>
      </c>
      <c r="F271" s="8">
        <v>0.87806626038562108</v>
      </c>
      <c r="G271" s="8">
        <f>AVERAGE(Table14[[#This Row],[Bulk resorufin fluorescence, replicate 1]:[Bulk resorufin fluorescence, replicate 3]])</f>
        <v>0.95275445258433467</v>
      </c>
      <c r="H271" s="17">
        <f>STDEV(Table14[[#This Row],[Bulk resorufin fluorescence, replicate 1]:[Bulk resorufin fluorescence, replicate 3]])</f>
        <v>8.1644561080000913E-2</v>
      </c>
      <c r="I271" s="8">
        <v>0.91530785487122568</v>
      </c>
      <c r="J271" s="8">
        <v>0.78352138288799766</v>
      </c>
      <c r="K271" s="8">
        <v>1.0245425679350211</v>
      </c>
      <c r="L271" s="8">
        <f>AVERAGE(Table14[[#This Row],[Bulk GFP fluorescence, replicate 1]:[Bulk GFP fluorescence, replicate 3]])</f>
        <v>0.90779060189808147</v>
      </c>
      <c r="M271" s="17">
        <f>STDEV(Table14[[#This Row],[Bulk GFP fluorescence, replicate 1]:[Bulk GFP fluorescence, replicate 3]])</f>
        <v>0.12068630713367806</v>
      </c>
      <c r="N271" s="8"/>
      <c r="O271" s="17"/>
    </row>
    <row r="272" spans="1:17" x14ac:dyDescent="0.25">
      <c r="A272" s="1" t="s">
        <v>980</v>
      </c>
      <c r="B272" s="2" t="s">
        <v>58</v>
      </c>
      <c r="C272" s="2">
        <v>0.11099999999999999</v>
      </c>
      <c r="D272" s="8">
        <v>1.1194819586292706</v>
      </c>
      <c r="E272" s="8">
        <v>0.94572286119850668</v>
      </c>
      <c r="F272" s="8">
        <v>0.8794748990475626</v>
      </c>
      <c r="G272" s="8">
        <f>AVERAGE(Table14[[#This Row],[Bulk resorufin fluorescence, replicate 1]:[Bulk resorufin fluorescence, replicate 3]])</f>
        <v>0.98155990629178003</v>
      </c>
      <c r="H272" s="17">
        <f>STDEV(Table14[[#This Row],[Bulk resorufin fluorescence, replicate 1]:[Bulk resorufin fluorescence, replicate 3]])</f>
        <v>0.12395187579470955</v>
      </c>
      <c r="I272" s="8">
        <v>0.99370120304214116</v>
      </c>
      <c r="J272" s="8">
        <v>0.83910697970203207</v>
      </c>
      <c r="K272" s="8">
        <v>0.89995263407189097</v>
      </c>
      <c r="L272" s="8">
        <f>AVERAGE(Table14[[#This Row],[Bulk GFP fluorescence, replicate 1]:[Bulk GFP fluorescence, replicate 3]])</f>
        <v>0.91092027227202133</v>
      </c>
      <c r="M272" s="17">
        <f>STDEV(Table14[[#This Row],[Bulk GFP fluorescence, replicate 1]:[Bulk GFP fluorescence, replicate 3]])</f>
        <v>7.7878496957116489E-2</v>
      </c>
      <c r="N272" s="8"/>
      <c r="O272" s="17"/>
    </row>
    <row r="273" spans="1:17" x14ac:dyDescent="0.25">
      <c r="A273" s="1" t="s">
        <v>980</v>
      </c>
      <c r="B273" s="2" t="s">
        <v>58</v>
      </c>
      <c r="C273" s="2">
        <v>3.6999999999999998E-2</v>
      </c>
      <c r="D273" s="8">
        <v>1.1260109388770803</v>
      </c>
      <c r="E273" s="8">
        <v>0.99518640272495085</v>
      </c>
      <c r="F273" s="8">
        <v>0.8897554899838378</v>
      </c>
      <c r="G273" s="8">
        <f>AVERAGE(Table14[[#This Row],[Bulk resorufin fluorescence, replicate 1]:[Bulk resorufin fluorescence, replicate 3]])</f>
        <v>1.0036509438619563</v>
      </c>
      <c r="H273" s="17">
        <f>STDEV(Table14[[#This Row],[Bulk resorufin fluorescence, replicate 1]:[Bulk resorufin fluorescence, replicate 3]])</f>
        <v>0.1183549560661991</v>
      </c>
      <c r="I273" s="8">
        <v>1.3086972066286182</v>
      </c>
      <c r="J273" s="8">
        <v>0.88056064512266818</v>
      </c>
      <c r="K273" s="8">
        <v>0.94226619651597288</v>
      </c>
      <c r="L273" s="8">
        <f>AVERAGE(Table14[[#This Row],[Bulk GFP fluorescence, replicate 1]:[Bulk GFP fluorescence, replicate 3]])</f>
        <v>1.0438413494224197</v>
      </c>
      <c r="M273" s="17">
        <f>STDEV(Table14[[#This Row],[Bulk GFP fluorescence, replicate 1]:[Bulk GFP fluorescence, replicate 3]])</f>
        <v>0.23143759977693887</v>
      </c>
      <c r="N273" s="8"/>
      <c r="O273" s="17"/>
    </row>
    <row r="274" spans="1:17" x14ac:dyDescent="0.25">
      <c r="A274" s="1" t="s">
        <v>980</v>
      </c>
      <c r="B274" s="2" t="s">
        <v>58</v>
      </c>
      <c r="C274" s="2">
        <v>1.2333333333333333E-2</v>
      </c>
      <c r="D274" s="8">
        <v>1.2166066151692674</v>
      </c>
      <c r="E274" s="8">
        <v>0.92597643611841163</v>
      </c>
      <c r="F274" s="8">
        <v>0.88384909278727575</v>
      </c>
      <c r="G274" s="8">
        <f>AVERAGE(Table14[[#This Row],[Bulk resorufin fluorescence, replicate 1]:[Bulk resorufin fluorescence, replicate 3]])</f>
        <v>1.0088107146916516</v>
      </c>
      <c r="H274" s="17">
        <f>STDEV(Table14[[#This Row],[Bulk resorufin fluorescence, replicate 1]:[Bulk resorufin fluorescence, replicate 3]])</f>
        <v>0.18118507238597767</v>
      </c>
      <c r="I274" s="8">
        <v>0.90916816571170789</v>
      </c>
      <c r="J274" s="8">
        <v>0.83667314707316898</v>
      </c>
      <c r="K274" s="8">
        <v>0.87732224619756849</v>
      </c>
      <c r="L274" s="8">
        <f>AVERAGE(Table14[[#This Row],[Bulk GFP fluorescence, replicate 1]:[Bulk GFP fluorescence, replicate 3]])</f>
        <v>0.87438785299414834</v>
      </c>
      <c r="M274" s="17">
        <f>STDEV(Table14[[#This Row],[Bulk GFP fluorescence, replicate 1]:[Bulk GFP fluorescence, replicate 3]])</f>
        <v>3.6336482073182789E-2</v>
      </c>
      <c r="N274" s="8"/>
      <c r="O274" s="17"/>
    </row>
    <row r="275" spans="1:17" x14ac:dyDescent="0.25">
      <c r="A275" s="1" t="s">
        <v>980</v>
      </c>
      <c r="B275" s="2" t="s">
        <v>58</v>
      </c>
      <c r="C275" s="2">
        <v>3.7500000000000003E-3</v>
      </c>
      <c r="D275" s="8">
        <v>1.056622297682617</v>
      </c>
      <c r="E275" s="8">
        <v>0.89123219734913284</v>
      </c>
      <c r="F275" s="8">
        <v>0.87822689461900028</v>
      </c>
      <c r="G275" s="8">
        <f>AVERAGE(Table14[[#This Row],[Bulk resorufin fluorescence, replicate 1]:[Bulk resorufin fluorescence, replicate 3]])</f>
        <v>0.94202712988358339</v>
      </c>
      <c r="H275" s="17">
        <f>STDEV(Table14[[#This Row],[Bulk resorufin fluorescence, replicate 1]:[Bulk resorufin fluorescence, replicate 3]])</f>
        <v>9.9455134794248293E-2</v>
      </c>
      <c r="I275" s="8">
        <v>0.99115547826868244</v>
      </c>
      <c r="J275" s="8">
        <v>0.85092284456151268</v>
      </c>
      <c r="K275" s="8">
        <v>0.95616020209462649</v>
      </c>
      <c r="L275" s="8">
        <f>AVERAGE(Table14[[#This Row],[Bulk GFP fluorescence, replicate 1]:[Bulk GFP fluorescence, replicate 3]])</f>
        <v>0.9327461749749405</v>
      </c>
      <c r="M275" s="17">
        <f>STDEV(Table14[[#This Row],[Bulk GFP fluorescence, replicate 1]:[Bulk GFP fluorescence, replicate 3]])</f>
        <v>7.2989453954549852E-2</v>
      </c>
      <c r="N275" s="8"/>
      <c r="O275" s="17"/>
    </row>
    <row r="276" spans="1:17" x14ac:dyDescent="0.25">
      <c r="A276" s="1" t="s">
        <v>980</v>
      </c>
      <c r="B276" s="2" t="s">
        <v>58</v>
      </c>
      <c r="C276" s="2">
        <v>1.25E-3</v>
      </c>
      <c r="D276" s="8">
        <v>1.2219043237078129</v>
      </c>
      <c r="E276" s="8">
        <v>0.90345882726473481</v>
      </c>
      <c r="F276" s="8">
        <v>0.86512902635884203</v>
      </c>
      <c r="G276" s="8">
        <f>AVERAGE(Table14[[#This Row],[Bulk resorufin fluorescence, replicate 1]:[Bulk resorufin fluorescence, replicate 3]])</f>
        <v>0.99683072577712972</v>
      </c>
      <c r="H276" s="17">
        <f>STDEV(Table14[[#This Row],[Bulk resorufin fluorescence, replicate 1]:[Bulk resorufin fluorescence, replicate 3]])</f>
        <v>0.19585935457227677</v>
      </c>
      <c r="I276" s="8">
        <v>0.95723743937524919</v>
      </c>
      <c r="J276" s="8">
        <v>0.95318307033874439</v>
      </c>
      <c r="K276" s="8">
        <v>1.1777274880269459</v>
      </c>
      <c r="L276" s="8">
        <f>AVERAGE(Table14[[#This Row],[Bulk GFP fluorescence, replicate 1]:[Bulk GFP fluorescence, replicate 3]])</f>
        <v>1.0293826659136465</v>
      </c>
      <c r="M276" s="17">
        <f>STDEV(Table14[[#This Row],[Bulk GFP fluorescence, replicate 1]:[Bulk GFP fluorescence, replicate 3]])</f>
        <v>0.12848637734382967</v>
      </c>
      <c r="N276" s="8"/>
      <c r="O276" s="17"/>
    </row>
    <row r="277" spans="1:17" ht="15.75" thickBot="1" x14ac:dyDescent="0.3">
      <c r="A277" s="10" t="s">
        <v>980</v>
      </c>
      <c r="B277" s="11" t="s">
        <v>58</v>
      </c>
      <c r="C277" s="11">
        <v>4.1666666666666669E-4</v>
      </c>
      <c r="D277" s="12">
        <v>1.1335767795116387</v>
      </c>
      <c r="E277" s="12">
        <v>0.94150342057843006</v>
      </c>
      <c r="F277" s="12">
        <v>0.89328944311818237</v>
      </c>
      <c r="G277" s="12">
        <f>AVERAGE(Table14[[#This Row],[Bulk resorufin fluorescence, replicate 1]:[Bulk resorufin fluorescence, replicate 3]])</f>
        <v>0.98945654773608371</v>
      </c>
      <c r="H277" s="25">
        <f>STDEV(Table14[[#This Row],[Bulk resorufin fluorescence, replicate 1]:[Bulk resorufin fluorescence, replicate 3]])</f>
        <v>0.12711855809013051</v>
      </c>
      <c r="I277" s="12">
        <v>1.0696985749556838</v>
      </c>
      <c r="J277" s="12">
        <v>0.90014907224851792</v>
      </c>
      <c r="K277" s="12">
        <v>1.1007139975089029</v>
      </c>
      <c r="L277" s="12">
        <f>AVERAGE(Table14[[#This Row],[Bulk GFP fluorescence, replicate 1]:[Bulk GFP fluorescence, replicate 3]])</f>
        <v>1.0235205482377017</v>
      </c>
      <c r="M277" s="25">
        <f>STDEV(Table14[[#This Row],[Bulk GFP fluorescence, replicate 1]:[Bulk GFP fluorescence, replicate 3]])</f>
        <v>0.10796240051448912</v>
      </c>
      <c r="N277" s="12"/>
      <c r="O277" s="25"/>
      <c r="P277" s="25"/>
      <c r="Q277" s="25"/>
    </row>
  </sheetData>
  <mergeCells count="1">
    <mergeCell ref="A1:Q1"/>
  </mergeCells>
  <phoneticPr fontId="1" type="noConversion"/>
  <pageMargins left="0.7" right="0.7" top="0.75" bottom="0.75" header="0.3" footer="0.3"/>
  <pageSetup paperSize="9" scale="82" orientation="landscape" r:id="rId1"/>
  <headerFooter>
    <oddHeader>&amp;R&amp;"Calibri"&amp;8&amp;K000000 Begränsad delning&amp;1#_x000D_</oddHead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786-0D1B-475C-A3EE-B80F87F0124E}">
  <dimension ref="A1:M17"/>
  <sheetViews>
    <sheetView tabSelected="1" zoomScaleNormal="100" workbookViewId="0">
      <selection activeCell="H29" sqref="H29"/>
    </sheetView>
  </sheetViews>
  <sheetFormatPr defaultRowHeight="15" x14ac:dyDescent="0.25"/>
  <cols>
    <col min="1" max="2" width="16.28515625" style="1" customWidth="1"/>
    <col min="3" max="3" width="12.140625" style="2" customWidth="1"/>
    <col min="4" max="4" width="20.28515625" style="2" customWidth="1"/>
    <col min="5" max="9" width="20.140625" style="2" customWidth="1"/>
    <col min="10" max="10" width="19.140625" style="2" customWidth="1"/>
    <col min="11" max="16384" width="9.140625" style="1"/>
  </cols>
  <sheetData>
    <row r="1" spans="1:13" x14ac:dyDescent="0.25">
      <c r="A1" s="52" t="s">
        <v>4796</v>
      </c>
      <c r="B1" s="52"/>
      <c r="C1" s="52"/>
      <c r="D1" s="52"/>
      <c r="E1" s="52"/>
      <c r="F1" s="52"/>
      <c r="G1" s="52"/>
      <c r="H1" s="52"/>
      <c r="I1" s="52"/>
      <c r="J1" s="52"/>
    </row>
    <row r="2" spans="1:13" s="7" customFormat="1" ht="30.75" customHeight="1" x14ac:dyDescent="0.25">
      <c r="A2" s="18" t="s">
        <v>926</v>
      </c>
      <c r="B2" s="19" t="s">
        <v>1</v>
      </c>
      <c r="C2" s="19" t="s">
        <v>5</v>
      </c>
      <c r="D2" s="19" t="s">
        <v>16</v>
      </c>
      <c r="E2" s="19" t="s">
        <v>17</v>
      </c>
      <c r="F2" s="19" t="s">
        <v>18</v>
      </c>
      <c r="G2" s="19" t="s">
        <v>25</v>
      </c>
      <c r="H2" s="19" t="s">
        <v>26</v>
      </c>
      <c r="I2" s="19" t="s">
        <v>19</v>
      </c>
      <c r="J2" s="19" t="s">
        <v>20</v>
      </c>
    </row>
    <row r="3" spans="1:13" x14ac:dyDescent="0.25">
      <c r="A3" s="1" t="s">
        <v>932</v>
      </c>
      <c r="B3" s="2" t="s">
        <v>33</v>
      </c>
      <c r="C3" s="2">
        <v>30</v>
      </c>
      <c r="D3" s="21">
        <v>9.8000000000000004E-2</v>
      </c>
      <c r="E3" s="21">
        <v>9.6600000000000005E-2</v>
      </c>
      <c r="F3" s="21">
        <v>9.3600000000000003E-2</v>
      </c>
      <c r="G3" s="21">
        <f>AVERAGE(Table15[[#This Row],[Genome copy numbers, replicate 1]:[Genome copy numbers, replicate 3]])</f>
        <v>9.6066666666666675E-2</v>
      </c>
      <c r="H3" s="21">
        <f>STDEV(Table15[[#This Row],[Genome copy numbers, replicate 1]:[Genome copy numbers, replicate 3]])</f>
        <v>2.2479620400116494E-3</v>
      </c>
      <c r="I3" s="21">
        <v>0.19</v>
      </c>
      <c r="J3" s="17">
        <v>9.0170200000000006E-2</v>
      </c>
    </row>
    <row r="4" spans="1:13" x14ac:dyDescent="0.25">
      <c r="A4" s="1" t="s">
        <v>932</v>
      </c>
      <c r="B4" s="2" t="s">
        <v>33</v>
      </c>
      <c r="C4" s="2">
        <v>2.9999999999999996</v>
      </c>
      <c r="D4" s="21">
        <v>0.18820000000000001</v>
      </c>
      <c r="E4" s="21">
        <v>0.1784</v>
      </c>
      <c r="F4" s="21">
        <v>0.18329999999999999</v>
      </c>
      <c r="G4" s="21">
        <f>AVERAGE(Table15[[#This Row],[Genome copy numbers, replicate 1]:[Genome copy numbers, replicate 3]])</f>
        <v>0.18330000000000002</v>
      </c>
      <c r="H4" s="21">
        <f>STDEV(Table15[[#This Row],[Genome copy numbers, replicate 1]:[Genome copy numbers, replicate 3]])</f>
        <v>4.9000000000000016E-3</v>
      </c>
      <c r="I4" s="21"/>
      <c r="J4" s="17"/>
    </row>
    <row r="5" spans="1:13" x14ac:dyDescent="0.25">
      <c r="A5" s="1" t="s">
        <v>932</v>
      </c>
      <c r="B5" s="2" t="s">
        <v>33</v>
      </c>
      <c r="C5" s="2">
        <v>0.3</v>
      </c>
      <c r="D5" s="21">
        <v>0.34379999999999999</v>
      </c>
      <c r="E5" s="21">
        <v>0.34699999999999998</v>
      </c>
      <c r="F5" s="21">
        <v>0.36599999999999999</v>
      </c>
      <c r="G5" s="21">
        <f>AVERAGE(Table15[[#This Row],[Genome copy numbers, replicate 1]:[Genome copy numbers, replicate 3]])</f>
        <v>0.35226666666666667</v>
      </c>
      <c r="H5" s="21">
        <f>STDEV(Table15[[#This Row],[Genome copy numbers, replicate 1]:[Genome copy numbers, replicate 3]])</f>
        <v>1.2000555542696072E-2</v>
      </c>
      <c r="I5" s="21"/>
      <c r="J5" s="17"/>
    </row>
    <row r="6" spans="1:13" x14ac:dyDescent="0.25">
      <c r="A6" s="1" t="s">
        <v>932</v>
      </c>
      <c r="B6" s="2" t="s">
        <v>33</v>
      </c>
      <c r="C6" s="2">
        <v>0.03</v>
      </c>
      <c r="D6" s="21">
        <v>1.0291999999999999</v>
      </c>
      <c r="E6" s="21">
        <v>0.99319999999999997</v>
      </c>
      <c r="F6" s="21">
        <v>1.0515000000000001</v>
      </c>
      <c r="G6" s="21">
        <f>AVERAGE(Table15[[#This Row],[Genome copy numbers, replicate 1]:[Genome copy numbers, replicate 3]])</f>
        <v>1.0246333333333333</v>
      </c>
      <c r="H6" s="21">
        <f>STDEV(Table15[[#This Row],[Genome copy numbers, replicate 1]:[Genome copy numbers, replicate 3]])</f>
        <v>2.9417058543187768E-2</v>
      </c>
      <c r="I6" s="21"/>
      <c r="J6" s="17"/>
      <c r="L6" s="41"/>
      <c r="M6" s="41"/>
    </row>
    <row r="7" spans="1:13" ht="15.75" thickBot="1" x14ac:dyDescent="0.3">
      <c r="A7" s="22" t="s">
        <v>932</v>
      </c>
      <c r="B7" s="23" t="s">
        <v>33</v>
      </c>
      <c r="C7" s="23">
        <v>3.0000000000000001E-3</v>
      </c>
      <c r="D7" s="24">
        <v>1.0268999999999999</v>
      </c>
      <c r="E7" s="24">
        <v>0.98829999999999996</v>
      </c>
      <c r="F7" s="24">
        <v>1.0311999999999999</v>
      </c>
      <c r="G7" s="24">
        <f>AVERAGE(Table15[[#This Row],[Genome copy numbers, replicate 1]:[Genome copy numbers, replicate 3]])</f>
        <v>1.0154666666666667</v>
      </c>
      <c r="H7" s="24">
        <f>STDEV(Table15[[#This Row],[Genome copy numbers, replicate 1]:[Genome copy numbers, replicate 3]])</f>
        <v>2.3625057319154426E-2</v>
      </c>
      <c r="I7" s="24"/>
      <c r="J7" s="24"/>
    </row>
    <row r="8" spans="1:13" x14ac:dyDescent="0.25">
      <c r="A8" s="42" t="s">
        <v>934</v>
      </c>
      <c r="B8" s="2" t="s">
        <v>34</v>
      </c>
      <c r="C8" s="2">
        <v>30</v>
      </c>
      <c r="D8" s="21">
        <v>0.1192</v>
      </c>
      <c r="E8" s="21">
        <v>0.1207</v>
      </c>
      <c r="F8" s="21">
        <v>0.1104</v>
      </c>
      <c r="G8" s="21">
        <f>AVERAGE(Table15[[#This Row],[Genome copy numbers, replicate 1]:[Genome copy numbers, replicate 3]])</f>
        <v>0.11676666666666667</v>
      </c>
      <c r="H8" s="21">
        <f>STDEV(Table15[[#This Row],[Genome copy numbers, replicate 1]:[Genome copy numbers, replicate 3]])</f>
        <v>5.5644706247165469E-3</v>
      </c>
      <c r="I8" s="21">
        <v>2.218</v>
      </c>
      <c r="J8" s="17">
        <v>0.95260881999999991</v>
      </c>
    </row>
    <row r="9" spans="1:13" x14ac:dyDescent="0.25">
      <c r="A9" s="42" t="s">
        <v>934</v>
      </c>
      <c r="B9" s="2" t="s">
        <v>34</v>
      </c>
      <c r="C9" s="2">
        <v>2.9999999999999996</v>
      </c>
      <c r="D9" s="21">
        <v>0.41830000000000001</v>
      </c>
      <c r="E9" s="21">
        <v>0.44400000000000001</v>
      </c>
      <c r="F9" s="21">
        <v>0.20080000000000001</v>
      </c>
      <c r="G9" s="21">
        <f>AVERAGE(Table15[[#This Row],[Genome copy numbers, replicate 1]:[Genome copy numbers, replicate 3]])</f>
        <v>0.35436666666666672</v>
      </c>
      <c r="H9" s="21">
        <f>STDEV(Table15[[#This Row],[Genome copy numbers, replicate 1]:[Genome copy numbers, replicate 3]])</f>
        <v>0.13361198798511029</v>
      </c>
      <c r="I9" s="21"/>
      <c r="J9" s="17"/>
    </row>
    <row r="10" spans="1:13" x14ac:dyDescent="0.25">
      <c r="A10" s="42" t="s">
        <v>934</v>
      </c>
      <c r="B10" s="2" t="s">
        <v>34</v>
      </c>
      <c r="C10" s="2">
        <v>0.3</v>
      </c>
      <c r="D10" s="21">
        <v>1.0387999999999999</v>
      </c>
      <c r="E10" s="21">
        <v>0.90590000000000004</v>
      </c>
      <c r="F10" s="21">
        <v>0.95720000000000005</v>
      </c>
      <c r="G10" s="21">
        <f>AVERAGE(Table15[[#This Row],[Genome copy numbers, replicate 1]:[Genome copy numbers, replicate 3]])</f>
        <v>0.96730000000000016</v>
      </c>
      <c r="H10" s="21">
        <f>STDEV(Table15[[#This Row],[Genome copy numbers, replicate 1]:[Genome copy numbers, replicate 3]])</f>
        <v>6.7023204936797781E-2</v>
      </c>
      <c r="I10" s="21"/>
      <c r="J10" s="17"/>
    </row>
    <row r="11" spans="1:13" x14ac:dyDescent="0.25">
      <c r="A11" s="42" t="s">
        <v>934</v>
      </c>
      <c r="B11" s="2" t="s">
        <v>34</v>
      </c>
      <c r="C11" s="2">
        <v>0.03</v>
      </c>
      <c r="D11" s="21">
        <v>0.99860000000000004</v>
      </c>
      <c r="E11" s="21">
        <v>1.1011</v>
      </c>
      <c r="F11" s="21">
        <v>1.0428999999999999</v>
      </c>
      <c r="G11" s="21">
        <f>AVERAGE(Table15[[#This Row],[Genome copy numbers, replicate 1]:[Genome copy numbers, replicate 3]])</f>
        <v>1.0475333333333332</v>
      </c>
      <c r="H11" s="21">
        <f>STDEV(Table15[[#This Row],[Genome copy numbers, replicate 1]:[Genome copy numbers, replicate 3]])</f>
        <v>5.1406841308655887E-2</v>
      </c>
      <c r="I11" s="21"/>
      <c r="J11" s="17"/>
      <c r="L11" s="41"/>
      <c r="M11" s="41"/>
    </row>
    <row r="12" spans="1:13" ht="15.75" thickBot="1" x14ac:dyDescent="0.3">
      <c r="A12" s="22" t="s">
        <v>934</v>
      </c>
      <c r="B12" s="23" t="s">
        <v>34</v>
      </c>
      <c r="C12" s="23">
        <v>3.0000000000000001E-3</v>
      </c>
      <c r="D12" s="24">
        <v>0.87560000000000004</v>
      </c>
      <c r="E12" s="24">
        <v>0.86880000000000002</v>
      </c>
      <c r="F12" s="24">
        <v>0.73599999999999999</v>
      </c>
      <c r="G12" s="24">
        <f>AVERAGE(Table15[[#This Row],[Genome copy numbers, replicate 1]:[Genome copy numbers, replicate 3]])</f>
        <v>0.82680000000000009</v>
      </c>
      <c r="H12" s="24">
        <f>STDEV(Table15[[#This Row],[Genome copy numbers, replicate 1]:[Genome copy numbers, replicate 3]])</f>
        <v>7.8708576406894853E-2</v>
      </c>
      <c r="I12" s="24"/>
      <c r="J12" s="24"/>
    </row>
    <row r="13" spans="1:13" x14ac:dyDescent="0.25">
      <c r="A13" s="42" t="s">
        <v>936</v>
      </c>
      <c r="B13" s="2" t="s">
        <v>35</v>
      </c>
      <c r="C13" s="2">
        <v>30</v>
      </c>
      <c r="D13" s="21">
        <v>0.14649999999999999</v>
      </c>
      <c r="E13" s="21">
        <v>0.15040000000000001</v>
      </c>
      <c r="F13" s="21">
        <v>0.15179999999999999</v>
      </c>
      <c r="G13" s="21">
        <f>AVERAGE(Table15[[#This Row],[Genome copy numbers, replicate 1]:[Genome copy numbers, replicate 3]])</f>
        <v>0.14956666666666665</v>
      </c>
      <c r="H13" s="21">
        <f>STDEV(Table15[[#This Row],[Genome copy numbers, replicate 1]:[Genome copy numbers, replicate 3]])</f>
        <v>2.7465129406819373E-3</v>
      </c>
      <c r="I13" s="21">
        <v>1.0549999999999999</v>
      </c>
      <c r="J13" s="17">
        <v>0.45985339999999997</v>
      </c>
    </row>
    <row r="14" spans="1:13" x14ac:dyDescent="0.25">
      <c r="A14" s="42" t="s">
        <v>936</v>
      </c>
      <c r="B14" s="2" t="s">
        <v>35</v>
      </c>
      <c r="C14" s="2">
        <v>2.9999999999999996</v>
      </c>
      <c r="D14" s="21">
        <v>0.1489</v>
      </c>
      <c r="E14" s="21">
        <v>0.20660000000000001</v>
      </c>
      <c r="F14" s="21">
        <v>0.13569999999999999</v>
      </c>
      <c r="G14" s="21">
        <f>AVERAGE(Table15[[#This Row],[Genome copy numbers, replicate 1]:[Genome copy numbers, replicate 3]])</f>
        <v>0.16373333333333334</v>
      </c>
      <c r="H14" s="21">
        <f>STDEV(Table15[[#This Row],[Genome copy numbers, replicate 1]:[Genome copy numbers, replicate 3]])</f>
        <v>3.7705746688446923E-2</v>
      </c>
      <c r="I14" s="21"/>
      <c r="J14" s="21"/>
    </row>
    <row r="15" spans="1:13" x14ac:dyDescent="0.25">
      <c r="A15" s="42" t="s">
        <v>936</v>
      </c>
      <c r="B15" s="2" t="s">
        <v>35</v>
      </c>
      <c r="C15" s="2">
        <v>0.3</v>
      </c>
      <c r="D15" s="21">
        <v>0.97060000000000002</v>
      </c>
      <c r="E15" s="21">
        <v>0.99970000000000003</v>
      </c>
      <c r="F15" s="21">
        <v>0.90790000000000004</v>
      </c>
      <c r="G15" s="21">
        <f>AVERAGE(Table15[[#This Row],[Genome copy numbers, replicate 1]:[Genome copy numbers, replicate 3]])</f>
        <v>0.95940000000000003</v>
      </c>
      <c r="H15" s="21">
        <f>STDEV(Table15[[#This Row],[Genome copy numbers, replicate 1]:[Genome copy numbers, replicate 3]])</f>
        <v>4.6913644070781788E-2</v>
      </c>
      <c r="I15" s="21"/>
      <c r="J15" s="21"/>
      <c r="L15" s="41"/>
      <c r="M15" s="41"/>
    </row>
    <row r="16" spans="1:13" x14ac:dyDescent="0.25">
      <c r="A16" s="42" t="s">
        <v>936</v>
      </c>
      <c r="B16" s="2" t="s">
        <v>35</v>
      </c>
      <c r="C16" s="2">
        <v>0.03</v>
      </c>
      <c r="D16" s="21">
        <v>1.1990000000000001</v>
      </c>
      <c r="E16" s="21">
        <v>1.2199</v>
      </c>
      <c r="F16" s="21">
        <v>1.1342000000000001</v>
      </c>
      <c r="G16" s="21">
        <f>AVERAGE(Table15[[#This Row],[Genome copy numbers, replicate 1]:[Genome copy numbers, replicate 3]])</f>
        <v>1.1843666666666666</v>
      </c>
      <c r="H16" s="21">
        <f>STDEV(Table15[[#This Row],[Genome copy numbers, replicate 1]:[Genome copy numbers, replicate 3]])</f>
        <v>4.4684710285883347E-2</v>
      </c>
      <c r="I16" s="21"/>
      <c r="J16" s="21"/>
    </row>
    <row r="17" spans="1:10" ht="15.75" thickBot="1" x14ac:dyDescent="0.3">
      <c r="A17" s="22" t="s">
        <v>936</v>
      </c>
      <c r="B17" s="23" t="s">
        <v>35</v>
      </c>
      <c r="C17" s="23">
        <v>3.0000000000000001E-3</v>
      </c>
      <c r="D17" s="24">
        <v>0.96679999999999999</v>
      </c>
      <c r="E17" s="24">
        <v>0.91139999999999999</v>
      </c>
      <c r="F17" s="24">
        <v>0.9375</v>
      </c>
      <c r="G17" s="24">
        <f>AVERAGE(Table15[[#This Row],[Genome copy numbers, replicate 1]:[Genome copy numbers, replicate 3]])</f>
        <v>0.93856666666666666</v>
      </c>
      <c r="H17" s="24">
        <f>STDEV(Table15[[#This Row],[Genome copy numbers, replicate 1]:[Genome copy numbers, replicate 3]])</f>
        <v>2.7715398848534249E-2</v>
      </c>
      <c r="I17" s="24"/>
      <c r="J17" s="24"/>
    </row>
  </sheetData>
  <mergeCells count="1">
    <mergeCell ref="A1:J1"/>
  </mergeCells>
  <phoneticPr fontId="1" type="noConversion"/>
  <pageMargins left="0.7" right="0.7" top="0.75" bottom="0.75" header="0.3" footer="0.3"/>
  <pageSetup paperSize="9" scale="70" orientation="portrait" r:id="rId1"/>
  <headerFooter>
    <oddHeader>&amp;R&amp;"Calibri"&amp;8&amp;K000000 Begränsad delning&amp;1#_x000D_</oddHead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f13b610e-d3b5-490f-b165-988100e8232a}" enabled="1" method="Standar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S3A Data</vt:lpstr>
      <vt:lpstr>S3B Data</vt:lpstr>
      <vt:lpstr>S3C Data</vt:lpstr>
      <vt:lpstr>S3D Data</vt:lpstr>
      <vt:lpstr>S3E Data</vt:lpstr>
      <vt:lpstr>S3F Data</vt:lpstr>
      <vt:lpstr>S3G Data</vt:lpstr>
      <vt:lpstr>S3H Data</vt:lpstr>
      <vt:lpstr>S3I Data</vt:lpstr>
      <vt:lpstr>'S3F Data'!_FilterDatabase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Sixt</dc:creator>
  <cp:lastModifiedBy>Barbara Sixt</cp:lastModifiedBy>
  <dcterms:created xsi:type="dcterms:W3CDTF">2025-03-09T17:05:36Z</dcterms:created>
  <dcterms:modified xsi:type="dcterms:W3CDTF">2025-03-14T17:10:15Z</dcterms:modified>
</cp:coreProperties>
</file>