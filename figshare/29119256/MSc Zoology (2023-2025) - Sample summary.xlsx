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uche\Documents\Rüchelle\Tuks\2025\MSc Zoology\UPSpace\MSc Zoology_Data\"/>
    </mc:Choice>
  </mc:AlternateContent>
  <bookViews>
    <workbookView xWindow="0" yWindow="0" windowWidth="20490" windowHeight="7755"/>
  </bookViews>
  <sheets>
    <sheet name="DNA extractions" sheetId="1" r:id="rId1"/>
    <sheet name="PCR" sheetId="2" r:id="rId2"/>
  </sheets>
  <calcPr calcId="152511"/>
  <fileRecoveryPr repairLoad="1"/>
  <extLst>
    <ext uri="GoogleSheetsCustomDataVersion2">
      <go:sheetsCustomData xmlns:go="http://customooxmlschemas.google.com/" r:id="rId8" roundtripDataChecksum="ntA9PWIN31Zxo/E59ULIRZk7BPArragcznbcXfH71DA="/>
    </ext>
  </extLst>
</workbook>
</file>

<file path=xl/calcChain.xml><?xml version="1.0" encoding="utf-8"?>
<calcChain xmlns="http://schemas.openxmlformats.org/spreadsheetml/2006/main">
  <c r="P83" i="2" l="1"/>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G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G9" i="2"/>
  <c r="P8" i="2"/>
  <c r="G8" i="2"/>
  <c r="P7" i="2"/>
  <c r="G7" i="2"/>
  <c r="P6" i="2"/>
  <c r="G6" i="2"/>
  <c r="P5" i="2"/>
  <c r="G5" i="2"/>
  <c r="P4" i="2"/>
  <c r="G4" i="2"/>
  <c r="P3" i="2"/>
  <c r="G3" i="2"/>
  <c r="Q253" i="1"/>
  <c r="R253" i="1" s="1"/>
  <c r="Q252" i="1"/>
  <c r="R252" i="1" s="1"/>
  <c r="Q251" i="1"/>
  <c r="R251" i="1" s="1"/>
  <c r="Q250" i="1"/>
  <c r="R250" i="1" s="1"/>
  <c r="Q249" i="1"/>
  <c r="R249" i="1" s="1"/>
  <c r="Q248" i="1"/>
  <c r="R248" i="1" s="1"/>
  <c r="Q247" i="1"/>
  <c r="R247" i="1" s="1"/>
  <c r="Q246" i="1"/>
  <c r="R246" i="1" s="1"/>
  <c r="Q245" i="1"/>
  <c r="R245" i="1" s="1"/>
  <c r="Q244" i="1"/>
  <c r="R244" i="1" s="1"/>
  <c r="Q243" i="1"/>
  <c r="R243" i="1" s="1"/>
  <c r="Q242" i="1"/>
  <c r="R242" i="1" s="1"/>
  <c r="Q241" i="1"/>
  <c r="R241" i="1" s="1"/>
  <c r="Q240" i="1"/>
  <c r="R240" i="1" s="1"/>
  <c r="Q239" i="1"/>
  <c r="R239" i="1" s="1"/>
  <c r="Q238" i="1"/>
  <c r="R238" i="1" s="1"/>
  <c r="Q237" i="1"/>
  <c r="R237" i="1" s="1"/>
  <c r="Q236" i="1"/>
  <c r="R236" i="1" s="1"/>
  <c r="Q235" i="1"/>
  <c r="R235" i="1" s="1"/>
  <c r="Q234" i="1"/>
  <c r="R234" i="1" s="1"/>
  <c r="Q233" i="1"/>
  <c r="R233" i="1" s="1"/>
  <c r="Q232" i="1"/>
  <c r="R232" i="1" s="1"/>
  <c r="Q231" i="1"/>
  <c r="R231" i="1" s="1"/>
  <c r="Q230" i="1"/>
  <c r="R230" i="1" s="1"/>
  <c r="Q229" i="1"/>
  <c r="R229" i="1" s="1"/>
  <c r="Q228" i="1"/>
  <c r="R228" i="1" s="1"/>
  <c r="Q227" i="1"/>
  <c r="R227" i="1" s="1"/>
  <c r="Q226" i="1"/>
  <c r="R226" i="1" s="1"/>
  <c r="Q225" i="1"/>
  <c r="R225" i="1" s="1"/>
  <c r="Q224" i="1"/>
  <c r="R224" i="1" s="1"/>
  <c r="Q223" i="1"/>
  <c r="R223" i="1" s="1"/>
  <c r="Q222" i="1"/>
  <c r="R222" i="1" s="1"/>
  <c r="Q221" i="1"/>
  <c r="R221" i="1" s="1"/>
  <c r="Q220" i="1"/>
  <c r="R220" i="1" s="1"/>
  <c r="Q219" i="1"/>
  <c r="R219" i="1" s="1"/>
  <c r="Q218" i="1"/>
  <c r="R218" i="1" s="1"/>
  <c r="Q217" i="1"/>
  <c r="R217" i="1" s="1"/>
  <c r="Q216" i="1"/>
  <c r="R216" i="1" s="1"/>
  <c r="Q215" i="1"/>
  <c r="R215" i="1" s="1"/>
  <c r="Q214" i="1"/>
  <c r="R214" i="1" s="1"/>
  <c r="Q213" i="1"/>
  <c r="R213" i="1" s="1"/>
  <c r="Q212" i="1"/>
  <c r="R212" i="1" s="1"/>
  <c r="Q211" i="1"/>
  <c r="R211" i="1" s="1"/>
  <c r="Q210" i="1"/>
  <c r="R210" i="1" s="1"/>
  <c r="Q209" i="1"/>
  <c r="R209" i="1" s="1"/>
  <c r="Q208" i="1"/>
  <c r="R208" i="1" s="1"/>
  <c r="Q207" i="1"/>
  <c r="R207" i="1" s="1"/>
  <c r="Q206" i="1"/>
  <c r="R206" i="1" s="1"/>
  <c r="Q205" i="1"/>
  <c r="R205" i="1" s="1"/>
  <c r="Q204" i="1"/>
  <c r="R204" i="1" s="1"/>
  <c r="Q203" i="1"/>
  <c r="R203" i="1" s="1"/>
  <c r="Q202" i="1"/>
  <c r="R202" i="1" s="1"/>
  <c r="S201" i="1"/>
  <c r="R201" i="1"/>
  <c r="Q201" i="1"/>
  <c r="Q200" i="1"/>
  <c r="S200" i="1" s="1"/>
  <c r="R199" i="1"/>
  <c r="Q199" i="1"/>
  <c r="S199" i="1" s="1"/>
  <c r="Q198" i="1"/>
  <c r="S198" i="1" s="1"/>
  <c r="S197" i="1"/>
  <c r="R197" i="1"/>
  <c r="Q197" i="1"/>
  <c r="Q196" i="1"/>
  <c r="S196" i="1" s="1"/>
  <c r="R195" i="1"/>
  <c r="Q195" i="1"/>
  <c r="S195" i="1" s="1"/>
  <c r="S194" i="1"/>
  <c r="Q194" i="1"/>
  <c r="R194" i="1" s="1"/>
  <c r="S193" i="1"/>
  <c r="R193" i="1"/>
  <c r="Q193" i="1"/>
  <c r="Q192" i="1"/>
  <c r="S192" i="1" s="1"/>
  <c r="R191" i="1"/>
  <c r="Q191" i="1"/>
  <c r="S191" i="1" s="1"/>
  <c r="S190" i="1"/>
  <c r="Q190" i="1"/>
  <c r="R190" i="1" s="1"/>
  <c r="S189" i="1"/>
  <c r="R189" i="1"/>
  <c r="Q189" i="1"/>
  <c r="Q188" i="1"/>
  <c r="S188" i="1" s="1"/>
  <c r="R187" i="1"/>
  <c r="Q187" i="1"/>
  <c r="S187" i="1" s="1"/>
  <c r="S186" i="1"/>
  <c r="Q186" i="1"/>
  <c r="R186" i="1" s="1"/>
  <c r="Q185" i="1"/>
  <c r="R185" i="1" s="1"/>
  <c r="Q184" i="1"/>
  <c r="R184" i="1" s="1"/>
  <c r="Q183" i="1"/>
  <c r="R183" i="1" s="1"/>
  <c r="Q182" i="1"/>
  <c r="R182" i="1" s="1"/>
  <c r="Q181" i="1"/>
  <c r="R181" i="1" s="1"/>
  <c r="Q180" i="1"/>
  <c r="R180" i="1" s="1"/>
  <c r="Q179" i="1"/>
  <c r="R179" i="1" s="1"/>
  <c r="Q178" i="1"/>
  <c r="R178" i="1" s="1"/>
  <c r="Q177" i="1"/>
  <c r="R177" i="1" s="1"/>
  <c r="Q176" i="1"/>
  <c r="R176" i="1" s="1"/>
  <c r="Q175" i="1"/>
  <c r="R175" i="1" s="1"/>
  <c r="Q174" i="1"/>
  <c r="R174" i="1" s="1"/>
  <c r="Q173" i="1"/>
  <c r="R173" i="1" s="1"/>
  <c r="Q172" i="1"/>
  <c r="R172" i="1" s="1"/>
  <c r="Q171" i="1"/>
  <c r="R171" i="1" s="1"/>
  <c r="Q170" i="1"/>
  <c r="R170" i="1" s="1"/>
  <c r="Q169" i="1"/>
  <c r="R169" i="1" s="1"/>
  <c r="Q168" i="1"/>
  <c r="R168" i="1" s="1"/>
  <c r="Q167" i="1"/>
  <c r="R167" i="1" s="1"/>
  <c r="R165" i="1"/>
  <c r="Q165" i="1"/>
  <c r="S165" i="1" s="1"/>
  <c r="S164" i="1"/>
  <c r="Q164" i="1"/>
  <c r="R164" i="1" s="1"/>
  <c r="S162" i="1"/>
  <c r="R162" i="1"/>
  <c r="Q162" i="1"/>
  <c r="Q161" i="1"/>
  <c r="S161" i="1" s="1"/>
  <c r="Q160" i="1"/>
  <c r="R160" i="1" s="1"/>
  <c r="Q159" i="1"/>
  <c r="R159" i="1" s="1"/>
  <c r="Q158" i="1"/>
  <c r="R158" i="1" s="1"/>
  <c r="Q157" i="1"/>
  <c r="R157" i="1" s="1"/>
  <c r="Q156" i="1"/>
  <c r="R156" i="1" s="1"/>
  <c r="Q155" i="1"/>
  <c r="R155" i="1" s="1"/>
  <c r="Q154" i="1"/>
  <c r="R154" i="1" s="1"/>
  <c r="Q153" i="1"/>
  <c r="R153" i="1" s="1"/>
  <c r="Q152" i="1"/>
  <c r="R152" i="1" s="1"/>
  <c r="Q151" i="1"/>
  <c r="R151" i="1" s="1"/>
  <c r="Q150" i="1"/>
  <c r="R150" i="1" s="1"/>
  <c r="Q149" i="1"/>
  <c r="R149" i="1" s="1"/>
  <c r="Q148" i="1"/>
  <c r="R148" i="1" s="1"/>
  <c r="Q147" i="1"/>
  <c r="R147" i="1" s="1"/>
  <c r="Q146" i="1"/>
  <c r="R146" i="1" s="1"/>
  <c r="Q145" i="1"/>
  <c r="R145" i="1" s="1"/>
  <c r="Q144" i="1"/>
  <c r="R144" i="1" s="1"/>
  <c r="Q143" i="1"/>
  <c r="R143" i="1" s="1"/>
  <c r="Q142" i="1"/>
  <c r="R142" i="1" s="1"/>
  <c r="Q141" i="1"/>
  <c r="R141" i="1" s="1"/>
  <c r="Q140" i="1"/>
  <c r="R140" i="1" s="1"/>
  <c r="Q139" i="1"/>
  <c r="R139" i="1" s="1"/>
  <c r="Q138" i="1"/>
  <c r="R138" i="1" s="1"/>
  <c r="Q137" i="1"/>
  <c r="R137" i="1" s="1"/>
  <c r="Q136" i="1"/>
  <c r="R136" i="1" s="1"/>
  <c r="Q135" i="1"/>
  <c r="R135" i="1" s="1"/>
  <c r="Q134" i="1"/>
  <c r="R134" i="1" s="1"/>
  <c r="Q133" i="1"/>
  <c r="R133" i="1" s="1"/>
  <c r="Q132" i="1"/>
  <c r="R132" i="1" s="1"/>
  <c r="Q131" i="1"/>
  <c r="R131" i="1" s="1"/>
  <c r="Q130" i="1"/>
  <c r="R130" i="1" s="1"/>
  <c r="Q129" i="1"/>
  <c r="R129" i="1" s="1"/>
  <c r="Q128" i="1"/>
  <c r="R128" i="1" s="1"/>
  <c r="Q127" i="1"/>
  <c r="R127" i="1" s="1"/>
  <c r="Q126" i="1"/>
  <c r="R126" i="1" s="1"/>
  <c r="Q125" i="1"/>
  <c r="R125" i="1" s="1"/>
  <c r="Q124" i="1"/>
  <c r="R124" i="1" s="1"/>
  <c r="Q123" i="1"/>
  <c r="R123" i="1" s="1"/>
  <c r="Q122" i="1"/>
  <c r="R122" i="1" s="1"/>
  <c r="R121" i="1"/>
  <c r="Q121" i="1"/>
  <c r="K121" i="1"/>
  <c r="S121" i="1" s="1"/>
  <c r="R120" i="1"/>
  <c r="Q120" i="1"/>
  <c r="K120" i="1"/>
  <c r="S120" i="1" s="1"/>
  <c r="Q119" i="1"/>
  <c r="Q117" i="1"/>
  <c r="Q116" i="1"/>
  <c r="Q115" i="1"/>
  <c r="Q114" i="1"/>
  <c r="Q113" i="1"/>
  <c r="Q112" i="1"/>
  <c r="Q111" i="1"/>
  <c r="Q110" i="1"/>
  <c r="Q109" i="1"/>
  <c r="Q108" i="1"/>
  <c r="Q107" i="1"/>
  <c r="Q106" i="1"/>
  <c r="Q105" i="1"/>
  <c r="Q102" i="1"/>
  <c r="R102" i="1" s="1"/>
  <c r="Q101" i="1"/>
  <c r="R101" i="1" s="1"/>
  <c r="Q100" i="1"/>
  <c r="R100" i="1" s="1"/>
  <c r="Q99" i="1"/>
  <c r="R99" i="1" s="1"/>
  <c r="Q98" i="1"/>
  <c r="R98" i="1" s="1"/>
  <c r="Q97" i="1"/>
  <c r="R97" i="1" s="1"/>
  <c r="Q96" i="1"/>
  <c r="R96" i="1" s="1"/>
  <c r="Q95" i="1"/>
  <c r="R95" i="1" s="1"/>
  <c r="Q94" i="1"/>
  <c r="R94" i="1" s="1"/>
  <c r="Q93" i="1"/>
  <c r="R93" i="1" s="1"/>
  <c r="Q92" i="1"/>
  <c r="R92" i="1" s="1"/>
  <c r="Q91" i="1"/>
  <c r="R91" i="1" s="1"/>
  <c r="Q90" i="1"/>
  <c r="J90" i="1"/>
  <c r="R90" i="1" s="1"/>
  <c r="I90" i="1"/>
  <c r="H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Q73" i="1"/>
  <c r="S73" i="1" s="1"/>
  <c r="R72" i="1"/>
  <c r="Q72" i="1"/>
  <c r="Q71" i="1"/>
  <c r="R71" i="1" s="1"/>
  <c r="Q70" i="1"/>
  <c r="R70" i="1" s="1"/>
  <c r="Q69" i="1"/>
  <c r="R69" i="1" s="1"/>
  <c r="Q68" i="1"/>
  <c r="R68" i="1" s="1"/>
  <c r="Q67" i="1"/>
  <c r="R67" i="1" s="1"/>
  <c r="Q66" i="1"/>
  <c r="R66" i="1" s="1"/>
  <c r="Q65" i="1"/>
  <c r="R65" i="1" s="1"/>
  <c r="R64" i="1"/>
  <c r="Q64" i="1"/>
  <c r="Q63" i="1"/>
  <c r="R63" i="1" s="1"/>
  <c r="R62" i="1"/>
  <c r="Q62" i="1"/>
  <c r="S62" i="1" s="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8" i="1"/>
  <c r="Q28" i="1"/>
  <c r="R27" i="1"/>
  <c r="Q27" i="1"/>
  <c r="R26" i="1"/>
  <c r="Q26" i="1"/>
  <c r="T25" i="1"/>
  <c r="S25" i="1"/>
  <c r="R25" i="1"/>
  <c r="Q25" i="1"/>
  <c r="Q24" i="1"/>
  <c r="S24" i="1" s="1"/>
  <c r="R23" i="1"/>
  <c r="Q23" i="1"/>
  <c r="S23" i="1" s="1"/>
  <c r="Q22" i="1"/>
  <c r="R22" i="1" s="1"/>
  <c r="Q21" i="1"/>
  <c r="S21" i="1" s="1"/>
  <c r="Q20" i="1"/>
  <c r="R20" i="1" s="1"/>
  <c r="Q19" i="1"/>
  <c r="R19" i="1" s="1"/>
  <c r="S18" i="1"/>
  <c r="R18" i="1"/>
  <c r="Q18" i="1"/>
  <c r="R17" i="1"/>
  <c r="Q17" i="1"/>
  <c r="R16" i="1"/>
  <c r="Q16" i="1"/>
  <c r="S15" i="1"/>
  <c r="R15" i="1"/>
  <c r="Q15" i="1"/>
  <c r="S14" i="1"/>
  <c r="R14" i="1"/>
  <c r="Q14" i="1"/>
  <c r="R13" i="1"/>
  <c r="Q13" i="1"/>
  <c r="R12" i="1"/>
  <c r="Q12" i="1"/>
  <c r="R11" i="1"/>
  <c r="Q11" i="1"/>
  <c r="R10" i="1"/>
  <c r="Q10" i="1"/>
  <c r="R9" i="1"/>
  <c r="Q9" i="1"/>
  <c r="R8" i="1"/>
  <c r="Q8" i="1"/>
  <c r="R7" i="1"/>
  <c r="Q7" i="1"/>
  <c r="S20" i="1" l="1"/>
  <c r="S22" i="1"/>
  <c r="T20" i="1"/>
  <c r="T21" i="1"/>
  <c r="R24" i="1"/>
  <c r="R73" i="1"/>
  <c r="R161" i="1"/>
  <c r="R188" i="1"/>
  <c r="R192" i="1"/>
  <c r="R196" i="1"/>
  <c r="R200" i="1"/>
  <c r="R21" i="1"/>
  <c r="R198" i="1"/>
</calcChain>
</file>

<file path=xl/comments1.xml><?xml version="1.0" encoding="utf-8"?>
<comments xmlns="http://schemas.openxmlformats.org/spreadsheetml/2006/main">
  <authors>
    <author/>
  </authors>
  <commentList>
    <comment ref="M6" authorId="0" shapeId="0">
      <text>
        <r>
          <rPr>
            <sz val="11"/>
            <color theme="1"/>
            <rFont val="Calibri"/>
            <family val="2"/>
            <scheme val="minor"/>
          </rPr>
          <t>======
ID#AAABSYRy8Ew
Rüchelle Moolman    (2024-07-22 20:48:35)
Between 70 and 100 ng/µl DNA is required for a Tapestation.</t>
        </r>
      </text>
    </comment>
    <comment ref="N41" authorId="0" shapeId="0">
      <text>
        <r>
          <rPr>
            <sz val="11"/>
            <color theme="1"/>
            <rFont val="Calibri"/>
            <family val="2"/>
            <scheme val="minor"/>
          </rPr>
          <t>======
ID#AAABSWZqiU0
Rüchelle Moolman    (2024-07-21 18:03:17)
Gel used for purification with Biospin Gel Extraction Kit</t>
        </r>
      </text>
    </comment>
    <comment ref="Q83" authorId="0" shapeId="0">
      <text>
        <r>
          <rPr>
            <sz val="11"/>
            <color theme="1"/>
            <rFont val="Calibri"/>
            <family val="2"/>
            <scheme val="minor"/>
          </rPr>
          <t>======
ID#AAABOI-tuM0
Rüchelle Moolman    (2024-06-14 07:54:13)
These samples were used during the purification reactions. Therefore, there is nothing left of the original sample.</t>
        </r>
      </text>
    </comment>
    <comment ref="Q90" authorId="0" shapeId="0">
      <text>
        <r>
          <rPr>
            <sz val="11"/>
            <color theme="1"/>
            <rFont val="Calibri"/>
            <family val="2"/>
            <scheme val="minor"/>
          </rPr>
          <t>======
ID#AAABOI-tuM8
Rüchelle Moolman    (2024-06-14 08:06:25)
The exact volume still needs to be determined.
------
ID#AAABQPGOxuQ
Rüchelle Moolman    (2024-06-24 07:45:28)
The sample was evaporated to 31µl at 45°C for 15h07min over a 3 day period.</t>
        </r>
      </text>
    </comment>
    <comment ref="H107" authorId="0" shapeId="0">
      <text>
        <r>
          <rPr>
            <sz val="11"/>
            <color theme="1"/>
            <rFont val="Calibri"/>
            <family val="2"/>
            <scheme val="minor"/>
          </rPr>
          <t>======
ID#AAABSYRy8Ek
Rüchelle Moolman    (2024-07-22 20:12:44)
There was almost no sample left to measure → results not reliable</t>
        </r>
      </text>
    </comment>
    <comment ref="B117" authorId="0" shapeId="0">
      <text>
        <r>
          <rPr>
            <sz val="11"/>
            <color theme="1"/>
            <rFont val="Calibri"/>
            <family val="2"/>
            <scheme val="minor"/>
          </rPr>
          <t>======
ID#AAABSYRy8Eo
Rüchelle Moolman    (2024-07-22 20:24:48)
Samples were combined (30 µl + 30 µl) before purification.</t>
        </r>
      </text>
    </comment>
    <comment ref="B131" authorId="0" shapeId="0">
      <text>
        <r>
          <rPr>
            <sz val="11"/>
            <color theme="1"/>
            <rFont val="Calibri"/>
            <family val="2"/>
            <scheme val="minor"/>
          </rPr>
          <t>======
ID#AAABTYUVLio
Rüchelle Moolman    (2024-08-08 20:47:27)
Phenol made on 2024-06-11 (ph1)</t>
        </r>
      </text>
    </comment>
    <comment ref="B133" authorId="0" shapeId="0">
      <text>
        <r>
          <rPr>
            <sz val="11"/>
            <color theme="1"/>
            <rFont val="Calibri"/>
            <family val="2"/>
            <scheme val="minor"/>
          </rPr>
          <t>======
ID#AAABTYUVLis
Rüchelle Moolman    (2024-08-08 20:47:53)
Phenol made on 2024-08-06 (ph2)</t>
        </r>
      </text>
    </comment>
    <comment ref="O136" authorId="0" shapeId="0">
      <text>
        <r>
          <rPr>
            <sz val="11"/>
            <color theme="1"/>
            <rFont val="Calibri"/>
            <family val="2"/>
            <scheme val="minor"/>
          </rPr>
          <t>======
ID#AAABUQXqnCI
Rüchelle Moolman    (2024-08-18 21:00:37)
The gels were scanned again after being stored in the fridge for approximately 19h. The gel on the left was scanned directly after electrophoresis, and the gel on the right was scanned after being stored in the fridge for ±19h.</t>
        </r>
      </text>
    </comment>
    <comment ref="Q155" authorId="0" shapeId="0">
      <text>
        <r>
          <rPr>
            <sz val="11"/>
            <color theme="1"/>
            <rFont val="Calibri"/>
            <family val="2"/>
            <scheme val="minor"/>
          </rPr>
          <t>======
ID#AAABQC_ojWc
Rüchelle Moolman    (2024-09-05 18:50:51)
Both samples given to Renate and Nicky to be sequenced, however, the DNA was to few and will therefore be used in their workshop.</t>
        </r>
      </text>
    </comment>
    <comment ref="F165" authorId="0" shapeId="0">
      <text>
        <r>
          <rPr>
            <sz val="11"/>
            <color theme="1"/>
            <rFont val="Calibri"/>
            <family val="2"/>
            <scheme val="minor"/>
          </rPr>
          <t>======
ID#AAABU8kZT4Y
Rüchelle Moolman    (2024-09-07 22:54:57)
There isn't anymore of this aliquot left.</t>
        </r>
      </text>
    </comment>
    <comment ref="A167" authorId="0" shapeId="0">
      <text>
        <r>
          <rPr>
            <sz val="11"/>
            <color theme="1"/>
            <rFont val="Calibri"/>
            <family val="2"/>
            <scheme val="minor"/>
          </rPr>
          <t>======
ID#AAABVLe9gpY
Rüchelle Moolman    (2024-09-10 18:19:10)
The purification and DNA extraction was done to see if we could improve the 260/230 ratio of the DNA. Information from (https://www.researchgate.net/post/How_to_improve_my_260_230_ratio_for_DNA_high_purity) were used in making the decision.</t>
        </r>
      </text>
    </comment>
    <comment ref="B167" authorId="0" shapeId="0">
      <text>
        <r>
          <rPr>
            <sz val="11"/>
            <color theme="1"/>
            <rFont val="Calibri"/>
            <family val="2"/>
            <scheme val="minor"/>
          </rPr>
          <t>======
ID#AAABVrgeZQ4
Rüchelle Moolman    (2024-09-22 21:23:50)
DNA precipitation (45 µl NaAC &amp; 1000 µl Abs. EtOH) for 2 h @ -80°C. DNA pellets washed 3x with 1000 µl 70% EtOH.</t>
        </r>
      </text>
    </comment>
    <comment ref="G167" authorId="0" shapeId="0">
      <text>
        <r>
          <rPr>
            <sz val="11"/>
            <color theme="1"/>
            <rFont val="Calibri"/>
            <family val="2"/>
            <scheme val="minor"/>
          </rPr>
          <t>======
ID#AAABVLe9gpU
Rüchelle Moolman    (2024-09-10 18:15:06)
45 µl NaAC &amp; 1000 µl Absolute EtOH were added to the 92 µl DNA. The sample was mixed and incubated at -80°C for 2h15min. Thereafter, the samples were centrifuged at 13 000 rpm for 30 min and the ethanol decanted. 3x 1000 µl 70% EtOH were conducted per sample. The samples were inverted and centrifuged at 13 000 rpm for 15 min for every wash step, and the ethanol decanted. After the 3rd wash step, the pellets were dried at 45°C for 6 min (B1B (1).p, B1B (2).p &amp; B2B (1).p) or 10 min (B2B (2).p). The pellets were resuspended in 25 µl ddH2O.</t>
        </r>
      </text>
    </comment>
    <comment ref="B171" authorId="0" shapeId="0">
      <text>
        <r>
          <rPr>
            <sz val="11"/>
            <color theme="1"/>
            <rFont val="Calibri"/>
            <family val="2"/>
            <scheme val="minor"/>
          </rPr>
          <t>======
ID#AAABVrgeZQ8
Rüchelle Moolman    (2024-09-22 21:26:59)
Samples incubated for 10 min after addition of RNase A → vortex for 5s after 5 min.
3x wash buffer steps → incubate @ room temp for 1 min before centrifuging.
DNA elution → 2x ddH2O @ 40°C → incubate at 40°C for 2 min before centrifuging.</t>
        </r>
      </text>
    </comment>
    <comment ref="B179" authorId="0" shapeId="0">
      <text>
        <r>
          <rPr>
            <sz val="11"/>
            <color theme="1"/>
            <rFont val="Calibri"/>
            <family val="2"/>
            <scheme val="minor"/>
          </rPr>
          <t>======
ID#AAABVrgeZQ0
Rüchelle Moolman    (2024-09-22 21:21:04)
DNA pellet washed once with 1000 µl 70% EtOH</t>
        </r>
      </text>
    </comment>
    <comment ref="B182" authorId="0" shapeId="0">
      <text>
        <r>
          <rPr>
            <sz val="11"/>
            <color theme="1"/>
            <rFont val="Calibri"/>
            <family val="2"/>
            <scheme val="minor"/>
          </rPr>
          <t>======
ID#AAABVrgeZRA
Rüchelle Moolman    (2024-09-22 21:28:45)
DNA precipitation (45 µl NaAC &amp; 1000 µl Abs. EtOH) @ -80°C overnight. DNA pellet washed once with 1000 µl 70% EtOH.</t>
        </r>
      </text>
    </comment>
    <comment ref="B184" authorId="0" shapeId="0">
      <text>
        <r>
          <rPr>
            <sz val="11"/>
            <color theme="1"/>
            <rFont val="Calibri"/>
            <family val="2"/>
            <scheme val="minor"/>
          </rPr>
          <t>======
ID#AAABVrgeZRE
Rüchelle Moolman    (2024-09-22 21:31:15)
200 µl ddH2O &amp; 500 µl chloroform added to DNA, vortexed &amp; centrifuged (13 000 rpm for 1 min).
45 µl NaAC &amp; 1000 µl Abs. EtOH added to aqueous phase &amp; incubated@ -80°C overnight. DNA pellet washed once with 1000 µl 70% EtOH.</t>
        </r>
      </text>
    </comment>
    <comment ref="B186" authorId="0" shapeId="0">
      <text>
        <r>
          <rPr>
            <sz val="11"/>
            <color theme="1"/>
            <rFont val="Calibri"/>
            <family val="2"/>
            <scheme val="minor"/>
          </rPr>
          <t>======
ID#AAABWzLFw-k
Rüchelle Moolman    (2024-10-07 18:31:00)
150 µl pre-heated (70°C) Elution buffer was added to 100 µl blood. 
40 µl RNase A (10 mg/ml) was added to the samples and incubated at room temperature for 2 min.
The DNA was eluted 2x in 50 µl Elution buffer pre-heated to 70°C.</t>
        </r>
      </text>
    </comment>
    <comment ref="F186" authorId="0" shapeId="0">
      <text>
        <r>
          <rPr>
            <sz val="11"/>
            <color theme="1"/>
            <rFont val="Calibri"/>
            <family val="2"/>
            <scheme val="minor"/>
          </rPr>
          <t>======
ID#AAABWzLFw-g
Rüchelle Moolman    (2024-10-07 18:28:37)
These aliquots were never thawed before this DNA extraction.</t>
        </r>
      </text>
    </comment>
    <comment ref="Q186" authorId="0" shapeId="0">
      <text>
        <r>
          <rPr>
            <sz val="11"/>
            <color theme="1"/>
            <rFont val="Calibri"/>
            <family val="2"/>
            <scheme val="minor"/>
          </rPr>
          <t>======
ID#AAABWzLFw-o
Rüchelle Moolman    (2024-10-07 18:42:29)
Samples B1B (1) - (4) and B2B (1) - (4) of both 2024-09-20 and 2024-10-01 submitted on 2024-10-04 for sequencing.</t>
        </r>
      </text>
    </comment>
    <comment ref="B194" authorId="0" shapeId="0">
      <text>
        <r>
          <rPr>
            <sz val="11"/>
            <color theme="1"/>
            <rFont val="Calibri"/>
            <family val="2"/>
            <scheme val="minor"/>
          </rPr>
          <t>======
ID#AAABWzLFw-s
Rüchelle Moolman    (2024-10-07 18:48:24)
150 µl Elution buffer (@ room temperature) was added to 100 µl blood.
4 µl RNase A (100 mg/ml) was added to the samples and incubated at room temperature for 2 min.
The DNA was eluted 2x in 50 µl Elution buffer pre-heated to 70°C.</t>
        </r>
      </text>
    </comment>
    <comment ref="B202" authorId="0" shapeId="0">
      <text>
        <r>
          <rPr>
            <sz val="11"/>
            <color theme="1"/>
            <rFont val="Calibri"/>
            <family val="2"/>
            <scheme val="minor"/>
          </rPr>
          <t>======
ID#AAABW8FmiAs
Rüchelle Moolman    (2024-10-10 19:18:20)
The TS and FF samples were weighed in a 1.5 ml Eppendorf tube before the addition of 500 µl amniocyte buffer.
Amniocyte buffer were added to the 1.5 ml Eppendorf tube of the 100 µm, 41 µm, and 8.0 µm samples. The membrane filter was added to the amniocyte buffer and cut smaller inside the tube with scissors. 
25 µl Proteinase K (20 mg/ml) was added to the, vortexed (10s), spin down, and incubated at 55°C for 16h.</t>
        </r>
      </text>
    </comment>
    <comment ref="B212" authorId="0" shapeId="0">
      <text>
        <r>
          <rPr>
            <sz val="11"/>
            <color theme="1"/>
            <rFont val="Calibri"/>
            <family val="2"/>
            <scheme val="minor"/>
          </rPr>
          <t>======
ID#AAABRZYSsLc
Rüchelle Moolman    (2024-10-15 21:46:47)
360 µl Buffer ATL added to the samples to ensure that the membrane filters are completely covered in lysis buffer. 20µl ProK added, vortexed (10s), incubated at 56°C for 16h.
The samples were vortexed (10s) and spin down. The supernatant (±300µl, but wasn't measured exactly) of each sample was transferred to a new 1.5 ml Eppie and 4 µl RNase A (100 mg/ml) were added to the samples and incubated at room temp. for 2 min.
The samples were vortexed for 15s. 400 µl Buffer AL was added and vortexed (10s). 400 µl Abs. EtOH was added and vortexed (30s).
650 µl sample was added to a spin column, centrifuged (11 000 g (10 900 rpm) for 1 min), and the flow-through discarded. The rest of the sample was added to the spin column (without transferring any precipitate) and centrifuged.
500 µl Buffer AW1 → centrifuge (11 000 g for 1 min), discard flow-through.
500 µl Buffer AW2 → centrifuge (16 300 g (13 300 rpm) for 5 min), discard flow-through. Centrifuge empty tubes at 16 300 g for 5 min to remove any residual ethanol.
Elute DNA twice in 50 µl ddH2O pre-heated to 70°C. After added directly to the membrane, incubate at room temp for 15 min and centrifuge at 11 000 g for 5 min. Total volume = 100 µl</t>
        </r>
      </text>
    </comment>
    <comment ref="B222" authorId="0" shapeId="0">
      <text>
        <r>
          <rPr>
            <sz val="11"/>
            <color theme="1"/>
            <rFont val="Calibri"/>
            <family val="2"/>
            <scheme val="minor"/>
          </rPr>
          <t>======
ID#AAABRZYSsLg
Rüchelle Moolman    (2024-10-15 22:01:06)
1 ml methanol was added to each sample, vortexed (30s), and centrifuged at 14 900 g for 1 min. 
The supernatant was discarded and 500 µl amniocyte buffer and 25 µl ProK (20 mg/ml) were added to the DNA pellets. The samples were vortexed (10s) and incubated at 55°C for 16h.</t>
        </r>
      </text>
    </comment>
    <comment ref="B242" authorId="0" shapeId="0">
      <text>
        <r>
          <rPr>
            <sz val="11"/>
            <color theme="1"/>
            <rFont val="Calibri"/>
            <family val="2"/>
            <scheme val="minor"/>
          </rPr>
          <t>======
ID#AAABXq-K66s
Rüchelle Moolman    (2024-10-22 20:29:26)
DNA was extracted according to the manufacturer's instructions:
1. All samples were vortexed for 1 min, however, B1Df_8.0µm (Omega) and B2Df_8.0µm (Omega) were vortexed for 3 min as it seemed as if there were still dung particles stuck to the membrane filter pieces after 1 and 2 min of vertexing.
3. The samples were centrifuged at maximum speed of 3 600 rmp in a Sorvall RT6000B centrifuge for 6 min.
7. Centrifuge at 3 500 rmp for 6 min in Sorvall RT6000B centrifuge.
11, 21, 26, 29 &amp; 36. → centrifuge in 24D spectrafuge at maximum speed of 16 300 x g (13 300 rpm). 
34. Elute DNA twice in 50 µl ddH2O pre-heated to 65°C.
*No RNase A was added → I only remembered this after I already added the 100% ethanol to the samples.</t>
        </r>
      </text>
    </comment>
    <comment ref="B252" authorId="0" shapeId="0">
      <text>
        <r>
          <rPr>
            <sz val="11"/>
            <color theme="1"/>
            <rFont val="Calibri"/>
            <family val="2"/>
            <scheme val="minor"/>
          </rPr>
          <t>======
ID#AAABXq-K66k
Rüchelle Moolman    (2024-10-22 20:11:44)
The samples were incubated overnight for 24 h at 55°C, and were only occasionally vortexed when in the lab.
4 µl RNase A (100 mg/ml) were added and incubated at room temp. for 2 min.
Step 7 &amp; 9: Vortexed for 20s
All centrifugation steps were conducted at a maximum speed of 16 300 x g (13 300 rpm).
The DNA was eluted twice in 50 µl ddH2O pre-heated to 70°C.</t>
        </r>
      </text>
    </comment>
  </commentList>
  <extLst>
    <ext xmlns:r="http://schemas.openxmlformats.org/officeDocument/2006/relationships" uri="GoogleSheetsCustomDataVersion2">
      <go:sheetsCustomData xmlns:go="http://customooxmlschemas.google.com/" r:id="rId1" roundtripDataSignature="AMtx7mitMN1OvAkWcUugS1gFmkpbJcbxiQ=="/>
    </ext>
  </extLst>
</comments>
</file>

<file path=xl/comments2.xml><?xml version="1.0" encoding="utf-8"?>
<comments xmlns="http://schemas.openxmlformats.org/spreadsheetml/2006/main">
  <authors>
    <author/>
  </authors>
  <commentList>
    <comment ref="V26" authorId="0" shapeId="0">
      <text>
        <r>
          <rPr>
            <sz val="11"/>
            <color theme="1"/>
            <rFont val="Calibri"/>
            <family val="2"/>
            <scheme val="minor"/>
          </rPr>
          <t>======
ID#AAABRwLi1SQ
Rüchelle Moolman    (2024-07-17 22:01:49)
Contamination!!!</t>
        </r>
      </text>
    </comment>
    <comment ref="V56" authorId="0" shapeId="0">
      <text>
        <r>
          <rPr>
            <sz val="11"/>
            <color theme="1"/>
            <rFont val="Calibri"/>
            <family val="2"/>
            <scheme val="minor"/>
          </rPr>
          <t>======
ID#AAABRwLi1SI
Rüchelle Moolman    (2024-07-17 22:00:25)
Amplification very slight and almost not visible.</t>
        </r>
      </text>
    </comment>
    <comment ref="V64" authorId="0" shapeId="0">
      <text>
        <r>
          <rPr>
            <sz val="11"/>
            <color theme="1"/>
            <rFont val="Calibri"/>
            <family val="2"/>
            <scheme val="minor"/>
          </rPr>
          <t>======
ID#AAABRwLi1SM
Rüchelle Moolman    (2024-07-17 22:01:22)
Contamination!!!</t>
        </r>
      </text>
    </comment>
  </commentList>
  <extLst>
    <ext xmlns:r="http://schemas.openxmlformats.org/officeDocument/2006/relationships" uri="GoogleSheetsCustomDataVersion2">
      <go:sheetsCustomData xmlns:go="http://customooxmlschemas.google.com/" r:id="rId1" roundtripDataSignature="AMtx7mi/u7ToWoubodctnxUmqDg9MW+uaA=="/>
    </ext>
  </extLst>
</comments>
</file>

<file path=xl/sharedStrings.xml><?xml version="1.0" encoding="utf-8"?>
<sst xmlns="http://schemas.openxmlformats.org/spreadsheetml/2006/main" count="2597" uniqueCount="630">
  <si>
    <t>Elephant Epigenetic Project</t>
  </si>
  <si>
    <t xml:space="preserve"> </t>
  </si>
  <si>
    <t>Extraction date</t>
  </si>
  <si>
    <t>Sample ID</t>
  </si>
  <si>
    <t>Code</t>
  </si>
  <si>
    <t>Species name</t>
  </si>
  <si>
    <t>Tissue source</t>
  </si>
  <si>
    <t>Amount tissue used</t>
  </si>
  <si>
    <t>Extraction method</t>
  </si>
  <si>
    <t>Nanodrop QC (260/280)</t>
  </si>
  <si>
    <t>Nanodrop QC (260/230)</t>
  </si>
  <si>
    <t>Nanodrop Conc. (ng/µl)</t>
  </si>
  <si>
    <t>Qubit QC (1st)</t>
  </si>
  <si>
    <t>Qubit QC (2nd)</t>
  </si>
  <si>
    <t>Tape station QC (Size range)</t>
  </si>
  <si>
    <t>Agarose gel</t>
  </si>
  <si>
    <t>Ladder</t>
  </si>
  <si>
    <t>Agarose QC (approx. size range)</t>
  </si>
  <si>
    <t>Total volume available (µl)</t>
  </si>
  <si>
    <t>Total amount DNA (ng) (NanoDrop)</t>
  </si>
  <si>
    <t>Total amount DNA (ng) (1st Qubit)</t>
  </si>
  <si>
    <t>Total amount DNA (ng) (2nd Qubit)</t>
  </si>
  <si>
    <t>Samples evaporated and resuspended in 10µl ddH2O in preparation for NanoPore workshop</t>
  </si>
  <si>
    <r>
      <rPr>
        <sz val="11"/>
        <color theme="1"/>
        <rFont val="Calibri"/>
        <family val="2"/>
      </rPr>
      <t>Bull</t>
    </r>
    <r>
      <rPr>
        <b/>
        <sz val="11"/>
        <color theme="1"/>
        <rFont val="Calibri"/>
        <family val="2"/>
      </rPr>
      <t>3</t>
    </r>
    <r>
      <rPr>
        <sz val="11"/>
        <color theme="1"/>
        <rFont val="Calibri"/>
        <family val="2"/>
      </rPr>
      <t>_Blood_1st</t>
    </r>
  </si>
  <si>
    <t>Loxodonta africana</t>
  </si>
  <si>
    <t>Blood</t>
  </si>
  <si>
    <t>500 µl</t>
  </si>
  <si>
    <t>Phenol/Chloroform</t>
  </si>
  <si>
    <t>-</t>
  </si>
  <si>
    <t>Lambda DNA/ HindiIII</t>
  </si>
  <si>
    <t>≥ 23 130 bp</t>
  </si>
  <si>
    <r>
      <rPr>
        <sz val="11"/>
        <color theme="1"/>
        <rFont val="Calibri"/>
        <family val="2"/>
      </rPr>
      <t>Bull</t>
    </r>
    <r>
      <rPr>
        <b/>
        <sz val="11"/>
        <color theme="1"/>
        <rFont val="Calibri"/>
        <family val="2"/>
      </rPr>
      <t>3</t>
    </r>
    <r>
      <rPr>
        <sz val="11"/>
        <color theme="1"/>
        <rFont val="Calibri"/>
        <family val="2"/>
      </rPr>
      <t>_Blood_2nd_Vortex</t>
    </r>
  </si>
  <si>
    <t>150 µl</t>
  </si>
  <si>
    <r>
      <rPr>
        <sz val="11"/>
        <color theme="1"/>
        <rFont val="Calibri"/>
        <family val="2"/>
      </rPr>
      <t>Bull</t>
    </r>
    <r>
      <rPr>
        <b/>
        <sz val="11"/>
        <color theme="1"/>
        <rFont val="Calibri"/>
        <family val="2"/>
      </rPr>
      <t>3</t>
    </r>
    <r>
      <rPr>
        <sz val="11"/>
        <color theme="1"/>
        <rFont val="Calibri"/>
        <family val="2"/>
      </rPr>
      <t>_Blood_2nd_Invert</t>
    </r>
  </si>
  <si>
    <r>
      <rPr>
        <sz val="11"/>
        <color theme="1"/>
        <rFont val="Calibri"/>
        <family val="2"/>
      </rPr>
      <t>Bull</t>
    </r>
    <r>
      <rPr>
        <b/>
        <sz val="11"/>
        <color theme="1"/>
        <rFont val="Calibri"/>
        <family val="2"/>
      </rPr>
      <t>3</t>
    </r>
    <r>
      <rPr>
        <sz val="11"/>
        <color theme="1"/>
        <rFont val="Calibri"/>
        <family val="2"/>
      </rPr>
      <t>_Blood_3rd_Vortex1</t>
    </r>
  </si>
  <si>
    <t>100 µl</t>
  </si>
  <si>
    <t>0.7% gel @ 30V for 2.5h</t>
  </si>
  <si>
    <r>
      <rPr>
        <sz val="11"/>
        <color theme="1"/>
        <rFont val="Calibri"/>
        <family val="2"/>
      </rPr>
      <t>Bull</t>
    </r>
    <r>
      <rPr>
        <b/>
        <sz val="11"/>
        <color theme="1"/>
        <rFont val="Calibri"/>
        <family val="2"/>
      </rPr>
      <t>3</t>
    </r>
    <r>
      <rPr>
        <sz val="11"/>
        <color theme="1"/>
        <rFont val="Calibri"/>
        <family val="2"/>
      </rPr>
      <t>_Blood_3rd_Vortex2</t>
    </r>
  </si>
  <si>
    <t>60 µl &amp; 40 µl H2O</t>
  </si>
  <si>
    <t>Not visible on gel</t>
  </si>
  <si>
    <r>
      <rPr>
        <sz val="11"/>
        <color theme="1"/>
        <rFont val="Calibri"/>
        <family val="2"/>
      </rPr>
      <t>Bull</t>
    </r>
    <r>
      <rPr>
        <b/>
        <sz val="11"/>
        <color theme="1"/>
        <rFont val="Calibri"/>
        <family val="2"/>
      </rPr>
      <t>3</t>
    </r>
    <r>
      <rPr>
        <sz val="11"/>
        <color theme="1"/>
        <rFont val="Calibri"/>
        <family val="2"/>
      </rPr>
      <t>_Blood_4th_Vortex1</t>
    </r>
  </si>
  <si>
    <r>
      <rPr>
        <sz val="11"/>
        <color theme="1"/>
        <rFont val="Calibri"/>
        <family val="2"/>
      </rPr>
      <t>Bull</t>
    </r>
    <r>
      <rPr>
        <b/>
        <sz val="11"/>
        <color theme="1"/>
        <rFont val="Calibri"/>
        <family val="2"/>
      </rPr>
      <t>3</t>
    </r>
    <r>
      <rPr>
        <sz val="11"/>
        <color theme="1"/>
        <rFont val="Calibri"/>
        <family val="2"/>
      </rPr>
      <t>_Blood_4th_Vortex2</t>
    </r>
  </si>
  <si>
    <r>
      <rPr>
        <sz val="11"/>
        <color theme="8"/>
        <rFont val="Calibri"/>
        <family val="2"/>
      </rPr>
      <t>Bull</t>
    </r>
    <r>
      <rPr>
        <b/>
        <sz val="11"/>
        <color theme="8"/>
        <rFont val="Calibri"/>
        <family val="2"/>
      </rPr>
      <t>1</t>
    </r>
    <r>
      <rPr>
        <sz val="11"/>
        <color theme="8"/>
        <rFont val="Calibri"/>
        <family val="2"/>
      </rPr>
      <t>_Blood_1st_Vortex1</t>
    </r>
  </si>
  <si>
    <t>0.7% gel @ 30V for 6h</t>
  </si>
  <si>
    <r>
      <rPr>
        <sz val="11"/>
        <color theme="8"/>
        <rFont val="Calibri"/>
        <family val="2"/>
      </rPr>
      <t>Bull</t>
    </r>
    <r>
      <rPr>
        <b/>
        <sz val="11"/>
        <color theme="8"/>
        <rFont val="Calibri"/>
        <family val="2"/>
      </rPr>
      <t>1</t>
    </r>
    <r>
      <rPr>
        <sz val="11"/>
        <color theme="8"/>
        <rFont val="Calibri"/>
        <family val="2"/>
      </rPr>
      <t>_Blood_1st_Vortex2</t>
    </r>
  </si>
  <si>
    <t>100 - 29 362bp</t>
  </si>
  <si>
    <t>Sample sent to sequencing facility</t>
  </si>
  <si>
    <r>
      <rPr>
        <sz val="11"/>
        <color theme="1"/>
        <rFont val="Calibri"/>
        <family val="2"/>
      </rPr>
      <t>Bull</t>
    </r>
    <r>
      <rPr>
        <b/>
        <sz val="11"/>
        <color theme="1"/>
        <rFont val="Calibri"/>
        <family val="2"/>
      </rPr>
      <t>1</t>
    </r>
    <r>
      <rPr>
        <sz val="11"/>
        <color theme="1"/>
        <rFont val="Calibri"/>
        <family val="2"/>
      </rPr>
      <t>_Skin_1st_S1</t>
    </r>
  </si>
  <si>
    <t>Skin</t>
  </si>
  <si>
    <t>N/A (small corner)</t>
  </si>
  <si>
    <r>
      <rPr>
        <sz val="11"/>
        <color theme="1"/>
        <rFont val="Calibri"/>
        <family val="2"/>
      </rPr>
      <t>Bull</t>
    </r>
    <r>
      <rPr>
        <b/>
        <sz val="11"/>
        <color theme="1"/>
        <rFont val="Calibri"/>
        <family val="2"/>
      </rPr>
      <t>1</t>
    </r>
    <r>
      <rPr>
        <sz val="11"/>
        <color theme="1"/>
        <rFont val="Calibri"/>
        <family val="2"/>
      </rPr>
      <t>_Skin_1st_S2</t>
    </r>
  </si>
  <si>
    <t>N/A (inside ear)</t>
  </si>
  <si>
    <r>
      <rPr>
        <sz val="11"/>
        <color theme="8"/>
        <rFont val="Calibri"/>
        <family val="2"/>
      </rPr>
      <t>Bull</t>
    </r>
    <r>
      <rPr>
        <b/>
        <sz val="11"/>
        <color theme="8"/>
        <rFont val="Calibri"/>
        <family val="2"/>
      </rPr>
      <t>1</t>
    </r>
    <r>
      <rPr>
        <sz val="11"/>
        <color theme="8"/>
        <rFont val="Calibri"/>
        <family val="2"/>
      </rPr>
      <t>_Skin_2nd_S1</t>
    </r>
  </si>
  <si>
    <t>100 - 26 739bp</t>
  </si>
  <si>
    <r>
      <rPr>
        <sz val="11"/>
        <color theme="1"/>
        <rFont val="Calibri"/>
        <family val="2"/>
      </rPr>
      <t>Bull</t>
    </r>
    <r>
      <rPr>
        <b/>
        <sz val="11"/>
        <color theme="1"/>
        <rFont val="Calibri"/>
        <family val="2"/>
      </rPr>
      <t>1</t>
    </r>
    <r>
      <rPr>
        <sz val="11"/>
        <color theme="1"/>
        <rFont val="Calibri"/>
        <family val="2"/>
      </rPr>
      <t>_Skin_2nd_S2</t>
    </r>
  </si>
  <si>
    <t>N/A (outside &amp; piece inside ear)</t>
  </si>
  <si>
    <t>4 361 - 23 130 bp</t>
  </si>
  <si>
    <r>
      <rPr>
        <sz val="11"/>
        <color theme="1"/>
        <rFont val="Calibri"/>
        <family val="2"/>
      </rPr>
      <t>Bull</t>
    </r>
    <r>
      <rPr>
        <b/>
        <sz val="11"/>
        <color theme="1"/>
        <rFont val="Calibri"/>
        <family val="2"/>
      </rPr>
      <t>1</t>
    </r>
    <r>
      <rPr>
        <sz val="11"/>
        <color theme="1"/>
        <rFont val="Calibri"/>
        <family val="2"/>
      </rPr>
      <t>_Skin_3rd_S</t>
    </r>
  </si>
  <si>
    <t>B1S</t>
  </si>
  <si>
    <t>N/A (inside ear; larger; chopped)</t>
  </si>
  <si>
    <t>???</t>
  </si>
  <si>
    <t>Sample delivered to Renate on 2024-05-28 → Sample was dry, therfore resuspended in 50 µl H20</t>
  </si>
  <si>
    <r>
      <rPr>
        <sz val="11"/>
        <color theme="1"/>
        <rFont val="Calibri"/>
        <family val="2"/>
      </rPr>
      <t>Bull</t>
    </r>
    <r>
      <rPr>
        <b/>
        <sz val="11"/>
        <color theme="1"/>
        <rFont val="Calibri"/>
        <family val="2"/>
      </rPr>
      <t>2</t>
    </r>
    <r>
      <rPr>
        <sz val="11"/>
        <color theme="1"/>
        <rFont val="Calibri"/>
        <family val="2"/>
      </rPr>
      <t>_Skin_1st_S</t>
    </r>
  </si>
  <si>
    <t>B2S</t>
  </si>
  <si>
    <t>100 - &gt;60 000bp</t>
  </si>
  <si>
    <t>Sample delivered to Renate on 2024-05-28</t>
  </si>
  <si>
    <r>
      <rPr>
        <sz val="11"/>
        <color theme="1"/>
        <rFont val="Calibri"/>
        <family val="2"/>
      </rPr>
      <t>Bull</t>
    </r>
    <r>
      <rPr>
        <b/>
        <sz val="11"/>
        <color theme="1"/>
        <rFont val="Calibri"/>
        <family val="2"/>
      </rPr>
      <t>1</t>
    </r>
    <r>
      <rPr>
        <sz val="11"/>
        <color theme="1"/>
        <rFont val="Calibri"/>
        <family val="2"/>
      </rPr>
      <t>_Blood_2nd_B1</t>
    </r>
  </si>
  <si>
    <r>
      <rPr>
        <sz val="11"/>
        <color theme="1"/>
        <rFont val="Calibri"/>
        <family val="2"/>
      </rPr>
      <t>Bull</t>
    </r>
    <r>
      <rPr>
        <b/>
        <sz val="11"/>
        <color theme="1"/>
        <rFont val="Calibri"/>
        <family val="2"/>
      </rPr>
      <t>2</t>
    </r>
    <r>
      <rPr>
        <sz val="11"/>
        <color theme="1"/>
        <rFont val="Calibri"/>
        <family val="2"/>
      </rPr>
      <t>_Blood_2nd_B1</t>
    </r>
  </si>
  <si>
    <r>
      <rPr>
        <sz val="11"/>
        <color theme="1"/>
        <rFont val="Calibri"/>
        <family val="2"/>
      </rPr>
      <t>Bull</t>
    </r>
    <r>
      <rPr>
        <b/>
        <sz val="11"/>
        <color theme="1"/>
        <rFont val="Calibri"/>
        <family val="2"/>
      </rPr>
      <t>1</t>
    </r>
    <r>
      <rPr>
        <sz val="11"/>
        <color theme="1"/>
        <rFont val="Calibri"/>
        <family val="2"/>
      </rPr>
      <t>_Blood_2nd_B2</t>
    </r>
  </si>
  <si>
    <r>
      <rPr>
        <sz val="11"/>
        <color theme="1"/>
        <rFont val="Calibri"/>
        <family val="2"/>
      </rPr>
      <t>Bull</t>
    </r>
    <r>
      <rPr>
        <b/>
        <sz val="11"/>
        <color theme="1"/>
        <rFont val="Calibri"/>
        <family val="2"/>
      </rPr>
      <t>2</t>
    </r>
    <r>
      <rPr>
        <sz val="11"/>
        <color theme="1"/>
        <rFont val="Calibri"/>
        <family val="2"/>
      </rPr>
      <t>_Blood_2nd_B2</t>
    </r>
  </si>
  <si>
    <r>
      <rPr>
        <sz val="11"/>
        <color theme="1"/>
        <rFont val="Calibri"/>
        <family val="2"/>
      </rPr>
      <t>Bull</t>
    </r>
    <r>
      <rPr>
        <b/>
        <sz val="11"/>
        <color theme="1"/>
        <rFont val="Calibri"/>
        <family val="2"/>
      </rPr>
      <t>3</t>
    </r>
    <r>
      <rPr>
        <sz val="11"/>
        <color theme="1"/>
        <rFont val="Calibri"/>
        <family val="2"/>
      </rPr>
      <t>_Dung_1st_D1</t>
    </r>
  </si>
  <si>
    <t>Dung</t>
  </si>
  <si>
    <t>0,04 g</t>
  </si>
  <si>
    <t>1.5% gel @ 50V for 26min</t>
  </si>
  <si>
    <t>100 bp</t>
  </si>
  <si>
    <t>Samples were combined (40µl) and used in the bead purification reaction.</t>
  </si>
  <si>
    <r>
      <rPr>
        <sz val="11"/>
        <color theme="1"/>
        <rFont val="Calibri"/>
        <family val="2"/>
      </rPr>
      <t>Bull</t>
    </r>
    <r>
      <rPr>
        <b/>
        <sz val="11"/>
        <color theme="1"/>
        <rFont val="Calibri"/>
        <family val="2"/>
      </rPr>
      <t>3</t>
    </r>
    <r>
      <rPr>
        <sz val="11"/>
        <color theme="1"/>
        <rFont val="Calibri"/>
        <family val="2"/>
      </rPr>
      <t>_Dung_1st_D2</t>
    </r>
  </si>
  <si>
    <r>
      <rPr>
        <sz val="11"/>
        <color theme="1"/>
        <rFont val="Calibri"/>
        <family val="2"/>
      </rPr>
      <t>Bull</t>
    </r>
    <r>
      <rPr>
        <b/>
        <sz val="11"/>
        <color theme="1"/>
        <rFont val="Calibri"/>
        <family val="2"/>
      </rPr>
      <t>3</t>
    </r>
    <r>
      <rPr>
        <sz val="11"/>
        <color theme="1"/>
        <rFont val="Calibri"/>
        <family val="2"/>
      </rPr>
      <t>_Dung_2nd_A</t>
    </r>
  </si>
  <si>
    <t>0,25 g</t>
  </si>
  <si>
    <r>
      <rPr>
        <sz val="11"/>
        <color theme="1"/>
        <rFont val="Calibri"/>
        <family val="2"/>
      </rPr>
      <t>Bull</t>
    </r>
    <r>
      <rPr>
        <b/>
        <sz val="11"/>
        <color theme="1"/>
        <rFont val="Calibri"/>
        <family val="2"/>
      </rPr>
      <t>3</t>
    </r>
    <r>
      <rPr>
        <sz val="11"/>
        <color theme="1"/>
        <rFont val="Calibri"/>
        <family val="2"/>
      </rPr>
      <t>_Dung_2nd_I</t>
    </r>
    <r>
      <rPr>
        <sz val="9"/>
        <color theme="1"/>
        <rFont val="Calibri"/>
        <family val="2"/>
      </rPr>
      <t>250</t>
    </r>
  </si>
  <si>
    <t>Sample discarded during P/C extraction due to low volume</t>
  </si>
  <si>
    <r>
      <rPr>
        <sz val="11"/>
        <color theme="1"/>
        <rFont val="Calibri"/>
        <family val="2"/>
      </rPr>
      <t>Bull</t>
    </r>
    <r>
      <rPr>
        <b/>
        <sz val="11"/>
        <color theme="1"/>
        <rFont val="Calibri"/>
        <family val="2"/>
      </rPr>
      <t>3</t>
    </r>
    <r>
      <rPr>
        <sz val="11"/>
        <color theme="1"/>
        <rFont val="Calibri"/>
        <family val="2"/>
      </rPr>
      <t>_Dung_2nd_I</t>
    </r>
    <r>
      <rPr>
        <sz val="9"/>
        <color theme="1"/>
        <rFont val="Calibri"/>
        <family val="2"/>
      </rPr>
      <t>500</t>
    </r>
  </si>
  <si>
    <t>100bp</t>
  </si>
  <si>
    <r>
      <rPr>
        <sz val="11"/>
        <color theme="1"/>
        <rFont val="Calibri"/>
        <family val="2"/>
      </rPr>
      <t>Bull</t>
    </r>
    <r>
      <rPr>
        <b/>
        <sz val="11"/>
        <color theme="1"/>
        <rFont val="Calibri"/>
        <family val="2"/>
      </rPr>
      <t>3</t>
    </r>
    <r>
      <rPr>
        <sz val="11"/>
        <color theme="1"/>
        <rFont val="Calibri"/>
        <family val="2"/>
      </rPr>
      <t>_Dung_2nd_I</t>
    </r>
    <r>
      <rPr>
        <sz val="9"/>
        <color theme="1"/>
        <rFont val="Calibri"/>
        <family val="2"/>
      </rPr>
      <t>1000</t>
    </r>
  </si>
  <si>
    <t>6267bp</t>
  </si>
  <si>
    <r>
      <rPr>
        <sz val="11"/>
        <color theme="1"/>
        <rFont val="Calibri"/>
        <family val="2"/>
      </rPr>
      <t>Bull</t>
    </r>
    <r>
      <rPr>
        <b/>
        <sz val="11"/>
        <color theme="1"/>
        <rFont val="Calibri"/>
        <family val="2"/>
      </rPr>
      <t>3</t>
    </r>
    <r>
      <rPr>
        <sz val="11"/>
        <color theme="1"/>
        <rFont val="Calibri"/>
        <family val="2"/>
      </rPr>
      <t>_Dung_2nd_I/A</t>
    </r>
    <r>
      <rPr>
        <sz val="9"/>
        <color theme="1"/>
        <rFont val="Calibri"/>
        <family val="2"/>
      </rPr>
      <t>250</t>
    </r>
  </si>
  <si>
    <r>
      <rPr>
        <sz val="11"/>
        <color theme="1"/>
        <rFont val="Calibri"/>
        <family val="2"/>
      </rPr>
      <t>Bull</t>
    </r>
    <r>
      <rPr>
        <b/>
        <sz val="11"/>
        <color theme="1"/>
        <rFont val="Calibri"/>
        <family val="2"/>
      </rPr>
      <t>3</t>
    </r>
    <r>
      <rPr>
        <sz val="11"/>
        <color theme="1"/>
        <rFont val="Calibri"/>
        <family val="2"/>
      </rPr>
      <t>_Dung_2nd_I/A</t>
    </r>
    <r>
      <rPr>
        <sz val="9"/>
        <color theme="1"/>
        <rFont val="Calibri"/>
        <family val="2"/>
      </rPr>
      <t>500</t>
    </r>
  </si>
  <si>
    <r>
      <rPr>
        <sz val="11"/>
        <color theme="1"/>
        <rFont val="Calibri"/>
        <family val="2"/>
      </rPr>
      <t>Bull</t>
    </r>
    <r>
      <rPr>
        <b/>
        <sz val="11"/>
        <color theme="1"/>
        <rFont val="Calibri"/>
        <family val="2"/>
      </rPr>
      <t>3</t>
    </r>
    <r>
      <rPr>
        <sz val="11"/>
        <color theme="1"/>
        <rFont val="Calibri"/>
        <family val="2"/>
      </rPr>
      <t>_Dung_3rd_D1_I1000</t>
    </r>
  </si>
  <si>
    <r>
      <rPr>
        <sz val="11"/>
        <color theme="1"/>
        <rFont val="Calibri"/>
        <family val="2"/>
      </rPr>
      <t>Bull</t>
    </r>
    <r>
      <rPr>
        <b/>
        <sz val="11"/>
        <color theme="1"/>
        <rFont val="Calibri"/>
        <family val="2"/>
      </rPr>
      <t>3</t>
    </r>
    <r>
      <rPr>
        <sz val="11"/>
        <color theme="1"/>
        <rFont val="Calibri"/>
        <family val="2"/>
      </rPr>
      <t>_Dung_3rd_D2_I1000</t>
    </r>
  </si>
  <si>
    <r>
      <rPr>
        <sz val="11"/>
        <color theme="1"/>
        <rFont val="Calibri"/>
        <family val="2"/>
      </rPr>
      <t>Bull</t>
    </r>
    <r>
      <rPr>
        <b/>
        <sz val="11"/>
        <color theme="1"/>
        <rFont val="Calibri"/>
        <family val="2"/>
      </rPr>
      <t>3</t>
    </r>
    <r>
      <rPr>
        <sz val="11"/>
        <color theme="1"/>
        <rFont val="Calibri"/>
        <family val="2"/>
      </rPr>
      <t>_Dung_4th_D1_A/Isam</t>
    </r>
  </si>
  <si>
    <r>
      <rPr>
        <sz val="11"/>
        <color theme="1"/>
        <rFont val="Calibri"/>
        <family val="2"/>
      </rPr>
      <t>Bull</t>
    </r>
    <r>
      <rPr>
        <b/>
        <sz val="11"/>
        <color theme="1"/>
        <rFont val="Calibri"/>
        <family val="2"/>
      </rPr>
      <t>3</t>
    </r>
    <r>
      <rPr>
        <sz val="11"/>
        <color theme="1"/>
        <rFont val="Calibri"/>
        <family val="2"/>
      </rPr>
      <t>_Dung_4th_D2_A/Isup</t>
    </r>
  </si>
  <si>
    <r>
      <rPr>
        <sz val="11"/>
        <color theme="1"/>
        <rFont val="Calibri"/>
        <family val="2"/>
      </rPr>
      <t>Bull</t>
    </r>
    <r>
      <rPr>
        <b/>
        <sz val="11"/>
        <color theme="1"/>
        <rFont val="Calibri"/>
        <family val="2"/>
      </rPr>
      <t>3</t>
    </r>
    <r>
      <rPr>
        <sz val="11"/>
        <color theme="1"/>
        <rFont val="Calibri"/>
        <family val="2"/>
      </rPr>
      <t>_Dung_4th_D3_A/CD2sup</t>
    </r>
  </si>
  <si>
    <r>
      <rPr>
        <sz val="11"/>
        <color theme="1"/>
        <rFont val="Calibri"/>
        <family val="2"/>
      </rPr>
      <t>Bull</t>
    </r>
    <r>
      <rPr>
        <b/>
        <sz val="11"/>
        <color theme="1"/>
        <rFont val="Calibri"/>
        <family val="2"/>
      </rPr>
      <t>3</t>
    </r>
    <r>
      <rPr>
        <sz val="11"/>
        <color theme="1"/>
        <rFont val="Calibri"/>
        <family val="2"/>
      </rPr>
      <t>_Dung_4th_D4_A/I/CD2sup</t>
    </r>
  </si>
  <si>
    <r>
      <rPr>
        <sz val="11"/>
        <color theme="1"/>
        <rFont val="Calibri"/>
        <family val="2"/>
      </rPr>
      <t>Bull</t>
    </r>
    <r>
      <rPr>
        <b/>
        <sz val="11"/>
        <color theme="1"/>
        <rFont val="Calibri"/>
        <family val="2"/>
      </rPr>
      <t>3</t>
    </r>
    <r>
      <rPr>
        <sz val="11"/>
        <color theme="1"/>
        <rFont val="Calibri"/>
        <family val="2"/>
      </rPr>
      <t>_Dung_1st_D1 &amp; D2_Bead purification</t>
    </r>
  </si>
  <si>
    <t>"Bull3_Dung_1st_D1 &amp; Bull3_Dung_1st_D2" (2024-01-23) (40 µl)</t>
  </si>
  <si>
    <t>Bead purification</t>
  </si>
  <si>
    <t>1.5% gel @ 100V for 12min</t>
  </si>
  <si>
    <r>
      <rPr>
        <sz val="11"/>
        <color theme="1"/>
        <rFont val="Calibri"/>
        <family val="2"/>
      </rPr>
      <t>Bull</t>
    </r>
    <r>
      <rPr>
        <b/>
        <sz val="11"/>
        <color theme="1"/>
        <rFont val="Calibri"/>
        <family val="2"/>
      </rPr>
      <t>1</t>
    </r>
    <r>
      <rPr>
        <sz val="11"/>
        <color theme="1"/>
        <rFont val="Calibri"/>
        <family val="2"/>
      </rPr>
      <t>_Dung_1st_D1</t>
    </r>
  </si>
  <si>
    <t>0.04 g</t>
  </si>
  <si>
    <t>Samples were comined (D1 &amp; D2; D3 &amp; D4; D5 &amp; D6) and used in gel purification (2024/02/20)</t>
  </si>
  <si>
    <r>
      <rPr>
        <sz val="11"/>
        <color theme="1"/>
        <rFont val="Calibri"/>
        <family val="2"/>
      </rPr>
      <t>Bull</t>
    </r>
    <r>
      <rPr>
        <b/>
        <sz val="11"/>
        <color theme="1"/>
        <rFont val="Calibri"/>
        <family val="2"/>
      </rPr>
      <t>1</t>
    </r>
    <r>
      <rPr>
        <sz val="11"/>
        <color theme="1"/>
        <rFont val="Calibri"/>
        <family val="2"/>
      </rPr>
      <t>_Dung_1st_D2</t>
    </r>
  </si>
  <si>
    <r>
      <rPr>
        <sz val="11"/>
        <color theme="1"/>
        <rFont val="Calibri"/>
        <family val="2"/>
      </rPr>
      <t>Bull</t>
    </r>
    <r>
      <rPr>
        <b/>
        <sz val="11"/>
        <color theme="1"/>
        <rFont val="Calibri"/>
        <family val="2"/>
      </rPr>
      <t>1</t>
    </r>
    <r>
      <rPr>
        <sz val="11"/>
        <color theme="1"/>
        <rFont val="Calibri"/>
        <family val="2"/>
      </rPr>
      <t>_Dung_1st_D3</t>
    </r>
  </si>
  <si>
    <r>
      <rPr>
        <sz val="11"/>
        <color theme="1"/>
        <rFont val="Calibri"/>
        <family val="2"/>
      </rPr>
      <t>Bull</t>
    </r>
    <r>
      <rPr>
        <b/>
        <sz val="11"/>
        <color theme="1"/>
        <rFont val="Calibri"/>
        <family val="2"/>
      </rPr>
      <t>1</t>
    </r>
    <r>
      <rPr>
        <sz val="11"/>
        <color theme="1"/>
        <rFont val="Calibri"/>
        <family val="2"/>
      </rPr>
      <t>_Dung_1st_D4</t>
    </r>
  </si>
  <si>
    <r>
      <rPr>
        <sz val="11"/>
        <color theme="1"/>
        <rFont val="Calibri"/>
        <family val="2"/>
      </rPr>
      <t>Bull</t>
    </r>
    <r>
      <rPr>
        <b/>
        <sz val="11"/>
        <color theme="1"/>
        <rFont val="Calibri"/>
        <family val="2"/>
      </rPr>
      <t>1</t>
    </r>
    <r>
      <rPr>
        <sz val="11"/>
        <color theme="1"/>
        <rFont val="Calibri"/>
        <family val="2"/>
      </rPr>
      <t>_Dung_1st_D5</t>
    </r>
  </si>
  <si>
    <r>
      <rPr>
        <sz val="11"/>
        <color theme="1"/>
        <rFont val="Calibri"/>
        <family val="2"/>
      </rPr>
      <t>Bull</t>
    </r>
    <r>
      <rPr>
        <b/>
        <sz val="11"/>
        <color theme="1"/>
        <rFont val="Calibri"/>
        <family val="2"/>
      </rPr>
      <t>1</t>
    </r>
    <r>
      <rPr>
        <sz val="11"/>
        <color theme="1"/>
        <rFont val="Calibri"/>
        <family val="2"/>
      </rPr>
      <t>_Dung_1st_D6</t>
    </r>
  </si>
  <si>
    <r>
      <rPr>
        <sz val="11"/>
        <color theme="1"/>
        <rFont val="Calibri"/>
        <family val="2"/>
      </rPr>
      <t>Bull</t>
    </r>
    <r>
      <rPr>
        <b/>
        <sz val="11"/>
        <color theme="1"/>
        <rFont val="Calibri"/>
        <family val="2"/>
      </rPr>
      <t>1</t>
    </r>
    <r>
      <rPr>
        <sz val="11"/>
        <color theme="1"/>
        <rFont val="Calibri"/>
        <family val="2"/>
      </rPr>
      <t>_Dung_1st_D1/2</t>
    </r>
  </si>
  <si>
    <t>18 µl DNA (20/02/16)</t>
  </si>
  <si>
    <t>Gel purification</t>
  </si>
  <si>
    <t>1.5% gel @ 100V for 15min</t>
  </si>
  <si>
    <r>
      <rPr>
        <sz val="11"/>
        <color theme="1"/>
        <rFont val="Calibri"/>
        <family val="2"/>
      </rPr>
      <t>Bull</t>
    </r>
    <r>
      <rPr>
        <b/>
        <sz val="11"/>
        <color theme="1"/>
        <rFont val="Calibri"/>
        <family val="2"/>
      </rPr>
      <t>1</t>
    </r>
    <r>
      <rPr>
        <sz val="11"/>
        <color theme="1"/>
        <rFont val="Calibri"/>
        <family val="2"/>
      </rPr>
      <t>_Dung_1st_D3/4</t>
    </r>
  </si>
  <si>
    <r>
      <rPr>
        <sz val="11"/>
        <color theme="1"/>
        <rFont val="Calibri"/>
        <family val="2"/>
      </rPr>
      <t>Bull</t>
    </r>
    <r>
      <rPr>
        <b/>
        <sz val="11"/>
        <color theme="1"/>
        <rFont val="Calibri"/>
        <family val="2"/>
      </rPr>
      <t>1</t>
    </r>
    <r>
      <rPr>
        <sz val="11"/>
        <color theme="1"/>
        <rFont val="Calibri"/>
        <family val="2"/>
      </rPr>
      <t>_Dung_1st_D5/6</t>
    </r>
  </si>
  <si>
    <r>
      <rPr>
        <sz val="11"/>
        <color theme="1"/>
        <rFont val="Calibri"/>
        <family val="2"/>
      </rPr>
      <t>Bull</t>
    </r>
    <r>
      <rPr>
        <b/>
        <sz val="11"/>
        <color theme="1"/>
        <rFont val="Calibri"/>
        <family val="2"/>
      </rPr>
      <t>1</t>
    </r>
    <r>
      <rPr>
        <sz val="11"/>
        <color theme="1"/>
        <rFont val="Calibri"/>
        <family val="2"/>
      </rPr>
      <t>_Dung_2nd_D1_A</t>
    </r>
  </si>
  <si>
    <r>
      <rPr>
        <sz val="11"/>
        <color theme="1"/>
        <rFont val="Calibri"/>
        <family val="2"/>
      </rPr>
      <t>Bull</t>
    </r>
    <r>
      <rPr>
        <b/>
        <sz val="11"/>
        <color theme="1"/>
        <rFont val="Calibri"/>
        <family val="2"/>
      </rPr>
      <t>1</t>
    </r>
    <r>
      <rPr>
        <sz val="11"/>
        <color theme="1"/>
        <rFont val="Calibri"/>
        <family val="2"/>
      </rPr>
      <t>_Dung_2nd_D2_A/CD2</t>
    </r>
    <r>
      <rPr>
        <sz val="8"/>
        <color theme="1"/>
        <rFont val="Calibri"/>
        <family val="2"/>
      </rPr>
      <t>RT</t>
    </r>
  </si>
  <si>
    <r>
      <rPr>
        <sz val="11"/>
        <color theme="1"/>
        <rFont val="Calibri"/>
        <family val="2"/>
      </rPr>
      <t>Bull</t>
    </r>
    <r>
      <rPr>
        <b/>
        <sz val="11"/>
        <color theme="1"/>
        <rFont val="Calibri"/>
        <family val="2"/>
      </rPr>
      <t>1</t>
    </r>
    <r>
      <rPr>
        <sz val="11"/>
        <color theme="1"/>
        <rFont val="Calibri"/>
        <family val="2"/>
      </rPr>
      <t>_Dung_2nd_D3_A/CD2</t>
    </r>
    <r>
      <rPr>
        <sz val="8"/>
        <color theme="1"/>
        <rFont val="Calibri"/>
        <family val="2"/>
      </rPr>
      <t>Ice</t>
    </r>
  </si>
  <si>
    <r>
      <rPr>
        <sz val="11"/>
        <color theme="1"/>
        <rFont val="Calibri"/>
        <family val="2"/>
      </rPr>
      <t>Bull</t>
    </r>
    <r>
      <rPr>
        <b/>
        <sz val="11"/>
        <color theme="1"/>
        <rFont val="Calibri"/>
        <family val="2"/>
      </rPr>
      <t>1</t>
    </r>
    <r>
      <rPr>
        <sz val="11"/>
        <color theme="1"/>
        <rFont val="Calibri"/>
        <family val="2"/>
      </rPr>
      <t>_Dung_2nd_D4_A/InhibitEX</t>
    </r>
  </si>
  <si>
    <r>
      <rPr>
        <sz val="11"/>
        <color theme="1"/>
        <rFont val="Calibri"/>
        <family val="2"/>
      </rPr>
      <t>Bull</t>
    </r>
    <r>
      <rPr>
        <b/>
        <sz val="11"/>
        <color theme="1"/>
        <rFont val="Calibri"/>
        <family val="2"/>
      </rPr>
      <t>1</t>
    </r>
    <r>
      <rPr>
        <sz val="11"/>
        <color theme="1"/>
        <rFont val="Calibri"/>
        <family val="2"/>
      </rPr>
      <t>_Blood_3rd_B1</t>
    </r>
  </si>
  <si>
    <t>Samples were combined into one sample, namely: "Bull1_Blood_3rd_B1-B4" (2024-03-15)</t>
  </si>
  <si>
    <r>
      <rPr>
        <sz val="11"/>
        <color theme="1"/>
        <rFont val="Calibri"/>
        <family val="2"/>
      </rPr>
      <t>Bull</t>
    </r>
    <r>
      <rPr>
        <b/>
        <sz val="11"/>
        <color theme="1"/>
        <rFont val="Calibri"/>
        <family val="2"/>
      </rPr>
      <t>1</t>
    </r>
    <r>
      <rPr>
        <sz val="11"/>
        <color theme="1"/>
        <rFont val="Calibri"/>
        <family val="2"/>
      </rPr>
      <t>_Blood_3rd_B2</t>
    </r>
  </si>
  <si>
    <r>
      <rPr>
        <sz val="11"/>
        <color theme="1"/>
        <rFont val="Calibri"/>
        <family val="2"/>
      </rPr>
      <t>Bull</t>
    </r>
    <r>
      <rPr>
        <b/>
        <sz val="11"/>
        <color theme="1"/>
        <rFont val="Calibri"/>
        <family val="2"/>
      </rPr>
      <t>1</t>
    </r>
    <r>
      <rPr>
        <sz val="11"/>
        <color theme="1"/>
        <rFont val="Calibri"/>
        <family val="2"/>
      </rPr>
      <t>_Blood_3rd_B3</t>
    </r>
  </si>
  <si>
    <r>
      <rPr>
        <sz val="11"/>
        <color theme="1"/>
        <rFont val="Calibri"/>
        <family val="2"/>
      </rPr>
      <t>Bull</t>
    </r>
    <r>
      <rPr>
        <b/>
        <sz val="11"/>
        <color theme="1"/>
        <rFont val="Calibri"/>
        <family val="2"/>
      </rPr>
      <t>1</t>
    </r>
    <r>
      <rPr>
        <sz val="11"/>
        <color theme="1"/>
        <rFont val="Calibri"/>
        <family val="2"/>
      </rPr>
      <t>_Blood_3rd_B4</t>
    </r>
  </si>
  <si>
    <r>
      <rPr>
        <sz val="11"/>
        <color theme="1"/>
        <rFont val="Calibri"/>
        <family val="2"/>
      </rPr>
      <t>Bull</t>
    </r>
    <r>
      <rPr>
        <b/>
        <sz val="11"/>
        <color theme="1"/>
        <rFont val="Calibri"/>
        <family val="2"/>
      </rPr>
      <t>2</t>
    </r>
    <r>
      <rPr>
        <sz val="11"/>
        <color theme="1"/>
        <rFont val="Calibri"/>
        <family val="2"/>
      </rPr>
      <t>_Blood_2nd_B1</t>
    </r>
  </si>
  <si>
    <t>Samples combined (2024-03-19)</t>
  </si>
  <si>
    <r>
      <rPr>
        <sz val="11"/>
        <color theme="1"/>
        <rFont val="Calibri"/>
        <family val="2"/>
      </rPr>
      <t>Bull</t>
    </r>
    <r>
      <rPr>
        <b/>
        <sz val="11"/>
        <color theme="1"/>
        <rFont val="Calibri"/>
        <family val="2"/>
      </rPr>
      <t>2</t>
    </r>
    <r>
      <rPr>
        <sz val="11"/>
        <color theme="1"/>
        <rFont val="Calibri"/>
        <family val="2"/>
      </rPr>
      <t>_Blood_2nd_B2</t>
    </r>
  </si>
  <si>
    <t>Sample was purified with the method used after DNA extraction</t>
  </si>
  <si>
    <r>
      <rPr>
        <sz val="11"/>
        <color theme="1"/>
        <rFont val="Calibri"/>
        <family val="2"/>
      </rPr>
      <t>Bull</t>
    </r>
    <r>
      <rPr>
        <b/>
        <sz val="11"/>
        <color theme="1"/>
        <rFont val="Calibri"/>
        <family val="2"/>
      </rPr>
      <t>2</t>
    </r>
    <r>
      <rPr>
        <sz val="11"/>
        <color theme="1"/>
        <rFont val="Calibri"/>
        <family val="2"/>
      </rPr>
      <t>_Blood_2nd_B3</t>
    </r>
  </si>
  <si>
    <t>Sample was purified with the medhod used for sequencing of PCR products</t>
  </si>
  <si>
    <r>
      <rPr>
        <sz val="11"/>
        <color theme="1"/>
        <rFont val="Calibri"/>
        <family val="2"/>
      </rPr>
      <t>Bull</t>
    </r>
    <r>
      <rPr>
        <b/>
        <sz val="11"/>
        <color theme="1"/>
        <rFont val="Calibri"/>
        <family val="2"/>
      </rPr>
      <t>2</t>
    </r>
    <r>
      <rPr>
        <sz val="11"/>
        <color theme="1"/>
        <rFont val="Calibri"/>
        <family val="2"/>
      </rPr>
      <t>_Blood_2nd_B4</t>
    </r>
  </si>
  <si>
    <r>
      <rPr>
        <sz val="11"/>
        <color theme="1"/>
        <rFont val="Calibri"/>
        <family val="2"/>
      </rPr>
      <t>Bull</t>
    </r>
    <r>
      <rPr>
        <b/>
        <sz val="11"/>
        <color theme="1"/>
        <rFont val="Calibri"/>
        <family val="2"/>
      </rPr>
      <t>1</t>
    </r>
    <r>
      <rPr>
        <sz val="11"/>
        <color theme="1"/>
        <rFont val="Calibri"/>
        <family val="2"/>
      </rPr>
      <t>_Blood_3rd_B1-B4</t>
    </r>
  </si>
  <si>
    <t>B1B</t>
  </si>
  <si>
    <t>B1, B2, B3 &amp; B4 (4 x 24 µl) (2024-03-12)</t>
  </si>
  <si>
    <t>Combine samples</t>
  </si>
  <si>
    <t>32 µl aliquot send to Renate to test enzymes on (2024-05-02)</t>
  </si>
  <si>
    <r>
      <rPr>
        <sz val="11"/>
        <color theme="1"/>
        <rFont val="Calibri"/>
        <family val="2"/>
      </rPr>
      <t>Bull</t>
    </r>
    <r>
      <rPr>
        <b/>
        <sz val="11"/>
        <color theme="1"/>
        <rFont val="Calibri"/>
        <family val="2"/>
      </rPr>
      <t>2</t>
    </r>
    <r>
      <rPr>
        <sz val="11"/>
        <color theme="1"/>
        <rFont val="Calibri"/>
        <family val="2"/>
      </rPr>
      <t>_Blood_2nd_B2_p.DNA</t>
    </r>
  </si>
  <si>
    <r>
      <rPr>
        <sz val="11"/>
        <color theme="1"/>
        <rFont val="Calibri"/>
        <family val="2"/>
      </rPr>
      <t>"Bull</t>
    </r>
    <r>
      <rPr>
        <b/>
        <sz val="11"/>
        <color theme="1"/>
        <rFont val="Calibri"/>
        <family val="2"/>
      </rPr>
      <t>2</t>
    </r>
    <r>
      <rPr>
        <sz val="11"/>
        <color theme="1"/>
        <rFont val="Calibri"/>
        <family val="2"/>
      </rPr>
      <t>_Blood_2nd_B2" (24 µl) (2024-03-15)</t>
    </r>
  </si>
  <si>
    <t>2nd purification</t>
  </si>
  <si>
    <r>
      <rPr>
        <sz val="11"/>
        <color theme="1"/>
        <rFont val="Calibri"/>
        <family val="2"/>
      </rPr>
      <t>Bull</t>
    </r>
    <r>
      <rPr>
        <b/>
        <sz val="11"/>
        <color theme="1"/>
        <rFont val="Calibri"/>
        <family val="2"/>
      </rPr>
      <t>2</t>
    </r>
    <r>
      <rPr>
        <sz val="11"/>
        <color theme="1"/>
        <rFont val="Calibri"/>
        <family val="2"/>
      </rPr>
      <t>_Blood_2nd_B3_p.PCR</t>
    </r>
  </si>
  <si>
    <r>
      <rPr>
        <sz val="11"/>
        <color theme="1"/>
        <rFont val="Calibri"/>
        <family val="2"/>
      </rPr>
      <t>"Bull</t>
    </r>
    <r>
      <rPr>
        <b/>
        <sz val="11"/>
        <color theme="1"/>
        <rFont val="Calibri"/>
        <family val="2"/>
      </rPr>
      <t>2</t>
    </r>
    <r>
      <rPr>
        <sz val="11"/>
        <color theme="1"/>
        <rFont val="Calibri"/>
        <family val="2"/>
      </rPr>
      <t>_Blood_2nd_B3" (24 µl) (2024-03-15)</t>
    </r>
  </si>
  <si>
    <r>
      <rPr>
        <sz val="11"/>
        <color theme="1"/>
        <rFont val="Calibri"/>
        <family val="2"/>
      </rPr>
      <t>Bull</t>
    </r>
    <r>
      <rPr>
        <b/>
        <sz val="11"/>
        <color theme="1"/>
        <rFont val="Calibri"/>
        <family val="2"/>
      </rPr>
      <t>1</t>
    </r>
    <r>
      <rPr>
        <sz val="11"/>
        <color theme="1"/>
        <rFont val="Calibri"/>
        <family val="2"/>
      </rPr>
      <t>_Dung_3rd_D1_3xP/C</t>
    </r>
  </si>
  <si>
    <r>
      <rPr>
        <sz val="11"/>
        <color theme="1"/>
        <rFont val="Calibri"/>
        <family val="2"/>
      </rPr>
      <t xml:space="preserve">3 Ph &amp; 1 Ch; 1000 µl Abs. EtOH &amp; 45 µl NaAC; -80°C overnight; </t>
    </r>
    <r>
      <rPr>
        <b/>
        <sz val="11"/>
        <color theme="1"/>
        <rFont val="Calibri"/>
        <family val="2"/>
      </rPr>
      <t>1x</t>
    </r>
    <r>
      <rPr>
        <sz val="11"/>
        <color theme="1"/>
        <rFont val="Calibri"/>
        <family val="2"/>
      </rPr>
      <t xml:space="preserve"> 70% EtOH wash step</t>
    </r>
  </si>
  <si>
    <r>
      <rPr>
        <sz val="11"/>
        <color theme="1"/>
        <rFont val="Calibri"/>
        <family val="2"/>
      </rPr>
      <t>Bull</t>
    </r>
    <r>
      <rPr>
        <b/>
        <sz val="11"/>
        <color theme="1"/>
        <rFont val="Calibri"/>
        <family val="2"/>
      </rPr>
      <t>1</t>
    </r>
    <r>
      <rPr>
        <sz val="11"/>
        <color theme="1"/>
        <rFont val="Calibri"/>
        <family val="2"/>
      </rPr>
      <t>_Dung_3rd_D2_3xP/C &amp; p.PCR</t>
    </r>
  </si>
  <si>
    <r>
      <rPr>
        <sz val="11"/>
        <color theme="1"/>
        <rFont val="Calibri"/>
        <family val="2"/>
      </rPr>
      <t>3 Ph &amp; 1 Ch;</t>
    </r>
    <r>
      <rPr>
        <b/>
        <sz val="11"/>
        <color theme="1"/>
        <rFont val="Calibri"/>
        <family val="2"/>
      </rPr>
      <t xml:space="preserve"> 400 µl Abs. EtOH &amp; 13 µl NaAC </t>
    </r>
    <r>
      <rPr>
        <sz val="11"/>
        <color theme="1"/>
        <rFont val="Calibri"/>
        <family val="2"/>
      </rPr>
      <t>→ p.PCR; -80°C overnight; 1x 70% EtOH wash step</t>
    </r>
  </si>
  <si>
    <r>
      <rPr>
        <sz val="11"/>
        <color theme="1"/>
        <rFont val="Calibri"/>
        <family val="2"/>
      </rPr>
      <t>Bull</t>
    </r>
    <r>
      <rPr>
        <b/>
        <sz val="11"/>
        <color theme="1"/>
        <rFont val="Calibri"/>
        <family val="2"/>
      </rPr>
      <t>1</t>
    </r>
    <r>
      <rPr>
        <sz val="11"/>
        <color theme="1"/>
        <rFont val="Calibri"/>
        <family val="2"/>
      </rPr>
      <t>_Dung_3rd_D3_3xP/C_2x 70% EtOH</t>
    </r>
  </si>
  <si>
    <r>
      <rPr>
        <sz val="11"/>
        <color theme="1"/>
        <rFont val="Calibri"/>
        <family val="2"/>
      </rPr>
      <t xml:space="preserve">3 Ph &amp; 1 Ch; 1000 µl Abs. EtOH &amp; 45 µl NaAC; -80°C overnight; </t>
    </r>
    <r>
      <rPr>
        <b/>
        <sz val="11"/>
        <color theme="1"/>
        <rFont val="Calibri"/>
        <family val="2"/>
      </rPr>
      <t>2x</t>
    </r>
    <r>
      <rPr>
        <sz val="11"/>
        <color theme="1"/>
        <rFont val="Calibri"/>
        <family val="2"/>
      </rPr>
      <t xml:space="preserve"> 70% EtOH wash step</t>
    </r>
  </si>
  <si>
    <r>
      <rPr>
        <sz val="11"/>
        <color theme="1"/>
        <rFont val="Calibri"/>
        <family val="2"/>
      </rPr>
      <t>Bull</t>
    </r>
    <r>
      <rPr>
        <b/>
        <sz val="11"/>
        <color theme="1"/>
        <rFont val="Calibri"/>
        <family val="2"/>
      </rPr>
      <t>1</t>
    </r>
    <r>
      <rPr>
        <sz val="11"/>
        <color theme="1"/>
        <rFont val="Calibri"/>
        <family val="2"/>
      </rPr>
      <t>_Dung_3rd_D4_3xP/C_p.PCR</t>
    </r>
  </si>
  <si>
    <r>
      <rPr>
        <sz val="11"/>
        <color theme="1"/>
        <rFont val="Calibri"/>
        <family val="2"/>
      </rPr>
      <t>3 Ph &amp; 1 Ch; 1000 µl Abs. EtOH &amp; 45 µl NaAC; -80°C overnight; 10 µl ddH2O + 60 µl Abs EtOH + 2 µl NaAC &amp; 1x 70% EtOH wash step →</t>
    </r>
    <r>
      <rPr>
        <b/>
        <sz val="11"/>
        <color theme="1"/>
        <rFont val="Calibri"/>
        <family val="2"/>
      </rPr>
      <t xml:space="preserve"> p.PCR</t>
    </r>
  </si>
  <si>
    <r>
      <rPr>
        <sz val="11"/>
        <color theme="1"/>
        <rFont val="Calibri"/>
        <family val="2"/>
      </rPr>
      <t>Bull</t>
    </r>
    <r>
      <rPr>
        <b/>
        <sz val="11"/>
        <color theme="1"/>
        <rFont val="Calibri"/>
        <family val="2"/>
      </rPr>
      <t>1</t>
    </r>
    <r>
      <rPr>
        <sz val="11"/>
        <color theme="1"/>
        <rFont val="Calibri"/>
        <family val="2"/>
      </rPr>
      <t>_Dung_3rd_D5_2xP/C</t>
    </r>
  </si>
  <si>
    <r>
      <rPr>
        <b/>
        <sz val="11"/>
        <color theme="1"/>
        <rFont val="Calibri"/>
        <family val="2"/>
      </rPr>
      <t>2 Ph</t>
    </r>
    <r>
      <rPr>
        <sz val="11"/>
        <color theme="1"/>
        <rFont val="Calibri"/>
        <family val="2"/>
      </rPr>
      <t xml:space="preserve"> &amp; 1 Ch; 1000 µl Abs. EtOH &amp; 45 µl NaAC; -80°C overnight; 1x 70% EtOH wash step</t>
    </r>
  </si>
  <si>
    <r>
      <rPr>
        <sz val="11"/>
        <color theme="1"/>
        <rFont val="Calibri"/>
        <family val="2"/>
      </rPr>
      <t>Bull</t>
    </r>
    <r>
      <rPr>
        <b/>
        <sz val="11"/>
        <color theme="1"/>
        <rFont val="Calibri"/>
        <family val="2"/>
      </rPr>
      <t>1</t>
    </r>
    <r>
      <rPr>
        <sz val="11"/>
        <color theme="1"/>
        <rFont val="Calibri"/>
        <family val="2"/>
      </rPr>
      <t>_Dung_3rd_D6_3xP/C.BE.T</t>
    </r>
  </si>
  <si>
    <r>
      <rPr>
        <sz val="11"/>
        <color theme="1"/>
        <rFont val="Calibri"/>
        <family val="2"/>
      </rPr>
      <t xml:space="preserve">3 Ph &amp; 1 Ch → </t>
    </r>
    <r>
      <rPr>
        <b/>
        <sz val="11"/>
        <color theme="1"/>
        <rFont val="Calibri"/>
        <family val="2"/>
      </rPr>
      <t>Back extraction (Top)</t>
    </r>
    <r>
      <rPr>
        <sz val="11"/>
        <color theme="1"/>
        <rFont val="Calibri"/>
        <family val="2"/>
      </rPr>
      <t xml:space="preserve">; 1000 µl Abs. EtOH &amp; 45 µl NaAC; -80°C overnight; </t>
    </r>
    <r>
      <rPr>
        <b/>
        <sz val="11"/>
        <color theme="1"/>
        <rFont val="Calibri"/>
        <family val="2"/>
      </rPr>
      <t>1x</t>
    </r>
    <r>
      <rPr>
        <sz val="11"/>
        <color theme="1"/>
        <rFont val="Calibri"/>
        <family val="2"/>
      </rPr>
      <t xml:space="preserve"> 70% EtOH wash step</t>
    </r>
  </si>
  <si>
    <r>
      <rPr>
        <sz val="11"/>
        <color theme="1"/>
        <rFont val="Calibri"/>
        <family val="2"/>
      </rPr>
      <t>Bull</t>
    </r>
    <r>
      <rPr>
        <b/>
        <sz val="11"/>
        <color theme="1"/>
        <rFont val="Calibri"/>
        <family val="2"/>
      </rPr>
      <t>1</t>
    </r>
    <r>
      <rPr>
        <sz val="11"/>
        <color theme="1"/>
        <rFont val="Calibri"/>
        <family val="2"/>
      </rPr>
      <t>_Dung_3rd_D6_3xP/C.BE.B</t>
    </r>
  </si>
  <si>
    <r>
      <rPr>
        <sz val="11"/>
        <color theme="1"/>
        <rFont val="Calibri"/>
        <family val="2"/>
      </rPr>
      <t xml:space="preserve">3 Ph &amp; 1 Ch → </t>
    </r>
    <r>
      <rPr>
        <b/>
        <sz val="11"/>
        <color theme="1"/>
        <rFont val="Calibri"/>
        <family val="2"/>
      </rPr>
      <t>Back extraction (Bottom)</t>
    </r>
    <r>
      <rPr>
        <sz val="11"/>
        <color theme="1"/>
        <rFont val="Calibri"/>
        <family val="2"/>
      </rPr>
      <t xml:space="preserve">; 1000 µl Abs. EtOH &amp; 45 µl NaAC; -80°C overnight; </t>
    </r>
    <r>
      <rPr>
        <b/>
        <sz val="11"/>
        <color theme="1"/>
        <rFont val="Calibri"/>
        <family val="2"/>
      </rPr>
      <t>1x</t>
    </r>
    <r>
      <rPr>
        <sz val="11"/>
        <color theme="1"/>
        <rFont val="Calibri"/>
        <family val="2"/>
      </rPr>
      <t xml:space="preserve"> 70% EtOH wash step</t>
    </r>
  </si>
  <si>
    <r>
      <rPr>
        <sz val="11"/>
        <color theme="1"/>
        <rFont val="Calibri"/>
        <family val="2"/>
      </rPr>
      <t>Bull</t>
    </r>
    <r>
      <rPr>
        <b/>
        <sz val="11"/>
        <color theme="1"/>
        <rFont val="Calibri"/>
        <family val="2"/>
      </rPr>
      <t>2</t>
    </r>
    <r>
      <rPr>
        <sz val="11"/>
        <color theme="1"/>
        <rFont val="Calibri"/>
        <family val="2"/>
      </rPr>
      <t>_Blood_2nd_B4_p.PCR</t>
    </r>
  </si>
  <si>
    <r>
      <rPr>
        <sz val="11"/>
        <color theme="1"/>
        <rFont val="Calibri"/>
        <family val="2"/>
      </rPr>
      <t>Bull</t>
    </r>
    <r>
      <rPr>
        <b/>
        <sz val="11"/>
        <color theme="1"/>
        <rFont val="Calibri"/>
        <family val="2"/>
      </rPr>
      <t>2</t>
    </r>
    <r>
      <rPr>
        <sz val="11"/>
        <color theme="1"/>
        <rFont val="Calibri"/>
        <family val="2"/>
      </rPr>
      <t>_Blood_2nd_B4 (2024-03-12) (24 µl)</t>
    </r>
  </si>
  <si>
    <r>
      <rPr>
        <sz val="11"/>
        <color theme="1"/>
        <rFont val="Calibri"/>
        <family val="2"/>
      </rPr>
      <t>Bull</t>
    </r>
    <r>
      <rPr>
        <b/>
        <sz val="11"/>
        <color theme="1"/>
        <rFont val="Calibri"/>
        <family val="2"/>
      </rPr>
      <t>2</t>
    </r>
    <r>
      <rPr>
        <sz val="11"/>
        <color theme="1"/>
        <rFont val="Calibri"/>
        <family val="2"/>
      </rPr>
      <t>_Blood_2nd_B1, B3 &amp; B4</t>
    </r>
  </si>
  <si>
    <t>B2B</t>
  </si>
  <si>
    <r>
      <rPr>
        <sz val="11"/>
        <color theme="1"/>
        <rFont val="Calibri"/>
        <family val="2"/>
      </rPr>
      <t>Bull</t>
    </r>
    <r>
      <rPr>
        <b/>
        <sz val="11"/>
        <color theme="1"/>
        <rFont val="Calibri"/>
        <family val="2"/>
      </rPr>
      <t>2</t>
    </r>
    <r>
      <rPr>
        <sz val="11"/>
        <color theme="1"/>
        <rFont val="Calibri"/>
        <family val="2"/>
      </rPr>
      <t>_Blood_2nd_B1 (2024-03-12), B3p.PCR (2024-03-15) &amp; B4p.PCR (2024-03-19)</t>
    </r>
  </si>
  <si>
    <r>
      <rPr>
        <sz val="11"/>
        <color theme="1"/>
        <rFont val="Calibri"/>
        <family val="2"/>
      </rPr>
      <t>Bull</t>
    </r>
    <r>
      <rPr>
        <b/>
        <sz val="11"/>
        <color theme="1"/>
        <rFont val="Calibri"/>
        <family val="2"/>
      </rPr>
      <t>1</t>
    </r>
    <r>
      <rPr>
        <sz val="11"/>
        <color theme="1"/>
        <rFont val="Calibri"/>
        <family val="2"/>
      </rPr>
      <t>_Dung_3rd_D1-D6.T &amp; D6.B</t>
    </r>
  </si>
  <si>
    <t>2024-03-18 D1 - D6.t &amp; D6.B (24 µl per sample)</t>
  </si>
  <si>
    <r>
      <rPr>
        <sz val="11"/>
        <color theme="1"/>
        <rFont val="Calibri"/>
        <family val="2"/>
      </rPr>
      <t>Bull</t>
    </r>
    <r>
      <rPr>
        <b/>
        <sz val="11"/>
        <color theme="1"/>
        <rFont val="Calibri"/>
        <family val="2"/>
      </rPr>
      <t>1</t>
    </r>
    <r>
      <rPr>
        <sz val="11"/>
        <color theme="1"/>
        <rFont val="Calibri"/>
        <family val="2"/>
      </rPr>
      <t>_Dung_3rd_D1-D6.T &amp; D6.B_p.gel 1</t>
    </r>
  </si>
  <si>
    <t>2024-03-25 Bull1_Dung_3rd_D1-D6.T &amp; D6.B (141 µl aliquot devided between p.gel 1 &amp; 2)</t>
  </si>
  <si>
    <t>Bull1_Dung_3rd_D1-D6.T &amp; D6.B_p.gel 2</t>
  </si>
  <si>
    <r>
      <rPr>
        <sz val="11"/>
        <color theme="1"/>
        <rFont val="Calibri"/>
        <family val="2"/>
      </rPr>
      <t>Bull</t>
    </r>
    <r>
      <rPr>
        <b/>
        <sz val="11"/>
        <color theme="1"/>
        <rFont val="Calibri"/>
        <family val="2"/>
      </rPr>
      <t>1</t>
    </r>
    <r>
      <rPr>
        <sz val="11"/>
        <color theme="1"/>
        <rFont val="Calibri"/>
        <family val="2"/>
      </rPr>
      <t>_Dung_3rd_D1-D6.T &amp; D6.B_p.gel 1 &amp; 2</t>
    </r>
  </si>
  <si>
    <t>2024-03-25 Bull1_Dung_3rd_D1-D6.T &amp; D6.B_p.gel 1 &amp; 2</t>
  </si>
  <si>
    <r>
      <rPr>
        <sz val="11"/>
        <color theme="1"/>
        <rFont val="Calibri"/>
        <family val="2"/>
      </rPr>
      <t>Bull</t>
    </r>
    <r>
      <rPr>
        <b/>
        <sz val="11"/>
        <color theme="1"/>
        <rFont val="Calibri"/>
        <family val="2"/>
      </rPr>
      <t>3</t>
    </r>
    <r>
      <rPr>
        <sz val="11"/>
        <color theme="1"/>
        <rFont val="Calibri"/>
        <family val="2"/>
      </rPr>
      <t>_Dung_Filtered_1st_8.0µm.f</t>
    </r>
  </si>
  <si>
    <t>1/8 of the 47 mm membrane filter with a pore size of 8.0 µm</t>
  </si>
  <si>
    <t xml:space="preserve">These two samples look very similar on the agarose gel. HMW high intensity white smears can be observed on the outsides of the well. Dark lines extend downward from the well throught the center of the wells. </t>
  </si>
  <si>
    <r>
      <rPr>
        <sz val="11"/>
        <color theme="1"/>
        <rFont val="Calibri"/>
        <family val="2"/>
      </rPr>
      <t>Bull</t>
    </r>
    <r>
      <rPr>
        <b/>
        <sz val="11"/>
        <color theme="1"/>
        <rFont val="Calibri"/>
        <family val="2"/>
      </rPr>
      <t>3</t>
    </r>
    <r>
      <rPr>
        <sz val="11"/>
        <color theme="1"/>
        <rFont val="Calibri"/>
        <family val="2"/>
      </rPr>
      <t>_Dung_Filtered_1st_8.0µm.p</t>
    </r>
  </si>
  <si>
    <t>Some of the dung powder that have fallen from the membrane filter in the tube</t>
  </si>
  <si>
    <t>Bull3_Dung_Filtered_1st_0.22µm.f</t>
  </si>
  <si>
    <t>1/8 of the 47 mm membrane filter with a pore size of 1.2 µm</t>
  </si>
  <si>
    <t xml:space="preserve">These two samples look very similar on the agarose gel. Very low intensity HMW DNA bands of the same size can be observed for both samples.  </t>
  </si>
  <si>
    <t>Bull3_Dung_Filtered_1st_1.2µm.f</t>
  </si>
  <si>
    <t>1/8 of the 47 mm membrane filter with a pore size of 0.22 µm</t>
  </si>
  <si>
    <t>Bull3_Dung_Filtered_2nd_tea sieve_0.04g_1xProK_2h</t>
  </si>
  <si>
    <t>0.04g of solid particles collected on tea sieve; 25µl ProK (20mg/ml); 2h @ 55 C</t>
  </si>
  <si>
    <t>Bull3_Dung_Filtered_2nd_8.0µm_1/8f_1xProK_2h</t>
  </si>
  <si>
    <t>1/8 of the 47 mm membrane filter with a pore size of 8.0 µm; 25µl ProK (20mg/ml); 2h @ 55 C</t>
  </si>
  <si>
    <t>Bull3_Dung_Filtered_2nd_8.0µm_1/8f_2xProK_2h</t>
  </si>
  <si>
    <t>1/8 of the 47 mm membrane filter with a pore size of 8.0 µm; 50µl ProK (20mg/ml); 2h @ 55 C</t>
  </si>
  <si>
    <t>Bull3_Dung_Filtered_2nd_8.0µm_1/8f_1xProK_4h</t>
  </si>
  <si>
    <t>1/8 of the 47 mm membrane filter with a pore size of 8.0 µm; 25µl ProK (20mg/ml); 4h @ 55 C</t>
  </si>
  <si>
    <t>Bull3_Dung_Filtered_2nd_8.0µm_1/8f_2xProK_4h</t>
  </si>
  <si>
    <t>1/8 of the 47 mm membrane filter with a pore size of 8.0 µm; 50µl ProK (20mg/ml); 4h @ 55 C</t>
  </si>
  <si>
    <t>Bull3_Dung_Filtered_2nd_1.2µm_1/4f_1xProK_4h</t>
  </si>
  <si>
    <t>1/4 of the 47 mm membrane filter with a pore size of 1.2 µm; 50µl ProK (20mg/ml); 4h @ 55 C</t>
  </si>
  <si>
    <t>Bull3_Dung_Filtered_2nd_8.0µm_1/8f_1xProK_2h_FT.p</t>
  </si>
  <si>
    <t>26 µl Bull3_Dung_Filtered_2nd_8.0µm_1/8f_1xProK_2h</t>
  </si>
  <si>
    <t>Filter tip (FT) purification</t>
  </si>
  <si>
    <t>Bull3_Dung_Filtered_2nd_8.0µm_1/8f_2xProK_2h_PCR kit.p</t>
  </si>
  <si>
    <t>26 µl Bull3_Dung_Filtered_2nd_8.0µm_1/8f_2xProK_2h</t>
  </si>
  <si>
    <t>PCR kit purification</t>
  </si>
  <si>
    <t>Bull3_Dung_Filtered_2nd_8.0µm_1/8f_1xProK_4h_0.22µm MCE tube.p</t>
  </si>
  <si>
    <t>26 µl Bull3_Dung_Filtered_2nd_8.0µm_1/8f_1xProK_4h</t>
  </si>
  <si>
    <t>0.22 µm MCE tube purification</t>
  </si>
  <si>
    <t>Bull3_Dung_Filtered2_1st_TS</t>
  </si>
  <si>
    <t>0.056g solid particles collected from the tea strainer (TS)</t>
  </si>
  <si>
    <t>Bull3_Dung_Filtered2_1st_FF</t>
  </si>
  <si>
    <t>0.057g solid particles collected from the funnel filter (FF)</t>
  </si>
  <si>
    <t>Bull3_Dung_Filtered2_1st_100µm</t>
  </si>
  <si>
    <t>1/4 of the 47 mm Nylon net filter with a pore size of 100 µm</t>
  </si>
  <si>
    <t>Bull3_Dung_Filtered2_1st_8.0µm</t>
  </si>
  <si>
    <t>1/4 of the 47 mm MCE membrane filter with a pore size of 8.0 µm</t>
  </si>
  <si>
    <t>Bull3_Dung_Filtered2_1st_1.2µm</t>
  </si>
  <si>
    <t>1/4 of the 47 mm MCE membrane filter with a pore size of 1.2 µm</t>
  </si>
  <si>
    <t>Bull3_Dung_Filtered2_1st_0.22µm</t>
  </si>
  <si>
    <t>1/4 of the 47 mm MCE membrane filter with a pore size of 0.22 µm</t>
  </si>
  <si>
    <t>Bull3_Dung_Filtered2_1st_filtrate</t>
  </si>
  <si>
    <t>250 µl of the filtrate that passed through the 0.22 µm MCE membrane filter</t>
  </si>
  <si>
    <t>Bull3_Dung_Filtered2_1st_100µm.kp</t>
  </si>
  <si>
    <t>24 µl DNA of Bull3_Dung_Filtered2_1st_100µm (2024-06-27)</t>
  </si>
  <si>
    <t>DNeasy PowerClean Pro Cleanup Kit (QIAGEN)</t>
  </si>
  <si>
    <t>Bull3_Dung_Filtered2_1st_1.2µm.kp</t>
  </si>
  <si>
    <t>25 µl DNA of Bull3_Dung_Filtered2_1st_1.2µm (2024-06-27)</t>
  </si>
  <si>
    <t>DNeasy PowerClean Pro Kit (QIAGEN)</t>
  </si>
  <si>
    <t>Clean 8.0µm MCE membrane filter_1/8_f</t>
  </si>
  <si>
    <t>N/A</t>
  </si>
  <si>
    <t>1/8 of clean 8.0µm MCE membrane filter was used</t>
  </si>
  <si>
    <t>Bull3_Dung_Filtered2_2nd_8.0µm_1/8_f+p</t>
  </si>
  <si>
    <t>1/8 of B3D.f2 8.0µm MCE membrane filter was used</t>
  </si>
  <si>
    <t>Bull3_Dung_Filtered2_2nd_8.0µm_1/8_f-p</t>
  </si>
  <si>
    <t>1/8 of B3D.f2 8.0µm MCE membrane filter was used, but the powder on top was scraped off</t>
  </si>
  <si>
    <t>Bull3_Dung_Nematode1</t>
  </si>
  <si>
    <t>Nematode</t>
  </si>
  <si>
    <t>1/3 of nematode collected from the dung sample of Bull 2</t>
  </si>
  <si>
    <t>Bull3_Dung_Nematode2</t>
  </si>
  <si>
    <t>B1B 1</t>
  </si>
  <si>
    <t>100µl of Bull 1 blood (aliquot 1)</t>
  </si>
  <si>
    <t>0.7% gel @ 30V for 6h15min</t>
  </si>
  <si>
    <t>B1B 2</t>
  </si>
  <si>
    <t>100µl of Bull 1 blood (aliquot 1 &amp; 2)</t>
  </si>
  <si>
    <t>B1B 3</t>
  </si>
  <si>
    <t>100µl of Bull 1 blood (aliquot 2)</t>
  </si>
  <si>
    <t>B1B 4</t>
  </si>
  <si>
    <t>B2B 1</t>
  </si>
  <si>
    <t>100µl of Bull 2 blood (aliquot 1)</t>
  </si>
  <si>
    <t>B2B 2</t>
  </si>
  <si>
    <t>100µl of Bull 2 blood (aliquot 1 &amp; 2)</t>
  </si>
  <si>
    <t>B2B 3</t>
  </si>
  <si>
    <t>100µl of Bull 2 blood (aliquot 2)</t>
  </si>
  <si>
    <t>B2B 4</t>
  </si>
  <si>
    <t>B1S I</t>
  </si>
  <si>
    <t>0.034g of inside tissue of the skin sample of Bull 1</t>
  </si>
  <si>
    <r>
      <rPr>
        <u/>
        <sz val="11"/>
        <color rgb="FF1155CC"/>
        <rFont val="Calibri"/>
        <family val="2"/>
      </rPr>
      <t>0.7% gel @ 30V for 6h15min</t>
    </r>
    <r>
      <rPr>
        <sz val="11"/>
        <color theme="1"/>
        <rFont val="Calibri"/>
        <family val="2"/>
        <scheme val="minor"/>
      </rPr>
      <t xml:space="preserve">; </t>
    </r>
    <r>
      <rPr>
        <u/>
        <sz val="11"/>
        <color rgb="FF1155CC"/>
        <rFont val="Calibri"/>
        <family val="2"/>
      </rPr>
      <t>1.5% gel @ 100V for 15min</t>
    </r>
  </si>
  <si>
    <t>B1S O</t>
  </si>
  <si>
    <t>0.070g of outside tissue of the skin sample of Bull 1</t>
  </si>
  <si>
    <t>B2S I</t>
  </si>
  <si>
    <t>0.056g of inside tissue of the skin sample of Bull 2</t>
  </si>
  <si>
    <t>B2S O</t>
  </si>
  <si>
    <t>0.098g of outside tissue of the skin sample of Bull 2</t>
  </si>
  <si>
    <t>B3D 1</t>
  </si>
  <si>
    <t>0.102g cut from the outside layer of the dung of Bull3</t>
  </si>
  <si>
    <t>B3D 2</t>
  </si>
  <si>
    <t>0.100g cut from the outside layer of the dung of Bull3</t>
  </si>
  <si>
    <t>B2D_Nematode 3</t>
  </si>
  <si>
    <t>Entire nematode collected from dung sample of Bull 2</t>
  </si>
  <si>
    <t>B1S O.zp</t>
  </si>
  <si>
    <t>20 µl DNA of B1S O (2024-07-16)</t>
  </si>
  <si>
    <t>Genomic DNA Clean &amp; Concentrator-10 (Zymo Research)</t>
  </si>
  <si>
    <t>B2S O.qp</t>
  </si>
  <si>
    <t>20 µl DNA of B2S O (2024-07-16)</t>
  </si>
  <si>
    <t>1.5% gel @ 100V for 15 min</t>
  </si>
  <si>
    <t>B3D.zp</t>
  </si>
  <si>
    <t>20 µl of B3D 1 &amp; 2 (2024-07-16)</t>
  </si>
  <si>
    <t>B3D.qp</t>
  </si>
  <si>
    <t>B2B (1, 2 &amp; 4)</t>
  </si>
  <si>
    <t>Combine B2B (1), (2) &amp; (4) (2024-07-16) → supposed to be 72 µl (24 µl each), but got 59 µl</t>
  </si>
  <si>
    <t>B2B (1, 2 &amp; 4).qp</t>
  </si>
  <si>
    <t>Purify 56 µl of combined DNA (2024-07-23) with QIAGEN kit</t>
  </si>
  <si>
    <t>B2D_Nematode 4</t>
  </si>
  <si>
    <t>Extract DNA from entire nematode (newly isolated from dung &amp; rinsed in H2O) with kit</t>
  </si>
  <si>
    <t>DNeasy Blood &amp; Tissue Kit (QIAGEN)</t>
  </si>
  <si>
    <t>B2B (1)</t>
  </si>
  <si>
    <t>100 µl Blood of Bull2_Blood aliquout (2)</t>
  </si>
  <si>
    <t>Lambda DNA/HindiIII</t>
  </si>
  <si>
    <t>B2B (2)</t>
  </si>
  <si>
    <t>B2B (3)</t>
  </si>
  <si>
    <t>B2B (4)</t>
  </si>
  <si>
    <t>B2B (1)_ph1</t>
  </si>
  <si>
    <t>100 µl blood from "Bull 2_Blood (3)" aliquot</t>
  </si>
  <si>
    <t>phenol/Chloroform</t>
  </si>
  <si>
    <t>0.7% gel @ 25V for 45min</t>
  </si>
  <si>
    <t>Lambda DNA/HindIII &amp; 100bp</t>
  </si>
  <si>
    <t>B2B (2)_ph1</t>
  </si>
  <si>
    <t>B2B (3)_ph2</t>
  </si>
  <si>
    <t>B2B (4)_ph2</t>
  </si>
  <si>
    <t>B2B (3)_PCR.p</t>
  </si>
  <si>
    <t>± 90 µl DNA extracted on 2024-07-26</t>
  </si>
  <si>
    <t>PCR purification method</t>
  </si>
  <si>
    <t>B3D_f3_TS</t>
  </si>
  <si>
    <t>B3D_f3_TS.qp</t>
  </si>
  <si>
    <t>20 µl DNA of B3D_f3_TS</t>
  </si>
  <si>
    <t>B3D_f3_FF</t>
  </si>
  <si>
    <t>0.042 g</t>
  </si>
  <si>
    <t>B3D_f3_FF.qp</t>
  </si>
  <si>
    <t>20 µl DNA of B3D_f3_FF</t>
  </si>
  <si>
    <t>B3D_f3_100µm</t>
  </si>
  <si>
    <t>1/4 of membrane filter</t>
  </si>
  <si>
    <t>B3D_f3_100µm.qp</t>
  </si>
  <si>
    <t>20 µl DNA of B3D_f3_100µm</t>
  </si>
  <si>
    <t>B3D_f3_41µm</t>
  </si>
  <si>
    <t>1/4 of 1st &amp; 2nd membrane filter</t>
  </si>
  <si>
    <t>B3D_f3_41µm.qp</t>
  </si>
  <si>
    <t>20 µl DNA of B3D_f3_41µm</t>
  </si>
  <si>
    <t>B3D_f3_8.0µm</t>
  </si>
  <si>
    <t>B3D_f3_8.0µm.qp</t>
  </si>
  <si>
    <t>20 µl DNA of B3D_f3_8.0µm</t>
  </si>
  <si>
    <t>B3D_f3_1.2µm</t>
  </si>
  <si>
    <t>B3D_f3_1.2µm.qp</t>
  </si>
  <si>
    <t>20 µl DNA of B3D_f3_1.2µm</t>
  </si>
  <si>
    <t>B3D_f3_0.22µm</t>
  </si>
  <si>
    <t>B3D_f3_0.22µm.qp</t>
  </si>
  <si>
    <t>20 µl DNA of B3D_f3_0.22µm</t>
  </si>
  <si>
    <t>B3D_f3_Filtrate</t>
  </si>
  <si>
    <t>250 µl of evaporated filtrate</t>
  </si>
  <si>
    <t>B3D_f3_Filtrate.qp</t>
  </si>
  <si>
    <t>20 µl DNA of B3D_f3_Filtrate</t>
  </si>
  <si>
    <t>B3D_f3_100µm.fs.PCR</t>
  </si>
  <si>
    <t xml:space="preserve">27 µl DNA obtained after freeze squeeze from 4 µl B3D_f3_100µm DNA loaded in the gel </t>
  </si>
  <si>
    <t>P/C → freeze squeeze gel purification → PCR purification</t>
  </si>
  <si>
    <t>0.7% gel @ 25V for 45 min</t>
  </si>
  <si>
    <t>B3D_f3_41µm.fs.PC</t>
  </si>
  <si>
    <t xml:space="preserve">46 µl DNA obtained after freeze squeeze from 4 µl B3D_f3_41µm DNA loaded in the gel </t>
  </si>
  <si>
    <t>P/C → freeze squeeze gel purification → P/C</t>
  </si>
  <si>
    <t>B3D_f3_8.0µm.zp</t>
  </si>
  <si>
    <t>0.04 g (40 mg) gel slice containing 4 µl B3D_f3_8.0µm DNA</t>
  </si>
  <si>
    <t>Zymoclean Gel DNA Recovery Kit (Zymo Research)</t>
  </si>
  <si>
    <t>B1B (Omega)</t>
  </si>
  <si>
    <t>100 µl of Bull1_Blood (2)</t>
  </si>
  <si>
    <t>E.Z.N.A.® Tissue DNA Kit (Omega Bio-tek)</t>
  </si>
  <si>
    <t>B2B (Omega)</t>
  </si>
  <si>
    <t>100 µl of Bull2_Blood (2)</t>
  </si>
  <si>
    <t>B1B (QIAGEN)</t>
  </si>
  <si>
    <t>B2B (QIAGEN)</t>
  </si>
  <si>
    <t>B1S I.zp</t>
  </si>
  <si>
    <r>
      <t xml:space="preserve">4 µl DNA of B1S I (2024-07-16) loaded on a </t>
    </r>
    <r>
      <rPr>
        <u/>
        <sz val="11"/>
        <color rgb="FF1155CC"/>
        <rFont val="Calibri"/>
        <family val="2"/>
      </rPr>
      <t>1.5% gel @ 100V for 15 min</t>
    </r>
  </si>
  <si>
    <t>1.5% gel @ 100 V for 15 min</t>
  </si>
  <si>
    <t>B2S I.zp</t>
  </si>
  <si>
    <r>
      <t xml:space="preserve">5 µl DNA of B2S I (2024-07-16) loaded on a </t>
    </r>
    <r>
      <rPr>
        <u/>
        <sz val="11"/>
        <color rgb="FF1155CC"/>
        <rFont val="Calibri"/>
        <family val="2"/>
      </rPr>
      <t>1.5% gel @ 100V for 15 min</t>
    </r>
  </si>
  <si>
    <t>B1B (1) (Omega)</t>
  </si>
  <si>
    <t>200 µl of Bull1_Blood (3)</t>
  </si>
  <si>
    <t>0.7% gel @ 100V for 15 min</t>
  </si>
  <si>
    <t>B1B (2) (Omega)</t>
  </si>
  <si>
    <t>B1B (1 + 2) (Omega)</t>
  </si>
  <si>
    <t>1 µl of B1B (1) (Omega) &amp; B1B (2) (Omega) combined for NanoDrop</t>
  </si>
  <si>
    <t>B2B (1) (Omega)</t>
  </si>
  <si>
    <t>200 µl of Bull2_Blood (3)</t>
  </si>
  <si>
    <t>B2B (2) (Omega)</t>
  </si>
  <si>
    <t>B2B (1 + 2) (Omega)</t>
  </si>
  <si>
    <t>1 µl of B2B (1) (Omega) &amp; B2B (2) (Omega) combined for NanoDrop</t>
  </si>
  <si>
    <t>B1B (1).p</t>
  </si>
  <si>
    <t>Ethanol precipitation of 92 µl B1B (1) (Omega) DNA</t>
  </si>
  <si>
    <t>Ethanol precipitation</t>
  </si>
  <si>
    <t>0.7% gel @ 100V for 13 min</t>
  </si>
  <si>
    <t xml:space="preserve">B1B (2).p </t>
  </si>
  <si>
    <t>Ethanol precipitation of 92 µl B1B (2) (Omega) DNA</t>
  </si>
  <si>
    <t xml:space="preserve">B2B (1).p </t>
  </si>
  <si>
    <t>Ethanol precipitation of 92 µl B2B (1) (Omega) DNA</t>
  </si>
  <si>
    <t>B2B (2).p</t>
  </si>
  <si>
    <t>Ethanol precipitation of 92 µl B2B (2) (Omega) DNA</t>
  </si>
  <si>
    <t>B1B (1.1)</t>
  </si>
  <si>
    <t>100 µl blood of Bull1_Blood (3) aliquot</t>
  </si>
  <si>
    <t>B1B (1.2)</t>
  </si>
  <si>
    <t>B1B (2.1)</t>
  </si>
  <si>
    <t>B1B (2.2)</t>
  </si>
  <si>
    <t>B2B (1.1)</t>
  </si>
  <si>
    <t>100 µl blood of Bull1_Blood (4) aliquot</t>
  </si>
  <si>
    <t>B2B (1.2)</t>
  </si>
  <si>
    <t>B2B (2.1)</t>
  </si>
  <si>
    <t>B2B (2.2)</t>
  </si>
  <si>
    <t>B1B PC</t>
  </si>
  <si>
    <t>100 µl of Bull1_Blood (3) aliquot</t>
  </si>
  <si>
    <t>0.7% gel @ 25V for 30min</t>
  </si>
  <si>
    <t>B2B PC</t>
  </si>
  <si>
    <t>100 µl of Bull2_Blood (4) aliquot</t>
  </si>
  <si>
    <t>B1B (1.2).p</t>
  </si>
  <si>
    <t>44 µl of B1B (1.2) DNA extracted with Omega Kit (2024-09-10)</t>
  </si>
  <si>
    <t>B1B PC.pDNA</t>
  </si>
  <si>
    <t>44 µl of B1B PC (2024-09-11)</t>
  </si>
  <si>
    <t>0.7% gel @ 25V for 25 min</t>
  </si>
  <si>
    <t>B2B PC.pDNA</t>
  </si>
  <si>
    <t>44 µl of B2B PC (2024-09-11)</t>
  </si>
  <si>
    <t>B1B PC.pDNA.2ndCh</t>
  </si>
  <si>
    <t>44 µl of B1B PC.pDNA (2024-09-13)</t>
  </si>
  <si>
    <t>2nd chloroform &amp; ethanol precipitation</t>
  </si>
  <si>
    <t>44 µl of B2B PC.pDNA (2024-09-13)</t>
  </si>
  <si>
    <t>B1B (1) Omega</t>
  </si>
  <si>
    <t>100 µl of Bull1_Blood_(5) aliquot</t>
  </si>
  <si>
    <t>11236bp</t>
  </si>
  <si>
    <t>B1B (2) Omega</t>
  </si>
  <si>
    <t>9860bp</t>
  </si>
  <si>
    <t>B1B (3) Omega</t>
  </si>
  <si>
    <t>B1B (4) Omega</t>
  </si>
  <si>
    <t>B2B (1) Omega</t>
  </si>
  <si>
    <t>100 µl of Bull2_Blood_(5) aliquot</t>
  </si>
  <si>
    <t>B2B (2) Omega</t>
  </si>
  <si>
    <t>B2B (3) Omega</t>
  </si>
  <si>
    <t>B2B (4) Omega</t>
  </si>
  <si>
    <t>100 µl blood from the 2nd EDTA blood collection tube of Bull 1</t>
  </si>
  <si>
    <t>100 µl blood from the 2nd EDTA blood collection tube of Bull 2</t>
  </si>
  <si>
    <r>
      <rPr>
        <sz val="11"/>
        <color theme="1"/>
        <rFont val="Calibri"/>
        <family val="2"/>
      </rPr>
      <t>B1D</t>
    </r>
    <r>
      <rPr>
        <sz val="6"/>
        <color theme="1"/>
        <rFont val="Calibri"/>
        <family val="2"/>
      </rPr>
      <t>f</t>
    </r>
    <r>
      <rPr>
        <sz val="11"/>
        <color theme="1"/>
        <rFont val="Calibri"/>
        <family val="2"/>
      </rPr>
      <t>_TS.</t>
    </r>
    <r>
      <rPr>
        <sz val="8"/>
        <color theme="1"/>
        <rFont val="Calibri"/>
        <family val="2"/>
      </rPr>
      <t>PC</t>
    </r>
  </si>
  <si>
    <t>0.043 g solid particles collected on the tea strainer (TS) of Bull 1</t>
  </si>
  <si>
    <r>
      <t xml:space="preserve">GEL 1: </t>
    </r>
    <r>
      <rPr>
        <u/>
        <sz val="11"/>
        <color rgb="FF1155CC"/>
        <rFont val="Calibri"/>
        <family val="2"/>
      </rPr>
      <t>1.5% gel @ 100V for 15 min</t>
    </r>
    <r>
      <rPr>
        <sz val="11"/>
        <color theme="1"/>
        <rFont val="Calibri"/>
        <family val="2"/>
        <scheme val="minor"/>
      </rPr>
      <t xml:space="preserve">; GEL 2: </t>
    </r>
    <r>
      <rPr>
        <u/>
        <sz val="11"/>
        <color rgb="FF1155CC"/>
        <rFont val="Calibri"/>
        <family val="2"/>
      </rPr>
      <t>Scanned ±24h later</t>
    </r>
  </si>
  <si>
    <r>
      <rPr>
        <sz val="11"/>
        <color theme="1"/>
        <rFont val="Calibri"/>
        <family val="2"/>
      </rPr>
      <t>B1D</t>
    </r>
    <r>
      <rPr>
        <sz val="10"/>
        <color theme="1"/>
        <rFont val="Calibri"/>
        <family val="2"/>
      </rPr>
      <t>f_</t>
    </r>
    <r>
      <rPr>
        <sz val="11"/>
        <color theme="1"/>
        <rFont val="Calibri"/>
        <family val="2"/>
      </rPr>
      <t>FF.</t>
    </r>
    <r>
      <rPr>
        <sz val="8"/>
        <color theme="1"/>
        <rFont val="Calibri"/>
        <family val="2"/>
      </rPr>
      <t>PC</t>
    </r>
  </si>
  <si>
    <t>0.041 g solid particles collected on the funnel filter (FF) of Bull 1</t>
  </si>
  <si>
    <r>
      <rPr>
        <sz val="11"/>
        <color theme="1"/>
        <rFont val="Calibri"/>
        <family val="2"/>
      </rPr>
      <t>B1D</t>
    </r>
    <r>
      <rPr>
        <sz val="10"/>
        <color theme="1"/>
        <rFont val="Calibri"/>
        <family val="2"/>
      </rPr>
      <t>f</t>
    </r>
    <r>
      <rPr>
        <sz val="11"/>
        <color theme="1"/>
        <rFont val="Calibri"/>
        <family val="2"/>
      </rPr>
      <t>_100µm.</t>
    </r>
    <r>
      <rPr>
        <sz val="8"/>
        <color theme="1"/>
        <rFont val="Calibri"/>
        <family val="2"/>
      </rPr>
      <t>PC</t>
    </r>
  </si>
  <si>
    <t>1/4 of the 100 µm membrane filter of Bull 1</t>
  </si>
  <si>
    <r>
      <rPr>
        <sz val="11"/>
        <color theme="1"/>
        <rFont val="Calibri"/>
        <family val="2"/>
      </rPr>
      <t>B1D</t>
    </r>
    <r>
      <rPr>
        <sz val="9"/>
        <color theme="1"/>
        <rFont val="Calibri"/>
        <family val="2"/>
      </rPr>
      <t>f</t>
    </r>
    <r>
      <rPr>
        <sz val="11"/>
        <color theme="1"/>
        <rFont val="Calibri"/>
        <family val="2"/>
      </rPr>
      <t>_41µm.</t>
    </r>
    <r>
      <rPr>
        <sz val="8"/>
        <color theme="1"/>
        <rFont val="Calibri"/>
        <family val="2"/>
      </rPr>
      <t>PC</t>
    </r>
  </si>
  <si>
    <t>1/4 of the 41 µm membrane filter of Bull 1</t>
  </si>
  <si>
    <r>
      <rPr>
        <sz val="11"/>
        <color theme="1"/>
        <rFont val="Calibri"/>
        <family val="2"/>
      </rPr>
      <t>B1D</t>
    </r>
    <r>
      <rPr>
        <sz val="8"/>
        <color theme="1"/>
        <rFont val="Calibri"/>
        <family val="2"/>
      </rPr>
      <t>f</t>
    </r>
    <r>
      <rPr>
        <sz val="11"/>
        <color theme="1"/>
        <rFont val="Calibri"/>
        <family val="2"/>
      </rPr>
      <t>_8.0µm.</t>
    </r>
    <r>
      <rPr>
        <sz val="8"/>
        <color theme="1"/>
        <rFont val="Calibri"/>
        <family val="2"/>
      </rPr>
      <t>pc</t>
    </r>
  </si>
  <si>
    <t>1/4 of the 8.0 µm membrane filter of Bull 1</t>
  </si>
  <si>
    <r>
      <rPr>
        <sz val="11"/>
        <color theme="1"/>
        <rFont val="Calibri"/>
        <family val="2"/>
      </rPr>
      <t>B2D</t>
    </r>
    <r>
      <rPr>
        <sz val="9"/>
        <color theme="1"/>
        <rFont val="Calibri"/>
        <family val="2"/>
      </rPr>
      <t>f</t>
    </r>
    <r>
      <rPr>
        <sz val="11"/>
        <color theme="1"/>
        <rFont val="Calibri"/>
        <family val="2"/>
      </rPr>
      <t>_TS.</t>
    </r>
    <r>
      <rPr>
        <sz val="8"/>
        <color theme="1"/>
        <rFont val="Calibri"/>
        <family val="2"/>
      </rPr>
      <t>PC</t>
    </r>
  </si>
  <si>
    <t>0.039 g solid particles collected on the tea strainer (TS) for Bull 2</t>
  </si>
  <si>
    <r>
      <rPr>
        <sz val="11"/>
        <color theme="1"/>
        <rFont val="Calibri"/>
        <family val="2"/>
      </rPr>
      <t>B2D</t>
    </r>
    <r>
      <rPr>
        <sz val="9"/>
        <color theme="1"/>
        <rFont val="Calibri"/>
        <family val="2"/>
      </rPr>
      <t>f</t>
    </r>
    <r>
      <rPr>
        <sz val="11"/>
        <color theme="1"/>
        <rFont val="Calibri"/>
        <family val="2"/>
      </rPr>
      <t>_FF.</t>
    </r>
    <r>
      <rPr>
        <sz val="8"/>
        <color theme="1"/>
        <rFont val="Calibri"/>
        <family val="2"/>
      </rPr>
      <t>PC</t>
    </r>
  </si>
  <si>
    <t>0.044 g solid particles collected on the funnel filter of Bull 2</t>
  </si>
  <si>
    <r>
      <rPr>
        <sz val="11"/>
        <color theme="1"/>
        <rFont val="Calibri"/>
        <family val="2"/>
      </rPr>
      <t>B2D</t>
    </r>
    <r>
      <rPr>
        <sz val="9"/>
        <color theme="1"/>
        <rFont val="Calibri"/>
        <family val="2"/>
      </rPr>
      <t>f</t>
    </r>
    <r>
      <rPr>
        <sz val="11"/>
        <color theme="1"/>
        <rFont val="Calibri"/>
        <family val="2"/>
      </rPr>
      <t>_100µm.</t>
    </r>
    <r>
      <rPr>
        <sz val="8"/>
        <color theme="1"/>
        <rFont val="Calibri"/>
        <family val="2"/>
      </rPr>
      <t>PC</t>
    </r>
  </si>
  <si>
    <t>1/4 of the 100 µm membrane filter of Bull 2</t>
  </si>
  <si>
    <r>
      <rPr>
        <sz val="11"/>
        <color theme="1"/>
        <rFont val="Calibri"/>
        <family val="2"/>
      </rPr>
      <t>B2D</t>
    </r>
    <r>
      <rPr>
        <sz val="9"/>
        <color theme="1"/>
        <rFont val="Calibri"/>
        <family val="2"/>
      </rPr>
      <t>f</t>
    </r>
    <r>
      <rPr>
        <sz val="11"/>
        <color theme="1"/>
        <rFont val="Calibri"/>
        <family val="2"/>
      </rPr>
      <t>_41µm.</t>
    </r>
    <r>
      <rPr>
        <sz val="8"/>
        <color theme="1"/>
        <rFont val="Calibri"/>
        <family val="2"/>
      </rPr>
      <t>PC</t>
    </r>
  </si>
  <si>
    <t>1/4 of the 41 µm membrane filter of Bull 2</t>
  </si>
  <si>
    <r>
      <rPr>
        <sz val="11"/>
        <color theme="1"/>
        <rFont val="Calibri"/>
        <family val="2"/>
      </rPr>
      <t>B2D</t>
    </r>
    <r>
      <rPr>
        <sz val="9"/>
        <color theme="1"/>
        <rFont val="Calibri"/>
        <family val="2"/>
      </rPr>
      <t>f</t>
    </r>
    <r>
      <rPr>
        <sz val="11"/>
        <color theme="1"/>
        <rFont val="Calibri"/>
        <family val="2"/>
      </rPr>
      <t>_8.0µm.</t>
    </r>
    <r>
      <rPr>
        <sz val="8"/>
        <color theme="1"/>
        <rFont val="Calibri"/>
        <family val="2"/>
      </rPr>
      <t>PC</t>
    </r>
  </si>
  <si>
    <t>1/4 of the 8.0 µm membrane filter of Bull 2</t>
  </si>
  <si>
    <r>
      <rPr>
        <sz val="11"/>
        <color theme="1"/>
        <rFont val="Calibri"/>
        <family val="2"/>
      </rPr>
      <t>B1D</t>
    </r>
    <r>
      <rPr>
        <sz val="10"/>
        <color theme="1"/>
        <rFont val="Calibri"/>
        <family val="2"/>
      </rPr>
      <t>f_TS (QIAGEN)</t>
    </r>
  </si>
  <si>
    <t>0.039 g solid particles collected on the tea strainer of Bull 1</t>
  </si>
  <si>
    <r>
      <t xml:space="preserve">GEL 1: </t>
    </r>
    <r>
      <rPr>
        <u/>
        <sz val="11"/>
        <color rgb="FF1155CC"/>
        <rFont val="Calibri"/>
        <family val="2"/>
      </rPr>
      <t>1.5% gel @ 100V for 15 min</t>
    </r>
    <r>
      <rPr>
        <sz val="11"/>
        <color theme="1"/>
        <rFont val="Calibri"/>
        <family val="2"/>
        <scheme val="minor"/>
      </rPr>
      <t xml:space="preserve">; GEL 2: </t>
    </r>
    <r>
      <rPr>
        <u/>
        <sz val="11"/>
        <color rgb="FF1155CC"/>
        <rFont val="Calibri"/>
        <family val="2"/>
      </rPr>
      <t>Scanned 45 h later</t>
    </r>
  </si>
  <si>
    <r>
      <rPr>
        <sz val="11"/>
        <color theme="1"/>
        <rFont val="Calibri"/>
        <family val="2"/>
      </rPr>
      <t>B1D</t>
    </r>
    <r>
      <rPr>
        <sz val="10"/>
        <color theme="1"/>
        <rFont val="Calibri"/>
        <family val="2"/>
      </rPr>
      <t>f_FF (QIAGEN)</t>
    </r>
  </si>
  <si>
    <t>0.038 g solid particles collected on the funnel filter of Bull 1</t>
  </si>
  <si>
    <r>
      <rPr>
        <sz val="11"/>
        <color theme="1"/>
        <rFont val="Calibri"/>
        <family val="2"/>
      </rPr>
      <t>B1D</t>
    </r>
    <r>
      <rPr>
        <sz val="10"/>
        <color theme="1"/>
        <rFont val="Calibri"/>
        <family val="2"/>
      </rPr>
      <t>f_100µm (QIAGEN)</t>
    </r>
  </si>
  <si>
    <r>
      <rPr>
        <sz val="11"/>
        <color theme="1"/>
        <rFont val="Calibri"/>
        <family val="2"/>
      </rPr>
      <t>B1D</t>
    </r>
    <r>
      <rPr>
        <sz val="10"/>
        <color theme="1"/>
        <rFont val="Calibri"/>
        <family val="2"/>
      </rPr>
      <t>f_41µm (QIAGEN)</t>
    </r>
  </si>
  <si>
    <r>
      <rPr>
        <sz val="11"/>
        <color theme="1"/>
        <rFont val="Calibri"/>
        <family val="2"/>
      </rPr>
      <t>B1D</t>
    </r>
    <r>
      <rPr>
        <sz val="10"/>
        <color theme="1"/>
        <rFont val="Calibri"/>
        <family val="2"/>
      </rPr>
      <t>f_8.0µm (QIAGEN)</t>
    </r>
  </si>
  <si>
    <r>
      <rPr>
        <sz val="11"/>
        <color theme="1"/>
        <rFont val="Calibri"/>
        <family val="2"/>
      </rPr>
      <t>B2D</t>
    </r>
    <r>
      <rPr>
        <sz val="10"/>
        <color theme="1"/>
        <rFont val="Calibri"/>
        <family val="2"/>
      </rPr>
      <t>f_TS (QIAGEN)</t>
    </r>
  </si>
  <si>
    <t>0.038 g g solid particles collected on the tea strainer of Bull 2</t>
  </si>
  <si>
    <r>
      <rPr>
        <sz val="11"/>
        <color theme="1"/>
        <rFont val="Calibri"/>
        <family val="2"/>
      </rPr>
      <t>B2D</t>
    </r>
    <r>
      <rPr>
        <sz val="10"/>
        <color theme="1"/>
        <rFont val="Calibri"/>
        <family val="2"/>
      </rPr>
      <t>f_FF (QIAGEN)</t>
    </r>
  </si>
  <si>
    <t>0.041 g solid particles collected on the funnel filter of Bull 2</t>
  </si>
  <si>
    <r>
      <rPr>
        <sz val="11"/>
        <color theme="1"/>
        <rFont val="Calibri"/>
        <family val="2"/>
      </rPr>
      <t>B2D</t>
    </r>
    <r>
      <rPr>
        <sz val="10"/>
        <color theme="1"/>
        <rFont val="Calibri"/>
        <family val="2"/>
      </rPr>
      <t>f_100µm (QIAGEN)</t>
    </r>
  </si>
  <si>
    <r>
      <rPr>
        <sz val="11"/>
        <color theme="1"/>
        <rFont val="Calibri"/>
        <family val="2"/>
      </rPr>
      <t>B2D</t>
    </r>
    <r>
      <rPr>
        <sz val="10"/>
        <color theme="1"/>
        <rFont val="Calibri"/>
        <family val="2"/>
      </rPr>
      <t>f_41µm (QIAGEN)</t>
    </r>
  </si>
  <si>
    <r>
      <rPr>
        <sz val="11"/>
        <color theme="1"/>
        <rFont val="Calibri"/>
        <family val="2"/>
      </rPr>
      <t>B2D</t>
    </r>
    <r>
      <rPr>
        <sz val="10"/>
        <color theme="1"/>
        <rFont val="Calibri"/>
        <family val="2"/>
      </rPr>
      <t>f_8.0µm (QIAGEN)</t>
    </r>
  </si>
  <si>
    <t>B1Df_TS (CTAB)</t>
  </si>
  <si>
    <t>Modified phenol/chloroform &amp; CTAB</t>
  </si>
  <si>
    <r>
      <t xml:space="preserve">GEL 1: </t>
    </r>
    <r>
      <rPr>
        <u/>
        <sz val="11"/>
        <color rgb="FF1155CC"/>
        <rFont val="Calibri"/>
        <family val="2"/>
      </rPr>
      <t>1.5% gel @ 100V for 15 min</t>
    </r>
    <r>
      <rPr>
        <sz val="11"/>
        <color theme="1"/>
        <rFont val="Calibri"/>
        <family val="2"/>
        <scheme val="minor"/>
      </rPr>
      <t xml:space="preserve">; GEL 2: </t>
    </r>
    <r>
      <rPr>
        <u/>
        <sz val="11"/>
        <color rgb="FF1155CC"/>
        <rFont val="Calibri"/>
        <family val="2"/>
      </rPr>
      <t>Scanned 24 h later</t>
    </r>
  </si>
  <si>
    <t>0.039 g solid particles collected on the funnel filter of Bull 1</t>
  </si>
  <si>
    <t>B1Df_100µm (CTAB)</t>
  </si>
  <si>
    <t>B1Df_41µm (CTAB)</t>
  </si>
  <si>
    <t>B1Df_8.0µm (CTAB)</t>
  </si>
  <si>
    <t>B2Df_TS (CTAB)</t>
  </si>
  <si>
    <t>0.039 g g solid particles collected on the tea strainer of Bull 2</t>
  </si>
  <si>
    <t>0.039 g solid particles collected on the funnel filter of Bull 2</t>
  </si>
  <si>
    <t>B2Df_100µm (CTAB)</t>
  </si>
  <si>
    <t>B2Df_41µm (CTAB)</t>
  </si>
  <si>
    <t>B2Df_8.0µm (CTAB)</t>
  </si>
  <si>
    <r>
      <rPr>
        <sz val="11"/>
        <color theme="1"/>
        <rFont val="Calibri"/>
        <family val="2"/>
      </rPr>
      <t>B1D</t>
    </r>
    <r>
      <rPr>
        <sz val="6"/>
        <color theme="1"/>
        <rFont val="Calibri"/>
        <family val="2"/>
      </rPr>
      <t>f</t>
    </r>
    <r>
      <rPr>
        <sz val="11"/>
        <color theme="1"/>
        <rFont val="Calibri"/>
        <family val="2"/>
      </rPr>
      <t>_TS.</t>
    </r>
    <r>
      <rPr>
        <sz val="8"/>
        <color theme="1"/>
        <rFont val="Calibri"/>
        <family val="2"/>
      </rPr>
      <t>PC.zp</t>
    </r>
  </si>
  <si>
    <r>
      <rPr>
        <sz val="11"/>
        <color theme="1"/>
        <rFont val="Calibri"/>
        <family val="2"/>
      </rPr>
      <t>20 µl DNA of B1D</t>
    </r>
    <r>
      <rPr>
        <sz val="6"/>
        <color theme="1"/>
        <rFont val="Calibri"/>
        <family val="2"/>
      </rPr>
      <t>f</t>
    </r>
    <r>
      <rPr>
        <sz val="11"/>
        <color theme="1"/>
        <rFont val="Calibri"/>
        <family val="2"/>
      </rPr>
      <t>_TS.</t>
    </r>
    <r>
      <rPr>
        <sz val="8"/>
        <color theme="1"/>
        <rFont val="Calibri"/>
        <family val="2"/>
      </rPr>
      <t>PC</t>
    </r>
  </si>
  <si>
    <r>
      <rPr>
        <sz val="11"/>
        <color theme="1"/>
        <rFont val="Calibri"/>
        <family val="2"/>
      </rPr>
      <t>B1D</t>
    </r>
    <r>
      <rPr>
        <sz val="10"/>
        <color theme="1"/>
        <rFont val="Calibri"/>
        <family val="2"/>
      </rPr>
      <t>f_</t>
    </r>
    <r>
      <rPr>
        <sz val="11"/>
        <color theme="1"/>
        <rFont val="Calibri"/>
        <family val="2"/>
      </rPr>
      <t>FF.</t>
    </r>
    <r>
      <rPr>
        <sz val="8"/>
        <color theme="1"/>
        <rFont val="Calibri"/>
        <family val="2"/>
      </rPr>
      <t>PC.zp</t>
    </r>
  </si>
  <si>
    <t>20 µl DNA of B1Df_FF.PC</t>
  </si>
  <si>
    <r>
      <rPr>
        <sz val="11"/>
        <color theme="1"/>
        <rFont val="Calibri"/>
        <family val="2"/>
      </rPr>
      <t>B1D</t>
    </r>
    <r>
      <rPr>
        <sz val="10"/>
        <color theme="1"/>
        <rFont val="Calibri"/>
        <family val="2"/>
      </rPr>
      <t>f</t>
    </r>
    <r>
      <rPr>
        <sz val="11"/>
        <color theme="1"/>
        <rFont val="Calibri"/>
        <family val="2"/>
      </rPr>
      <t>_100µm.</t>
    </r>
    <r>
      <rPr>
        <sz val="8"/>
        <color theme="1"/>
        <rFont val="Calibri"/>
        <family val="2"/>
      </rPr>
      <t>PC.zp</t>
    </r>
  </si>
  <si>
    <t>20 µl DNA of B1Df_100µm.PC</t>
  </si>
  <si>
    <r>
      <rPr>
        <sz val="11"/>
        <color theme="1"/>
        <rFont val="Calibri"/>
        <family val="2"/>
      </rPr>
      <t>B1D</t>
    </r>
    <r>
      <rPr>
        <sz val="9"/>
        <color theme="1"/>
        <rFont val="Calibri"/>
        <family val="2"/>
      </rPr>
      <t>f</t>
    </r>
    <r>
      <rPr>
        <sz val="11"/>
        <color theme="1"/>
        <rFont val="Calibri"/>
        <family val="2"/>
      </rPr>
      <t>_41µm.</t>
    </r>
    <r>
      <rPr>
        <sz val="8"/>
        <color theme="1"/>
        <rFont val="Calibri"/>
        <family val="2"/>
      </rPr>
      <t>PC.zp</t>
    </r>
  </si>
  <si>
    <t>20 µl DNA ofB1Df_41µm.PC</t>
  </si>
  <si>
    <r>
      <rPr>
        <sz val="11"/>
        <color theme="1"/>
        <rFont val="Calibri"/>
        <family val="2"/>
      </rPr>
      <t>B1D</t>
    </r>
    <r>
      <rPr>
        <sz val="8"/>
        <color theme="1"/>
        <rFont val="Calibri"/>
        <family val="2"/>
      </rPr>
      <t>f</t>
    </r>
    <r>
      <rPr>
        <sz val="11"/>
        <color theme="1"/>
        <rFont val="Calibri"/>
        <family val="2"/>
      </rPr>
      <t>_8.0µm.</t>
    </r>
    <r>
      <rPr>
        <sz val="8"/>
        <color theme="1"/>
        <rFont val="Calibri"/>
        <family val="2"/>
      </rPr>
      <t>pc.zp</t>
    </r>
  </si>
  <si>
    <t>20 µl DNA ofB1Df_8.0µm.pc</t>
  </si>
  <si>
    <r>
      <rPr>
        <sz val="11"/>
        <color theme="1"/>
        <rFont val="Calibri"/>
        <family val="2"/>
      </rPr>
      <t>B2D</t>
    </r>
    <r>
      <rPr>
        <sz val="9"/>
        <color theme="1"/>
        <rFont val="Calibri"/>
        <family val="2"/>
      </rPr>
      <t>f</t>
    </r>
    <r>
      <rPr>
        <sz val="11"/>
        <color theme="1"/>
        <rFont val="Calibri"/>
        <family val="2"/>
      </rPr>
      <t>_TS.</t>
    </r>
    <r>
      <rPr>
        <sz val="8"/>
        <color theme="1"/>
        <rFont val="Calibri"/>
        <family val="2"/>
      </rPr>
      <t>PC.zp</t>
    </r>
  </si>
  <si>
    <t>20 µl DNA ofB2Df_TS.PC</t>
  </si>
  <si>
    <r>
      <rPr>
        <sz val="11"/>
        <color theme="1"/>
        <rFont val="Calibri"/>
        <family val="2"/>
      </rPr>
      <t>B2D</t>
    </r>
    <r>
      <rPr>
        <sz val="9"/>
        <color theme="1"/>
        <rFont val="Calibri"/>
        <family val="2"/>
      </rPr>
      <t>f</t>
    </r>
    <r>
      <rPr>
        <sz val="11"/>
        <color theme="1"/>
        <rFont val="Calibri"/>
        <family val="2"/>
      </rPr>
      <t>_FF.</t>
    </r>
    <r>
      <rPr>
        <sz val="8"/>
        <color theme="1"/>
        <rFont val="Calibri"/>
        <family val="2"/>
      </rPr>
      <t>PC.zp</t>
    </r>
  </si>
  <si>
    <t>20 µl DNA ofB2Df_FF.PC</t>
  </si>
  <si>
    <r>
      <rPr>
        <sz val="11"/>
        <color theme="1"/>
        <rFont val="Calibri"/>
        <family val="2"/>
      </rPr>
      <t>B2D</t>
    </r>
    <r>
      <rPr>
        <sz val="9"/>
        <color theme="1"/>
        <rFont val="Calibri"/>
        <family val="2"/>
      </rPr>
      <t>f</t>
    </r>
    <r>
      <rPr>
        <sz val="11"/>
        <color theme="1"/>
        <rFont val="Calibri"/>
        <family val="2"/>
      </rPr>
      <t>_100µm.</t>
    </r>
    <r>
      <rPr>
        <sz val="8"/>
        <color theme="1"/>
        <rFont val="Calibri"/>
        <family val="2"/>
      </rPr>
      <t>PC.zp</t>
    </r>
  </si>
  <si>
    <t>20 µl DNA ofB2Df_100µm.PC</t>
  </si>
  <si>
    <r>
      <rPr>
        <sz val="11"/>
        <color theme="1"/>
        <rFont val="Calibri"/>
        <family val="2"/>
      </rPr>
      <t>B2D</t>
    </r>
    <r>
      <rPr>
        <sz val="9"/>
        <color theme="1"/>
        <rFont val="Calibri"/>
        <family val="2"/>
      </rPr>
      <t>f</t>
    </r>
    <r>
      <rPr>
        <sz val="11"/>
        <color theme="1"/>
        <rFont val="Calibri"/>
        <family val="2"/>
      </rPr>
      <t>_41µm.</t>
    </r>
    <r>
      <rPr>
        <sz val="8"/>
        <color theme="1"/>
        <rFont val="Calibri"/>
        <family val="2"/>
      </rPr>
      <t>PC.zp</t>
    </r>
  </si>
  <si>
    <t>20 µl DNA ofB2Df_41µm.PC</t>
  </si>
  <si>
    <r>
      <rPr>
        <sz val="11"/>
        <color theme="1"/>
        <rFont val="Calibri"/>
        <family val="2"/>
      </rPr>
      <t>B2D</t>
    </r>
    <r>
      <rPr>
        <sz val="9"/>
        <color theme="1"/>
        <rFont val="Calibri"/>
        <family val="2"/>
      </rPr>
      <t>f</t>
    </r>
    <r>
      <rPr>
        <sz val="11"/>
        <color theme="1"/>
        <rFont val="Calibri"/>
        <family val="2"/>
      </rPr>
      <t>_8.0µm.</t>
    </r>
    <r>
      <rPr>
        <sz val="8"/>
        <color theme="1"/>
        <rFont val="Calibri"/>
        <family val="2"/>
      </rPr>
      <t>PC.zp</t>
    </r>
  </si>
  <si>
    <t>20 µl DNA ofB2Df_8.0µm.PC</t>
  </si>
  <si>
    <t>B1Df_TS (Omega)</t>
  </si>
  <si>
    <t>0.219 g solid particles collected on the tea strainer of Bull 1</t>
  </si>
  <si>
    <t>E.Z.N.A Stool DNA Kit (Omega Bio-tek)</t>
  </si>
  <si>
    <t>0.229 g solid particles collected on the funnel filter of Bull 1</t>
  </si>
  <si>
    <t>B1Df_100µm (Omega)</t>
  </si>
  <si>
    <t>1/4 of the 100 µm membrane filter of Bull 1 (0.140 g)</t>
  </si>
  <si>
    <t>B1Df_41µm (Omega)</t>
  </si>
  <si>
    <t>1/4 of the 41 µm membrane filter of Bull 1 (0.018 g)</t>
  </si>
  <si>
    <t>B1Df_8.0µm (Omega)</t>
  </si>
  <si>
    <t>1/4 of the 8.0 µm membrane filter of Bull 1 (0.082 g)</t>
  </si>
  <si>
    <t>B2Df_TS (Omega)</t>
  </si>
  <si>
    <t>0.236 g g solid particles collected on the tea strainer of Bull 2</t>
  </si>
  <si>
    <t>0.203 g solid particles collected on the funnel filter of Bull 2</t>
  </si>
  <si>
    <t>B2Df_100µm (Omega)</t>
  </si>
  <si>
    <t>1/4 of the 100 µm membrane filter of Bull 2 (0.144 g)</t>
  </si>
  <si>
    <t>B2Df_41µm (Omega)</t>
  </si>
  <si>
    <t>1/4 of the 41 µm membrane filter of Bull 2 (0.013 g)</t>
  </si>
  <si>
    <t>B2Df_8.0µm (Omega)</t>
  </si>
  <si>
    <t>1/4 of the 8.0 µm membrane filter of Bull 2 (0.083 g)</t>
  </si>
  <si>
    <t>B1S (Omega)</t>
  </si>
  <si>
    <t>0.031 g of Bull 1 Skin outer layer</t>
  </si>
  <si>
    <t>B2S (Omega)</t>
  </si>
  <si>
    <t>0.031 g of Bull 2 Skin outer layer</t>
  </si>
  <si>
    <t>Date</t>
  </si>
  <si>
    <t>Sample Name</t>
  </si>
  <si>
    <t>Organism</t>
  </si>
  <si>
    <t>F primer name</t>
  </si>
  <si>
    <t>R primer name</t>
  </si>
  <si>
    <t>Exp. amplicon (bp)</t>
  </si>
  <si>
    <t>Sample used</t>
  </si>
  <si>
    <t>MgCl2 (25mM) (µl)</t>
  </si>
  <si>
    <t>Buffer (10x) (µl)</t>
  </si>
  <si>
    <t>dNTPs (2.5mM) (µl)</t>
  </si>
  <si>
    <t>Taq (µl)</t>
  </si>
  <si>
    <t>F primer (10pmol) (µl)</t>
  </si>
  <si>
    <t>R primer (10pmol) (µl)</t>
  </si>
  <si>
    <t>H2O (µl)</t>
  </si>
  <si>
    <t>DNA (µl)</t>
  </si>
  <si>
    <t>Total volume (µl)</t>
  </si>
  <si>
    <t>Initial denaturation</t>
  </si>
  <si>
    <t>Denaturation</t>
  </si>
  <si>
    <t>Annealing</t>
  </si>
  <si>
    <t>Elongation</t>
  </si>
  <si>
    <t>Final Elongation</t>
  </si>
  <si>
    <t>Amplification (Y/N)</t>
  </si>
  <si>
    <t>Agarose gel results</t>
  </si>
  <si>
    <t>P1</t>
  </si>
  <si>
    <t>Plants</t>
  </si>
  <si>
    <t>c (A49325)</t>
  </si>
  <si>
    <t>h (B49466)</t>
  </si>
  <si>
    <t>141 (?)</t>
  </si>
  <si>
    <t>94°C for 1min</t>
  </si>
  <si>
    <t>94°C for 30s</t>
  </si>
  <si>
    <t>47°C for 30s</t>
  </si>
  <si>
    <t>72°C for 30s</t>
  </si>
  <si>
    <t>72°C for 7min</t>
  </si>
  <si>
    <t>N</t>
  </si>
  <si>
    <t>P2</t>
  </si>
  <si>
    <t>P3</t>
  </si>
  <si>
    <t>Y</t>
  </si>
  <si>
    <t>P4</t>
  </si>
  <si>
    <t>P5</t>
  </si>
  <si>
    <t>P6</t>
  </si>
  <si>
    <t>P7</t>
  </si>
  <si>
    <t>P(-)</t>
  </si>
  <si>
    <t>N1</t>
  </si>
  <si>
    <t>Namatodes</t>
  </si>
  <si>
    <t>JB3</t>
  </si>
  <si>
    <t>JB4.5</t>
  </si>
  <si>
    <t>N2</t>
  </si>
  <si>
    <t>N3</t>
  </si>
  <si>
    <t>N4</t>
  </si>
  <si>
    <t>N5</t>
  </si>
  <si>
    <t>N6</t>
  </si>
  <si>
    <t>N7</t>
  </si>
  <si>
    <t>N(-)</t>
  </si>
  <si>
    <t>B1</t>
  </si>
  <si>
    <t>Bacteria</t>
  </si>
  <si>
    <t>27F</t>
  </si>
  <si>
    <t>337R</t>
  </si>
  <si>
    <t>210 (?)</t>
  </si>
  <si>
    <t>B2</t>
  </si>
  <si>
    <t>B3</t>
  </si>
  <si>
    <t>B4</t>
  </si>
  <si>
    <t>B5</t>
  </si>
  <si>
    <t>B6</t>
  </si>
  <si>
    <t>B7</t>
  </si>
  <si>
    <t>B(-)</t>
  </si>
  <si>
    <t>F1</t>
  </si>
  <si>
    <t>Fungi</t>
  </si>
  <si>
    <t>ITS1 (1761-1779)</t>
  </si>
  <si>
    <t>ITS4 (2390-2409)</t>
  </si>
  <si>
    <t>648 (?)</t>
  </si>
  <si>
    <t>F2</t>
  </si>
  <si>
    <t>F3</t>
  </si>
  <si>
    <t>F4</t>
  </si>
  <si>
    <t>F5</t>
  </si>
  <si>
    <t>F6</t>
  </si>
  <si>
    <t>F7</t>
  </si>
  <si>
    <t>F(-)</t>
  </si>
  <si>
    <t>F(+)</t>
  </si>
  <si>
    <t>Sample received from Markus</t>
  </si>
  <si>
    <t>V1</t>
  </si>
  <si>
    <t>Vertebrates</t>
  </si>
  <si>
    <t>vertU V16S-U F</t>
  </si>
  <si>
    <t>vertU V16S-U R</t>
  </si>
  <si>
    <t>V2</t>
  </si>
  <si>
    <t>V3</t>
  </si>
  <si>
    <t>V4</t>
  </si>
  <si>
    <t>V5</t>
  </si>
  <si>
    <t>V6</t>
  </si>
  <si>
    <t>V7</t>
  </si>
  <si>
    <t>V(-)</t>
  </si>
  <si>
    <t>V(+)</t>
  </si>
  <si>
    <t>P 100µm</t>
  </si>
  <si>
    <t>50°C for 30s</t>
  </si>
  <si>
    <t>P 1.2µm</t>
  </si>
  <si>
    <t>P (-)</t>
  </si>
  <si>
    <t>P (+)_F</t>
  </si>
  <si>
    <t>P (+)_Am</t>
  </si>
  <si>
    <t>Mangrove_Am</t>
  </si>
  <si>
    <t>P (+)_Bg</t>
  </si>
  <si>
    <t>Mangrove_Bg</t>
  </si>
  <si>
    <t>P (+)_Ct</t>
  </si>
  <si>
    <t>Mangrove_Ct</t>
  </si>
  <si>
    <t>P (+)_Rm</t>
  </si>
  <si>
    <t>Mangrove_Rm</t>
  </si>
  <si>
    <t>F 100µm</t>
  </si>
  <si>
    <t>F 1.2µm</t>
  </si>
  <si>
    <t>F (-)</t>
  </si>
  <si>
    <t>F (+)_F</t>
  </si>
  <si>
    <t>F (+)_Am</t>
  </si>
  <si>
    <t>N 100µm</t>
  </si>
  <si>
    <t>N 1.2µm</t>
  </si>
  <si>
    <t>N (-)</t>
  </si>
  <si>
    <t>N (+)_N1</t>
  </si>
  <si>
    <t>Bull2_Dung_Nematode1</t>
  </si>
  <si>
    <t>B 100µm</t>
  </si>
  <si>
    <t>B 1.2µm</t>
  </si>
  <si>
    <t>B (-)</t>
  </si>
  <si>
    <t>B (+)</t>
  </si>
  <si>
    <t>Sample received from Melandre</t>
  </si>
  <si>
    <t>B3D_f3_TS.PCR</t>
  </si>
  <si>
    <t>94°c for 2min</t>
  </si>
  <si>
    <t>B3D_f3_TS.qp.PCR</t>
  </si>
  <si>
    <t>B3D_f3_FF.PCR</t>
  </si>
  <si>
    <t>B3D_f3_FF.qp.PCR</t>
  </si>
  <si>
    <t>B3D_f3_100µm.PCR</t>
  </si>
  <si>
    <t>B3D_f3_100µm.qp.PCR</t>
  </si>
  <si>
    <t>B3D_f3_41µm.PCR</t>
  </si>
  <si>
    <t>B3D_f3_41µm.qp.PCR</t>
  </si>
  <si>
    <t>B3D_f3_8.0µm.PCR</t>
  </si>
  <si>
    <t>B3D_f3_8.0µm.qp.PCR</t>
  </si>
  <si>
    <t>B3D_f3_1.2µm.PCR</t>
  </si>
  <si>
    <t>B3D_f3_1.2µm.qp.PCR</t>
  </si>
  <si>
    <t>B3D_f3_0.22µm.PCR</t>
  </si>
  <si>
    <t>B3D_f3_0.22µm.qp.PCR</t>
  </si>
  <si>
    <t>B3D_f3_Filtrate.PCR</t>
  </si>
  <si>
    <t>B3D_f3_Filtrate.qp.PCR</t>
  </si>
  <si>
    <t>(-)</t>
  </si>
  <si>
    <t>(+)</t>
  </si>
  <si>
    <t>Bull1_Blood_2nd_B1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</si>
</sst>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m/yyyy"/>
    <numFmt numFmtId="165" formatCode="dd/mm/yyyy"/>
    <numFmt numFmtId="166" formatCode="yyyy\-mm\-dd"/>
  </numFmts>
  <fonts count="51" x14ac:knownFonts="1">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sz val="11"/>
      <color theme="8"/>
      <name val="Calibri"/>
      <family val="2"/>
    </font>
    <font>
      <sz val="11"/>
      <color theme="1"/>
      <name val="Calibri"/>
      <family val="2"/>
    </font>
    <font>
      <i/>
      <sz val="11"/>
      <color theme="1"/>
      <name val="Calibri"/>
      <family val="2"/>
    </font>
    <font>
      <u/>
      <sz val="11"/>
      <color rgb="FF0000FF"/>
      <name val="Calibri"/>
      <family val="2"/>
    </font>
    <font>
      <sz val="11"/>
      <color rgb="FF202124"/>
      <name val="Calibri"/>
      <family val="2"/>
    </font>
    <font>
      <u/>
      <sz val="11"/>
      <color rgb="FF0000FF"/>
      <name val="Calibri"/>
      <family val="2"/>
    </font>
    <font>
      <sz val="11"/>
      <name val="Calibri"/>
      <family val="2"/>
    </font>
    <font>
      <sz val="11"/>
      <color rgb="FF000000"/>
      <name val="Calibri"/>
      <family val="2"/>
    </font>
    <font>
      <u/>
      <sz val="11"/>
      <color rgb="FF0000FF"/>
      <name val="Calibri"/>
      <family val="2"/>
    </font>
    <font>
      <u/>
      <sz val="11"/>
      <color rgb="FF0563C1"/>
      <name val="Calibri"/>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i/>
      <sz val="11"/>
      <color theme="1"/>
      <name val="Calibri"/>
      <family val="2"/>
      <scheme val="minor"/>
    </font>
    <font>
      <u/>
      <sz val="11"/>
      <color rgb="FF0000FF"/>
      <name val="Calibri"/>
      <family val="2"/>
    </font>
    <font>
      <u/>
      <sz val="11"/>
      <color rgb="FF0000FF"/>
      <name val="Calibri"/>
      <family val="2"/>
    </font>
    <font>
      <u/>
      <sz val="11"/>
      <color rgb="FF0000FF"/>
      <name val="Calibri"/>
      <family val="2"/>
    </font>
    <font>
      <u/>
      <sz val="11"/>
      <color rgb="FF0000FF"/>
      <name val="Calibri"/>
      <family val="2"/>
    </font>
    <font>
      <b/>
      <sz val="11"/>
      <color rgb="FF00FF00"/>
      <name val="Calibri"/>
      <family val="2"/>
      <scheme val="minor"/>
    </font>
    <font>
      <sz val="11"/>
      <color rgb="FFFF0000"/>
      <name val="Calibri"/>
      <family val="2"/>
      <scheme val="minor"/>
    </font>
    <font>
      <b/>
      <sz val="11"/>
      <color rgb="FF4A86E8"/>
      <name val="Calibri"/>
      <family val="2"/>
      <scheme val="minor"/>
    </font>
    <font>
      <b/>
      <sz val="11"/>
      <color rgb="FFFF00FF"/>
      <name val="Calibri"/>
      <family val="2"/>
      <scheme val="minor"/>
    </font>
    <font>
      <sz val="11"/>
      <color rgb="FF000000"/>
      <name val="Calibri"/>
      <family val="2"/>
      <scheme val="minor"/>
    </font>
    <font>
      <b/>
      <sz val="11"/>
      <color theme="1"/>
      <name val="Calibri"/>
      <family val="2"/>
      <scheme val="minor"/>
    </font>
    <font>
      <b/>
      <sz val="11"/>
      <color rgb="FFFF9900"/>
      <name val="Calibri"/>
      <family val="2"/>
      <scheme val="minor"/>
    </font>
    <font>
      <b/>
      <sz val="11"/>
      <color rgb="FF980000"/>
      <name val="Calibri"/>
      <family val="2"/>
      <scheme val="minor"/>
    </font>
    <font>
      <sz val="11"/>
      <color rgb="FFFF00FF"/>
      <name val="Calibri"/>
      <family val="2"/>
      <scheme val="minor"/>
    </font>
    <font>
      <u/>
      <sz val="11"/>
      <color rgb="FF0000FF"/>
      <name val="Calibri"/>
      <family val="2"/>
    </font>
    <font>
      <u/>
      <sz val="11"/>
      <color rgb="FF0563C1"/>
      <name val="Calibri"/>
      <family val="2"/>
    </font>
    <font>
      <u/>
      <sz val="11"/>
      <color rgb="FF0563C1"/>
      <name val="Calibri"/>
      <family val="2"/>
    </font>
    <font>
      <u/>
      <sz val="11"/>
      <color rgb="FF0563C1"/>
      <name val="Calibri"/>
      <family val="2"/>
    </font>
    <font>
      <u/>
      <sz val="11"/>
      <color rgb="FF0000FF"/>
      <name val="Calibri"/>
      <family val="2"/>
    </font>
    <font>
      <sz val="11"/>
      <color rgb="FFF1C232"/>
      <name val="Calibri"/>
      <family val="2"/>
      <scheme val="minor"/>
    </font>
    <font>
      <u/>
      <sz val="11"/>
      <color rgb="FF0000FF"/>
      <name val="Calibri"/>
      <family val="2"/>
    </font>
    <font>
      <sz val="11"/>
      <color rgb="FF00FF00"/>
      <name val="Calibri"/>
      <family val="2"/>
      <scheme val="minor"/>
    </font>
    <font>
      <sz val="11"/>
      <color rgb="FF4A86E8"/>
      <name val="Calibri"/>
      <family val="2"/>
      <scheme val="minor"/>
    </font>
    <font>
      <sz val="11"/>
      <color rgb="FFFF9900"/>
      <name val="Calibri"/>
      <family val="2"/>
      <scheme val="minor"/>
    </font>
    <font>
      <u/>
      <sz val="11"/>
      <color rgb="FF0000FF"/>
      <name val="Calibri"/>
      <family val="2"/>
    </font>
    <font>
      <b/>
      <sz val="11"/>
      <color rgb="FFFF0000"/>
      <name val="Calibri"/>
      <family val="2"/>
      <scheme val="minor"/>
    </font>
    <font>
      <sz val="11"/>
      <color rgb="FF0000FF"/>
      <name val="Calibri"/>
      <family val="2"/>
      <scheme val="minor"/>
    </font>
    <font>
      <b/>
      <sz val="11"/>
      <color theme="8"/>
      <name val="Calibri"/>
      <family val="2"/>
    </font>
    <font>
      <sz val="9"/>
      <color theme="1"/>
      <name val="Calibri"/>
      <family val="2"/>
    </font>
    <font>
      <sz val="8"/>
      <color theme="1"/>
      <name val="Calibri"/>
      <family val="2"/>
    </font>
    <font>
      <u/>
      <sz val="11"/>
      <color rgb="FF1155CC"/>
      <name val="Calibri"/>
      <family val="2"/>
    </font>
    <font>
      <sz val="6"/>
      <color theme="1"/>
      <name val="Calibri"/>
      <family val="2"/>
    </font>
    <font>
      <sz val="10"/>
      <color theme="1"/>
      <name val="Calibri"/>
      <family val="2"/>
    </font>
  </fonts>
  <fills count="11">
    <fill>
      <patternFill patternType="none"/>
    </fill>
    <fill>
      <patternFill patternType="gray125"/>
    </fill>
    <fill>
      <patternFill patternType="solid">
        <fgColor rgb="FFFF7C80"/>
        <bgColor rgb="FFFF7C80"/>
      </patternFill>
    </fill>
    <fill>
      <patternFill patternType="solid">
        <fgColor rgb="FFFFFFFF"/>
        <bgColor rgb="FFFFFFFF"/>
      </patternFill>
    </fill>
    <fill>
      <patternFill patternType="solid">
        <fgColor rgb="FFFFFF00"/>
        <bgColor rgb="FFFFFF00"/>
      </patternFill>
    </fill>
    <fill>
      <patternFill patternType="solid">
        <fgColor theme="5"/>
        <bgColor theme="5"/>
      </patternFill>
    </fill>
    <fill>
      <patternFill patternType="solid">
        <fgColor rgb="FF00FFFF"/>
        <bgColor rgb="FF00FFFF"/>
      </patternFill>
    </fill>
    <fill>
      <patternFill patternType="solid">
        <fgColor rgb="FF00FF00"/>
        <bgColor rgb="FF00FF00"/>
      </patternFill>
    </fill>
    <fill>
      <patternFill patternType="solid">
        <fgColor theme="9"/>
        <bgColor theme="9"/>
      </patternFill>
    </fill>
    <fill>
      <patternFill patternType="solid">
        <fgColor rgb="FF548135"/>
        <bgColor rgb="FF548135"/>
      </patternFill>
    </fill>
    <fill>
      <patternFill patternType="solid">
        <fgColor rgb="FFFFD966"/>
        <bgColor rgb="FFFFD966"/>
      </patternFill>
    </fill>
  </fills>
  <borders count="1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style="thick">
        <color rgb="FF000000"/>
      </top>
      <bottom style="thick">
        <color rgb="FF000000"/>
      </bottom>
      <diagonal/>
    </border>
    <border>
      <left/>
      <right/>
      <top/>
      <bottom style="thick">
        <color rgb="FF000000"/>
      </bottom>
      <diagonal/>
    </border>
  </borders>
  <cellStyleXfs count="1">
    <xf numFmtId="0" fontId="0" fillId="0" borderId="0"/>
  </cellStyleXfs>
  <cellXfs count="160">
    <xf numFmtId="0" fontId="0" fillId="0" borderId="0" xfId="0" applyFont="1" applyAlignment="1"/>
    <xf numFmtId="0" fontId="2" fillId="0" borderId="0" xfId="0" applyFont="1" applyAlignment="1">
      <alignment horizontal="left" vertical="center"/>
    </xf>
    <xf numFmtId="0" fontId="3" fillId="0" borderId="0" xfId="0" applyFont="1" applyAlignment="1">
      <alignment horizontal="center"/>
    </xf>
    <xf numFmtId="0" fontId="3" fillId="0" borderId="0" xfId="0" applyFont="1" applyAlignment="1">
      <alignment horizontal="center"/>
    </xf>
    <xf numFmtId="0" fontId="2" fillId="0" borderId="1" xfId="0" applyFont="1" applyBorder="1"/>
    <xf numFmtId="0" fontId="2" fillId="0" borderId="2" xfId="0" applyFont="1" applyBorder="1"/>
    <xf numFmtId="0" fontId="2" fillId="0" borderId="2" xfId="0" applyFont="1" applyBorder="1" applyAlignment="1"/>
    <xf numFmtId="0" fontId="2" fillId="0" borderId="2" xfId="0" applyFont="1" applyBorder="1" applyAlignment="1">
      <alignment horizontal="center" vertical="center"/>
    </xf>
    <xf numFmtId="0" fontId="2" fillId="0" borderId="2" xfId="0" applyFont="1" applyBorder="1" applyAlignment="1">
      <alignment horizontal="center"/>
    </xf>
    <xf numFmtId="0" fontId="2" fillId="0" borderId="2" xfId="0" applyFont="1" applyBorder="1" applyAlignment="1">
      <alignment horizontal="center"/>
    </xf>
    <xf numFmtId="0" fontId="2" fillId="0" borderId="3" xfId="0" applyFont="1" applyBorder="1" applyAlignment="1"/>
    <xf numFmtId="0" fontId="4" fillId="0" borderId="0" xfId="0" applyFont="1"/>
    <xf numFmtId="0" fontId="2" fillId="0" borderId="0" xfId="0" applyFont="1"/>
    <xf numFmtId="164" fontId="5" fillId="0" borderId="0" xfId="0" applyNumberFormat="1"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xf>
    <xf numFmtId="0" fontId="5" fillId="2" borderId="4" xfId="0" applyFont="1" applyFill="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5" fillId="0" borderId="0" xfId="0" applyFont="1" applyAlignment="1">
      <alignment horizontal="center" vertical="center"/>
    </xf>
    <xf numFmtId="0" fontId="8" fillId="3" borderId="0" xfId="0" applyFont="1" applyFill="1" applyAlignment="1">
      <alignment horizontal="center"/>
    </xf>
    <xf numFmtId="164" fontId="5" fillId="0" borderId="0" xfId="0" applyNumberFormat="1" applyFont="1" applyAlignment="1">
      <alignment horizontal="center"/>
    </xf>
    <xf numFmtId="0" fontId="5" fillId="0" borderId="0" xfId="0" applyFont="1" applyAlignment="1">
      <alignment horizontal="left"/>
    </xf>
    <xf numFmtId="0" fontId="5" fillId="2" borderId="5" xfId="0" applyFont="1" applyFill="1" applyBorder="1" applyAlignment="1">
      <alignment horizontal="center" vertical="center"/>
    </xf>
    <xf numFmtId="0" fontId="5" fillId="0" borderId="0" xfId="0" applyFont="1"/>
    <xf numFmtId="0" fontId="5" fillId="0" borderId="0" xfId="0" applyFont="1" applyAlignment="1">
      <alignment horizontal="center"/>
    </xf>
    <xf numFmtId="164" fontId="5" fillId="0" borderId="6" xfId="0" applyNumberFormat="1" applyFont="1" applyBorder="1" applyAlignment="1">
      <alignment horizontal="center" vertical="center"/>
    </xf>
    <xf numFmtId="0" fontId="5" fillId="0" borderId="6" xfId="0" applyFont="1" applyBorder="1"/>
    <xf numFmtId="0" fontId="5" fillId="2" borderId="7" xfId="0" applyFont="1" applyFill="1" applyBorder="1" applyAlignment="1">
      <alignment horizontal="center" vertical="center"/>
    </xf>
    <xf numFmtId="0" fontId="5" fillId="0" borderId="6" xfId="0" applyFont="1" applyBorder="1" applyAlignment="1">
      <alignment horizontal="center" vertical="center"/>
    </xf>
    <xf numFmtId="0" fontId="9" fillId="0" borderId="6" xfId="0" applyFont="1" applyBorder="1" applyAlignment="1">
      <alignment horizontal="center" vertical="center"/>
    </xf>
    <xf numFmtId="0" fontId="5" fillId="0" borderId="6" xfId="0" applyFont="1" applyBorder="1" applyAlignment="1">
      <alignment horizontal="center" vertical="center"/>
    </xf>
    <xf numFmtId="0" fontId="8" fillId="3" borderId="6" xfId="0" applyFont="1" applyFill="1" applyBorder="1" applyAlignment="1">
      <alignment horizontal="center"/>
    </xf>
    <xf numFmtId="0" fontId="6" fillId="0" borderId="8" xfId="0" applyFont="1" applyBorder="1" applyAlignment="1">
      <alignment horizontal="center" vertical="center"/>
    </xf>
    <xf numFmtId="0" fontId="5" fillId="0" borderId="8" xfId="0" applyFont="1" applyBorder="1" applyAlignment="1">
      <alignment horizontal="center" vertical="center"/>
    </xf>
    <xf numFmtId="164" fontId="5" fillId="4" borderId="5" xfId="0" applyNumberFormat="1" applyFont="1" applyFill="1" applyBorder="1" applyAlignment="1">
      <alignment horizontal="center" vertical="center"/>
    </xf>
    <xf numFmtId="0" fontId="3" fillId="0" borderId="0" xfId="0" applyFont="1" applyAlignment="1">
      <alignment horizontal="left"/>
    </xf>
    <xf numFmtId="0" fontId="5" fillId="5" borderId="5" xfId="0" applyFont="1" applyFill="1" applyBorder="1" applyAlignment="1">
      <alignment horizontal="center" vertical="center"/>
    </xf>
    <xf numFmtId="0" fontId="11" fillId="3" borderId="0" xfId="0" applyFont="1" applyFill="1" applyAlignment="1">
      <alignment horizontal="left"/>
    </xf>
    <xf numFmtId="0" fontId="6" fillId="0" borderId="6" xfId="0" applyFont="1" applyBorder="1" applyAlignment="1">
      <alignment horizontal="center" vertical="center"/>
    </xf>
    <xf numFmtId="0" fontId="5" fillId="5" borderId="7" xfId="0" applyFont="1" applyFill="1" applyBorder="1" applyAlignment="1">
      <alignment horizontal="center" vertical="center"/>
    </xf>
    <xf numFmtId="0" fontId="5" fillId="0" borderId="6" xfId="0" applyFont="1" applyBorder="1" applyAlignment="1">
      <alignment horizontal="center"/>
    </xf>
    <xf numFmtId="0" fontId="12" fillId="6" borderId="0" xfId="0" applyFont="1" applyFill="1" applyAlignment="1"/>
    <xf numFmtId="0" fontId="13" fillId="0" borderId="0" xfId="0" applyFont="1" applyAlignment="1">
      <alignment horizontal="center" vertical="center"/>
    </xf>
    <xf numFmtId="0" fontId="3" fillId="0" borderId="0" xfId="0" applyFont="1" applyAlignment="1"/>
    <xf numFmtId="164" fontId="5" fillId="4" borderId="7" xfId="0" applyNumberFormat="1" applyFont="1" applyFill="1" applyBorder="1" applyAlignment="1">
      <alignment horizontal="center" vertical="center"/>
    </xf>
    <xf numFmtId="0" fontId="5" fillId="3" borderId="6" xfId="0" applyFont="1" applyFill="1" applyBorder="1" applyAlignment="1"/>
    <xf numFmtId="0" fontId="14" fillId="7" borderId="6" xfId="0" applyFont="1" applyFill="1" applyBorder="1" applyAlignment="1"/>
    <xf numFmtId="0" fontId="5" fillId="8" borderId="5" xfId="0" applyFont="1" applyFill="1" applyBorder="1" applyAlignment="1">
      <alignment horizontal="center" vertical="center"/>
    </xf>
    <xf numFmtId="0" fontId="5" fillId="0" borderId="0" xfId="0" applyFont="1" applyAlignment="1">
      <alignment horizontal="center"/>
    </xf>
    <xf numFmtId="0" fontId="5" fillId="8" borderId="7" xfId="0" applyFont="1" applyFill="1" applyBorder="1" applyAlignment="1">
      <alignment horizontal="center" vertical="center"/>
    </xf>
    <xf numFmtId="0" fontId="5" fillId="0" borderId="6" xfId="0" applyFont="1" applyBorder="1" applyAlignment="1">
      <alignment horizontal="center"/>
    </xf>
    <xf numFmtId="0" fontId="5" fillId="0" borderId="6" xfId="0" applyFont="1" applyBorder="1" applyAlignment="1">
      <alignment horizontal="left"/>
    </xf>
    <xf numFmtId="0" fontId="5" fillId="0" borderId="6" xfId="0" applyFont="1" applyBorder="1" applyAlignment="1">
      <alignment horizontal="left" vertical="center"/>
    </xf>
    <xf numFmtId="164" fontId="5" fillId="0" borderId="6" xfId="0" applyNumberFormat="1" applyFont="1" applyBorder="1" applyAlignment="1">
      <alignment horizontal="center"/>
    </xf>
    <xf numFmtId="164" fontId="5" fillId="0" borderId="9" xfId="0" applyNumberFormat="1" applyFont="1" applyBorder="1" applyAlignment="1">
      <alignment horizontal="center"/>
    </xf>
    <xf numFmtId="0" fontId="5" fillId="0" borderId="9" xfId="0" applyFont="1" applyBorder="1"/>
    <xf numFmtId="0" fontId="6" fillId="0" borderId="9" xfId="0" applyFont="1" applyBorder="1" applyAlignment="1">
      <alignment horizontal="center" vertical="center"/>
    </xf>
    <xf numFmtId="0" fontId="5" fillId="8" borderId="10" xfId="0" applyFont="1" applyFill="1" applyBorder="1" applyAlignment="1">
      <alignment horizontal="center" vertical="center"/>
    </xf>
    <xf numFmtId="0" fontId="5" fillId="0" borderId="9" xfId="0" applyFont="1" applyBorder="1" applyAlignment="1">
      <alignment horizontal="center" vertical="center"/>
    </xf>
    <xf numFmtId="0" fontId="16" fillId="0" borderId="9" xfId="0" applyFont="1" applyBorder="1" applyAlignment="1">
      <alignment horizontal="center" vertical="center"/>
    </xf>
    <xf numFmtId="0" fontId="5" fillId="0" borderId="9" xfId="0" applyFont="1" applyBorder="1" applyAlignment="1">
      <alignment horizontal="center"/>
    </xf>
    <xf numFmtId="0" fontId="5" fillId="0" borderId="9" xfId="0" applyFont="1" applyBorder="1" applyAlignment="1">
      <alignment horizontal="center" vertical="center"/>
    </xf>
    <xf numFmtId="0" fontId="17" fillId="0" borderId="6" xfId="0" applyFont="1" applyBorder="1" applyAlignment="1">
      <alignment horizontal="center"/>
    </xf>
    <xf numFmtId="0" fontId="5" fillId="0" borderId="9" xfId="0" applyFont="1" applyBorder="1" applyAlignment="1">
      <alignment horizontal="left"/>
    </xf>
    <xf numFmtId="165" fontId="3" fillId="0" borderId="0" xfId="0" applyNumberFormat="1" applyFont="1" applyAlignment="1">
      <alignment horizontal="center"/>
    </xf>
    <xf numFmtId="0" fontId="18" fillId="0" borderId="0" xfId="0" applyFont="1" applyAlignment="1">
      <alignment horizontal="center"/>
    </xf>
    <xf numFmtId="0" fontId="3" fillId="8" borderId="0" xfId="0" applyFont="1" applyFill="1" applyAlignment="1">
      <alignment horizontal="center"/>
    </xf>
    <xf numFmtId="0" fontId="19" fillId="0" borderId="0" xfId="0" applyFont="1" applyAlignment="1">
      <alignment horizontal="center"/>
    </xf>
    <xf numFmtId="165" fontId="3" fillId="0" borderId="6" xfId="0" applyNumberFormat="1" applyFont="1" applyBorder="1" applyAlignment="1">
      <alignment horizontal="center"/>
    </xf>
    <xf numFmtId="0" fontId="3" fillId="0" borderId="6" xfId="0" applyFont="1" applyBorder="1" applyAlignment="1"/>
    <xf numFmtId="0" fontId="18" fillId="0" borderId="6" xfId="0" applyFont="1" applyBorder="1" applyAlignment="1">
      <alignment horizontal="center"/>
    </xf>
    <xf numFmtId="0" fontId="3" fillId="8" borderId="6" xfId="0" applyFont="1" applyFill="1" applyBorder="1" applyAlignment="1">
      <alignment horizontal="center"/>
    </xf>
    <xf numFmtId="0" fontId="3" fillId="0" borderId="6" xfId="0" applyFont="1" applyBorder="1" applyAlignment="1">
      <alignment horizontal="center"/>
    </xf>
    <xf numFmtId="0" fontId="20" fillId="0" borderId="6" xfId="0" applyFont="1" applyBorder="1" applyAlignment="1">
      <alignment horizontal="center"/>
    </xf>
    <xf numFmtId="0" fontId="3" fillId="0" borderId="6" xfId="0" applyFont="1" applyBorder="1" applyAlignment="1">
      <alignment horizontal="center"/>
    </xf>
    <xf numFmtId="166" fontId="3" fillId="0" borderId="0" xfId="0" applyNumberFormat="1" applyFont="1" applyAlignment="1">
      <alignment horizontal="center"/>
    </xf>
    <xf numFmtId="166" fontId="3" fillId="0" borderId="6" xfId="0" applyNumberFormat="1" applyFont="1" applyBorder="1" applyAlignment="1">
      <alignment horizontal="center"/>
    </xf>
    <xf numFmtId="0" fontId="3" fillId="0" borderId="6" xfId="0" applyFont="1" applyBorder="1"/>
    <xf numFmtId="0" fontId="21" fillId="6" borderId="0" xfId="0" applyFont="1" applyFill="1" applyAlignment="1"/>
    <xf numFmtId="0" fontId="5" fillId="2" borderId="11" xfId="0" applyFont="1" applyFill="1" applyBorder="1" applyAlignment="1">
      <alignment horizontal="center" vertical="center"/>
    </xf>
    <xf numFmtId="0" fontId="3" fillId="0" borderId="8" xfId="0" applyFont="1" applyBorder="1" applyAlignment="1">
      <alignment horizontal="center"/>
    </xf>
    <xf numFmtId="0" fontId="22" fillId="7" borderId="6" xfId="0" applyFont="1" applyFill="1" applyBorder="1" applyAlignment="1"/>
    <xf numFmtId="0" fontId="5" fillId="2" borderId="12" xfId="0" applyFont="1" applyFill="1" applyBorder="1" applyAlignment="1">
      <alignment horizontal="center" vertical="center"/>
    </xf>
    <xf numFmtId="0" fontId="3" fillId="9" borderId="0" xfId="0" applyFont="1" applyFill="1" applyAlignment="1">
      <alignment horizontal="center"/>
    </xf>
    <xf numFmtId="0" fontId="3" fillId="9" borderId="6" xfId="0" applyFont="1" applyFill="1" applyBorder="1" applyAlignment="1">
      <alignment horizontal="center"/>
    </xf>
    <xf numFmtId="0" fontId="23" fillId="0" borderId="0" xfId="0" applyFont="1" applyAlignment="1">
      <alignment horizontal="center"/>
    </xf>
    <xf numFmtId="0" fontId="24" fillId="0" borderId="0" xfId="0" applyFont="1" applyAlignment="1">
      <alignment horizontal="center"/>
    </xf>
    <xf numFmtId="0" fontId="23" fillId="0" borderId="0" xfId="0" applyFont="1" applyAlignment="1">
      <alignment horizontal="center"/>
    </xf>
    <xf numFmtId="0" fontId="25" fillId="0" borderId="0" xfId="0"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26" fillId="0" borderId="0" xfId="0" applyFont="1" applyAlignment="1">
      <alignment horizontal="center"/>
    </xf>
    <xf numFmtId="0" fontId="26" fillId="0" borderId="6" xfId="0" applyFont="1" applyBorder="1" applyAlignment="1">
      <alignment horizontal="center"/>
    </xf>
    <xf numFmtId="0" fontId="27" fillId="0" borderId="6" xfId="0" applyFont="1" applyBorder="1" applyAlignment="1">
      <alignment horizontal="center"/>
    </xf>
    <xf numFmtId="0" fontId="26" fillId="0" borderId="6" xfId="0" applyFont="1" applyBorder="1" applyAlignment="1">
      <alignment horizontal="center"/>
    </xf>
    <xf numFmtId="0" fontId="28" fillId="0" borderId="0" xfId="0" applyFont="1" applyAlignment="1">
      <alignment horizontal="center"/>
    </xf>
    <xf numFmtId="0" fontId="29" fillId="0" borderId="0" xfId="0" applyFont="1" applyAlignment="1">
      <alignment horizontal="center"/>
    </xf>
    <xf numFmtId="2" fontId="23" fillId="0" borderId="0" xfId="0" applyNumberFormat="1" applyFont="1" applyAlignment="1">
      <alignment horizontal="center"/>
    </xf>
    <xf numFmtId="2" fontId="25" fillId="0" borderId="0" xfId="0" applyNumberFormat="1" applyFont="1" applyAlignment="1">
      <alignment horizontal="center"/>
    </xf>
    <xf numFmtId="0" fontId="30" fillId="0" borderId="0" xfId="0" applyFont="1" applyAlignment="1">
      <alignment horizontal="center"/>
    </xf>
    <xf numFmtId="2" fontId="26" fillId="0" borderId="0" xfId="0" applyNumberFormat="1" applyFont="1" applyAlignment="1">
      <alignment horizontal="center"/>
    </xf>
    <xf numFmtId="0" fontId="5" fillId="0" borderId="0" xfId="0" applyFont="1" applyAlignment="1"/>
    <xf numFmtId="0" fontId="5" fillId="0" borderId="6" xfId="0" applyFont="1" applyBorder="1" applyAlignment="1"/>
    <xf numFmtId="0" fontId="31" fillId="0" borderId="6" xfId="0" applyFont="1" applyBorder="1" applyAlignment="1">
      <alignment horizontal="center"/>
    </xf>
    <xf numFmtId="0" fontId="30" fillId="0" borderId="6" xfId="0" applyFont="1" applyBorder="1" applyAlignment="1">
      <alignment horizontal="center"/>
    </xf>
    <xf numFmtId="0" fontId="3" fillId="10" borderId="0" xfId="0" applyFont="1" applyFill="1" applyAlignment="1">
      <alignment horizontal="center"/>
    </xf>
    <xf numFmtId="0" fontId="3" fillId="10" borderId="6" xfId="0" applyFont="1" applyFill="1" applyBorder="1" applyAlignment="1">
      <alignment horizontal="center"/>
    </xf>
    <xf numFmtId="0" fontId="24" fillId="0" borderId="0" xfId="0" applyFont="1" applyAlignment="1">
      <alignment horizontal="center"/>
    </xf>
    <xf numFmtId="0" fontId="34" fillId="0" borderId="6" xfId="0" applyFont="1" applyBorder="1" applyAlignment="1">
      <alignment horizontal="center"/>
    </xf>
    <xf numFmtId="0" fontId="35" fillId="0" borderId="0" xfId="0" applyFont="1" applyAlignment="1">
      <alignment horizontal="center"/>
    </xf>
    <xf numFmtId="0" fontId="31" fillId="0" borderId="0" xfId="0" applyFont="1" applyAlignment="1">
      <alignment horizontal="center"/>
    </xf>
    <xf numFmtId="0" fontId="36" fillId="0" borderId="0" xfId="0" applyFont="1" applyAlignment="1"/>
    <xf numFmtId="0" fontId="37" fillId="0" borderId="0" xfId="0" applyFont="1" applyAlignment="1">
      <alignment horizontal="center"/>
    </xf>
    <xf numFmtId="0" fontId="37" fillId="0" borderId="6" xfId="0" applyFont="1" applyBorder="1" applyAlignment="1">
      <alignment horizontal="center"/>
    </xf>
    <xf numFmtId="0" fontId="27" fillId="0" borderId="0" xfId="0" applyFont="1" applyAlignment="1">
      <alignment horizontal="center"/>
    </xf>
    <xf numFmtId="0" fontId="3" fillId="0" borderId="6" xfId="0" applyFont="1" applyBorder="1" applyAlignment="1">
      <alignment horizontal="center" vertical="center"/>
    </xf>
    <xf numFmtId="0" fontId="3" fillId="0" borderId="6" xfId="0" applyFont="1" applyBorder="1" applyAlignment="1">
      <alignment horizontal="center" vertical="center"/>
    </xf>
    <xf numFmtId="0" fontId="39" fillId="0" borderId="0" xfId="0" applyFont="1" applyAlignment="1">
      <alignment horizontal="center"/>
    </xf>
    <xf numFmtId="0" fontId="40" fillId="0" borderId="0" xfId="0" applyFont="1" applyAlignment="1">
      <alignment horizontal="center"/>
    </xf>
    <xf numFmtId="0" fontId="31" fillId="0" borderId="0" xfId="0" applyFont="1" applyAlignment="1">
      <alignment horizontal="center"/>
    </xf>
    <xf numFmtId="0" fontId="41" fillId="0" borderId="0" xfId="0" applyFont="1" applyAlignment="1">
      <alignment horizontal="center"/>
    </xf>
    <xf numFmtId="0" fontId="5" fillId="2" borderId="13" xfId="0" applyFont="1" applyFill="1" applyBorder="1" applyAlignment="1">
      <alignment horizontal="center" vertical="center"/>
    </xf>
    <xf numFmtId="0" fontId="41" fillId="0" borderId="6" xfId="0" applyFont="1" applyBorder="1" applyAlignment="1">
      <alignment horizontal="center"/>
    </xf>
    <xf numFmtId="0" fontId="28" fillId="0" borderId="14" xfId="0" applyFont="1" applyBorder="1" applyAlignment="1">
      <alignment horizontal="center"/>
    </xf>
    <xf numFmtId="0" fontId="28"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vertical="top"/>
    </xf>
    <xf numFmtId="0" fontId="3" fillId="0" borderId="0" xfId="0" applyFont="1" applyAlignment="1">
      <alignment horizontal="center"/>
    </xf>
    <xf numFmtId="0" fontId="3" fillId="0" borderId="6" xfId="0" applyFont="1" applyBorder="1" applyAlignment="1">
      <alignment horizontal="center" vertical="top"/>
    </xf>
    <xf numFmtId="0" fontId="23" fillId="0" borderId="6" xfId="0" applyFont="1" applyBorder="1" applyAlignment="1">
      <alignment horizontal="center"/>
    </xf>
    <xf numFmtId="0" fontId="43" fillId="0" borderId="6" xfId="0" applyFont="1" applyBorder="1" applyAlignment="1">
      <alignment horizontal="center"/>
    </xf>
    <xf numFmtId="0" fontId="44" fillId="0" borderId="6" xfId="0" applyFont="1" applyBorder="1" applyAlignment="1">
      <alignment horizontal="center"/>
    </xf>
    <xf numFmtId="0" fontId="3" fillId="0" borderId="15" xfId="0" applyFont="1" applyBorder="1" applyAlignment="1">
      <alignment horizontal="center"/>
    </xf>
    <xf numFmtId="0" fontId="3" fillId="0" borderId="15" xfId="0" applyFont="1" applyBorder="1" applyAlignment="1">
      <alignment horizontal="left"/>
    </xf>
    <xf numFmtId="0" fontId="3" fillId="0" borderId="15" xfId="0" applyFont="1" applyBorder="1" applyAlignment="1">
      <alignment horizontal="center" vertical="top"/>
    </xf>
    <xf numFmtId="0" fontId="3" fillId="0" borderId="15" xfId="0" applyFont="1" applyBorder="1" applyAlignment="1">
      <alignment horizontal="center"/>
    </xf>
    <xf numFmtId="0" fontId="23" fillId="0" borderId="15" xfId="0" applyFont="1" applyBorder="1" applyAlignment="1">
      <alignment horizontal="center"/>
    </xf>
    <xf numFmtId="0" fontId="44" fillId="0" borderId="0" xfId="0" applyFont="1" applyAlignment="1">
      <alignment horizontal="center"/>
    </xf>
    <xf numFmtId="0" fontId="43" fillId="0" borderId="0" xfId="0" applyFont="1" applyAlignment="1">
      <alignment horizontal="center"/>
    </xf>
    <xf numFmtId="0" fontId="44" fillId="0" borderId="15" xfId="0" applyFont="1" applyBorder="1" applyAlignment="1">
      <alignment horizontal="center"/>
    </xf>
    <xf numFmtId="0" fontId="32" fillId="0" borderId="0" xfId="0" applyFont="1" applyAlignment="1">
      <alignment horizontal="center" vertical="center"/>
    </xf>
    <xf numFmtId="0" fontId="10" fillId="0" borderId="6" xfId="0" applyFont="1" applyBorder="1"/>
    <xf numFmtId="0" fontId="3" fillId="0" borderId="0" xfId="0" applyFont="1" applyAlignment="1">
      <alignment horizontal="center" vertical="center"/>
    </xf>
    <xf numFmtId="0" fontId="0" fillId="0" borderId="0" xfId="0" applyFont="1" applyAlignment="1"/>
    <xf numFmtId="0" fontId="33" fillId="0" borderId="0" xfId="0" applyFont="1" applyAlignment="1">
      <alignment horizontal="center" vertical="center"/>
    </xf>
    <xf numFmtId="0" fontId="38" fillId="0" borderId="8"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xf>
    <xf numFmtId="0" fontId="35" fillId="0" borderId="0" xfId="0" applyFont="1" applyAlignment="1">
      <alignment horizontal="center"/>
    </xf>
    <xf numFmtId="0" fontId="7" fillId="0" borderId="0" xfId="0" applyFont="1" applyAlignment="1">
      <alignment horizontal="center" vertical="center"/>
    </xf>
    <xf numFmtId="0" fontId="13" fillId="0" borderId="0" xfId="0" applyFont="1" applyAlignment="1">
      <alignment horizontal="center" vertical="center"/>
    </xf>
    <xf numFmtId="0" fontId="15" fillId="0" borderId="0" xfId="0" applyFont="1" applyAlignment="1">
      <alignment horizontal="center"/>
    </xf>
    <xf numFmtId="0" fontId="5" fillId="0" borderId="0" xfId="0" applyFont="1" applyAlignment="1">
      <alignment horizontal="left"/>
    </xf>
    <xf numFmtId="0" fontId="5" fillId="0" borderId="0" xfId="0" applyFont="1" applyAlignment="1">
      <alignment horizontal="center" vertical="center"/>
    </xf>
    <xf numFmtId="0" fontId="2" fillId="0" borderId="0" xfId="0" applyFont="1" applyAlignment="1">
      <alignment horizontal="left" vertical="center"/>
    </xf>
    <xf numFmtId="0" fontId="10" fillId="0" borderId="15" xfId="0" applyFont="1" applyBorder="1"/>
    <xf numFmtId="0" fontId="3" fillId="0" borderId="0" xfId="0" applyFont="1" applyAlignment="1">
      <alignment horizontal="center" vertical="top"/>
    </xf>
    <xf numFmtId="166" fontId="3" fillId="0" borderId="0" xfId="0" applyNumberFormat="1" applyFont="1" applyAlignment="1">
      <alignment horizontal="center" vertical="top"/>
    </xf>
    <xf numFmtId="0" fontId="42"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1</xdr:row>
      <xdr:rowOff>47625</xdr:rowOff>
    </xdr:from>
    <xdr:ext cx="7696200" cy="619125"/>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257175</xdr:colOff>
      <xdr:row>85</xdr:row>
      <xdr:rowOff>171450</xdr:rowOff>
    </xdr:from>
    <xdr:ext cx="4191000" cy="809625"/>
    <xdr:pic>
      <xdr:nvPicPr>
        <xdr:cNvPr id="3" name="image1.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VMI0BDYgzwaiXSZALf0b5AtugfN-Sfk1/view?usp=drive_link" TargetMode="External"/><Relationship Id="rId21" Type="http://schemas.openxmlformats.org/officeDocument/2006/relationships/hyperlink" Target="https://drive.google.com/file/d/13Su7_qWvUtdILpdgBF7mvvZJ8vuHXpWT/view?usp=drive_link" TargetMode="External"/><Relationship Id="rId42" Type="http://schemas.openxmlformats.org/officeDocument/2006/relationships/hyperlink" Target="https://drive.google.com/file/d/1Gy9xSKGEEv8iLaUx-yYm5owKan8EluW_/view?usp=drive_link" TargetMode="External"/><Relationship Id="rId63" Type="http://schemas.openxmlformats.org/officeDocument/2006/relationships/hyperlink" Target="https://drive.google.com/file/d/1B1ygImAI5ZNQzH1vSQt6lRHWV79iHSJ-/view?usp=drive_link" TargetMode="External"/><Relationship Id="rId84" Type="http://schemas.openxmlformats.org/officeDocument/2006/relationships/hyperlink" Target="https://drive.google.com/file/d/1LAxqVWmkh2eBWWsaCjWyJF5giG1ilsna/view?usp=drive_link" TargetMode="External"/><Relationship Id="rId138" Type="http://schemas.openxmlformats.org/officeDocument/2006/relationships/hyperlink" Target="https://drive.google.com/file/d/1Hd68BNM6MU07EtOIZbj_wphL-7uz86w3/view?usp=drive_link" TargetMode="External"/><Relationship Id="rId159" Type="http://schemas.openxmlformats.org/officeDocument/2006/relationships/hyperlink" Target="https://drive.google.com/file/d/1ttPR7wp4lsnbfqlSnSaM632ulbzomqVq/view?usp=drive_link" TargetMode="External"/><Relationship Id="rId170" Type="http://schemas.openxmlformats.org/officeDocument/2006/relationships/hyperlink" Target="https://drive.google.com/file/d/1S3fLtCIZLo-ZHwZCgPA0gqwNjb9QNbGO/view?usp=drive_link" TargetMode="External"/><Relationship Id="rId191" Type="http://schemas.openxmlformats.org/officeDocument/2006/relationships/hyperlink" Target="https://drive.google.com/file/d/1ragvVffxmanu4qy3ft3ZESO-pPc3yC2D/view?usp=drive_link" TargetMode="External"/><Relationship Id="rId205" Type="http://schemas.openxmlformats.org/officeDocument/2006/relationships/hyperlink" Target="https://drive.google.com/file/d/1tWmuoTZtRLWYjbS1uO_sTxgECbPoAQ3q/view?usp=drive_link" TargetMode="External"/><Relationship Id="rId226" Type="http://schemas.openxmlformats.org/officeDocument/2006/relationships/vmlDrawing" Target="../drawings/vmlDrawing1.vml"/><Relationship Id="rId107" Type="http://schemas.openxmlformats.org/officeDocument/2006/relationships/hyperlink" Target="https://drive.google.com/file/d/1YQaXIOb01_uWvbc4ac-zTA3nVRliDtJX/view?usp=drive_link" TargetMode="External"/><Relationship Id="rId11" Type="http://schemas.openxmlformats.org/officeDocument/2006/relationships/hyperlink" Target="https://drive.google.com/file/d/1dUXnZo9cbmNCMm1lmW4xj4TSnZA9FMZp/view?usp=drive_link" TargetMode="External"/><Relationship Id="rId32" Type="http://schemas.openxmlformats.org/officeDocument/2006/relationships/hyperlink" Target="https://drive.google.com/file/d/14t4xRBgEtvUbGtTHrgIjTCGXba_HyUKZ/view?usp=drive_link" TargetMode="External"/><Relationship Id="rId53" Type="http://schemas.openxmlformats.org/officeDocument/2006/relationships/hyperlink" Target="https://drive.google.com/file/d/1saH_cXiI9wXEf9FEw_xWEzgzPVwjLF7-/view?usp=drive_link" TargetMode="External"/><Relationship Id="rId74" Type="http://schemas.openxmlformats.org/officeDocument/2006/relationships/hyperlink" Target="https://drive.google.com/file/d/1gW1rdSFQnqhQKU3El3nTO5YCsPu_-6eo/view?usp=drive_link" TargetMode="External"/><Relationship Id="rId128" Type="http://schemas.openxmlformats.org/officeDocument/2006/relationships/hyperlink" Target="https://drive.google.com/file/d/18LJsuwL-GTJKlo3Es78rOof7EoKbwBSa/view?usp=drive_link" TargetMode="External"/><Relationship Id="rId149" Type="http://schemas.openxmlformats.org/officeDocument/2006/relationships/hyperlink" Target="https://drive.google.com/file/d/1MNR6cHftY0BlqDUwiioZMJY5ouVuq3-R/view?usp=drive_link" TargetMode="External"/><Relationship Id="rId5" Type="http://schemas.openxmlformats.org/officeDocument/2006/relationships/hyperlink" Target="https://drive.google.com/file/d/18Dl-hOsUT1AWyM05M3Rb30QPH2fY8Fot/view?usp=drive_link" TargetMode="External"/><Relationship Id="rId95" Type="http://schemas.openxmlformats.org/officeDocument/2006/relationships/hyperlink" Target="https://drive.google.com/file/d/1LMWN3B6ZIabghEn2-kPQP6nH01n_PXT5/view?usp=drive_link" TargetMode="External"/><Relationship Id="rId160" Type="http://schemas.openxmlformats.org/officeDocument/2006/relationships/hyperlink" Target="https://drive.google.com/file/d/1vy4Wqa6b9rT28nHYsStI9bb7ApZ_Hqjf/view?usp=drive_link" TargetMode="External"/><Relationship Id="rId181" Type="http://schemas.openxmlformats.org/officeDocument/2006/relationships/hyperlink" Target="https://drive.google.com/file/d/1aQvNPPI8WoUwzo77qrvKUmJ6DKecGI0k/view?usp=drive_link" TargetMode="External"/><Relationship Id="rId216" Type="http://schemas.openxmlformats.org/officeDocument/2006/relationships/hyperlink" Target="https://drive.google.com/file/d/1WQWEa7tW3ZlHFZSPWedNkedptvQGYwPx/view?usp=drive_link" TargetMode="External"/><Relationship Id="rId211" Type="http://schemas.openxmlformats.org/officeDocument/2006/relationships/hyperlink" Target="https://drive.google.com/file/d/1novNgeWhrcfvR05wqwOlFXJZDT5_kdQ8/view?usp=drive_link" TargetMode="External"/><Relationship Id="rId22" Type="http://schemas.openxmlformats.org/officeDocument/2006/relationships/hyperlink" Target="https://drive.google.com/file/d/1rwUk-MwvWf2ECTrZYoqtCwA3VGzkDX92/view?usp=drive_link" TargetMode="External"/><Relationship Id="rId27" Type="http://schemas.openxmlformats.org/officeDocument/2006/relationships/hyperlink" Target="https://drive.google.com/file/d/1yjCtjFCoTOhfzLxSLnm53qsAnDXPLHl_/view?usp=drive_link" TargetMode="External"/><Relationship Id="rId43" Type="http://schemas.openxmlformats.org/officeDocument/2006/relationships/hyperlink" Target="https://drive.google.com/file/d/1cBR90aFy94_WCbL4l3Wz4xXcdLOdyZUT/view?usp=drive_link" TargetMode="External"/><Relationship Id="rId48" Type="http://schemas.openxmlformats.org/officeDocument/2006/relationships/hyperlink" Target="https://drive.google.com/file/d/1rwUk-MwvWf2ECTrZYoqtCwA3VGzkDX92/view?usp=drive_link" TargetMode="External"/><Relationship Id="rId64" Type="http://schemas.openxmlformats.org/officeDocument/2006/relationships/hyperlink" Target="https://drive.google.com/file/d/1hhxDtGEGWpW9vUZMdvfljSU315RJa6tJ/view?usp=drive_link" TargetMode="External"/><Relationship Id="rId69" Type="http://schemas.openxmlformats.org/officeDocument/2006/relationships/hyperlink" Target="https://drive.google.com/file/d/13jDYpbeYJzYGMVui09QHBootwGyfV2P3/view?usp=drive_link" TargetMode="External"/><Relationship Id="rId113" Type="http://schemas.openxmlformats.org/officeDocument/2006/relationships/hyperlink" Target="https://drive.google.com/file/d/1m6gU1W7DxNTkKxXVcPGjtzj62or0WfzK/view?usp=drive_link" TargetMode="External"/><Relationship Id="rId118" Type="http://schemas.openxmlformats.org/officeDocument/2006/relationships/hyperlink" Target="https://drive.google.com/file/d/1MsXnBzorpHTMtAUkW_K_1JRyRL7pXJAr/view?usp=drive_link" TargetMode="External"/><Relationship Id="rId134" Type="http://schemas.openxmlformats.org/officeDocument/2006/relationships/hyperlink" Target="https://drive.google.com/file/d/1hrMwRyxCUvtb7W9MxuuZfi-DnN_G5k5T/view?usp=drive_link" TargetMode="External"/><Relationship Id="rId139" Type="http://schemas.openxmlformats.org/officeDocument/2006/relationships/hyperlink" Target="https://drive.google.com/file/d/1cvycGBnmamwai5hDxEQ9o5BI59Hx81-f/view?usp=drive_link" TargetMode="External"/><Relationship Id="rId80" Type="http://schemas.openxmlformats.org/officeDocument/2006/relationships/hyperlink" Target="https://drive.google.com/file/d/1gW1rdSFQnqhQKU3El3nTO5YCsPu_-6eo/view?usp=drive_link" TargetMode="External"/><Relationship Id="rId85" Type="http://schemas.openxmlformats.org/officeDocument/2006/relationships/hyperlink" Target="https://drive.google.com/file/d/1f9qGI81EKVL8O55gTnExC_U_oeRI7W4I/view?usp=drive_link" TargetMode="External"/><Relationship Id="rId150" Type="http://schemas.openxmlformats.org/officeDocument/2006/relationships/hyperlink" Target="https://drive.google.com/file/d/119MSRX9tX6BxvGS3OH7oJdk6Uz1mVSKF/view?usp=drive_link" TargetMode="External"/><Relationship Id="rId155" Type="http://schemas.openxmlformats.org/officeDocument/2006/relationships/hyperlink" Target="https://drive.google.com/file/d/1P2HH9RO_J-oZBgBPLBvyslP255ISuzPK/view?usp=drive_link" TargetMode="External"/><Relationship Id="rId171" Type="http://schemas.openxmlformats.org/officeDocument/2006/relationships/hyperlink" Target="https://drive.google.com/file/d/17pvUsg58vNUKlc-vGIzTeLi14W53OWMd/view?usp=drive_link" TargetMode="External"/><Relationship Id="rId176" Type="http://schemas.openxmlformats.org/officeDocument/2006/relationships/hyperlink" Target="https://drive.google.com/file/d/1wu_Jmq-JJXRHv27vWst0LL4x7FU-PVWv/view?usp=drive_link" TargetMode="External"/><Relationship Id="rId192" Type="http://schemas.openxmlformats.org/officeDocument/2006/relationships/hyperlink" Target="https://drive.google.com/file/d/1JlYL_CpLVFi3qbWEh8B2rbnog8LQrwWh/view?usp=drive_link" TargetMode="External"/><Relationship Id="rId197" Type="http://schemas.openxmlformats.org/officeDocument/2006/relationships/hyperlink" Target="https://drive.google.com/file/d/1LRUv3mBf2otXCFxjiuiOvYKZpih_iYb_/view?usp=drive_link" TargetMode="External"/><Relationship Id="rId206" Type="http://schemas.openxmlformats.org/officeDocument/2006/relationships/hyperlink" Target="https://drive.google.com/file/d/1f_nElb8nYIHQtu-wYWB_q_sOjweqT4Bt/view?usp=drive_link" TargetMode="External"/><Relationship Id="rId227" Type="http://schemas.openxmlformats.org/officeDocument/2006/relationships/comments" Target="../comments1.xml"/><Relationship Id="rId201" Type="http://schemas.openxmlformats.org/officeDocument/2006/relationships/hyperlink" Target="https://drive.google.com/file/d/1KgUG7pQfM9yqqEKiXtEcu2VHOilXYcH8/view?usp=drive_link" TargetMode="External"/><Relationship Id="rId222" Type="http://schemas.openxmlformats.org/officeDocument/2006/relationships/hyperlink" Target="https://drive.google.com/file/d/1WLJSHdi3XRfta9sL4t0karK1eLIcQAe9/view?usp=drive_link" TargetMode="External"/><Relationship Id="rId12" Type="http://schemas.openxmlformats.org/officeDocument/2006/relationships/hyperlink" Target="https://drive.google.com/file/d/1rIvIZ8LmFPFE1F10Y11cOCnjpRJcX0z_/view?usp=drive_link" TargetMode="External"/><Relationship Id="rId17" Type="http://schemas.openxmlformats.org/officeDocument/2006/relationships/hyperlink" Target="https://drive.google.com/file/d/1lEo4RK9GpjbQAsbeueS-fIRnasM7dKW5/view?usp=drive_link" TargetMode="External"/><Relationship Id="rId33" Type="http://schemas.openxmlformats.org/officeDocument/2006/relationships/hyperlink" Target="https://drive.google.com/file/d/1b3tMtK8wzBtZeri5oH1qv95O4QlHbv7a/view?usp=drive_link" TargetMode="External"/><Relationship Id="rId38" Type="http://schemas.openxmlformats.org/officeDocument/2006/relationships/hyperlink" Target="https://drive.google.com/file/d/1GU8v8TD8k0HuZ0WyjutzhodI4BjPGu7b/view?usp=drive_link" TargetMode="External"/><Relationship Id="rId59" Type="http://schemas.openxmlformats.org/officeDocument/2006/relationships/hyperlink" Target="https://drive.google.com/file/d/1DkuaOs6d-1fq1nzq5xiYI-H08oJoKvnN/view?usp=drive_link" TargetMode="External"/><Relationship Id="rId103" Type="http://schemas.openxmlformats.org/officeDocument/2006/relationships/hyperlink" Target="https://drive.google.com/file/d/1W2A2u42i1RrScC8yplgFtGfsyqcIbvfB/view?usp=drive_link" TargetMode="External"/><Relationship Id="rId108" Type="http://schemas.openxmlformats.org/officeDocument/2006/relationships/hyperlink" Target="https://drive.google.com/file/d/1LbsWK063KTKo_J7x-v3Ux_OffXNVSOwB/view?usp=drive_link" TargetMode="External"/><Relationship Id="rId124" Type="http://schemas.openxmlformats.org/officeDocument/2006/relationships/hyperlink" Target="https://drive.google.com/file/d/1ycjP0MCioPTUwgECQxleeVLGeRF4ZysE/view?usp=drive_link" TargetMode="External"/><Relationship Id="rId129" Type="http://schemas.openxmlformats.org/officeDocument/2006/relationships/hyperlink" Target="https://drive.google.com/file/d/1DYFZrd0AH_ZxMMLiSbqd3cuC93SSI6Qn/view?usp=drive_link" TargetMode="External"/><Relationship Id="rId54" Type="http://schemas.openxmlformats.org/officeDocument/2006/relationships/hyperlink" Target="https://drive.google.com/file/d/175aHrO20t0D8pCF8cJnD0kNYCzoQ4k4t/view?usp=drive_link" TargetMode="External"/><Relationship Id="rId70" Type="http://schemas.openxmlformats.org/officeDocument/2006/relationships/hyperlink" Target="https://drive.google.com/file/d/1dxXhaX_Kzsvmeb_pEIpGVEBqESZ9VJYP/view?usp=drive_link" TargetMode="External"/><Relationship Id="rId75" Type="http://schemas.openxmlformats.org/officeDocument/2006/relationships/hyperlink" Target="https://drive.google.com/file/d/1_nHdEVzTHfSa8kQOVfTNKpRSfFs86ZCN/view?usp=drive_link" TargetMode="External"/><Relationship Id="rId91" Type="http://schemas.openxmlformats.org/officeDocument/2006/relationships/hyperlink" Target="https://drive.google.com/file/d/1gfoXW-n32_cGb4XeugafHcHGXXXwBgEb/view?usp=drive_link" TargetMode="External"/><Relationship Id="rId96" Type="http://schemas.openxmlformats.org/officeDocument/2006/relationships/hyperlink" Target="https://drive.google.com/file/d/1d350u0c8HN2ipT-ycEoQQon0dkM0fRyJ/view?usp=drive_link" TargetMode="External"/><Relationship Id="rId140" Type="http://schemas.openxmlformats.org/officeDocument/2006/relationships/hyperlink" Target="https://drive.google.com/file/d/1LnwFITg82MUUmBJuRJh1u1HAqNoyB4bb/view?usp=drive_link" TargetMode="External"/><Relationship Id="rId145" Type="http://schemas.openxmlformats.org/officeDocument/2006/relationships/hyperlink" Target="https://drive.google.com/file/d/1uQOu8gtZhRNsFDxz5VGeSdDrdEQIHqDB/view?usp=drive_link" TargetMode="External"/><Relationship Id="rId161" Type="http://schemas.openxmlformats.org/officeDocument/2006/relationships/hyperlink" Target="https://drive.google.com/file/d/1ZCy_YOg46gZvY88oh_LG6fbvGPv4yygB/view?usp=drive_link" TargetMode="External"/><Relationship Id="rId166" Type="http://schemas.openxmlformats.org/officeDocument/2006/relationships/hyperlink" Target="https://drive.google.com/file/d/1ywWkuQ7JPn4PoKwdMWRjTfyc-n-4rGCr/view?usp=drive_link" TargetMode="External"/><Relationship Id="rId182" Type="http://schemas.openxmlformats.org/officeDocument/2006/relationships/hyperlink" Target="https://drive.google.com/file/d/1VUZFRGoHeUBILEnfXJs5Dp_5LCvK7-Uf/view?usp=drive_link" TargetMode="External"/><Relationship Id="rId187" Type="http://schemas.openxmlformats.org/officeDocument/2006/relationships/hyperlink" Target="https://drive.google.com/file/d/1CdTsD_PbSnkTeH-SEP1nAo9cxZlkXOaO/view?usp=drive_link" TargetMode="External"/><Relationship Id="rId217" Type="http://schemas.openxmlformats.org/officeDocument/2006/relationships/hyperlink" Target="https://drive.google.com/file/d/1LMAsf82i0Hg5wL5Oj-Mf-hMJjHuxh4AJ/view?usp=drive_link" TargetMode="External"/><Relationship Id="rId1" Type="http://schemas.openxmlformats.org/officeDocument/2006/relationships/hyperlink" Target="https://drive.google.com/file/d/1A63MDI8jDae677-H5OHpp-d9MftNMPhz/view?usp=drive_link" TargetMode="External"/><Relationship Id="rId6" Type="http://schemas.openxmlformats.org/officeDocument/2006/relationships/hyperlink" Target="https://drive.google.com/file/d/1moL9zLe8IrQiEV2SExa4DsueuBf1Y2I2/view?usp=drive_link" TargetMode="External"/><Relationship Id="rId212" Type="http://schemas.openxmlformats.org/officeDocument/2006/relationships/hyperlink" Target="https://drive.google.com/file/d/1NTBb73z417vbwT1ua0jsksqJuGXP7GjQ/view?usp=drive_link" TargetMode="External"/><Relationship Id="rId23" Type="http://schemas.openxmlformats.org/officeDocument/2006/relationships/hyperlink" Target="https://drive.google.com/file/d/1vGdgCHbVQiA4AbnlJW3suBtMoQwJDUz2/view?usp=drive_link" TargetMode="External"/><Relationship Id="rId28" Type="http://schemas.openxmlformats.org/officeDocument/2006/relationships/hyperlink" Target="https://drive.google.com/file/d/1g97mmqigeFpybxCYwX4qcLU-idc9AK9J/view?usp=drive_link" TargetMode="External"/><Relationship Id="rId49" Type="http://schemas.openxmlformats.org/officeDocument/2006/relationships/hyperlink" Target="https://drive.google.com/file/d/1rwUk-MwvWf2ECTrZYoqtCwA3VGzkDX92/view?usp=drive_link" TargetMode="External"/><Relationship Id="rId114" Type="http://schemas.openxmlformats.org/officeDocument/2006/relationships/hyperlink" Target="https://drive.google.com/file/d/1GmDo-Ey5FHUsenlHjHP11N69EXVhsex1/view?usp=drive_link" TargetMode="External"/><Relationship Id="rId119" Type="http://schemas.openxmlformats.org/officeDocument/2006/relationships/hyperlink" Target="https://drive.google.com/file/d/1GmDo-Ey5FHUsenlHjHP11N69EXVhsex1/view?usp=drive_link" TargetMode="External"/><Relationship Id="rId44" Type="http://schemas.openxmlformats.org/officeDocument/2006/relationships/hyperlink" Target="https://drive.google.com/file/d/1o17ZdeU8J8GUDXLek88A4o0j8NM2L2WY/view?usp=drive_link" TargetMode="External"/><Relationship Id="rId60" Type="http://schemas.openxmlformats.org/officeDocument/2006/relationships/hyperlink" Target="https://drive.google.com/file/d/1PUXGPSJd0KKNU8JBAxge3U3V4-fBxO-0/view?usp=drive_link" TargetMode="External"/><Relationship Id="rId65" Type="http://schemas.openxmlformats.org/officeDocument/2006/relationships/hyperlink" Target="https://drive.google.com/file/d/18Q31g4VLZkR0PtiOq27M677lD8GLIC-m/view?usp=drive_link" TargetMode="External"/><Relationship Id="rId81" Type="http://schemas.openxmlformats.org/officeDocument/2006/relationships/hyperlink" Target="https://drive.google.com/file/d/1mtuQo-hc4Rkk-X4yn6Uj9ZJo-T1ZvP20/view?usp=drive_link" TargetMode="External"/><Relationship Id="rId86" Type="http://schemas.openxmlformats.org/officeDocument/2006/relationships/hyperlink" Target="https://drive.google.com/file/d/1S_ZsPbZELeDDoTw553w9D9zxqAsRSeEf/view?usp=drive_link" TargetMode="External"/><Relationship Id="rId130" Type="http://schemas.openxmlformats.org/officeDocument/2006/relationships/hyperlink" Target="https://drive.google.com/file/d/1gE4Z0gJ93j-hrY0usycWBPfvbIL89T8d/view?usp=drive_link" TargetMode="External"/><Relationship Id="rId135" Type="http://schemas.openxmlformats.org/officeDocument/2006/relationships/hyperlink" Target="https://drive.google.com/file/d/1vMyHfG1ObZRLotEg7qevgff3Zd3OBeY6/view?usp=drive_link" TargetMode="External"/><Relationship Id="rId151" Type="http://schemas.openxmlformats.org/officeDocument/2006/relationships/hyperlink" Target="https://drive.google.com/file/d/1OE125D2cgp3Z3m-0YvHD-ChHl1LfeGsm/view?usp=drive_link" TargetMode="External"/><Relationship Id="rId156" Type="http://schemas.openxmlformats.org/officeDocument/2006/relationships/hyperlink" Target="https://drive.google.com/file/d/1QyQkNvvcWfEbx0UtCo6V0t-sXn4dXu1O/view?usp=drive_link" TargetMode="External"/><Relationship Id="rId177" Type="http://schemas.openxmlformats.org/officeDocument/2006/relationships/hyperlink" Target="https://drive.google.com/file/d/1ptWkamT34AP0YIqys4HkNOsOOMUFfjYw/view?usp=drive_link" TargetMode="External"/><Relationship Id="rId198" Type="http://schemas.openxmlformats.org/officeDocument/2006/relationships/hyperlink" Target="https://drive.google.com/file/d/1VmV2o6bwkEIqsgkVf-xwWvrxYrXHeVS_/view?usp=drive_link" TargetMode="External"/><Relationship Id="rId172" Type="http://schemas.openxmlformats.org/officeDocument/2006/relationships/hyperlink" Target="https://drive.google.com/file/d/1iGp6qC74YKFWW1Bz7C8OBxabCZjEyD73/view?usp=drive_link" TargetMode="External"/><Relationship Id="rId193" Type="http://schemas.openxmlformats.org/officeDocument/2006/relationships/hyperlink" Target="https://drive.google.com/file/d/1k_EbMtheEbVxh0606w56UoiO0eQnljOH/view?usp=drive_link" TargetMode="External"/><Relationship Id="rId202" Type="http://schemas.openxmlformats.org/officeDocument/2006/relationships/hyperlink" Target="https://drive.google.com/file/d/1WaZRcrkPYo4qCcQS8zYNln-nc_11QaK8/view?usp=drive_link" TargetMode="External"/><Relationship Id="rId207" Type="http://schemas.openxmlformats.org/officeDocument/2006/relationships/hyperlink" Target="https://drive.google.com/file/d/1PR4NoN5S_-MgHtnVVO4UU6qMBXZ6y8GG/view?usp=drive_link" TargetMode="External"/><Relationship Id="rId223" Type="http://schemas.openxmlformats.org/officeDocument/2006/relationships/hyperlink" Target="https://drive.google.com/file/d/1kqttTu93LcBY93-61jnXrz3Vi8AXuI2I/view?usp=drive_link" TargetMode="External"/><Relationship Id="rId13" Type="http://schemas.openxmlformats.org/officeDocument/2006/relationships/hyperlink" Target="https://drive.google.com/file/d/107W32MwXBOULqxsNrx1H2VjWt1qju3Iw/view?usp=drive_link" TargetMode="External"/><Relationship Id="rId18" Type="http://schemas.openxmlformats.org/officeDocument/2006/relationships/hyperlink" Target="https://drive.google.com/file/d/1i-i4r1HvHXop2D9ewcP_4z2DlNqthFSE/view?usp=drive_link" TargetMode="External"/><Relationship Id="rId39" Type="http://schemas.openxmlformats.org/officeDocument/2006/relationships/hyperlink" Target="https://drive.google.com/file/d/1wI-jRC7bFcAFaJ2Mz58AvkBybhB8A55S/view?usp=drive_link" TargetMode="External"/><Relationship Id="rId109" Type="http://schemas.openxmlformats.org/officeDocument/2006/relationships/hyperlink" Target="https://drive.google.com/file/d/1KV01jd342NKES0NV_mRnYyHh3KtqUd-3/view?usp=drive_link" TargetMode="External"/><Relationship Id="rId34" Type="http://schemas.openxmlformats.org/officeDocument/2006/relationships/hyperlink" Target="https://drive.google.com/file/d/1JcApGvtgPzovQuTfbG4-ivQykrMwNc8R/view?usp=drive_link" TargetMode="External"/><Relationship Id="rId50" Type="http://schemas.openxmlformats.org/officeDocument/2006/relationships/hyperlink" Target="https://drive.google.com/file/d/1GEBAXbjYHceS59jTSzvH_uj-FiWJF84p/view?usp=drive_link" TargetMode="External"/><Relationship Id="rId55" Type="http://schemas.openxmlformats.org/officeDocument/2006/relationships/hyperlink" Target="https://drive.google.com/file/d/1mLm-AgNy3N1ElSH3Bni-Gnd1cMoAFkiQ/view?usp=drive_link" TargetMode="External"/><Relationship Id="rId76" Type="http://schemas.openxmlformats.org/officeDocument/2006/relationships/hyperlink" Target="https://drive.google.com/file/d/1aPiUe3JbrN0cT0RwcVU0zZvUZ8iF_rya/view?usp=drive_link" TargetMode="External"/><Relationship Id="rId97" Type="http://schemas.openxmlformats.org/officeDocument/2006/relationships/hyperlink" Target="https://drive.google.com/file/d/1viEM_o4bTQpdO9NA-dN30g3fBNOFZxo_/view?usp=drive_link" TargetMode="External"/><Relationship Id="rId104" Type="http://schemas.openxmlformats.org/officeDocument/2006/relationships/hyperlink" Target="https://drive.google.com/file/d/19r7JBigFJAYmebxCkV2dwbN5jtgUrfaY/view?usp=drive_link" TargetMode="External"/><Relationship Id="rId120" Type="http://schemas.openxmlformats.org/officeDocument/2006/relationships/hyperlink" Target="https://drive.google.com/file/d/1rphaY1bwFbwfmbtZ5uZ6OSvJeAnyTUqF/view?usp=drive_link" TargetMode="External"/><Relationship Id="rId125" Type="http://schemas.openxmlformats.org/officeDocument/2006/relationships/hyperlink" Target="https://drive.google.com/file/d/1kyPzWZfxaGOmflU41yfQxTg0IHU8cFEH/view?usp=drive_link" TargetMode="External"/><Relationship Id="rId141" Type="http://schemas.openxmlformats.org/officeDocument/2006/relationships/hyperlink" Target="https://drive.google.com/file/d/1mHOo2jNZspKDGAeb5LRmRxDXbVy_XYAE/view?usp=drive_link" TargetMode="External"/><Relationship Id="rId146" Type="http://schemas.openxmlformats.org/officeDocument/2006/relationships/hyperlink" Target="https://drive.google.com/file/d/124pOtxMLNCD1B_BIt6Z4GHU68Ms3B669/view?usp=drive_link" TargetMode="External"/><Relationship Id="rId167" Type="http://schemas.openxmlformats.org/officeDocument/2006/relationships/hyperlink" Target="https://drive.google.com/file/d/1NlboZ6PlqkJq6rdCH-RHCzu07INkcld2/view?usp=drive_link" TargetMode="External"/><Relationship Id="rId188" Type="http://schemas.openxmlformats.org/officeDocument/2006/relationships/hyperlink" Target="https://drive.google.com/file/d/1Tt8xjjnrfyQttZw1kiqWaoDWtx0ymgsZ/view?usp=drive_link" TargetMode="External"/><Relationship Id="rId7" Type="http://schemas.openxmlformats.org/officeDocument/2006/relationships/hyperlink" Target="https://drive.google.com/open?id=1y82_GOu5wVIQHJ3r_-3G2NPJpUEhQGEs&amp;usp=drive_copy" TargetMode="External"/><Relationship Id="rId71" Type="http://schemas.openxmlformats.org/officeDocument/2006/relationships/hyperlink" Target="https://drive.google.com/file/d/1agi3SGnsQGCPwQqSsGZ738j115nO8Hrg/view?usp=drive_link" TargetMode="External"/><Relationship Id="rId92" Type="http://schemas.openxmlformats.org/officeDocument/2006/relationships/hyperlink" Target="https://drive.google.com/file/d/15wRPYjYY_X22zPjl3vhyePRb_NM0IWHG/view?usp=drive_link" TargetMode="External"/><Relationship Id="rId162" Type="http://schemas.openxmlformats.org/officeDocument/2006/relationships/hyperlink" Target="https://drive.google.com/file/d/1TZLDEJKwZHzHmLJ7F3OCQOHtftnyMWAL/view?usp=drive_link" TargetMode="External"/><Relationship Id="rId183" Type="http://schemas.openxmlformats.org/officeDocument/2006/relationships/hyperlink" Target="https://drive.google.com/file/d/1Lq4RZ7y9Jpo0EXD0S375mFArPVjSwrKB/view?usp=drive_link" TargetMode="External"/><Relationship Id="rId213" Type="http://schemas.openxmlformats.org/officeDocument/2006/relationships/hyperlink" Target="https://drive.google.com/file/d/1cxABCohrH_XbgNF5lAp48PUfY8uXTo6o/view?usp=drive_link" TargetMode="External"/><Relationship Id="rId218" Type="http://schemas.openxmlformats.org/officeDocument/2006/relationships/hyperlink" Target="https://drive.google.com/file/d/1NzgYcmsjvmnhBqI1lCqikshHBnShugoQ/view?usp=drive_link" TargetMode="External"/><Relationship Id="rId2" Type="http://schemas.openxmlformats.org/officeDocument/2006/relationships/hyperlink" Target="https://drive.google.com/file/d/1a5nSPUppeP-KnVbvr0NOtv6hakikerrx/view?usp=drive_link" TargetMode="External"/><Relationship Id="rId29" Type="http://schemas.openxmlformats.org/officeDocument/2006/relationships/hyperlink" Target="https://drive.google.com/file/d/1u9vyXQhb1qaY9An9IHE9vX439SfFBPQ5/view?usp=drive_link" TargetMode="External"/><Relationship Id="rId24" Type="http://schemas.openxmlformats.org/officeDocument/2006/relationships/hyperlink" Target="https://drive.google.com/file/d/1EP1PQYTKZ4_zmoWUVc8f97urFIjC-ayG/view?usp=drive_link" TargetMode="External"/><Relationship Id="rId40" Type="http://schemas.openxmlformats.org/officeDocument/2006/relationships/hyperlink" Target="https://drive.google.com/file/d/1V7fnDMQ7Zc6IEWLe3sL0PaRd3ADlNeFR/view?usp=drive_link" TargetMode="External"/><Relationship Id="rId45" Type="http://schemas.openxmlformats.org/officeDocument/2006/relationships/hyperlink" Target="https://drive.google.com/file/d/1W-37q9yoXjhSLQJgpW2Td-ztLjuspIi7/view?usp=drive_link" TargetMode="External"/><Relationship Id="rId66" Type="http://schemas.openxmlformats.org/officeDocument/2006/relationships/hyperlink" Target="https://drive.google.com/file/d/105xc6ni5K7FWlc9Ip16hJ5i02-JK2Z8n/view?usp=drive_link" TargetMode="External"/><Relationship Id="rId87" Type="http://schemas.openxmlformats.org/officeDocument/2006/relationships/hyperlink" Target="https://drive.google.com/file/d/1OoBnIFDi4rPlH5dB2ExiwVeIlvtppwwg/view?usp=drive_link" TargetMode="External"/><Relationship Id="rId110" Type="http://schemas.openxmlformats.org/officeDocument/2006/relationships/hyperlink" Target="https://drive.google.com/file/d/1-bpGdEUo6Sk-6dvahOaAOprlkvraz7eO/view?usp=drive_link" TargetMode="External"/><Relationship Id="rId115" Type="http://schemas.openxmlformats.org/officeDocument/2006/relationships/hyperlink" Target="https://drive.google.com/file/d/1H-J3sK0PkgzdozARs_Biw2yaORr99YUj/view?usp=drive_link" TargetMode="External"/><Relationship Id="rId131" Type="http://schemas.openxmlformats.org/officeDocument/2006/relationships/hyperlink" Target="https://drive.google.com/file/d/1XUKG9B2nq-DjiPUqnFsRxGVDJAZdApu6/view?usp=drive_link" TargetMode="External"/><Relationship Id="rId136" Type="http://schemas.openxmlformats.org/officeDocument/2006/relationships/hyperlink" Target="https://drive.google.com/file/d/1A6duxy49ZOBwdMk6drs1ZzP6y98GiOUH/view?usp=drive_link" TargetMode="External"/><Relationship Id="rId157" Type="http://schemas.openxmlformats.org/officeDocument/2006/relationships/hyperlink" Target="https://drive.google.com/file/d/1lR4wLt_dh1tVOgBZoYAYI9fo0Gu5wz18/view?usp=drive_link" TargetMode="External"/><Relationship Id="rId178" Type="http://schemas.openxmlformats.org/officeDocument/2006/relationships/hyperlink" Target="https://drive.google.com/file/d/1bbBJ82hvSRx6gPNypFzQ3IlVITgYdaZs/view?usp=drive_link" TargetMode="External"/><Relationship Id="rId61" Type="http://schemas.openxmlformats.org/officeDocument/2006/relationships/hyperlink" Target="https://drive.google.com/file/d/1-G_ysQvJmvkKcS7e5pLjQ-Q24rjaZFEY/view?usp=drive_link" TargetMode="External"/><Relationship Id="rId82" Type="http://schemas.openxmlformats.org/officeDocument/2006/relationships/hyperlink" Target="https://drive.google.com/file/d/1NGFH_AJO6_16ZQ3EUHDabGqMIlpfHVhP/view?usp=drive_link" TargetMode="External"/><Relationship Id="rId152" Type="http://schemas.openxmlformats.org/officeDocument/2006/relationships/hyperlink" Target="https://drive.google.com/file/d/1xdzJoNlsfQgDRakfMfRtTCw7xpN91W-s/view?usp=drive_link" TargetMode="External"/><Relationship Id="rId173" Type="http://schemas.openxmlformats.org/officeDocument/2006/relationships/hyperlink" Target="https://drive.google.com/file/d/1eC7jh5eb0YEU2nBFMpb-QHH9Yb41w5Ka/view?usp=drive_link" TargetMode="External"/><Relationship Id="rId194" Type="http://schemas.openxmlformats.org/officeDocument/2006/relationships/hyperlink" Target="https://drive.google.com/file/d/1SlSME8jzlNZXBV-uItqfEO568aYhqi-N/view?usp=drive_link" TargetMode="External"/><Relationship Id="rId199" Type="http://schemas.openxmlformats.org/officeDocument/2006/relationships/hyperlink" Target="https://drive.google.com/file/d/1i4WNybSfMKaiyIelTwQMqr-Fz68uXHSy/view?usp=drive_link" TargetMode="External"/><Relationship Id="rId203" Type="http://schemas.openxmlformats.org/officeDocument/2006/relationships/hyperlink" Target="https://drive.google.com/file/d/1X9HoHVBtGN2PrO9K_jRZhsW1cUBKwaPg/view?usp=drive_link" TargetMode="External"/><Relationship Id="rId208" Type="http://schemas.openxmlformats.org/officeDocument/2006/relationships/hyperlink" Target="https://drive.google.com/file/d/1leLRRyss8ry-9BrgmcwxGTLgPstA8_bW/view?usp=drive_link" TargetMode="External"/><Relationship Id="rId19" Type="http://schemas.openxmlformats.org/officeDocument/2006/relationships/hyperlink" Target="https://drive.google.com/file/d/19-g0DTNLB1X-Edf9itG82eRtzt1nY8xH/view?usp=drive_link" TargetMode="External"/><Relationship Id="rId224" Type="http://schemas.openxmlformats.org/officeDocument/2006/relationships/printerSettings" Target="../printerSettings/printerSettings1.bin"/><Relationship Id="rId14" Type="http://schemas.openxmlformats.org/officeDocument/2006/relationships/hyperlink" Target="https://drive.google.com/file/d/1M6VDuOHxEdw2afUDUh_b_ZSHB6Dlq-yp/view?usp=drive_link" TargetMode="External"/><Relationship Id="rId30" Type="http://schemas.openxmlformats.org/officeDocument/2006/relationships/hyperlink" Target="https://drive.google.com/file/d/1Ra78chHXU_nxll6cK72P2i8RRXOgtUIr/view?usp=drive_link" TargetMode="External"/><Relationship Id="rId35" Type="http://schemas.openxmlformats.org/officeDocument/2006/relationships/hyperlink" Target="https://drive.google.com/file/d/1ouxLzaebrYff2DhqwaNrLiHz-h7u47RW/view?usp=drive_link" TargetMode="External"/><Relationship Id="rId56" Type="http://schemas.openxmlformats.org/officeDocument/2006/relationships/hyperlink" Target="https://drive.google.com/file/d/1DTUsY8FbiIhBaU2GfFWmj60XKv-SsEHR/view?usp=drive_link" TargetMode="External"/><Relationship Id="rId77" Type="http://schemas.openxmlformats.org/officeDocument/2006/relationships/hyperlink" Target="https://drive.google.com/file/d/1ZvzRYZHgTlKdwcUzUNeBAN69j-jrPi3r/view?usp=drive_link" TargetMode="External"/><Relationship Id="rId100" Type="http://schemas.openxmlformats.org/officeDocument/2006/relationships/hyperlink" Target="https://drive.google.com/file/d/1KJgSXQ6Vyxt9iyfEAOSqOibq19sVlcJX/view?usp=drive_link" TargetMode="External"/><Relationship Id="rId105" Type="http://schemas.openxmlformats.org/officeDocument/2006/relationships/hyperlink" Target="https://drive.google.com/file/d/1_4_wD_RsIyXR6YEpCzCg-fPI9LJ4qVI9/view?usp=drive_link" TargetMode="External"/><Relationship Id="rId126" Type="http://schemas.openxmlformats.org/officeDocument/2006/relationships/hyperlink" Target="https://drive.google.com/file/d/1X6YPf0dQqjtlH0rxE-QeGhT2q-flrUDJ/view?usp=drive_link" TargetMode="External"/><Relationship Id="rId147" Type="http://schemas.openxmlformats.org/officeDocument/2006/relationships/hyperlink" Target="https://drive.google.com/file/d/1YTDsQQu8Sd5gyjsn2qYRct2-fJc083md/view?usp=drive_link" TargetMode="External"/><Relationship Id="rId168" Type="http://schemas.openxmlformats.org/officeDocument/2006/relationships/hyperlink" Target="https://drive.google.com/file/d/1wa2i1WNf9bxNnRSYsTmcxu3An4tAnPIF/view?usp=drive_link" TargetMode="External"/><Relationship Id="rId8" Type="http://schemas.openxmlformats.org/officeDocument/2006/relationships/hyperlink" Target="https://drive.google.com/file/d/1mNIlw_fpPvu55amVBkDtr9w9m0Z0aanJ/view?usp=drive_link" TargetMode="External"/><Relationship Id="rId51" Type="http://schemas.openxmlformats.org/officeDocument/2006/relationships/hyperlink" Target="https://drive.google.com/file/d/1HDp6nBc0uIPTMML_G6vfjeid3LTnQ4Vq/view?usp=drive_link" TargetMode="External"/><Relationship Id="rId72" Type="http://schemas.openxmlformats.org/officeDocument/2006/relationships/hyperlink" Target="https://drive.google.com/file/d/1saH_cXiI9wXEf9FEw_xWEzgzPVwjLF7-/view?usp=drive_link" TargetMode="External"/><Relationship Id="rId93" Type="http://schemas.openxmlformats.org/officeDocument/2006/relationships/hyperlink" Target="https://drive.google.com/file/d/1MrjBtps3_gcvzpn-aQ1onY9v8G2J2rSW/view?usp=drive_link" TargetMode="External"/><Relationship Id="rId98" Type="http://schemas.openxmlformats.org/officeDocument/2006/relationships/hyperlink" Target="https://drive.google.com/file/d/1yh2mFFDz8YR31JXKc4BegPlZ5r0ty76C/view?usp=drive_link" TargetMode="External"/><Relationship Id="rId121" Type="http://schemas.openxmlformats.org/officeDocument/2006/relationships/hyperlink" Target="https://drive.google.com/file/d/1MSggg0fzfjk-dDW3UzsdabGL6t-hTu-Z/view?usp=drive_link" TargetMode="External"/><Relationship Id="rId142" Type="http://schemas.openxmlformats.org/officeDocument/2006/relationships/hyperlink" Target="https://drive.google.com/file/d/1NIx-XBF4t8t6g25_ifAqnhshDXNZG51Q/view?usp=drive_link" TargetMode="External"/><Relationship Id="rId163" Type="http://schemas.openxmlformats.org/officeDocument/2006/relationships/hyperlink" Target="https://drive.google.com/file/d/15UDlBZfb_NYjTvpGe7m1L5pfR1qHeheh/view?usp=drive_link" TargetMode="External"/><Relationship Id="rId184" Type="http://schemas.openxmlformats.org/officeDocument/2006/relationships/hyperlink" Target="https://drive.google.com/file/d/1PdYx_IbJtfKtHhVVtIXC2NIKfWgbZCqq/view?usp=drive_link" TargetMode="External"/><Relationship Id="rId189" Type="http://schemas.openxmlformats.org/officeDocument/2006/relationships/hyperlink" Target="https://drive.google.com/file/d/1hUa4qsDrZ-f5g-YMVmUToYF1zarz_CFH/view?usp=drive_link" TargetMode="External"/><Relationship Id="rId219" Type="http://schemas.openxmlformats.org/officeDocument/2006/relationships/hyperlink" Target="https://drive.google.com/file/d/16HORTAIeFAw7bW6RwNjWj543fDpB2b9x/view?usp=drive_link" TargetMode="External"/><Relationship Id="rId3" Type="http://schemas.openxmlformats.org/officeDocument/2006/relationships/hyperlink" Target="https://drive.google.com/file/d/1y1IBGED_DYynpA8J9B6uEUrEJvyGaIrr/view?usp=drive_link" TargetMode="External"/><Relationship Id="rId214" Type="http://schemas.openxmlformats.org/officeDocument/2006/relationships/hyperlink" Target="https://drive.google.com/file/d/1NTBb73z417vbwT1ua0jsksqJuGXP7GjQ/view?usp=drive_link" TargetMode="External"/><Relationship Id="rId25" Type="http://schemas.openxmlformats.org/officeDocument/2006/relationships/hyperlink" Target="https://drive.google.com/file/d/1rwUk-MwvWf2ECTrZYoqtCwA3VGzkDX92/view?usp=drive_link" TargetMode="External"/><Relationship Id="rId46" Type="http://schemas.openxmlformats.org/officeDocument/2006/relationships/hyperlink" Target="https://drive.google.com/file/d/13-vyMoI-eKmPxDSkfSSHMfTdZRvwkTXf/view?usp=drive_link" TargetMode="External"/><Relationship Id="rId67" Type="http://schemas.openxmlformats.org/officeDocument/2006/relationships/hyperlink" Target="https://drive.google.com/file/d/1aPiUe3JbrN0cT0RwcVU0zZvUZ8iF_rya/view?usp=drive_link" TargetMode="External"/><Relationship Id="rId116" Type="http://schemas.openxmlformats.org/officeDocument/2006/relationships/hyperlink" Target="https://drive.google.com/file/d/1CcqyNcKzsMaWp0ynmRMWYIOXIrSVCji_/view?usp=drive_link" TargetMode="External"/><Relationship Id="rId137" Type="http://schemas.openxmlformats.org/officeDocument/2006/relationships/hyperlink" Target="https://drive.google.com/file/d/1A7469IT7lKsIwhqwRXQWtBcPxMdceYaK/view?usp=drive_link" TargetMode="External"/><Relationship Id="rId158" Type="http://schemas.openxmlformats.org/officeDocument/2006/relationships/hyperlink" Target="https://drive.google.com/file/d/1ZCy_YOg46gZvY88oh_LG6fbvGPv4yygB/view?usp=drive_link" TargetMode="External"/><Relationship Id="rId20" Type="http://schemas.openxmlformats.org/officeDocument/2006/relationships/hyperlink" Target="https://drive.google.com/file/d/149Alcd3gV2EuHvR5srLhPTZwvNajkOvQ/view?usp=drive_link" TargetMode="External"/><Relationship Id="rId41" Type="http://schemas.openxmlformats.org/officeDocument/2006/relationships/hyperlink" Target="https://drive.google.com/file/d/1XeqwjZsquBgMrRya8k1fDKWCf6_CJZW8/view?usp=drive_link" TargetMode="External"/><Relationship Id="rId62" Type="http://schemas.openxmlformats.org/officeDocument/2006/relationships/hyperlink" Target="https://drive.google.com/file/d/1agi3SGnsQGCPwQqSsGZ738j115nO8Hrg/view?usp=drive_link" TargetMode="External"/><Relationship Id="rId83" Type="http://schemas.openxmlformats.org/officeDocument/2006/relationships/hyperlink" Target="https://drive.google.com/file/d/1IFTICtPuaD6XECm5e7c5V--iMgksJyVM/view?usp=drive_link" TargetMode="External"/><Relationship Id="rId88" Type="http://schemas.openxmlformats.org/officeDocument/2006/relationships/hyperlink" Target="https://drive.google.com/file/d/1xYj3oneY1H0D1lReTcMb61Ty4n3zClVD/view?usp=drive_link" TargetMode="External"/><Relationship Id="rId111" Type="http://schemas.openxmlformats.org/officeDocument/2006/relationships/hyperlink" Target="https://drive.google.com/file/d/1qoNcnZPEPF9FT745KWt1_1jDfJ4HqkgB/view?usp=drive_link" TargetMode="External"/><Relationship Id="rId132" Type="http://schemas.openxmlformats.org/officeDocument/2006/relationships/hyperlink" Target="https://drive.google.com/file/d/1GvbJzrIzUuPkp_bW4MAQi4DSmdKKtsRq/view?usp=drive_link" TargetMode="External"/><Relationship Id="rId153" Type="http://schemas.openxmlformats.org/officeDocument/2006/relationships/hyperlink" Target="https://drive.google.com/file/d/1jbDuj8bKfYH-e-eUkwwdz57q-wBlZ54q/view?usp=drive_link" TargetMode="External"/><Relationship Id="rId174" Type="http://schemas.openxmlformats.org/officeDocument/2006/relationships/hyperlink" Target="https://drive.google.com/file/d/1dNwDmCmWzX8HDStklEk688QTTOk2nqmj/view?usp=drive_link" TargetMode="External"/><Relationship Id="rId179" Type="http://schemas.openxmlformats.org/officeDocument/2006/relationships/hyperlink" Target="https://drive.google.com/file/d/1pN9rK_ZRpgPenkMvRJwg4bNqVOQThwRQ/view?usp=drive_link" TargetMode="External"/><Relationship Id="rId195" Type="http://schemas.openxmlformats.org/officeDocument/2006/relationships/hyperlink" Target="https://drive.google.com/file/d/1D0cDvwO8PX5sSzp9U5qLFZJHc2_0Lhzp/view?usp=drive_link" TargetMode="External"/><Relationship Id="rId209" Type="http://schemas.openxmlformats.org/officeDocument/2006/relationships/hyperlink" Target="https://drive.google.com/file/d/1dxinztMCgccOxcOfEYhTVhqg1PjnwrRS/view?usp=drive_link" TargetMode="External"/><Relationship Id="rId190" Type="http://schemas.openxmlformats.org/officeDocument/2006/relationships/hyperlink" Target="https://drive.google.com/file/d/1auXO817HUA_hkMaxPQi5ff1meY3U-ijb/view?usp=drive_link" TargetMode="External"/><Relationship Id="rId204" Type="http://schemas.openxmlformats.org/officeDocument/2006/relationships/hyperlink" Target="https://drive.google.com/file/d/1swd0GvkUkNuo4xhisimg_MMc1-cvQVSx/view?usp=drive_link" TargetMode="External"/><Relationship Id="rId220" Type="http://schemas.openxmlformats.org/officeDocument/2006/relationships/hyperlink" Target="https://drive.google.com/file/d/16HORTAIeFAw7bW6RwNjWj543fDpB2b9x/view?usp=drive_link" TargetMode="External"/><Relationship Id="rId225" Type="http://schemas.openxmlformats.org/officeDocument/2006/relationships/drawing" Target="../drawings/drawing1.xml"/><Relationship Id="rId15" Type="http://schemas.openxmlformats.org/officeDocument/2006/relationships/hyperlink" Target="https://drive.google.com/file/d/1Xu16Skr0Gz-PR5zGS7WHtW5hi-wgFzOq/view?usp=drive_link" TargetMode="External"/><Relationship Id="rId36" Type="http://schemas.openxmlformats.org/officeDocument/2006/relationships/hyperlink" Target="https://drive.google.com/file/d/1B6dAJIHsKVFM7BBTzD1T6yPf93iKluAo/view?usp=drive_link" TargetMode="External"/><Relationship Id="rId57" Type="http://schemas.openxmlformats.org/officeDocument/2006/relationships/hyperlink" Target="https://drive.google.com/file/d/1UT6SzRm8EDB0SG6SL9Fl9QNZnUgrQe7G/view?usp=drive_link" TargetMode="External"/><Relationship Id="rId106" Type="http://schemas.openxmlformats.org/officeDocument/2006/relationships/hyperlink" Target="https://drive.google.com/file/d/1E-GBvR7ZO8-uLNMF198mMEDvlyQNhaj7/view?usp=drive_link" TargetMode="External"/><Relationship Id="rId127" Type="http://schemas.openxmlformats.org/officeDocument/2006/relationships/hyperlink" Target="https://drive.google.com/file/d/17LgCSMZu1EFP0T3Foz7kMehNaDI9Za2l/view?usp=drive_link" TargetMode="External"/><Relationship Id="rId10" Type="http://schemas.openxmlformats.org/officeDocument/2006/relationships/hyperlink" Target="https://drive.google.com/file/d/1H7dVQRI5p6Mz0aQOlAOGirArjv2wPNsZ/view?usp=drive_link" TargetMode="External"/><Relationship Id="rId31" Type="http://schemas.openxmlformats.org/officeDocument/2006/relationships/hyperlink" Target="https://drive.google.com/file/d/1YKG9-Pr7mbMqnRKmiACwn4e-SfqflN5Q/view?usp=drive_link" TargetMode="External"/><Relationship Id="rId52" Type="http://schemas.openxmlformats.org/officeDocument/2006/relationships/hyperlink" Target="https://drive.google.com/file/d/1agi3SGnsQGCPwQqSsGZ738j115nO8Hrg/view?usp=drive_link" TargetMode="External"/><Relationship Id="rId73" Type="http://schemas.openxmlformats.org/officeDocument/2006/relationships/hyperlink" Target="https://drive.google.com/file/d/1cFcYMwJSbrbgcuqkfx10oClAhw72O90G/view?usp=drive_link" TargetMode="External"/><Relationship Id="rId78" Type="http://schemas.openxmlformats.org/officeDocument/2006/relationships/hyperlink" Target="https://drive.google.com/file/d/12TXnjeWaW9Nj6vO7ukG7WJ63E44mNhHZ/view?usp=drive_link" TargetMode="External"/><Relationship Id="rId94" Type="http://schemas.openxmlformats.org/officeDocument/2006/relationships/hyperlink" Target="https://drive.google.com/file/d/1c9mKP6-YP4TpFiM82RFU3Y5yHnN68ZVL/view?usp=drive_link" TargetMode="External"/><Relationship Id="rId99" Type="http://schemas.openxmlformats.org/officeDocument/2006/relationships/hyperlink" Target="https://drive.google.com/file/d/1IdQHqDXBwBanrH2VPi9sOwqMrixwlVH4/view?usp=drive_link" TargetMode="External"/><Relationship Id="rId101" Type="http://schemas.openxmlformats.org/officeDocument/2006/relationships/hyperlink" Target="https://drive.google.com/file/d/1hKJBiy5uDO7OfTH6NsnxvNIMgNPdT6nJ/view?usp=drive_link" TargetMode="External"/><Relationship Id="rId122" Type="http://schemas.openxmlformats.org/officeDocument/2006/relationships/hyperlink" Target="https://drive.google.com/file/d/12BSCPHEiEoDKKX_bh9RSUy_yWa47reje/view?usp=drive_link" TargetMode="External"/><Relationship Id="rId143" Type="http://schemas.openxmlformats.org/officeDocument/2006/relationships/hyperlink" Target="https://drive.google.com/file/d/1d34UDLaWTdf9kquNva44pmYbvCq1cUvw/view?usp=drive_link" TargetMode="External"/><Relationship Id="rId148" Type="http://schemas.openxmlformats.org/officeDocument/2006/relationships/hyperlink" Target="https://drive.google.com/file/d/1hYEk9Toxg-dXWBMB5-aI0hwBBwqxl-h2/view?usp=drive_link" TargetMode="External"/><Relationship Id="rId164" Type="http://schemas.openxmlformats.org/officeDocument/2006/relationships/hyperlink" Target="https://drive.google.com/file/d/1d4ZGmsUSHcPiE5I3s1L4nMLsGYBKnfo7/view?usp=drive_link" TargetMode="External"/><Relationship Id="rId169" Type="http://schemas.openxmlformats.org/officeDocument/2006/relationships/hyperlink" Target="https://drive.google.com/file/d/1vPvpltVfwbWI5V42vhzn3hUh5rmU1GdQ/view?usp=drive_link" TargetMode="External"/><Relationship Id="rId185" Type="http://schemas.openxmlformats.org/officeDocument/2006/relationships/hyperlink" Target="https://drive.google.com/file/d/1xu7NEHTLsg6OxLRW4MopHlXQhUy6UxVs/view?usp=drive_link" TargetMode="External"/><Relationship Id="rId4" Type="http://schemas.openxmlformats.org/officeDocument/2006/relationships/hyperlink" Target="https://drive.google.com/file/d/1YSJcHlAlvWj-l786achep0OHsE0z7Z7P/view?usp=drive_link" TargetMode="External"/><Relationship Id="rId9" Type="http://schemas.openxmlformats.org/officeDocument/2006/relationships/hyperlink" Target="https://drive.google.com/file/d/1wzDDEcepOY5OvmV_3V3i4NT7oTO487xi/view?usp=drive_link" TargetMode="External"/><Relationship Id="rId180" Type="http://schemas.openxmlformats.org/officeDocument/2006/relationships/hyperlink" Target="https://drive.google.com/file/d/1_2hAO_ZoUPjwlV1Xzwlij7sURPowtVNB/view?usp=drive_link" TargetMode="External"/><Relationship Id="rId210" Type="http://schemas.openxmlformats.org/officeDocument/2006/relationships/hyperlink" Target="https://drive.google.com/file/d/1lhBjC-Ox5PHgpwmPw-9b6d7yB-rah8Bt/view?usp=drive_link" TargetMode="External"/><Relationship Id="rId215" Type="http://schemas.openxmlformats.org/officeDocument/2006/relationships/hyperlink" Target="https://drive.google.com/file/d/1pDPfohSCrsfJWMj_QWW-ylaLMWyTdR95/view?usp=drive_link" TargetMode="External"/><Relationship Id="rId26" Type="http://schemas.openxmlformats.org/officeDocument/2006/relationships/hyperlink" Target="https://drive.google.com/file/d/1p_2ylC833JWufDGwfaeR83eOnoZlrfXs/view?usp=drive_link" TargetMode="External"/><Relationship Id="rId47" Type="http://schemas.openxmlformats.org/officeDocument/2006/relationships/hyperlink" Target="https://drive.google.com/file/d/1LBu15snuBZ9trZyHODQ7RNE358DjfUcP/view?usp=drive_link" TargetMode="External"/><Relationship Id="rId68" Type="http://schemas.openxmlformats.org/officeDocument/2006/relationships/hyperlink" Target="https://drive.google.com/file/d/1W-aNd8kxhBrO28I6azWLhWMAi3WOOglp/view?usp=drive_link" TargetMode="External"/><Relationship Id="rId89" Type="http://schemas.openxmlformats.org/officeDocument/2006/relationships/hyperlink" Target="https://drive.google.com/file/d/1XTDcfN2iI9xYRnKZTQwc2rfAkaKc78T1/view?usp=drive_link" TargetMode="External"/><Relationship Id="rId112" Type="http://schemas.openxmlformats.org/officeDocument/2006/relationships/hyperlink" Target="https://drive.google.com/file/d/1fjXYg3ltnzZ34DYA_RIolTEvXMhLZn4D/view?usp=drive_link" TargetMode="External"/><Relationship Id="rId133" Type="http://schemas.openxmlformats.org/officeDocument/2006/relationships/hyperlink" Target="https://drive.google.com/file/d/1h1tt864Vz9AzzqPCkw--fpfZ2WaERPh3/view?usp=drive_link" TargetMode="External"/><Relationship Id="rId154" Type="http://schemas.openxmlformats.org/officeDocument/2006/relationships/hyperlink" Target="https://drive.google.com/file/d/1HCDmsEs4-cB-S_TvHZgGvFC54u4yRCDp/view?usp=drive_link" TargetMode="External"/><Relationship Id="rId175" Type="http://schemas.openxmlformats.org/officeDocument/2006/relationships/hyperlink" Target="https://drive.google.com/file/d/1xesuYf5fwnH9oBU8iof_O16BJV11qs-A/view?usp=drive_link" TargetMode="External"/><Relationship Id="rId196" Type="http://schemas.openxmlformats.org/officeDocument/2006/relationships/hyperlink" Target="https://drive.google.com/file/d/1Z5u4r3WJ1e34dup7TJ3TXNud1BHRdh20/view?usp=drive_link" TargetMode="External"/><Relationship Id="rId200" Type="http://schemas.openxmlformats.org/officeDocument/2006/relationships/hyperlink" Target="https://www.researchgate.net/publication/11830918_Extraction_of_Microbial_DNA_from_Rumen_Contents_Containing_Plant_Tannins" TargetMode="External"/><Relationship Id="rId16" Type="http://schemas.openxmlformats.org/officeDocument/2006/relationships/hyperlink" Target="https://drive.google.com/file/d/1wRArr-oCTJHbqDwGsSkPHce9tWpMuPfm/view?usp=drive_link" TargetMode="External"/><Relationship Id="rId221" Type="http://schemas.openxmlformats.org/officeDocument/2006/relationships/hyperlink" Target="https://drive.google.com/file/d/1DzXz446VfsIHZhUEGlVnqWXKPW-RRo0r/view?usp=drive_link" TargetMode="External"/><Relationship Id="rId37" Type="http://schemas.openxmlformats.org/officeDocument/2006/relationships/hyperlink" Target="https://drive.google.com/file/d/1qji5Tp9p6be6sxP3aUlzBg98kYM0Oult/view?usp=drive_link" TargetMode="External"/><Relationship Id="rId58" Type="http://schemas.openxmlformats.org/officeDocument/2006/relationships/hyperlink" Target="https://drive.google.com/file/d/11NMWgbBCwtB1M_YkN4Dw5w7FOOtzkOoA/view?usp=drive_link" TargetMode="External"/><Relationship Id="rId79" Type="http://schemas.openxmlformats.org/officeDocument/2006/relationships/hyperlink" Target="https://drive.google.com/file/d/1IlK5kV96DdfE06AZOfg2pTuTdu4Ll1sv/view?usp=drive_link" TargetMode="External"/><Relationship Id="rId102" Type="http://schemas.openxmlformats.org/officeDocument/2006/relationships/hyperlink" Target="https://drive.google.com/file/d/1FUtBOGxbV3NbPqzHl-fNYPv0iJoHrxE7/view?usp=drive_link" TargetMode="External"/><Relationship Id="rId123" Type="http://schemas.openxmlformats.org/officeDocument/2006/relationships/hyperlink" Target="https://drive.google.com/file/d/1X6YPf0dQqjtlH0rxE-QeGhT2q-flrUDJ/view?usp=drive_link" TargetMode="External"/><Relationship Id="rId144" Type="http://schemas.openxmlformats.org/officeDocument/2006/relationships/hyperlink" Target="https://drive.google.com/file/d/1vWRhA1DpcsR32s4dfGK60xm4lWdoVYUj/view?usp=drive_link" TargetMode="External"/><Relationship Id="rId90" Type="http://schemas.openxmlformats.org/officeDocument/2006/relationships/hyperlink" Target="https://drive.google.com/file/d/1oKvD4ZPGf5Vb6RpTvttw1xRp6S5woZa3/view?usp=drive_link" TargetMode="External"/><Relationship Id="rId165" Type="http://schemas.openxmlformats.org/officeDocument/2006/relationships/hyperlink" Target="https://drive.google.com/file/d/1a7Spm-fTZt6dr5Tm8BW0RL_iMSbMlhll/view?usp=drive_link" TargetMode="External"/><Relationship Id="rId186" Type="http://schemas.openxmlformats.org/officeDocument/2006/relationships/hyperlink" Target="https://drive.google.com/file/d/1qCP3zsapFcMsGxCT996hApI_dLmjR6GU/view?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drive.google.com/file/d/1Y2HCpczpJgickM0IfmRRmMYhVtEjXXe3/view?usp=drive_link" TargetMode="External"/><Relationship Id="rId7" Type="http://schemas.openxmlformats.org/officeDocument/2006/relationships/vmlDrawing" Target="../drawings/vmlDrawing2.vml"/><Relationship Id="rId2" Type="http://schemas.openxmlformats.org/officeDocument/2006/relationships/hyperlink" Target="https://drive.google.com/file/d/1WeFHY7owu8zQaJN2W7w9bsuVqRyxvpox/view?usp=drive_link" TargetMode="External"/><Relationship Id="rId1" Type="http://schemas.openxmlformats.org/officeDocument/2006/relationships/hyperlink" Target="https://drive.google.com/file/d/1Ul87BRWSJgQOzb5lIWpXInCUxTb66cs-/view?usp=drive_link" TargetMode="External"/><Relationship Id="rId6" Type="http://schemas.openxmlformats.org/officeDocument/2006/relationships/hyperlink" Target="https://drive.google.com/file/d/1KV01jd342NKES0NV_mRnYyHh3KtqUd-3/view?usp=drive_link" TargetMode="External"/><Relationship Id="rId5" Type="http://schemas.openxmlformats.org/officeDocument/2006/relationships/hyperlink" Target="https://drive.google.com/file/d/1d350u0c8HN2ipT-ycEoQQon0dkM0fRyJ/view?usp=drive_link" TargetMode="External"/><Relationship Id="rId4" Type="http://schemas.openxmlformats.org/officeDocument/2006/relationships/hyperlink" Target="https://drive.google.com/file/d/1b2aCPgNtj-cj8ra-Q5l-9__ecG8d_wxT/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992"/>
  <sheetViews>
    <sheetView tabSelected="1" workbookViewId="0">
      <pane ySplit="6" topLeftCell="A196" activePane="bottomLeft" state="frozen"/>
      <selection pane="bottomLeft" activeCell="B13" sqref="B13"/>
    </sheetView>
  </sheetViews>
  <sheetFormatPr defaultColWidth="14.42578125" defaultRowHeight="15" customHeight="1" x14ac:dyDescent="0.25"/>
  <cols>
    <col min="1" max="1" width="24.85546875" customWidth="1"/>
    <col min="2" max="2" width="62.140625" customWidth="1"/>
    <col min="3" max="3" width="5.5703125" customWidth="1"/>
    <col min="4" max="4" width="17.42578125" customWidth="1"/>
    <col min="5" max="5" width="12.7109375" customWidth="1"/>
    <col min="6" max="6" width="81.28515625" customWidth="1"/>
    <col min="7" max="7" width="49.140625" customWidth="1"/>
    <col min="8" max="9" width="22" customWidth="1"/>
    <col min="10" max="10" width="21.7109375" customWidth="1"/>
    <col min="11" max="11" width="13.42578125" customWidth="1"/>
    <col min="12" max="12" width="14.140625" customWidth="1"/>
    <col min="13" max="13" width="25.28515625" customWidth="1"/>
    <col min="14" max="14" width="49.42578125" customWidth="1"/>
    <col min="15" max="15" width="26.42578125" customWidth="1"/>
    <col min="16" max="16" width="28.5703125" customWidth="1"/>
    <col min="17" max="17" width="24" customWidth="1"/>
    <col min="18" max="18" width="31.7109375" customWidth="1"/>
    <col min="19" max="19" width="30.7109375" customWidth="1"/>
    <col min="20" max="20" width="31.5703125" customWidth="1"/>
    <col min="21" max="21" width="180.5703125" customWidth="1"/>
    <col min="22" max="32" width="49.140625" customWidth="1"/>
  </cols>
  <sheetData>
    <row r="1" spans="1:32" x14ac:dyDescent="0.25">
      <c r="A1" s="155" t="s">
        <v>0</v>
      </c>
      <c r="B1" s="144"/>
      <c r="C1" s="144"/>
      <c r="D1" s="144"/>
      <c r="F1" s="2" t="s">
        <v>1</v>
      </c>
      <c r="G1" s="3"/>
      <c r="H1" s="3"/>
      <c r="I1" s="3"/>
      <c r="J1" s="3"/>
      <c r="K1" s="3"/>
      <c r="Q1" s="3"/>
      <c r="R1" s="3"/>
      <c r="S1" s="3"/>
    </row>
    <row r="2" spans="1:32" x14ac:dyDescent="0.25">
      <c r="A2" s="1"/>
      <c r="B2" s="1"/>
      <c r="C2" s="1"/>
      <c r="D2" s="1"/>
      <c r="F2" s="3"/>
      <c r="G2" s="3"/>
      <c r="H2" s="3"/>
      <c r="I2" s="3"/>
      <c r="J2" s="3"/>
      <c r="K2" s="3"/>
      <c r="Q2" s="3"/>
      <c r="R2" s="3"/>
      <c r="S2" s="3"/>
    </row>
    <row r="3" spans="1:32" x14ac:dyDescent="0.25">
      <c r="A3" s="1"/>
      <c r="B3" s="1"/>
      <c r="C3" s="1"/>
      <c r="D3" s="1"/>
      <c r="F3" s="3"/>
      <c r="G3" s="3"/>
      <c r="H3" s="3"/>
      <c r="I3" s="3"/>
      <c r="J3" s="3"/>
      <c r="K3" s="3"/>
      <c r="Q3" s="3"/>
      <c r="R3" s="3"/>
      <c r="S3" s="3"/>
    </row>
    <row r="4" spans="1:32" x14ac:dyDescent="0.25">
      <c r="A4" s="1"/>
      <c r="B4" s="1"/>
      <c r="C4" s="1"/>
      <c r="D4" s="1"/>
      <c r="F4" s="3"/>
      <c r="G4" s="3"/>
      <c r="H4" s="3"/>
      <c r="I4" s="3"/>
      <c r="J4" s="3"/>
      <c r="K4" s="3"/>
      <c r="Q4" s="3"/>
      <c r="R4" s="3"/>
      <c r="S4" s="3"/>
    </row>
    <row r="5" spans="1:32" x14ac:dyDescent="0.25">
      <c r="F5" s="3"/>
      <c r="G5" s="3"/>
      <c r="H5" s="3"/>
      <c r="I5" s="3"/>
      <c r="J5" s="3"/>
      <c r="K5" s="3"/>
      <c r="Q5" s="3"/>
      <c r="R5" s="3"/>
      <c r="S5" s="3"/>
    </row>
    <row r="6" spans="1:32" x14ac:dyDescent="0.25">
      <c r="A6" s="4" t="s">
        <v>2</v>
      </c>
      <c r="B6" s="5" t="s">
        <v>3</v>
      </c>
      <c r="C6" s="6" t="s">
        <v>4</v>
      </c>
      <c r="D6" s="5" t="s">
        <v>5</v>
      </c>
      <c r="E6" s="5" t="s">
        <v>6</v>
      </c>
      <c r="F6" s="7" t="s">
        <v>7</v>
      </c>
      <c r="G6" s="8" t="s">
        <v>8</v>
      </c>
      <c r="H6" s="8" t="s">
        <v>9</v>
      </c>
      <c r="I6" s="8" t="s">
        <v>10</v>
      </c>
      <c r="J6" s="8" t="s">
        <v>11</v>
      </c>
      <c r="K6" s="9" t="s">
        <v>12</v>
      </c>
      <c r="L6" s="6" t="s">
        <v>13</v>
      </c>
      <c r="M6" s="5" t="s">
        <v>14</v>
      </c>
      <c r="N6" s="6" t="s">
        <v>15</v>
      </c>
      <c r="O6" s="9" t="s">
        <v>16</v>
      </c>
      <c r="P6" s="5" t="s">
        <v>17</v>
      </c>
      <c r="Q6" s="8" t="s">
        <v>18</v>
      </c>
      <c r="R6" s="9" t="s">
        <v>19</v>
      </c>
      <c r="S6" s="9" t="s">
        <v>20</v>
      </c>
      <c r="T6" s="10" t="s">
        <v>21</v>
      </c>
      <c r="U6" s="11" t="s">
        <v>22</v>
      </c>
      <c r="W6" s="12"/>
      <c r="X6" s="12"/>
      <c r="Y6" s="12"/>
      <c r="Z6" s="12"/>
      <c r="AA6" s="12"/>
      <c r="AB6" s="12"/>
      <c r="AC6" s="12"/>
      <c r="AD6" s="12"/>
      <c r="AE6" s="12"/>
      <c r="AF6" s="12"/>
    </row>
    <row r="7" spans="1:32" x14ac:dyDescent="0.25">
      <c r="A7" s="13">
        <v>45215</v>
      </c>
      <c r="B7" s="14" t="s">
        <v>23</v>
      </c>
      <c r="C7" s="14"/>
      <c r="D7" s="15" t="s">
        <v>24</v>
      </c>
      <c r="E7" s="16" t="s">
        <v>25</v>
      </c>
      <c r="F7" s="17" t="s">
        <v>26</v>
      </c>
      <c r="G7" s="18" t="s">
        <v>27</v>
      </c>
      <c r="H7" s="17">
        <v>1.35</v>
      </c>
      <c r="I7" s="17">
        <v>0.42</v>
      </c>
      <c r="J7" s="18">
        <v>340.8</v>
      </c>
      <c r="K7" s="17" t="s">
        <v>28</v>
      </c>
      <c r="L7" s="17"/>
      <c r="M7" s="17" t="s">
        <v>28</v>
      </c>
      <c r="N7" s="150">
        <v>1.5</v>
      </c>
      <c r="O7" s="19" t="s">
        <v>29</v>
      </c>
      <c r="P7" s="20" t="s">
        <v>30</v>
      </c>
      <c r="Q7" s="17">
        <f t="shared" ref="Q7:Q13" si="0">30-2-4</f>
        <v>24</v>
      </c>
      <c r="R7" s="17">
        <f t="shared" ref="R7:R13" si="1">J7*Q7</f>
        <v>8179.2000000000007</v>
      </c>
      <c r="S7" s="17"/>
      <c r="T7" s="17"/>
      <c r="U7" s="17"/>
      <c r="V7" s="17"/>
      <c r="W7" s="17"/>
      <c r="X7" s="17"/>
      <c r="Y7" s="17"/>
      <c r="Z7" s="17"/>
      <c r="AA7" s="17"/>
      <c r="AB7" s="17"/>
      <c r="AC7" s="17"/>
      <c r="AD7" s="17"/>
      <c r="AE7" s="17"/>
      <c r="AF7" s="17"/>
    </row>
    <row r="8" spans="1:32" x14ac:dyDescent="0.25">
      <c r="A8" s="21">
        <v>45244</v>
      </c>
      <c r="B8" s="22" t="s">
        <v>31</v>
      </c>
      <c r="C8" s="22"/>
      <c r="D8" s="15" t="s">
        <v>24</v>
      </c>
      <c r="E8" s="23" t="s">
        <v>25</v>
      </c>
      <c r="F8" s="17" t="s">
        <v>32</v>
      </c>
      <c r="G8" s="17" t="s">
        <v>27</v>
      </c>
      <c r="H8" s="17">
        <v>1.75</v>
      </c>
      <c r="I8" s="17">
        <v>2.2400000000000002</v>
      </c>
      <c r="J8" s="18">
        <v>250.6</v>
      </c>
      <c r="K8" s="17" t="s">
        <v>28</v>
      </c>
      <c r="L8" s="17"/>
      <c r="M8" s="17" t="s">
        <v>28</v>
      </c>
      <c r="N8" s="144"/>
      <c r="O8" s="19" t="s">
        <v>29</v>
      </c>
      <c r="P8" s="20" t="s">
        <v>30</v>
      </c>
      <c r="Q8" s="17">
        <f t="shared" si="0"/>
        <v>24</v>
      </c>
      <c r="R8" s="17">
        <f t="shared" si="1"/>
        <v>6014.4</v>
      </c>
      <c r="S8" s="17"/>
      <c r="T8" s="17"/>
    </row>
    <row r="9" spans="1:32" x14ac:dyDescent="0.25">
      <c r="A9" s="21">
        <v>45244</v>
      </c>
      <c r="B9" s="22" t="s">
        <v>33</v>
      </c>
      <c r="C9" s="22"/>
      <c r="D9" s="15" t="s">
        <v>24</v>
      </c>
      <c r="E9" s="23" t="s">
        <v>25</v>
      </c>
      <c r="F9" s="17" t="s">
        <v>32</v>
      </c>
      <c r="G9" s="17" t="s">
        <v>27</v>
      </c>
      <c r="H9" s="17">
        <v>1.93</v>
      </c>
      <c r="I9" s="17">
        <v>1.1000000000000001</v>
      </c>
      <c r="J9" s="18">
        <v>14.9</v>
      </c>
      <c r="K9" s="17" t="s">
        <v>28</v>
      </c>
      <c r="L9" s="17"/>
      <c r="M9" s="17" t="s">
        <v>28</v>
      </c>
      <c r="N9" s="144"/>
      <c r="O9" s="19" t="s">
        <v>29</v>
      </c>
      <c r="P9" s="20" t="s">
        <v>30</v>
      </c>
      <c r="Q9" s="17">
        <f t="shared" si="0"/>
        <v>24</v>
      </c>
      <c r="R9" s="17">
        <f t="shared" si="1"/>
        <v>357.6</v>
      </c>
      <c r="S9" s="17"/>
      <c r="T9" s="17"/>
    </row>
    <row r="10" spans="1:32" x14ac:dyDescent="0.25">
      <c r="A10" s="13">
        <v>45245</v>
      </c>
      <c r="B10" s="24" t="s">
        <v>34</v>
      </c>
      <c r="C10" s="24"/>
      <c r="D10" s="15" t="s">
        <v>24</v>
      </c>
      <c r="E10" s="23" t="s">
        <v>25</v>
      </c>
      <c r="F10" s="17" t="s">
        <v>35</v>
      </c>
      <c r="G10" s="17" t="s">
        <v>27</v>
      </c>
      <c r="H10" s="17">
        <v>1.84</v>
      </c>
      <c r="I10" s="17">
        <v>2.09</v>
      </c>
      <c r="J10" s="18">
        <v>42.1</v>
      </c>
      <c r="K10" s="17" t="s">
        <v>28</v>
      </c>
      <c r="L10" s="17"/>
      <c r="M10" s="17" t="s">
        <v>28</v>
      </c>
      <c r="N10" s="150" t="s">
        <v>36</v>
      </c>
      <c r="O10" s="19" t="s">
        <v>29</v>
      </c>
      <c r="P10" s="20" t="s">
        <v>30</v>
      </c>
      <c r="Q10" s="25">
        <f t="shared" si="0"/>
        <v>24</v>
      </c>
      <c r="R10" s="17">
        <f t="shared" si="1"/>
        <v>1010.4000000000001</v>
      </c>
      <c r="S10" s="17"/>
      <c r="T10" s="17"/>
    </row>
    <row r="11" spans="1:32" x14ac:dyDescent="0.25">
      <c r="A11" s="13">
        <v>45245</v>
      </c>
      <c r="B11" s="24" t="s">
        <v>37</v>
      </c>
      <c r="C11" s="24"/>
      <c r="D11" s="15" t="s">
        <v>24</v>
      </c>
      <c r="E11" s="23" t="s">
        <v>25</v>
      </c>
      <c r="F11" s="17" t="s">
        <v>38</v>
      </c>
      <c r="G11" s="17" t="s">
        <v>27</v>
      </c>
      <c r="H11" s="17">
        <v>1.1100000000000001</v>
      </c>
      <c r="I11" s="17">
        <v>0.9</v>
      </c>
      <c r="J11" s="18">
        <v>2.1</v>
      </c>
      <c r="K11" s="17" t="s">
        <v>28</v>
      </c>
      <c r="L11" s="17"/>
      <c r="M11" s="17" t="s">
        <v>28</v>
      </c>
      <c r="N11" s="144"/>
      <c r="O11" s="19" t="s">
        <v>29</v>
      </c>
      <c r="P11" s="19" t="s">
        <v>39</v>
      </c>
      <c r="Q11" s="17">
        <f t="shared" si="0"/>
        <v>24</v>
      </c>
      <c r="R11" s="17">
        <f t="shared" si="1"/>
        <v>50.400000000000006</v>
      </c>
      <c r="S11" s="17"/>
      <c r="T11" s="17"/>
    </row>
    <row r="12" spans="1:32" x14ac:dyDescent="0.25">
      <c r="A12" s="13">
        <v>45246</v>
      </c>
      <c r="B12" s="24" t="s">
        <v>40</v>
      </c>
      <c r="C12" s="24"/>
      <c r="D12" s="15" t="s">
        <v>24</v>
      </c>
      <c r="E12" s="23" t="s">
        <v>25</v>
      </c>
      <c r="F12" s="17" t="s">
        <v>35</v>
      </c>
      <c r="G12" s="17" t="s">
        <v>27</v>
      </c>
      <c r="H12" s="17">
        <v>1.85</v>
      </c>
      <c r="I12" s="17">
        <v>2.16</v>
      </c>
      <c r="J12" s="18">
        <v>241.7</v>
      </c>
      <c r="K12" s="17" t="s">
        <v>28</v>
      </c>
      <c r="L12" s="17"/>
      <c r="M12" s="17" t="s">
        <v>28</v>
      </c>
      <c r="N12" s="144"/>
      <c r="O12" s="19" t="s">
        <v>29</v>
      </c>
      <c r="P12" s="20" t="s">
        <v>30</v>
      </c>
      <c r="Q12" s="17">
        <f t="shared" si="0"/>
        <v>24</v>
      </c>
      <c r="R12" s="17">
        <f t="shared" si="1"/>
        <v>5800.7999999999993</v>
      </c>
      <c r="S12" s="17"/>
      <c r="T12" s="17"/>
    </row>
    <row r="13" spans="1:32" x14ac:dyDescent="0.25">
      <c r="A13" s="26">
        <v>45246</v>
      </c>
      <c r="B13" s="27" t="s">
        <v>41</v>
      </c>
      <c r="C13" s="27"/>
      <c r="D13" s="15" t="s">
        <v>24</v>
      </c>
      <c r="E13" s="28" t="s">
        <v>25</v>
      </c>
      <c r="F13" s="29" t="s">
        <v>35</v>
      </c>
      <c r="G13" s="17" t="s">
        <v>27</v>
      </c>
      <c r="H13" s="29">
        <v>1.84</v>
      </c>
      <c r="I13" s="29">
        <v>1.92</v>
      </c>
      <c r="J13" s="30">
        <v>32.200000000000003</v>
      </c>
      <c r="K13" s="29" t="s">
        <v>28</v>
      </c>
      <c r="L13" s="29"/>
      <c r="M13" s="29" t="s">
        <v>28</v>
      </c>
      <c r="N13" s="142"/>
      <c r="O13" s="31" t="s">
        <v>29</v>
      </c>
      <c r="P13" s="32" t="s">
        <v>30</v>
      </c>
      <c r="Q13" s="29">
        <f t="shared" si="0"/>
        <v>24</v>
      </c>
      <c r="R13" s="29">
        <f t="shared" si="1"/>
        <v>772.80000000000007</v>
      </c>
      <c r="S13" s="29"/>
      <c r="T13" s="29"/>
    </row>
    <row r="14" spans="1:32" x14ac:dyDescent="0.25">
      <c r="A14" s="13">
        <v>45250</v>
      </c>
      <c r="B14" s="11" t="s">
        <v>42</v>
      </c>
      <c r="C14" s="11"/>
      <c r="D14" s="33" t="s">
        <v>24</v>
      </c>
      <c r="E14" s="23" t="s">
        <v>25</v>
      </c>
      <c r="F14" s="17" t="s">
        <v>35</v>
      </c>
      <c r="G14" s="34" t="s">
        <v>27</v>
      </c>
      <c r="H14" s="17">
        <v>1.84</v>
      </c>
      <c r="I14" s="17">
        <v>2.35</v>
      </c>
      <c r="J14" s="18">
        <v>195.3</v>
      </c>
      <c r="K14" s="17">
        <v>111.2</v>
      </c>
      <c r="L14" s="17"/>
      <c r="M14" s="17" t="s">
        <v>28</v>
      </c>
      <c r="N14" s="150" t="s">
        <v>43</v>
      </c>
      <c r="O14" s="19" t="s">
        <v>29</v>
      </c>
      <c r="P14" s="20" t="s">
        <v>30</v>
      </c>
      <c r="Q14" s="17">
        <f>30-2-4-0.5-23.5+10</f>
        <v>10</v>
      </c>
      <c r="R14" s="17">
        <f t="shared" ref="R14:S14" si="2">23.5*J14</f>
        <v>4589.55</v>
      </c>
      <c r="S14" s="17">
        <f t="shared" si="2"/>
        <v>2613.2000000000003</v>
      </c>
      <c r="T14" s="17"/>
      <c r="U14" s="24"/>
      <c r="V14" s="24"/>
      <c r="W14" s="24"/>
      <c r="X14" s="24"/>
      <c r="Y14" s="24"/>
      <c r="Z14" s="24"/>
      <c r="AA14" s="24"/>
      <c r="AB14" s="24"/>
      <c r="AC14" s="24"/>
      <c r="AD14" s="24"/>
      <c r="AE14" s="24"/>
      <c r="AF14" s="24"/>
    </row>
    <row r="15" spans="1:32" x14ac:dyDescent="0.25">
      <c r="A15" s="35">
        <v>45250</v>
      </c>
      <c r="B15" s="11" t="s">
        <v>44</v>
      </c>
      <c r="C15" s="11"/>
      <c r="D15" s="15" t="s">
        <v>24</v>
      </c>
      <c r="E15" s="23" t="s">
        <v>25</v>
      </c>
      <c r="F15" s="17" t="s">
        <v>35</v>
      </c>
      <c r="G15" s="17" t="s">
        <v>27</v>
      </c>
      <c r="H15" s="17">
        <v>1.81</v>
      </c>
      <c r="I15" s="17">
        <v>2.39</v>
      </c>
      <c r="J15" s="18">
        <v>154.4</v>
      </c>
      <c r="K15" s="17">
        <v>104.4</v>
      </c>
      <c r="L15" s="17"/>
      <c r="M15" s="18" t="s">
        <v>45</v>
      </c>
      <c r="N15" s="144"/>
      <c r="O15" s="19" t="s">
        <v>29</v>
      </c>
      <c r="P15" s="20" t="s">
        <v>30</v>
      </c>
      <c r="Q15" s="17">
        <f>30-2-4-0.5-2.4-21.1+10-10</f>
        <v>0</v>
      </c>
      <c r="R15" s="17">
        <f t="shared" ref="R15:S15" si="3">21.1*J15</f>
        <v>3257.84</v>
      </c>
      <c r="S15" s="17">
        <f t="shared" si="3"/>
        <v>2202.84</v>
      </c>
      <c r="T15" s="17"/>
      <c r="U15" s="36" t="s">
        <v>46</v>
      </c>
    </row>
    <row r="16" spans="1:32" x14ac:dyDescent="0.25">
      <c r="A16" s="13">
        <v>45252</v>
      </c>
      <c r="B16" s="24" t="s">
        <v>47</v>
      </c>
      <c r="C16" s="24"/>
      <c r="D16" s="15" t="s">
        <v>24</v>
      </c>
      <c r="E16" s="37" t="s">
        <v>48</v>
      </c>
      <c r="F16" s="17" t="s">
        <v>49</v>
      </c>
      <c r="G16" s="17" t="s">
        <v>27</v>
      </c>
      <c r="H16" s="17">
        <v>1.73</v>
      </c>
      <c r="I16" s="17">
        <v>1.35</v>
      </c>
      <c r="J16" s="18">
        <v>64.900000000000006</v>
      </c>
      <c r="K16" s="17" t="s">
        <v>28</v>
      </c>
      <c r="L16" s="17"/>
      <c r="M16" s="17" t="s">
        <v>28</v>
      </c>
      <c r="N16" s="150" t="s">
        <v>43</v>
      </c>
      <c r="O16" s="19" t="s">
        <v>29</v>
      </c>
      <c r="P16" s="17" t="s">
        <v>39</v>
      </c>
      <c r="Q16" s="17">
        <f t="shared" ref="Q16:Q17" si="4">30-2-4</f>
        <v>24</v>
      </c>
      <c r="R16" s="17">
        <f t="shared" ref="R16:R17" si="5">J16*Q16</f>
        <v>1557.6000000000001</v>
      </c>
      <c r="S16" s="19" t="s">
        <v>28</v>
      </c>
      <c r="T16" s="19"/>
    </row>
    <row r="17" spans="1:21" x14ac:dyDescent="0.25">
      <c r="A17" s="13">
        <v>45252</v>
      </c>
      <c r="B17" s="24" t="s">
        <v>50</v>
      </c>
      <c r="C17" s="24"/>
      <c r="D17" s="15" t="s">
        <v>24</v>
      </c>
      <c r="E17" s="37" t="s">
        <v>48</v>
      </c>
      <c r="F17" s="17" t="s">
        <v>51</v>
      </c>
      <c r="G17" s="17" t="s">
        <v>27</v>
      </c>
      <c r="H17" s="17">
        <v>1.92</v>
      </c>
      <c r="I17" s="17">
        <v>1.81</v>
      </c>
      <c r="J17" s="18">
        <v>63.8</v>
      </c>
      <c r="K17" s="17" t="s">
        <v>28</v>
      </c>
      <c r="L17" s="17"/>
      <c r="M17" s="17" t="s">
        <v>28</v>
      </c>
      <c r="N17" s="144"/>
      <c r="O17" s="19" t="s">
        <v>29</v>
      </c>
      <c r="P17" s="20" t="s">
        <v>30</v>
      </c>
      <c r="Q17" s="17">
        <f t="shared" si="4"/>
        <v>24</v>
      </c>
      <c r="R17" s="17">
        <f t="shared" si="5"/>
        <v>1531.1999999999998</v>
      </c>
      <c r="S17" s="19" t="s">
        <v>28</v>
      </c>
      <c r="T17" s="19"/>
    </row>
    <row r="18" spans="1:21" x14ac:dyDescent="0.25">
      <c r="A18" s="35">
        <v>45258</v>
      </c>
      <c r="B18" s="11" t="s">
        <v>52</v>
      </c>
      <c r="C18" s="11"/>
      <c r="D18" s="15" t="s">
        <v>24</v>
      </c>
      <c r="E18" s="37" t="s">
        <v>48</v>
      </c>
      <c r="F18" s="17" t="s">
        <v>51</v>
      </c>
      <c r="G18" s="17" t="s">
        <v>27</v>
      </c>
      <c r="H18" s="17">
        <v>1.88</v>
      </c>
      <c r="I18" s="17">
        <v>1.91</v>
      </c>
      <c r="J18" s="18">
        <v>224.1</v>
      </c>
      <c r="K18" s="17">
        <v>168.8</v>
      </c>
      <c r="L18" s="17"/>
      <c r="M18" s="18" t="s">
        <v>53</v>
      </c>
      <c r="N18" s="150">
        <v>0.7</v>
      </c>
      <c r="O18" s="19" t="s">
        <v>29</v>
      </c>
      <c r="P18" s="20" t="s">
        <v>30</v>
      </c>
      <c r="Q18" s="17">
        <f>30-2-4-0.5-1.5-22+10-10</f>
        <v>0</v>
      </c>
      <c r="R18" s="17">
        <f t="shared" ref="R18:S18" si="6">22*J18</f>
        <v>4930.2</v>
      </c>
      <c r="S18" s="17">
        <f t="shared" si="6"/>
        <v>3713.6000000000004</v>
      </c>
      <c r="T18" s="17"/>
      <c r="U18" s="38" t="s">
        <v>46</v>
      </c>
    </row>
    <row r="19" spans="1:21" x14ac:dyDescent="0.25">
      <c r="A19" s="26">
        <v>45258</v>
      </c>
      <c r="B19" s="27" t="s">
        <v>54</v>
      </c>
      <c r="C19" s="27"/>
      <c r="D19" s="39" t="s">
        <v>24</v>
      </c>
      <c r="E19" s="40" t="s">
        <v>48</v>
      </c>
      <c r="F19" s="29" t="s">
        <v>55</v>
      </c>
      <c r="G19" s="29" t="s">
        <v>27</v>
      </c>
      <c r="H19" s="29">
        <v>1.53</v>
      </c>
      <c r="I19" s="29">
        <v>1.07</v>
      </c>
      <c r="J19" s="30">
        <v>439</v>
      </c>
      <c r="K19" s="29" t="s">
        <v>28</v>
      </c>
      <c r="L19" s="29"/>
      <c r="M19" s="29" t="s">
        <v>28</v>
      </c>
      <c r="N19" s="142"/>
      <c r="O19" s="31" t="s">
        <v>29</v>
      </c>
      <c r="P19" s="31" t="s">
        <v>56</v>
      </c>
      <c r="Q19" s="41">
        <f>30-2-4</f>
        <v>24</v>
      </c>
      <c r="R19" s="29">
        <f t="shared" ref="R19:R25" si="7">J19*Q19</f>
        <v>10536</v>
      </c>
      <c r="S19" s="31" t="s">
        <v>28</v>
      </c>
      <c r="T19" s="31"/>
    </row>
    <row r="20" spans="1:21" x14ac:dyDescent="0.25">
      <c r="A20" s="13">
        <v>45264</v>
      </c>
      <c r="B20" s="24" t="s">
        <v>57</v>
      </c>
      <c r="C20" s="42" t="s">
        <v>58</v>
      </c>
      <c r="D20" s="15" t="s">
        <v>24</v>
      </c>
      <c r="E20" s="37" t="s">
        <v>48</v>
      </c>
      <c r="F20" s="17" t="s">
        <v>59</v>
      </c>
      <c r="G20" s="17" t="s">
        <v>27</v>
      </c>
      <c r="H20" s="17">
        <v>1.81</v>
      </c>
      <c r="I20" s="17">
        <v>2.0699999999999998</v>
      </c>
      <c r="J20" s="18">
        <v>733.7</v>
      </c>
      <c r="K20" s="17">
        <v>69</v>
      </c>
      <c r="L20" s="19">
        <v>848</v>
      </c>
      <c r="M20" s="19" t="s">
        <v>60</v>
      </c>
      <c r="N20" s="151">
        <v>0.7</v>
      </c>
      <c r="O20" s="19" t="s">
        <v>29</v>
      </c>
      <c r="P20" s="20" t="s">
        <v>30</v>
      </c>
      <c r="Q20" s="17">
        <f>30-2-4-1-1-1-21+50-10-2-38</f>
        <v>0</v>
      </c>
      <c r="R20" s="17">
        <f t="shared" si="7"/>
        <v>0</v>
      </c>
      <c r="S20" s="17">
        <f t="shared" ref="S20:S25" si="8">Q20*K20</f>
        <v>0</v>
      </c>
      <c r="T20" s="17">
        <f t="shared" ref="T20:T21" si="9">Q20*L20</f>
        <v>0</v>
      </c>
      <c r="U20" s="44" t="s">
        <v>61</v>
      </c>
    </row>
    <row r="21" spans="1:21" ht="15.75" customHeight="1" x14ac:dyDescent="0.25">
      <c r="A21" s="45">
        <v>45264</v>
      </c>
      <c r="B21" s="46" t="s">
        <v>62</v>
      </c>
      <c r="C21" s="47" t="s">
        <v>63</v>
      </c>
      <c r="D21" s="39" t="s">
        <v>24</v>
      </c>
      <c r="E21" s="40" t="s">
        <v>48</v>
      </c>
      <c r="F21" s="29" t="s">
        <v>59</v>
      </c>
      <c r="G21" s="29" t="s">
        <v>27</v>
      </c>
      <c r="H21" s="29">
        <v>1.84</v>
      </c>
      <c r="I21" s="29">
        <v>2.09</v>
      </c>
      <c r="J21" s="30">
        <v>842.5</v>
      </c>
      <c r="K21" s="29">
        <v>160</v>
      </c>
      <c r="L21" s="31">
        <v>284</v>
      </c>
      <c r="M21" s="31" t="s">
        <v>64</v>
      </c>
      <c r="N21" s="144"/>
      <c r="O21" s="31" t="s">
        <v>29</v>
      </c>
      <c r="P21" s="32" t="s">
        <v>30</v>
      </c>
      <c r="Q21" s="29">
        <f>30-2-4-1-1-22</f>
        <v>0</v>
      </c>
      <c r="R21" s="29">
        <f t="shared" si="7"/>
        <v>0</v>
      </c>
      <c r="S21" s="29">
        <f t="shared" si="8"/>
        <v>0</v>
      </c>
      <c r="T21" s="29">
        <f t="shared" si="9"/>
        <v>0</v>
      </c>
      <c r="U21" s="44" t="s">
        <v>65</v>
      </c>
    </row>
    <row r="22" spans="1:21" ht="15.75" customHeight="1" x14ac:dyDescent="0.25">
      <c r="A22" s="13">
        <v>45271</v>
      </c>
      <c r="B22" s="24" t="s">
        <v>66</v>
      </c>
      <c r="C22" s="24"/>
      <c r="D22" s="15" t="s">
        <v>24</v>
      </c>
      <c r="E22" s="23" t="s">
        <v>25</v>
      </c>
      <c r="F22" s="17" t="s">
        <v>35</v>
      </c>
      <c r="G22" s="17" t="s">
        <v>27</v>
      </c>
      <c r="H22" s="17">
        <v>1.82</v>
      </c>
      <c r="I22" s="17">
        <v>2.34</v>
      </c>
      <c r="J22" s="18">
        <v>331.6</v>
      </c>
      <c r="K22" s="17">
        <v>108</v>
      </c>
      <c r="L22" s="17"/>
      <c r="M22" s="17" t="s">
        <v>28</v>
      </c>
      <c r="N22" s="144"/>
      <c r="O22" s="19" t="s">
        <v>29</v>
      </c>
      <c r="P22" s="20" t="s">
        <v>30</v>
      </c>
      <c r="Q22" s="17">
        <f>30-2-4-1-2</f>
        <v>21</v>
      </c>
      <c r="R22" s="17">
        <f t="shared" si="7"/>
        <v>6963.6</v>
      </c>
      <c r="S22" s="17">
        <f t="shared" si="8"/>
        <v>2268</v>
      </c>
      <c r="T22" s="17"/>
    </row>
    <row r="23" spans="1:21" ht="15.75" customHeight="1" x14ac:dyDescent="0.25">
      <c r="A23" s="13">
        <v>45271</v>
      </c>
      <c r="B23" s="24" t="s">
        <v>67</v>
      </c>
      <c r="C23" s="24"/>
      <c r="D23" s="15" t="s">
        <v>24</v>
      </c>
      <c r="E23" s="23" t="s">
        <v>25</v>
      </c>
      <c r="F23" s="17" t="s">
        <v>35</v>
      </c>
      <c r="G23" s="17" t="s">
        <v>27</v>
      </c>
      <c r="H23" s="17">
        <v>1.81</v>
      </c>
      <c r="I23" s="17">
        <v>2.23</v>
      </c>
      <c r="J23" s="18">
        <v>49.5</v>
      </c>
      <c r="K23" s="17">
        <v>18.399999999999999</v>
      </c>
      <c r="L23" s="17"/>
      <c r="M23" s="17" t="s">
        <v>28</v>
      </c>
      <c r="N23" s="144"/>
      <c r="O23" s="19" t="s">
        <v>29</v>
      </c>
      <c r="P23" s="20" t="s">
        <v>30</v>
      </c>
      <c r="Q23" s="17">
        <f t="shared" ref="Q23:Q24" si="10">30-2-4-1</f>
        <v>23</v>
      </c>
      <c r="R23" s="17">
        <f t="shared" si="7"/>
        <v>1138.5</v>
      </c>
      <c r="S23" s="17">
        <f t="shared" si="8"/>
        <v>423.2</v>
      </c>
      <c r="T23" s="17"/>
    </row>
    <row r="24" spans="1:21" ht="15.75" customHeight="1" x14ac:dyDescent="0.25">
      <c r="A24" s="13">
        <v>45271</v>
      </c>
      <c r="B24" s="24" t="s">
        <v>68</v>
      </c>
      <c r="C24" s="24"/>
      <c r="D24" s="15" t="s">
        <v>24</v>
      </c>
      <c r="E24" s="23" t="s">
        <v>25</v>
      </c>
      <c r="F24" s="17" t="s">
        <v>35</v>
      </c>
      <c r="G24" s="17" t="s">
        <v>27</v>
      </c>
      <c r="H24" s="17">
        <v>1.81</v>
      </c>
      <c r="I24" s="17">
        <v>2.29</v>
      </c>
      <c r="J24" s="43">
        <v>639.1</v>
      </c>
      <c r="K24" s="17">
        <v>224</v>
      </c>
      <c r="L24" s="17"/>
      <c r="M24" s="17" t="s">
        <v>28</v>
      </c>
      <c r="N24" s="144"/>
      <c r="O24" s="19" t="s">
        <v>29</v>
      </c>
      <c r="P24" s="20" t="s">
        <v>30</v>
      </c>
      <c r="Q24" s="17">
        <f t="shared" si="10"/>
        <v>23</v>
      </c>
      <c r="R24" s="17">
        <f t="shared" si="7"/>
        <v>14699.300000000001</v>
      </c>
      <c r="S24" s="17">
        <f t="shared" si="8"/>
        <v>5152</v>
      </c>
      <c r="T24" s="17"/>
    </row>
    <row r="25" spans="1:21" ht="15.75" customHeight="1" x14ac:dyDescent="0.25">
      <c r="A25" s="45">
        <v>45271</v>
      </c>
      <c r="B25" s="27" t="s">
        <v>69</v>
      </c>
      <c r="C25" s="27"/>
      <c r="D25" s="39" t="s">
        <v>24</v>
      </c>
      <c r="E25" s="28" t="s">
        <v>25</v>
      </c>
      <c r="F25" s="29" t="s">
        <v>35</v>
      </c>
      <c r="G25" s="29" t="s">
        <v>27</v>
      </c>
      <c r="H25" s="29">
        <v>1.8</v>
      </c>
      <c r="I25" s="29">
        <v>2.3199999999999998</v>
      </c>
      <c r="J25" s="30">
        <v>95.8</v>
      </c>
      <c r="K25" s="29">
        <v>86</v>
      </c>
      <c r="L25" s="31">
        <v>76.400000000000006</v>
      </c>
      <c r="M25" s="29" t="s">
        <v>28</v>
      </c>
      <c r="N25" s="142"/>
      <c r="O25" s="31" t="s">
        <v>29</v>
      </c>
      <c r="P25" s="32" t="s">
        <v>30</v>
      </c>
      <c r="Q25" s="29">
        <f>30-2-4-1-1</f>
        <v>22</v>
      </c>
      <c r="R25" s="29">
        <f t="shared" si="7"/>
        <v>2107.6</v>
      </c>
      <c r="S25" s="29">
        <f t="shared" si="8"/>
        <v>1892</v>
      </c>
      <c r="T25" s="29">
        <f>Q25*L25</f>
        <v>1680.8000000000002</v>
      </c>
    </row>
    <row r="26" spans="1:21" ht="15.75" customHeight="1" x14ac:dyDescent="0.25">
      <c r="A26" s="13">
        <v>45314</v>
      </c>
      <c r="B26" s="24" t="s">
        <v>70</v>
      </c>
      <c r="C26" s="24"/>
      <c r="D26" s="15" t="s">
        <v>24</v>
      </c>
      <c r="E26" s="48" t="s">
        <v>71</v>
      </c>
      <c r="F26" s="17" t="s">
        <v>72</v>
      </c>
      <c r="G26" s="17" t="s">
        <v>27</v>
      </c>
      <c r="H26" s="17">
        <v>1.17</v>
      </c>
      <c r="I26" s="17">
        <v>0.45</v>
      </c>
      <c r="J26" s="18">
        <v>479.2</v>
      </c>
      <c r="K26" s="17" t="s">
        <v>28</v>
      </c>
      <c r="L26" s="17"/>
      <c r="M26" s="17" t="s">
        <v>28</v>
      </c>
      <c r="N26" s="152" t="s">
        <v>73</v>
      </c>
      <c r="O26" s="49" t="s">
        <v>74</v>
      </c>
      <c r="P26" s="24"/>
      <c r="Q26" s="17">
        <f t="shared" ref="Q26:Q27" si="11">30-2-4-4-20</f>
        <v>0</v>
      </c>
      <c r="R26" s="17">
        <f t="shared" ref="R26:R27" si="12">20*J26*0</f>
        <v>0</v>
      </c>
      <c r="S26" s="19" t="s">
        <v>28</v>
      </c>
      <c r="T26" s="19"/>
      <c r="U26" s="153" t="s">
        <v>75</v>
      </c>
    </row>
    <row r="27" spans="1:21" ht="15.75" customHeight="1" x14ac:dyDescent="0.25">
      <c r="A27" s="26">
        <v>45314</v>
      </c>
      <c r="B27" s="27" t="s">
        <v>76</v>
      </c>
      <c r="C27" s="27"/>
      <c r="D27" s="39" t="s">
        <v>24</v>
      </c>
      <c r="E27" s="50" t="s">
        <v>71</v>
      </c>
      <c r="F27" s="29" t="s">
        <v>72</v>
      </c>
      <c r="G27" s="29" t="s">
        <v>27</v>
      </c>
      <c r="H27" s="29">
        <v>1.1499999999999999</v>
      </c>
      <c r="I27" s="29">
        <v>0.42</v>
      </c>
      <c r="J27" s="30">
        <v>595.5</v>
      </c>
      <c r="K27" s="29" t="s">
        <v>28</v>
      </c>
      <c r="L27" s="29"/>
      <c r="M27" s="29" t="s">
        <v>28</v>
      </c>
      <c r="N27" s="142"/>
      <c r="O27" s="31" t="s">
        <v>74</v>
      </c>
      <c r="P27" s="29"/>
      <c r="Q27" s="29">
        <f t="shared" si="11"/>
        <v>0</v>
      </c>
      <c r="R27" s="29">
        <f t="shared" si="12"/>
        <v>0</v>
      </c>
      <c r="S27" s="31" t="s">
        <v>28</v>
      </c>
      <c r="T27" s="31"/>
      <c r="U27" s="144"/>
    </row>
    <row r="28" spans="1:21" ht="15.75" customHeight="1" x14ac:dyDescent="0.25">
      <c r="A28" s="13">
        <v>45328</v>
      </c>
      <c r="B28" s="24" t="s">
        <v>77</v>
      </c>
      <c r="C28" s="24"/>
      <c r="D28" s="15" t="s">
        <v>24</v>
      </c>
      <c r="E28" s="48" t="s">
        <v>71</v>
      </c>
      <c r="F28" s="17" t="s">
        <v>78</v>
      </c>
      <c r="G28" s="25" t="s">
        <v>27</v>
      </c>
      <c r="H28" s="17">
        <v>1.3</v>
      </c>
      <c r="I28" s="17">
        <v>0.63</v>
      </c>
      <c r="J28" s="17">
        <v>432.1</v>
      </c>
      <c r="K28" s="17" t="s">
        <v>28</v>
      </c>
      <c r="L28" s="17"/>
      <c r="M28" s="17" t="s">
        <v>28</v>
      </c>
      <c r="N28" s="49">
        <v>1.5</v>
      </c>
      <c r="O28" s="49" t="s">
        <v>74</v>
      </c>
      <c r="P28" s="22"/>
      <c r="Q28" s="17">
        <f>30-6-4</f>
        <v>20</v>
      </c>
      <c r="R28" s="17">
        <f>J28*Q28</f>
        <v>8642</v>
      </c>
      <c r="S28" s="19" t="s">
        <v>28</v>
      </c>
      <c r="T28" s="19"/>
    </row>
    <row r="29" spans="1:21" ht="15.75" customHeight="1" x14ac:dyDescent="0.25">
      <c r="A29" s="13">
        <v>45328</v>
      </c>
      <c r="B29" s="24" t="s">
        <v>79</v>
      </c>
      <c r="C29" s="24"/>
      <c r="D29" s="15" t="s">
        <v>24</v>
      </c>
      <c r="E29" s="48" t="s">
        <v>71</v>
      </c>
      <c r="F29" s="17" t="s">
        <v>78</v>
      </c>
      <c r="G29" s="17" t="s">
        <v>27</v>
      </c>
      <c r="H29" s="17" t="s">
        <v>28</v>
      </c>
      <c r="I29" s="17" t="s">
        <v>28</v>
      </c>
      <c r="J29" s="17" t="s">
        <v>28</v>
      </c>
      <c r="K29" s="17" t="s">
        <v>28</v>
      </c>
      <c r="L29" s="17"/>
      <c r="M29" s="17" t="s">
        <v>28</v>
      </c>
      <c r="N29" s="19" t="s">
        <v>28</v>
      </c>
      <c r="O29" s="19" t="s">
        <v>28</v>
      </c>
      <c r="P29" s="17" t="s">
        <v>28</v>
      </c>
      <c r="Q29" s="17" t="s">
        <v>28</v>
      </c>
      <c r="R29" s="17" t="s">
        <v>28</v>
      </c>
      <c r="S29" s="19" t="s">
        <v>28</v>
      </c>
      <c r="T29" s="19"/>
      <c r="U29" s="14" t="s">
        <v>80</v>
      </c>
    </row>
    <row r="30" spans="1:21" ht="15.75" customHeight="1" x14ac:dyDescent="0.25">
      <c r="A30" s="13">
        <v>45328</v>
      </c>
      <c r="B30" s="24" t="s">
        <v>81</v>
      </c>
      <c r="C30" s="24"/>
      <c r="D30" s="15" t="s">
        <v>24</v>
      </c>
      <c r="E30" s="48" t="s">
        <v>71</v>
      </c>
      <c r="F30" s="17" t="s">
        <v>78</v>
      </c>
      <c r="G30" s="17" t="s">
        <v>27</v>
      </c>
      <c r="H30" s="17">
        <v>1.37</v>
      </c>
      <c r="I30" s="17">
        <v>0.33</v>
      </c>
      <c r="J30" s="17">
        <v>175.2</v>
      </c>
      <c r="K30" s="17" t="s">
        <v>28</v>
      </c>
      <c r="L30" s="17"/>
      <c r="M30" s="17" t="s">
        <v>28</v>
      </c>
      <c r="N30" s="49">
        <v>1.5</v>
      </c>
      <c r="O30" s="19" t="s">
        <v>82</v>
      </c>
      <c r="P30" s="22"/>
      <c r="Q30" s="17">
        <f>30-6-4</f>
        <v>20</v>
      </c>
      <c r="R30" s="17">
        <f t="shared" ref="R30:R40" si="13">J30*Q30</f>
        <v>3504</v>
      </c>
      <c r="S30" s="19" t="s">
        <v>28</v>
      </c>
      <c r="T30" s="19"/>
    </row>
    <row r="31" spans="1:21" ht="15.75" customHeight="1" x14ac:dyDescent="0.25">
      <c r="A31" s="13">
        <v>45328</v>
      </c>
      <c r="B31" s="24" t="s">
        <v>83</v>
      </c>
      <c r="C31" s="24"/>
      <c r="D31" s="15" t="s">
        <v>24</v>
      </c>
      <c r="E31" s="48" t="s">
        <v>71</v>
      </c>
      <c r="F31" s="17" t="s">
        <v>78</v>
      </c>
      <c r="G31" s="17" t="s">
        <v>27</v>
      </c>
      <c r="H31" s="17">
        <v>1.59</v>
      </c>
      <c r="I31" s="17">
        <v>0.82</v>
      </c>
      <c r="J31" s="17">
        <v>94.8</v>
      </c>
      <c r="K31" s="17" t="s">
        <v>28</v>
      </c>
      <c r="L31" s="17"/>
      <c r="M31" s="18" t="s">
        <v>84</v>
      </c>
      <c r="N31" s="49">
        <v>1.5</v>
      </c>
      <c r="O31" s="19" t="s">
        <v>82</v>
      </c>
      <c r="P31" s="14"/>
      <c r="Q31" s="17">
        <f>30-6-4-2</f>
        <v>18</v>
      </c>
      <c r="R31" s="17">
        <f t="shared" si="13"/>
        <v>1706.3999999999999</v>
      </c>
      <c r="S31" s="19" t="s">
        <v>28</v>
      </c>
      <c r="T31" s="19"/>
    </row>
    <row r="32" spans="1:21" ht="15.75" customHeight="1" x14ac:dyDescent="0.25">
      <c r="A32" s="13">
        <v>45328</v>
      </c>
      <c r="B32" s="24" t="s">
        <v>85</v>
      </c>
      <c r="C32" s="24"/>
      <c r="D32" s="15" t="s">
        <v>24</v>
      </c>
      <c r="E32" s="48" t="s">
        <v>71</v>
      </c>
      <c r="F32" s="17" t="s">
        <v>78</v>
      </c>
      <c r="G32" s="17" t="s">
        <v>27</v>
      </c>
      <c r="H32" s="17">
        <v>1.34</v>
      </c>
      <c r="I32" s="17">
        <v>0.62</v>
      </c>
      <c r="J32" s="17">
        <v>160.80000000000001</v>
      </c>
      <c r="K32" s="17" t="s">
        <v>28</v>
      </c>
      <c r="L32" s="17"/>
      <c r="M32" s="17" t="s">
        <v>28</v>
      </c>
      <c r="N32" s="49">
        <v>1.5</v>
      </c>
      <c r="O32" s="19" t="s">
        <v>82</v>
      </c>
      <c r="P32" s="22"/>
      <c r="Q32" s="17">
        <f t="shared" ref="Q32:Q33" si="14">30-6-4</f>
        <v>20</v>
      </c>
      <c r="R32" s="17">
        <f t="shared" si="13"/>
        <v>3216</v>
      </c>
      <c r="S32" s="19" t="s">
        <v>28</v>
      </c>
      <c r="T32" s="19"/>
    </row>
    <row r="33" spans="1:21" ht="15.75" customHeight="1" x14ac:dyDescent="0.25">
      <c r="A33" s="26">
        <v>45328</v>
      </c>
      <c r="B33" s="27" t="s">
        <v>86</v>
      </c>
      <c r="C33" s="27"/>
      <c r="D33" s="39" t="s">
        <v>24</v>
      </c>
      <c r="E33" s="50" t="s">
        <v>71</v>
      </c>
      <c r="F33" s="29" t="s">
        <v>78</v>
      </c>
      <c r="G33" s="29" t="s">
        <v>27</v>
      </c>
      <c r="H33" s="29">
        <v>1.35</v>
      </c>
      <c r="I33" s="29">
        <v>0.41</v>
      </c>
      <c r="J33" s="29">
        <v>103.6</v>
      </c>
      <c r="K33" s="29" t="s">
        <v>28</v>
      </c>
      <c r="L33" s="29"/>
      <c r="M33" s="29" t="s">
        <v>28</v>
      </c>
      <c r="N33" s="51">
        <v>1.5</v>
      </c>
      <c r="O33" s="31" t="s">
        <v>82</v>
      </c>
      <c r="P33" s="52"/>
      <c r="Q33" s="29">
        <f t="shared" si="14"/>
        <v>20</v>
      </c>
      <c r="R33" s="29">
        <f t="shared" si="13"/>
        <v>2072</v>
      </c>
      <c r="S33" s="31" t="s">
        <v>28</v>
      </c>
      <c r="T33" s="31"/>
    </row>
    <row r="34" spans="1:21" ht="15.75" customHeight="1" x14ac:dyDescent="0.25">
      <c r="A34" s="13">
        <v>45330</v>
      </c>
      <c r="B34" s="24" t="s">
        <v>87</v>
      </c>
      <c r="C34" s="24"/>
      <c r="D34" s="15" t="s">
        <v>24</v>
      </c>
      <c r="E34" s="48" t="s">
        <v>71</v>
      </c>
      <c r="F34" s="17" t="s">
        <v>78</v>
      </c>
      <c r="G34" s="17" t="s">
        <v>27</v>
      </c>
      <c r="H34" s="17">
        <v>1.5</v>
      </c>
      <c r="I34" s="17">
        <v>0.61</v>
      </c>
      <c r="J34" s="17">
        <v>1254.5999999999999</v>
      </c>
      <c r="K34" s="17" t="s">
        <v>28</v>
      </c>
      <c r="L34" s="17"/>
      <c r="M34" s="17" t="s">
        <v>28</v>
      </c>
      <c r="N34" s="49">
        <v>1.5</v>
      </c>
      <c r="O34" s="19" t="s">
        <v>82</v>
      </c>
      <c r="P34" s="22"/>
      <c r="Q34" s="17">
        <f t="shared" ref="Q34:Q39" si="15">30-6</f>
        <v>24</v>
      </c>
      <c r="R34" s="17">
        <f t="shared" si="13"/>
        <v>30110.399999999998</v>
      </c>
      <c r="S34" s="19" t="s">
        <v>28</v>
      </c>
      <c r="T34" s="19"/>
    </row>
    <row r="35" spans="1:21" ht="15.75" customHeight="1" x14ac:dyDescent="0.25">
      <c r="A35" s="26">
        <v>45330</v>
      </c>
      <c r="B35" s="27" t="s">
        <v>88</v>
      </c>
      <c r="C35" s="27"/>
      <c r="D35" s="39" t="s">
        <v>24</v>
      </c>
      <c r="E35" s="50" t="s">
        <v>71</v>
      </c>
      <c r="F35" s="29" t="s">
        <v>78</v>
      </c>
      <c r="G35" s="29" t="s">
        <v>27</v>
      </c>
      <c r="H35" s="29">
        <v>1.52</v>
      </c>
      <c r="I35" s="29">
        <v>0.59</v>
      </c>
      <c r="J35" s="29">
        <v>1305.5</v>
      </c>
      <c r="K35" s="29" t="s">
        <v>28</v>
      </c>
      <c r="L35" s="29"/>
      <c r="M35" s="29" t="s">
        <v>28</v>
      </c>
      <c r="N35" s="51">
        <v>1.5</v>
      </c>
      <c r="O35" s="31" t="s">
        <v>82</v>
      </c>
      <c r="P35" s="53"/>
      <c r="Q35" s="29">
        <f t="shared" si="15"/>
        <v>24</v>
      </c>
      <c r="R35" s="29">
        <f t="shared" si="13"/>
        <v>31332</v>
      </c>
      <c r="S35" s="31" t="s">
        <v>28</v>
      </c>
      <c r="T35" s="31"/>
    </row>
    <row r="36" spans="1:21" ht="15.75" customHeight="1" x14ac:dyDescent="0.25">
      <c r="A36" s="21">
        <v>45334</v>
      </c>
      <c r="B36" s="24" t="s">
        <v>89</v>
      </c>
      <c r="C36" s="24"/>
      <c r="D36" s="15" t="s">
        <v>24</v>
      </c>
      <c r="E36" s="48" t="s">
        <v>71</v>
      </c>
      <c r="F36" s="17" t="s">
        <v>72</v>
      </c>
      <c r="G36" s="17" t="s">
        <v>27</v>
      </c>
      <c r="H36" s="17">
        <v>1.29</v>
      </c>
      <c r="I36" s="17">
        <v>0.5</v>
      </c>
      <c r="J36" s="17">
        <v>395.6</v>
      </c>
      <c r="K36" s="17" t="s">
        <v>28</v>
      </c>
      <c r="L36" s="17"/>
      <c r="M36" s="17" t="s">
        <v>28</v>
      </c>
      <c r="N36" s="49">
        <v>1.5</v>
      </c>
      <c r="O36" s="19" t="s">
        <v>82</v>
      </c>
      <c r="P36" s="22"/>
      <c r="Q36" s="25">
        <f t="shared" si="15"/>
        <v>24</v>
      </c>
      <c r="R36" s="17">
        <f t="shared" si="13"/>
        <v>9494.4000000000015</v>
      </c>
      <c r="S36" s="19" t="s">
        <v>28</v>
      </c>
      <c r="T36" s="19"/>
    </row>
    <row r="37" spans="1:21" ht="15.75" customHeight="1" x14ac:dyDescent="0.25">
      <c r="A37" s="21">
        <v>45334</v>
      </c>
      <c r="B37" s="24" t="s">
        <v>90</v>
      </c>
      <c r="C37" s="24"/>
      <c r="D37" s="15" t="s">
        <v>24</v>
      </c>
      <c r="E37" s="48" t="s">
        <v>71</v>
      </c>
      <c r="F37" s="17" t="s">
        <v>72</v>
      </c>
      <c r="G37" s="17" t="s">
        <v>27</v>
      </c>
      <c r="H37" s="17">
        <v>1.25</v>
      </c>
      <c r="I37" s="17">
        <v>0.46</v>
      </c>
      <c r="J37" s="17">
        <v>338.9</v>
      </c>
      <c r="K37" s="17" t="s">
        <v>28</v>
      </c>
      <c r="L37" s="17"/>
      <c r="M37" s="17" t="s">
        <v>28</v>
      </c>
      <c r="N37" s="49">
        <v>1.5</v>
      </c>
      <c r="O37" s="19" t="s">
        <v>82</v>
      </c>
      <c r="P37" s="22"/>
      <c r="Q37" s="25">
        <f t="shared" si="15"/>
        <v>24</v>
      </c>
      <c r="R37" s="17">
        <f t="shared" si="13"/>
        <v>8133.5999999999995</v>
      </c>
      <c r="S37" s="19" t="s">
        <v>28</v>
      </c>
      <c r="T37" s="19"/>
    </row>
    <row r="38" spans="1:21" ht="15.75" customHeight="1" x14ac:dyDescent="0.25">
      <c r="A38" s="21">
        <v>45334</v>
      </c>
      <c r="B38" s="24" t="s">
        <v>91</v>
      </c>
      <c r="C38" s="24"/>
      <c r="D38" s="15" t="s">
        <v>24</v>
      </c>
      <c r="E38" s="48" t="s">
        <v>71</v>
      </c>
      <c r="F38" s="17" t="s">
        <v>72</v>
      </c>
      <c r="G38" s="17" t="s">
        <v>27</v>
      </c>
      <c r="H38" s="17">
        <v>3.29</v>
      </c>
      <c r="I38" s="17">
        <v>0.4</v>
      </c>
      <c r="J38" s="17">
        <v>1.9</v>
      </c>
      <c r="K38" s="17" t="s">
        <v>28</v>
      </c>
      <c r="L38" s="17"/>
      <c r="M38" s="17" t="s">
        <v>28</v>
      </c>
      <c r="N38" s="49">
        <v>1.5</v>
      </c>
      <c r="O38" s="19" t="s">
        <v>82</v>
      </c>
      <c r="P38" s="22"/>
      <c r="Q38" s="17">
        <f t="shared" si="15"/>
        <v>24</v>
      </c>
      <c r="R38" s="17">
        <f t="shared" si="13"/>
        <v>45.599999999999994</v>
      </c>
      <c r="S38" s="19" t="s">
        <v>28</v>
      </c>
      <c r="T38" s="19"/>
    </row>
    <row r="39" spans="1:21" ht="15.75" customHeight="1" x14ac:dyDescent="0.25">
      <c r="A39" s="54">
        <v>45334</v>
      </c>
      <c r="B39" s="27" t="s">
        <v>92</v>
      </c>
      <c r="C39" s="27"/>
      <c r="D39" s="39" t="s">
        <v>24</v>
      </c>
      <c r="E39" s="50" t="s">
        <v>71</v>
      </c>
      <c r="F39" s="29" t="s">
        <v>72</v>
      </c>
      <c r="G39" s="41" t="s">
        <v>27</v>
      </c>
      <c r="H39" s="41">
        <v>1.33</v>
      </c>
      <c r="I39" s="41">
        <v>0.68</v>
      </c>
      <c r="J39" s="41">
        <v>120.1</v>
      </c>
      <c r="K39" s="41" t="s">
        <v>28</v>
      </c>
      <c r="L39" s="41"/>
      <c r="M39" s="41" t="s">
        <v>28</v>
      </c>
      <c r="N39" s="51">
        <v>1.5</v>
      </c>
      <c r="O39" s="31" t="s">
        <v>82</v>
      </c>
      <c r="P39" s="27"/>
      <c r="Q39" s="41">
        <f t="shared" si="15"/>
        <v>24</v>
      </c>
      <c r="R39" s="29">
        <f t="shared" si="13"/>
        <v>2882.3999999999996</v>
      </c>
      <c r="S39" s="31" t="s">
        <v>28</v>
      </c>
      <c r="T39" s="31"/>
    </row>
    <row r="40" spans="1:21" ht="15.75" customHeight="1" x14ac:dyDescent="0.25">
      <c r="A40" s="55">
        <v>45336</v>
      </c>
      <c r="B40" s="56" t="s">
        <v>93</v>
      </c>
      <c r="C40" s="56"/>
      <c r="D40" s="57" t="s">
        <v>24</v>
      </c>
      <c r="E40" s="58" t="s">
        <v>71</v>
      </c>
      <c r="F40" s="59" t="s">
        <v>94</v>
      </c>
      <c r="G40" s="60" t="s">
        <v>95</v>
      </c>
      <c r="H40" s="61">
        <v>-1.01</v>
      </c>
      <c r="I40" s="62">
        <v>-7.48</v>
      </c>
      <c r="J40" s="60">
        <v>18.600000000000001</v>
      </c>
      <c r="K40" s="62" t="s">
        <v>28</v>
      </c>
      <c r="L40" s="62"/>
      <c r="M40" s="62" t="s">
        <v>28</v>
      </c>
      <c r="N40" s="63" t="s">
        <v>96</v>
      </c>
      <c r="O40" s="31" t="s">
        <v>82</v>
      </c>
      <c r="P40" s="64"/>
      <c r="Q40" s="61">
        <f>25-2-4</f>
        <v>19</v>
      </c>
      <c r="R40" s="62">
        <f t="shared" si="13"/>
        <v>353.40000000000003</v>
      </c>
      <c r="S40" s="31" t="s">
        <v>28</v>
      </c>
      <c r="T40" s="31"/>
    </row>
    <row r="41" spans="1:21" ht="15.75" customHeight="1" x14ac:dyDescent="0.25">
      <c r="A41" s="65">
        <v>45338</v>
      </c>
      <c r="B41" s="44" t="s">
        <v>97</v>
      </c>
      <c r="C41" s="44"/>
      <c r="D41" s="66" t="s">
        <v>24</v>
      </c>
      <c r="E41" s="67" t="s">
        <v>71</v>
      </c>
      <c r="F41" s="2" t="s">
        <v>98</v>
      </c>
      <c r="G41" s="2" t="s">
        <v>27</v>
      </c>
      <c r="H41" s="2">
        <v>1.1499999999999999</v>
      </c>
      <c r="I41" s="2">
        <v>0.39</v>
      </c>
      <c r="J41" s="68">
        <v>518.70000000000005</v>
      </c>
      <c r="K41" s="2" t="s">
        <v>28</v>
      </c>
      <c r="L41" s="2"/>
      <c r="M41" s="2" t="s">
        <v>28</v>
      </c>
      <c r="N41" s="154">
        <v>1</v>
      </c>
      <c r="O41" s="19" t="s">
        <v>82</v>
      </c>
      <c r="P41" s="22"/>
      <c r="Q41" s="3">
        <f t="shared" ref="Q41:Q46" si="16">20-2-18</f>
        <v>0</v>
      </c>
      <c r="R41" s="2">
        <f t="shared" ref="R41:R46" si="17">18*J41*0</f>
        <v>0</v>
      </c>
      <c r="S41" s="2" t="s">
        <v>28</v>
      </c>
      <c r="T41" s="2"/>
      <c r="U41" s="143" t="s">
        <v>99</v>
      </c>
    </row>
    <row r="42" spans="1:21" ht="15.75" customHeight="1" x14ac:dyDescent="0.25">
      <c r="A42" s="65">
        <v>45338</v>
      </c>
      <c r="B42" s="44" t="s">
        <v>100</v>
      </c>
      <c r="C42" s="44"/>
      <c r="D42" s="66" t="s">
        <v>24</v>
      </c>
      <c r="E42" s="67" t="s">
        <v>71</v>
      </c>
      <c r="F42" s="2" t="s">
        <v>98</v>
      </c>
      <c r="G42" s="2" t="s">
        <v>27</v>
      </c>
      <c r="H42" s="2">
        <v>1.1399999999999999</v>
      </c>
      <c r="I42" s="2">
        <v>0.4</v>
      </c>
      <c r="J42" s="68">
        <v>421.8</v>
      </c>
      <c r="K42" s="2" t="s">
        <v>28</v>
      </c>
      <c r="L42" s="2"/>
      <c r="M42" s="2" t="s">
        <v>28</v>
      </c>
      <c r="N42" s="144"/>
      <c r="O42" s="19" t="s">
        <v>82</v>
      </c>
      <c r="P42" s="22"/>
      <c r="Q42" s="3">
        <f t="shared" si="16"/>
        <v>0</v>
      </c>
      <c r="R42" s="3">
        <f t="shared" si="17"/>
        <v>0</v>
      </c>
      <c r="S42" s="2" t="s">
        <v>28</v>
      </c>
      <c r="T42" s="2"/>
      <c r="U42" s="144"/>
    </row>
    <row r="43" spans="1:21" ht="15.75" customHeight="1" x14ac:dyDescent="0.25">
      <c r="A43" s="65">
        <v>45338</v>
      </c>
      <c r="B43" s="44" t="s">
        <v>101</v>
      </c>
      <c r="C43" s="44"/>
      <c r="D43" s="66" t="s">
        <v>24</v>
      </c>
      <c r="E43" s="67" t="s">
        <v>71</v>
      </c>
      <c r="F43" s="2" t="s">
        <v>98</v>
      </c>
      <c r="G43" s="2" t="s">
        <v>27</v>
      </c>
      <c r="H43" s="2">
        <v>1.1399999999999999</v>
      </c>
      <c r="I43" s="2">
        <v>0.4</v>
      </c>
      <c r="J43" s="68">
        <v>486.2</v>
      </c>
      <c r="K43" s="2" t="s">
        <v>28</v>
      </c>
      <c r="L43" s="2"/>
      <c r="M43" s="2" t="s">
        <v>28</v>
      </c>
      <c r="N43" s="144"/>
      <c r="O43" s="19" t="s">
        <v>82</v>
      </c>
      <c r="P43" s="22"/>
      <c r="Q43" s="3">
        <f t="shared" si="16"/>
        <v>0</v>
      </c>
      <c r="R43" s="3">
        <f t="shared" si="17"/>
        <v>0</v>
      </c>
      <c r="S43" s="2" t="s">
        <v>28</v>
      </c>
      <c r="T43" s="2"/>
      <c r="U43" s="144"/>
    </row>
    <row r="44" spans="1:21" ht="15.75" customHeight="1" x14ac:dyDescent="0.25">
      <c r="A44" s="65">
        <v>45338</v>
      </c>
      <c r="B44" s="44" t="s">
        <v>102</v>
      </c>
      <c r="C44" s="44"/>
      <c r="D44" s="66" t="s">
        <v>24</v>
      </c>
      <c r="E44" s="67" t="s">
        <v>71</v>
      </c>
      <c r="F44" s="2" t="s">
        <v>98</v>
      </c>
      <c r="G44" s="2" t="s">
        <v>27</v>
      </c>
      <c r="H44" s="2">
        <v>1.17</v>
      </c>
      <c r="I44" s="2">
        <v>0.4</v>
      </c>
      <c r="J44" s="68">
        <v>627.20000000000005</v>
      </c>
      <c r="K44" s="2" t="s">
        <v>28</v>
      </c>
      <c r="L44" s="2"/>
      <c r="M44" s="2" t="s">
        <v>28</v>
      </c>
      <c r="N44" s="144"/>
      <c r="O44" s="19" t="s">
        <v>82</v>
      </c>
      <c r="P44" s="22"/>
      <c r="Q44" s="3">
        <f t="shared" si="16"/>
        <v>0</v>
      </c>
      <c r="R44" s="3">
        <f t="shared" si="17"/>
        <v>0</v>
      </c>
      <c r="S44" s="2" t="s">
        <v>28</v>
      </c>
      <c r="T44" s="2"/>
      <c r="U44" s="144"/>
    </row>
    <row r="45" spans="1:21" ht="15.75" customHeight="1" x14ac:dyDescent="0.25">
      <c r="A45" s="65">
        <v>45338</v>
      </c>
      <c r="B45" s="44" t="s">
        <v>103</v>
      </c>
      <c r="C45" s="44"/>
      <c r="D45" s="66" t="s">
        <v>24</v>
      </c>
      <c r="E45" s="67" t="s">
        <v>71</v>
      </c>
      <c r="F45" s="2" t="s">
        <v>98</v>
      </c>
      <c r="G45" s="2" t="s">
        <v>27</v>
      </c>
      <c r="H45" s="2">
        <v>1.1299999999999999</v>
      </c>
      <c r="I45" s="2">
        <v>0.38</v>
      </c>
      <c r="J45" s="68">
        <v>578.29999999999995</v>
      </c>
      <c r="K45" s="2" t="s">
        <v>28</v>
      </c>
      <c r="L45" s="2"/>
      <c r="M45" s="2" t="s">
        <v>28</v>
      </c>
      <c r="N45" s="144"/>
      <c r="O45" s="19" t="s">
        <v>82</v>
      </c>
      <c r="P45" s="22"/>
      <c r="Q45" s="3">
        <f t="shared" si="16"/>
        <v>0</v>
      </c>
      <c r="R45" s="3">
        <f t="shared" si="17"/>
        <v>0</v>
      </c>
      <c r="S45" s="2" t="s">
        <v>28</v>
      </c>
      <c r="T45" s="2"/>
      <c r="U45" s="144"/>
    </row>
    <row r="46" spans="1:21" ht="15.75" customHeight="1" x14ac:dyDescent="0.25">
      <c r="A46" s="69">
        <v>45338</v>
      </c>
      <c r="B46" s="70" t="s">
        <v>104</v>
      </c>
      <c r="C46" s="70"/>
      <c r="D46" s="71" t="s">
        <v>24</v>
      </c>
      <c r="E46" s="72" t="s">
        <v>71</v>
      </c>
      <c r="F46" s="73" t="s">
        <v>98</v>
      </c>
      <c r="G46" s="73" t="s">
        <v>27</v>
      </c>
      <c r="H46" s="73">
        <v>1.1599999999999999</v>
      </c>
      <c r="I46" s="73">
        <v>0.4</v>
      </c>
      <c r="J46" s="74">
        <v>656.4</v>
      </c>
      <c r="K46" s="73" t="s">
        <v>28</v>
      </c>
      <c r="L46" s="73"/>
      <c r="M46" s="73" t="s">
        <v>28</v>
      </c>
      <c r="N46" s="142"/>
      <c r="O46" s="31" t="s">
        <v>82</v>
      </c>
      <c r="P46" s="52"/>
      <c r="Q46" s="75">
        <f t="shared" si="16"/>
        <v>0</v>
      </c>
      <c r="R46" s="75">
        <f t="shared" si="17"/>
        <v>0</v>
      </c>
      <c r="S46" s="73" t="s">
        <v>28</v>
      </c>
      <c r="T46" s="73"/>
      <c r="U46" s="144"/>
    </row>
    <row r="47" spans="1:21" ht="15.75" customHeight="1" x14ac:dyDescent="0.25">
      <c r="A47" s="76">
        <v>45342</v>
      </c>
      <c r="B47" s="44" t="s">
        <v>105</v>
      </c>
      <c r="C47" s="44"/>
      <c r="D47" s="66" t="s">
        <v>24</v>
      </c>
      <c r="E47" s="67" t="s">
        <v>71</v>
      </c>
      <c r="F47" s="2" t="s">
        <v>106</v>
      </c>
      <c r="G47" s="2" t="s">
        <v>107</v>
      </c>
      <c r="H47" s="2">
        <v>5.39</v>
      </c>
      <c r="I47" s="2">
        <v>0.01</v>
      </c>
      <c r="J47" s="68">
        <v>8.1</v>
      </c>
      <c r="K47" s="2" t="s">
        <v>28</v>
      </c>
      <c r="L47" s="2"/>
      <c r="M47" s="2" t="s">
        <v>28</v>
      </c>
      <c r="N47" s="150" t="s">
        <v>108</v>
      </c>
      <c r="O47" s="19" t="s">
        <v>82</v>
      </c>
      <c r="P47" s="22"/>
      <c r="Q47" s="3">
        <f t="shared" ref="Q47:Q49" si="18">50-2-4</f>
        <v>44</v>
      </c>
      <c r="R47" s="3">
        <f t="shared" ref="R47:R53" si="19">J47*Q47</f>
        <v>356.4</v>
      </c>
      <c r="S47" s="2" t="s">
        <v>28</v>
      </c>
      <c r="T47" s="2"/>
    </row>
    <row r="48" spans="1:21" ht="15.75" customHeight="1" x14ac:dyDescent="0.25">
      <c r="A48" s="76">
        <v>45342</v>
      </c>
      <c r="B48" s="44" t="s">
        <v>109</v>
      </c>
      <c r="C48" s="44"/>
      <c r="D48" s="66" t="s">
        <v>24</v>
      </c>
      <c r="E48" s="67" t="s">
        <v>71</v>
      </c>
      <c r="F48" s="2" t="s">
        <v>106</v>
      </c>
      <c r="G48" s="2" t="s">
        <v>107</v>
      </c>
      <c r="H48" s="2">
        <v>2.3199999999999998</v>
      </c>
      <c r="I48" s="2">
        <v>0.02</v>
      </c>
      <c r="J48" s="68">
        <v>3.2</v>
      </c>
      <c r="K48" s="2" t="s">
        <v>28</v>
      </c>
      <c r="L48" s="2"/>
      <c r="M48" s="2" t="s">
        <v>28</v>
      </c>
      <c r="N48" s="144"/>
      <c r="O48" s="19" t="s">
        <v>82</v>
      </c>
      <c r="P48" s="22"/>
      <c r="Q48" s="3">
        <f t="shared" si="18"/>
        <v>44</v>
      </c>
      <c r="R48" s="3">
        <f t="shared" si="19"/>
        <v>140.80000000000001</v>
      </c>
      <c r="S48" s="2" t="s">
        <v>28</v>
      </c>
      <c r="T48" s="2"/>
    </row>
    <row r="49" spans="1:21" ht="15.75" customHeight="1" x14ac:dyDescent="0.25">
      <c r="A49" s="77">
        <v>45342</v>
      </c>
      <c r="B49" s="70" t="s">
        <v>110</v>
      </c>
      <c r="C49" s="70"/>
      <c r="D49" s="71" t="s">
        <v>24</v>
      </c>
      <c r="E49" s="72" t="s">
        <v>71</v>
      </c>
      <c r="F49" s="73" t="s">
        <v>106</v>
      </c>
      <c r="G49" s="73" t="s">
        <v>107</v>
      </c>
      <c r="H49" s="73">
        <v>4.4000000000000004</v>
      </c>
      <c r="I49" s="73">
        <v>0.01</v>
      </c>
      <c r="J49" s="74">
        <v>4.8</v>
      </c>
      <c r="K49" s="73" t="s">
        <v>28</v>
      </c>
      <c r="L49" s="73"/>
      <c r="M49" s="73" t="s">
        <v>28</v>
      </c>
      <c r="N49" s="142"/>
      <c r="O49" s="31" t="s">
        <v>82</v>
      </c>
      <c r="P49" s="52"/>
      <c r="Q49" s="75">
        <f t="shared" si="18"/>
        <v>44</v>
      </c>
      <c r="R49" s="75">
        <f t="shared" si="19"/>
        <v>211.2</v>
      </c>
      <c r="S49" s="73" t="s">
        <v>28</v>
      </c>
      <c r="T49" s="73"/>
    </row>
    <row r="50" spans="1:21" ht="15.75" customHeight="1" x14ac:dyDescent="0.25">
      <c r="A50" s="76">
        <v>45348</v>
      </c>
      <c r="B50" s="44" t="s">
        <v>111</v>
      </c>
      <c r="C50" s="44"/>
      <c r="D50" s="66" t="s">
        <v>24</v>
      </c>
      <c r="E50" s="67" t="s">
        <v>71</v>
      </c>
      <c r="F50" s="2" t="s">
        <v>98</v>
      </c>
      <c r="G50" s="2" t="s">
        <v>27</v>
      </c>
      <c r="H50" s="2">
        <v>1.22</v>
      </c>
      <c r="I50" s="2">
        <v>0.46</v>
      </c>
      <c r="J50" s="2">
        <v>279</v>
      </c>
      <c r="K50" s="2" t="s">
        <v>28</v>
      </c>
      <c r="L50" s="2"/>
      <c r="M50" s="2" t="s">
        <v>28</v>
      </c>
      <c r="N50" s="2">
        <v>1.5</v>
      </c>
      <c r="O50" s="2" t="s">
        <v>74</v>
      </c>
      <c r="P50" s="3"/>
      <c r="Q50" s="3">
        <f t="shared" ref="Q50:Q53" si="20">30-2-4-4</f>
        <v>20</v>
      </c>
      <c r="R50" s="3">
        <f t="shared" si="19"/>
        <v>5580</v>
      </c>
      <c r="S50" s="2" t="s">
        <v>28</v>
      </c>
      <c r="T50" s="2"/>
    </row>
    <row r="51" spans="1:21" ht="15.75" customHeight="1" x14ac:dyDescent="0.25">
      <c r="A51" s="76">
        <v>45348</v>
      </c>
      <c r="B51" s="44" t="s">
        <v>112</v>
      </c>
      <c r="C51" s="44"/>
      <c r="D51" s="66" t="s">
        <v>24</v>
      </c>
      <c r="E51" s="67" t="s">
        <v>71</v>
      </c>
      <c r="F51" s="2" t="s">
        <v>98</v>
      </c>
      <c r="G51" s="2" t="s">
        <v>27</v>
      </c>
      <c r="H51" s="2">
        <v>1.46</v>
      </c>
      <c r="I51" s="2">
        <v>0.55000000000000004</v>
      </c>
      <c r="J51" s="2">
        <v>110</v>
      </c>
      <c r="K51" s="2" t="s">
        <v>28</v>
      </c>
      <c r="L51" s="2"/>
      <c r="M51" s="2" t="s">
        <v>28</v>
      </c>
      <c r="N51" s="2">
        <v>1.5</v>
      </c>
      <c r="O51" s="2" t="s">
        <v>74</v>
      </c>
      <c r="P51" s="3"/>
      <c r="Q51" s="3">
        <f t="shared" si="20"/>
        <v>20</v>
      </c>
      <c r="R51" s="3">
        <f t="shared" si="19"/>
        <v>2200</v>
      </c>
      <c r="S51" s="2" t="s">
        <v>28</v>
      </c>
      <c r="T51" s="2"/>
    </row>
    <row r="52" spans="1:21" ht="15.75" customHeight="1" x14ac:dyDescent="0.25">
      <c r="A52" s="76">
        <v>45348</v>
      </c>
      <c r="B52" s="44" t="s">
        <v>113</v>
      </c>
      <c r="C52" s="44"/>
      <c r="D52" s="66" t="s">
        <v>24</v>
      </c>
      <c r="E52" s="67" t="s">
        <v>71</v>
      </c>
      <c r="F52" s="2" t="s">
        <v>98</v>
      </c>
      <c r="G52" s="2" t="s">
        <v>27</v>
      </c>
      <c r="H52" s="2">
        <v>1.56</v>
      </c>
      <c r="I52" s="2">
        <v>0.51</v>
      </c>
      <c r="J52" s="2">
        <v>42.8</v>
      </c>
      <c r="K52" s="2" t="s">
        <v>28</v>
      </c>
      <c r="L52" s="2"/>
      <c r="M52" s="2" t="s">
        <v>28</v>
      </c>
      <c r="N52" s="2">
        <v>1.5</v>
      </c>
      <c r="O52" s="2" t="s">
        <v>74</v>
      </c>
      <c r="P52" s="3"/>
      <c r="Q52" s="3">
        <f t="shared" si="20"/>
        <v>20</v>
      </c>
      <c r="R52" s="3">
        <f t="shared" si="19"/>
        <v>856</v>
      </c>
      <c r="S52" s="2" t="s">
        <v>28</v>
      </c>
      <c r="T52" s="2"/>
    </row>
    <row r="53" spans="1:21" ht="15.75" customHeight="1" x14ac:dyDescent="0.25">
      <c r="A53" s="77">
        <v>45348</v>
      </c>
      <c r="B53" s="70" t="s">
        <v>114</v>
      </c>
      <c r="C53" s="70"/>
      <c r="D53" s="71" t="s">
        <v>24</v>
      </c>
      <c r="E53" s="72" t="s">
        <v>71</v>
      </c>
      <c r="F53" s="73" t="s">
        <v>98</v>
      </c>
      <c r="G53" s="73" t="s">
        <v>27</v>
      </c>
      <c r="H53" s="73">
        <v>1.62</v>
      </c>
      <c r="I53" s="73">
        <v>0.39</v>
      </c>
      <c r="J53" s="73">
        <v>188.7</v>
      </c>
      <c r="K53" s="73" t="s">
        <v>28</v>
      </c>
      <c r="L53" s="73"/>
      <c r="M53" s="73" t="s">
        <v>28</v>
      </c>
      <c r="N53" s="73">
        <v>1.5</v>
      </c>
      <c r="O53" s="73" t="s">
        <v>74</v>
      </c>
      <c r="P53" s="75"/>
      <c r="Q53" s="75">
        <f t="shared" si="20"/>
        <v>20</v>
      </c>
      <c r="R53" s="75">
        <f t="shared" si="19"/>
        <v>3774</v>
      </c>
      <c r="S53" s="73" t="s">
        <v>28</v>
      </c>
      <c r="T53" s="73"/>
    </row>
    <row r="54" spans="1:21" ht="15.75" customHeight="1" x14ac:dyDescent="0.25">
      <c r="A54" s="76">
        <v>45363</v>
      </c>
      <c r="B54" s="44" t="s">
        <v>115</v>
      </c>
      <c r="C54" s="44"/>
      <c r="D54" s="44" t="s">
        <v>24</v>
      </c>
      <c r="E54" s="23" t="s">
        <v>25</v>
      </c>
      <c r="F54" s="2" t="s">
        <v>35</v>
      </c>
      <c r="G54" s="2" t="s">
        <v>27</v>
      </c>
      <c r="H54" s="2">
        <v>1.82</v>
      </c>
      <c r="I54" s="2">
        <v>2.2000000000000002</v>
      </c>
      <c r="J54" s="2">
        <v>692.9</v>
      </c>
      <c r="K54" s="2" t="s">
        <v>28</v>
      </c>
      <c r="L54" s="2"/>
      <c r="M54" s="2" t="s">
        <v>28</v>
      </c>
      <c r="N54" s="2">
        <v>0.7</v>
      </c>
      <c r="O54" s="2" t="s">
        <v>29</v>
      </c>
      <c r="Q54" s="3">
        <f t="shared" ref="Q54:Q61" si="21">30-2-4-24</f>
        <v>0</v>
      </c>
      <c r="R54" s="3">
        <f t="shared" ref="R54:R61" si="22">24*J54*0</f>
        <v>0</v>
      </c>
      <c r="S54" s="2" t="s">
        <v>28</v>
      </c>
      <c r="T54" s="2"/>
      <c r="U54" s="147" t="s">
        <v>116</v>
      </c>
    </row>
    <row r="55" spans="1:21" ht="15.75" customHeight="1" x14ac:dyDescent="0.25">
      <c r="A55" s="76">
        <v>45363</v>
      </c>
      <c r="B55" s="44" t="s">
        <v>117</v>
      </c>
      <c r="C55" s="44"/>
      <c r="D55" s="44" t="s">
        <v>24</v>
      </c>
      <c r="E55" s="23" t="s">
        <v>25</v>
      </c>
      <c r="F55" s="2" t="s">
        <v>35</v>
      </c>
      <c r="G55" s="2" t="s">
        <v>27</v>
      </c>
      <c r="H55" s="2">
        <v>1.89</v>
      </c>
      <c r="I55" s="2">
        <v>2.34</v>
      </c>
      <c r="J55" s="2">
        <v>650.6</v>
      </c>
      <c r="K55" s="2" t="s">
        <v>28</v>
      </c>
      <c r="L55" s="2"/>
      <c r="M55" s="2" t="s">
        <v>28</v>
      </c>
      <c r="N55" s="2">
        <v>0.7</v>
      </c>
      <c r="O55" s="2" t="s">
        <v>29</v>
      </c>
      <c r="Q55" s="3">
        <f t="shared" si="21"/>
        <v>0</v>
      </c>
      <c r="R55" s="3">
        <f t="shared" si="22"/>
        <v>0</v>
      </c>
      <c r="S55" s="2" t="s">
        <v>28</v>
      </c>
      <c r="T55" s="2"/>
      <c r="U55" s="144"/>
    </row>
    <row r="56" spans="1:21" ht="15.75" customHeight="1" x14ac:dyDescent="0.25">
      <c r="A56" s="76">
        <v>45363</v>
      </c>
      <c r="B56" s="44" t="s">
        <v>118</v>
      </c>
      <c r="C56" s="44"/>
      <c r="D56" s="44" t="s">
        <v>24</v>
      </c>
      <c r="E56" s="23" t="s">
        <v>25</v>
      </c>
      <c r="F56" s="2" t="s">
        <v>35</v>
      </c>
      <c r="G56" s="2" t="s">
        <v>27</v>
      </c>
      <c r="H56" s="2">
        <v>1.84</v>
      </c>
      <c r="I56" s="2">
        <v>2.31</v>
      </c>
      <c r="J56" s="2">
        <v>427</v>
      </c>
      <c r="K56" s="2" t="s">
        <v>28</v>
      </c>
      <c r="L56" s="2"/>
      <c r="M56" s="2" t="s">
        <v>28</v>
      </c>
      <c r="N56" s="2">
        <v>0.7</v>
      </c>
      <c r="O56" s="2" t="s">
        <v>29</v>
      </c>
      <c r="Q56" s="3">
        <f t="shared" si="21"/>
        <v>0</v>
      </c>
      <c r="R56" s="3">
        <f t="shared" si="22"/>
        <v>0</v>
      </c>
      <c r="S56" s="2" t="s">
        <v>28</v>
      </c>
      <c r="T56" s="2"/>
      <c r="U56" s="144"/>
    </row>
    <row r="57" spans="1:21" ht="15.75" customHeight="1" x14ac:dyDescent="0.25">
      <c r="A57" s="76">
        <v>45363</v>
      </c>
      <c r="B57" s="44" t="s">
        <v>119</v>
      </c>
      <c r="C57" s="44"/>
      <c r="D57" s="44" t="s">
        <v>24</v>
      </c>
      <c r="E57" s="23" t="s">
        <v>25</v>
      </c>
      <c r="F57" s="2" t="s">
        <v>35</v>
      </c>
      <c r="G57" s="2" t="s">
        <v>27</v>
      </c>
      <c r="H57" s="2">
        <v>1.87</v>
      </c>
      <c r="I57" s="2">
        <v>2.06</v>
      </c>
      <c r="J57" s="2">
        <v>221.2</v>
      </c>
      <c r="K57" s="2" t="s">
        <v>28</v>
      </c>
      <c r="L57" s="2"/>
      <c r="M57" s="2" t="s">
        <v>28</v>
      </c>
      <c r="N57" s="2">
        <v>0.7</v>
      </c>
      <c r="O57" s="2" t="s">
        <v>29</v>
      </c>
      <c r="Q57" s="3">
        <f t="shared" si="21"/>
        <v>0</v>
      </c>
      <c r="R57" s="3">
        <f t="shared" si="22"/>
        <v>0</v>
      </c>
      <c r="S57" s="2" t="s">
        <v>28</v>
      </c>
      <c r="T57" s="2"/>
      <c r="U57" s="144"/>
    </row>
    <row r="58" spans="1:21" ht="15.75" customHeight="1" x14ac:dyDescent="0.25">
      <c r="A58" s="76">
        <v>45363</v>
      </c>
      <c r="B58" s="44" t="s">
        <v>120</v>
      </c>
      <c r="C58" s="44"/>
      <c r="D58" s="44" t="s">
        <v>24</v>
      </c>
      <c r="E58" s="23" t="s">
        <v>25</v>
      </c>
      <c r="F58" s="2" t="s">
        <v>35</v>
      </c>
      <c r="G58" s="2" t="s">
        <v>27</v>
      </c>
      <c r="H58" s="2">
        <v>1.85</v>
      </c>
      <c r="I58" s="2">
        <v>1.94</v>
      </c>
      <c r="J58" s="2">
        <v>212.1</v>
      </c>
      <c r="K58" s="2" t="s">
        <v>28</v>
      </c>
      <c r="L58" s="2"/>
      <c r="M58" s="2" t="s">
        <v>28</v>
      </c>
      <c r="N58" s="2">
        <v>0.7</v>
      </c>
      <c r="O58" s="2" t="s">
        <v>29</v>
      </c>
      <c r="Q58" s="3">
        <f t="shared" si="21"/>
        <v>0</v>
      </c>
      <c r="R58" s="3">
        <f t="shared" si="22"/>
        <v>0</v>
      </c>
      <c r="S58" s="2" t="s">
        <v>28</v>
      </c>
      <c r="T58" s="2"/>
      <c r="U58" s="44" t="s">
        <v>121</v>
      </c>
    </row>
    <row r="59" spans="1:21" ht="15.75" customHeight="1" x14ac:dyDescent="0.25">
      <c r="A59" s="76">
        <v>45363</v>
      </c>
      <c r="B59" s="44" t="s">
        <v>122</v>
      </c>
      <c r="C59" s="44"/>
      <c r="D59" s="44" t="s">
        <v>24</v>
      </c>
      <c r="E59" s="23" t="s">
        <v>25</v>
      </c>
      <c r="F59" s="2" t="s">
        <v>35</v>
      </c>
      <c r="G59" s="2" t="s">
        <v>27</v>
      </c>
      <c r="H59" s="2">
        <v>1.84</v>
      </c>
      <c r="I59" s="2">
        <v>0.89</v>
      </c>
      <c r="J59" s="2">
        <v>377.3</v>
      </c>
      <c r="K59" s="2" t="s">
        <v>28</v>
      </c>
      <c r="L59" s="2"/>
      <c r="M59" s="2" t="s">
        <v>28</v>
      </c>
      <c r="N59" s="2">
        <v>0.7</v>
      </c>
      <c r="O59" s="2" t="s">
        <v>29</v>
      </c>
      <c r="Q59" s="3">
        <f t="shared" si="21"/>
        <v>0</v>
      </c>
      <c r="R59" s="3">
        <f t="shared" si="22"/>
        <v>0</v>
      </c>
      <c r="S59" s="2" t="s">
        <v>28</v>
      </c>
      <c r="T59" s="2"/>
      <c r="U59" s="44" t="s">
        <v>123</v>
      </c>
    </row>
    <row r="60" spans="1:21" ht="15.75" customHeight="1" x14ac:dyDescent="0.25">
      <c r="A60" s="76">
        <v>45363</v>
      </c>
      <c r="B60" s="44" t="s">
        <v>124</v>
      </c>
      <c r="C60" s="44"/>
      <c r="D60" s="44" t="s">
        <v>24</v>
      </c>
      <c r="E60" s="23" t="s">
        <v>25</v>
      </c>
      <c r="F60" s="2" t="s">
        <v>35</v>
      </c>
      <c r="G60" s="2" t="s">
        <v>27</v>
      </c>
      <c r="H60" s="2">
        <v>1.84</v>
      </c>
      <c r="I60" s="2">
        <v>0.8</v>
      </c>
      <c r="J60" s="2">
        <v>489.4</v>
      </c>
      <c r="K60" s="2" t="s">
        <v>28</v>
      </c>
      <c r="L60" s="2"/>
      <c r="M60" s="2" t="s">
        <v>28</v>
      </c>
      <c r="N60" s="2">
        <v>0.7</v>
      </c>
      <c r="O60" s="2" t="s">
        <v>29</v>
      </c>
      <c r="Q60" s="3">
        <f t="shared" si="21"/>
        <v>0</v>
      </c>
      <c r="R60" s="3">
        <f t="shared" si="22"/>
        <v>0</v>
      </c>
      <c r="S60" s="2" t="s">
        <v>28</v>
      </c>
      <c r="T60" s="2"/>
      <c r="U60" s="44" t="s">
        <v>125</v>
      </c>
    </row>
    <row r="61" spans="1:21" ht="15.75" customHeight="1" x14ac:dyDescent="0.25">
      <c r="A61" s="77">
        <v>45363</v>
      </c>
      <c r="B61" s="70" t="s">
        <v>126</v>
      </c>
      <c r="C61" s="70"/>
      <c r="D61" s="70" t="s">
        <v>24</v>
      </c>
      <c r="E61" s="28" t="s">
        <v>25</v>
      </c>
      <c r="F61" s="73" t="s">
        <v>35</v>
      </c>
      <c r="G61" s="73" t="s">
        <v>27</v>
      </c>
      <c r="H61" s="73">
        <v>1.88</v>
      </c>
      <c r="I61" s="73">
        <v>1.29</v>
      </c>
      <c r="J61" s="73">
        <v>1357.4</v>
      </c>
      <c r="K61" s="73" t="s">
        <v>28</v>
      </c>
      <c r="L61" s="73"/>
      <c r="M61" s="73" t="s">
        <v>28</v>
      </c>
      <c r="N61" s="73">
        <v>0.7</v>
      </c>
      <c r="O61" s="73" t="s">
        <v>29</v>
      </c>
      <c r="P61" s="78"/>
      <c r="Q61" s="75">
        <f t="shared" si="21"/>
        <v>0</v>
      </c>
      <c r="R61" s="75">
        <f t="shared" si="22"/>
        <v>0</v>
      </c>
      <c r="S61" s="73" t="s">
        <v>28</v>
      </c>
      <c r="T61" s="73"/>
      <c r="U61" s="44" t="s">
        <v>125</v>
      </c>
    </row>
    <row r="62" spans="1:21" ht="15.75" customHeight="1" x14ac:dyDescent="0.25">
      <c r="A62" s="76">
        <v>45366</v>
      </c>
      <c r="B62" s="44" t="s">
        <v>127</v>
      </c>
      <c r="C62" s="79" t="s">
        <v>128</v>
      </c>
      <c r="D62" s="44" t="s">
        <v>24</v>
      </c>
      <c r="E62" s="23" t="s">
        <v>25</v>
      </c>
      <c r="F62" s="2" t="s">
        <v>129</v>
      </c>
      <c r="G62" s="2" t="s">
        <v>130</v>
      </c>
      <c r="H62" s="2">
        <v>1.86</v>
      </c>
      <c r="I62" s="2">
        <v>2.23</v>
      </c>
      <c r="J62" s="2">
        <v>490</v>
      </c>
      <c r="K62" s="2">
        <v>312</v>
      </c>
      <c r="L62" s="2"/>
      <c r="M62" s="2" t="s">
        <v>60</v>
      </c>
      <c r="N62" s="2" t="s">
        <v>28</v>
      </c>
      <c r="O62" s="2" t="s">
        <v>28</v>
      </c>
      <c r="P62" s="2" t="s">
        <v>28</v>
      </c>
      <c r="Q62" s="3">
        <f>24+24+24+24-2-1-1-32</f>
        <v>60</v>
      </c>
      <c r="R62" s="3">
        <f t="shared" ref="R62:R63" si="23">J62*Q62</f>
        <v>29400</v>
      </c>
      <c r="S62" s="2">
        <f>Q62*K62</f>
        <v>18720</v>
      </c>
      <c r="T62" s="2"/>
      <c r="U62" s="44" t="s">
        <v>131</v>
      </c>
    </row>
    <row r="63" spans="1:21" ht="15.75" customHeight="1" x14ac:dyDescent="0.25">
      <c r="A63" s="76">
        <v>45366</v>
      </c>
      <c r="B63" s="44" t="s">
        <v>132</v>
      </c>
      <c r="C63" s="44"/>
      <c r="D63" s="44" t="s">
        <v>24</v>
      </c>
      <c r="E63" s="23" t="s">
        <v>25</v>
      </c>
      <c r="F63" s="2" t="s">
        <v>133</v>
      </c>
      <c r="G63" s="2" t="s">
        <v>134</v>
      </c>
      <c r="H63" s="2">
        <v>1.88</v>
      </c>
      <c r="I63" s="2">
        <v>0.37</v>
      </c>
      <c r="J63" s="2">
        <v>34.5</v>
      </c>
      <c r="K63" s="2" t="s">
        <v>28</v>
      </c>
      <c r="L63" s="2"/>
      <c r="M63" s="2" t="s">
        <v>28</v>
      </c>
      <c r="N63" s="2" t="s">
        <v>28</v>
      </c>
      <c r="O63" s="2" t="s">
        <v>28</v>
      </c>
      <c r="P63" s="2" t="s">
        <v>28</v>
      </c>
      <c r="Q63" s="3">
        <f>30-2</f>
        <v>28</v>
      </c>
      <c r="R63" s="3">
        <f t="shared" si="23"/>
        <v>966</v>
      </c>
      <c r="S63" s="2" t="s">
        <v>28</v>
      </c>
      <c r="T63" s="2"/>
    </row>
    <row r="64" spans="1:21" ht="15.75" customHeight="1" x14ac:dyDescent="0.25">
      <c r="A64" s="77">
        <v>45366</v>
      </c>
      <c r="B64" s="70" t="s">
        <v>135</v>
      </c>
      <c r="C64" s="70"/>
      <c r="D64" s="70" t="s">
        <v>24</v>
      </c>
      <c r="E64" s="28" t="s">
        <v>25</v>
      </c>
      <c r="F64" s="73" t="s">
        <v>136</v>
      </c>
      <c r="G64" s="73" t="s">
        <v>134</v>
      </c>
      <c r="H64" s="73">
        <v>1.79</v>
      </c>
      <c r="I64" s="73">
        <v>2.29</v>
      </c>
      <c r="J64" s="73">
        <v>175.2</v>
      </c>
      <c r="K64" s="73" t="s">
        <v>28</v>
      </c>
      <c r="L64" s="73"/>
      <c r="M64" s="73" t="s">
        <v>28</v>
      </c>
      <c r="N64" s="73" t="s">
        <v>28</v>
      </c>
      <c r="O64" s="73" t="s">
        <v>28</v>
      </c>
      <c r="P64" s="73" t="s">
        <v>28</v>
      </c>
      <c r="Q64" s="75">
        <f>30-2-28</f>
        <v>0</v>
      </c>
      <c r="R64" s="75">
        <f>28*J64*0</f>
        <v>0</v>
      </c>
      <c r="S64" s="73" t="s">
        <v>28</v>
      </c>
      <c r="T64" s="73"/>
      <c r="U64" s="44" t="s">
        <v>121</v>
      </c>
    </row>
    <row r="65" spans="1:21" ht="15.75" customHeight="1" x14ac:dyDescent="0.25">
      <c r="A65" s="76">
        <v>45369</v>
      </c>
      <c r="B65" s="44" t="s">
        <v>137</v>
      </c>
      <c r="C65" s="44"/>
      <c r="D65" s="44" t="s">
        <v>24</v>
      </c>
      <c r="E65" s="67" t="s">
        <v>71</v>
      </c>
      <c r="F65" s="2" t="s">
        <v>98</v>
      </c>
      <c r="G65" s="2" t="s">
        <v>27</v>
      </c>
      <c r="H65" s="2">
        <v>1.1599999999999999</v>
      </c>
      <c r="I65" s="2">
        <v>0.44</v>
      </c>
      <c r="J65" s="2">
        <v>346.7</v>
      </c>
      <c r="K65" s="2" t="s">
        <v>28</v>
      </c>
      <c r="L65" s="2"/>
      <c r="M65" s="2" t="s">
        <v>28</v>
      </c>
      <c r="N65" s="2">
        <v>1.5</v>
      </c>
      <c r="O65" s="2" t="s">
        <v>74</v>
      </c>
      <c r="Q65" s="3">
        <f t="shared" ref="Q65:Q71" si="24">30-2-4-24</f>
        <v>0</v>
      </c>
      <c r="R65" s="3">
        <f t="shared" ref="R65:R71" si="25">J65*Q65</f>
        <v>0</v>
      </c>
      <c r="S65" s="2" t="s">
        <v>28</v>
      </c>
      <c r="T65" s="2"/>
      <c r="U65" s="44" t="s">
        <v>138</v>
      </c>
    </row>
    <row r="66" spans="1:21" ht="15.75" customHeight="1" x14ac:dyDescent="0.25">
      <c r="A66" s="76">
        <v>45369</v>
      </c>
      <c r="B66" s="44" t="s">
        <v>139</v>
      </c>
      <c r="C66" s="44"/>
      <c r="D66" s="44" t="s">
        <v>24</v>
      </c>
      <c r="E66" s="67" t="s">
        <v>71</v>
      </c>
      <c r="F66" s="2" t="s">
        <v>98</v>
      </c>
      <c r="G66" s="2" t="s">
        <v>27</v>
      </c>
      <c r="H66" s="2">
        <v>1.2</v>
      </c>
      <c r="I66" s="2">
        <v>0.45</v>
      </c>
      <c r="J66" s="2">
        <v>256.10000000000002</v>
      </c>
      <c r="K66" s="2" t="s">
        <v>28</v>
      </c>
      <c r="L66" s="2"/>
      <c r="M66" s="2" t="s">
        <v>28</v>
      </c>
      <c r="N66" s="2">
        <v>1.5</v>
      </c>
      <c r="O66" s="2" t="s">
        <v>74</v>
      </c>
      <c r="Q66" s="3">
        <f t="shared" si="24"/>
        <v>0</v>
      </c>
      <c r="R66" s="3">
        <f t="shared" si="25"/>
        <v>0</v>
      </c>
      <c r="S66" s="2" t="s">
        <v>28</v>
      </c>
      <c r="T66" s="2"/>
      <c r="U66" s="44" t="s">
        <v>140</v>
      </c>
    </row>
    <row r="67" spans="1:21" ht="15.75" customHeight="1" x14ac:dyDescent="0.25">
      <c r="A67" s="76">
        <v>45369</v>
      </c>
      <c r="B67" s="44" t="s">
        <v>141</v>
      </c>
      <c r="C67" s="44"/>
      <c r="D67" s="44" t="s">
        <v>24</v>
      </c>
      <c r="E67" s="67" t="s">
        <v>71</v>
      </c>
      <c r="F67" s="2" t="s">
        <v>98</v>
      </c>
      <c r="G67" s="2" t="s">
        <v>27</v>
      </c>
      <c r="H67" s="2">
        <v>1.17</v>
      </c>
      <c r="I67" s="2">
        <v>0.47</v>
      </c>
      <c r="J67" s="2">
        <v>325.10000000000002</v>
      </c>
      <c r="K67" s="2" t="s">
        <v>28</v>
      </c>
      <c r="L67" s="2"/>
      <c r="M67" s="2" t="s">
        <v>28</v>
      </c>
      <c r="N67" s="2">
        <v>1.5</v>
      </c>
      <c r="O67" s="2" t="s">
        <v>74</v>
      </c>
      <c r="Q67" s="3">
        <f t="shared" si="24"/>
        <v>0</v>
      </c>
      <c r="R67" s="3">
        <f t="shared" si="25"/>
        <v>0</v>
      </c>
      <c r="S67" s="2" t="s">
        <v>28</v>
      </c>
      <c r="T67" s="2"/>
      <c r="U67" s="44" t="s">
        <v>142</v>
      </c>
    </row>
    <row r="68" spans="1:21" ht="15.75" customHeight="1" x14ac:dyDescent="0.25">
      <c r="A68" s="76">
        <v>45369</v>
      </c>
      <c r="B68" s="44" t="s">
        <v>143</v>
      </c>
      <c r="C68" s="44"/>
      <c r="D68" s="44" t="s">
        <v>24</v>
      </c>
      <c r="E68" s="67" t="s">
        <v>71</v>
      </c>
      <c r="F68" s="2" t="s">
        <v>98</v>
      </c>
      <c r="G68" s="2" t="s">
        <v>27</v>
      </c>
      <c r="H68" s="2">
        <v>1.1599999999999999</v>
      </c>
      <c r="I68" s="2">
        <v>0.39</v>
      </c>
      <c r="J68" s="2">
        <v>534.20000000000005</v>
      </c>
      <c r="K68" s="2" t="s">
        <v>28</v>
      </c>
      <c r="L68" s="2"/>
      <c r="M68" s="2" t="s">
        <v>28</v>
      </c>
      <c r="N68" s="2">
        <v>1.5</v>
      </c>
      <c r="O68" s="2" t="s">
        <v>74</v>
      </c>
      <c r="Q68" s="3">
        <f t="shared" si="24"/>
        <v>0</v>
      </c>
      <c r="R68" s="3">
        <f t="shared" si="25"/>
        <v>0</v>
      </c>
      <c r="S68" s="2" t="s">
        <v>28</v>
      </c>
      <c r="T68" s="2"/>
      <c r="U68" s="44" t="s">
        <v>144</v>
      </c>
    </row>
    <row r="69" spans="1:21" ht="15.75" customHeight="1" x14ac:dyDescent="0.25">
      <c r="A69" s="76">
        <v>45369</v>
      </c>
      <c r="B69" s="44" t="s">
        <v>145</v>
      </c>
      <c r="C69" s="44"/>
      <c r="D69" s="44" t="s">
        <v>24</v>
      </c>
      <c r="E69" s="67" t="s">
        <v>71</v>
      </c>
      <c r="F69" s="2" t="s">
        <v>98</v>
      </c>
      <c r="G69" s="2" t="s">
        <v>27</v>
      </c>
      <c r="H69" s="2">
        <v>1.1599999999999999</v>
      </c>
      <c r="I69" s="2">
        <v>0.39</v>
      </c>
      <c r="J69" s="2">
        <v>559.4</v>
      </c>
      <c r="K69" s="2" t="s">
        <v>28</v>
      </c>
      <c r="L69" s="2"/>
      <c r="M69" s="2" t="s">
        <v>28</v>
      </c>
      <c r="N69" s="2">
        <v>1.5</v>
      </c>
      <c r="O69" s="2" t="s">
        <v>74</v>
      </c>
      <c r="Q69" s="3">
        <f t="shared" si="24"/>
        <v>0</v>
      </c>
      <c r="R69" s="3">
        <f t="shared" si="25"/>
        <v>0</v>
      </c>
      <c r="S69" s="2" t="s">
        <v>28</v>
      </c>
      <c r="T69" s="2"/>
      <c r="U69" s="44" t="s">
        <v>146</v>
      </c>
    </row>
    <row r="70" spans="1:21" ht="15.75" customHeight="1" x14ac:dyDescent="0.25">
      <c r="A70" s="76">
        <v>45369</v>
      </c>
      <c r="B70" s="44" t="s">
        <v>147</v>
      </c>
      <c r="C70" s="44"/>
      <c r="D70" s="44" t="s">
        <v>24</v>
      </c>
      <c r="E70" s="67" t="s">
        <v>71</v>
      </c>
      <c r="F70" s="2" t="s">
        <v>98</v>
      </c>
      <c r="G70" s="2" t="s">
        <v>27</v>
      </c>
      <c r="H70" s="2">
        <v>1.26</v>
      </c>
      <c r="I70" s="2">
        <v>0.48</v>
      </c>
      <c r="J70" s="2">
        <v>258.5</v>
      </c>
      <c r="K70" s="2" t="s">
        <v>28</v>
      </c>
      <c r="L70" s="2"/>
      <c r="M70" s="2" t="s">
        <v>28</v>
      </c>
      <c r="N70" s="2">
        <v>1.5</v>
      </c>
      <c r="O70" s="2" t="s">
        <v>74</v>
      </c>
      <c r="Q70" s="3">
        <f t="shared" si="24"/>
        <v>0</v>
      </c>
      <c r="R70" s="3">
        <f t="shared" si="25"/>
        <v>0</v>
      </c>
      <c r="S70" s="2" t="s">
        <v>28</v>
      </c>
      <c r="T70" s="2"/>
      <c r="U70" s="44" t="s">
        <v>148</v>
      </c>
    </row>
    <row r="71" spans="1:21" ht="15.75" customHeight="1" x14ac:dyDescent="0.25">
      <c r="A71" s="77">
        <v>45369</v>
      </c>
      <c r="B71" s="70" t="s">
        <v>149</v>
      </c>
      <c r="C71" s="70"/>
      <c r="D71" s="70" t="s">
        <v>24</v>
      </c>
      <c r="E71" s="72" t="s">
        <v>71</v>
      </c>
      <c r="F71" s="2" t="s">
        <v>98</v>
      </c>
      <c r="G71" s="73" t="s">
        <v>27</v>
      </c>
      <c r="H71" s="73">
        <v>1.24</v>
      </c>
      <c r="I71" s="73">
        <v>0.46</v>
      </c>
      <c r="J71" s="73">
        <v>265.39999999999998</v>
      </c>
      <c r="K71" s="73" t="s">
        <v>28</v>
      </c>
      <c r="L71" s="73"/>
      <c r="M71" s="73" t="s">
        <v>28</v>
      </c>
      <c r="N71" s="73">
        <v>1.5</v>
      </c>
      <c r="O71" s="73" t="s">
        <v>74</v>
      </c>
      <c r="P71" s="78"/>
      <c r="Q71" s="75">
        <f t="shared" si="24"/>
        <v>0</v>
      </c>
      <c r="R71" s="75">
        <f t="shared" si="25"/>
        <v>0</v>
      </c>
      <c r="S71" s="73" t="s">
        <v>28</v>
      </c>
      <c r="T71" s="73"/>
      <c r="U71" s="44" t="s">
        <v>150</v>
      </c>
    </row>
    <row r="72" spans="1:21" ht="15.75" customHeight="1" x14ac:dyDescent="0.25">
      <c r="A72" s="76">
        <v>45370</v>
      </c>
      <c r="B72" s="44" t="s">
        <v>151</v>
      </c>
      <c r="C72" s="44"/>
      <c r="D72" s="44" t="s">
        <v>24</v>
      </c>
      <c r="E72" s="80" t="s">
        <v>25</v>
      </c>
      <c r="F72" s="81" t="s">
        <v>152</v>
      </c>
      <c r="G72" s="2" t="s">
        <v>134</v>
      </c>
      <c r="H72" s="2">
        <v>1.7</v>
      </c>
      <c r="I72" s="2">
        <v>-2.34</v>
      </c>
      <c r="J72" s="2">
        <v>7.2</v>
      </c>
      <c r="K72" s="2" t="s">
        <v>28</v>
      </c>
      <c r="L72" s="2"/>
      <c r="M72" s="2" t="s">
        <v>28</v>
      </c>
      <c r="N72" s="2" t="s">
        <v>28</v>
      </c>
      <c r="O72" s="2" t="s">
        <v>28</v>
      </c>
      <c r="P72" s="2" t="s">
        <v>28</v>
      </c>
      <c r="Q72" s="3">
        <f>30-2-28</f>
        <v>0</v>
      </c>
      <c r="R72" s="3">
        <f>28*J72*0</f>
        <v>0</v>
      </c>
      <c r="S72" s="2" t="s">
        <v>28</v>
      </c>
      <c r="T72" s="2"/>
      <c r="U72" s="44" t="s">
        <v>121</v>
      </c>
    </row>
    <row r="73" spans="1:21" ht="15.75" customHeight="1" x14ac:dyDescent="0.25">
      <c r="A73" s="77">
        <v>45370</v>
      </c>
      <c r="B73" s="70" t="s">
        <v>153</v>
      </c>
      <c r="C73" s="82" t="s">
        <v>154</v>
      </c>
      <c r="D73" s="70" t="s">
        <v>24</v>
      </c>
      <c r="E73" s="83" t="s">
        <v>25</v>
      </c>
      <c r="F73" s="73" t="s">
        <v>155</v>
      </c>
      <c r="G73" s="73" t="s">
        <v>130</v>
      </c>
      <c r="H73" s="73">
        <v>1.82</v>
      </c>
      <c r="I73" s="73">
        <v>2.2999999999999998</v>
      </c>
      <c r="J73" s="73">
        <v>111.5</v>
      </c>
      <c r="K73" s="73">
        <v>68.2</v>
      </c>
      <c r="L73" s="73"/>
      <c r="M73" s="73" t="s">
        <v>60</v>
      </c>
      <c r="N73" s="73" t="s">
        <v>28</v>
      </c>
      <c r="O73" s="73" t="s">
        <v>28</v>
      </c>
      <c r="P73" s="73" t="s">
        <v>28</v>
      </c>
      <c r="Q73" s="75">
        <f>24+28+28-2-1-1-76</f>
        <v>0</v>
      </c>
      <c r="R73" s="75">
        <f t="shared" ref="R73:R89" si="26">J73*Q73</f>
        <v>0</v>
      </c>
      <c r="S73" s="73">
        <f>Q73*K73</f>
        <v>0</v>
      </c>
      <c r="T73" s="73"/>
      <c r="U73" s="44" t="s">
        <v>65</v>
      </c>
    </row>
    <row r="74" spans="1:21" ht="15.75" customHeight="1" x14ac:dyDescent="0.25">
      <c r="A74" s="76">
        <v>45376</v>
      </c>
      <c r="B74" s="44" t="s">
        <v>156</v>
      </c>
      <c r="C74" s="44"/>
      <c r="D74" s="44" t="s">
        <v>24</v>
      </c>
      <c r="E74" s="67" t="s">
        <v>71</v>
      </c>
      <c r="F74" s="2" t="s">
        <v>157</v>
      </c>
      <c r="G74" s="2" t="s">
        <v>130</v>
      </c>
      <c r="H74" s="2">
        <v>1.19</v>
      </c>
      <c r="I74" s="2">
        <v>0.49</v>
      </c>
      <c r="J74" s="2">
        <v>381</v>
      </c>
      <c r="K74" s="2" t="s">
        <v>28</v>
      </c>
      <c r="L74" s="2"/>
      <c r="M74" s="2" t="s">
        <v>28</v>
      </c>
      <c r="N74" s="2" t="s">
        <v>28</v>
      </c>
      <c r="O74" s="2" t="s">
        <v>28</v>
      </c>
      <c r="P74" s="2" t="s">
        <v>28</v>
      </c>
      <c r="Q74" s="3">
        <f>(24*7)-2-141</f>
        <v>25</v>
      </c>
      <c r="R74" s="3">
        <f t="shared" si="26"/>
        <v>9525</v>
      </c>
      <c r="S74" s="2" t="s">
        <v>28</v>
      </c>
      <c r="T74" s="2"/>
    </row>
    <row r="75" spans="1:21" ht="15.75" customHeight="1" x14ac:dyDescent="0.25">
      <c r="A75" s="76">
        <v>45376</v>
      </c>
      <c r="B75" s="44" t="s">
        <v>158</v>
      </c>
      <c r="C75" s="44"/>
      <c r="D75" s="44" t="s">
        <v>24</v>
      </c>
      <c r="E75" s="67" t="s">
        <v>71</v>
      </c>
      <c r="F75" s="2" t="s">
        <v>159</v>
      </c>
      <c r="G75" s="2" t="s">
        <v>107</v>
      </c>
      <c r="H75" s="2">
        <v>3.93</v>
      </c>
      <c r="I75" s="2">
        <v>0.01</v>
      </c>
      <c r="J75" s="2">
        <v>9.4</v>
      </c>
      <c r="K75" s="2" t="s">
        <v>28</v>
      </c>
      <c r="L75" s="2"/>
      <c r="M75" s="2" t="s">
        <v>28</v>
      </c>
      <c r="N75" s="2">
        <v>1.5</v>
      </c>
      <c r="O75" s="2" t="s">
        <v>74</v>
      </c>
      <c r="P75" s="3"/>
      <c r="Q75" s="3">
        <f t="shared" ref="Q75:Q76" si="27">15+15-2-4-24</f>
        <v>0</v>
      </c>
      <c r="R75" s="3">
        <f t="shared" si="26"/>
        <v>0</v>
      </c>
      <c r="S75" s="2" t="s">
        <v>28</v>
      </c>
      <c r="T75" s="2"/>
    </row>
    <row r="76" spans="1:21" ht="15.75" customHeight="1" x14ac:dyDescent="0.25">
      <c r="A76" s="77">
        <v>45376</v>
      </c>
      <c r="B76" s="70" t="s">
        <v>160</v>
      </c>
      <c r="C76" s="70"/>
      <c r="D76" s="70" t="s">
        <v>24</v>
      </c>
      <c r="E76" s="72" t="s">
        <v>71</v>
      </c>
      <c r="F76" s="73" t="s">
        <v>159</v>
      </c>
      <c r="G76" s="73" t="s">
        <v>107</v>
      </c>
      <c r="H76" s="73">
        <v>3.18</v>
      </c>
      <c r="I76" s="73">
        <v>0.02</v>
      </c>
      <c r="J76" s="73">
        <v>14.9</v>
      </c>
      <c r="K76" s="73" t="s">
        <v>28</v>
      </c>
      <c r="L76" s="73"/>
      <c r="M76" s="73" t="s">
        <v>28</v>
      </c>
      <c r="N76" s="73">
        <v>1.5</v>
      </c>
      <c r="O76" s="73" t="s">
        <v>74</v>
      </c>
      <c r="P76" s="73"/>
      <c r="Q76" s="75">
        <f t="shared" si="27"/>
        <v>0</v>
      </c>
      <c r="R76" s="75">
        <f t="shared" si="26"/>
        <v>0</v>
      </c>
      <c r="S76" s="73" t="s">
        <v>28</v>
      </c>
      <c r="T76" s="73"/>
    </row>
    <row r="77" spans="1:21" ht="15.75" customHeight="1" x14ac:dyDescent="0.25">
      <c r="A77" s="77">
        <v>45377</v>
      </c>
      <c r="B77" s="70" t="s">
        <v>161</v>
      </c>
      <c r="C77" s="70"/>
      <c r="D77" s="70" t="s">
        <v>24</v>
      </c>
      <c r="E77" s="72" t="s">
        <v>71</v>
      </c>
      <c r="F77" s="73" t="s">
        <v>162</v>
      </c>
      <c r="G77" s="73" t="s">
        <v>130</v>
      </c>
      <c r="H77" s="73">
        <v>4.76</v>
      </c>
      <c r="I77" s="73">
        <v>1.19</v>
      </c>
      <c r="J77" s="73">
        <v>55.4</v>
      </c>
      <c r="K77" s="73" t="s">
        <v>28</v>
      </c>
      <c r="L77" s="73"/>
      <c r="M77" s="73" t="s">
        <v>28</v>
      </c>
      <c r="N77" s="73">
        <v>1.5</v>
      </c>
      <c r="O77" s="73" t="s">
        <v>74</v>
      </c>
      <c r="P77" s="73"/>
      <c r="Q77" s="75">
        <f>24+24-38-2-4</f>
        <v>4</v>
      </c>
      <c r="R77" s="75">
        <f t="shared" si="26"/>
        <v>221.6</v>
      </c>
      <c r="S77" s="73" t="s">
        <v>28</v>
      </c>
      <c r="T77" s="73"/>
    </row>
    <row r="78" spans="1:21" ht="15.75" customHeight="1" x14ac:dyDescent="0.25">
      <c r="A78" s="76">
        <v>45450</v>
      </c>
      <c r="B78" s="44" t="s">
        <v>163</v>
      </c>
      <c r="C78" s="44"/>
      <c r="D78" s="44" t="s">
        <v>24</v>
      </c>
      <c r="E78" s="84" t="s">
        <v>71</v>
      </c>
      <c r="F78" s="2" t="s">
        <v>164</v>
      </c>
      <c r="G78" s="2" t="s">
        <v>27</v>
      </c>
      <c r="H78" s="2">
        <v>1.21</v>
      </c>
      <c r="I78" s="2">
        <v>0.54</v>
      </c>
      <c r="J78" s="2">
        <v>429</v>
      </c>
      <c r="K78" s="2" t="s">
        <v>28</v>
      </c>
      <c r="L78" s="2" t="s">
        <v>28</v>
      </c>
      <c r="M78" s="2" t="s">
        <v>28</v>
      </c>
      <c r="N78" s="2">
        <v>1.5</v>
      </c>
      <c r="O78" s="2" t="s">
        <v>74</v>
      </c>
      <c r="P78" s="44"/>
      <c r="Q78" s="3">
        <f t="shared" ref="Q78:Q81" si="28">30-2-4</f>
        <v>24</v>
      </c>
      <c r="R78" s="3">
        <f t="shared" si="26"/>
        <v>10296</v>
      </c>
      <c r="S78" s="2" t="s">
        <v>28</v>
      </c>
      <c r="T78" s="2" t="s">
        <v>28</v>
      </c>
      <c r="U78" s="147" t="s">
        <v>165</v>
      </c>
    </row>
    <row r="79" spans="1:21" ht="15.75" customHeight="1" x14ac:dyDescent="0.25">
      <c r="A79" s="76">
        <v>45450</v>
      </c>
      <c r="B79" s="44" t="s">
        <v>166</v>
      </c>
      <c r="C79" s="44"/>
      <c r="D79" s="44" t="s">
        <v>24</v>
      </c>
      <c r="E79" s="84" t="s">
        <v>71</v>
      </c>
      <c r="F79" s="2" t="s">
        <v>167</v>
      </c>
      <c r="G79" s="2" t="s">
        <v>27</v>
      </c>
      <c r="H79" s="2">
        <v>1.18</v>
      </c>
      <c r="I79" s="2">
        <v>0.49</v>
      </c>
      <c r="J79" s="2">
        <v>382.8</v>
      </c>
      <c r="K79" s="2" t="s">
        <v>28</v>
      </c>
      <c r="L79" s="2" t="s">
        <v>28</v>
      </c>
      <c r="M79" s="2" t="s">
        <v>28</v>
      </c>
      <c r="N79" s="2">
        <v>1.5</v>
      </c>
      <c r="O79" s="2" t="s">
        <v>74</v>
      </c>
      <c r="Q79" s="3">
        <f t="shared" si="28"/>
        <v>24</v>
      </c>
      <c r="R79" s="3">
        <f t="shared" si="26"/>
        <v>9187.2000000000007</v>
      </c>
      <c r="S79" s="2" t="s">
        <v>28</v>
      </c>
      <c r="T79" s="2" t="s">
        <v>28</v>
      </c>
      <c r="U79" s="144"/>
    </row>
    <row r="80" spans="1:21" ht="15.75" customHeight="1" x14ac:dyDescent="0.25">
      <c r="A80" s="76">
        <v>45450</v>
      </c>
      <c r="B80" s="44" t="s">
        <v>168</v>
      </c>
      <c r="D80" s="44" t="s">
        <v>24</v>
      </c>
      <c r="E80" s="84" t="s">
        <v>71</v>
      </c>
      <c r="F80" s="2" t="s">
        <v>169</v>
      </c>
      <c r="G80" s="2" t="s">
        <v>27</v>
      </c>
      <c r="H80" s="2">
        <v>1.61</v>
      </c>
      <c r="I80" s="2">
        <v>0.42</v>
      </c>
      <c r="J80" s="2">
        <v>11.2</v>
      </c>
      <c r="K80" s="2" t="s">
        <v>28</v>
      </c>
      <c r="L80" s="2" t="s">
        <v>28</v>
      </c>
      <c r="M80" s="2" t="s">
        <v>28</v>
      </c>
      <c r="N80" s="2">
        <v>1.5</v>
      </c>
      <c r="O80" s="2" t="s">
        <v>74</v>
      </c>
      <c r="Q80" s="3">
        <f t="shared" si="28"/>
        <v>24</v>
      </c>
      <c r="R80" s="3">
        <f t="shared" si="26"/>
        <v>268.79999999999995</v>
      </c>
      <c r="S80" s="2" t="s">
        <v>28</v>
      </c>
      <c r="T80" s="2" t="s">
        <v>28</v>
      </c>
      <c r="U80" s="147" t="s">
        <v>170</v>
      </c>
    </row>
    <row r="81" spans="1:21" ht="15.75" customHeight="1" x14ac:dyDescent="0.25">
      <c r="A81" s="77">
        <v>45450</v>
      </c>
      <c r="B81" s="70" t="s">
        <v>171</v>
      </c>
      <c r="C81" s="78"/>
      <c r="D81" s="70" t="s">
        <v>24</v>
      </c>
      <c r="E81" s="85" t="s">
        <v>71</v>
      </c>
      <c r="F81" s="73" t="s">
        <v>172</v>
      </c>
      <c r="G81" s="73" t="s">
        <v>27</v>
      </c>
      <c r="H81" s="73">
        <v>2.19</v>
      </c>
      <c r="I81" s="73">
        <v>0.67</v>
      </c>
      <c r="J81" s="73">
        <v>7.2</v>
      </c>
      <c r="K81" s="73" t="s">
        <v>28</v>
      </c>
      <c r="L81" s="73" t="s">
        <v>28</v>
      </c>
      <c r="M81" s="73" t="s">
        <v>28</v>
      </c>
      <c r="N81" s="73">
        <v>1.5</v>
      </c>
      <c r="O81" s="73" t="s">
        <v>74</v>
      </c>
      <c r="P81" s="78"/>
      <c r="Q81" s="75">
        <f t="shared" si="28"/>
        <v>24</v>
      </c>
      <c r="R81" s="75">
        <f t="shared" si="26"/>
        <v>172.8</v>
      </c>
      <c r="S81" s="73" t="s">
        <v>28</v>
      </c>
      <c r="T81" s="73" t="s">
        <v>28</v>
      </c>
      <c r="U81" s="144"/>
    </row>
    <row r="82" spans="1:21" ht="15.75" customHeight="1" x14ac:dyDescent="0.25">
      <c r="A82" s="76">
        <v>45454</v>
      </c>
      <c r="B82" s="44" t="s">
        <v>173</v>
      </c>
      <c r="D82" s="44" t="s">
        <v>24</v>
      </c>
      <c r="E82" s="84" t="s">
        <v>71</v>
      </c>
      <c r="F82" s="2" t="s">
        <v>174</v>
      </c>
      <c r="G82" s="2" t="s">
        <v>27</v>
      </c>
      <c r="H82" s="2">
        <v>1.1299999999999999</v>
      </c>
      <c r="I82" s="2">
        <v>0.39</v>
      </c>
      <c r="J82" s="2">
        <v>504</v>
      </c>
      <c r="K82" s="2" t="s">
        <v>28</v>
      </c>
      <c r="L82" s="2" t="s">
        <v>28</v>
      </c>
      <c r="M82" s="2" t="s">
        <v>28</v>
      </c>
      <c r="N82" s="2">
        <v>1.5</v>
      </c>
      <c r="O82" s="2" t="s">
        <v>74</v>
      </c>
      <c r="Q82" s="3">
        <f t="shared" ref="Q82:Q86" si="29">30-2-4+6-4</f>
        <v>26</v>
      </c>
      <c r="R82" s="3">
        <f t="shared" si="26"/>
        <v>13104</v>
      </c>
      <c r="S82" s="2" t="s">
        <v>28</v>
      </c>
      <c r="T82" s="2" t="s">
        <v>28</v>
      </c>
    </row>
    <row r="83" spans="1:21" ht="15.75" customHeight="1" x14ac:dyDescent="0.25">
      <c r="A83" s="76">
        <v>45454</v>
      </c>
      <c r="B83" s="44" t="s">
        <v>175</v>
      </c>
      <c r="D83" s="44" t="s">
        <v>24</v>
      </c>
      <c r="E83" s="84" t="s">
        <v>71</v>
      </c>
      <c r="F83" s="2" t="s">
        <v>176</v>
      </c>
      <c r="G83" s="2" t="s">
        <v>27</v>
      </c>
      <c r="H83" s="86">
        <v>1.18</v>
      </c>
      <c r="I83" s="86">
        <v>0.42</v>
      </c>
      <c r="J83" s="86">
        <v>572.79999999999995</v>
      </c>
      <c r="K83" s="2" t="s">
        <v>28</v>
      </c>
      <c r="L83" s="2" t="s">
        <v>28</v>
      </c>
      <c r="M83" s="2" t="s">
        <v>28</v>
      </c>
      <c r="N83" s="2">
        <v>1.5</v>
      </c>
      <c r="O83" s="2" t="s">
        <v>74</v>
      </c>
      <c r="Q83" s="87">
        <f t="shared" si="29"/>
        <v>26</v>
      </c>
      <c r="R83" s="88">
        <f t="shared" si="26"/>
        <v>14892.8</v>
      </c>
      <c r="S83" s="2" t="s">
        <v>28</v>
      </c>
      <c r="T83" s="2" t="s">
        <v>28</v>
      </c>
    </row>
    <row r="84" spans="1:21" ht="15.75" customHeight="1" x14ac:dyDescent="0.25">
      <c r="A84" s="76">
        <v>45454</v>
      </c>
      <c r="B84" s="44" t="s">
        <v>177</v>
      </c>
      <c r="D84" s="44" t="s">
        <v>24</v>
      </c>
      <c r="E84" s="84" t="s">
        <v>71</v>
      </c>
      <c r="F84" s="2" t="s">
        <v>178</v>
      </c>
      <c r="G84" s="2" t="s">
        <v>27</v>
      </c>
      <c r="H84" s="89">
        <v>1.18</v>
      </c>
      <c r="I84" s="89">
        <v>0.41</v>
      </c>
      <c r="J84" s="89">
        <v>645.79999999999995</v>
      </c>
      <c r="K84" s="2" t="s">
        <v>28</v>
      </c>
      <c r="L84" s="2" t="s">
        <v>28</v>
      </c>
      <c r="M84" s="2" t="s">
        <v>28</v>
      </c>
      <c r="N84" s="2">
        <v>1.5</v>
      </c>
      <c r="O84" s="2" t="s">
        <v>74</v>
      </c>
      <c r="Q84" s="87">
        <f t="shared" si="29"/>
        <v>26</v>
      </c>
      <c r="R84" s="90">
        <f t="shared" si="26"/>
        <v>16790.8</v>
      </c>
      <c r="S84" s="2" t="s">
        <v>28</v>
      </c>
      <c r="T84" s="2" t="s">
        <v>28</v>
      </c>
    </row>
    <row r="85" spans="1:21" ht="15.75" customHeight="1" x14ac:dyDescent="0.25">
      <c r="A85" s="76">
        <v>45454</v>
      </c>
      <c r="B85" s="44" t="s">
        <v>179</v>
      </c>
      <c r="D85" s="44" t="s">
        <v>24</v>
      </c>
      <c r="E85" s="84" t="s">
        <v>71</v>
      </c>
      <c r="F85" s="2" t="s">
        <v>180</v>
      </c>
      <c r="G85" s="2" t="s">
        <v>27</v>
      </c>
      <c r="H85" s="91">
        <v>1.21</v>
      </c>
      <c r="I85" s="91">
        <v>0.43</v>
      </c>
      <c r="J85" s="91">
        <v>933.3</v>
      </c>
      <c r="K85" s="2" t="s">
        <v>28</v>
      </c>
      <c r="L85" s="2" t="s">
        <v>28</v>
      </c>
      <c r="M85" s="2" t="s">
        <v>28</v>
      </c>
      <c r="N85" s="2">
        <v>1.5</v>
      </c>
      <c r="O85" s="2" t="s">
        <v>74</v>
      </c>
      <c r="Q85" s="87">
        <f t="shared" si="29"/>
        <v>26</v>
      </c>
      <c r="R85" s="92">
        <f t="shared" si="26"/>
        <v>24265.8</v>
      </c>
      <c r="S85" s="2" t="s">
        <v>28</v>
      </c>
      <c r="T85" s="2" t="s">
        <v>28</v>
      </c>
    </row>
    <row r="86" spans="1:21" ht="15.75" customHeight="1" x14ac:dyDescent="0.25">
      <c r="A86" s="76">
        <v>45454</v>
      </c>
      <c r="B86" s="44" t="s">
        <v>181</v>
      </c>
      <c r="D86" s="44" t="s">
        <v>24</v>
      </c>
      <c r="E86" s="84" t="s">
        <v>71</v>
      </c>
      <c r="F86" s="2" t="s">
        <v>182</v>
      </c>
      <c r="G86" s="2" t="s">
        <v>27</v>
      </c>
      <c r="H86" s="2">
        <v>1.2</v>
      </c>
      <c r="I86" s="2">
        <v>0.42</v>
      </c>
      <c r="J86" s="2">
        <v>821.2</v>
      </c>
      <c r="K86" s="2" t="s">
        <v>28</v>
      </c>
      <c r="L86" s="2" t="s">
        <v>28</v>
      </c>
      <c r="M86" s="2" t="s">
        <v>28</v>
      </c>
      <c r="N86" s="2">
        <v>1.5</v>
      </c>
      <c r="O86" s="2" t="s">
        <v>74</v>
      </c>
      <c r="Q86" s="3">
        <f t="shared" si="29"/>
        <v>26</v>
      </c>
      <c r="R86" s="3">
        <f t="shared" si="26"/>
        <v>21351.200000000001</v>
      </c>
      <c r="S86" s="2" t="s">
        <v>28</v>
      </c>
      <c r="T86" s="2" t="s">
        <v>28</v>
      </c>
    </row>
    <row r="87" spans="1:21" ht="15.75" customHeight="1" x14ac:dyDescent="0.25">
      <c r="A87" s="77">
        <v>45454</v>
      </c>
      <c r="B87" s="70" t="s">
        <v>183</v>
      </c>
      <c r="C87" s="78"/>
      <c r="D87" s="70" t="s">
        <v>24</v>
      </c>
      <c r="E87" s="85" t="s">
        <v>71</v>
      </c>
      <c r="F87" s="73" t="s">
        <v>184</v>
      </c>
      <c r="G87" s="73" t="s">
        <v>27</v>
      </c>
      <c r="H87" s="73">
        <v>1.54</v>
      </c>
      <c r="I87" s="73">
        <v>0.47</v>
      </c>
      <c r="J87" s="73">
        <v>11.8</v>
      </c>
      <c r="K87" s="73" t="s">
        <v>28</v>
      </c>
      <c r="L87" s="73" t="s">
        <v>28</v>
      </c>
      <c r="M87" s="73" t="s">
        <v>28</v>
      </c>
      <c r="N87" s="73">
        <v>1.5</v>
      </c>
      <c r="O87" s="73" t="s">
        <v>74</v>
      </c>
      <c r="P87" s="78"/>
      <c r="Q87" s="75">
        <f>30-2-4</f>
        <v>24</v>
      </c>
      <c r="R87" s="75">
        <f t="shared" si="26"/>
        <v>283.20000000000005</v>
      </c>
      <c r="S87" s="73" t="s">
        <v>28</v>
      </c>
      <c r="T87" s="73" t="s">
        <v>28</v>
      </c>
    </row>
    <row r="88" spans="1:21" ht="15.75" customHeight="1" x14ac:dyDescent="0.25">
      <c r="A88" s="76">
        <v>45456</v>
      </c>
      <c r="B88" s="44" t="s">
        <v>185</v>
      </c>
      <c r="D88" s="44" t="s">
        <v>24</v>
      </c>
      <c r="E88" s="84" t="s">
        <v>71</v>
      </c>
      <c r="F88" s="2" t="s">
        <v>186</v>
      </c>
      <c r="G88" s="2" t="s">
        <v>187</v>
      </c>
      <c r="H88" s="86">
        <v>1.21</v>
      </c>
      <c r="I88" s="86">
        <v>0.57999999999999996</v>
      </c>
      <c r="J88" s="86">
        <v>465.2</v>
      </c>
      <c r="K88" s="2" t="s">
        <v>28</v>
      </c>
      <c r="L88" s="2" t="s">
        <v>28</v>
      </c>
      <c r="M88" s="2" t="s">
        <v>28</v>
      </c>
      <c r="N88" s="2">
        <v>1.5</v>
      </c>
      <c r="O88" s="2" t="s">
        <v>74</v>
      </c>
      <c r="Q88" s="87">
        <f>26-2-4</f>
        <v>20</v>
      </c>
      <c r="R88" s="88">
        <f t="shared" si="26"/>
        <v>9304</v>
      </c>
      <c r="S88" s="2" t="s">
        <v>28</v>
      </c>
      <c r="T88" s="2" t="s">
        <v>28</v>
      </c>
    </row>
    <row r="89" spans="1:21" ht="15.75" customHeight="1" x14ac:dyDescent="0.25">
      <c r="A89" s="76">
        <v>45456</v>
      </c>
      <c r="B89" s="44" t="s">
        <v>188</v>
      </c>
      <c r="D89" s="44" t="s">
        <v>24</v>
      </c>
      <c r="E89" s="84" t="s">
        <v>71</v>
      </c>
      <c r="F89" s="2" t="s">
        <v>189</v>
      </c>
      <c r="G89" s="2" t="s">
        <v>190</v>
      </c>
      <c r="H89" s="89">
        <v>1.24</v>
      </c>
      <c r="I89" s="89">
        <v>0.46</v>
      </c>
      <c r="J89" s="89">
        <v>100.7</v>
      </c>
      <c r="K89" s="2" t="s">
        <v>28</v>
      </c>
      <c r="L89" s="2" t="s">
        <v>28</v>
      </c>
      <c r="M89" s="2" t="s">
        <v>28</v>
      </c>
      <c r="N89" s="2">
        <v>1.5</v>
      </c>
      <c r="O89" s="2" t="s">
        <v>74</v>
      </c>
      <c r="Q89" s="3">
        <f>50-2-4</f>
        <v>44</v>
      </c>
      <c r="R89" s="90">
        <f t="shared" si="26"/>
        <v>4430.8</v>
      </c>
      <c r="S89" s="2" t="s">
        <v>28</v>
      </c>
      <c r="T89" s="2" t="s">
        <v>28</v>
      </c>
    </row>
    <row r="90" spans="1:21" ht="15.75" customHeight="1" x14ac:dyDescent="0.25">
      <c r="A90" s="77">
        <v>45456</v>
      </c>
      <c r="B90" s="70" t="s">
        <v>191</v>
      </c>
      <c r="C90" s="78"/>
      <c r="D90" s="70" t="s">
        <v>24</v>
      </c>
      <c r="E90" s="85" t="s">
        <v>71</v>
      </c>
      <c r="F90" s="73" t="s">
        <v>192</v>
      </c>
      <c r="G90" s="73" t="s">
        <v>193</v>
      </c>
      <c r="H90" s="93">
        <f>1.2-1.2+1.18</f>
        <v>1.18</v>
      </c>
      <c r="I90" s="93">
        <f>0.39-0.39+0.41</f>
        <v>0.41</v>
      </c>
      <c r="J90" s="93">
        <f>74.7-74.7+466.2</f>
        <v>466.2</v>
      </c>
      <c r="K90" s="73" t="s">
        <v>28</v>
      </c>
      <c r="L90" s="73" t="s">
        <v>28</v>
      </c>
      <c r="M90" s="73" t="s">
        <v>28</v>
      </c>
      <c r="N90" s="73">
        <v>1.5</v>
      </c>
      <c r="O90" s="73" t="s">
        <v>74</v>
      </c>
      <c r="P90" s="78"/>
      <c r="Q90" s="94">
        <f>31-6</f>
        <v>25</v>
      </c>
      <c r="R90" s="95">
        <f>J90*300-139860+(Q90*J90)</f>
        <v>11655</v>
      </c>
      <c r="S90" s="73" t="s">
        <v>28</v>
      </c>
      <c r="T90" s="73" t="s">
        <v>28</v>
      </c>
    </row>
    <row r="91" spans="1:21" ht="15.75" customHeight="1" x14ac:dyDescent="0.25">
      <c r="A91" s="76">
        <v>45470</v>
      </c>
      <c r="B91" s="44" t="s">
        <v>194</v>
      </c>
      <c r="D91" s="44" t="s">
        <v>24</v>
      </c>
      <c r="E91" s="84" t="s">
        <v>71</v>
      </c>
      <c r="F91" s="2" t="s">
        <v>195</v>
      </c>
      <c r="G91" s="2" t="s">
        <v>27</v>
      </c>
      <c r="H91" s="2">
        <v>1.1100000000000001</v>
      </c>
      <c r="I91" s="2">
        <v>0.56000000000000005</v>
      </c>
      <c r="J91" s="2">
        <v>455.8</v>
      </c>
      <c r="K91" s="2" t="s">
        <v>28</v>
      </c>
      <c r="L91" s="2" t="s">
        <v>28</v>
      </c>
      <c r="M91" s="2" t="s">
        <v>28</v>
      </c>
      <c r="N91" s="2">
        <v>1.5</v>
      </c>
      <c r="O91" s="2" t="s">
        <v>74</v>
      </c>
      <c r="Q91" s="3">
        <f t="shared" ref="Q91:Q92" si="30">30-2-4-2-2-2-2-2</f>
        <v>14</v>
      </c>
      <c r="R91" s="3">
        <f t="shared" ref="R91:R102" si="31">J91*Q91</f>
        <v>6381.2</v>
      </c>
      <c r="S91" s="3"/>
    </row>
    <row r="92" spans="1:21" ht="15.75" customHeight="1" x14ac:dyDescent="0.25">
      <c r="A92" s="76">
        <v>45470</v>
      </c>
      <c r="B92" s="44" t="s">
        <v>196</v>
      </c>
      <c r="D92" s="44" t="s">
        <v>24</v>
      </c>
      <c r="E92" s="84" t="s">
        <v>71</v>
      </c>
      <c r="F92" s="2" t="s">
        <v>197</v>
      </c>
      <c r="G92" s="2" t="s">
        <v>27</v>
      </c>
      <c r="H92" s="2">
        <v>1.1299999999999999</v>
      </c>
      <c r="I92" s="2">
        <v>0.56999999999999995</v>
      </c>
      <c r="J92" s="2">
        <v>458.8</v>
      </c>
      <c r="K92" s="2" t="s">
        <v>28</v>
      </c>
      <c r="L92" s="2" t="s">
        <v>28</v>
      </c>
      <c r="M92" s="2" t="s">
        <v>28</v>
      </c>
      <c r="N92" s="2">
        <v>1.5</v>
      </c>
      <c r="O92" s="2" t="s">
        <v>74</v>
      </c>
      <c r="Q92" s="3">
        <f t="shared" si="30"/>
        <v>14</v>
      </c>
      <c r="R92" s="3">
        <f t="shared" si="31"/>
        <v>6423.2</v>
      </c>
      <c r="S92" s="96"/>
    </row>
    <row r="93" spans="1:21" ht="15.75" customHeight="1" x14ac:dyDescent="0.25">
      <c r="A93" s="76">
        <v>45470</v>
      </c>
      <c r="B93" s="44" t="s">
        <v>198</v>
      </c>
      <c r="D93" s="44" t="s">
        <v>24</v>
      </c>
      <c r="E93" s="84" t="s">
        <v>71</v>
      </c>
      <c r="F93" s="2" t="s">
        <v>199</v>
      </c>
      <c r="G93" s="2" t="s">
        <v>27</v>
      </c>
      <c r="H93" s="97">
        <v>1.22</v>
      </c>
      <c r="I93" s="97">
        <v>0.44</v>
      </c>
      <c r="J93" s="97">
        <v>659.6</v>
      </c>
      <c r="K93" s="2" t="s">
        <v>28</v>
      </c>
      <c r="L93" s="2" t="s">
        <v>28</v>
      </c>
      <c r="M93" s="2" t="s">
        <v>28</v>
      </c>
      <c r="N93" s="2">
        <v>1.5</v>
      </c>
      <c r="O93" s="2" t="s">
        <v>74</v>
      </c>
      <c r="Q93" s="3">
        <f>30-2-4-24</f>
        <v>0</v>
      </c>
      <c r="R93" s="3">
        <f t="shared" si="31"/>
        <v>0</v>
      </c>
      <c r="S93" s="98"/>
    </row>
    <row r="94" spans="1:21" ht="15.75" customHeight="1" x14ac:dyDescent="0.25">
      <c r="A94" s="76">
        <v>45470</v>
      </c>
      <c r="B94" s="44" t="s">
        <v>200</v>
      </c>
      <c r="D94" s="44" t="s">
        <v>24</v>
      </c>
      <c r="E94" s="84" t="s">
        <v>71</v>
      </c>
      <c r="F94" s="2" t="s">
        <v>201</v>
      </c>
      <c r="G94" s="2" t="s">
        <v>27</v>
      </c>
      <c r="H94" s="2">
        <v>1.22</v>
      </c>
      <c r="I94" s="2">
        <v>0.44</v>
      </c>
      <c r="J94" s="2">
        <v>811.2</v>
      </c>
      <c r="K94" s="2" t="s">
        <v>28</v>
      </c>
      <c r="L94" s="2" t="s">
        <v>28</v>
      </c>
      <c r="M94" s="2" t="s">
        <v>28</v>
      </c>
      <c r="N94" s="2">
        <v>1.5</v>
      </c>
      <c r="O94" s="2" t="s">
        <v>74</v>
      </c>
      <c r="Q94" s="3">
        <f>30-2-4-2-2-2-2-2</f>
        <v>14</v>
      </c>
      <c r="R94" s="3">
        <f t="shared" si="31"/>
        <v>11356.800000000001</v>
      </c>
      <c r="S94" s="99"/>
    </row>
    <row r="95" spans="1:21" ht="15.75" customHeight="1" x14ac:dyDescent="0.25">
      <c r="A95" s="76">
        <v>45470</v>
      </c>
      <c r="B95" s="44" t="s">
        <v>202</v>
      </c>
      <c r="D95" s="44" t="s">
        <v>24</v>
      </c>
      <c r="E95" s="84" t="s">
        <v>71</v>
      </c>
      <c r="F95" s="2" t="s">
        <v>203</v>
      </c>
      <c r="G95" s="2" t="s">
        <v>27</v>
      </c>
      <c r="H95" s="100">
        <v>1.4</v>
      </c>
      <c r="I95" s="100">
        <v>0.45</v>
      </c>
      <c r="J95" s="100">
        <v>36.799999999999997</v>
      </c>
      <c r="K95" s="2" t="s">
        <v>28</v>
      </c>
      <c r="L95" s="2" t="s">
        <v>28</v>
      </c>
      <c r="M95" s="2" t="s">
        <v>28</v>
      </c>
      <c r="N95" s="2">
        <v>1.5</v>
      </c>
      <c r="O95" s="2" t="s">
        <v>74</v>
      </c>
      <c r="Q95" s="3">
        <f>30-2-4-24</f>
        <v>0</v>
      </c>
      <c r="R95" s="3">
        <f t="shared" si="31"/>
        <v>0</v>
      </c>
      <c r="S95" s="101"/>
    </row>
    <row r="96" spans="1:21" ht="15.75" customHeight="1" x14ac:dyDescent="0.25">
      <c r="A96" s="76">
        <v>45470</v>
      </c>
      <c r="B96" s="44" t="s">
        <v>204</v>
      </c>
      <c r="D96" s="44" t="s">
        <v>24</v>
      </c>
      <c r="E96" s="84" t="s">
        <v>71</v>
      </c>
      <c r="F96" s="2" t="s">
        <v>205</v>
      </c>
      <c r="G96" s="2" t="s">
        <v>27</v>
      </c>
      <c r="H96" s="2">
        <v>1.53</v>
      </c>
      <c r="I96" s="2">
        <v>0.49</v>
      </c>
      <c r="J96" s="2">
        <v>19.899999999999999</v>
      </c>
      <c r="K96" s="2" t="s">
        <v>28</v>
      </c>
      <c r="L96" s="2" t="s">
        <v>28</v>
      </c>
      <c r="M96" s="2" t="s">
        <v>28</v>
      </c>
      <c r="N96" s="2">
        <v>1.5</v>
      </c>
      <c r="O96" s="2" t="s">
        <v>74</v>
      </c>
      <c r="Q96" s="3">
        <f t="shared" ref="Q96:Q97" si="32">30-2-4-2-2-2-2-2</f>
        <v>14</v>
      </c>
      <c r="R96" s="3">
        <f t="shared" si="31"/>
        <v>278.59999999999997</v>
      </c>
      <c r="S96" s="3"/>
    </row>
    <row r="97" spans="1:20" ht="15.75" customHeight="1" x14ac:dyDescent="0.25">
      <c r="A97" s="77">
        <v>45470</v>
      </c>
      <c r="B97" s="70" t="s">
        <v>206</v>
      </c>
      <c r="C97" s="78"/>
      <c r="D97" s="70" t="s">
        <v>24</v>
      </c>
      <c r="E97" s="85" t="s">
        <v>71</v>
      </c>
      <c r="F97" s="73" t="s">
        <v>207</v>
      </c>
      <c r="G97" s="73" t="s">
        <v>27</v>
      </c>
      <c r="H97" s="73">
        <v>2.94</v>
      </c>
      <c r="I97" s="73">
        <v>1.1599999999999999</v>
      </c>
      <c r="J97" s="73">
        <v>5.4</v>
      </c>
      <c r="K97" s="73" t="s">
        <v>28</v>
      </c>
      <c r="L97" s="73" t="s">
        <v>28</v>
      </c>
      <c r="M97" s="73" t="s">
        <v>28</v>
      </c>
      <c r="N97" s="73">
        <v>1.5</v>
      </c>
      <c r="O97" s="73" t="s">
        <v>74</v>
      </c>
      <c r="P97" s="78"/>
      <c r="Q97" s="75">
        <f t="shared" si="32"/>
        <v>14</v>
      </c>
      <c r="R97" s="75">
        <f t="shared" si="31"/>
        <v>75.600000000000009</v>
      </c>
      <c r="S97" s="75"/>
      <c r="T97" s="78"/>
    </row>
    <row r="98" spans="1:20" ht="15.75" customHeight="1" x14ac:dyDescent="0.25">
      <c r="A98" s="76">
        <v>45475</v>
      </c>
      <c r="B98" s="102" t="s">
        <v>208</v>
      </c>
      <c r="D98" s="44" t="s">
        <v>24</v>
      </c>
      <c r="E98" s="84" t="s">
        <v>71</v>
      </c>
      <c r="F98" s="2" t="s">
        <v>209</v>
      </c>
      <c r="G98" s="68" t="s">
        <v>210</v>
      </c>
      <c r="H98" s="97">
        <v>1.83</v>
      </c>
      <c r="I98" s="97">
        <v>1.1200000000000001</v>
      </c>
      <c r="J98" s="97">
        <v>43.6</v>
      </c>
      <c r="K98" s="2" t="s">
        <v>28</v>
      </c>
      <c r="L98" s="2" t="s">
        <v>28</v>
      </c>
      <c r="M98" s="2" t="s">
        <v>28</v>
      </c>
      <c r="N98" s="2">
        <v>1.5</v>
      </c>
      <c r="O98" s="2" t="s">
        <v>74</v>
      </c>
      <c r="Q98" s="3">
        <f>50-2-4-2-2-2-2-2-2</f>
        <v>32</v>
      </c>
      <c r="R98" s="3">
        <f t="shared" si="31"/>
        <v>1395.2</v>
      </c>
      <c r="S98" s="3"/>
    </row>
    <row r="99" spans="1:20" ht="15.75" customHeight="1" x14ac:dyDescent="0.25">
      <c r="A99" s="77">
        <v>45475</v>
      </c>
      <c r="B99" s="103" t="s">
        <v>211</v>
      </c>
      <c r="C99" s="78"/>
      <c r="D99" s="70" t="s">
        <v>24</v>
      </c>
      <c r="E99" s="85" t="s">
        <v>71</v>
      </c>
      <c r="F99" s="73" t="s">
        <v>212</v>
      </c>
      <c r="G99" s="104" t="s">
        <v>213</v>
      </c>
      <c r="H99" s="105">
        <v>4.4400000000000004</v>
      </c>
      <c r="I99" s="105">
        <v>0.76</v>
      </c>
      <c r="J99" s="105">
        <v>3.6</v>
      </c>
      <c r="K99" s="73" t="s">
        <v>28</v>
      </c>
      <c r="L99" s="73" t="s">
        <v>28</v>
      </c>
      <c r="M99" s="73" t="s">
        <v>28</v>
      </c>
      <c r="N99" s="73">
        <v>1.5</v>
      </c>
      <c r="O99" s="73" t="s">
        <v>74</v>
      </c>
      <c r="P99" s="78"/>
      <c r="Q99" s="75">
        <f>50-2-4-2-2-2-2-2</f>
        <v>34</v>
      </c>
      <c r="R99" s="75">
        <f t="shared" si="31"/>
        <v>122.4</v>
      </c>
      <c r="S99" s="75"/>
      <c r="T99" s="78"/>
    </row>
    <row r="100" spans="1:20" ht="15.75" customHeight="1" x14ac:dyDescent="0.25">
      <c r="A100" s="76">
        <v>45476</v>
      </c>
      <c r="B100" s="44" t="s">
        <v>214</v>
      </c>
      <c r="D100" s="2" t="s">
        <v>215</v>
      </c>
      <c r="E100" s="2" t="s">
        <v>215</v>
      </c>
      <c r="F100" s="2" t="s">
        <v>216</v>
      </c>
      <c r="G100" s="2" t="s">
        <v>27</v>
      </c>
      <c r="H100" s="2">
        <v>1.53</v>
      </c>
      <c r="I100" s="2">
        <v>0.78</v>
      </c>
      <c r="J100" s="2">
        <v>3.3</v>
      </c>
      <c r="K100" s="2" t="s">
        <v>28</v>
      </c>
      <c r="L100" s="2" t="s">
        <v>28</v>
      </c>
      <c r="M100" s="2" t="s">
        <v>28</v>
      </c>
      <c r="N100" s="2">
        <v>1.5</v>
      </c>
      <c r="O100" s="2" t="s">
        <v>74</v>
      </c>
      <c r="Q100" s="3">
        <f t="shared" ref="Q100:Q102" si="33">30-2-4-4</f>
        <v>20</v>
      </c>
      <c r="R100" s="3">
        <f t="shared" si="31"/>
        <v>66</v>
      </c>
      <c r="S100" s="3"/>
    </row>
    <row r="101" spans="1:20" ht="15.75" customHeight="1" x14ac:dyDescent="0.25">
      <c r="A101" s="76">
        <v>45476</v>
      </c>
      <c r="B101" s="44" t="s">
        <v>217</v>
      </c>
      <c r="D101" s="44" t="s">
        <v>24</v>
      </c>
      <c r="E101" s="84" t="s">
        <v>71</v>
      </c>
      <c r="F101" s="2" t="s">
        <v>218</v>
      </c>
      <c r="G101" s="2" t="s">
        <v>27</v>
      </c>
      <c r="H101" s="2">
        <v>1.2</v>
      </c>
      <c r="I101" s="2">
        <v>0.57999999999999996</v>
      </c>
      <c r="J101" s="2">
        <v>465.2</v>
      </c>
      <c r="K101" s="2" t="s">
        <v>28</v>
      </c>
      <c r="L101" s="2" t="s">
        <v>28</v>
      </c>
      <c r="M101" s="2" t="s">
        <v>28</v>
      </c>
      <c r="N101" s="2">
        <v>1.5</v>
      </c>
      <c r="O101" s="2" t="s">
        <v>74</v>
      </c>
      <c r="Q101" s="3">
        <f t="shared" si="33"/>
        <v>20</v>
      </c>
      <c r="R101" s="3">
        <f t="shared" si="31"/>
        <v>9304</v>
      </c>
      <c r="S101" s="3"/>
    </row>
    <row r="102" spans="1:20" ht="15.75" customHeight="1" x14ac:dyDescent="0.25">
      <c r="A102" s="77">
        <v>45476</v>
      </c>
      <c r="B102" s="70" t="s">
        <v>219</v>
      </c>
      <c r="C102" s="78"/>
      <c r="D102" s="70" t="s">
        <v>24</v>
      </c>
      <c r="E102" s="85" t="s">
        <v>71</v>
      </c>
      <c r="F102" s="73" t="s">
        <v>220</v>
      </c>
      <c r="G102" s="73" t="s">
        <v>27</v>
      </c>
      <c r="H102" s="73">
        <v>1.23</v>
      </c>
      <c r="I102" s="73">
        <v>0.45</v>
      </c>
      <c r="J102" s="73">
        <v>211.9</v>
      </c>
      <c r="K102" s="73" t="s">
        <v>28</v>
      </c>
      <c r="L102" s="73" t="s">
        <v>28</v>
      </c>
      <c r="M102" s="73" t="s">
        <v>28</v>
      </c>
      <c r="N102" s="73">
        <v>1.5</v>
      </c>
      <c r="O102" s="73" t="s">
        <v>74</v>
      </c>
      <c r="P102" s="78"/>
      <c r="Q102" s="75">
        <f t="shared" si="33"/>
        <v>20</v>
      </c>
      <c r="R102" s="75">
        <f t="shared" si="31"/>
        <v>4238</v>
      </c>
      <c r="S102" s="75"/>
      <c r="T102" s="78"/>
    </row>
    <row r="103" spans="1:20" ht="15.75" customHeight="1" x14ac:dyDescent="0.25">
      <c r="A103" s="76">
        <v>45485</v>
      </c>
      <c r="B103" s="44" t="s">
        <v>221</v>
      </c>
      <c r="D103" s="2" t="s">
        <v>60</v>
      </c>
      <c r="E103" s="106" t="s">
        <v>222</v>
      </c>
      <c r="F103" s="2" t="s">
        <v>223</v>
      </c>
      <c r="G103" s="2" t="s">
        <v>27</v>
      </c>
      <c r="H103" s="3"/>
      <c r="I103" s="3"/>
      <c r="J103" s="3"/>
      <c r="K103" s="3"/>
      <c r="Q103" s="3"/>
      <c r="R103" s="3"/>
      <c r="S103" s="3"/>
    </row>
    <row r="104" spans="1:20" ht="15.75" customHeight="1" x14ac:dyDescent="0.25">
      <c r="A104" s="77">
        <v>45485</v>
      </c>
      <c r="B104" s="70" t="s">
        <v>224</v>
      </c>
      <c r="C104" s="78"/>
      <c r="D104" s="73" t="s">
        <v>60</v>
      </c>
      <c r="E104" s="107" t="s">
        <v>222</v>
      </c>
      <c r="F104" s="73" t="s">
        <v>223</v>
      </c>
      <c r="G104" s="73" t="s">
        <v>27</v>
      </c>
      <c r="H104" s="75"/>
      <c r="I104" s="75"/>
      <c r="J104" s="75"/>
      <c r="K104" s="75"/>
      <c r="L104" s="78"/>
      <c r="M104" s="78"/>
      <c r="N104" s="78"/>
      <c r="O104" s="78"/>
      <c r="P104" s="78"/>
      <c r="Q104" s="75"/>
      <c r="R104" s="75"/>
      <c r="S104" s="75"/>
      <c r="T104" s="78"/>
    </row>
    <row r="105" spans="1:20" ht="15.75" customHeight="1" x14ac:dyDescent="0.25">
      <c r="A105" s="76">
        <v>45489</v>
      </c>
      <c r="B105" s="44" t="s">
        <v>225</v>
      </c>
      <c r="D105" s="44" t="s">
        <v>24</v>
      </c>
      <c r="E105" s="23" t="s">
        <v>25</v>
      </c>
      <c r="F105" s="2" t="s">
        <v>226</v>
      </c>
      <c r="G105" s="2" t="s">
        <v>27</v>
      </c>
      <c r="H105" s="2">
        <v>1.85</v>
      </c>
      <c r="I105" s="2">
        <v>2.13</v>
      </c>
      <c r="J105" s="68">
        <v>127.6</v>
      </c>
      <c r="K105" s="2" t="s">
        <v>28</v>
      </c>
      <c r="L105" s="2" t="s">
        <v>28</v>
      </c>
      <c r="M105" s="2" t="s">
        <v>28</v>
      </c>
      <c r="N105" s="141" t="s">
        <v>227</v>
      </c>
      <c r="O105" s="141" t="s">
        <v>29</v>
      </c>
      <c r="Q105" s="3">
        <f t="shared" ref="Q105:Q108" si="34">30-2-4</f>
        <v>24</v>
      </c>
      <c r="R105" s="3"/>
      <c r="S105" s="3"/>
    </row>
    <row r="106" spans="1:20" ht="15.75" customHeight="1" x14ac:dyDescent="0.25">
      <c r="A106" s="76">
        <v>45489</v>
      </c>
      <c r="B106" s="44" t="s">
        <v>228</v>
      </c>
      <c r="D106" s="44" t="s">
        <v>24</v>
      </c>
      <c r="E106" s="23" t="s">
        <v>25</v>
      </c>
      <c r="F106" s="2" t="s">
        <v>229</v>
      </c>
      <c r="G106" s="2" t="s">
        <v>27</v>
      </c>
      <c r="H106" s="2">
        <v>1.83</v>
      </c>
      <c r="I106" s="2">
        <v>1.9</v>
      </c>
      <c r="J106" s="68">
        <v>61.6</v>
      </c>
      <c r="K106" s="2" t="s">
        <v>28</v>
      </c>
      <c r="L106" s="2" t="s">
        <v>28</v>
      </c>
      <c r="M106" s="2" t="s">
        <v>28</v>
      </c>
      <c r="N106" s="144"/>
      <c r="O106" s="144"/>
      <c r="Q106" s="3">
        <f t="shared" si="34"/>
        <v>24</v>
      </c>
      <c r="R106" s="3"/>
      <c r="S106" s="3"/>
    </row>
    <row r="107" spans="1:20" ht="15.75" customHeight="1" x14ac:dyDescent="0.25">
      <c r="A107" s="76">
        <v>45489</v>
      </c>
      <c r="B107" s="44" t="s">
        <v>230</v>
      </c>
      <c r="D107" s="44" t="s">
        <v>24</v>
      </c>
      <c r="E107" s="23" t="s">
        <v>25</v>
      </c>
      <c r="F107" s="2" t="s">
        <v>231</v>
      </c>
      <c r="G107" s="2" t="s">
        <v>27</v>
      </c>
      <c r="H107" s="108">
        <v>1.41</v>
      </c>
      <c r="I107" s="108">
        <v>0.95</v>
      </c>
      <c r="J107" s="68">
        <v>252.4</v>
      </c>
      <c r="K107" s="2" t="s">
        <v>28</v>
      </c>
      <c r="L107" s="2" t="s">
        <v>28</v>
      </c>
      <c r="M107" s="2" t="s">
        <v>28</v>
      </c>
      <c r="N107" s="144"/>
      <c r="O107" s="144"/>
      <c r="Q107" s="3">
        <f t="shared" si="34"/>
        <v>24</v>
      </c>
      <c r="R107" s="3"/>
      <c r="S107" s="3"/>
    </row>
    <row r="108" spans="1:20" ht="15.75" customHeight="1" x14ac:dyDescent="0.25">
      <c r="A108" s="76">
        <v>45489</v>
      </c>
      <c r="B108" s="44" t="s">
        <v>232</v>
      </c>
      <c r="D108" s="44" t="s">
        <v>24</v>
      </c>
      <c r="E108" s="23" t="s">
        <v>25</v>
      </c>
      <c r="F108" s="2" t="s">
        <v>231</v>
      </c>
      <c r="G108" s="2" t="s">
        <v>27</v>
      </c>
      <c r="H108" s="2">
        <v>1.78</v>
      </c>
      <c r="I108" s="2">
        <v>2.19</v>
      </c>
      <c r="J108" s="68">
        <v>145.69999999999999</v>
      </c>
      <c r="K108" s="2" t="s">
        <v>28</v>
      </c>
      <c r="L108" s="2" t="s">
        <v>28</v>
      </c>
      <c r="M108" s="2" t="s">
        <v>28</v>
      </c>
      <c r="N108" s="144"/>
      <c r="O108" s="144"/>
      <c r="Q108" s="3">
        <f t="shared" si="34"/>
        <v>24</v>
      </c>
      <c r="R108" s="3"/>
      <c r="S108" s="3"/>
    </row>
    <row r="109" spans="1:20" ht="15.75" customHeight="1" x14ac:dyDescent="0.25">
      <c r="A109" s="76">
        <v>45489</v>
      </c>
      <c r="B109" s="44" t="s">
        <v>233</v>
      </c>
      <c r="D109" s="44" t="s">
        <v>24</v>
      </c>
      <c r="E109" s="23" t="s">
        <v>25</v>
      </c>
      <c r="F109" s="2" t="s">
        <v>234</v>
      </c>
      <c r="G109" s="2" t="s">
        <v>27</v>
      </c>
      <c r="H109" s="2">
        <v>1.82</v>
      </c>
      <c r="I109" s="2">
        <v>0.77</v>
      </c>
      <c r="J109" s="68">
        <v>288.5</v>
      </c>
      <c r="K109" s="2" t="s">
        <v>28</v>
      </c>
      <c r="L109" s="2" t="s">
        <v>28</v>
      </c>
      <c r="M109" s="2" t="s">
        <v>28</v>
      </c>
      <c r="N109" s="144"/>
      <c r="O109" s="144"/>
      <c r="Q109" s="3">
        <f t="shared" ref="Q109:Q110" si="35">30-2-4-24</f>
        <v>0</v>
      </c>
      <c r="R109" s="3"/>
      <c r="S109" s="3"/>
    </row>
    <row r="110" spans="1:20" ht="15.75" customHeight="1" x14ac:dyDescent="0.25">
      <c r="A110" s="76">
        <v>45489</v>
      </c>
      <c r="B110" s="44" t="s">
        <v>235</v>
      </c>
      <c r="D110" s="44" t="s">
        <v>24</v>
      </c>
      <c r="E110" s="23" t="s">
        <v>25</v>
      </c>
      <c r="F110" s="2" t="s">
        <v>236</v>
      </c>
      <c r="G110" s="2" t="s">
        <v>27</v>
      </c>
      <c r="H110" s="2">
        <v>1.82</v>
      </c>
      <c r="I110" s="2">
        <v>0.49</v>
      </c>
      <c r="J110" s="68">
        <v>206.7</v>
      </c>
      <c r="K110" s="2" t="s">
        <v>28</v>
      </c>
      <c r="L110" s="2" t="s">
        <v>28</v>
      </c>
      <c r="M110" s="2" t="s">
        <v>28</v>
      </c>
      <c r="N110" s="144"/>
      <c r="O110" s="144"/>
      <c r="Q110" s="3">
        <f t="shared" si="35"/>
        <v>0</v>
      </c>
      <c r="R110" s="3"/>
      <c r="S110" s="3"/>
    </row>
    <row r="111" spans="1:20" ht="15.75" customHeight="1" x14ac:dyDescent="0.25">
      <c r="A111" s="76">
        <v>45489</v>
      </c>
      <c r="B111" s="44" t="s">
        <v>237</v>
      </c>
      <c r="D111" s="44" t="s">
        <v>24</v>
      </c>
      <c r="E111" s="23" t="s">
        <v>25</v>
      </c>
      <c r="F111" s="2" t="s">
        <v>238</v>
      </c>
      <c r="G111" s="2" t="s">
        <v>27</v>
      </c>
      <c r="H111" s="2">
        <v>1.84</v>
      </c>
      <c r="I111" s="2">
        <v>1.79</v>
      </c>
      <c r="J111" s="68">
        <v>67.3</v>
      </c>
      <c r="K111" s="2" t="s">
        <v>28</v>
      </c>
      <c r="L111" s="2" t="s">
        <v>28</v>
      </c>
      <c r="M111" s="2" t="s">
        <v>28</v>
      </c>
      <c r="N111" s="144"/>
      <c r="O111" s="144"/>
      <c r="Q111" s="3">
        <f>30-2-4</f>
        <v>24</v>
      </c>
      <c r="R111" s="3"/>
      <c r="S111" s="3"/>
    </row>
    <row r="112" spans="1:20" ht="15.75" customHeight="1" x14ac:dyDescent="0.25">
      <c r="A112" s="76">
        <v>45489</v>
      </c>
      <c r="B112" s="44" t="s">
        <v>239</v>
      </c>
      <c r="D112" s="44" t="s">
        <v>24</v>
      </c>
      <c r="E112" s="23" t="s">
        <v>25</v>
      </c>
      <c r="F112" s="2" t="s">
        <v>238</v>
      </c>
      <c r="G112" s="2" t="s">
        <v>27</v>
      </c>
      <c r="H112" s="2">
        <v>1.52</v>
      </c>
      <c r="I112" s="2">
        <v>0.56000000000000005</v>
      </c>
      <c r="J112" s="68">
        <v>91.4</v>
      </c>
      <c r="K112" s="2" t="s">
        <v>28</v>
      </c>
      <c r="L112" s="2" t="s">
        <v>28</v>
      </c>
      <c r="M112" s="2" t="s">
        <v>28</v>
      </c>
      <c r="N112" s="144"/>
      <c r="O112" s="144"/>
      <c r="Q112" s="3">
        <f>30-2-4-24</f>
        <v>0</v>
      </c>
      <c r="R112" s="3"/>
      <c r="S112" s="3"/>
    </row>
    <row r="113" spans="1:21" ht="15.75" customHeight="1" x14ac:dyDescent="0.25">
      <c r="A113" s="76">
        <v>45489</v>
      </c>
      <c r="B113" s="44" t="s">
        <v>240</v>
      </c>
      <c r="D113" s="44" t="s">
        <v>24</v>
      </c>
      <c r="E113" s="37" t="s">
        <v>48</v>
      </c>
      <c r="F113" s="2" t="s">
        <v>241</v>
      </c>
      <c r="G113" s="2" t="s">
        <v>27</v>
      </c>
      <c r="H113" s="2">
        <v>1.82</v>
      </c>
      <c r="I113" s="2">
        <v>1.55</v>
      </c>
      <c r="J113" s="68">
        <v>1297.5999999999999</v>
      </c>
      <c r="K113" s="2" t="s">
        <v>28</v>
      </c>
      <c r="L113" s="2" t="s">
        <v>28</v>
      </c>
      <c r="M113" s="2" t="s">
        <v>28</v>
      </c>
      <c r="N113" s="141" t="s">
        <v>242</v>
      </c>
      <c r="O113" s="144"/>
      <c r="Q113" s="3">
        <f>30-2-4-4</f>
        <v>20</v>
      </c>
      <c r="R113" s="3"/>
      <c r="S113" s="3"/>
    </row>
    <row r="114" spans="1:21" ht="15.75" customHeight="1" x14ac:dyDescent="0.25">
      <c r="A114" s="76">
        <v>45489</v>
      </c>
      <c r="B114" s="44" t="s">
        <v>243</v>
      </c>
      <c r="D114" s="44" t="s">
        <v>24</v>
      </c>
      <c r="E114" s="37" t="s">
        <v>48</v>
      </c>
      <c r="F114" s="2" t="s">
        <v>244</v>
      </c>
      <c r="G114" s="2" t="s">
        <v>27</v>
      </c>
      <c r="H114" s="2">
        <v>1.6</v>
      </c>
      <c r="I114" s="2">
        <v>0.92</v>
      </c>
      <c r="J114" s="68">
        <v>2312.4</v>
      </c>
      <c r="K114" s="2" t="s">
        <v>28</v>
      </c>
      <c r="L114" s="2" t="s">
        <v>28</v>
      </c>
      <c r="M114" s="2" t="s">
        <v>28</v>
      </c>
      <c r="N114" s="144"/>
      <c r="O114" s="144"/>
      <c r="Q114" s="3">
        <f>30-2-4-20-4</f>
        <v>0</v>
      </c>
      <c r="R114" s="3"/>
      <c r="S114" s="3"/>
    </row>
    <row r="115" spans="1:21" ht="15.75" customHeight="1" x14ac:dyDescent="0.25">
      <c r="A115" s="76">
        <v>45489</v>
      </c>
      <c r="B115" s="44" t="s">
        <v>245</v>
      </c>
      <c r="D115" s="44" t="s">
        <v>24</v>
      </c>
      <c r="E115" s="37" t="s">
        <v>48</v>
      </c>
      <c r="F115" s="2" t="s">
        <v>246</v>
      </c>
      <c r="G115" s="2" t="s">
        <v>27</v>
      </c>
      <c r="H115" s="2">
        <v>1.81</v>
      </c>
      <c r="I115" s="2">
        <v>1.23</v>
      </c>
      <c r="J115" s="68">
        <v>1857.3</v>
      </c>
      <c r="K115" s="2" t="s">
        <v>28</v>
      </c>
      <c r="L115" s="2" t="s">
        <v>28</v>
      </c>
      <c r="M115" s="2" t="s">
        <v>28</v>
      </c>
      <c r="N115" s="144"/>
      <c r="O115" s="144"/>
      <c r="Q115" s="3">
        <f>30-2-4-4</f>
        <v>20</v>
      </c>
      <c r="R115" s="3"/>
      <c r="S115" s="3"/>
    </row>
    <row r="116" spans="1:21" ht="15.75" customHeight="1" x14ac:dyDescent="0.25">
      <c r="A116" s="76">
        <v>45489</v>
      </c>
      <c r="B116" s="44" t="s">
        <v>247</v>
      </c>
      <c r="D116" s="44" t="s">
        <v>24</v>
      </c>
      <c r="E116" s="37" t="s">
        <v>48</v>
      </c>
      <c r="F116" s="2" t="s">
        <v>248</v>
      </c>
      <c r="G116" s="2" t="s">
        <v>27</v>
      </c>
      <c r="H116" s="2">
        <v>1.59</v>
      </c>
      <c r="I116" s="2">
        <v>0.85</v>
      </c>
      <c r="J116" s="68">
        <v>2525.1999999999998</v>
      </c>
      <c r="K116" s="2" t="s">
        <v>28</v>
      </c>
      <c r="L116" s="2" t="s">
        <v>28</v>
      </c>
      <c r="M116" s="2" t="s">
        <v>28</v>
      </c>
      <c r="N116" s="144"/>
      <c r="O116" s="144"/>
      <c r="Q116" s="3">
        <f>30-2-4-20-4</f>
        <v>0</v>
      </c>
      <c r="R116" s="3"/>
      <c r="S116" s="3"/>
    </row>
    <row r="117" spans="1:21" ht="15.75" customHeight="1" x14ac:dyDescent="0.25">
      <c r="A117" s="76">
        <v>45489</v>
      </c>
      <c r="B117" s="44" t="s">
        <v>249</v>
      </c>
      <c r="D117" s="44" t="s">
        <v>24</v>
      </c>
      <c r="E117" s="67" t="s">
        <v>71</v>
      </c>
      <c r="F117" s="2" t="s">
        <v>250</v>
      </c>
      <c r="G117" s="2" t="s">
        <v>27</v>
      </c>
      <c r="H117" s="143">
        <v>1.1399999999999999</v>
      </c>
      <c r="I117" s="143">
        <v>0.41</v>
      </c>
      <c r="J117" s="145">
        <v>852.3</v>
      </c>
      <c r="K117" s="2" t="s">
        <v>28</v>
      </c>
      <c r="L117" s="2" t="s">
        <v>28</v>
      </c>
      <c r="M117" s="2" t="s">
        <v>28</v>
      </c>
      <c r="N117" s="141" t="s">
        <v>108</v>
      </c>
      <c r="O117" s="143" t="s">
        <v>82</v>
      </c>
      <c r="Q117" s="148">
        <f>30+30-2-4-20-20</f>
        <v>14</v>
      </c>
      <c r="R117" s="3"/>
      <c r="S117" s="3"/>
    </row>
    <row r="118" spans="1:21" ht="15.75" customHeight="1" x14ac:dyDescent="0.25">
      <c r="A118" s="76">
        <v>45489</v>
      </c>
      <c r="B118" s="44" t="s">
        <v>251</v>
      </c>
      <c r="D118" s="44" t="s">
        <v>24</v>
      </c>
      <c r="E118" s="67" t="s">
        <v>71</v>
      </c>
      <c r="F118" s="2" t="s">
        <v>252</v>
      </c>
      <c r="G118" s="2" t="s">
        <v>27</v>
      </c>
      <c r="H118" s="144"/>
      <c r="I118" s="144"/>
      <c r="J118" s="144"/>
      <c r="K118" s="2" t="s">
        <v>28</v>
      </c>
      <c r="L118" s="2" t="s">
        <v>28</v>
      </c>
      <c r="M118" s="2" t="s">
        <v>28</v>
      </c>
      <c r="N118" s="144"/>
      <c r="O118" s="144"/>
      <c r="Q118" s="144"/>
      <c r="R118" s="3"/>
      <c r="S118" s="3"/>
    </row>
    <row r="119" spans="1:21" ht="15.75" customHeight="1" x14ac:dyDescent="0.25">
      <c r="A119" s="77">
        <v>45489</v>
      </c>
      <c r="B119" s="70" t="s">
        <v>253</v>
      </c>
      <c r="C119" s="78"/>
      <c r="D119" s="73" t="s">
        <v>60</v>
      </c>
      <c r="E119" s="107" t="s">
        <v>222</v>
      </c>
      <c r="F119" s="73" t="s">
        <v>254</v>
      </c>
      <c r="G119" s="73" t="s">
        <v>27</v>
      </c>
      <c r="H119" s="73">
        <v>1.49</v>
      </c>
      <c r="I119" s="73">
        <v>0.44</v>
      </c>
      <c r="J119" s="109">
        <v>85.7</v>
      </c>
      <c r="K119" s="73" t="s">
        <v>28</v>
      </c>
      <c r="L119" s="73" t="s">
        <v>28</v>
      </c>
      <c r="M119" s="73" t="s">
        <v>28</v>
      </c>
      <c r="N119" s="142"/>
      <c r="O119" s="142"/>
      <c r="P119" s="78"/>
      <c r="Q119" s="75">
        <f>30-2-4</f>
        <v>24</v>
      </c>
      <c r="R119" s="75"/>
      <c r="S119" s="75"/>
      <c r="T119" s="78"/>
    </row>
    <row r="120" spans="1:21" ht="15.75" customHeight="1" x14ac:dyDescent="0.25">
      <c r="A120" s="76">
        <v>45495</v>
      </c>
      <c r="B120" s="102" t="s">
        <v>255</v>
      </c>
      <c r="D120" s="44" t="s">
        <v>24</v>
      </c>
      <c r="E120" s="37" t="s">
        <v>48</v>
      </c>
      <c r="F120" s="2" t="s">
        <v>256</v>
      </c>
      <c r="G120" s="68" t="s">
        <v>257</v>
      </c>
      <c r="H120" s="2">
        <v>1.73</v>
      </c>
      <c r="I120" s="2">
        <v>1.56</v>
      </c>
      <c r="J120" s="110">
        <v>402.9</v>
      </c>
      <c r="K120" s="2">
        <f>32.4*5</f>
        <v>162</v>
      </c>
      <c r="L120" s="2" t="s">
        <v>28</v>
      </c>
      <c r="M120" s="2" t="s">
        <v>28</v>
      </c>
      <c r="N120" s="141" t="s">
        <v>227</v>
      </c>
      <c r="O120" s="149" t="s">
        <v>29</v>
      </c>
      <c r="Q120" s="3">
        <f t="shared" ref="Q120:Q121" si="36">50-2-4-4-1</f>
        <v>39</v>
      </c>
      <c r="R120" s="3">
        <f t="shared" ref="R120:R121" si="37">J120*Q120</f>
        <v>15713.099999999999</v>
      </c>
      <c r="S120" s="3">
        <f t="shared" ref="S120:S121" si="38">Q120*K120</f>
        <v>6318</v>
      </c>
    </row>
    <row r="121" spans="1:21" ht="15.75" customHeight="1" x14ac:dyDescent="0.25">
      <c r="A121" s="76">
        <v>45495</v>
      </c>
      <c r="B121" s="102" t="s">
        <v>258</v>
      </c>
      <c r="D121" s="44" t="s">
        <v>24</v>
      </c>
      <c r="E121" s="37" t="s">
        <v>48</v>
      </c>
      <c r="F121" s="2" t="s">
        <v>259</v>
      </c>
      <c r="G121" s="111" t="s">
        <v>210</v>
      </c>
      <c r="H121" s="2">
        <v>1.86</v>
      </c>
      <c r="I121" s="2">
        <v>2.12</v>
      </c>
      <c r="J121" s="110">
        <v>314.8</v>
      </c>
      <c r="K121" s="2">
        <f>40.8*4</f>
        <v>163.19999999999999</v>
      </c>
      <c r="L121" s="2" t="s">
        <v>28</v>
      </c>
      <c r="M121" s="2" t="s">
        <v>28</v>
      </c>
      <c r="N121" s="144"/>
      <c r="O121" s="144"/>
      <c r="Q121" s="3">
        <f t="shared" si="36"/>
        <v>39</v>
      </c>
      <c r="R121" s="3">
        <f t="shared" si="37"/>
        <v>12277.2</v>
      </c>
      <c r="S121" s="3">
        <f t="shared" si="38"/>
        <v>6364.7999999999993</v>
      </c>
      <c r="U121" s="112" t="s">
        <v>260</v>
      </c>
    </row>
    <row r="122" spans="1:21" ht="15.75" customHeight="1" x14ac:dyDescent="0.25">
      <c r="A122" s="76">
        <v>45495</v>
      </c>
      <c r="B122" s="44" t="s">
        <v>261</v>
      </c>
      <c r="D122" s="44" t="s">
        <v>24</v>
      </c>
      <c r="E122" s="67" t="s">
        <v>71</v>
      </c>
      <c r="F122" s="2" t="s">
        <v>262</v>
      </c>
      <c r="G122" s="2" t="s">
        <v>257</v>
      </c>
      <c r="H122" s="2">
        <v>1.1599999999999999</v>
      </c>
      <c r="I122" s="2">
        <v>0.45</v>
      </c>
      <c r="J122" s="68">
        <v>58.4</v>
      </c>
      <c r="K122" s="2" t="s">
        <v>28</v>
      </c>
      <c r="L122" s="2" t="s">
        <v>28</v>
      </c>
      <c r="M122" s="2" t="s">
        <v>28</v>
      </c>
      <c r="N122" s="141" t="s">
        <v>108</v>
      </c>
      <c r="O122" s="143" t="s">
        <v>82</v>
      </c>
      <c r="Q122" s="3">
        <f t="shared" ref="Q122:Q123" si="39">50-2-4</f>
        <v>44</v>
      </c>
      <c r="R122" s="3">
        <f>H122*Q122</f>
        <v>51.04</v>
      </c>
      <c r="S122" s="2" t="s">
        <v>28</v>
      </c>
    </row>
    <row r="123" spans="1:21" ht="15.75" customHeight="1" x14ac:dyDescent="0.25">
      <c r="A123" s="77">
        <v>45495</v>
      </c>
      <c r="B123" s="70" t="s">
        <v>263</v>
      </c>
      <c r="C123" s="78"/>
      <c r="D123" s="70" t="s">
        <v>24</v>
      </c>
      <c r="E123" s="72" t="s">
        <v>71</v>
      </c>
      <c r="F123" s="73" t="s">
        <v>262</v>
      </c>
      <c r="G123" s="104" t="s">
        <v>210</v>
      </c>
      <c r="H123" s="73">
        <v>1.76</v>
      </c>
      <c r="I123" s="73">
        <v>1.01</v>
      </c>
      <c r="J123" s="74">
        <v>10.7</v>
      </c>
      <c r="K123" s="73" t="s">
        <v>28</v>
      </c>
      <c r="L123" s="73" t="s">
        <v>28</v>
      </c>
      <c r="M123" s="73" t="s">
        <v>28</v>
      </c>
      <c r="N123" s="142"/>
      <c r="O123" s="142"/>
      <c r="P123" s="78"/>
      <c r="Q123" s="75">
        <f t="shared" si="39"/>
        <v>44</v>
      </c>
      <c r="R123" s="75">
        <f t="shared" ref="R123:R130" si="40">J123*Q123</f>
        <v>470.79999999999995</v>
      </c>
      <c r="S123" s="73" t="s">
        <v>28</v>
      </c>
      <c r="T123" s="78"/>
    </row>
    <row r="124" spans="1:21" ht="15.75" customHeight="1" x14ac:dyDescent="0.25">
      <c r="A124" s="76">
        <v>45496</v>
      </c>
      <c r="B124" s="44" t="s">
        <v>264</v>
      </c>
      <c r="D124" s="44" t="s">
        <v>24</v>
      </c>
      <c r="E124" s="23" t="s">
        <v>25</v>
      </c>
      <c r="F124" s="2" t="s">
        <v>265</v>
      </c>
      <c r="G124" s="2" t="s">
        <v>27</v>
      </c>
      <c r="H124" s="2">
        <v>1.72</v>
      </c>
      <c r="I124" s="2">
        <v>0.68</v>
      </c>
      <c r="J124" s="68">
        <v>304.8</v>
      </c>
      <c r="K124" s="2" t="s">
        <v>28</v>
      </c>
      <c r="L124" s="2" t="s">
        <v>28</v>
      </c>
      <c r="M124" s="2" t="s">
        <v>28</v>
      </c>
      <c r="N124" s="2" t="s">
        <v>28</v>
      </c>
      <c r="O124" s="2" t="s">
        <v>28</v>
      </c>
      <c r="P124" s="2" t="s">
        <v>28</v>
      </c>
      <c r="Q124" s="3">
        <f>0</f>
        <v>0</v>
      </c>
      <c r="R124" s="3">
        <f t="shared" si="40"/>
        <v>0</v>
      </c>
      <c r="S124" s="3"/>
    </row>
    <row r="125" spans="1:21" ht="15.75" customHeight="1" x14ac:dyDescent="0.25">
      <c r="A125" s="76">
        <v>45496</v>
      </c>
      <c r="B125" s="44" t="s">
        <v>266</v>
      </c>
      <c r="D125" s="44" t="s">
        <v>24</v>
      </c>
      <c r="E125" s="23" t="s">
        <v>25</v>
      </c>
      <c r="F125" s="2" t="s">
        <v>267</v>
      </c>
      <c r="G125" s="111" t="s">
        <v>210</v>
      </c>
      <c r="H125" s="2">
        <v>1.38</v>
      </c>
      <c r="I125" s="2">
        <v>0.35</v>
      </c>
      <c r="J125" s="68">
        <v>82.9</v>
      </c>
      <c r="K125" s="2" t="s">
        <v>28</v>
      </c>
      <c r="L125" s="2" t="s">
        <v>28</v>
      </c>
      <c r="M125" s="2" t="s">
        <v>28</v>
      </c>
      <c r="N125" s="68" t="s">
        <v>260</v>
      </c>
      <c r="O125" s="2" t="s">
        <v>82</v>
      </c>
      <c r="P125" s="2" t="s">
        <v>28</v>
      </c>
      <c r="Q125" s="3">
        <f t="shared" ref="Q125:Q126" si="41">50-2-4</f>
        <v>44</v>
      </c>
      <c r="R125" s="3">
        <f t="shared" si="40"/>
        <v>3647.6000000000004</v>
      </c>
      <c r="S125" s="3"/>
    </row>
    <row r="126" spans="1:21" ht="15.75" customHeight="1" x14ac:dyDescent="0.25">
      <c r="A126" s="77">
        <v>45496</v>
      </c>
      <c r="B126" s="70" t="s">
        <v>268</v>
      </c>
      <c r="C126" s="78"/>
      <c r="D126" s="73" t="s">
        <v>60</v>
      </c>
      <c r="E126" s="107" t="s">
        <v>222</v>
      </c>
      <c r="F126" s="73" t="s">
        <v>269</v>
      </c>
      <c r="G126" s="74" t="s">
        <v>270</v>
      </c>
      <c r="H126" s="73">
        <v>1.56</v>
      </c>
      <c r="I126" s="73">
        <v>0.35</v>
      </c>
      <c r="J126" s="74">
        <v>10.7</v>
      </c>
      <c r="K126" s="73" t="s">
        <v>28</v>
      </c>
      <c r="L126" s="73" t="s">
        <v>28</v>
      </c>
      <c r="M126" s="73" t="s">
        <v>28</v>
      </c>
      <c r="N126" s="74" t="s">
        <v>108</v>
      </c>
      <c r="O126" s="73" t="s">
        <v>82</v>
      </c>
      <c r="P126" s="78"/>
      <c r="Q126" s="75">
        <f t="shared" si="41"/>
        <v>44</v>
      </c>
      <c r="R126" s="75">
        <f t="shared" si="40"/>
        <v>470.79999999999995</v>
      </c>
      <c r="S126" s="75"/>
      <c r="T126" s="78"/>
    </row>
    <row r="127" spans="1:21" ht="15.75" customHeight="1" x14ac:dyDescent="0.25">
      <c r="A127" s="76">
        <v>45499</v>
      </c>
      <c r="B127" s="44" t="s">
        <v>271</v>
      </c>
      <c r="D127" s="2" t="s">
        <v>24</v>
      </c>
      <c r="E127" s="23" t="s">
        <v>25</v>
      </c>
      <c r="F127" s="2" t="s">
        <v>272</v>
      </c>
      <c r="G127" s="2" t="s">
        <v>27</v>
      </c>
      <c r="H127" s="2">
        <v>1.9</v>
      </c>
      <c r="I127" s="2">
        <v>1.26</v>
      </c>
      <c r="J127" s="68">
        <v>26.1</v>
      </c>
      <c r="K127" s="2" t="s">
        <v>28</v>
      </c>
      <c r="L127" s="2" t="s">
        <v>28</v>
      </c>
      <c r="M127" s="2" t="s">
        <v>28</v>
      </c>
      <c r="N127" s="145" t="s">
        <v>43</v>
      </c>
      <c r="O127" s="143" t="s">
        <v>273</v>
      </c>
      <c r="P127" s="3"/>
      <c r="Q127" s="3">
        <f t="shared" ref="Q127:Q128" si="42">100-2-4</f>
        <v>94</v>
      </c>
      <c r="R127" s="3">
        <f t="shared" si="40"/>
        <v>2453.4</v>
      </c>
      <c r="S127" s="3"/>
      <c r="T127" s="3"/>
    </row>
    <row r="128" spans="1:21" ht="15.75" customHeight="1" x14ac:dyDescent="0.25">
      <c r="A128" s="76">
        <v>45499</v>
      </c>
      <c r="B128" s="44" t="s">
        <v>274</v>
      </c>
      <c r="D128" s="2" t="s">
        <v>24</v>
      </c>
      <c r="E128" s="23" t="s">
        <v>25</v>
      </c>
      <c r="F128" s="2" t="s">
        <v>272</v>
      </c>
      <c r="G128" s="2" t="s">
        <v>27</v>
      </c>
      <c r="H128" s="2">
        <v>1.9</v>
      </c>
      <c r="I128" s="2">
        <v>0.68</v>
      </c>
      <c r="J128" s="68">
        <v>126.2</v>
      </c>
      <c r="K128" s="2" t="s">
        <v>28</v>
      </c>
      <c r="L128" s="2" t="s">
        <v>28</v>
      </c>
      <c r="M128" s="2" t="s">
        <v>28</v>
      </c>
      <c r="N128" s="144"/>
      <c r="O128" s="144"/>
      <c r="P128" s="3"/>
      <c r="Q128" s="3">
        <f t="shared" si="42"/>
        <v>94</v>
      </c>
      <c r="R128" s="3">
        <f t="shared" si="40"/>
        <v>11862.800000000001</v>
      </c>
      <c r="S128" s="3"/>
      <c r="T128" s="3"/>
    </row>
    <row r="129" spans="1:20" ht="15.75" customHeight="1" x14ac:dyDescent="0.25">
      <c r="A129" s="76">
        <v>45499</v>
      </c>
      <c r="B129" s="44" t="s">
        <v>275</v>
      </c>
      <c r="D129" s="2" t="s">
        <v>24</v>
      </c>
      <c r="E129" s="23" t="s">
        <v>25</v>
      </c>
      <c r="F129" s="2" t="s">
        <v>272</v>
      </c>
      <c r="G129" s="2" t="s">
        <v>27</v>
      </c>
      <c r="H129" s="113">
        <v>1.66</v>
      </c>
      <c r="I129" s="113">
        <v>0.67</v>
      </c>
      <c r="J129" s="110">
        <v>33.9</v>
      </c>
      <c r="K129" s="2" t="s">
        <v>28</v>
      </c>
      <c r="L129" s="2" t="s">
        <v>28</v>
      </c>
      <c r="M129" s="2" t="s">
        <v>28</v>
      </c>
      <c r="N129" s="144"/>
      <c r="O129" s="144"/>
      <c r="P129" s="3"/>
      <c r="Q129" s="3">
        <f>100-2-4-94</f>
        <v>0</v>
      </c>
      <c r="R129" s="3">
        <f t="shared" si="40"/>
        <v>0</v>
      </c>
      <c r="S129" s="3"/>
      <c r="T129" s="3"/>
    </row>
    <row r="130" spans="1:20" ht="15.75" customHeight="1" x14ac:dyDescent="0.25">
      <c r="A130" s="77">
        <v>45499</v>
      </c>
      <c r="B130" s="70" t="s">
        <v>276</v>
      </c>
      <c r="C130" s="78"/>
      <c r="D130" s="73" t="s">
        <v>24</v>
      </c>
      <c r="E130" s="28" t="s">
        <v>25</v>
      </c>
      <c r="F130" s="73" t="s">
        <v>272</v>
      </c>
      <c r="G130" s="73" t="s">
        <v>27</v>
      </c>
      <c r="H130" s="73">
        <v>1.91</v>
      </c>
      <c r="I130" s="73">
        <v>1.55</v>
      </c>
      <c r="J130" s="74">
        <v>26.7</v>
      </c>
      <c r="K130" s="73" t="s">
        <v>28</v>
      </c>
      <c r="L130" s="73" t="s">
        <v>28</v>
      </c>
      <c r="M130" s="73" t="s">
        <v>28</v>
      </c>
      <c r="N130" s="142"/>
      <c r="O130" s="142"/>
      <c r="P130" s="75"/>
      <c r="Q130" s="75">
        <f t="shared" ref="Q130:Q135" si="43">100-2-4</f>
        <v>94</v>
      </c>
      <c r="R130" s="75">
        <f t="shared" si="40"/>
        <v>2509.7999999999997</v>
      </c>
      <c r="S130" s="75"/>
      <c r="T130" s="75"/>
    </row>
    <row r="131" spans="1:20" ht="15.75" customHeight="1" x14ac:dyDescent="0.25">
      <c r="A131" s="76">
        <v>45511</v>
      </c>
      <c r="B131" s="44" t="s">
        <v>277</v>
      </c>
      <c r="D131" s="44" t="s">
        <v>24</v>
      </c>
      <c r="E131" s="23" t="s">
        <v>25</v>
      </c>
      <c r="F131" s="2" t="s">
        <v>278</v>
      </c>
      <c r="G131" s="2" t="s">
        <v>279</v>
      </c>
      <c r="H131" s="2">
        <v>1.64</v>
      </c>
      <c r="I131" s="2">
        <v>0.4</v>
      </c>
      <c r="J131" s="110">
        <v>192.4</v>
      </c>
      <c r="K131" s="2" t="s">
        <v>28</v>
      </c>
      <c r="L131" s="2" t="s">
        <v>28</v>
      </c>
      <c r="M131" s="2" t="s">
        <v>28</v>
      </c>
      <c r="N131" s="141" t="s">
        <v>280</v>
      </c>
      <c r="O131" s="147" t="s">
        <v>281</v>
      </c>
      <c r="Q131" s="3">
        <f t="shared" si="43"/>
        <v>94</v>
      </c>
      <c r="R131" s="3">
        <f t="shared" ref="R131:R135" si="44">H131*Q131</f>
        <v>154.16</v>
      </c>
      <c r="S131" s="3"/>
    </row>
    <row r="132" spans="1:20" ht="15.75" customHeight="1" x14ac:dyDescent="0.25">
      <c r="A132" s="76">
        <v>45511</v>
      </c>
      <c r="B132" s="44" t="s">
        <v>282</v>
      </c>
      <c r="D132" s="44" t="s">
        <v>24</v>
      </c>
      <c r="E132" s="23" t="s">
        <v>25</v>
      </c>
      <c r="F132" s="2" t="s">
        <v>278</v>
      </c>
      <c r="G132" s="2" t="s">
        <v>279</v>
      </c>
      <c r="H132" s="2">
        <v>1.97</v>
      </c>
      <c r="I132" s="2">
        <v>1.47</v>
      </c>
      <c r="J132" s="68">
        <v>26.7</v>
      </c>
      <c r="K132" s="2" t="s">
        <v>28</v>
      </c>
      <c r="L132" s="2" t="s">
        <v>28</v>
      </c>
      <c r="M132" s="2" t="s">
        <v>28</v>
      </c>
      <c r="N132" s="144"/>
      <c r="O132" s="144"/>
      <c r="Q132" s="3">
        <f t="shared" si="43"/>
        <v>94</v>
      </c>
      <c r="R132" s="3">
        <f t="shared" si="44"/>
        <v>185.18</v>
      </c>
      <c r="S132" s="3"/>
    </row>
    <row r="133" spans="1:20" ht="15.75" customHeight="1" x14ac:dyDescent="0.25">
      <c r="A133" s="76">
        <v>45511</v>
      </c>
      <c r="B133" s="44" t="s">
        <v>283</v>
      </c>
      <c r="D133" s="44" t="s">
        <v>24</v>
      </c>
      <c r="E133" s="23" t="s">
        <v>25</v>
      </c>
      <c r="F133" s="2" t="s">
        <v>278</v>
      </c>
      <c r="G133" s="2" t="s">
        <v>279</v>
      </c>
      <c r="H133" s="2">
        <v>1.87</v>
      </c>
      <c r="I133" s="2">
        <v>0.55000000000000004</v>
      </c>
      <c r="J133" s="110">
        <v>141.19999999999999</v>
      </c>
      <c r="K133" s="2" t="s">
        <v>28</v>
      </c>
      <c r="L133" s="2" t="s">
        <v>28</v>
      </c>
      <c r="M133" s="2" t="s">
        <v>28</v>
      </c>
      <c r="N133" s="144"/>
      <c r="O133" s="144"/>
      <c r="Q133" s="3">
        <f t="shared" si="43"/>
        <v>94</v>
      </c>
      <c r="R133" s="3">
        <f t="shared" si="44"/>
        <v>175.78</v>
      </c>
      <c r="S133" s="3"/>
    </row>
    <row r="134" spans="1:20" ht="15.75" customHeight="1" x14ac:dyDescent="0.25">
      <c r="A134" s="76">
        <v>45511</v>
      </c>
      <c r="B134" s="44" t="s">
        <v>284</v>
      </c>
      <c r="D134" s="44" t="s">
        <v>24</v>
      </c>
      <c r="E134" s="23" t="s">
        <v>25</v>
      </c>
      <c r="F134" s="2" t="s">
        <v>278</v>
      </c>
      <c r="G134" s="2" t="s">
        <v>279</v>
      </c>
      <c r="H134" s="2">
        <v>1.65</v>
      </c>
      <c r="I134" s="2">
        <v>0.56000000000000005</v>
      </c>
      <c r="J134" s="68">
        <v>347.5</v>
      </c>
      <c r="K134" s="2" t="s">
        <v>28</v>
      </c>
      <c r="L134" s="2" t="s">
        <v>28</v>
      </c>
      <c r="M134" s="2" t="s">
        <v>28</v>
      </c>
      <c r="N134" s="144"/>
      <c r="O134" s="144"/>
      <c r="Q134" s="3">
        <f t="shared" si="43"/>
        <v>94</v>
      </c>
      <c r="R134" s="3">
        <f t="shared" si="44"/>
        <v>155.1</v>
      </c>
      <c r="S134" s="3"/>
    </row>
    <row r="135" spans="1:20" ht="15.75" customHeight="1" x14ac:dyDescent="0.25">
      <c r="A135" s="77">
        <v>45511</v>
      </c>
      <c r="B135" s="70" t="s">
        <v>285</v>
      </c>
      <c r="C135" s="78"/>
      <c r="D135" s="70" t="s">
        <v>24</v>
      </c>
      <c r="E135" s="28" t="s">
        <v>25</v>
      </c>
      <c r="F135" s="73" t="s">
        <v>286</v>
      </c>
      <c r="G135" s="73" t="s">
        <v>287</v>
      </c>
      <c r="H135" s="114">
        <v>1.52</v>
      </c>
      <c r="I135" s="114">
        <v>0.38</v>
      </c>
      <c r="J135" s="74">
        <v>88.9</v>
      </c>
      <c r="K135" s="73" t="s">
        <v>28</v>
      </c>
      <c r="L135" s="73" t="s">
        <v>28</v>
      </c>
      <c r="M135" s="73" t="s">
        <v>28</v>
      </c>
      <c r="N135" s="142"/>
      <c r="O135" s="142"/>
      <c r="P135" s="78"/>
      <c r="Q135" s="75">
        <f t="shared" si="43"/>
        <v>94</v>
      </c>
      <c r="R135" s="75">
        <f t="shared" si="44"/>
        <v>142.88</v>
      </c>
      <c r="S135" s="75"/>
      <c r="T135" s="78"/>
    </row>
    <row r="136" spans="1:20" ht="15.75" customHeight="1" x14ac:dyDescent="0.25">
      <c r="A136" s="76">
        <v>45517</v>
      </c>
      <c r="B136" s="44" t="s">
        <v>288</v>
      </c>
      <c r="D136" s="44" t="s">
        <v>24</v>
      </c>
      <c r="E136" s="84" t="s">
        <v>71</v>
      </c>
      <c r="F136" s="2" t="s">
        <v>98</v>
      </c>
      <c r="G136" s="2" t="s">
        <v>279</v>
      </c>
      <c r="H136" s="2">
        <v>2.15</v>
      </c>
      <c r="I136" s="2">
        <v>0.56999999999999995</v>
      </c>
      <c r="J136" s="68">
        <v>-168.8</v>
      </c>
      <c r="K136" s="2" t="s">
        <v>28</v>
      </c>
      <c r="L136" s="2" t="s">
        <v>28</v>
      </c>
      <c r="M136" s="2" t="s">
        <v>28</v>
      </c>
      <c r="N136" s="145" t="s">
        <v>108</v>
      </c>
      <c r="O136" s="143" t="s">
        <v>82</v>
      </c>
      <c r="Q136" s="3">
        <f>30-2-4-20-2</f>
        <v>2</v>
      </c>
      <c r="R136" s="3">
        <f t="shared" ref="R136:R160" si="45">J136*Q136</f>
        <v>-337.6</v>
      </c>
      <c r="S136" s="2" t="s">
        <v>28</v>
      </c>
      <c r="T136" s="2" t="s">
        <v>28</v>
      </c>
    </row>
    <row r="137" spans="1:20" ht="15.75" customHeight="1" x14ac:dyDescent="0.25">
      <c r="A137" s="76">
        <v>45520</v>
      </c>
      <c r="B137" s="44" t="s">
        <v>289</v>
      </c>
      <c r="D137" s="44" t="s">
        <v>24</v>
      </c>
      <c r="E137" s="84" t="s">
        <v>71</v>
      </c>
      <c r="F137" s="2" t="s">
        <v>290</v>
      </c>
      <c r="G137" s="115" t="s">
        <v>210</v>
      </c>
      <c r="H137" s="2">
        <v>1.46</v>
      </c>
      <c r="I137" s="2">
        <v>0.45</v>
      </c>
      <c r="J137" s="68">
        <v>-335.6</v>
      </c>
      <c r="K137" s="2" t="s">
        <v>28</v>
      </c>
      <c r="L137" s="2" t="s">
        <v>28</v>
      </c>
      <c r="M137" s="2" t="s">
        <v>28</v>
      </c>
      <c r="N137" s="144"/>
      <c r="O137" s="144"/>
      <c r="Q137" s="3">
        <f>50-2-4-2</f>
        <v>42</v>
      </c>
      <c r="R137" s="3">
        <f t="shared" si="45"/>
        <v>-14095.2</v>
      </c>
      <c r="S137" s="2" t="s">
        <v>28</v>
      </c>
      <c r="T137" s="2" t="s">
        <v>28</v>
      </c>
    </row>
    <row r="138" spans="1:20" ht="15.75" customHeight="1" x14ac:dyDescent="0.25">
      <c r="A138" s="76">
        <v>45517</v>
      </c>
      <c r="B138" s="44" t="s">
        <v>291</v>
      </c>
      <c r="D138" s="44" t="s">
        <v>24</v>
      </c>
      <c r="E138" s="84" t="s">
        <v>71</v>
      </c>
      <c r="F138" s="2" t="s">
        <v>292</v>
      </c>
      <c r="G138" s="2" t="s">
        <v>279</v>
      </c>
      <c r="H138" s="2">
        <v>1.03</v>
      </c>
      <c r="I138" s="2">
        <v>0.39</v>
      </c>
      <c r="J138" s="68">
        <v>448</v>
      </c>
      <c r="K138" s="2" t="s">
        <v>28</v>
      </c>
      <c r="L138" s="2" t="s">
        <v>28</v>
      </c>
      <c r="M138" s="2" t="s">
        <v>28</v>
      </c>
      <c r="N138" s="144"/>
      <c r="O138" s="144"/>
      <c r="Q138" s="3">
        <f>30-2-4-20-2</f>
        <v>2</v>
      </c>
      <c r="R138" s="3">
        <f t="shared" si="45"/>
        <v>896</v>
      </c>
      <c r="S138" s="2" t="s">
        <v>28</v>
      </c>
      <c r="T138" s="2" t="s">
        <v>28</v>
      </c>
    </row>
    <row r="139" spans="1:20" ht="15.75" customHeight="1" x14ac:dyDescent="0.25">
      <c r="A139" s="76">
        <v>45520</v>
      </c>
      <c r="B139" s="44" t="s">
        <v>293</v>
      </c>
      <c r="D139" s="44" t="s">
        <v>24</v>
      </c>
      <c r="E139" s="84" t="s">
        <v>71</v>
      </c>
      <c r="F139" s="2" t="s">
        <v>294</v>
      </c>
      <c r="G139" s="115" t="s">
        <v>210</v>
      </c>
      <c r="H139" s="2">
        <v>1.67</v>
      </c>
      <c r="I139" s="2">
        <v>0.79</v>
      </c>
      <c r="J139" s="68">
        <v>6.5</v>
      </c>
      <c r="K139" s="2" t="s">
        <v>28</v>
      </c>
      <c r="L139" s="2" t="s">
        <v>28</v>
      </c>
      <c r="M139" s="2" t="s">
        <v>28</v>
      </c>
      <c r="N139" s="144"/>
      <c r="O139" s="144"/>
      <c r="Q139" s="3">
        <f>50-2-4-2</f>
        <v>42</v>
      </c>
      <c r="R139" s="3">
        <f t="shared" si="45"/>
        <v>273</v>
      </c>
      <c r="S139" s="2" t="s">
        <v>28</v>
      </c>
      <c r="T139" s="2" t="s">
        <v>28</v>
      </c>
    </row>
    <row r="140" spans="1:20" ht="15.75" customHeight="1" x14ac:dyDescent="0.25">
      <c r="A140" s="76">
        <v>45517</v>
      </c>
      <c r="B140" s="44" t="s">
        <v>295</v>
      </c>
      <c r="D140" s="44" t="s">
        <v>24</v>
      </c>
      <c r="E140" s="84" t="s">
        <v>71</v>
      </c>
      <c r="F140" s="2" t="s">
        <v>296</v>
      </c>
      <c r="G140" s="2" t="s">
        <v>279</v>
      </c>
      <c r="H140" s="2">
        <v>1.1200000000000001</v>
      </c>
      <c r="I140" s="2">
        <v>0.39</v>
      </c>
      <c r="J140" s="68">
        <v>634.5</v>
      </c>
      <c r="K140" s="2" t="s">
        <v>28</v>
      </c>
      <c r="L140" s="2" t="s">
        <v>28</v>
      </c>
      <c r="M140" s="2" t="s">
        <v>28</v>
      </c>
      <c r="N140" s="144"/>
      <c r="O140" s="144"/>
      <c r="Q140" s="3">
        <f>30-2-4-20-2</f>
        <v>2</v>
      </c>
      <c r="R140" s="3">
        <f t="shared" si="45"/>
        <v>1269</v>
      </c>
      <c r="S140" s="2" t="s">
        <v>28</v>
      </c>
      <c r="T140" s="2" t="s">
        <v>28</v>
      </c>
    </row>
    <row r="141" spans="1:20" ht="15.75" customHeight="1" x14ac:dyDescent="0.25">
      <c r="A141" s="76">
        <v>45520</v>
      </c>
      <c r="B141" s="44" t="s">
        <v>297</v>
      </c>
      <c r="D141" s="44" t="s">
        <v>24</v>
      </c>
      <c r="E141" s="84" t="s">
        <v>71</v>
      </c>
      <c r="F141" s="2" t="s">
        <v>298</v>
      </c>
      <c r="G141" s="115" t="s">
        <v>210</v>
      </c>
      <c r="H141" s="2">
        <v>1.53</v>
      </c>
      <c r="I141" s="2">
        <v>0.39</v>
      </c>
      <c r="J141" s="68">
        <v>107</v>
      </c>
      <c r="K141" s="2" t="s">
        <v>28</v>
      </c>
      <c r="L141" s="2" t="s">
        <v>28</v>
      </c>
      <c r="M141" s="2" t="s">
        <v>28</v>
      </c>
      <c r="N141" s="144"/>
      <c r="O141" s="144"/>
      <c r="Q141" s="3">
        <f>50-2-4-2</f>
        <v>42</v>
      </c>
      <c r="R141" s="3">
        <f t="shared" si="45"/>
        <v>4494</v>
      </c>
      <c r="S141" s="2" t="s">
        <v>28</v>
      </c>
      <c r="T141" s="2" t="s">
        <v>28</v>
      </c>
    </row>
    <row r="142" spans="1:20" ht="15.75" customHeight="1" x14ac:dyDescent="0.25">
      <c r="A142" s="76">
        <v>45517</v>
      </c>
      <c r="B142" s="44" t="s">
        <v>299</v>
      </c>
      <c r="D142" s="44" t="s">
        <v>24</v>
      </c>
      <c r="E142" s="84" t="s">
        <v>71</v>
      </c>
      <c r="F142" s="2" t="s">
        <v>300</v>
      </c>
      <c r="G142" s="2" t="s">
        <v>279</v>
      </c>
      <c r="H142" s="2">
        <v>1.1599999999999999</v>
      </c>
      <c r="I142" s="2">
        <v>0.43</v>
      </c>
      <c r="J142" s="68">
        <v>1262.7</v>
      </c>
      <c r="K142" s="2" t="s">
        <v>28</v>
      </c>
      <c r="L142" s="2" t="s">
        <v>28</v>
      </c>
      <c r="M142" s="2" t="s">
        <v>28</v>
      </c>
      <c r="N142" s="144"/>
      <c r="O142" s="144"/>
      <c r="Q142" s="3">
        <f>30-2-4-20-2</f>
        <v>2</v>
      </c>
      <c r="R142" s="3">
        <f t="shared" si="45"/>
        <v>2525.4</v>
      </c>
      <c r="S142" s="2" t="s">
        <v>28</v>
      </c>
      <c r="T142" s="2" t="s">
        <v>28</v>
      </c>
    </row>
    <row r="143" spans="1:20" ht="15.75" customHeight="1" x14ac:dyDescent="0.25">
      <c r="A143" s="76">
        <v>45520</v>
      </c>
      <c r="B143" s="44" t="s">
        <v>301</v>
      </c>
      <c r="D143" s="44" t="s">
        <v>24</v>
      </c>
      <c r="E143" s="84" t="s">
        <v>71</v>
      </c>
      <c r="F143" s="2" t="s">
        <v>302</v>
      </c>
      <c r="G143" s="115" t="s">
        <v>210</v>
      </c>
      <c r="H143" s="2">
        <v>1.81</v>
      </c>
      <c r="I143" s="2">
        <v>1.05</v>
      </c>
      <c r="J143" s="68">
        <v>24.2</v>
      </c>
      <c r="K143" s="2" t="s">
        <v>28</v>
      </c>
      <c r="L143" s="2" t="s">
        <v>28</v>
      </c>
      <c r="M143" s="2" t="s">
        <v>28</v>
      </c>
      <c r="N143" s="144"/>
      <c r="O143" s="144"/>
      <c r="Q143" s="3">
        <f>50-2-4-2</f>
        <v>42</v>
      </c>
      <c r="R143" s="3">
        <f t="shared" si="45"/>
        <v>1016.4</v>
      </c>
      <c r="S143" s="2" t="s">
        <v>28</v>
      </c>
      <c r="T143" s="2" t="s">
        <v>28</v>
      </c>
    </row>
    <row r="144" spans="1:20" ht="15.75" customHeight="1" x14ac:dyDescent="0.25">
      <c r="A144" s="76">
        <v>45517</v>
      </c>
      <c r="B144" s="44" t="s">
        <v>303</v>
      </c>
      <c r="D144" s="44" t="s">
        <v>24</v>
      </c>
      <c r="E144" s="84" t="s">
        <v>71</v>
      </c>
      <c r="F144" s="2" t="s">
        <v>300</v>
      </c>
      <c r="G144" s="2" t="s">
        <v>279</v>
      </c>
      <c r="H144" s="2">
        <v>1.18</v>
      </c>
      <c r="I144" s="2">
        <v>0.44</v>
      </c>
      <c r="J144" s="68">
        <v>1135</v>
      </c>
      <c r="K144" s="2" t="s">
        <v>28</v>
      </c>
      <c r="L144" s="2" t="s">
        <v>28</v>
      </c>
      <c r="M144" s="2" t="s">
        <v>28</v>
      </c>
      <c r="N144" s="144"/>
      <c r="O144" s="144"/>
      <c r="Q144" s="3">
        <f>30-2-4-20-2</f>
        <v>2</v>
      </c>
      <c r="R144" s="3">
        <f t="shared" si="45"/>
        <v>2270</v>
      </c>
      <c r="S144" s="2" t="s">
        <v>28</v>
      </c>
      <c r="T144" s="2" t="s">
        <v>28</v>
      </c>
    </row>
    <row r="145" spans="1:20" ht="15.75" customHeight="1" x14ac:dyDescent="0.25">
      <c r="A145" s="76">
        <v>45520</v>
      </c>
      <c r="B145" s="44" t="s">
        <v>304</v>
      </c>
      <c r="D145" s="44" t="s">
        <v>24</v>
      </c>
      <c r="E145" s="84" t="s">
        <v>71</v>
      </c>
      <c r="F145" s="2" t="s">
        <v>305</v>
      </c>
      <c r="G145" s="115" t="s">
        <v>210</v>
      </c>
      <c r="H145" s="2">
        <v>1.88</v>
      </c>
      <c r="I145" s="2">
        <v>1.3</v>
      </c>
      <c r="J145" s="68">
        <v>23.9</v>
      </c>
      <c r="K145" s="2" t="s">
        <v>28</v>
      </c>
      <c r="L145" s="2" t="s">
        <v>28</v>
      </c>
      <c r="M145" s="2" t="s">
        <v>28</v>
      </c>
      <c r="N145" s="144"/>
      <c r="O145" s="144"/>
      <c r="Q145" s="3">
        <f>50-2-4-2</f>
        <v>42</v>
      </c>
      <c r="R145" s="3">
        <f t="shared" si="45"/>
        <v>1003.8</v>
      </c>
      <c r="S145" s="2" t="s">
        <v>28</v>
      </c>
      <c r="T145" s="2" t="s">
        <v>28</v>
      </c>
    </row>
    <row r="146" spans="1:20" ht="15.75" customHeight="1" x14ac:dyDescent="0.25">
      <c r="A146" s="76">
        <v>45517</v>
      </c>
      <c r="B146" s="44" t="s">
        <v>306</v>
      </c>
      <c r="D146" s="44" t="s">
        <v>24</v>
      </c>
      <c r="E146" s="84" t="s">
        <v>71</v>
      </c>
      <c r="F146" s="2" t="s">
        <v>296</v>
      </c>
      <c r="G146" s="2" t="s">
        <v>279</v>
      </c>
      <c r="H146" s="2">
        <v>1.31</v>
      </c>
      <c r="I146" s="2">
        <v>0.45</v>
      </c>
      <c r="J146" s="68">
        <v>28.7</v>
      </c>
      <c r="K146" s="2" t="s">
        <v>28</v>
      </c>
      <c r="L146" s="2" t="s">
        <v>28</v>
      </c>
      <c r="M146" s="2" t="s">
        <v>28</v>
      </c>
      <c r="N146" s="144"/>
      <c r="O146" s="144"/>
      <c r="Q146" s="3">
        <f>30-2-4-20-2</f>
        <v>2</v>
      </c>
      <c r="R146" s="3">
        <f t="shared" si="45"/>
        <v>57.4</v>
      </c>
      <c r="S146" s="2" t="s">
        <v>28</v>
      </c>
      <c r="T146" s="2" t="s">
        <v>28</v>
      </c>
    </row>
    <row r="147" spans="1:20" ht="15.75" customHeight="1" x14ac:dyDescent="0.25">
      <c r="A147" s="76">
        <v>45520</v>
      </c>
      <c r="B147" s="44" t="s">
        <v>307</v>
      </c>
      <c r="D147" s="44" t="s">
        <v>24</v>
      </c>
      <c r="E147" s="84" t="s">
        <v>71</v>
      </c>
      <c r="F147" s="2" t="s">
        <v>308</v>
      </c>
      <c r="G147" s="115" t="s">
        <v>210</v>
      </c>
      <c r="H147" s="2">
        <v>1.88</v>
      </c>
      <c r="I147" s="2">
        <v>0.45</v>
      </c>
      <c r="J147" s="68">
        <v>6.9</v>
      </c>
      <c r="K147" s="2" t="s">
        <v>28</v>
      </c>
      <c r="L147" s="2" t="s">
        <v>28</v>
      </c>
      <c r="M147" s="2" t="s">
        <v>28</v>
      </c>
      <c r="N147" s="144"/>
      <c r="O147" s="144"/>
      <c r="Q147" s="3">
        <f>50-2-4-2</f>
        <v>42</v>
      </c>
      <c r="R147" s="3">
        <f t="shared" si="45"/>
        <v>289.8</v>
      </c>
      <c r="S147" s="2" t="s">
        <v>28</v>
      </c>
      <c r="T147" s="2" t="s">
        <v>28</v>
      </c>
    </row>
    <row r="148" spans="1:20" ht="15.75" customHeight="1" x14ac:dyDescent="0.25">
      <c r="A148" s="76">
        <v>45517</v>
      </c>
      <c r="B148" s="44" t="s">
        <v>309</v>
      </c>
      <c r="D148" s="44" t="s">
        <v>24</v>
      </c>
      <c r="E148" s="84" t="s">
        <v>71</v>
      </c>
      <c r="F148" s="2" t="s">
        <v>296</v>
      </c>
      <c r="G148" s="2" t="s">
        <v>279</v>
      </c>
      <c r="H148" s="2">
        <v>1.33</v>
      </c>
      <c r="I148" s="2">
        <v>0.42</v>
      </c>
      <c r="J148" s="68">
        <v>18</v>
      </c>
      <c r="K148" s="2" t="s">
        <v>28</v>
      </c>
      <c r="L148" s="2" t="s">
        <v>28</v>
      </c>
      <c r="M148" s="2" t="s">
        <v>28</v>
      </c>
      <c r="N148" s="141" t="s">
        <v>108</v>
      </c>
      <c r="O148" s="144"/>
      <c r="Q148" s="3">
        <f>30-2-4-20-2</f>
        <v>2</v>
      </c>
      <c r="R148" s="3">
        <f t="shared" si="45"/>
        <v>36</v>
      </c>
      <c r="S148" s="2" t="s">
        <v>28</v>
      </c>
      <c r="T148" s="2" t="s">
        <v>28</v>
      </c>
    </row>
    <row r="149" spans="1:20" ht="15.75" customHeight="1" x14ac:dyDescent="0.25">
      <c r="A149" s="76">
        <v>45520</v>
      </c>
      <c r="B149" s="44" t="s">
        <v>310</v>
      </c>
      <c r="D149" s="44" t="s">
        <v>24</v>
      </c>
      <c r="E149" s="84" t="s">
        <v>71</v>
      </c>
      <c r="F149" s="2" t="s">
        <v>311</v>
      </c>
      <c r="G149" s="115" t="s">
        <v>210</v>
      </c>
      <c r="H149" s="2">
        <v>1.74</v>
      </c>
      <c r="I149" s="2">
        <v>0.5</v>
      </c>
      <c r="J149" s="68">
        <v>3.3</v>
      </c>
      <c r="K149" s="2" t="s">
        <v>28</v>
      </c>
      <c r="L149" s="2" t="s">
        <v>28</v>
      </c>
      <c r="M149" s="2" t="s">
        <v>28</v>
      </c>
      <c r="N149" s="144"/>
      <c r="O149" s="144"/>
      <c r="Q149" s="3">
        <f>50-2-4-2</f>
        <v>42</v>
      </c>
      <c r="R149" s="3">
        <f t="shared" si="45"/>
        <v>138.6</v>
      </c>
      <c r="S149" s="2" t="s">
        <v>28</v>
      </c>
      <c r="T149" s="2" t="s">
        <v>28</v>
      </c>
    </row>
    <row r="150" spans="1:20" ht="15.75" customHeight="1" x14ac:dyDescent="0.25">
      <c r="A150" s="76">
        <v>45517</v>
      </c>
      <c r="B150" s="44" t="s">
        <v>312</v>
      </c>
      <c r="D150" s="44" t="s">
        <v>24</v>
      </c>
      <c r="E150" s="84" t="s">
        <v>71</v>
      </c>
      <c r="F150" s="2" t="s">
        <v>313</v>
      </c>
      <c r="G150" s="2" t="s">
        <v>279</v>
      </c>
      <c r="H150" s="2">
        <v>1.29</v>
      </c>
      <c r="I150" s="2">
        <v>0.56999999999999995</v>
      </c>
      <c r="J150" s="68">
        <v>739.4</v>
      </c>
      <c r="K150" s="2" t="s">
        <v>28</v>
      </c>
      <c r="L150" s="2" t="s">
        <v>28</v>
      </c>
      <c r="M150" s="2" t="s">
        <v>28</v>
      </c>
      <c r="N150" s="144"/>
      <c r="O150" s="144"/>
      <c r="Q150" s="3">
        <f>30-2-4-20-2</f>
        <v>2</v>
      </c>
      <c r="R150" s="3">
        <f t="shared" si="45"/>
        <v>1478.8</v>
      </c>
      <c r="S150" s="2" t="s">
        <v>28</v>
      </c>
      <c r="T150" s="2" t="s">
        <v>28</v>
      </c>
    </row>
    <row r="151" spans="1:20" ht="15.75" customHeight="1" x14ac:dyDescent="0.25">
      <c r="A151" s="77">
        <v>45520</v>
      </c>
      <c r="B151" s="70" t="s">
        <v>314</v>
      </c>
      <c r="C151" s="78"/>
      <c r="D151" s="70" t="s">
        <v>24</v>
      </c>
      <c r="E151" s="85" t="s">
        <v>71</v>
      </c>
      <c r="F151" s="73" t="s">
        <v>315</v>
      </c>
      <c r="G151" s="94" t="s">
        <v>210</v>
      </c>
      <c r="H151" s="73">
        <v>1.74</v>
      </c>
      <c r="I151" s="73">
        <v>0.38</v>
      </c>
      <c r="J151" s="74">
        <v>10.7</v>
      </c>
      <c r="K151" s="73" t="s">
        <v>28</v>
      </c>
      <c r="L151" s="73" t="s">
        <v>28</v>
      </c>
      <c r="M151" s="73" t="s">
        <v>28</v>
      </c>
      <c r="N151" s="142"/>
      <c r="O151" s="142"/>
      <c r="P151" s="78"/>
      <c r="Q151" s="75">
        <f>50-2-4-2</f>
        <v>42</v>
      </c>
      <c r="R151" s="75">
        <f t="shared" si="45"/>
        <v>449.4</v>
      </c>
      <c r="S151" s="73" t="s">
        <v>28</v>
      </c>
      <c r="T151" s="73" t="s">
        <v>28</v>
      </c>
    </row>
    <row r="152" spans="1:20" ht="15.75" customHeight="1" x14ac:dyDescent="0.25">
      <c r="A152" s="76">
        <v>45523</v>
      </c>
      <c r="B152" s="102" t="s">
        <v>316</v>
      </c>
      <c r="D152" s="44" t="s">
        <v>24</v>
      </c>
      <c r="E152" s="84" t="s">
        <v>71</v>
      </c>
      <c r="F152" s="2" t="s">
        <v>317</v>
      </c>
      <c r="G152" s="115" t="s">
        <v>318</v>
      </c>
      <c r="H152" s="2">
        <v>1.49</v>
      </c>
      <c r="I152" s="2">
        <v>0.34</v>
      </c>
      <c r="J152" s="68">
        <v>-60.9</v>
      </c>
      <c r="K152" s="2" t="s">
        <v>28</v>
      </c>
      <c r="L152" s="2" t="s">
        <v>28</v>
      </c>
      <c r="M152" s="2" t="s">
        <v>28</v>
      </c>
      <c r="N152" s="146" t="s">
        <v>319</v>
      </c>
      <c r="O152" s="143" t="s">
        <v>82</v>
      </c>
      <c r="Q152" s="3">
        <f t="shared" ref="Q152:Q153" si="46">30-2-4</f>
        <v>24</v>
      </c>
      <c r="R152" s="3">
        <f t="shared" si="45"/>
        <v>-1461.6</v>
      </c>
      <c r="S152" s="2"/>
      <c r="T152" s="2"/>
    </row>
    <row r="153" spans="1:20" ht="15.75" customHeight="1" x14ac:dyDescent="0.25">
      <c r="A153" s="76">
        <v>45523</v>
      </c>
      <c r="B153" s="102" t="s">
        <v>320</v>
      </c>
      <c r="D153" s="44" t="s">
        <v>24</v>
      </c>
      <c r="E153" s="84" t="s">
        <v>71</v>
      </c>
      <c r="F153" s="2" t="s">
        <v>321</v>
      </c>
      <c r="G153" s="115" t="s">
        <v>322</v>
      </c>
      <c r="H153" s="2">
        <v>1.48</v>
      </c>
      <c r="I153" s="2">
        <v>0.34</v>
      </c>
      <c r="J153" s="110">
        <v>-61</v>
      </c>
      <c r="K153" s="2" t="s">
        <v>28</v>
      </c>
      <c r="L153" s="2" t="s">
        <v>28</v>
      </c>
      <c r="M153" s="2" t="s">
        <v>28</v>
      </c>
      <c r="N153" s="144"/>
      <c r="O153" s="144"/>
      <c r="Q153" s="3">
        <f t="shared" si="46"/>
        <v>24</v>
      </c>
      <c r="R153" s="3">
        <f t="shared" si="45"/>
        <v>-1464</v>
      </c>
      <c r="S153" s="2"/>
      <c r="T153" s="2"/>
    </row>
    <row r="154" spans="1:20" ht="15.75" customHeight="1" x14ac:dyDescent="0.25">
      <c r="A154" s="77">
        <v>45523</v>
      </c>
      <c r="B154" s="103" t="s">
        <v>323</v>
      </c>
      <c r="C154" s="78"/>
      <c r="D154" s="70" t="s">
        <v>24</v>
      </c>
      <c r="E154" s="85" t="s">
        <v>71</v>
      </c>
      <c r="F154" s="73" t="s">
        <v>324</v>
      </c>
      <c r="G154" s="94" t="s">
        <v>325</v>
      </c>
      <c r="H154" s="73">
        <v>2.97</v>
      </c>
      <c r="I154" s="73">
        <v>0.13</v>
      </c>
      <c r="J154" s="74">
        <v>4.3</v>
      </c>
      <c r="K154" s="73" t="s">
        <v>28</v>
      </c>
      <c r="L154" s="73" t="s">
        <v>28</v>
      </c>
      <c r="M154" s="73" t="s">
        <v>28</v>
      </c>
      <c r="N154" s="116" t="s">
        <v>28</v>
      </c>
      <c r="O154" s="117" t="s">
        <v>28</v>
      </c>
      <c r="P154" s="78"/>
      <c r="Q154" s="75">
        <f>50-2</f>
        <v>48</v>
      </c>
      <c r="R154" s="75">
        <f t="shared" si="45"/>
        <v>206.39999999999998</v>
      </c>
      <c r="S154" s="73"/>
      <c r="T154" s="73"/>
    </row>
    <row r="155" spans="1:20" ht="15.75" customHeight="1" x14ac:dyDescent="0.25">
      <c r="A155" s="76">
        <v>45530</v>
      </c>
      <c r="B155" s="44" t="s">
        <v>326</v>
      </c>
      <c r="D155" s="44" t="s">
        <v>24</v>
      </c>
      <c r="E155" s="16" t="s">
        <v>25</v>
      </c>
      <c r="F155" s="2" t="s">
        <v>327</v>
      </c>
      <c r="G155" s="68" t="s">
        <v>328</v>
      </c>
      <c r="H155" s="2">
        <v>1.88</v>
      </c>
      <c r="I155" s="2">
        <v>1.63</v>
      </c>
      <c r="J155" s="68">
        <v>43.7</v>
      </c>
      <c r="K155" s="2" t="s">
        <v>28</v>
      </c>
      <c r="L155" s="2" t="s">
        <v>28</v>
      </c>
      <c r="M155" s="2" t="s">
        <v>28</v>
      </c>
      <c r="N155" s="145" t="s">
        <v>319</v>
      </c>
      <c r="O155" s="143" t="s">
        <v>82</v>
      </c>
      <c r="Q155" s="3">
        <f t="shared" ref="Q155:Q156" si="47">100-2-4-94</f>
        <v>0</v>
      </c>
      <c r="R155" s="3">
        <f t="shared" si="45"/>
        <v>0</v>
      </c>
      <c r="S155" s="3"/>
    </row>
    <row r="156" spans="1:20" ht="15.75" customHeight="1" x14ac:dyDescent="0.25">
      <c r="A156" s="77">
        <v>45530</v>
      </c>
      <c r="B156" s="70" t="s">
        <v>329</v>
      </c>
      <c r="C156" s="78"/>
      <c r="D156" s="70" t="s">
        <v>24</v>
      </c>
      <c r="E156" s="28" t="s">
        <v>25</v>
      </c>
      <c r="F156" s="73" t="s">
        <v>330</v>
      </c>
      <c r="G156" s="2" t="s">
        <v>328</v>
      </c>
      <c r="H156" s="73">
        <v>1.91</v>
      </c>
      <c r="I156" s="73">
        <v>1.94</v>
      </c>
      <c r="J156" s="74">
        <v>37.1</v>
      </c>
      <c r="K156" s="73" t="s">
        <v>28</v>
      </c>
      <c r="L156" s="73" t="s">
        <v>28</v>
      </c>
      <c r="M156" s="73" t="s">
        <v>28</v>
      </c>
      <c r="N156" s="144"/>
      <c r="O156" s="144"/>
      <c r="P156" s="78"/>
      <c r="Q156" s="75">
        <f t="shared" si="47"/>
        <v>0</v>
      </c>
      <c r="R156" s="75">
        <f t="shared" si="45"/>
        <v>0</v>
      </c>
      <c r="S156" s="75"/>
      <c r="T156" s="78"/>
    </row>
    <row r="157" spans="1:20" ht="15.75" customHeight="1" x14ac:dyDescent="0.25">
      <c r="A157" s="76">
        <v>45533</v>
      </c>
      <c r="B157" s="44" t="s">
        <v>331</v>
      </c>
      <c r="D157" s="44" t="s">
        <v>24</v>
      </c>
      <c r="E157" s="16" t="s">
        <v>25</v>
      </c>
      <c r="F157" s="2" t="s">
        <v>327</v>
      </c>
      <c r="G157" s="81" t="s">
        <v>270</v>
      </c>
      <c r="H157" s="2">
        <v>1.63</v>
      </c>
      <c r="I157" s="2">
        <v>0.47</v>
      </c>
      <c r="J157" s="68">
        <v>77</v>
      </c>
      <c r="K157" s="2" t="s">
        <v>28</v>
      </c>
      <c r="L157" s="2" t="s">
        <v>28</v>
      </c>
      <c r="M157" s="2" t="s">
        <v>28</v>
      </c>
      <c r="N157" s="144"/>
      <c r="O157" s="144"/>
      <c r="Q157" s="3">
        <f t="shared" ref="Q157:Q158" si="48">100-2-4</f>
        <v>94</v>
      </c>
      <c r="R157" s="3">
        <f t="shared" si="45"/>
        <v>7238</v>
      </c>
      <c r="S157" s="3"/>
    </row>
    <row r="158" spans="1:20" ht="15.75" customHeight="1" x14ac:dyDescent="0.25">
      <c r="A158" s="77">
        <v>45533</v>
      </c>
      <c r="B158" s="70" t="s">
        <v>332</v>
      </c>
      <c r="C158" s="78"/>
      <c r="D158" s="70" t="s">
        <v>24</v>
      </c>
      <c r="E158" s="28" t="s">
        <v>25</v>
      </c>
      <c r="F158" s="73" t="s">
        <v>330</v>
      </c>
      <c r="G158" s="73" t="s">
        <v>270</v>
      </c>
      <c r="H158" s="73">
        <v>1.31</v>
      </c>
      <c r="I158" s="73">
        <v>0.27</v>
      </c>
      <c r="J158" s="74">
        <v>-32.700000000000003</v>
      </c>
      <c r="K158" s="2" t="s">
        <v>28</v>
      </c>
      <c r="L158" s="2" t="s">
        <v>28</v>
      </c>
      <c r="M158" s="2" t="s">
        <v>28</v>
      </c>
      <c r="N158" s="142"/>
      <c r="O158" s="142"/>
      <c r="P158" s="78"/>
      <c r="Q158" s="75">
        <f t="shared" si="48"/>
        <v>94</v>
      </c>
      <c r="R158" s="75">
        <f t="shared" si="45"/>
        <v>-3073.8</v>
      </c>
      <c r="S158" s="75"/>
      <c r="T158" s="78"/>
    </row>
    <row r="159" spans="1:20" ht="15.75" customHeight="1" x14ac:dyDescent="0.25">
      <c r="A159" s="76">
        <v>45540</v>
      </c>
      <c r="B159" s="102" t="s">
        <v>333</v>
      </c>
      <c r="D159" s="44" t="s">
        <v>24</v>
      </c>
      <c r="E159" s="37" t="s">
        <v>48</v>
      </c>
      <c r="F159" s="68" t="s">
        <v>334</v>
      </c>
      <c r="G159" s="2" t="s">
        <v>325</v>
      </c>
      <c r="H159" s="2">
        <v>2.29</v>
      </c>
      <c r="I159" s="2">
        <v>0.27</v>
      </c>
      <c r="J159" s="68">
        <v>9.8000000000000007</v>
      </c>
      <c r="K159" s="81" t="s">
        <v>28</v>
      </c>
      <c r="L159" s="81" t="s">
        <v>28</v>
      </c>
      <c r="M159" s="81" t="s">
        <v>28</v>
      </c>
      <c r="N159" s="141" t="s">
        <v>335</v>
      </c>
      <c r="O159" s="143" t="s">
        <v>82</v>
      </c>
      <c r="Q159" s="3">
        <f t="shared" ref="Q159:Q160" si="49">10-2-4</f>
        <v>4</v>
      </c>
      <c r="R159" s="3">
        <f t="shared" si="45"/>
        <v>39.200000000000003</v>
      </c>
      <c r="S159" s="3"/>
    </row>
    <row r="160" spans="1:20" ht="15.75" customHeight="1" x14ac:dyDescent="0.25">
      <c r="A160" s="77">
        <v>45540</v>
      </c>
      <c r="B160" s="103" t="s">
        <v>336</v>
      </c>
      <c r="C160" s="78"/>
      <c r="D160" s="70" t="s">
        <v>24</v>
      </c>
      <c r="E160" s="40" t="s">
        <v>48</v>
      </c>
      <c r="F160" s="74" t="s">
        <v>337</v>
      </c>
      <c r="G160" s="73" t="s">
        <v>325</v>
      </c>
      <c r="H160" s="73">
        <v>2.2200000000000002</v>
      </c>
      <c r="I160" s="73">
        <v>0.99</v>
      </c>
      <c r="J160" s="74">
        <v>10.8</v>
      </c>
      <c r="K160" s="73" t="s">
        <v>28</v>
      </c>
      <c r="L160" s="73" t="s">
        <v>28</v>
      </c>
      <c r="M160" s="73" t="s">
        <v>28</v>
      </c>
      <c r="N160" s="142"/>
      <c r="O160" s="142"/>
      <c r="P160" s="78"/>
      <c r="Q160" s="75">
        <f t="shared" si="49"/>
        <v>4</v>
      </c>
      <c r="R160" s="75">
        <f t="shared" si="45"/>
        <v>43.2</v>
      </c>
      <c r="S160" s="75"/>
      <c r="T160" s="78"/>
    </row>
    <row r="161" spans="1:20" ht="15.75" customHeight="1" x14ac:dyDescent="0.25">
      <c r="A161" s="76">
        <v>45541</v>
      </c>
      <c r="B161" s="44" t="s">
        <v>338</v>
      </c>
      <c r="D161" s="44" t="s">
        <v>24</v>
      </c>
      <c r="E161" s="16" t="s">
        <v>25</v>
      </c>
      <c r="F161" s="2" t="s">
        <v>339</v>
      </c>
      <c r="G161" s="2" t="s">
        <v>328</v>
      </c>
      <c r="H161" s="2">
        <v>1.83</v>
      </c>
      <c r="I161" s="2">
        <v>0.83</v>
      </c>
      <c r="J161" s="68">
        <v>46.2</v>
      </c>
      <c r="K161" s="2">
        <v>32</v>
      </c>
      <c r="L161" s="2" t="s">
        <v>28</v>
      </c>
      <c r="M161" s="2" t="s">
        <v>28</v>
      </c>
      <c r="N161" s="141" t="s">
        <v>340</v>
      </c>
      <c r="O161" s="143" t="s">
        <v>82</v>
      </c>
      <c r="Q161" s="3">
        <f t="shared" ref="Q161:Q162" si="50">100-2-4-1-1</f>
        <v>92</v>
      </c>
      <c r="R161" s="118">
        <f t="shared" ref="R161:R162" si="51">Q161*J161</f>
        <v>4250.4000000000005</v>
      </c>
      <c r="S161" s="3">
        <f t="shared" ref="S161:S162" si="52">Q161*K161</f>
        <v>2944</v>
      </c>
    </row>
    <row r="162" spans="1:20" ht="15.75" customHeight="1" x14ac:dyDescent="0.25">
      <c r="A162" s="76">
        <v>45541</v>
      </c>
      <c r="B162" s="44" t="s">
        <v>341</v>
      </c>
      <c r="D162" s="44" t="s">
        <v>24</v>
      </c>
      <c r="E162" s="16" t="s">
        <v>25</v>
      </c>
      <c r="F162" s="2" t="s">
        <v>339</v>
      </c>
      <c r="G162" s="2" t="s">
        <v>328</v>
      </c>
      <c r="H162" s="2">
        <v>1.86</v>
      </c>
      <c r="I162" s="2">
        <v>1.07</v>
      </c>
      <c r="J162" s="68">
        <v>53.2</v>
      </c>
      <c r="K162" s="2">
        <v>41.2</v>
      </c>
      <c r="L162" s="2" t="s">
        <v>28</v>
      </c>
      <c r="M162" s="2" t="s">
        <v>28</v>
      </c>
      <c r="N162" s="144"/>
      <c r="O162" s="144"/>
      <c r="Q162" s="3">
        <f t="shared" si="50"/>
        <v>92</v>
      </c>
      <c r="R162" s="119">
        <f t="shared" si="51"/>
        <v>4894.4000000000005</v>
      </c>
      <c r="S162" s="3">
        <f t="shared" si="52"/>
        <v>3790.4</v>
      </c>
    </row>
    <row r="163" spans="1:20" ht="15.75" customHeight="1" x14ac:dyDescent="0.25">
      <c r="A163" s="76">
        <v>45541</v>
      </c>
      <c r="B163" s="44" t="s">
        <v>342</v>
      </c>
      <c r="D163" s="44" t="s">
        <v>24</v>
      </c>
      <c r="E163" s="16" t="s">
        <v>25</v>
      </c>
      <c r="F163" s="2" t="s">
        <v>343</v>
      </c>
      <c r="G163" s="2" t="s">
        <v>28</v>
      </c>
      <c r="H163" s="2">
        <v>1.84</v>
      </c>
      <c r="I163" s="2">
        <v>0.92</v>
      </c>
      <c r="J163" s="68">
        <v>51.7</v>
      </c>
      <c r="K163" s="2" t="s">
        <v>28</v>
      </c>
      <c r="L163" s="2" t="s">
        <v>28</v>
      </c>
      <c r="M163" s="2" t="s">
        <v>28</v>
      </c>
      <c r="N163" s="144"/>
      <c r="O163" s="144"/>
      <c r="Q163" s="2" t="s">
        <v>28</v>
      </c>
      <c r="R163" s="2" t="s">
        <v>28</v>
      </c>
      <c r="S163" s="2" t="s">
        <v>28</v>
      </c>
    </row>
    <row r="164" spans="1:20" ht="15.75" customHeight="1" x14ac:dyDescent="0.25">
      <c r="A164" s="76">
        <v>45541</v>
      </c>
      <c r="B164" s="44" t="s">
        <v>344</v>
      </c>
      <c r="D164" s="44" t="s">
        <v>24</v>
      </c>
      <c r="E164" s="16" t="s">
        <v>25</v>
      </c>
      <c r="F164" s="2" t="s">
        <v>345</v>
      </c>
      <c r="G164" s="2" t="s">
        <v>328</v>
      </c>
      <c r="H164" s="2">
        <v>1.65</v>
      </c>
      <c r="I164" s="2">
        <v>0.76</v>
      </c>
      <c r="J164" s="68">
        <v>46.6</v>
      </c>
      <c r="K164" s="2">
        <v>32.799999999999997</v>
      </c>
      <c r="L164" s="2" t="s">
        <v>28</v>
      </c>
      <c r="M164" s="2" t="s">
        <v>28</v>
      </c>
      <c r="N164" s="144"/>
      <c r="O164" s="144"/>
      <c r="Q164" s="3">
        <f t="shared" ref="Q164:Q165" si="53">100-2-4-1-1</f>
        <v>92</v>
      </c>
      <c r="R164" s="120">
        <f t="shared" ref="R164:R165" si="54">Q164*J164</f>
        <v>4287.2</v>
      </c>
      <c r="S164" s="3">
        <f t="shared" ref="S164:S165" si="55">Q164*K164</f>
        <v>3017.6</v>
      </c>
    </row>
    <row r="165" spans="1:20" ht="15.75" customHeight="1" x14ac:dyDescent="0.25">
      <c r="A165" s="76">
        <v>45541</v>
      </c>
      <c r="B165" s="44" t="s">
        <v>346</v>
      </c>
      <c r="D165" s="44" t="s">
        <v>24</v>
      </c>
      <c r="E165" s="16" t="s">
        <v>25</v>
      </c>
      <c r="F165" s="2" t="s">
        <v>345</v>
      </c>
      <c r="G165" s="2" t="s">
        <v>328</v>
      </c>
      <c r="H165" s="2">
        <v>1.92</v>
      </c>
      <c r="I165" s="2">
        <v>1.5</v>
      </c>
      <c r="J165" s="68">
        <v>43.8</v>
      </c>
      <c r="K165" s="2">
        <v>36.6</v>
      </c>
      <c r="L165" s="2" t="s">
        <v>28</v>
      </c>
      <c r="M165" s="2" t="s">
        <v>28</v>
      </c>
      <c r="N165" s="144"/>
      <c r="O165" s="144"/>
      <c r="Q165" s="3">
        <f t="shared" si="53"/>
        <v>92</v>
      </c>
      <c r="R165" s="121">
        <f t="shared" si="54"/>
        <v>4029.6</v>
      </c>
      <c r="S165" s="3">
        <f t="shared" si="55"/>
        <v>3367.2000000000003</v>
      </c>
    </row>
    <row r="166" spans="1:20" ht="15.75" customHeight="1" x14ac:dyDescent="0.25">
      <c r="A166" s="77">
        <v>45541</v>
      </c>
      <c r="B166" s="70" t="s">
        <v>347</v>
      </c>
      <c r="C166" s="78"/>
      <c r="D166" s="70" t="s">
        <v>24</v>
      </c>
      <c r="E166" s="122" t="s">
        <v>25</v>
      </c>
      <c r="F166" s="73" t="s">
        <v>348</v>
      </c>
      <c r="G166" s="73" t="s">
        <v>28</v>
      </c>
      <c r="H166" s="73">
        <v>1.83</v>
      </c>
      <c r="I166" s="73">
        <v>1.06</v>
      </c>
      <c r="J166" s="74">
        <v>45</v>
      </c>
      <c r="K166" s="73" t="s">
        <v>28</v>
      </c>
      <c r="L166" s="73" t="s">
        <v>28</v>
      </c>
      <c r="M166" s="73" t="s">
        <v>28</v>
      </c>
      <c r="N166" s="142"/>
      <c r="O166" s="142"/>
      <c r="P166" s="78"/>
      <c r="Q166" s="73" t="s">
        <v>28</v>
      </c>
      <c r="R166" s="73" t="s">
        <v>28</v>
      </c>
      <c r="S166" s="73" t="s">
        <v>28</v>
      </c>
      <c r="T166" s="78"/>
    </row>
    <row r="167" spans="1:20" ht="15.75" customHeight="1" x14ac:dyDescent="0.25">
      <c r="A167" s="76">
        <v>45545</v>
      </c>
      <c r="B167" s="102" t="s">
        <v>349</v>
      </c>
      <c r="D167" s="44" t="s">
        <v>24</v>
      </c>
      <c r="E167" s="16" t="s">
        <v>25</v>
      </c>
      <c r="F167" s="2" t="s">
        <v>350</v>
      </c>
      <c r="G167" s="2" t="s">
        <v>351</v>
      </c>
      <c r="H167" s="2">
        <v>1.87</v>
      </c>
      <c r="I167" s="2">
        <v>2.09</v>
      </c>
      <c r="J167" s="68">
        <v>94.6</v>
      </c>
      <c r="K167" s="2" t="s">
        <v>28</v>
      </c>
      <c r="L167" s="2" t="s">
        <v>28</v>
      </c>
      <c r="M167" s="2" t="s">
        <v>28</v>
      </c>
      <c r="N167" s="145" t="s">
        <v>352</v>
      </c>
      <c r="O167" s="143" t="s">
        <v>82</v>
      </c>
      <c r="Q167" s="3">
        <f t="shared" ref="Q167:Q170" si="56">25-2-4</f>
        <v>19</v>
      </c>
      <c r="R167" s="118">
        <f t="shared" ref="R167:R178" si="57">Q167*J167</f>
        <v>1797.3999999999999</v>
      </c>
      <c r="S167" s="3"/>
    </row>
    <row r="168" spans="1:20" ht="15.75" customHeight="1" x14ac:dyDescent="0.25">
      <c r="A168" s="76">
        <v>45545</v>
      </c>
      <c r="B168" s="102" t="s">
        <v>353</v>
      </c>
      <c r="D168" s="44" t="s">
        <v>24</v>
      </c>
      <c r="E168" s="16" t="s">
        <v>25</v>
      </c>
      <c r="F168" s="2" t="s">
        <v>354</v>
      </c>
      <c r="G168" s="2" t="s">
        <v>351</v>
      </c>
      <c r="H168" s="2">
        <v>1.94</v>
      </c>
      <c r="I168" s="2">
        <v>1.64</v>
      </c>
      <c r="J168" s="68">
        <v>22</v>
      </c>
      <c r="K168" s="2" t="s">
        <v>28</v>
      </c>
      <c r="L168" s="2" t="s">
        <v>28</v>
      </c>
      <c r="M168" s="2" t="s">
        <v>28</v>
      </c>
      <c r="N168" s="144"/>
      <c r="O168" s="144"/>
      <c r="Q168" s="3">
        <f t="shared" si="56"/>
        <v>19</v>
      </c>
      <c r="R168" s="119">
        <f t="shared" si="57"/>
        <v>418</v>
      </c>
      <c r="S168" s="3"/>
    </row>
    <row r="169" spans="1:20" ht="15.75" customHeight="1" x14ac:dyDescent="0.25">
      <c r="A169" s="76">
        <v>45545</v>
      </c>
      <c r="B169" s="102" t="s">
        <v>355</v>
      </c>
      <c r="D169" s="44" t="s">
        <v>24</v>
      </c>
      <c r="E169" s="16" t="s">
        <v>25</v>
      </c>
      <c r="F169" s="2" t="s">
        <v>356</v>
      </c>
      <c r="G169" s="2" t="s">
        <v>351</v>
      </c>
      <c r="H169" s="2">
        <v>1.88</v>
      </c>
      <c r="I169" s="2">
        <v>2.06</v>
      </c>
      <c r="J169" s="68">
        <v>97.9</v>
      </c>
      <c r="K169" s="2" t="s">
        <v>28</v>
      </c>
      <c r="L169" s="2" t="s">
        <v>28</v>
      </c>
      <c r="M169" s="2" t="s">
        <v>28</v>
      </c>
      <c r="N169" s="144"/>
      <c r="O169" s="144"/>
      <c r="Q169" s="3">
        <f t="shared" si="56"/>
        <v>19</v>
      </c>
      <c r="R169" s="120">
        <f t="shared" si="57"/>
        <v>1860.1000000000001</v>
      </c>
      <c r="S169" s="3"/>
    </row>
    <row r="170" spans="1:20" ht="15.75" customHeight="1" x14ac:dyDescent="0.25">
      <c r="A170" s="77">
        <v>45545</v>
      </c>
      <c r="B170" s="103" t="s">
        <v>357</v>
      </c>
      <c r="C170" s="78"/>
      <c r="D170" s="70" t="s">
        <v>24</v>
      </c>
      <c r="E170" s="122" t="s">
        <v>25</v>
      </c>
      <c r="F170" s="73" t="s">
        <v>358</v>
      </c>
      <c r="G170" s="73" t="s">
        <v>351</v>
      </c>
      <c r="H170" s="73">
        <v>2.08</v>
      </c>
      <c r="I170" s="73">
        <v>1.94</v>
      </c>
      <c r="J170" s="74">
        <v>23.4</v>
      </c>
      <c r="K170" s="73" t="s">
        <v>28</v>
      </c>
      <c r="L170" s="73" t="s">
        <v>28</v>
      </c>
      <c r="M170" s="73" t="s">
        <v>28</v>
      </c>
      <c r="N170" s="144"/>
      <c r="O170" s="144"/>
      <c r="P170" s="78"/>
      <c r="Q170" s="75">
        <f t="shared" si="56"/>
        <v>19</v>
      </c>
      <c r="R170" s="123">
        <f t="shared" si="57"/>
        <v>444.59999999999997</v>
      </c>
      <c r="S170" s="75"/>
      <c r="T170" s="78"/>
    </row>
    <row r="171" spans="1:20" ht="15.75" customHeight="1" x14ac:dyDescent="0.25">
      <c r="A171" s="76">
        <v>45545</v>
      </c>
      <c r="B171" s="44" t="s">
        <v>359</v>
      </c>
      <c r="D171" s="44" t="s">
        <v>24</v>
      </c>
      <c r="E171" s="16" t="s">
        <v>25</v>
      </c>
      <c r="F171" s="2" t="s">
        <v>360</v>
      </c>
      <c r="G171" s="2" t="s">
        <v>328</v>
      </c>
      <c r="H171" s="2">
        <v>1.9</v>
      </c>
      <c r="I171" s="2">
        <v>0.64</v>
      </c>
      <c r="J171" s="68">
        <v>15.3</v>
      </c>
      <c r="K171" s="2" t="s">
        <v>28</v>
      </c>
      <c r="L171" s="2" t="s">
        <v>28</v>
      </c>
      <c r="M171" s="2" t="s">
        <v>28</v>
      </c>
      <c r="N171" s="144"/>
      <c r="O171" s="144"/>
      <c r="Q171" s="3">
        <f>50-2-4</f>
        <v>44</v>
      </c>
      <c r="R171" s="3">
        <f t="shared" si="57"/>
        <v>673.2</v>
      </c>
      <c r="S171" s="3"/>
    </row>
    <row r="172" spans="1:20" ht="15.75" customHeight="1" x14ac:dyDescent="0.25">
      <c r="A172" s="76">
        <v>45545</v>
      </c>
      <c r="B172" s="44" t="s">
        <v>361</v>
      </c>
      <c r="D172" s="44" t="s">
        <v>24</v>
      </c>
      <c r="E172" s="16" t="s">
        <v>25</v>
      </c>
      <c r="F172" s="2" t="s">
        <v>360</v>
      </c>
      <c r="G172" s="2" t="s">
        <v>328</v>
      </c>
      <c r="H172" s="2">
        <v>1.17</v>
      </c>
      <c r="I172" s="2">
        <v>0.25</v>
      </c>
      <c r="J172" s="68">
        <v>95</v>
      </c>
      <c r="K172" s="2" t="s">
        <v>28</v>
      </c>
      <c r="L172" s="2" t="s">
        <v>28</v>
      </c>
      <c r="M172" s="2" t="s">
        <v>28</v>
      </c>
      <c r="N172" s="144"/>
      <c r="O172" s="144"/>
      <c r="Q172" s="3">
        <f>50-2-4-44</f>
        <v>0</v>
      </c>
      <c r="R172" s="3">
        <f t="shared" si="57"/>
        <v>0</v>
      </c>
      <c r="S172" s="3"/>
    </row>
    <row r="173" spans="1:20" ht="15.75" customHeight="1" x14ac:dyDescent="0.25">
      <c r="A173" s="76">
        <v>45545</v>
      </c>
      <c r="B173" s="44" t="s">
        <v>362</v>
      </c>
      <c r="D173" s="44" t="s">
        <v>24</v>
      </c>
      <c r="E173" s="16" t="s">
        <v>25</v>
      </c>
      <c r="F173" s="2" t="s">
        <v>360</v>
      </c>
      <c r="G173" s="2" t="s">
        <v>328</v>
      </c>
      <c r="H173" s="2">
        <v>1.82</v>
      </c>
      <c r="I173" s="2">
        <v>0.76</v>
      </c>
      <c r="J173" s="68">
        <v>19.600000000000001</v>
      </c>
      <c r="K173" s="2" t="s">
        <v>28</v>
      </c>
      <c r="L173" s="2" t="s">
        <v>28</v>
      </c>
      <c r="M173" s="2" t="s">
        <v>28</v>
      </c>
      <c r="N173" s="144"/>
      <c r="O173" s="144"/>
      <c r="Q173" s="3">
        <f t="shared" ref="Q173:Q178" si="58">50-2-4</f>
        <v>44</v>
      </c>
      <c r="R173" s="3">
        <f t="shared" si="57"/>
        <v>862.40000000000009</v>
      </c>
      <c r="S173" s="3"/>
    </row>
    <row r="174" spans="1:20" ht="15.75" customHeight="1" x14ac:dyDescent="0.25">
      <c r="A174" s="76">
        <v>45545</v>
      </c>
      <c r="B174" s="44" t="s">
        <v>363</v>
      </c>
      <c r="D174" s="44" t="s">
        <v>24</v>
      </c>
      <c r="E174" s="16" t="s">
        <v>25</v>
      </c>
      <c r="F174" s="2" t="s">
        <v>360</v>
      </c>
      <c r="G174" s="2" t="s">
        <v>328</v>
      </c>
      <c r="H174" s="2">
        <v>2.2799999999999998</v>
      </c>
      <c r="I174" s="2">
        <v>1.19</v>
      </c>
      <c r="J174" s="68">
        <v>10.4</v>
      </c>
      <c r="K174" s="2" t="s">
        <v>28</v>
      </c>
      <c r="L174" s="2" t="s">
        <v>28</v>
      </c>
      <c r="M174" s="2" t="s">
        <v>28</v>
      </c>
      <c r="N174" s="144"/>
      <c r="O174" s="144"/>
      <c r="Q174" s="3">
        <f t="shared" si="58"/>
        <v>44</v>
      </c>
      <c r="R174" s="3">
        <f t="shared" si="57"/>
        <v>457.6</v>
      </c>
      <c r="S174" s="3"/>
    </row>
    <row r="175" spans="1:20" ht="15.75" customHeight="1" x14ac:dyDescent="0.25">
      <c r="A175" s="76">
        <v>45545</v>
      </c>
      <c r="B175" s="44" t="s">
        <v>364</v>
      </c>
      <c r="D175" s="44" t="s">
        <v>24</v>
      </c>
      <c r="E175" s="16" t="s">
        <v>25</v>
      </c>
      <c r="F175" s="2" t="s">
        <v>365</v>
      </c>
      <c r="G175" s="2" t="s">
        <v>328</v>
      </c>
      <c r="H175" s="2">
        <v>2.23</v>
      </c>
      <c r="I175" s="2">
        <v>1.0900000000000001</v>
      </c>
      <c r="J175" s="68">
        <v>15.8</v>
      </c>
      <c r="K175" s="2" t="s">
        <v>28</v>
      </c>
      <c r="L175" s="2" t="s">
        <v>28</v>
      </c>
      <c r="M175" s="2" t="s">
        <v>28</v>
      </c>
      <c r="N175" s="144"/>
      <c r="O175" s="144"/>
      <c r="Q175" s="3">
        <f t="shared" si="58"/>
        <v>44</v>
      </c>
      <c r="R175" s="3">
        <f t="shared" si="57"/>
        <v>695.2</v>
      </c>
      <c r="S175" s="3"/>
    </row>
    <row r="176" spans="1:20" ht="15.75" customHeight="1" x14ac:dyDescent="0.25">
      <c r="A176" s="76">
        <v>45545</v>
      </c>
      <c r="B176" s="44" t="s">
        <v>366</v>
      </c>
      <c r="D176" s="44" t="s">
        <v>24</v>
      </c>
      <c r="E176" s="16" t="s">
        <v>25</v>
      </c>
      <c r="F176" s="2" t="s">
        <v>365</v>
      </c>
      <c r="G176" s="2" t="s">
        <v>328</v>
      </c>
      <c r="H176" s="2">
        <v>2.0499999999999998</v>
      </c>
      <c r="I176" s="2">
        <v>1.1499999999999999</v>
      </c>
      <c r="J176" s="68">
        <v>12.3</v>
      </c>
      <c r="K176" s="2" t="s">
        <v>28</v>
      </c>
      <c r="L176" s="2" t="s">
        <v>28</v>
      </c>
      <c r="M176" s="2" t="s">
        <v>28</v>
      </c>
      <c r="N176" s="144"/>
      <c r="O176" s="144"/>
      <c r="Q176" s="3">
        <f t="shared" si="58"/>
        <v>44</v>
      </c>
      <c r="R176" s="3">
        <f t="shared" si="57"/>
        <v>541.20000000000005</v>
      </c>
      <c r="S176" s="3"/>
    </row>
    <row r="177" spans="1:20" ht="15.75" customHeight="1" x14ac:dyDescent="0.25">
      <c r="A177" s="76">
        <v>45545</v>
      </c>
      <c r="B177" s="44" t="s">
        <v>367</v>
      </c>
      <c r="D177" s="44" t="s">
        <v>24</v>
      </c>
      <c r="E177" s="16" t="s">
        <v>25</v>
      </c>
      <c r="F177" s="2" t="s">
        <v>365</v>
      </c>
      <c r="G177" s="2" t="s">
        <v>328</v>
      </c>
      <c r="H177" s="2">
        <v>2.11</v>
      </c>
      <c r="I177" s="2">
        <v>0.77</v>
      </c>
      <c r="J177" s="68">
        <v>17.7</v>
      </c>
      <c r="K177" s="2" t="s">
        <v>28</v>
      </c>
      <c r="L177" s="2" t="s">
        <v>28</v>
      </c>
      <c r="M177" s="2" t="s">
        <v>28</v>
      </c>
      <c r="N177" s="144"/>
      <c r="O177" s="144"/>
      <c r="Q177" s="3">
        <f t="shared" si="58"/>
        <v>44</v>
      </c>
      <c r="R177" s="3">
        <f t="shared" si="57"/>
        <v>778.8</v>
      </c>
      <c r="S177" s="3"/>
    </row>
    <row r="178" spans="1:20" ht="15.75" customHeight="1" x14ac:dyDescent="0.25">
      <c r="A178" s="77">
        <v>45545</v>
      </c>
      <c r="B178" s="70" t="s">
        <v>368</v>
      </c>
      <c r="C178" s="78"/>
      <c r="D178" s="70" t="s">
        <v>24</v>
      </c>
      <c r="E178" s="122" t="s">
        <v>25</v>
      </c>
      <c r="F178" s="73" t="s">
        <v>365</v>
      </c>
      <c r="G178" s="73" t="s">
        <v>328</v>
      </c>
      <c r="H178" s="73">
        <v>2.23</v>
      </c>
      <c r="I178" s="73">
        <v>0.89</v>
      </c>
      <c r="J178" s="74">
        <v>13.4</v>
      </c>
      <c r="K178" s="73" t="s">
        <v>28</v>
      </c>
      <c r="L178" s="73" t="s">
        <v>28</v>
      </c>
      <c r="M178" s="73" t="s">
        <v>28</v>
      </c>
      <c r="N178" s="142"/>
      <c r="O178" s="142"/>
      <c r="P178" s="78"/>
      <c r="Q178" s="75">
        <f t="shared" si="58"/>
        <v>44</v>
      </c>
      <c r="R178" s="75">
        <f t="shared" si="57"/>
        <v>589.6</v>
      </c>
      <c r="S178" s="75"/>
      <c r="T178" s="78"/>
    </row>
    <row r="179" spans="1:20" ht="15.75" customHeight="1" x14ac:dyDescent="0.25">
      <c r="A179" s="76">
        <v>45546</v>
      </c>
      <c r="B179" s="44" t="s">
        <v>369</v>
      </c>
      <c r="D179" s="44" t="s">
        <v>24</v>
      </c>
      <c r="E179" s="16" t="s">
        <v>25</v>
      </c>
      <c r="F179" s="2" t="s">
        <v>370</v>
      </c>
      <c r="G179" s="2" t="s">
        <v>279</v>
      </c>
      <c r="H179" s="2">
        <v>1.86</v>
      </c>
      <c r="I179" s="2">
        <v>1</v>
      </c>
      <c r="J179" s="68">
        <v>321.89999999999998</v>
      </c>
      <c r="K179" s="2" t="s">
        <v>28</v>
      </c>
      <c r="L179" s="2" t="s">
        <v>28</v>
      </c>
      <c r="M179" s="2" t="s">
        <v>28</v>
      </c>
      <c r="N179" s="141" t="s">
        <v>371</v>
      </c>
      <c r="O179" s="143" t="s">
        <v>82</v>
      </c>
      <c r="Q179" s="3">
        <f t="shared" ref="Q179:Q180" si="59">50-2-4-44</f>
        <v>0</v>
      </c>
      <c r="R179" s="3">
        <f t="shared" ref="R179:R183" si="60">J179*Q179</f>
        <v>0</v>
      </c>
      <c r="S179" s="3"/>
    </row>
    <row r="180" spans="1:20" ht="15.75" customHeight="1" x14ac:dyDescent="0.25">
      <c r="A180" s="76">
        <v>45546</v>
      </c>
      <c r="B180" s="44" t="s">
        <v>372</v>
      </c>
      <c r="D180" s="44" t="s">
        <v>24</v>
      </c>
      <c r="E180" s="16" t="s">
        <v>25</v>
      </c>
      <c r="F180" s="2" t="s">
        <v>373</v>
      </c>
      <c r="G180" s="2" t="s">
        <v>279</v>
      </c>
      <c r="H180" s="2">
        <v>1.82</v>
      </c>
      <c r="I180" s="2">
        <v>0.99</v>
      </c>
      <c r="J180" s="68">
        <v>186.8</v>
      </c>
      <c r="K180" s="2" t="s">
        <v>28</v>
      </c>
      <c r="L180" s="2" t="s">
        <v>28</v>
      </c>
      <c r="M180" s="2" t="s">
        <v>28</v>
      </c>
      <c r="N180" s="144"/>
      <c r="O180" s="144"/>
      <c r="Q180" s="3">
        <f t="shared" si="59"/>
        <v>0</v>
      </c>
      <c r="R180" s="3">
        <f t="shared" si="60"/>
        <v>0</v>
      </c>
      <c r="S180" s="3"/>
    </row>
    <row r="181" spans="1:20" ht="15.75" customHeight="1" x14ac:dyDescent="0.25">
      <c r="A181" s="77">
        <v>45546</v>
      </c>
      <c r="B181" s="70" t="s">
        <v>374</v>
      </c>
      <c r="C181" s="78"/>
      <c r="D181" s="70" t="s">
        <v>24</v>
      </c>
      <c r="E181" s="122" t="s">
        <v>25</v>
      </c>
      <c r="F181" s="73" t="s">
        <v>375</v>
      </c>
      <c r="G181" s="73" t="s">
        <v>351</v>
      </c>
      <c r="H181" s="73">
        <v>1.7</v>
      </c>
      <c r="I181" s="73">
        <v>1.61</v>
      </c>
      <c r="J181" s="74">
        <v>2.4</v>
      </c>
      <c r="K181" s="73" t="s">
        <v>28</v>
      </c>
      <c r="L181" s="73" t="s">
        <v>28</v>
      </c>
      <c r="M181" s="73" t="s">
        <v>28</v>
      </c>
      <c r="N181" s="142"/>
      <c r="O181" s="142"/>
      <c r="P181" s="78"/>
      <c r="Q181" s="75">
        <f>30-2-4</f>
        <v>24</v>
      </c>
      <c r="R181" s="75">
        <f t="shared" si="60"/>
        <v>57.599999999999994</v>
      </c>
      <c r="S181" s="75"/>
      <c r="T181" s="78"/>
    </row>
    <row r="182" spans="1:20" ht="15.75" customHeight="1" x14ac:dyDescent="0.25">
      <c r="A182" s="76">
        <v>45548</v>
      </c>
      <c r="B182" s="44" t="s">
        <v>376</v>
      </c>
      <c r="D182" s="44" t="s">
        <v>24</v>
      </c>
      <c r="E182" s="16" t="s">
        <v>25</v>
      </c>
      <c r="F182" s="2" t="s">
        <v>377</v>
      </c>
      <c r="G182" s="2" t="s">
        <v>351</v>
      </c>
      <c r="H182" s="2">
        <v>1.79</v>
      </c>
      <c r="I182" s="2">
        <v>0.86</v>
      </c>
      <c r="J182" s="68">
        <v>79.7</v>
      </c>
      <c r="K182" s="2" t="s">
        <v>28</v>
      </c>
      <c r="L182" s="2" t="s">
        <v>28</v>
      </c>
      <c r="M182" s="2" t="s">
        <v>28</v>
      </c>
      <c r="N182" s="141" t="s">
        <v>378</v>
      </c>
      <c r="O182" s="143" t="s">
        <v>82</v>
      </c>
      <c r="Q182" s="3">
        <f t="shared" ref="Q182:Q183" si="61">50-2-4-44</f>
        <v>0</v>
      </c>
      <c r="R182" s="3">
        <f t="shared" si="60"/>
        <v>0</v>
      </c>
      <c r="S182" s="3"/>
    </row>
    <row r="183" spans="1:20" ht="15.75" customHeight="1" x14ac:dyDescent="0.25">
      <c r="A183" s="77">
        <v>45548</v>
      </c>
      <c r="B183" s="70" t="s">
        <v>379</v>
      </c>
      <c r="C183" s="78"/>
      <c r="D183" s="70" t="s">
        <v>24</v>
      </c>
      <c r="E183" s="122" t="s">
        <v>25</v>
      </c>
      <c r="F183" s="73" t="s">
        <v>380</v>
      </c>
      <c r="G183" s="73" t="s">
        <v>351</v>
      </c>
      <c r="H183" s="73">
        <v>1.8</v>
      </c>
      <c r="I183" s="73">
        <v>1.19</v>
      </c>
      <c r="J183" s="74">
        <v>59.9</v>
      </c>
      <c r="K183" s="73" t="s">
        <v>28</v>
      </c>
      <c r="L183" s="73" t="s">
        <v>28</v>
      </c>
      <c r="M183" s="73" t="s">
        <v>28</v>
      </c>
      <c r="N183" s="142"/>
      <c r="O183" s="142"/>
      <c r="P183" s="78"/>
      <c r="Q183" s="75">
        <f t="shared" si="61"/>
        <v>0</v>
      </c>
      <c r="R183" s="75">
        <f t="shared" si="60"/>
        <v>0</v>
      </c>
      <c r="S183" s="75"/>
      <c r="T183" s="78"/>
    </row>
    <row r="184" spans="1:20" ht="15.75" customHeight="1" x14ac:dyDescent="0.25">
      <c r="A184" s="76">
        <v>45552</v>
      </c>
      <c r="B184" s="44" t="s">
        <v>381</v>
      </c>
      <c r="D184" s="44" t="s">
        <v>24</v>
      </c>
      <c r="E184" s="16" t="s">
        <v>25</v>
      </c>
      <c r="F184" s="2" t="s">
        <v>382</v>
      </c>
      <c r="G184" s="2" t="s">
        <v>383</v>
      </c>
      <c r="H184" s="2">
        <v>1.7</v>
      </c>
      <c r="I184" s="2">
        <v>1.1299999999999999</v>
      </c>
      <c r="J184" s="68">
        <v>35.1</v>
      </c>
      <c r="K184" s="2" t="s">
        <v>28</v>
      </c>
      <c r="L184" s="2" t="s">
        <v>28</v>
      </c>
      <c r="M184" s="2" t="s">
        <v>28</v>
      </c>
      <c r="N184" s="141" t="s">
        <v>378</v>
      </c>
      <c r="O184" s="143" t="s">
        <v>82</v>
      </c>
      <c r="Q184" s="3">
        <f t="shared" ref="Q184:Q185" si="62">50-2-4</f>
        <v>44</v>
      </c>
      <c r="R184" s="3">
        <f t="shared" ref="R184:R185" si="63">Q184*J184</f>
        <v>1544.4</v>
      </c>
      <c r="S184" s="3"/>
    </row>
    <row r="185" spans="1:20" ht="15.75" customHeight="1" x14ac:dyDescent="0.25">
      <c r="A185" s="77">
        <v>45552</v>
      </c>
      <c r="B185" s="70" t="s">
        <v>381</v>
      </c>
      <c r="C185" s="78"/>
      <c r="D185" s="70" t="s">
        <v>24</v>
      </c>
      <c r="E185" s="122" t="s">
        <v>25</v>
      </c>
      <c r="F185" s="73" t="s">
        <v>384</v>
      </c>
      <c r="G185" s="73" t="s">
        <v>383</v>
      </c>
      <c r="H185" s="73">
        <v>1.76</v>
      </c>
      <c r="I185" s="73">
        <v>1.46</v>
      </c>
      <c r="J185" s="74">
        <v>20.8</v>
      </c>
      <c r="K185" s="73" t="s">
        <v>28</v>
      </c>
      <c r="L185" s="73" t="s">
        <v>28</v>
      </c>
      <c r="M185" s="73" t="s">
        <v>28</v>
      </c>
      <c r="N185" s="142"/>
      <c r="O185" s="142"/>
      <c r="P185" s="78"/>
      <c r="Q185" s="75">
        <f t="shared" si="62"/>
        <v>44</v>
      </c>
      <c r="R185" s="75">
        <f t="shared" si="63"/>
        <v>915.2</v>
      </c>
      <c r="S185" s="75"/>
      <c r="T185" s="78"/>
    </row>
    <row r="186" spans="1:20" ht="15.75" customHeight="1" x14ac:dyDescent="0.25">
      <c r="A186" s="76">
        <v>45555</v>
      </c>
      <c r="B186" s="44" t="s">
        <v>385</v>
      </c>
      <c r="D186" s="44" t="s">
        <v>24</v>
      </c>
      <c r="E186" s="16" t="s">
        <v>25</v>
      </c>
      <c r="F186" s="2" t="s">
        <v>386</v>
      </c>
      <c r="G186" s="2" t="s">
        <v>328</v>
      </c>
      <c r="H186" s="2">
        <v>1.91</v>
      </c>
      <c r="I186" s="2">
        <v>1.85</v>
      </c>
      <c r="J186" s="68">
        <v>31.9</v>
      </c>
      <c r="K186" s="2">
        <v>16.100000000000001</v>
      </c>
      <c r="L186" s="2" t="s">
        <v>28</v>
      </c>
      <c r="M186" s="68" t="s">
        <v>387</v>
      </c>
      <c r="N186" s="141" t="s">
        <v>340</v>
      </c>
      <c r="O186" s="143" t="s">
        <v>82</v>
      </c>
      <c r="Q186" s="3">
        <f t="shared" ref="Q186:Q201" si="64">100-2-4-1-93</f>
        <v>0</v>
      </c>
      <c r="R186" s="3">
        <f t="shared" ref="R186:R221" si="65">J186*Q186</f>
        <v>0</v>
      </c>
      <c r="S186" s="3">
        <f t="shared" ref="S186:S201" si="66">Q186*K186</f>
        <v>0</v>
      </c>
    </row>
    <row r="187" spans="1:20" ht="15.75" customHeight="1" x14ac:dyDescent="0.25">
      <c r="A187" s="76">
        <v>45555</v>
      </c>
      <c r="B187" s="44" t="s">
        <v>388</v>
      </c>
      <c r="D187" s="44" t="s">
        <v>24</v>
      </c>
      <c r="E187" s="16" t="s">
        <v>25</v>
      </c>
      <c r="F187" s="2" t="s">
        <v>386</v>
      </c>
      <c r="G187" s="2" t="s">
        <v>328</v>
      </c>
      <c r="H187" s="2">
        <v>1.89</v>
      </c>
      <c r="I187" s="2">
        <v>1.37</v>
      </c>
      <c r="J187" s="68">
        <v>34.6</v>
      </c>
      <c r="K187" s="2">
        <v>26.4</v>
      </c>
      <c r="L187" s="2" t="s">
        <v>28</v>
      </c>
      <c r="M187" s="68" t="s">
        <v>389</v>
      </c>
      <c r="N187" s="144"/>
      <c r="O187" s="144"/>
      <c r="Q187" s="3">
        <f t="shared" si="64"/>
        <v>0</v>
      </c>
      <c r="R187" s="3">
        <f t="shared" si="65"/>
        <v>0</v>
      </c>
      <c r="S187" s="3">
        <f t="shared" si="66"/>
        <v>0</v>
      </c>
    </row>
    <row r="188" spans="1:20" ht="15.75" customHeight="1" x14ac:dyDescent="0.25">
      <c r="A188" s="76">
        <v>45555</v>
      </c>
      <c r="B188" s="44" t="s">
        <v>390</v>
      </c>
      <c r="D188" s="44" t="s">
        <v>24</v>
      </c>
      <c r="E188" s="16" t="s">
        <v>25</v>
      </c>
      <c r="F188" s="2" t="s">
        <v>386</v>
      </c>
      <c r="G188" s="2" t="s">
        <v>328</v>
      </c>
      <c r="H188" s="2">
        <v>2.04</v>
      </c>
      <c r="I188" s="2">
        <v>1.51</v>
      </c>
      <c r="J188" s="68">
        <v>17.3</v>
      </c>
      <c r="K188" s="2">
        <v>13.7</v>
      </c>
      <c r="L188" s="2" t="s">
        <v>28</v>
      </c>
      <c r="M188" s="2" t="s">
        <v>28</v>
      </c>
      <c r="N188" s="144"/>
      <c r="O188" s="144"/>
      <c r="Q188" s="3">
        <f t="shared" si="64"/>
        <v>0</v>
      </c>
      <c r="R188" s="3">
        <f t="shared" si="65"/>
        <v>0</v>
      </c>
      <c r="S188" s="3">
        <f t="shared" si="66"/>
        <v>0</v>
      </c>
    </row>
    <row r="189" spans="1:20" ht="15.75" customHeight="1" x14ac:dyDescent="0.25">
      <c r="A189" s="76">
        <v>45555</v>
      </c>
      <c r="B189" s="44" t="s">
        <v>391</v>
      </c>
      <c r="D189" s="44" t="s">
        <v>24</v>
      </c>
      <c r="E189" s="16" t="s">
        <v>25</v>
      </c>
      <c r="F189" s="2" t="s">
        <v>386</v>
      </c>
      <c r="G189" s="2" t="s">
        <v>328</v>
      </c>
      <c r="H189" s="2">
        <v>1.82</v>
      </c>
      <c r="I189" s="2">
        <v>1.21</v>
      </c>
      <c r="J189" s="68">
        <v>18.100000000000001</v>
      </c>
      <c r="K189" s="2">
        <v>11.8</v>
      </c>
      <c r="L189" s="2" t="s">
        <v>28</v>
      </c>
      <c r="M189" s="2" t="s">
        <v>28</v>
      </c>
      <c r="N189" s="144"/>
      <c r="O189" s="144"/>
      <c r="Q189" s="3">
        <f t="shared" si="64"/>
        <v>0</v>
      </c>
      <c r="R189" s="3">
        <f t="shared" si="65"/>
        <v>0</v>
      </c>
      <c r="S189" s="3">
        <f t="shared" si="66"/>
        <v>0</v>
      </c>
    </row>
    <row r="190" spans="1:20" ht="15.75" customHeight="1" x14ac:dyDescent="0.25">
      <c r="A190" s="76">
        <v>45555</v>
      </c>
      <c r="B190" s="44" t="s">
        <v>392</v>
      </c>
      <c r="D190" s="44" t="s">
        <v>24</v>
      </c>
      <c r="E190" s="16" t="s">
        <v>25</v>
      </c>
      <c r="F190" s="2" t="s">
        <v>393</v>
      </c>
      <c r="G190" s="2" t="s">
        <v>328</v>
      </c>
      <c r="H190" s="2">
        <v>1.98</v>
      </c>
      <c r="I190" s="2">
        <v>1.5</v>
      </c>
      <c r="J190" s="68">
        <v>18.5</v>
      </c>
      <c r="K190" s="2">
        <v>10.7</v>
      </c>
      <c r="L190" s="2" t="s">
        <v>28</v>
      </c>
      <c r="M190" s="2" t="s">
        <v>28</v>
      </c>
      <c r="N190" s="144"/>
      <c r="O190" s="144"/>
      <c r="Q190" s="3">
        <f t="shared" si="64"/>
        <v>0</v>
      </c>
      <c r="R190" s="3">
        <f t="shared" si="65"/>
        <v>0</v>
      </c>
      <c r="S190" s="3">
        <f t="shared" si="66"/>
        <v>0</v>
      </c>
    </row>
    <row r="191" spans="1:20" ht="15.75" customHeight="1" x14ac:dyDescent="0.25">
      <c r="A191" s="76">
        <v>45555</v>
      </c>
      <c r="B191" s="44" t="s">
        <v>394</v>
      </c>
      <c r="D191" s="44" t="s">
        <v>24</v>
      </c>
      <c r="E191" s="16" t="s">
        <v>25</v>
      </c>
      <c r="F191" s="2" t="s">
        <v>393</v>
      </c>
      <c r="G191" s="2" t="s">
        <v>328</v>
      </c>
      <c r="H191" s="2">
        <v>1.87</v>
      </c>
      <c r="I191" s="2">
        <v>1.33</v>
      </c>
      <c r="J191" s="68">
        <v>16.899999999999999</v>
      </c>
      <c r="K191" s="2">
        <v>12.2</v>
      </c>
      <c r="L191" s="2" t="s">
        <v>28</v>
      </c>
      <c r="M191" s="2" t="s">
        <v>28</v>
      </c>
      <c r="N191" s="144"/>
      <c r="O191" s="144"/>
      <c r="Q191" s="3">
        <f t="shared" si="64"/>
        <v>0</v>
      </c>
      <c r="R191" s="3">
        <f t="shared" si="65"/>
        <v>0</v>
      </c>
      <c r="S191" s="3">
        <f t="shared" si="66"/>
        <v>0</v>
      </c>
    </row>
    <row r="192" spans="1:20" ht="15.75" customHeight="1" x14ac:dyDescent="0.25">
      <c r="A192" s="76">
        <v>45555</v>
      </c>
      <c r="B192" s="44" t="s">
        <v>395</v>
      </c>
      <c r="D192" s="44" t="s">
        <v>24</v>
      </c>
      <c r="E192" s="16" t="s">
        <v>25</v>
      </c>
      <c r="F192" s="2" t="s">
        <v>393</v>
      </c>
      <c r="G192" s="2" t="s">
        <v>328</v>
      </c>
      <c r="H192" s="2">
        <v>1.88</v>
      </c>
      <c r="I192" s="2">
        <v>1.51</v>
      </c>
      <c r="J192" s="68">
        <v>13.9</v>
      </c>
      <c r="K192" s="2">
        <v>8.6999999999999993</v>
      </c>
      <c r="L192" s="2" t="s">
        <v>28</v>
      </c>
      <c r="M192" s="2" t="s">
        <v>28</v>
      </c>
      <c r="N192" s="144"/>
      <c r="O192" s="144"/>
      <c r="Q192" s="3">
        <f t="shared" si="64"/>
        <v>0</v>
      </c>
      <c r="R192" s="3">
        <f t="shared" si="65"/>
        <v>0</v>
      </c>
      <c r="S192" s="3">
        <f t="shared" si="66"/>
        <v>0</v>
      </c>
    </row>
    <row r="193" spans="1:20" ht="15.75" customHeight="1" x14ac:dyDescent="0.25">
      <c r="A193" s="77">
        <v>45555</v>
      </c>
      <c r="B193" s="70" t="s">
        <v>396</v>
      </c>
      <c r="C193" s="78"/>
      <c r="D193" s="70" t="s">
        <v>24</v>
      </c>
      <c r="E193" s="122" t="s">
        <v>25</v>
      </c>
      <c r="F193" s="73" t="s">
        <v>393</v>
      </c>
      <c r="G193" s="73" t="s">
        <v>328</v>
      </c>
      <c r="H193" s="73">
        <v>1.74</v>
      </c>
      <c r="I193" s="73">
        <v>0.81</v>
      </c>
      <c r="J193" s="74">
        <v>21.1</v>
      </c>
      <c r="K193" s="73">
        <v>11.6</v>
      </c>
      <c r="L193" s="73" t="s">
        <v>28</v>
      </c>
      <c r="M193" s="73" t="s">
        <v>28</v>
      </c>
      <c r="N193" s="142"/>
      <c r="O193" s="142"/>
      <c r="P193" s="78"/>
      <c r="Q193" s="75">
        <f t="shared" si="64"/>
        <v>0</v>
      </c>
      <c r="R193" s="75">
        <f t="shared" si="65"/>
        <v>0</v>
      </c>
      <c r="S193" s="75">
        <f t="shared" si="66"/>
        <v>0</v>
      </c>
      <c r="T193" s="78"/>
    </row>
    <row r="194" spans="1:20" ht="15.75" customHeight="1" x14ac:dyDescent="0.25">
      <c r="A194" s="76">
        <v>45566</v>
      </c>
      <c r="B194" s="44" t="s">
        <v>385</v>
      </c>
      <c r="D194" s="44" t="s">
        <v>24</v>
      </c>
      <c r="E194" s="16" t="s">
        <v>25</v>
      </c>
      <c r="F194" s="2" t="s">
        <v>397</v>
      </c>
      <c r="G194" s="2" t="s">
        <v>328</v>
      </c>
      <c r="H194" s="2">
        <v>1.9</v>
      </c>
      <c r="I194" s="2">
        <v>1.26</v>
      </c>
      <c r="J194" s="68">
        <v>17.600000000000001</v>
      </c>
      <c r="K194" s="2">
        <v>14.7</v>
      </c>
      <c r="L194" s="2" t="s">
        <v>28</v>
      </c>
      <c r="M194" s="2" t="s">
        <v>28</v>
      </c>
      <c r="N194" s="145" t="s">
        <v>340</v>
      </c>
      <c r="O194" s="143" t="s">
        <v>82</v>
      </c>
      <c r="Q194" s="3">
        <f t="shared" si="64"/>
        <v>0</v>
      </c>
      <c r="R194" s="3">
        <f t="shared" si="65"/>
        <v>0</v>
      </c>
      <c r="S194" s="3">
        <f t="shared" si="66"/>
        <v>0</v>
      </c>
    </row>
    <row r="195" spans="1:20" ht="15.75" customHeight="1" x14ac:dyDescent="0.25">
      <c r="A195" s="76">
        <v>45566</v>
      </c>
      <c r="B195" s="44" t="s">
        <v>388</v>
      </c>
      <c r="D195" s="44" t="s">
        <v>24</v>
      </c>
      <c r="E195" s="16" t="s">
        <v>25</v>
      </c>
      <c r="F195" s="2" t="s">
        <v>397</v>
      </c>
      <c r="G195" s="2" t="s">
        <v>328</v>
      </c>
      <c r="H195" s="2">
        <v>2</v>
      </c>
      <c r="I195" s="2">
        <v>1.4</v>
      </c>
      <c r="J195" s="68">
        <v>21.9</v>
      </c>
      <c r="K195" s="2">
        <v>23.4</v>
      </c>
      <c r="L195" s="2" t="s">
        <v>28</v>
      </c>
      <c r="M195" s="2" t="s">
        <v>28</v>
      </c>
      <c r="N195" s="144"/>
      <c r="O195" s="144"/>
      <c r="Q195" s="3">
        <f t="shared" si="64"/>
        <v>0</v>
      </c>
      <c r="R195" s="3">
        <f t="shared" si="65"/>
        <v>0</v>
      </c>
      <c r="S195" s="3">
        <f t="shared" si="66"/>
        <v>0</v>
      </c>
    </row>
    <row r="196" spans="1:20" ht="15.75" customHeight="1" x14ac:dyDescent="0.25">
      <c r="A196" s="76">
        <v>45566</v>
      </c>
      <c r="B196" s="44" t="s">
        <v>390</v>
      </c>
      <c r="D196" s="44" t="s">
        <v>24</v>
      </c>
      <c r="E196" s="16" t="s">
        <v>25</v>
      </c>
      <c r="F196" s="2" t="s">
        <v>397</v>
      </c>
      <c r="G196" s="2" t="s">
        <v>328</v>
      </c>
      <c r="H196" s="2">
        <v>1.92</v>
      </c>
      <c r="I196" s="2">
        <v>1.38</v>
      </c>
      <c r="J196" s="68">
        <v>15.5</v>
      </c>
      <c r="K196" s="2">
        <v>12</v>
      </c>
      <c r="L196" s="2" t="s">
        <v>28</v>
      </c>
      <c r="M196" s="2" t="s">
        <v>28</v>
      </c>
      <c r="N196" s="144"/>
      <c r="O196" s="144"/>
      <c r="Q196" s="3">
        <f t="shared" si="64"/>
        <v>0</v>
      </c>
      <c r="R196" s="3">
        <f t="shared" si="65"/>
        <v>0</v>
      </c>
      <c r="S196" s="3">
        <f t="shared" si="66"/>
        <v>0</v>
      </c>
    </row>
    <row r="197" spans="1:20" ht="15.75" customHeight="1" x14ac:dyDescent="0.25">
      <c r="A197" s="76">
        <v>45566</v>
      </c>
      <c r="B197" s="44" t="s">
        <v>391</v>
      </c>
      <c r="D197" s="44" t="s">
        <v>24</v>
      </c>
      <c r="E197" s="16" t="s">
        <v>25</v>
      </c>
      <c r="F197" s="2" t="s">
        <v>397</v>
      </c>
      <c r="G197" s="2" t="s">
        <v>328</v>
      </c>
      <c r="H197" s="2">
        <v>1.91</v>
      </c>
      <c r="I197" s="2">
        <v>1.55</v>
      </c>
      <c r="J197" s="68">
        <v>17.600000000000001</v>
      </c>
      <c r="K197" s="2">
        <v>18.8</v>
      </c>
      <c r="L197" s="2" t="s">
        <v>28</v>
      </c>
      <c r="M197" s="2" t="s">
        <v>28</v>
      </c>
      <c r="N197" s="144"/>
      <c r="O197" s="144"/>
      <c r="Q197" s="3">
        <f t="shared" si="64"/>
        <v>0</v>
      </c>
      <c r="R197" s="3">
        <f t="shared" si="65"/>
        <v>0</v>
      </c>
      <c r="S197" s="3">
        <f t="shared" si="66"/>
        <v>0</v>
      </c>
    </row>
    <row r="198" spans="1:20" ht="15.75" customHeight="1" x14ac:dyDescent="0.25">
      <c r="A198" s="76">
        <v>45566</v>
      </c>
      <c r="B198" s="44" t="s">
        <v>392</v>
      </c>
      <c r="D198" s="44" t="s">
        <v>24</v>
      </c>
      <c r="E198" s="16" t="s">
        <v>25</v>
      </c>
      <c r="F198" s="2" t="s">
        <v>398</v>
      </c>
      <c r="G198" s="2" t="s">
        <v>328</v>
      </c>
      <c r="H198" s="2">
        <v>1.94</v>
      </c>
      <c r="I198" s="2">
        <v>1.74</v>
      </c>
      <c r="J198" s="68">
        <v>13.6</v>
      </c>
      <c r="K198" s="2">
        <v>15.4</v>
      </c>
      <c r="L198" s="2" t="s">
        <v>28</v>
      </c>
      <c r="M198" s="2" t="s">
        <v>28</v>
      </c>
      <c r="N198" s="144"/>
      <c r="O198" s="144"/>
      <c r="Q198" s="3">
        <f t="shared" si="64"/>
        <v>0</v>
      </c>
      <c r="R198" s="3">
        <f t="shared" si="65"/>
        <v>0</v>
      </c>
      <c r="S198" s="3">
        <f t="shared" si="66"/>
        <v>0</v>
      </c>
    </row>
    <row r="199" spans="1:20" ht="15.75" customHeight="1" x14ac:dyDescent="0.25">
      <c r="A199" s="76">
        <v>45566</v>
      </c>
      <c r="B199" s="44" t="s">
        <v>394</v>
      </c>
      <c r="D199" s="44" t="s">
        <v>24</v>
      </c>
      <c r="E199" s="16" t="s">
        <v>25</v>
      </c>
      <c r="F199" s="2" t="s">
        <v>398</v>
      </c>
      <c r="G199" s="2" t="s">
        <v>328</v>
      </c>
      <c r="H199" s="2">
        <v>1.9</v>
      </c>
      <c r="I199" s="2">
        <v>1.29</v>
      </c>
      <c r="J199" s="68">
        <v>15</v>
      </c>
      <c r="K199" s="2">
        <v>15.7</v>
      </c>
      <c r="L199" s="2" t="s">
        <v>28</v>
      </c>
      <c r="M199" s="2" t="s">
        <v>28</v>
      </c>
      <c r="N199" s="144"/>
      <c r="O199" s="144"/>
      <c r="Q199" s="3">
        <f t="shared" si="64"/>
        <v>0</v>
      </c>
      <c r="R199" s="3">
        <f t="shared" si="65"/>
        <v>0</v>
      </c>
      <c r="S199" s="3">
        <f t="shared" si="66"/>
        <v>0</v>
      </c>
    </row>
    <row r="200" spans="1:20" ht="15.75" customHeight="1" x14ac:dyDescent="0.25">
      <c r="A200" s="76">
        <v>45566</v>
      </c>
      <c r="B200" s="44" t="s">
        <v>395</v>
      </c>
      <c r="D200" s="44" t="s">
        <v>24</v>
      </c>
      <c r="E200" s="16" t="s">
        <v>25</v>
      </c>
      <c r="F200" s="2" t="s">
        <v>398</v>
      </c>
      <c r="G200" s="2" t="s">
        <v>328</v>
      </c>
      <c r="H200" s="2">
        <v>1.92</v>
      </c>
      <c r="I200" s="2">
        <v>1.6</v>
      </c>
      <c r="J200" s="68">
        <v>13.3</v>
      </c>
      <c r="K200" s="2">
        <v>14.3</v>
      </c>
      <c r="L200" s="2" t="s">
        <v>28</v>
      </c>
      <c r="M200" s="2" t="s">
        <v>28</v>
      </c>
      <c r="N200" s="144"/>
      <c r="O200" s="144"/>
      <c r="Q200" s="3">
        <f t="shared" si="64"/>
        <v>0</v>
      </c>
      <c r="R200" s="3">
        <f t="shared" si="65"/>
        <v>0</v>
      </c>
      <c r="S200" s="3">
        <f t="shared" si="66"/>
        <v>0</v>
      </c>
    </row>
    <row r="201" spans="1:20" ht="15.75" customHeight="1" x14ac:dyDescent="0.25">
      <c r="A201" s="77">
        <v>45566</v>
      </c>
      <c r="B201" s="70" t="s">
        <v>396</v>
      </c>
      <c r="C201" s="78"/>
      <c r="D201" s="70" t="s">
        <v>24</v>
      </c>
      <c r="E201" s="122" t="s">
        <v>25</v>
      </c>
      <c r="F201" s="73" t="s">
        <v>398</v>
      </c>
      <c r="G201" s="73" t="s">
        <v>328</v>
      </c>
      <c r="H201" s="73">
        <v>2.0699999999999998</v>
      </c>
      <c r="I201" s="73">
        <v>1.81</v>
      </c>
      <c r="J201" s="74">
        <v>15.2</v>
      </c>
      <c r="K201" s="73">
        <v>15.4</v>
      </c>
      <c r="L201" s="73" t="s">
        <v>28</v>
      </c>
      <c r="M201" s="73" t="s">
        <v>28</v>
      </c>
      <c r="N201" s="142"/>
      <c r="O201" s="142"/>
      <c r="P201" s="78"/>
      <c r="Q201" s="75">
        <f t="shared" si="64"/>
        <v>0</v>
      </c>
      <c r="R201" s="75">
        <f t="shared" si="65"/>
        <v>0</v>
      </c>
      <c r="S201" s="75">
        <f t="shared" si="66"/>
        <v>0</v>
      </c>
      <c r="T201" s="78"/>
    </row>
    <row r="202" spans="1:20" ht="15.75" customHeight="1" x14ac:dyDescent="0.25">
      <c r="A202" s="76">
        <v>45575</v>
      </c>
      <c r="B202" s="44" t="s">
        <v>399</v>
      </c>
      <c r="D202" s="44" t="s">
        <v>24</v>
      </c>
      <c r="E202" s="84" t="s">
        <v>71</v>
      </c>
      <c r="F202" s="2" t="s">
        <v>400</v>
      </c>
      <c r="G202" s="2" t="s">
        <v>279</v>
      </c>
      <c r="H202" s="2">
        <v>1.1000000000000001</v>
      </c>
      <c r="I202" s="2">
        <v>0.46</v>
      </c>
      <c r="J202" s="68">
        <v>349.9</v>
      </c>
      <c r="K202" s="2" t="s">
        <v>28</v>
      </c>
      <c r="L202" s="2" t="s">
        <v>28</v>
      </c>
      <c r="M202" s="2" t="s">
        <v>28</v>
      </c>
      <c r="N202" s="141" t="s">
        <v>401</v>
      </c>
      <c r="O202" s="143" t="s">
        <v>82</v>
      </c>
      <c r="Q202" s="3">
        <f t="shared" ref="Q202:Q211" si="67">30-2-4-20-2</f>
        <v>2</v>
      </c>
      <c r="R202" s="3">
        <f t="shared" si="65"/>
        <v>699.8</v>
      </c>
      <c r="S202" s="3"/>
    </row>
    <row r="203" spans="1:20" ht="15.75" customHeight="1" x14ac:dyDescent="0.25">
      <c r="A203" s="76">
        <v>45575</v>
      </c>
      <c r="B203" s="44" t="s">
        <v>402</v>
      </c>
      <c r="D203" s="44" t="s">
        <v>24</v>
      </c>
      <c r="E203" s="84" t="s">
        <v>71</v>
      </c>
      <c r="F203" s="2" t="s">
        <v>403</v>
      </c>
      <c r="G203" s="2" t="s">
        <v>279</v>
      </c>
      <c r="H203" s="2">
        <v>1.1100000000000001</v>
      </c>
      <c r="I203" s="2">
        <v>0.49</v>
      </c>
      <c r="J203" s="68">
        <v>365.5</v>
      </c>
      <c r="K203" s="2" t="s">
        <v>28</v>
      </c>
      <c r="L203" s="2" t="s">
        <v>28</v>
      </c>
      <c r="M203" s="2" t="s">
        <v>28</v>
      </c>
      <c r="N203" s="144"/>
      <c r="O203" s="144"/>
      <c r="Q203" s="3">
        <f t="shared" si="67"/>
        <v>2</v>
      </c>
      <c r="R203" s="3">
        <f t="shared" si="65"/>
        <v>731</v>
      </c>
      <c r="S203" s="3"/>
    </row>
    <row r="204" spans="1:20" ht="15.75" customHeight="1" x14ac:dyDescent="0.25">
      <c r="A204" s="76">
        <v>45575</v>
      </c>
      <c r="B204" s="44" t="s">
        <v>404</v>
      </c>
      <c r="D204" s="44" t="s">
        <v>24</v>
      </c>
      <c r="E204" s="84" t="s">
        <v>71</v>
      </c>
      <c r="F204" s="2" t="s">
        <v>405</v>
      </c>
      <c r="G204" s="2" t="s">
        <v>279</v>
      </c>
      <c r="H204" s="2">
        <v>1.1100000000000001</v>
      </c>
      <c r="I204" s="2">
        <v>0.52</v>
      </c>
      <c r="J204" s="68">
        <v>1782.6</v>
      </c>
      <c r="K204" s="2" t="s">
        <v>28</v>
      </c>
      <c r="L204" s="2" t="s">
        <v>28</v>
      </c>
      <c r="M204" s="2" t="s">
        <v>28</v>
      </c>
      <c r="N204" s="144"/>
      <c r="O204" s="144"/>
      <c r="Q204" s="3">
        <f t="shared" si="67"/>
        <v>2</v>
      </c>
      <c r="R204" s="3">
        <f t="shared" si="65"/>
        <v>3565.2</v>
      </c>
      <c r="S204" s="3"/>
    </row>
    <row r="205" spans="1:20" ht="15.75" customHeight="1" x14ac:dyDescent="0.25">
      <c r="A205" s="76">
        <v>45575</v>
      </c>
      <c r="B205" s="44" t="s">
        <v>406</v>
      </c>
      <c r="D205" s="44" t="s">
        <v>24</v>
      </c>
      <c r="E205" s="84" t="s">
        <v>71</v>
      </c>
      <c r="F205" s="2" t="s">
        <v>407</v>
      </c>
      <c r="G205" s="2" t="s">
        <v>279</v>
      </c>
      <c r="H205" s="2">
        <v>1.1200000000000001</v>
      </c>
      <c r="I205" s="2">
        <v>0.4</v>
      </c>
      <c r="J205" s="68">
        <v>832.2</v>
      </c>
      <c r="K205" s="2" t="s">
        <v>28</v>
      </c>
      <c r="L205" s="2" t="s">
        <v>28</v>
      </c>
      <c r="M205" s="2" t="s">
        <v>28</v>
      </c>
      <c r="N205" s="144"/>
      <c r="O205" s="144"/>
      <c r="Q205" s="3">
        <f t="shared" si="67"/>
        <v>2</v>
      </c>
      <c r="R205" s="3">
        <f t="shared" si="65"/>
        <v>1664.4</v>
      </c>
      <c r="S205" s="3"/>
    </row>
    <row r="206" spans="1:20" ht="15.75" customHeight="1" x14ac:dyDescent="0.25">
      <c r="A206" s="76">
        <v>45575</v>
      </c>
      <c r="B206" s="44" t="s">
        <v>408</v>
      </c>
      <c r="D206" s="44" t="s">
        <v>24</v>
      </c>
      <c r="E206" s="84" t="s">
        <v>71</v>
      </c>
      <c r="F206" s="2" t="s">
        <v>409</v>
      </c>
      <c r="G206" s="2" t="s">
        <v>279</v>
      </c>
      <c r="H206" s="2">
        <v>1.28</v>
      </c>
      <c r="I206" s="2">
        <v>0.51</v>
      </c>
      <c r="J206" s="68">
        <v>1240.2</v>
      </c>
      <c r="K206" s="2" t="s">
        <v>28</v>
      </c>
      <c r="L206" s="2" t="s">
        <v>28</v>
      </c>
      <c r="M206" s="2" t="s">
        <v>28</v>
      </c>
      <c r="N206" s="144"/>
      <c r="O206" s="144"/>
      <c r="Q206" s="3">
        <f t="shared" si="67"/>
        <v>2</v>
      </c>
      <c r="R206" s="3">
        <f t="shared" si="65"/>
        <v>2480.4</v>
      </c>
      <c r="S206" s="3"/>
    </row>
    <row r="207" spans="1:20" ht="15.75" customHeight="1" x14ac:dyDescent="0.25">
      <c r="A207" s="76">
        <v>45575</v>
      </c>
      <c r="B207" s="44" t="s">
        <v>410</v>
      </c>
      <c r="D207" s="44" t="s">
        <v>24</v>
      </c>
      <c r="E207" s="84" t="s">
        <v>71</v>
      </c>
      <c r="F207" s="2" t="s">
        <v>411</v>
      </c>
      <c r="G207" s="2" t="s">
        <v>279</v>
      </c>
      <c r="H207" s="2">
        <v>1.1000000000000001</v>
      </c>
      <c r="I207" s="2">
        <v>0.37</v>
      </c>
      <c r="J207" s="68">
        <v>184.6</v>
      </c>
      <c r="K207" s="2" t="s">
        <v>28</v>
      </c>
      <c r="L207" s="2" t="s">
        <v>28</v>
      </c>
      <c r="M207" s="2" t="s">
        <v>28</v>
      </c>
      <c r="N207" s="144"/>
      <c r="O207" s="144"/>
      <c r="Q207" s="3">
        <f t="shared" si="67"/>
        <v>2</v>
      </c>
      <c r="R207" s="3">
        <f t="shared" si="65"/>
        <v>369.2</v>
      </c>
      <c r="S207" s="3"/>
    </row>
    <row r="208" spans="1:20" ht="15.75" customHeight="1" x14ac:dyDescent="0.25">
      <c r="A208" s="76">
        <v>45575</v>
      </c>
      <c r="B208" s="44" t="s">
        <v>412</v>
      </c>
      <c r="D208" s="44" t="s">
        <v>24</v>
      </c>
      <c r="E208" s="84" t="s">
        <v>71</v>
      </c>
      <c r="F208" s="2" t="s">
        <v>413</v>
      </c>
      <c r="G208" s="2" t="s">
        <v>279</v>
      </c>
      <c r="H208" s="2">
        <v>1.08</v>
      </c>
      <c r="I208" s="2">
        <v>0.37</v>
      </c>
      <c r="J208" s="68">
        <v>408.7</v>
      </c>
      <c r="K208" s="2" t="s">
        <v>28</v>
      </c>
      <c r="L208" s="2" t="s">
        <v>28</v>
      </c>
      <c r="M208" s="2" t="s">
        <v>28</v>
      </c>
      <c r="N208" s="144"/>
      <c r="O208" s="144"/>
      <c r="Q208" s="3">
        <f t="shared" si="67"/>
        <v>2</v>
      </c>
      <c r="R208" s="3">
        <f t="shared" si="65"/>
        <v>817.4</v>
      </c>
      <c r="S208" s="3"/>
    </row>
    <row r="209" spans="1:20" ht="15.75" customHeight="1" x14ac:dyDescent="0.25">
      <c r="A209" s="76">
        <v>45575</v>
      </c>
      <c r="B209" s="44" t="s">
        <v>414</v>
      </c>
      <c r="D209" s="44" t="s">
        <v>24</v>
      </c>
      <c r="E209" s="84" t="s">
        <v>71</v>
      </c>
      <c r="F209" s="2" t="s">
        <v>415</v>
      </c>
      <c r="G209" s="2" t="s">
        <v>279</v>
      </c>
      <c r="H209" s="2">
        <v>1.1299999999999999</v>
      </c>
      <c r="I209" s="2">
        <v>0.47</v>
      </c>
      <c r="J209" s="68">
        <v>1597.5</v>
      </c>
      <c r="K209" s="2" t="s">
        <v>28</v>
      </c>
      <c r="L209" s="2" t="s">
        <v>28</v>
      </c>
      <c r="M209" s="2" t="s">
        <v>28</v>
      </c>
      <c r="N209" s="144"/>
      <c r="O209" s="144"/>
      <c r="Q209" s="3">
        <f t="shared" si="67"/>
        <v>2</v>
      </c>
      <c r="R209" s="3">
        <f t="shared" si="65"/>
        <v>3195</v>
      </c>
      <c r="S209" s="3"/>
    </row>
    <row r="210" spans="1:20" ht="15.75" customHeight="1" x14ac:dyDescent="0.25">
      <c r="A210" s="76">
        <v>45575</v>
      </c>
      <c r="B210" s="44" t="s">
        <v>416</v>
      </c>
      <c r="D210" s="44" t="s">
        <v>24</v>
      </c>
      <c r="E210" s="84" t="s">
        <v>71</v>
      </c>
      <c r="F210" s="2" t="s">
        <v>417</v>
      </c>
      <c r="G210" s="2" t="s">
        <v>279</v>
      </c>
      <c r="H210" s="2">
        <v>1.05</v>
      </c>
      <c r="I210" s="2">
        <v>0.34</v>
      </c>
      <c r="J210" s="68">
        <v>412.5</v>
      </c>
      <c r="K210" s="2" t="s">
        <v>28</v>
      </c>
      <c r="L210" s="2" t="s">
        <v>28</v>
      </c>
      <c r="M210" s="2" t="s">
        <v>28</v>
      </c>
      <c r="N210" s="144"/>
      <c r="O210" s="144"/>
      <c r="Q210" s="3">
        <f t="shared" si="67"/>
        <v>2</v>
      </c>
      <c r="R210" s="3">
        <f t="shared" si="65"/>
        <v>825</v>
      </c>
      <c r="S210" s="3"/>
    </row>
    <row r="211" spans="1:20" ht="15.75" customHeight="1" x14ac:dyDescent="0.25">
      <c r="A211" s="77">
        <v>45575</v>
      </c>
      <c r="B211" s="70" t="s">
        <v>418</v>
      </c>
      <c r="C211" s="78"/>
      <c r="D211" s="70" t="s">
        <v>24</v>
      </c>
      <c r="E211" s="85" t="s">
        <v>71</v>
      </c>
      <c r="F211" s="73" t="s">
        <v>419</v>
      </c>
      <c r="G211" s="73" t="s">
        <v>279</v>
      </c>
      <c r="H211" s="73">
        <v>1.08</v>
      </c>
      <c r="I211" s="73">
        <v>0.36</v>
      </c>
      <c r="J211" s="74">
        <v>890.5</v>
      </c>
      <c r="K211" s="73" t="s">
        <v>28</v>
      </c>
      <c r="L211" s="73" t="s">
        <v>28</v>
      </c>
      <c r="M211" s="73" t="s">
        <v>28</v>
      </c>
      <c r="N211" s="142"/>
      <c r="O211" s="142"/>
      <c r="P211" s="78"/>
      <c r="Q211" s="75">
        <f t="shared" si="67"/>
        <v>2</v>
      </c>
      <c r="R211" s="75">
        <f t="shared" si="65"/>
        <v>1781</v>
      </c>
      <c r="S211" s="75"/>
      <c r="T211" s="78"/>
    </row>
    <row r="212" spans="1:20" ht="15.75" customHeight="1" x14ac:dyDescent="0.25">
      <c r="A212" s="76">
        <v>45579</v>
      </c>
      <c r="B212" s="44" t="s">
        <v>420</v>
      </c>
      <c r="D212" s="44" t="s">
        <v>24</v>
      </c>
      <c r="E212" s="84" t="s">
        <v>71</v>
      </c>
      <c r="F212" s="2" t="s">
        <v>421</v>
      </c>
      <c r="G212" s="2" t="s">
        <v>270</v>
      </c>
      <c r="H212" s="2">
        <v>1.52</v>
      </c>
      <c r="I212" s="2">
        <v>0.42</v>
      </c>
      <c r="J212" s="68">
        <v>11.6</v>
      </c>
      <c r="K212" s="2" t="s">
        <v>28</v>
      </c>
      <c r="L212" s="2" t="s">
        <v>28</v>
      </c>
      <c r="M212" s="2" t="s">
        <v>28</v>
      </c>
      <c r="N212" s="141" t="s">
        <v>422</v>
      </c>
      <c r="O212" s="143" t="s">
        <v>82</v>
      </c>
      <c r="Q212" s="3">
        <f>100-2-4-2-2</f>
        <v>90</v>
      </c>
      <c r="R212" s="3">
        <f t="shared" si="65"/>
        <v>1044</v>
      </c>
      <c r="S212" s="3"/>
    </row>
    <row r="213" spans="1:20" ht="15.75" customHeight="1" x14ac:dyDescent="0.25">
      <c r="A213" s="76">
        <v>45579</v>
      </c>
      <c r="B213" s="44" t="s">
        <v>423</v>
      </c>
      <c r="D213" s="44" t="s">
        <v>24</v>
      </c>
      <c r="E213" s="84" t="s">
        <v>71</v>
      </c>
      <c r="F213" s="2" t="s">
        <v>424</v>
      </c>
      <c r="G213" s="2" t="s">
        <v>270</v>
      </c>
      <c r="H213" s="2">
        <v>1.79</v>
      </c>
      <c r="I213" s="2">
        <v>0.42</v>
      </c>
      <c r="J213" s="68">
        <v>10.199999999999999</v>
      </c>
      <c r="K213" s="2" t="s">
        <v>28</v>
      </c>
      <c r="L213" s="2" t="s">
        <v>28</v>
      </c>
      <c r="M213" s="2" t="s">
        <v>28</v>
      </c>
      <c r="N213" s="144"/>
      <c r="O213" s="144"/>
      <c r="Q213" s="3">
        <f t="shared" ref="Q213:Q221" si="68">100-2-4-2</f>
        <v>92</v>
      </c>
      <c r="R213" s="3">
        <f t="shared" si="65"/>
        <v>938.4</v>
      </c>
      <c r="S213" s="3"/>
    </row>
    <row r="214" spans="1:20" ht="15.75" customHeight="1" x14ac:dyDescent="0.25">
      <c r="A214" s="76">
        <v>45579</v>
      </c>
      <c r="B214" s="44" t="s">
        <v>425</v>
      </c>
      <c r="D214" s="44" t="s">
        <v>24</v>
      </c>
      <c r="E214" s="84" t="s">
        <v>71</v>
      </c>
      <c r="F214" s="2" t="s">
        <v>405</v>
      </c>
      <c r="G214" s="2" t="s">
        <v>270</v>
      </c>
      <c r="H214" s="2">
        <v>1.4</v>
      </c>
      <c r="I214" s="2">
        <v>0.48</v>
      </c>
      <c r="J214" s="68">
        <v>50.2</v>
      </c>
      <c r="K214" s="2" t="s">
        <v>28</v>
      </c>
      <c r="L214" s="2" t="s">
        <v>28</v>
      </c>
      <c r="M214" s="2" t="s">
        <v>28</v>
      </c>
      <c r="N214" s="144"/>
      <c r="O214" s="144"/>
      <c r="Q214" s="3">
        <f t="shared" si="68"/>
        <v>92</v>
      </c>
      <c r="R214" s="3">
        <f t="shared" si="65"/>
        <v>4618.4000000000005</v>
      </c>
      <c r="S214" s="3"/>
    </row>
    <row r="215" spans="1:20" ht="15.75" customHeight="1" x14ac:dyDescent="0.25">
      <c r="A215" s="76">
        <v>45579</v>
      </c>
      <c r="B215" s="44" t="s">
        <v>426</v>
      </c>
      <c r="D215" s="44" t="s">
        <v>24</v>
      </c>
      <c r="E215" s="84" t="s">
        <v>71</v>
      </c>
      <c r="F215" s="2" t="s">
        <v>407</v>
      </c>
      <c r="G215" s="2" t="s">
        <v>270</v>
      </c>
      <c r="H215" s="2">
        <v>1.43</v>
      </c>
      <c r="I215" s="2">
        <v>0.54</v>
      </c>
      <c r="J215" s="68">
        <v>35</v>
      </c>
      <c r="K215" s="2" t="s">
        <v>28</v>
      </c>
      <c r="L215" s="2" t="s">
        <v>28</v>
      </c>
      <c r="M215" s="2" t="s">
        <v>28</v>
      </c>
      <c r="N215" s="144"/>
      <c r="O215" s="144"/>
      <c r="Q215" s="3">
        <f t="shared" si="68"/>
        <v>92</v>
      </c>
      <c r="R215" s="3">
        <f t="shared" si="65"/>
        <v>3220</v>
      </c>
      <c r="S215" s="3"/>
    </row>
    <row r="216" spans="1:20" ht="15.75" customHeight="1" x14ac:dyDescent="0.25">
      <c r="A216" s="76">
        <v>45579</v>
      </c>
      <c r="B216" s="44" t="s">
        <v>427</v>
      </c>
      <c r="D216" s="44" t="s">
        <v>24</v>
      </c>
      <c r="E216" s="84" t="s">
        <v>71</v>
      </c>
      <c r="F216" s="2" t="s">
        <v>409</v>
      </c>
      <c r="G216" s="2" t="s">
        <v>270</v>
      </c>
      <c r="H216" s="2">
        <v>1.54</v>
      </c>
      <c r="I216" s="2">
        <v>0.46</v>
      </c>
      <c r="J216" s="68">
        <v>61.3</v>
      </c>
      <c r="K216" s="2" t="s">
        <v>28</v>
      </c>
      <c r="L216" s="2" t="s">
        <v>28</v>
      </c>
      <c r="M216" s="2" t="s">
        <v>28</v>
      </c>
      <c r="N216" s="144"/>
      <c r="O216" s="144"/>
      <c r="Q216" s="3">
        <f t="shared" si="68"/>
        <v>92</v>
      </c>
      <c r="R216" s="3">
        <f t="shared" si="65"/>
        <v>5639.5999999999995</v>
      </c>
      <c r="S216" s="3"/>
    </row>
    <row r="217" spans="1:20" ht="15.75" customHeight="1" x14ac:dyDescent="0.25">
      <c r="A217" s="76">
        <v>45579</v>
      </c>
      <c r="B217" s="44" t="s">
        <v>428</v>
      </c>
      <c r="D217" s="44" t="s">
        <v>24</v>
      </c>
      <c r="E217" s="84" t="s">
        <v>71</v>
      </c>
      <c r="F217" s="2" t="s">
        <v>429</v>
      </c>
      <c r="G217" s="2" t="s">
        <v>270</v>
      </c>
      <c r="H217" s="2">
        <v>1.86</v>
      </c>
      <c r="I217" s="2">
        <v>0.3</v>
      </c>
      <c r="J217" s="68">
        <v>7.4</v>
      </c>
      <c r="K217" s="2" t="s">
        <v>28</v>
      </c>
      <c r="L217" s="2" t="s">
        <v>28</v>
      </c>
      <c r="M217" s="2" t="s">
        <v>28</v>
      </c>
      <c r="N217" s="144"/>
      <c r="O217" s="144"/>
      <c r="Q217" s="3">
        <f t="shared" si="68"/>
        <v>92</v>
      </c>
      <c r="R217" s="3">
        <f t="shared" si="65"/>
        <v>680.80000000000007</v>
      </c>
      <c r="S217" s="3"/>
    </row>
    <row r="218" spans="1:20" ht="15.75" customHeight="1" x14ac:dyDescent="0.25">
      <c r="A218" s="76">
        <v>45579</v>
      </c>
      <c r="B218" s="44" t="s">
        <v>430</v>
      </c>
      <c r="D218" s="44" t="s">
        <v>24</v>
      </c>
      <c r="E218" s="84" t="s">
        <v>71</v>
      </c>
      <c r="F218" s="2" t="s">
        <v>431</v>
      </c>
      <c r="G218" s="2" t="s">
        <v>270</v>
      </c>
      <c r="H218" s="2">
        <v>1.61</v>
      </c>
      <c r="I218" s="2">
        <v>0.39</v>
      </c>
      <c r="J218" s="68">
        <v>17.600000000000001</v>
      </c>
      <c r="K218" s="2" t="s">
        <v>28</v>
      </c>
      <c r="L218" s="2" t="s">
        <v>28</v>
      </c>
      <c r="M218" s="2" t="s">
        <v>28</v>
      </c>
      <c r="N218" s="144"/>
      <c r="O218" s="144"/>
      <c r="Q218" s="3">
        <f t="shared" si="68"/>
        <v>92</v>
      </c>
      <c r="R218" s="3">
        <f t="shared" si="65"/>
        <v>1619.2</v>
      </c>
      <c r="S218" s="3"/>
    </row>
    <row r="219" spans="1:20" ht="15.75" customHeight="1" x14ac:dyDescent="0.25">
      <c r="A219" s="76">
        <v>45579</v>
      </c>
      <c r="B219" s="44" t="s">
        <v>432</v>
      </c>
      <c r="D219" s="44" t="s">
        <v>24</v>
      </c>
      <c r="E219" s="84" t="s">
        <v>71</v>
      </c>
      <c r="F219" s="2" t="s">
        <v>415</v>
      </c>
      <c r="G219" s="2" t="s">
        <v>270</v>
      </c>
      <c r="H219" s="2">
        <v>1.32</v>
      </c>
      <c r="I219" s="2">
        <v>0.35</v>
      </c>
      <c r="J219" s="68">
        <v>89</v>
      </c>
      <c r="K219" s="2" t="s">
        <v>28</v>
      </c>
      <c r="L219" s="2" t="s">
        <v>28</v>
      </c>
      <c r="M219" s="2" t="s">
        <v>28</v>
      </c>
      <c r="N219" s="144"/>
      <c r="O219" s="144"/>
      <c r="Q219" s="3">
        <f t="shared" si="68"/>
        <v>92</v>
      </c>
      <c r="R219" s="3">
        <f t="shared" si="65"/>
        <v>8188</v>
      </c>
      <c r="S219" s="3"/>
    </row>
    <row r="220" spans="1:20" ht="15.75" customHeight="1" x14ac:dyDescent="0.25">
      <c r="A220" s="76">
        <v>45579</v>
      </c>
      <c r="B220" s="44" t="s">
        <v>433</v>
      </c>
      <c r="D220" s="44" t="s">
        <v>24</v>
      </c>
      <c r="E220" s="84" t="s">
        <v>71</v>
      </c>
      <c r="F220" s="2" t="s">
        <v>417</v>
      </c>
      <c r="G220" s="2" t="s">
        <v>270</v>
      </c>
      <c r="H220" s="2">
        <v>1.36</v>
      </c>
      <c r="I220" s="2">
        <v>0.32</v>
      </c>
      <c r="J220" s="68">
        <v>42.6</v>
      </c>
      <c r="K220" s="2" t="s">
        <v>28</v>
      </c>
      <c r="L220" s="2" t="s">
        <v>28</v>
      </c>
      <c r="M220" s="2" t="s">
        <v>28</v>
      </c>
      <c r="N220" s="144"/>
      <c r="O220" s="144"/>
      <c r="Q220" s="3">
        <f t="shared" si="68"/>
        <v>92</v>
      </c>
      <c r="R220" s="3">
        <f t="shared" si="65"/>
        <v>3919.2000000000003</v>
      </c>
      <c r="S220" s="3"/>
    </row>
    <row r="221" spans="1:20" ht="15.75" customHeight="1" x14ac:dyDescent="0.25">
      <c r="A221" s="77">
        <v>45579</v>
      </c>
      <c r="B221" s="70" t="s">
        <v>434</v>
      </c>
      <c r="C221" s="78"/>
      <c r="D221" s="70" t="s">
        <v>24</v>
      </c>
      <c r="E221" s="85" t="s">
        <v>71</v>
      </c>
      <c r="F221" s="73" t="s">
        <v>419</v>
      </c>
      <c r="G221" s="73" t="s">
        <v>270</v>
      </c>
      <c r="H221" s="73">
        <v>1.37</v>
      </c>
      <c r="I221" s="73">
        <v>0.41</v>
      </c>
      <c r="J221" s="74">
        <v>47.2</v>
      </c>
      <c r="K221" s="73" t="s">
        <v>28</v>
      </c>
      <c r="L221" s="73" t="s">
        <v>28</v>
      </c>
      <c r="M221" s="73" t="s">
        <v>28</v>
      </c>
      <c r="N221" s="142"/>
      <c r="O221" s="142"/>
      <c r="P221" s="78"/>
      <c r="Q221" s="75">
        <f t="shared" si="68"/>
        <v>92</v>
      </c>
      <c r="R221" s="75">
        <f t="shared" si="65"/>
        <v>4342.4000000000005</v>
      </c>
      <c r="S221" s="75"/>
      <c r="T221" s="78"/>
    </row>
    <row r="222" spans="1:20" ht="15.75" customHeight="1" x14ac:dyDescent="0.25">
      <c r="A222" s="76">
        <v>45580</v>
      </c>
      <c r="B222" s="44" t="s">
        <v>435</v>
      </c>
      <c r="D222" s="44" t="s">
        <v>24</v>
      </c>
      <c r="E222" s="84" t="s">
        <v>71</v>
      </c>
      <c r="F222" s="2" t="s">
        <v>421</v>
      </c>
      <c r="G222" s="68" t="s">
        <v>436</v>
      </c>
      <c r="H222" s="2">
        <v>1.25</v>
      </c>
      <c r="I222" s="2">
        <v>0.37</v>
      </c>
      <c r="J222" s="68">
        <v>23</v>
      </c>
      <c r="K222" s="2" t="s">
        <v>28</v>
      </c>
      <c r="L222" s="2" t="s">
        <v>28</v>
      </c>
      <c r="M222" s="2" t="s">
        <v>28</v>
      </c>
      <c r="N222" s="141" t="s">
        <v>437</v>
      </c>
      <c r="Q222" s="3">
        <f t="shared" ref="Q222:Q231" si="69">30-2-4-2</f>
        <v>22</v>
      </c>
      <c r="R222" s="3">
        <f>Q222*J222</f>
        <v>506</v>
      </c>
      <c r="S222" s="3"/>
    </row>
    <row r="223" spans="1:20" ht="15.75" customHeight="1" x14ac:dyDescent="0.25">
      <c r="A223" s="76">
        <v>45580</v>
      </c>
      <c r="B223" s="44" t="s">
        <v>435</v>
      </c>
      <c r="D223" s="44" t="s">
        <v>24</v>
      </c>
      <c r="E223" s="84" t="s">
        <v>71</v>
      </c>
      <c r="F223" s="2" t="s">
        <v>438</v>
      </c>
      <c r="G223" s="2" t="s">
        <v>436</v>
      </c>
      <c r="H223" s="2">
        <v>1.1399999999999999</v>
      </c>
      <c r="I223" s="2">
        <v>0.41</v>
      </c>
      <c r="J223" s="68">
        <v>66.599999999999994</v>
      </c>
      <c r="K223" s="2" t="s">
        <v>28</v>
      </c>
      <c r="L223" s="2" t="s">
        <v>28</v>
      </c>
      <c r="M223" s="2" t="s">
        <v>28</v>
      </c>
      <c r="N223" s="144"/>
      <c r="Q223" s="3">
        <f t="shared" si="69"/>
        <v>22</v>
      </c>
      <c r="R223" s="3">
        <f>J223*Q223</f>
        <v>1465.1999999999998</v>
      </c>
      <c r="S223" s="3"/>
    </row>
    <row r="224" spans="1:20" ht="15.75" customHeight="1" x14ac:dyDescent="0.25">
      <c r="A224" s="76">
        <v>45580</v>
      </c>
      <c r="B224" s="44" t="s">
        <v>439</v>
      </c>
      <c r="D224" s="44" t="s">
        <v>24</v>
      </c>
      <c r="E224" s="84" t="s">
        <v>71</v>
      </c>
      <c r="F224" s="2" t="s">
        <v>405</v>
      </c>
      <c r="G224" s="2" t="s">
        <v>436</v>
      </c>
      <c r="H224" s="2">
        <v>1.69</v>
      </c>
      <c r="I224" s="2">
        <v>0.97</v>
      </c>
      <c r="J224" s="68">
        <v>122.6</v>
      </c>
      <c r="K224" s="2" t="s">
        <v>28</v>
      </c>
      <c r="L224" s="2" t="s">
        <v>28</v>
      </c>
      <c r="M224" s="2" t="s">
        <v>28</v>
      </c>
      <c r="N224" s="144"/>
      <c r="Q224" s="3">
        <f t="shared" si="69"/>
        <v>22</v>
      </c>
      <c r="R224" s="3">
        <f>Q224*J224</f>
        <v>2697.2</v>
      </c>
      <c r="S224" s="3"/>
    </row>
    <row r="225" spans="1:20" ht="15.75" customHeight="1" x14ac:dyDescent="0.25">
      <c r="A225" s="76">
        <v>45580</v>
      </c>
      <c r="B225" s="44" t="s">
        <v>440</v>
      </c>
      <c r="D225" s="44" t="s">
        <v>24</v>
      </c>
      <c r="E225" s="84" t="s">
        <v>71</v>
      </c>
      <c r="F225" s="2" t="s">
        <v>407</v>
      </c>
      <c r="G225" s="2" t="s">
        <v>436</v>
      </c>
      <c r="H225" s="2">
        <v>1.25</v>
      </c>
      <c r="I225" s="2">
        <v>0.49</v>
      </c>
      <c r="J225" s="68">
        <v>3.6</v>
      </c>
      <c r="K225" s="2" t="s">
        <v>28</v>
      </c>
      <c r="L225" s="2" t="s">
        <v>28</v>
      </c>
      <c r="M225" s="2" t="s">
        <v>28</v>
      </c>
      <c r="N225" s="144"/>
      <c r="Q225" s="3">
        <f t="shared" si="69"/>
        <v>22</v>
      </c>
      <c r="R225" s="3">
        <f>J225*Q225</f>
        <v>79.2</v>
      </c>
      <c r="S225" s="3"/>
    </row>
    <row r="226" spans="1:20" ht="15.75" customHeight="1" x14ac:dyDescent="0.25">
      <c r="A226" s="76">
        <v>45580</v>
      </c>
      <c r="B226" s="44" t="s">
        <v>441</v>
      </c>
      <c r="D226" s="44" t="s">
        <v>24</v>
      </c>
      <c r="E226" s="84" t="s">
        <v>71</v>
      </c>
      <c r="F226" s="2" t="s">
        <v>409</v>
      </c>
      <c r="G226" s="2" t="s">
        <v>436</v>
      </c>
      <c r="H226" s="2">
        <v>1.72</v>
      </c>
      <c r="I226" s="2">
        <v>1.0900000000000001</v>
      </c>
      <c r="J226" s="68">
        <v>129.30000000000001</v>
      </c>
      <c r="K226" s="2" t="s">
        <v>28</v>
      </c>
      <c r="L226" s="2" t="s">
        <v>28</v>
      </c>
      <c r="M226" s="2" t="s">
        <v>28</v>
      </c>
      <c r="N226" s="144"/>
      <c r="Q226" s="3">
        <f t="shared" si="69"/>
        <v>22</v>
      </c>
      <c r="R226" s="3">
        <f>Q226*J226</f>
        <v>2844.6000000000004</v>
      </c>
      <c r="S226" s="3"/>
    </row>
    <row r="227" spans="1:20" ht="15.75" customHeight="1" x14ac:dyDescent="0.25">
      <c r="A227" s="76">
        <v>45580</v>
      </c>
      <c r="B227" s="44" t="s">
        <v>442</v>
      </c>
      <c r="D227" s="44" t="s">
        <v>24</v>
      </c>
      <c r="E227" s="84" t="s">
        <v>71</v>
      </c>
      <c r="F227" s="2" t="s">
        <v>443</v>
      </c>
      <c r="G227" s="2" t="s">
        <v>436</v>
      </c>
      <c r="H227" s="2">
        <v>1.1399999999999999</v>
      </c>
      <c r="I227" s="2">
        <v>0.4</v>
      </c>
      <c r="J227" s="68">
        <v>33.299999999999997</v>
      </c>
      <c r="K227" s="2" t="s">
        <v>28</v>
      </c>
      <c r="L227" s="2" t="s">
        <v>28</v>
      </c>
      <c r="M227" s="2" t="s">
        <v>28</v>
      </c>
      <c r="N227" s="144"/>
      <c r="Q227" s="3">
        <f t="shared" si="69"/>
        <v>22</v>
      </c>
      <c r="R227" s="3">
        <f>J227*Q227</f>
        <v>732.59999999999991</v>
      </c>
      <c r="S227" s="3"/>
    </row>
    <row r="228" spans="1:20" ht="15.75" customHeight="1" x14ac:dyDescent="0.25">
      <c r="A228" s="76">
        <v>45580</v>
      </c>
      <c r="B228" s="44" t="s">
        <v>442</v>
      </c>
      <c r="D228" s="44" t="s">
        <v>24</v>
      </c>
      <c r="E228" s="84" t="s">
        <v>71</v>
      </c>
      <c r="F228" s="2" t="s">
        <v>444</v>
      </c>
      <c r="G228" s="2" t="s">
        <v>436</v>
      </c>
      <c r="H228" s="2">
        <v>1.1000000000000001</v>
      </c>
      <c r="I228" s="2">
        <v>0.33</v>
      </c>
      <c r="J228" s="68">
        <v>80.2</v>
      </c>
      <c r="K228" s="2" t="s">
        <v>28</v>
      </c>
      <c r="L228" s="2" t="s">
        <v>28</v>
      </c>
      <c r="M228" s="2" t="s">
        <v>28</v>
      </c>
      <c r="N228" s="144"/>
      <c r="Q228" s="3">
        <f t="shared" si="69"/>
        <v>22</v>
      </c>
      <c r="R228" s="3">
        <f>Q228*J228</f>
        <v>1764.4</v>
      </c>
      <c r="S228" s="3"/>
    </row>
    <row r="229" spans="1:20" ht="15.75" customHeight="1" x14ac:dyDescent="0.25">
      <c r="A229" s="76">
        <v>45580</v>
      </c>
      <c r="B229" s="44" t="s">
        <v>445</v>
      </c>
      <c r="D229" s="44" t="s">
        <v>24</v>
      </c>
      <c r="E229" s="84" t="s">
        <v>71</v>
      </c>
      <c r="F229" s="2" t="s">
        <v>415</v>
      </c>
      <c r="G229" s="2" t="s">
        <v>436</v>
      </c>
      <c r="H229" s="2">
        <v>1.71</v>
      </c>
      <c r="I229" s="2">
        <v>1.05</v>
      </c>
      <c r="J229" s="68">
        <v>110.6</v>
      </c>
      <c r="K229" s="2" t="s">
        <v>28</v>
      </c>
      <c r="L229" s="2" t="s">
        <v>28</v>
      </c>
      <c r="M229" s="2" t="s">
        <v>28</v>
      </c>
      <c r="N229" s="144"/>
      <c r="Q229" s="3">
        <f t="shared" si="69"/>
        <v>22</v>
      </c>
      <c r="R229" s="3">
        <f>J229*Q229</f>
        <v>2433.1999999999998</v>
      </c>
      <c r="S229" s="3"/>
    </row>
    <row r="230" spans="1:20" ht="15.75" customHeight="1" x14ac:dyDescent="0.25">
      <c r="A230" s="76">
        <v>45580</v>
      </c>
      <c r="B230" s="44" t="s">
        <v>446</v>
      </c>
      <c r="D230" s="44" t="s">
        <v>24</v>
      </c>
      <c r="E230" s="84" t="s">
        <v>71</v>
      </c>
      <c r="F230" s="2" t="s">
        <v>417</v>
      </c>
      <c r="G230" s="2" t="s">
        <v>436</v>
      </c>
      <c r="H230" s="2">
        <v>1.24</v>
      </c>
      <c r="I230" s="2">
        <v>0.42</v>
      </c>
      <c r="J230" s="68">
        <v>42</v>
      </c>
      <c r="K230" s="2" t="s">
        <v>28</v>
      </c>
      <c r="L230" s="2" t="s">
        <v>28</v>
      </c>
      <c r="M230" s="2" t="s">
        <v>28</v>
      </c>
      <c r="N230" s="144"/>
      <c r="Q230" s="3">
        <f t="shared" si="69"/>
        <v>22</v>
      </c>
      <c r="R230" s="3">
        <f>Q230*J230</f>
        <v>924</v>
      </c>
      <c r="S230" s="3"/>
    </row>
    <row r="231" spans="1:20" ht="15.75" customHeight="1" x14ac:dyDescent="0.25">
      <c r="A231" s="77">
        <v>45580</v>
      </c>
      <c r="B231" s="70" t="s">
        <v>447</v>
      </c>
      <c r="C231" s="78"/>
      <c r="D231" s="70" t="s">
        <v>24</v>
      </c>
      <c r="E231" s="85" t="s">
        <v>71</v>
      </c>
      <c r="F231" s="73" t="s">
        <v>419</v>
      </c>
      <c r="G231" s="73" t="s">
        <v>436</v>
      </c>
      <c r="H231" s="73">
        <v>1.48</v>
      </c>
      <c r="I231" s="73">
        <v>0.61</v>
      </c>
      <c r="J231" s="74">
        <v>58.9</v>
      </c>
      <c r="K231" s="73" t="s">
        <v>28</v>
      </c>
      <c r="L231" s="73" t="s">
        <v>28</v>
      </c>
      <c r="M231" s="73" t="s">
        <v>28</v>
      </c>
      <c r="N231" s="142"/>
      <c r="O231" s="78"/>
      <c r="P231" s="78"/>
      <c r="Q231" s="75">
        <f t="shared" si="69"/>
        <v>22</v>
      </c>
      <c r="R231" s="75">
        <f t="shared" ref="R231:R241" si="70">J231*Q231</f>
        <v>1295.8</v>
      </c>
      <c r="S231" s="75"/>
      <c r="T231" s="78"/>
    </row>
    <row r="232" spans="1:20" ht="15.75" customHeight="1" x14ac:dyDescent="0.25">
      <c r="A232" s="76">
        <v>45583</v>
      </c>
      <c r="B232" s="44" t="s">
        <v>448</v>
      </c>
      <c r="D232" s="44" t="s">
        <v>24</v>
      </c>
      <c r="E232" s="84" t="s">
        <v>71</v>
      </c>
      <c r="F232" s="2" t="s">
        <v>449</v>
      </c>
      <c r="G232" s="2" t="s">
        <v>257</v>
      </c>
      <c r="H232" s="2">
        <v>1.32</v>
      </c>
      <c r="I232" s="2">
        <v>0.35</v>
      </c>
      <c r="J232" s="68">
        <v>14</v>
      </c>
      <c r="K232" s="2" t="s">
        <v>28</v>
      </c>
      <c r="L232" s="2" t="s">
        <v>28</v>
      </c>
      <c r="M232" s="2" t="s">
        <v>28</v>
      </c>
      <c r="N232" s="141" t="s">
        <v>260</v>
      </c>
      <c r="O232" s="143" t="s">
        <v>82</v>
      </c>
      <c r="Q232" s="3">
        <f t="shared" ref="Q232:Q241" si="71">50-2-4-2</f>
        <v>42</v>
      </c>
      <c r="R232" s="3">
        <f t="shared" si="70"/>
        <v>588</v>
      </c>
      <c r="S232" s="3"/>
    </row>
    <row r="233" spans="1:20" ht="15.75" customHeight="1" x14ac:dyDescent="0.25">
      <c r="A233" s="76">
        <v>45583</v>
      </c>
      <c r="B233" s="44" t="s">
        <v>450</v>
      </c>
      <c r="D233" s="44" t="s">
        <v>24</v>
      </c>
      <c r="E233" s="84" t="s">
        <v>71</v>
      </c>
      <c r="F233" s="2" t="s">
        <v>451</v>
      </c>
      <c r="G233" s="2" t="s">
        <v>257</v>
      </c>
      <c r="H233" s="2">
        <v>1.45</v>
      </c>
      <c r="I233" s="2">
        <v>0.4</v>
      </c>
      <c r="J233" s="68">
        <v>14.6</v>
      </c>
      <c r="K233" s="2" t="s">
        <v>28</v>
      </c>
      <c r="L233" s="2" t="s">
        <v>28</v>
      </c>
      <c r="M233" s="2" t="s">
        <v>28</v>
      </c>
      <c r="N233" s="144"/>
      <c r="O233" s="144"/>
      <c r="Q233" s="3">
        <f t="shared" si="71"/>
        <v>42</v>
      </c>
      <c r="R233" s="3">
        <f t="shared" si="70"/>
        <v>613.19999999999993</v>
      </c>
      <c r="S233" s="3"/>
    </row>
    <row r="234" spans="1:20" ht="15.75" customHeight="1" x14ac:dyDescent="0.25">
      <c r="A234" s="76">
        <v>45583</v>
      </c>
      <c r="B234" s="44" t="s">
        <v>452</v>
      </c>
      <c r="D234" s="44" t="s">
        <v>24</v>
      </c>
      <c r="E234" s="84" t="s">
        <v>71</v>
      </c>
      <c r="F234" s="2" t="s">
        <v>453</v>
      </c>
      <c r="G234" s="2" t="s">
        <v>257</v>
      </c>
      <c r="H234" s="2">
        <v>1.46</v>
      </c>
      <c r="I234" s="2">
        <v>0.51</v>
      </c>
      <c r="J234" s="68">
        <v>38.700000000000003</v>
      </c>
      <c r="K234" s="2" t="s">
        <v>28</v>
      </c>
      <c r="L234" s="2" t="s">
        <v>28</v>
      </c>
      <c r="M234" s="2" t="s">
        <v>28</v>
      </c>
      <c r="N234" s="144"/>
      <c r="O234" s="144"/>
      <c r="Q234" s="3">
        <f t="shared" si="71"/>
        <v>42</v>
      </c>
      <c r="R234" s="3">
        <f t="shared" si="70"/>
        <v>1625.4</v>
      </c>
      <c r="S234" s="3"/>
    </row>
    <row r="235" spans="1:20" ht="15.75" customHeight="1" x14ac:dyDescent="0.25">
      <c r="A235" s="76">
        <v>45583</v>
      </c>
      <c r="B235" s="44" t="s">
        <v>454</v>
      </c>
      <c r="D235" s="44" t="s">
        <v>24</v>
      </c>
      <c r="E235" s="84" t="s">
        <v>71</v>
      </c>
      <c r="F235" s="2" t="s">
        <v>455</v>
      </c>
      <c r="G235" s="2" t="s">
        <v>257</v>
      </c>
      <c r="H235" s="2">
        <v>1.41</v>
      </c>
      <c r="I235" s="2">
        <v>0.4</v>
      </c>
      <c r="J235" s="68">
        <v>22.2</v>
      </c>
      <c r="K235" s="2" t="s">
        <v>28</v>
      </c>
      <c r="L235" s="2" t="s">
        <v>28</v>
      </c>
      <c r="M235" s="2" t="s">
        <v>28</v>
      </c>
      <c r="N235" s="144"/>
      <c r="O235" s="144"/>
      <c r="Q235" s="3">
        <f t="shared" si="71"/>
        <v>42</v>
      </c>
      <c r="R235" s="3">
        <f t="shared" si="70"/>
        <v>932.4</v>
      </c>
      <c r="S235" s="3"/>
    </row>
    <row r="236" spans="1:20" ht="15.75" customHeight="1" x14ac:dyDescent="0.25">
      <c r="A236" s="76">
        <v>45583</v>
      </c>
      <c r="B236" s="44" t="s">
        <v>456</v>
      </c>
      <c r="D236" s="44" t="s">
        <v>24</v>
      </c>
      <c r="E236" s="84" t="s">
        <v>71</v>
      </c>
      <c r="F236" s="2" t="s">
        <v>457</v>
      </c>
      <c r="G236" s="2" t="s">
        <v>257</v>
      </c>
      <c r="H236" s="2">
        <v>1.42</v>
      </c>
      <c r="I236" s="2">
        <v>0.54</v>
      </c>
      <c r="J236" s="68">
        <v>61.4</v>
      </c>
      <c r="K236" s="2" t="s">
        <v>28</v>
      </c>
      <c r="L236" s="2" t="s">
        <v>28</v>
      </c>
      <c r="M236" s="2" t="s">
        <v>28</v>
      </c>
      <c r="N236" s="144"/>
      <c r="O236" s="144"/>
      <c r="Q236" s="3">
        <f t="shared" si="71"/>
        <v>42</v>
      </c>
      <c r="R236" s="3">
        <f t="shared" si="70"/>
        <v>2578.7999999999997</v>
      </c>
      <c r="S236" s="3"/>
    </row>
    <row r="237" spans="1:20" ht="15.75" customHeight="1" x14ac:dyDescent="0.25">
      <c r="A237" s="76">
        <v>45583</v>
      </c>
      <c r="B237" s="44" t="s">
        <v>458</v>
      </c>
      <c r="D237" s="44" t="s">
        <v>24</v>
      </c>
      <c r="E237" s="84" t="s">
        <v>71</v>
      </c>
      <c r="F237" s="2" t="s">
        <v>459</v>
      </c>
      <c r="G237" s="2" t="s">
        <v>257</v>
      </c>
      <c r="H237" s="2">
        <v>1.93</v>
      </c>
      <c r="I237" s="2">
        <v>0.42</v>
      </c>
      <c r="J237" s="68">
        <v>6.1</v>
      </c>
      <c r="K237" s="2" t="s">
        <v>28</v>
      </c>
      <c r="L237" s="2" t="s">
        <v>28</v>
      </c>
      <c r="M237" s="2" t="s">
        <v>28</v>
      </c>
      <c r="N237" s="144"/>
      <c r="O237" s="144"/>
      <c r="Q237" s="3">
        <f t="shared" si="71"/>
        <v>42</v>
      </c>
      <c r="R237" s="3">
        <f t="shared" si="70"/>
        <v>256.2</v>
      </c>
      <c r="S237" s="3"/>
    </row>
    <row r="238" spans="1:20" ht="15.75" customHeight="1" x14ac:dyDescent="0.25">
      <c r="A238" s="76">
        <v>45583</v>
      </c>
      <c r="B238" s="44" t="s">
        <v>460</v>
      </c>
      <c r="D238" s="44" t="s">
        <v>24</v>
      </c>
      <c r="E238" s="84" t="s">
        <v>71</v>
      </c>
      <c r="F238" s="2" t="s">
        <v>461</v>
      </c>
      <c r="G238" s="2" t="s">
        <v>257</v>
      </c>
      <c r="H238" s="2">
        <v>1.35</v>
      </c>
      <c r="I238" s="2">
        <v>0.41</v>
      </c>
      <c r="J238" s="68">
        <v>19.8</v>
      </c>
      <c r="K238" s="2" t="s">
        <v>28</v>
      </c>
      <c r="L238" s="2" t="s">
        <v>28</v>
      </c>
      <c r="M238" s="2" t="s">
        <v>28</v>
      </c>
      <c r="N238" s="144"/>
      <c r="O238" s="144"/>
      <c r="Q238" s="3">
        <f t="shared" si="71"/>
        <v>42</v>
      </c>
      <c r="R238" s="3">
        <f t="shared" si="70"/>
        <v>831.6</v>
      </c>
      <c r="S238" s="3"/>
    </row>
    <row r="239" spans="1:20" ht="15.75" customHeight="1" x14ac:dyDescent="0.25">
      <c r="A239" s="76">
        <v>45583</v>
      </c>
      <c r="B239" s="44" t="s">
        <v>462</v>
      </c>
      <c r="D239" s="44" t="s">
        <v>24</v>
      </c>
      <c r="E239" s="84" t="s">
        <v>71</v>
      </c>
      <c r="F239" s="2" t="s">
        <v>463</v>
      </c>
      <c r="G239" s="2" t="s">
        <v>257</v>
      </c>
      <c r="H239" s="2">
        <v>1.22</v>
      </c>
      <c r="I239" s="2">
        <v>0.41</v>
      </c>
      <c r="J239" s="68">
        <v>109.1</v>
      </c>
      <c r="K239" s="2" t="s">
        <v>28</v>
      </c>
      <c r="L239" s="2" t="s">
        <v>28</v>
      </c>
      <c r="M239" s="2" t="s">
        <v>28</v>
      </c>
      <c r="N239" s="144"/>
      <c r="O239" s="144"/>
      <c r="Q239" s="3">
        <f t="shared" si="71"/>
        <v>42</v>
      </c>
      <c r="R239" s="3">
        <f t="shared" si="70"/>
        <v>4582.2</v>
      </c>
      <c r="S239" s="3"/>
    </row>
    <row r="240" spans="1:20" ht="15.75" customHeight="1" x14ac:dyDescent="0.25">
      <c r="A240" s="76">
        <v>45583</v>
      </c>
      <c r="B240" s="44" t="s">
        <v>464</v>
      </c>
      <c r="D240" s="44" t="s">
        <v>24</v>
      </c>
      <c r="E240" s="84" t="s">
        <v>71</v>
      </c>
      <c r="F240" s="2" t="s">
        <v>465</v>
      </c>
      <c r="G240" s="2" t="s">
        <v>257</v>
      </c>
      <c r="H240" s="2">
        <v>1.17</v>
      </c>
      <c r="I240" s="2">
        <v>0.36</v>
      </c>
      <c r="J240" s="68">
        <v>55.8</v>
      </c>
      <c r="K240" s="2" t="s">
        <v>28</v>
      </c>
      <c r="L240" s="2" t="s">
        <v>28</v>
      </c>
      <c r="M240" s="2" t="s">
        <v>28</v>
      </c>
      <c r="N240" s="144"/>
      <c r="O240" s="144"/>
      <c r="Q240" s="3">
        <f t="shared" si="71"/>
        <v>42</v>
      </c>
      <c r="R240" s="3">
        <f t="shared" si="70"/>
        <v>2343.6</v>
      </c>
      <c r="S240" s="3"/>
    </row>
    <row r="241" spans="1:20" ht="15.75" customHeight="1" x14ac:dyDescent="0.25">
      <c r="A241" s="77">
        <v>45583</v>
      </c>
      <c r="B241" s="70" t="s">
        <v>466</v>
      </c>
      <c r="C241" s="78"/>
      <c r="D241" s="70" t="s">
        <v>24</v>
      </c>
      <c r="E241" s="85" t="s">
        <v>71</v>
      </c>
      <c r="F241" s="73" t="s">
        <v>467</v>
      </c>
      <c r="G241" s="73" t="s">
        <v>257</v>
      </c>
      <c r="H241" s="73">
        <v>1.23</v>
      </c>
      <c r="I241" s="73">
        <v>0.36</v>
      </c>
      <c r="J241" s="74">
        <v>38.5</v>
      </c>
      <c r="K241" s="73" t="s">
        <v>28</v>
      </c>
      <c r="L241" s="73" t="s">
        <v>28</v>
      </c>
      <c r="M241" s="73" t="s">
        <v>28</v>
      </c>
      <c r="N241" s="142"/>
      <c r="O241" s="142"/>
      <c r="P241" s="78"/>
      <c r="Q241" s="75">
        <f t="shared" si="71"/>
        <v>42</v>
      </c>
      <c r="R241" s="75">
        <f t="shared" si="70"/>
        <v>1617</v>
      </c>
      <c r="S241" s="75"/>
      <c r="T241" s="78"/>
    </row>
    <row r="242" spans="1:20" ht="16.5" customHeight="1" x14ac:dyDescent="0.25">
      <c r="A242" s="76">
        <v>45587</v>
      </c>
      <c r="B242" s="44" t="s">
        <v>468</v>
      </c>
      <c r="D242" s="44" t="s">
        <v>24</v>
      </c>
      <c r="E242" s="84" t="s">
        <v>71</v>
      </c>
      <c r="F242" s="2" t="s">
        <v>469</v>
      </c>
      <c r="G242" s="68" t="s">
        <v>470</v>
      </c>
      <c r="H242" s="2">
        <v>1.91</v>
      </c>
      <c r="I242" s="2">
        <v>0.49</v>
      </c>
      <c r="J242" s="2">
        <v>5.3</v>
      </c>
      <c r="K242" s="2" t="s">
        <v>28</v>
      </c>
      <c r="L242" s="2" t="s">
        <v>28</v>
      </c>
      <c r="M242" s="2" t="s">
        <v>28</v>
      </c>
      <c r="N242" s="143" t="s">
        <v>260</v>
      </c>
      <c r="O242" s="143" t="s">
        <v>82</v>
      </c>
      <c r="Q242" s="3">
        <f t="shared" ref="Q242:Q251" si="72">100-2-4-94+30-2-4-2</f>
        <v>22</v>
      </c>
      <c r="R242" s="3">
        <f t="shared" ref="R242:R253" si="73">Q242*J242</f>
        <v>116.6</v>
      </c>
      <c r="S242" s="3"/>
    </row>
    <row r="243" spans="1:20" ht="15.75" customHeight="1" x14ac:dyDescent="0.25">
      <c r="A243" s="76">
        <v>45587</v>
      </c>
      <c r="B243" s="44" t="s">
        <v>468</v>
      </c>
      <c r="D243" s="44" t="s">
        <v>24</v>
      </c>
      <c r="E243" s="84" t="s">
        <v>71</v>
      </c>
      <c r="F243" s="2" t="s">
        <v>471</v>
      </c>
      <c r="G243" s="2" t="s">
        <v>470</v>
      </c>
      <c r="H243" s="2">
        <v>2.13</v>
      </c>
      <c r="I243" s="2">
        <v>0.41</v>
      </c>
      <c r="J243" s="2">
        <v>4.3</v>
      </c>
      <c r="K243" s="2" t="s">
        <v>28</v>
      </c>
      <c r="L243" s="2" t="s">
        <v>28</v>
      </c>
      <c r="M243" s="2" t="s">
        <v>28</v>
      </c>
      <c r="N243" s="144"/>
      <c r="O243" s="144"/>
      <c r="Q243" s="3">
        <f t="shared" si="72"/>
        <v>22</v>
      </c>
      <c r="R243" s="3">
        <f t="shared" si="73"/>
        <v>94.6</v>
      </c>
      <c r="S243" s="3"/>
    </row>
    <row r="244" spans="1:20" ht="15.75" customHeight="1" x14ac:dyDescent="0.25">
      <c r="A244" s="76">
        <v>45587</v>
      </c>
      <c r="B244" s="44" t="s">
        <v>472</v>
      </c>
      <c r="D244" s="44" t="s">
        <v>24</v>
      </c>
      <c r="E244" s="84" t="s">
        <v>71</v>
      </c>
      <c r="F244" s="2" t="s">
        <v>473</v>
      </c>
      <c r="G244" s="2" t="s">
        <v>470</v>
      </c>
      <c r="H244" s="2">
        <v>2.02</v>
      </c>
      <c r="I244" s="2">
        <v>0.5</v>
      </c>
      <c r="J244" s="2">
        <v>7.9</v>
      </c>
      <c r="K244" s="2" t="s">
        <v>28</v>
      </c>
      <c r="L244" s="2" t="s">
        <v>28</v>
      </c>
      <c r="M244" s="2" t="s">
        <v>28</v>
      </c>
      <c r="N244" s="144"/>
      <c r="O244" s="144"/>
      <c r="Q244" s="3">
        <f t="shared" si="72"/>
        <v>22</v>
      </c>
      <c r="R244" s="3">
        <f t="shared" si="73"/>
        <v>173.8</v>
      </c>
      <c r="S244" s="3"/>
    </row>
    <row r="245" spans="1:20" ht="15.75" customHeight="1" x14ac:dyDescent="0.25">
      <c r="A245" s="76">
        <v>45587</v>
      </c>
      <c r="B245" s="44" t="s">
        <v>474</v>
      </c>
      <c r="D245" s="44" t="s">
        <v>24</v>
      </c>
      <c r="E245" s="84" t="s">
        <v>71</v>
      </c>
      <c r="F245" s="2" t="s">
        <v>475</v>
      </c>
      <c r="G245" s="2" t="s">
        <v>470</v>
      </c>
      <c r="H245" s="2">
        <v>2.2000000000000002</v>
      </c>
      <c r="I245" s="2">
        <v>0.42</v>
      </c>
      <c r="J245" s="2">
        <v>3.2</v>
      </c>
      <c r="K245" s="2" t="s">
        <v>28</v>
      </c>
      <c r="L245" s="2" t="s">
        <v>28</v>
      </c>
      <c r="M245" s="2" t="s">
        <v>28</v>
      </c>
      <c r="N245" s="144"/>
      <c r="O245" s="144"/>
      <c r="Q245" s="3">
        <f t="shared" si="72"/>
        <v>22</v>
      </c>
      <c r="R245" s="3">
        <f t="shared" si="73"/>
        <v>70.400000000000006</v>
      </c>
      <c r="S245" s="3"/>
    </row>
    <row r="246" spans="1:20" ht="15.75" customHeight="1" x14ac:dyDescent="0.25">
      <c r="A246" s="76">
        <v>45587</v>
      </c>
      <c r="B246" s="44" t="s">
        <v>476</v>
      </c>
      <c r="D246" s="44" t="s">
        <v>24</v>
      </c>
      <c r="E246" s="84" t="s">
        <v>71</v>
      </c>
      <c r="F246" s="2" t="s">
        <v>477</v>
      </c>
      <c r="G246" s="2" t="s">
        <v>470</v>
      </c>
      <c r="H246" s="2">
        <v>1.73</v>
      </c>
      <c r="I246" s="2">
        <v>0.99</v>
      </c>
      <c r="J246" s="2">
        <v>31.8</v>
      </c>
      <c r="K246" s="2" t="s">
        <v>28</v>
      </c>
      <c r="L246" s="2" t="s">
        <v>28</v>
      </c>
      <c r="M246" s="2" t="s">
        <v>28</v>
      </c>
      <c r="N246" s="144"/>
      <c r="O246" s="144"/>
      <c r="Q246" s="3">
        <f t="shared" si="72"/>
        <v>22</v>
      </c>
      <c r="R246" s="3">
        <f t="shared" si="73"/>
        <v>699.6</v>
      </c>
      <c r="S246" s="3"/>
    </row>
    <row r="247" spans="1:20" ht="15.75" customHeight="1" x14ac:dyDescent="0.25">
      <c r="A247" s="76">
        <v>45587</v>
      </c>
      <c r="B247" s="44" t="s">
        <v>478</v>
      </c>
      <c r="D247" s="44" t="s">
        <v>24</v>
      </c>
      <c r="E247" s="84" t="s">
        <v>71</v>
      </c>
      <c r="F247" s="2" t="s">
        <v>479</v>
      </c>
      <c r="G247" s="2" t="s">
        <v>470</v>
      </c>
      <c r="H247" s="2">
        <v>1.5</v>
      </c>
      <c r="I247" s="2">
        <v>0.38</v>
      </c>
      <c r="J247" s="2">
        <v>5</v>
      </c>
      <c r="K247" s="2" t="s">
        <v>28</v>
      </c>
      <c r="L247" s="2" t="s">
        <v>28</v>
      </c>
      <c r="M247" s="2" t="s">
        <v>28</v>
      </c>
      <c r="N247" s="144"/>
      <c r="O247" s="144"/>
      <c r="Q247" s="3">
        <f t="shared" si="72"/>
        <v>22</v>
      </c>
      <c r="R247" s="3">
        <f t="shared" si="73"/>
        <v>110</v>
      </c>
      <c r="S247" s="3"/>
    </row>
    <row r="248" spans="1:20" ht="15.75" customHeight="1" x14ac:dyDescent="0.25">
      <c r="A248" s="76">
        <v>45587</v>
      </c>
      <c r="B248" s="44" t="s">
        <v>478</v>
      </c>
      <c r="D248" s="44" t="s">
        <v>24</v>
      </c>
      <c r="E248" s="84" t="s">
        <v>71</v>
      </c>
      <c r="F248" s="2" t="s">
        <v>480</v>
      </c>
      <c r="G248" s="2" t="s">
        <v>470</v>
      </c>
      <c r="H248" s="2">
        <v>1.71</v>
      </c>
      <c r="I248" s="2">
        <v>0.39</v>
      </c>
      <c r="J248" s="2">
        <v>3.7</v>
      </c>
      <c r="K248" s="2" t="s">
        <v>28</v>
      </c>
      <c r="L248" s="2" t="s">
        <v>28</v>
      </c>
      <c r="M248" s="2" t="s">
        <v>28</v>
      </c>
      <c r="N248" s="144"/>
      <c r="O248" s="144"/>
      <c r="Q248" s="3">
        <f t="shared" si="72"/>
        <v>22</v>
      </c>
      <c r="R248" s="3">
        <f t="shared" si="73"/>
        <v>81.400000000000006</v>
      </c>
      <c r="S248" s="3"/>
    </row>
    <row r="249" spans="1:20" ht="15.75" customHeight="1" x14ac:dyDescent="0.25">
      <c r="A249" s="76">
        <v>45587</v>
      </c>
      <c r="B249" s="44" t="s">
        <v>481</v>
      </c>
      <c r="D249" s="44" t="s">
        <v>24</v>
      </c>
      <c r="E249" s="84" t="s">
        <v>71</v>
      </c>
      <c r="F249" s="2" t="s">
        <v>482</v>
      </c>
      <c r="G249" s="2" t="s">
        <v>470</v>
      </c>
      <c r="H249" s="2">
        <v>1.63</v>
      </c>
      <c r="I249" s="2">
        <v>0.51</v>
      </c>
      <c r="J249" s="2">
        <v>11.3</v>
      </c>
      <c r="K249" s="2" t="s">
        <v>28</v>
      </c>
      <c r="L249" s="2" t="s">
        <v>28</v>
      </c>
      <c r="M249" s="2" t="s">
        <v>28</v>
      </c>
      <c r="N249" s="144"/>
      <c r="O249" s="144"/>
      <c r="Q249" s="3">
        <f t="shared" si="72"/>
        <v>22</v>
      </c>
      <c r="R249" s="3">
        <f t="shared" si="73"/>
        <v>248.60000000000002</v>
      </c>
      <c r="S249" s="3"/>
    </row>
    <row r="250" spans="1:20" ht="15.75" customHeight="1" x14ac:dyDescent="0.25">
      <c r="A250" s="76">
        <v>45587</v>
      </c>
      <c r="B250" s="44" t="s">
        <v>483</v>
      </c>
      <c r="D250" s="44" t="s">
        <v>24</v>
      </c>
      <c r="E250" s="84" t="s">
        <v>71</v>
      </c>
      <c r="F250" s="2" t="s">
        <v>484</v>
      </c>
      <c r="G250" s="2" t="s">
        <v>470</v>
      </c>
      <c r="H250" s="2">
        <v>1.57</v>
      </c>
      <c r="I250" s="2">
        <v>0.39</v>
      </c>
      <c r="J250" s="2">
        <v>2.9</v>
      </c>
      <c r="K250" s="2" t="s">
        <v>28</v>
      </c>
      <c r="L250" s="2" t="s">
        <v>28</v>
      </c>
      <c r="M250" s="2" t="s">
        <v>28</v>
      </c>
      <c r="N250" s="144"/>
      <c r="O250" s="144"/>
      <c r="Q250" s="3">
        <f t="shared" si="72"/>
        <v>22</v>
      </c>
      <c r="R250" s="3">
        <f t="shared" si="73"/>
        <v>63.8</v>
      </c>
      <c r="S250" s="3"/>
    </row>
    <row r="251" spans="1:20" ht="15.75" customHeight="1" x14ac:dyDescent="0.25">
      <c r="A251" s="77">
        <v>45587</v>
      </c>
      <c r="B251" s="70" t="s">
        <v>485</v>
      </c>
      <c r="C251" s="78"/>
      <c r="D251" s="70" t="s">
        <v>24</v>
      </c>
      <c r="E251" s="85" t="s">
        <v>71</v>
      </c>
      <c r="F251" s="73" t="s">
        <v>486</v>
      </c>
      <c r="G251" s="73" t="s">
        <v>470</v>
      </c>
      <c r="H251" s="73">
        <v>1.87</v>
      </c>
      <c r="I251" s="73">
        <v>0.4</v>
      </c>
      <c r="J251" s="73">
        <v>4.2</v>
      </c>
      <c r="K251" s="73" t="s">
        <v>28</v>
      </c>
      <c r="L251" s="73" t="s">
        <v>28</v>
      </c>
      <c r="M251" s="73" t="s">
        <v>28</v>
      </c>
      <c r="N251" s="144"/>
      <c r="O251" s="144"/>
      <c r="P251" s="78"/>
      <c r="Q251" s="75">
        <f t="shared" si="72"/>
        <v>22</v>
      </c>
      <c r="R251" s="75">
        <f t="shared" si="73"/>
        <v>92.4</v>
      </c>
      <c r="S251" s="75"/>
      <c r="T251" s="78"/>
    </row>
    <row r="252" spans="1:20" ht="15.75" customHeight="1" x14ac:dyDescent="0.25">
      <c r="A252" s="76">
        <v>45587</v>
      </c>
      <c r="B252" s="44" t="s">
        <v>487</v>
      </c>
      <c r="D252" s="44" t="s">
        <v>24</v>
      </c>
      <c r="E252" s="37" t="s">
        <v>48</v>
      </c>
      <c r="F252" s="2" t="s">
        <v>488</v>
      </c>
      <c r="G252" s="2" t="s">
        <v>328</v>
      </c>
      <c r="H252" s="2">
        <v>1.67</v>
      </c>
      <c r="I252" s="2">
        <v>1.2</v>
      </c>
      <c r="J252" s="2">
        <v>442.2</v>
      </c>
      <c r="K252" s="2" t="s">
        <v>28</v>
      </c>
      <c r="L252" s="2" t="s">
        <v>28</v>
      </c>
      <c r="M252" s="2" t="s">
        <v>28</v>
      </c>
      <c r="N252" s="144"/>
      <c r="O252" s="144"/>
      <c r="Q252" s="3">
        <f t="shared" ref="Q252:Q253" si="74">100-2-4-94+30-2-4</f>
        <v>24</v>
      </c>
      <c r="R252" s="3">
        <f t="shared" si="73"/>
        <v>10612.8</v>
      </c>
      <c r="S252" s="3"/>
    </row>
    <row r="253" spans="1:20" ht="15.75" customHeight="1" x14ac:dyDescent="0.25">
      <c r="A253" s="77">
        <v>45587</v>
      </c>
      <c r="B253" s="70" t="s">
        <v>489</v>
      </c>
      <c r="C253" s="78"/>
      <c r="D253" s="70" t="s">
        <v>24</v>
      </c>
      <c r="E253" s="40" t="s">
        <v>48</v>
      </c>
      <c r="F253" s="73" t="s">
        <v>490</v>
      </c>
      <c r="G253" s="73" t="s">
        <v>328</v>
      </c>
      <c r="H253" s="73">
        <v>1.7</v>
      </c>
      <c r="I253" s="73">
        <v>1.1100000000000001</v>
      </c>
      <c r="J253" s="73">
        <v>125.3</v>
      </c>
      <c r="K253" s="73" t="s">
        <v>28</v>
      </c>
      <c r="L253" s="73" t="s">
        <v>28</v>
      </c>
      <c r="M253" s="73" t="s">
        <v>28</v>
      </c>
      <c r="N253" s="142"/>
      <c r="O253" s="142"/>
      <c r="P253" s="78"/>
      <c r="Q253" s="75">
        <f t="shared" si="74"/>
        <v>24</v>
      </c>
      <c r="R253" s="75">
        <f t="shared" si="73"/>
        <v>3007.2</v>
      </c>
      <c r="S253" s="75"/>
      <c r="T253" s="78"/>
    </row>
    <row r="254" spans="1:20" ht="15.75" customHeight="1" x14ac:dyDescent="0.25">
      <c r="F254" s="3"/>
      <c r="G254" s="3"/>
      <c r="H254" s="3"/>
      <c r="I254" s="3"/>
      <c r="J254" s="3"/>
      <c r="K254" s="3"/>
      <c r="Q254" s="3"/>
      <c r="R254" s="3"/>
      <c r="S254" s="3"/>
    </row>
    <row r="255" spans="1:20" ht="15.75" customHeight="1" x14ac:dyDescent="0.25">
      <c r="F255" s="3"/>
      <c r="G255" s="3"/>
      <c r="H255" s="3"/>
      <c r="I255" s="3"/>
      <c r="J255" s="3"/>
      <c r="K255" s="3"/>
      <c r="Q255" s="3"/>
      <c r="R255" s="3"/>
      <c r="S255" s="3"/>
    </row>
    <row r="256" spans="1:20" ht="15.75" customHeight="1" x14ac:dyDescent="0.25">
      <c r="F256" s="3"/>
      <c r="G256" s="3"/>
      <c r="H256" s="3"/>
      <c r="I256" s="3"/>
      <c r="J256" s="3"/>
      <c r="K256" s="3"/>
      <c r="Q256" s="3"/>
      <c r="R256" s="3"/>
      <c r="S256" s="3"/>
    </row>
    <row r="257" spans="6:19" ht="15.75" customHeight="1" x14ac:dyDescent="0.25">
      <c r="F257" s="3"/>
      <c r="G257" s="3"/>
      <c r="H257" s="3"/>
      <c r="I257" s="3"/>
      <c r="J257" s="3"/>
      <c r="K257" s="3"/>
      <c r="Q257" s="3"/>
      <c r="R257" s="3"/>
      <c r="S257" s="3"/>
    </row>
    <row r="258" spans="6:19" ht="15.75" customHeight="1" x14ac:dyDescent="0.25">
      <c r="F258" s="3"/>
      <c r="G258" s="3"/>
      <c r="H258" s="3"/>
      <c r="I258" s="3"/>
      <c r="J258" s="3"/>
      <c r="K258" s="3"/>
      <c r="Q258" s="3"/>
      <c r="R258" s="3"/>
      <c r="S258" s="3"/>
    </row>
    <row r="259" spans="6:19" ht="15.75" customHeight="1" x14ac:dyDescent="0.25">
      <c r="F259" s="3"/>
      <c r="G259" s="3"/>
      <c r="H259" s="3"/>
      <c r="I259" s="3"/>
      <c r="J259" s="3"/>
      <c r="K259" s="3"/>
      <c r="Q259" s="3"/>
      <c r="R259" s="3"/>
      <c r="S259" s="3"/>
    </row>
    <row r="260" spans="6:19" ht="15.75" customHeight="1" x14ac:dyDescent="0.25">
      <c r="F260" s="3"/>
      <c r="G260" s="3"/>
      <c r="H260" s="3"/>
      <c r="I260" s="3"/>
      <c r="J260" s="3"/>
      <c r="K260" s="3"/>
      <c r="Q260" s="3"/>
      <c r="R260" s="3"/>
      <c r="S260" s="3"/>
    </row>
    <row r="261" spans="6:19" ht="15.75" customHeight="1" x14ac:dyDescent="0.25">
      <c r="F261" s="3"/>
      <c r="G261" s="3"/>
      <c r="H261" s="3"/>
      <c r="I261" s="3"/>
      <c r="J261" s="3"/>
      <c r="K261" s="3"/>
      <c r="Q261" s="3"/>
      <c r="R261" s="3"/>
      <c r="S261" s="3"/>
    </row>
    <row r="262" spans="6:19" ht="15.75" customHeight="1" x14ac:dyDescent="0.25">
      <c r="F262" s="3"/>
      <c r="G262" s="3"/>
      <c r="H262" s="3"/>
      <c r="I262" s="3"/>
      <c r="J262" s="3"/>
      <c r="K262" s="3"/>
      <c r="Q262" s="3"/>
      <c r="R262" s="3"/>
      <c r="S262" s="3"/>
    </row>
    <row r="263" spans="6:19" ht="15.75" customHeight="1" x14ac:dyDescent="0.25">
      <c r="F263" s="3"/>
      <c r="G263" s="3"/>
      <c r="H263" s="3"/>
      <c r="I263" s="3"/>
      <c r="J263" s="3"/>
      <c r="K263" s="3"/>
      <c r="Q263" s="3"/>
      <c r="R263" s="3"/>
      <c r="S263" s="3"/>
    </row>
    <row r="264" spans="6:19" ht="15.75" customHeight="1" x14ac:dyDescent="0.25">
      <c r="F264" s="3"/>
      <c r="G264" s="3"/>
      <c r="H264" s="3"/>
      <c r="I264" s="3"/>
      <c r="J264" s="3"/>
      <c r="K264" s="3"/>
      <c r="Q264" s="3"/>
      <c r="R264" s="3"/>
      <c r="S264" s="3"/>
    </row>
    <row r="265" spans="6:19" ht="15.75" customHeight="1" x14ac:dyDescent="0.25">
      <c r="F265" s="3"/>
      <c r="G265" s="3"/>
      <c r="H265" s="3"/>
      <c r="I265" s="3"/>
      <c r="J265" s="3"/>
      <c r="K265" s="3"/>
      <c r="Q265" s="3"/>
      <c r="R265" s="3"/>
      <c r="S265" s="3"/>
    </row>
    <row r="266" spans="6:19" ht="15.75" customHeight="1" x14ac:dyDescent="0.25">
      <c r="F266" s="3"/>
      <c r="G266" s="3"/>
      <c r="H266" s="3"/>
      <c r="I266" s="3"/>
      <c r="J266" s="3"/>
      <c r="K266" s="3"/>
      <c r="Q266" s="3"/>
      <c r="R266" s="3"/>
      <c r="S266" s="3"/>
    </row>
    <row r="267" spans="6:19" ht="15.75" customHeight="1" x14ac:dyDescent="0.25">
      <c r="F267" s="3"/>
      <c r="G267" s="3"/>
      <c r="H267" s="3"/>
      <c r="I267" s="3"/>
      <c r="J267" s="3"/>
      <c r="K267" s="3"/>
      <c r="Q267" s="3"/>
      <c r="R267" s="3"/>
      <c r="S267" s="3"/>
    </row>
    <row r="268" spans="6:19" ht="15.75" customHeight="1" x14ac:dyDescent="0.25">
      <c r="F268" s="3"/>
      <c r="G268" s="3"/>
      <c r="H268" s="3"/>
      <c r="I268" s="3"/>
      <c r="J268" s="3"/>
      <c r="K268" s="3"/>
      <c r="Q268" s="3"/>
      <c r="R268" s="3"/>
      <c r="S268" s="3"/>
    </row>
    <row r="269" spans="6:19" ht="15.75" customHeight="1" x14ac:dyDescent="0.25">
      <c r="F269" s="3"/>
      <c r="G269" s="3"/>
      <c r="H269" s="3"/>
      <c r="I269" s="3"/>
      <c r="J269" s="3"/>
      <c r="K269" s="3"/>
      <c r="Q269" s="3"/>
      <c r="R269" s="3"/>
      <c r="S269" s="3"/>
    </row>
    <row r="270" spans="6:19" ht="15.75" customHeight="1" x14ac:dyDescent="0.25">
      <c r="F270" s="3"/>
      <c r="G270" s="3"/>
      <c r="H270" s="3"/>
      <c r="I270" s="3"/>
      <c r="J270" s="3"/>
      <c r="K270" s="3"/>
      <c r="Q270" s="3"/>
      <c r="R270" s="3"/>
      <c r="S270" s="3"/>
    </row>
    <row r="271" spans="6:19" ht="15.75" customHeight="1" x14ac:dyDescent="0.25">
      <c r="F271" s="3"/>
      <c r="G271" s="3"/>
      <c r="H271" s="3"/>
      <c r="I271" s="3"/>
      <c r="J271" s="3"/>
      <c r="K271" s="3"/>
      <c r="Q271" s="3"/>
      <c r="R271" s="3"/>
      <c r="S271" s="3"/>
    </row>
    <row r="272" spans="6:19" ht="15.75" customHeight="1" x14ac:dyDescent="0.25">
      <c r="F272" s="3"/>
      <c r="G272" s="3"/>
      <c r="H272" s="3"/>
      <c r="I272" s="3"/>
      <c r="J272" s="3"/>
      <c r="K272" s="3"/>
      <c r="Q272" s="3"/>
      <c r="R272" s="3"/>
      <c r="S272" s="3"/>
    </row>
    <row r="273" spans="6:19" ht="15.75" customHeight="1" x14ac:dyDescent="0.25">
      <c r="F273" s="3"/>
      <c r="G273" s="3"/>
      <c r="H273" s="3"/>
      <c r="I273" s="3"/>
      <c r="J273" s="3"/>
      <c r="K273" s="3"/>
      <c r="Q273" s="3"/>
      <c r="R273" s="3"/>
      <c r="S273" s="3"/>
    </row>
    <row r="274" spans="6:19" ht="15.75" customHeight="1" x14ac:dyDescent="0.25">
      <c r="F274" s="3"/>
      <c r="G274" s="3"/>
      <c r="H274" s="3"/>
      <c r="I274" s="3"/>
      <c r="J274" s="3"/>
      <c r="K274" s="3"/>
      <c r="Q274" s="3"/>
      <c r="R274" s="3"/>
      <c r="S274" s="3"/>
    </row>
    <row r="275" spans="6:19" ht="15.75" customHeight="1" x14ac:dyDescent="0.25">
      <c r="F275" s="3"/>
      <c r="G275" s="3"/>
      <c r="H275" s="3"/>
      <c r="I275" s="3"/>
      <c r="J275" s="3"/>
      <c r="K275" s="3"/>
      <c r="Q275" s="3"/>
      <c r="R275" s="3"/>
      <c r="S275" s="3"/>
    </row>
    <row r="276" spans="6:19" ht="15.75" customHeight="1" x14ac:dyDescent="0.25">
      <c r="F276" s="3"/>
      <c r="G276" s="3"/>
      <c r="H276" s="3"/>
      <c r="I276" s="3"/>
      <c r="J276" s="3"/>
      <c r="K276" s="3"/>
      <c r="Q276" s="3"/>
      <c r="R276" s="3"/>
      <c r="S276" s="3"/>
    </row>
    <row r="277" spans="6:19" ht="15.75" customHeight="1" x14ac:dyDescent="0.25">
      <c r="F277" s="3"/>
      <c r="G277" s="3"/>
      <c r="H277" s="3"/>
      <c r="I277" s="3"/>
      <c r="J277" s="3"/>
      <c r="K277" s="3"/>
      <c r="Q277" s="3"/>
      <c r="R277" s="3"/>
      <c r="S277" s="3"/>
    </row>
    <row r="278" spans="6:19" ht="15.75" customHeight="1" x14ac:dyDescent="0.25">
      <c r="F278" s="3"/>
      <c r="G278" s="3"/>
      <c r="H278" s="3"/>
      <c r="I278" s="3"/>
      <c r="J278" s="3"/>
      <c r="K278" s="3"/>
      <c r="Q278" s="3"/>
      <c r="R278" s="3"/>
      <c r="S278" s="3"/>
    </row>
    <row r="279" spans="6:19" ht="15.75" customHeight="1" x14ac:dyDescent="0.25">
      <c r="F279" s="3"/>
      <c r="G279" s="3"/>
      <c r="H279" s="3"/>
      <c r="I279" s="3"/>
      <c r="J279" s="3"/>
      <c r="K279" s="3"/>
      <c r="Q279" s="3"/>
      <c r="R279" s="3"/>
      <c r="S279" s="3"/>
    </row>
    <row r="280" spans="6:19" ht="15.75" customHeight="1" x14ac:dyDescent="0.25">
      <c r="F280" s="3"/>
      <c r="G280" s="3"/>
      <c r="H280" s="3"/>
      <c r="I280" s="3"/>
      <c r="J280" s="3"/>
      <c r="K280" s="3"/>
      <c r="Q280" s="3"/>
      <c r="R280" s="3"/>
      <c r="S280" s="3"/>
    </row>
    <row r="281" spans="6:19" ht="15.75" customHeight="1" x14ac:dyDescent="0.25">
      <c r="F281" s="3"/>
      <c r="G281" s="3"/>
      <c r="H281" s="3"/>
      <c r="I281" s="3"/>
      <c r="J281" s="3"/>
      <c r="K281" s="3"/>
      <c r="Q281" s="3"/>
      <c r="R281" s="3"/>
      <c r="S281" s="3"/>
    </row>
    <row r="282" spans="6:19" ht="15.75" customHeight="1" x14ac:dyDescent="0.25">
      <c r="F282" s="3"/>
      <c r="G282" s="3"/>
      <c r="H282" s="3"/>
      <c r="I282" s="3"/>
      <c r="J282" s="3"/>
      <c r="K282" s="3"/>
      <c r="Q282" s="3"/>
      <c r="R282" s="3"/>
      <c r="S282" s="3"/>
    </row>
    <row r="283" spans="6:19" ht="15.75" customHeight="1" x14ac:dyDescent="0.25">
      <c r="F283" s="3"/>
      <c r="G283" s="3"/>
      <c r="H283" s="3"/>
      <c r="I283" s="3"/>
      <c r="J283" s="3"/>
      <c r="K283" s="3"/>
      <c r="Q283" s="3"/>
      <c r="R283" s="3"/>
      <c r="S283" s="3"/>
    </row>
    <row r="284" spans="6:19" ht="15.75" customHeight="1" x14ac:dyDescent="0.25">
      <c r="F284" s="3"/>
      <c r="G284" s="3"/>
      <c r="H284" s="3"/>
      <c r="I284" s="3"/>
      <c r="J284" s="3"/>
      <c r="K284" s="3"/>
      <c r="Q284" s="3"/>
      <c r="R284" s="3"/>
      <c r="S284" s="3"/>
    </row>
    <row r="285" spans="6:19" ht="15.75" customHeight="1" x14ac:dyDescent="0.25">
      <c r="F285" s="3"/>
      <c r="G285" s="3"/>
      <c r="H285" s="3"/>
      <c r="I285" s="3"/>
      <c r="J285" s="3"/>
      <c r="K285" s="3"/>
      <c r="Q285" s="3"/>
      <c r="R285" s="3"/>
      <c r="S285" s="3"/>
    </row>
    <row r="286" spans="6:19" ht="15.75" customHeight="1" x14ac:dyDescent="0.25">
      <c r="F286" s="3"/>
      <c r="G286" s="3"/>
      <c r="H286" s="3"/>
      <c r="I286" s="3"/>
      <c r="J286" s="3"/>
      <c r="K286" s="3"/>
      <c r="Q286" s="3"/>
      <c r="R286" s="3"/>
      <c r="S286" s="3"/>
    </row>
    <row r="287" spans="6:19" ht="15.75" customHeight="1" x14ac:dyDescent="0.25">
      <c r="F287" s="3"/>
      <c r="G287" s="3"/>
      <c r="H287" s="3"/>
      <c r="I287" s="3"/>
      <c r="J287" s="3"/>
      <c r="K287" s="3"/>
      <c r="Q287" s="3"/>
      <c r="R287" s="3"/>
      <c r="S287" s="3"/>
    </row>
    <row r="288" spans="6:19" ht="15.75" customHeight="1" x14ac:dyDescent="0.25">
      <c r="F288" s="3"/>
      <c r="G288" s="3"/>
      <c r="H288" s="3"/>
      <c r="I288" s="3"/>
      <c r="J288" s="3"/>
      <c r="K288" s="3"/>
      <c r="Q288" s="3"/>
      <c r="R288" s="3"/>
      <c r="S288" s="3"/>
    </row>
    <row r="289" spans="6:19" ht="15.75" customHeight="1" x14ac:dyDescent="0.25">
      <c r="F289" s="3"/>
      <c r="G289" s="3"/>
      <c r="H289" s="3"/>
      <c r="I289" s="3"/>
      <c r="J289" s="3"/>
      <c r="K289" s="3"/>
      <c r="Q289" s="3"/>
      <c r="R289" s="3"/>
      <c r="S289" s="3"/>
    </row>
    <row r="290" spans="6:19" ht="15.75" customHeight="1" x14ac:dyDescent="0.25">
      <c r="F290" s="3"/>
      <c r="G290" s="3"/>
      <c r="H290" s="3"/>
      <c r="I290" s="3"/>
      <c r="J290" s="3"/>
      <c r="K290" s="3"/>
      <c r="Q290" s="3"/>
      <c r="R290" s="3"/>
      <c r="S290" s="3"/>
    </row>
    <row r="291" spans="6:19" ht="15.75" customHeight="1" x14ac:dyDescent="0.25">
      <c r="F291" s="3"/>
      <c r="G291" s="3"/>
      <c r="H291" s="3"/>
      <c r="I291" s="3"/>
      <c r="J291" s="3"/>
      <c r="K291" s="3"/>
      <c r="Q291" s="3"/>
      <c r="R291" s="3"/>
      <c r="S291" s="3"/>
    </row>
    <row r="292" spans="6:19" ht="15.75" customHeight="1" x14ac:dyDescent="0.25">
      <c r="F292" s="3"/>
      <c r="G292" s="3"/>
      <c r="H292" s="3"/>
      <c r="I292" s="3"/>
      <c r="J292" s="3"/>
      <c r="K292" s="3"/>
      <c r="Q292" s="3"/>
      <c r="R292" s="3"/>
      <c r="S292" s="3"/>
    </row>
    <row r="293" spans="6:19" ht="15.75" customHeight="1" x14ac:dyDescent="0.25">
      <c r="F293" s="3"/>
      <c r="G293" s="3"/>
      <c r="H293" s="3"/>
      <c r="I293" s="3"/>
      <c r="J293" s="3"/>
      <c r="K293" s="3"/>
      <c r="Q293" s="3"/>
      <c r="R293" s="3"/>
      <c r="S293" s="3"/>
    </row>
    <row r="294" spans="6:19" ht="15.75" customHeight="1" x14ac:dyDescent="0.25">
      <c r="F294" s="3"/>
      <c r="G294" s="3"/>
      <c r="H294" s="3"/>
      <c r="I294" s="3"/>
      <c r="J294" s="3"/>
      <c r="K294" s="3"/>
      <c r="Q294" s="3"/>
      <c r="R294" s="3"/>
      <c r="S294" s="3"/>
    </row>
    <row r="295" spans="6:19" ht="15.75" customHeight="1" x14ac:dyDescent="0.25">
      <c r="F295" s="3"/>
      <c r="G295" s="3"/>
      <c r="H295" s="3"/>
      <c r="I295" s="3"/>
      <c r="J295" s="3"/>
      <c r="K295" s="3"/>
      <c r="Q295" s="3"/>
      <c r="R295" s="3"/>
      <c r="S295" s="3"/>
    </row>
    <row r="296" spans="6:19" ht="15.75" customHeight="1" x14ac:dyDescent="0.25">
      <c r="F296" s="3"/>
      <c r="G296" s="3"/>
      <c r="H296" s="3"/>
      <c r="I296" s="3"/>
      <c r="J296" s="3"/>
      <c r="K296" s="3"/>
      <c r="Q296" s="3"/>
      <c r="R296" s="3"/>
      <c r="S296" s="3"/>
    </row>
    <row r="297" spans="6:19" ht="15.75" customHeight="1" x14ac:dyDescent="0.25">
      <c r="F297" s="3"/>
      <c r="G297" s="3"/>
      <c r="H297" s="3"/>
      <c r="I297" s="3"/>
      <c r="J297" s="3"/>
      <c r="K297" s="3"/>
      <c r="Q297" s="3"/>
      <c r="R297" s="3"/>
      <c r="S297" s="3"/>
    </row>
    <row r="298" spans="6:19" ht="15.75" customHeight="1" x14ac:dyDescent="0.25">
      <c r="F298" s="3"/>
      <c r="G298" s="3"/>
      <c r="H298" s="3"/>
      <c r="I298" s="3"/>
      <c r="J298" s="3"/>
      <c r="K298" s="3"/>
      <c r="Q298" s="3"/>
      <c r="R298" s="3"/>
      <c r="S298" s="3"/>
    </row>
    <row r="299" spans="6:19" ht="15.75" customHeight="1" x14ac:dyDescent="0.25">
      <c r="F299" s="3"/>
      <c r="G299" s="3"/>
      <c r="H299" s="3"/>
      <c r="I299" s="3"/>
      <c r="J299" s="3"/>
      <c r="K299" s="3"/>
      <c r="Q299" s="3"/>
      <c r="R299" s="3"/>
      <c r="S299" s="3"/>
    </row>
    <row r="300" spans="6:19" ht="15.75" customHeight="1" x14ac:dyDescent="0.25">
      <c r="F300" s="3"/>
      <c r="G300" s="3"/>
      <c r="H300" s="3"/>
      <c r="I300" s="3"/>
      <c r="J300" s="3"/>
      <c r="K300" s="3"/>
      <c r="Q300" s="3"/>
      <c r="R300" s="3"/>
      <c r="S300" s="3"/>
    </row>
    <row r="301" spans="6:19" ht="15.75" customHeight="1" x14ac:dyDescent="0.25">
      <c r="F301" s="3"/>
      <c r="G301" s="3"/>
      <c r="H301" s="3"/>
      <c r="I301" s="3"/>
      <c r="J301" s="3"/>
      <c r="K301" s="3"/>
      <c r="Q301" s="3"/>
      <c r="R301" s="3"/>
      <c r="S301" s="3"/>
    </row>
    <row r="302" spans="6:19" ht="15.75" customHeight="1" x14ac:dyDescent="0.25">
      <c r="F302" s="3"/>
      <c r="G302" s="3"/>
      <c r="H302" s="3"/>
      <c r="I302" s="3"/>
      <c r="J302" s="3"/>
      <c r="K302" s="3"/>
      <c r="Q302" s="3"/>
      <c r="R302" s="3"/>
      <c r="S302" s="3"/>
    </row>
    <row r="303" spans="6:19" ht="15.75" customHeight="1" x14ac:dyDescent="0.25">
      <c r="F303" s="3"/>
      <c r="G303" s="3"/>
      <c r="H303" s="3"/>
      <c r="I303" s="3"/>
      <c r="J303" s="3"/>
      <c r="K303" s="3"/>
      <c r="Q303" s="3"/>
      <c r="R303" s="3"/>
      <c r="S303" s="3"/>
    </row>
    <row r="304" spans="6:19" ht="15.75" customHeight="1" x14ac:dyDescent="0.25">
      <c r="F304" s="3"/>
      <c r="G304" s="3"/>
      <c r="H304" s="3"/>
      <c r="I304" s="3"/>
      <c r="J304" s="3"/>
      <c r="K304" s="3"/>
      <c r="Q304" s="3"/>
      <c r="R304" s="3"/>
      <c r="S304" s="3"/>
    </row>
    <row r="305" spans="6:19" ht="15.75" customHeight="1" x14ac:dyDescent="0.25">
      <c r="F305" s="3"/>
      <c r="G305" s="3"/>
      <c r="H305" s="3"/>
      <c r="I305" s="3"/>
      <c r="J305" s="3"/>
      <c r="K305" s="3"/>
      <c r="Q305" s="3"/>
      <c r="R305" s="3"/>
      <c r="S305" s="3"/>
    </row>
    <row r="306" spans="6:19" ht="15.75" customHeight="1" x14ac:dyDescent="0.25">
      <c r="F306" s="3"/>
      <c r="G306" s="3"/>
      <c r="H306" s="3"/>
      <c r="I306" s="3"/>
      <c r="J306" s="3"/>
      <c r="K306" s="3"/>
      <c r="Q306" s="3"/>
      <c r="R306" s="3"/>
      <c r="S306" s="3"/>
    </row>
    <row r="307" spans="6:19" ht="15.75" customHeight="1" x14ac:dyDescent="0.25">
      <c r="F307" s="3"/>
      <c r="G307" s="3"/>
      <c r="H307" s="3"/>
      <c r="I307" s="3"/>
      <c r="J307" s="3"/>
      <c r="K307" s="3"/>
      <c r="Q307" s="3"/>
      <c r="R307" s="3"/>
      <c r="S307" s="3"/>
    </row>
    <row r="308" spans="6:19" ht="15.75" customHeight="1" x14ac:dyDescent="0.25">
      <c r="F308" s="3"/>
      <c r="G308" s="3"/>
      <c r="H308" s="3"/>
      <c r="I308" s="3"/>
      <c r="J308" s="3"/>
      <c r="K308" s="3"/>
      <c r="Q308" s="3"/>
      <c r="R308" s="3"/>
      <c r="S308" s="3"/>
    </row>
    <row r="309" spans="6:19" ht="15.75" customHeight="1" x14ac:dyDescent="0.25">
      <c r="F309" s="3"/>
      <c r="G309" s="3"/>
      <c r="H309" s="3"/>
      <c r="I309" s="3"/>
      <c r="J309" s="3"/>
      <c r="K309" s="3"/>
      <c r="Q309" s="3"/>
      <c r="R309" s="3"/>
      <c r="S309" s="3"/>
    </row>
    <row r="310" spans="6:19" ht="15.75" customHeight="1" x14ac:dyDescent="0.25">
      <c r="F310" s="3"/>
      <c r="G310" s="3"/>
      <c r="H310" s="3"/>
      <c r="I310" s="3"/>
      <c r="J310" s="3"/>
      <c r="K310" s="3"/>
      <c r="Q310" s="3"/>
      <c r="R310" s="3"/>
      <c r="S310" s="3"/>
    </row>
    <row r="311" spans="6:19" ht="15.75" customHeight="1" x14ac:dyDescent="0.25">
      <c r="F311" s="3"/>
      <c r="G311" s="3"/>
      <c r="H311" s="3"/>
      <c r="I311" s="3"/>
      <c r="J311" s="3"/>
      <c r="K311" s="3"/>
      <c r="Q311" s="3"/>
      <c r="R311" s="3"/>
      <c r="S311" s="3"/>
    </row>
    <row r="312" spans="6:19" ht="15.75" customHeight="1" x14ac:dyDescent="0.25">
      <c r="F312" s="3"/>
      <c r="G312" s="3"/>
      <c r="H312" s="3"/>
      <c r="I312" s="3"/>
      <c r="J312" s="3"/>
      <c r="K312" s="3"/>
      <c r="Q312" s="3"/>
      <c r="R312" s="3"/>
      <c r="S312" s="3"/>
    </row>
    <row r="313" spans="6:19" ht="15.75" customHeight="1" x14ac:dyDescent="0.25">
      <c r="F313" s="3"/>
      <c r="G313" s="3"/>
      <c r="H313" s="3"/>
      <c r="I313" s="3"/>
      <c r="J313" s="3"/>
      <c r="K313" s="3"/>
      <c r="Q313" s="3"/>
      <c r="R313" s="3"/>
      <c r="S313" s="3"/>
    </row>
    <row r="314" spans="6:19" ht="15.75" customHeight="1" x14ac:dyDescent="0.25">
      <c r="F314" s="3"/>
      <c r="G314" s="3"/>
      <c r="H314" s="3"/>
      <c r="I314" s="3"/>
      <c r="J314" s="3"/>
      <c r="K314" s="3"/>
      <c r="Q314" s="3"/>
      <c r="R314" s="3"/>
      <c r="S314" s="3"/>
    </row>
    <row r="315" spans="6:19" ht="15.75" customHeight="1" x14ac:dyDescent="0.25">
      <c r="F315" s="3"/>
      <c r="G315" s="3"/>
      <c r="H315" s="3"/>
      <c r="I315" s="3"/>
      <c r="J315" s="3"/>
      <c r="K315" s="3"/>
      <c r="Q315" s="3"/>
      <c r="R315" s="3"/>
      <c r="S315" s="3"/>
    </row>
    <row r="316" spans="6:19" ht="15.75" customHeight="1" x14ac:dyDescent="0.25">
      <c r="F316" s="3"/>
      <c r="G316" s="3"/>
      <c r="H316" s="3"/>
      <c r="I316" s="3"/>
      <c r="J316" s="3"/>
      <c r="K316" s="3"/>
      <c r="Q316" s="3"/>
      <c r="R316" s="3"/>
      <c r="S316" s="3"/>
    </row>
    <row r="317" spans="6:19" ht="15.75" customHeight="1" x14ac:dyDescent="0.25">
      <c r="F317" s="3"/>
      <c r="G317" s="3"/>
      <c r="H317" s="3"/>
      <c r="I317" s="3"/>
      <c r="J317" s="3"/>
      <c r="K317" s="3"/>
      <c r="Q317" s="3"/>
      <c r="R317" s="3"/>
      <c r="S317" s="3"/>
    </row>
    <row r="318" spans="6:19" ht="15.75" customHeight="1" x14ac:dyDescent="0.25">
      <c r="F318" s="3"/>
      <c r="G318" s="3"/>
      <c r="H318" s="3"/>
      <c r="I318" s="3"/>
      <c r="J318" s="3"/>
      <c r="K318" s="3"/>
      <c r="Q318" s="3"/>
      <c r="R318" s="3"/>
      <c r="S318" s="3"/>
    </row>
    <row r="319" spans="6:19" ht="15.75" customHeight="1" x14ac:dyDescent="0.25">
      <c r="F319" s="3"/>
      <c r="G319" s="3"/>
      <c r="H319" s="3"/>
      <c r="I319" s="3"/>
      <c r="J319" s="3"/>
      <c r="K319" s="3"/>
      <c r="Q319" s="3"/>
      <c r="R319" s="3"/>
      <c r="S319" s="3"/>
    </row>
    <row r="320" spans="6:19" ht="15.75" customHeight="1" x14ac:dyDescent="0.25">
      <c r="F320" s="3"/>
      <c r="G320" s="3"/>
      <c r="H320" s="3"/>
      <c r="I320" s="3"/>
      <c r="J320" s="3"/>
      <c r="K320" s="3"/>
      <c r="Q320" s="3"/>
      <c r="R320" s="3"/>
      <c r="S320" s="3"/>
    </row>
    <row r="321" spans="6:19" ht="15.75" customHeight="1" x14ac:dyDescent="0.25">
      <c r="F321" s="3"/>
      <c r="G321" s="3"/>
      <c r="H321" s="3"/>
      <c r="I321" s="3"/>
      <c r="J321" s="3"/>
      <c r="K321" s="3"/>
      <c r="Q321" s="3"/>
      <c r="R321" s="3"/>
      <c r="S321" s="3"/>
    </row>
    <row r="322" spans="6:19" ht="15.75" customHeight="1" x14ac:dyDescent="0.25">
      <c r="F322" s="3"/>
      <c r="G322" s="3"/>
      <c r="H322" s="3"/>
      <c r="I322" s="3"/>
      <c r="J322" s="3"/>
      <c r="K322" s="3"/>
      <c r="Q322" s="3"/>
      <c r="R322" s="3"/>
      <c r="S322" s="3"/>
    </row>
    <row r="323" spans="6:19" ht="15.75" customHeight="1" x14ac:dyDescent="0.25">
      <c r="F323" s="3"/>
      <c r="G323" s="3"/>
      <c r="H323" s="3"/>
      <c r="I323" s="3"/>
      <c r="J323" s="3"/>
      <c r="K323" s="3"/>
      <c r="Q323" s="3"/>
      <c r="R323" s="3"/>
      <c r="S323" s="3"/>
    </row>
    <row r="324" spans="6:19" ht="15.75" customHeight="1" x14ac:dyDescent="0.25">
      <c r="F324" s="3"/>
      <c r="G324" s="3"/>
      <c r="H324" s="3"/>
      <c r="I324" s="3"/>
      <c r="J324" s="3"/>
      <c r="K324" s="3"/>
      <c r="Q324" s="3"/>
      <c r="R324" s="3"/>
      <c r="S324" s="3"/>
    </row>
    <row r="325" spans="6:19" ht="15.75" customHeight="1" x14ac:dyDescent="0.25">
      <c r="F325" s="3"/>
      <c r="G325" s="3"/>
      <c r="H325" s="3"/>
      <c r="I325" s="3"/>
      <c r="J325" s="3"/>
      <c r="K325" s="3"/>
      <c r="Q325" s="3"/>
      <c r="R325" s="3"/>
      <c r="S325" s="3"/>
    </row>
    <row r="326" spans="6:19" ht="15.75" customHeight="1" x14ac:dyDescent="0.25">
      <c r="F326" s="3"/>
      <c r="G326" s="3"/>
      <c r="H326" s="3"/>
      <c r="I326" s="3"/>
      <c r="J326" s="3"/>
      <c r="K326" s="3"/>
      <c r="Q326" s="3"/>
      <c r="R326" s="3"/>
      <c r="S326" s="3"/>
    </row>
    <row r="327" spans="6:19" ht="15.75" customHeight="1" x14ac:dyDescent="0.25">
      <c r="F327" s="3"/>
      <c r="G327" s="3"/>
      <c r="H327" s="3"/>
      <c r="I327" s="3"/>
      <c r="J327" s="3"/>
      <c r="K327" s="3"/>
      <c r="Q327" s="3"/>
      <c r="R327" s="3"/>
      <c r="S327" s="3"/>
    </row>
    <row r="328" spans="6:19" ht="15.75" customHeight="1" x14ac:dyDescent="0.25">
      <c r="F328" s="3"/>
      <c r="G328" s="3"/>
      <c r="H328" s="3"/>
      <c r="I328" s="3"/>
      <c r="J328" s="3"/>
      <c r="K328" s="3"/>
      <c r="Q328" s="3"/>
      <c r="R328" s="3"/>
      <c r="S328" s="3"/>
    </row>
    <row r="329" spans="6:19" ht="15.75" customHeight="1" x14ac:dyDescent="0.25">
      <c r="F329" s="3"/>
      <c r="G329" s="3"/>
      <c r="H329" s="3"/>
      <c r="I329" s="3"/>
      <c r="J329" s="3"/>
      <c r="K329" s="3"/>
      <c r="Q329" s="3"/>
      <c r="R329" s="3"/>
      <c r="S329" s="3"/>
    </row>
    <row r="330" spans="6:19" ht="15.75" customHeight="1" x14ac:dyDescent="0.25">
      <c r="F330" s="3"/>
      <c r="G330" s="3"/>
      <c r="H330" s="3"/>
      <c r="I330" s="3"/>
      <c r="J330" s="3"/>
      <c r="K330" s="3"/>
      <c r="Q330" s="3"/>
      <c r="R330" s="3"/>
      <c r="S330" s="3"/>
    </row>
    <row r="331" spans="6:19" ht="15.75" customHeight="1" x14ac:dyDescent="0.25">
      <c r="F331" s="3"/>
      <c r="G331" s="3"/>
      <c r="H331" s="3"/>
      <c r="I331" s="3"/>
      <c r="J331" s="3"/>
      <c r="K331" s="3"/>
      <c r="Q331" s="3"/>
      <c r="R331" s="3"/>
      <c r="S331" s="3"/>
    </row>
    <row r="332" spans="6:19" ht="15.75" customHeight="1" x14ac:dyDescent="0.25">
      <c r="F332" s="3"/>
      <c r="G332" s="3"/>
      <c r="H332" s="3"/>
      <c r="I332" s="3"/>
      <c r="J332" s="3"/>
      <c r="K332" s="3"/>
      <c r="Q332" s="3"/>
      <c r="R332" s="3"/>
      <c r="S332" s="3"/>
    </row>
    <row r="333" spans="6:19" ht="15.75" customHeight="1" x14ac:dyDescent="0.25">
      <c r="F333" s="3"/>
      <c r="G333" s="3"/>
      <c r="H333" s="3"/>
      <c r="I333" s="3"/>
      <c r="J333" s="3"/>
      <c r="K333" s="3"/>
      <c r="Q333" s="3"/>
      <c r="R333" s="3"/>
      <c r="S333" s="3"/>
    </row>
    <row r="334" spans="6:19" ht="15.75" customHeight="1" x14ac:dyDescent="0.25">
      <c r="F334" s="3"/>
      <c r="G334" s="3"/>
      <c r="H334" s="3"/>
      <c r="I334" s="3"/>
      <c r="J334" s="3"/>
      <c r="K334" s="3"/>
      <c r="Q334" s="3"/>
      <c r="R334" s="3"/>
      <c r="S334" s="3"/>
    </row>
    <row r="335" spans="6:19" ht="15.75" customHeight="1" x14ac:dyDescent="0.25">
      <c r="F335" s="3"/>
      <c r="G335" s="3"/>
      <c r="H335" s="3"/>
      <c r="I335" s="3"/>
      <c r="J335" s="3"/>
      <c r="K335" s="3"/>
      <c r="Q335" s="3"/>
      <c r="R335" s="3"/>
      <c r="S335" s="3"/>
    </row>
    <row r="336" spans="6:19" ht="15.75" customHeight="1" x14ac:dyDescent="0.25">
      <c r="F336" s="3"/>
      <c r="G336" s="3"/>
      <c r="H336" s="3"/>
      <c r="I336" s="3"/>
      <c r="J336" s="3"/>
      <c r="K336" s="3"/>
      <c r="Q336" s="3"/>
      <c r="R336" s="3"/>
      <c r="S336" s="3"/>
    </row>
    <row r="337" spans="6:19" ht="15.75" customHeight="1" x14ac:dyDescent="0.25">
      <c r="F337" s="3"/>
      <c r="G337" s="3"/>
      <c r="H337" s="3"/>
      <c r="I337" s="3"/>
      <c r="J337" s="3"/>
      <c r="K337" s="3"/>
      <c r="Q337" s="3"/>
      <c r="R337" s="3"/>
      <c r="S337" s="3"/>
    </row>
    <row r="338" spans="6:19" ht="15.75" customHeight="1" x14ac:dyDescent="0.25">
      <c r="F338" s="3"/>
      <c r="G338" s="3"/>
      <c r="H338" s="3"/>
      <c r="I338" s="3"/>
      <c r="J338" s="3"/>
      <c r="K338" s="3"/>
      <c r="Q338" s="3"/>
      <c r="R338" s="3"/>
      <c r="S338" s="3"/>
    </row>
    <row r="339" spans="6:19" ht="15.75" customHeight="1" x14ac:dyDescent="0.25">
      <c r="F339" s="3"/>
      <c r="G339" s="3"/>
      <c r="H339" s="3"/>
      <c r="I339" s="3"/>
      <c r="J339" s="3"/>
      <c r="K339" s="3"/>
      <c r="Q339" s="3"/>
      <c r="R339" s="3"/>
      <c r="S339" s="3"/>
    </row>
    <row r="340" spans="6:19" ht="15.75" customHeight="1" x14ac:dyDescent="0.25">
      <c r="F340" s="3"/>
      <c r="G340" s="3"/>
      <c r="H340" s="3"/>
      <c r="I340" s="3"/>
      <c r="J340" s="3"/>
      <c r="K340" s="3"/>
      <c r="Q340" s="3"/>
      <c r="R340" s="3"/>
      <c r="S340" s="3"/>
    </row>
    <row r="341" spans="6:19" ht="15.75" customHeight="1" x14ac:dyDescent="0.25">
      <c r="F341" s="3"/>
      <c r="G341" s="3"/>
      <c r="H341" s="3"/>
      <c r="I341" s="3"/>
      <c r="J341" s="3"/>
      <c r="K341" s="3"/>
      <c r="Q341" s="3"/>
      <c r="R341" s="3"/>
      <c r="S341" s="3"/>
    </row>
    <row r="342" spans="6:19" ht="15.75" customHeight="1" x14ac:dyDescent="0.25">
      <c r="F342" s="3"/>
      <c r="G342" s="3"/>
      <c r="H342" s="3"/>
      <c r="I342" s="3"/>
      <c r="J342" s="3"/>
      <c r="K342" s="3"/>
      <c r="Q342" s="3"/>
      <c r="R342" s="3"/>
      <c r="S342" s="3"/>
    </row>
    <row r="343" spans="6:19" ht="15.75" customHeight="1" x14ac:dyDescent="0.25">
      <c r="F343" s="3"/>
      <c r="G343" s="3"/>
      <c r="H343" s="3"/>
      <c r="I343" s="3"/>
      <c r="J343" s="3"/>
      <c r="K343" s="3"/>
      <c r="Q343" s="3"/>
      <c r="R343" s="3"/>
      <c r="S343" s="3"/>
    </row>
    <row r="344" spans="6:19" ht="15.75" customHeight="1" x14ac:dyDescent="0.25">
      <c r="F344" s="3"/>
      <c r="G344" s="3"/>
      <c r="H344" s="3"/>
      <c r="I344" s="3"/>
      <c r="J344" s="3"/>
      <c r="K344" s="3"/>
      <c r="Q344" s="3"/>
      <c r="R344" s="3"/>
      <c r="S344" s="3"/>
    </row>
    <row r="345" spans="6:19" ht="15.75" customHeight="1" x14ac:dyDescent="0.25">
      <c r="F345" s="3"/>
      <c r="G345" s="3"/>
      <c r="H345" s="3"/>
      <c r="I345" s="3"/>
      <c r="J345" s="3"/>
      <c r="K345" s="3"/>
      <c r="Q345" s="3"/>
      <c r="R345" s="3"/>
      <c r="S345" s="3"/>
    </row>
    <row r="346" spans="6:19" ht="15.75" customHeight="1" x14ac:dyDescent="0.25">
      <c r="F346" s="3"/>
      <c r="G346" s="3"/>
      <c r="H346" s="3"/>
      <c r="I346" s="3"/>
      <c r="J346" s="3"/>
      <c r="K346" s="3"/>
      <c r="Q346" s="3"/>
      <c r="R346" s="3"/>
      <c r="S346" s="3"/>
    </row>
    <row r="347" spans="6:19" ht="15.75" customHeight="1" x14ac:dyDescent="0.25">
      <c r="F347" s="3"/>
      <c r="G347" s="3"/>
      <c r="H347" s="3"/>
      <c r="I347" s="3"/>
      <c r="J347" s="3"/>
      <c r="K347" s="3"/>
      <c r="Q347" s="3"/>
      <c r="R347" s="3"/>
      <c r="S347" s="3"/>
    </row>
    <row r="348" spans="6:19" ht="15.75" customHeight="1" x14ac:dyDescent="0.25">
      <c r="F348" s="3"/>
      <c r="G348" s="3"/>
      <c r="H348" s="3"/>
      <c r="I348" s="3"/>
      <c r="J348" s="3"/>
      <c r="K348" s="3"/>
      <c r="Q348" s="3"/>
      <c r="R348" s="3"/>
      <c r="S348" s="3"/>
    </row>
    <row r="349" spans="6:19" ht="15.75" customHeight="1" x14ac:dyDescent="0.25">
      <c r="F349" s="3"/>
      <c r="G349" s="3"/>
      <c r="H349" s="3"/>
      <c r="I349" s="3"/>
      <c r="J349" s="3"/>
      <c r="K349" s="3"/>
      <c r="Q349" s="3"/>
      <c r="R349" s="3"/>
      <c r="S349" s="3"/>
    </row>
    <row r="350" spans="6:19" ht="15.75" customHeight="1" x14ac:dyDescent="0.25">
      <c r="F350" s="3"/>
      <c r="G350" s="3"/>
      <c r="H350" s="3"/>
      <c r="I350" s="3"/>
      <c r="J350" s="3"/>
      <c r="K350" s="3"/>
      <c r="Q350" s="3"/>
      <c r="R350" s="3"/>
      <c r="S350" s="3"/>
    </row>
    <row r="351" spans="6:19" ht="15.75" customHeight="1" x14ac:dyDescent="0.25">
      <c r="F351" s="3"/>
      <c r="G351" s="3"/>
      <c r="H351" s="3"/>
      <c r="I351" s="3"/>
      <c r="J351" s="3"/>
      <c r="K351" s="3"/>
      <c r="Q351" s="3"/>
      <c r="R351" s="3"/>
      <c r="S351" s="3"/>
    </row>
    <row r="352" spans="6:19" ht="15.75" customHeight="1" x14ac:dyDescent="0.25">
      <c r="F352" s="3"/>
      <c r="G352" s="3"/>
      <c r="H352" s="3"/>
      <c r="I352" s="3"/>
      <c r="J352" s="3"/>
      <c r="K352" s="3"/>
      <c r="Q352" s="3"/>
      <c r="R352" s="3"/>
      <c r="S352" s="3"/>
    </row>
    <row r="353" spans="6:19" ht="15.75" customHeight="1" x14ac:dyDescent="0.25">
      <c r="F353" s="3"/>
      <c r="G353" s="3"/>
      <c r="H353" s="3"/>
      <c r="I353" s="3"/>
      <c r="J353" s="3"/>
      <c r="K353" s="3"/>
      <c r="Q353" s="3"/>
      <c r="R353" s="3"/>
      <c r="S353" s="3"/>
    </row>
    <row r="354" spans="6:19" ht="15.75" customHeight="1" x14ac:dyDescent="0.25">
      <c r="F354" s="3"/>
      <c r="G354" s="3"/>
      <c r="H354" s="3"/>
      <c r="I354" s="3"/>
      <c r="J354" s="3"/>
      <c r="K354" s="3"/>
      <c r="Q354" s="3"/>
      <c r="R354" s="3"/>
      <c r="S354" s="3"/>
    </row>
    <row r="355" spans="6:19" ht="15.75" customHeight="1" x14ac:dyDescent="0.25">
      <c r="F355" s="3"/>
      <c r="G355" s="3"/>
      <c r="H355" s="3"/>
      <c r="I355" s="3"/>
      <c r="J355" s="3"/>
      <c r="K355" s="3"/>
      <c r="Q355" s="3"/>
      <c r="R355" s="3"/>
      <c r="S355" s="3"/>
    </row>
    <row r="356" spans="6:19" ht="15.75" customHeight="1" x14ac:dyDescent="0.25">
      <c r="F356" s="3"/>
      <c r="G356" s="3"/>
      <c r="H356" s="3"/>
      <c r="I356" s="3"/>
      <c r="J356" s="3"/>
      <c r="K356" s="3"/>
      <c r="Q356" s="3"/>
      <c r="R356" s="3"/>
      <c r="S356" s="3"/>
    </row>
    <row r="357" spans="6:19" ht="15.75" customHeight="1" x14ac:dyDescent="0.25">
      <c r="F357" s="3"/>
      <c r="G357" s="3"/>
      <c r="H357" s="3"/>
      <c r="I357" s="3"/>
      <c r="J357" s="3"/>
      <c r="K357" s="3"/>
      <c r="Q357" s="3"/>
      <c r="R357" s="3"/>
      <c r="S357" s="3"/>
    </row>
    <row r="358" spans="6:19" ht="15.75" customHeight="1" x14ac:dyDescent="0.25">
      <c r="F358" s="3"/>
      <c r="G358" s="3"/>
      <c r="H358" s="3"/>
      <c r="I358" s="3"/>
      <c r="J358" s="3"/>
      <c r="K358" s="3"/>
      <c r="Q358" s="3"/>
      <c r="R358" s="3"/>
      <c r="S358" s="3"/>
    </row>
    <row r="359" spans="6:19" ht="15.75" customHeight="1" x14ac:dyDescent="0.25">
      <c r="F359" s="3"/>
      <c r="G359" s="3"/>
      <c r="H359" s="3"/>
      <c r="I359" s="3"/>
      <c r="J359" s="3"/>
      <c r="K359" s="3"/>
      <c r="Q359" s="3"/>
      <c r="R359" s="3"/>
      <c r="S359" s="3"/>
    </row>
    <row r="360" spans="6:19" ht="15.75" customHeight="1" x14ac:dyDescent="0.25">
      <c r="F360" s="3"/>
      <c r="G360" s="3"/>
      <c r="H360" s="3"/>
      <c r="I360" s="3"/>
      <c r="J360" s="3"/>
      <c r="K360" s="3"/>
      <c r="Q360" s="3"/>
      <c r="R360" s="3"/>
      <c r="S360" s="3"/>
    </row>
    <row r="361" spans="6:19" ht="15.75" customHeight="1" x14ac:dyDescent="0.25">
      <c r="F361" s="3"/>
      <c r="G361" s="3"/>
      <c r="H361" s="3"/>
      <c r="I361" s="3"/>
      <c r="J361" s="3"/>
      <c r="K361" s="3"/>
      <c r="Q361" s="3"/>
      <c r="R361" s="3"/>
      <c r="S361" s="3"/>
    </row>
    <row r="362" spans="6:19" ht="15.75" customHeight="1" x14ac:dyDescent="0.25">
      <c r="F362" s="3"/>
      <c r="G362" s="3"/>
      <c r="H362" s="3"/>
      <c r="I362" s="3"/>
      <c r="J362" s="3"/>
      <c r="K362" s="3"/>
      <c r="Q362" s="3"/>
      <c r="R362" s="3"/>
      <c r="S362" s="3"/>
    </row>
    <row r="363" spans="6:19" ht="15.75" customHeight="1" x14ac:dyDescent="0.25">
      <c r="F363" s="3"/>
      <c r="G363" s="3"/>
      <c r="H363" s="3"/>
      <c r="I363" s="3"/>
      <c r="J363" s="3"/>
      <c r="K363" s="3"/>
      <c r="Q363" s="3"/>
      <c r="R363" s="3"/>
      <c r="S363" s="3"/>
    </row>
    <row r="364" spans="6:19" ht="15.75" customHeight="1" x14ac:dyDescent="0.25">
      <c r="F364" s="3"/>
      <c r="G364" s="3"/>
      <c r="H364" s="3"/>
      <c r="I364" s="3"/>
      <c r="J364" s="3"/>
      <c r="K364" s="3"/>
      <c r="Q364" s="3"/>
      <c r="R364" s="3"/>
      <c r="S364" s="3"/>
    </row>
    <row r="365" spans="6:19" ht="15.75" customHeight="1" x14ac:dyDescent="0.25">
      <c r="F365" s="3"/>
      <c r="G365" s="3"/>
      <c r="H365" s="3"/>
      <c r="I365" s="3"/>
      <c r="J365" s="3"/>
      <c r="K365" s="3"/>
      <c r="Q365" s="3"/>
      <c r="R365" s="3"/>
      <c r="S365" s="3"/>
    </row>
    <row r="366" spans="6:19" ht="15.75" customHeight="1" x14ac:dyDescent="0.25">
      <c r="F366" s="3"/>
      <c r="G366" s="3"/>
      <c r="H366" s="3"/>
      <c r="I366" s="3"/>
      <c r="J366" s="3"/>
      <c r="K366" s="3"/>
      <c r="Q366" s="3"/>
      <c r="R366" s="3"/>
      <c r="S366" s="3"/>
    </row>
    <row r="367" spans="6:19" ht="15.75" customHeight="1" x14ac:dyDescent="0.25">
      <c r="F367" s="3"/>
      <c r="G367" s="3"/>
      <c r="H367" s="3"/>
      <c r="I367" s="3"/>
      <c r="J367" s="3"/>
      <c r="K367" s="3"/>
      <c r="Q367" s="3"/>
      <c r="R367" s="3"/>
      <c r="S367" s="3"/>
    </row>
    <row r="368" spans="6:19" ht="15.75" customHeight="1" x14ac:dyDescent="0.25">
      <c r="F368" s="3"/>
      <c r="G368" s="3"/>
      <c r="H368" s="3"/>
      <c r="I368" s="3"/>
      <c r="J368" s="3"/>
      <c r="K368" s="3"/>
      <c r="Q368" s="3"/>
      <c r="R368" s="3"/>
      <c r="S368" s="3"/>
    </row>
    <row r="369" spans="6:19" ht="15.75" customHeight="1" x14ac:dyDescent="0.25">
      <c r="F369" s="3"/>
      <c r="G369" s="3"/>
      <c r="H369" s="3"/>
      <c r="I369" s="3"/>
      <c r="J369" s="3"/>
      <c r="K369" s="3"/>
      <c r="Q369" s="3"/>
      <c r="R369" s="3"/>
      <c r="S369" s="3"/>
    </row>
    <row r="370" spans="6:19" ht="15.75" customHeight="1" x14ac:dyDescent="0.25">
      <c r="F370" s="3"/>
      <c r="G370" s="3"/>
      <c r="H370" s="3"/>
      <c r="I370" s="3"/>
      <c r="J370" s="3"/>
      <c r="K370" s="3"/>
      <c r="Q370" s="3"/>
      <c r="R370" s="3"/>
      <c r="S370" s="3"/>
    </row>
    <row r="371" spans="6:19" ht="15.75" customHeight="1" x14ac:dyDescent="0.25">
      <c r="F371" s="3"/>
      <c r="G371" s="3"/>
      <c r="H371" s="3"/>
      <c r="I371" s="3"/>
      <c r="J371" s="3"/>
      <c r="K371" s="3"/>
      <c r="Q371" s="3"/>
      <c r="R371" s="3"/>
      <c r="S371" s="3"/>
    </row>
    <row r="372" spans="6:19" ht="15.75" customHeight="1" x14ac:dyDescent="0.25">
      <c r="F372" s="3"/>
      <c r="G372" s="3"/>
      <c r="H372" s="3"/>
      <c r="I372" s="3"/>
      <c r="J372" s="3"/>
      <c r="K372" s="3"/>
      <c r="Q372" s="3"/>
      <c r="R372" s="3"/>
      <c r="S372" s="3"/>
    </row>
    <row r="373" spans="6:19" ht="15.75" customHeight="1" x14ac:dyDescent="0.25">
      <c r="F373" s="3"/>
      <c r="G373" s="3"/>
      <c r="H373" s="3"/>
      <c r="I373" s="3"/>
      <c r="J373" s="3"/>
      <c r="K373" s="3"/>
      <c r="Q373" s="3"/>
      <c r="R373" s="3"/>
      <c r="S373" s="3"/>
    </row>
    <row r="374" spans="6:19" ht="15.75" customHeight="1" x14ac:dyDescent="0.25">
      <c r="F374" s="3"/>
      <c r="G374" s="3"/>
      <c r="H374" s="3"/>
      <c r="I374" s="3"/>
      <c r="J374" s="3"/>
      <c r="K374" s="3"/>
      <c r="Q374" s="3"/>
      <c r="R374" s="3"/>
      <c r="S374" s="3"/>
    </row>
    <row r="375" spans="6:19" ht="15.75" customHeight="1" x14ac:dyDescent="0.25">
      <c r="F375" s="3"/>
      <c r="G375" s="3"/>
      <c r="H375" s="3"/>
      <c r="I375" s="3"/>
      <c r="J375" s="3"/>
      <c r="K375" s="3"/>
      <c r="Q375" s="3"/>
      <c r="R375" s="3"/>
      <c r="S375" s="3"/>
    </row>
    <row r="376" spans="6:19" ht="15.75" customHeight="1" x14ac:dyDescent="0.25">
      <c r="F376" s="3"/>
      <c r="G376" s="3"/>
      <c r="H376" s="3"/>
      <c r="I376" s="3"/>
      <c r="J376" s="3"/>
      <c r="K376" s="3"/>
      <c r="Q376" s="3"/>
      <c r="R376" s="3"/>
      <c r="S376" s="3"/>
    </row>
    <row r="377" spans="6:19" ht="15.75" customHeight="1" x14ac:dyDescent="0.25">
      <c r="F377" s="3"/>
      <c r="G377" s="3"/>
      <c r="H377" s="3"/>
      <c r="I377" s="3"/>
      <c r="J377" s="3"/>
      <c r="K377" s="3"/>
      <c r="Q377" s="3"/>
      <c r="R377" s="3"/>
      <c r="S377" s="3"/>
    </row>
    <row r="378" spans="6:19" ht="15.75" customHeight="1" x14ac:dyDescent="0.25">
      <c r="F378" s="3"/>
      <c r="G378" s="3"/>
      <c r="H378" s="3"/>
      <c r="I378" s="3"/>
      <c r="J378" s="3"/>
      <c r="K378" s="3"/>
      <c r="Q378" s="3"/>
      <c r="R378" s="3"/>
      <c r="S378" s="3"/>
    </row>
    <row r="379" spans="6:19" ht="15.75" customHeight="1" x14ac:dyDescent="0.25">
      <c r="F379" s="3"/>
      <c r="G379" s="3"/>
      <c r="H379" s="3"/>
      <c r="I379" s="3"/>
      <c r="J379" s="3"/>
      <c r="K379" s="3"/>
      <c r="Q379" s="3"/>
      <c r="R379" s="3"/>
      <c r="S379" s="3"/>
    </row>
    <row r="380" spans="6:19" ht="15.75" customHeight="1" x14ac:dyDescent="0.25">
      <c r="F380" s="3"/>
      <c r="G380" s="3"/>
      <c r="H380" s="3"/>
      <c r="I380" s="3"/>
      <c r="J380" s="3"/>
      <c r="K380" s="3"/>
      <c r="Q380" s="3"/>
      <c r="R380" s="3"/>
      <c r="S380" s="3"/>
    </row>
    <row r="381" spans="6:19" ht="15.75" customHeight="1" x14ac:dyDescent="0.25">
      <c r="F381" s="3"/>
      <c r="G381" s="3"/>
      <c r="H381" s="3"/>
      <c r="I381" s="3"/>
      <c r="J381" s="3"/>
      <c r="K381" s="3"/>
      <c r="Q381" s="3"/>
      <c r="R381" s="3"/>
      <c r="S381" s="3"/>
    </row>
    <row r="382" spans="6:19" ht="15.75" customHeight="1" x14ac:dyDescent="0.25">
      <c r="F382" s="3"/>
      <c r="G382" s="3"/>
      <c r="H382" s="3"/>
      <c r="I382" s="3"/>
      <c r="J382" s="3"/>
      <c r="K382" s="3"/>
      <c r="Q382" s="3"/>
      <c r="R382" s="3"/>
      <c r="S382" s="3"/>
    </row>
    <row r="383" spans="6:19" ht="15.75" customHeight="1" x14ac:dyDescent="0.25">
      <c r="F383" s="3"/>
      <c r="G383" s="3"/>
      <c r="H383" s="3"/>
      <c r="I383" s="3"/>
      <c r="J383" s="3"/>
      <c r="K383" s="3"/>
      <c r="Q383" s="3"/>
      <c r="R383" s="3"/>
      <c r="S383" s="3"/>
    </row>
    <row r="384" spans="6:19" ht="15.75" customHeight="1" x14ac:dyDescent="0.25">
      <c r="F384" s="3"/>
      <c r="G384" s="3"/>
      <c r="H384" s="3"/>
      <c r="I384" s="3"/>
      <c r="J384" s="3"/>
      <c r="K384" s="3"/>
      <c r="Q384" s="3"/>
      <c r="R384" s="3"/>
      <c r="S384" s="3"/>
    </row>
    <row r="385" spans="6:19" ht="15.75" customHeight="1" x14ac:dyDescent="0.25">
      <c r="F385" s="3"/>
      <c r="G385" s="3"/>
      <c r="H385" s="3"/>
      <c r="I385" s="3"/>
      <c r="J385" s="3"/>
      <c r="K385" s="3"/>
      <c r="Q385" s="3"/>
      <c r="R385" s="3"/>
      <c r="S385" s="3"/>
    </row>
    <row r="386" spans="6:19" ht="15.75" customHeight="1" x14ac:dyDescent="0.25">
      <c r="F386" s="3"/>
      <c r="G386" s="3"/>
      <c r="H386" s="3"/>
      <c r="I386" s="3"/>
      <c r="J386" s="3"/>
      <c r="K386" s="3"/>
      <c r="Q386" s="3"/>
      <c r="R386" s="3"/>
      <c r="S386" s="3"/>
    </row>
    <row r="387" spans="6:19" ht="15.75" customHeight="1" x14ac:dyDescent="0.25">
      <c r="F387" s="3"/>
      <c r="G387" s="3"/>
      <c r="H387" s="3"/>
      <c r="I387" s="3"/>
      <c r="J387" s="3"/>
      <c r="K387" s="3"/>
      <c r="Q387" s="3"/>
      <c r="R387" s="3"/>
      <c r="S387" s="3"/>
    </row>
    <row r="388" spans="6:19" ht="15.75" customHeight="1" x14ac:dyDescent="0.25">
      <c r="F388" s="3"/>
      <c r="G388" s="3"/>
      <c r="H388" s="3"/>
      <c r="I388" s="3"/>
      <c r="J388" s="3"/>
      <c r="K388" s="3"/>
      <c r="Q388" s="3"/>
      <c r="R388" s="3"/>
      <c r="S388" s="3"/>
    </row>
    <row r="389" spans="6:19" ht="15.75" customHeight="1" x14ac:dyDescent="0.25">
      <c r="F389" s="3"/>
      <c r="G389" s="3"/>
      <c r="H389" s="3"/>
      <c r="I389" s="3"/>
      <c r="J389" s="3"/>
      <c r="K389" s="3"/>
      <c r="Q389" s="3"/>
      <c r="R389" s="3"/>
      <c r="S389" s="3"/>
    </row>
    <row r="390" spans="6:19" ht="15.75" customHeight="1" x14ac:dyDescent="0.25">
      <c r="F390" s="3"/>
      <c r="G390" s="3"/>
      <c r="H390" s="3"/>
      <c r="I390" s="3"/>
      <c r="J390" s="3"/>
      <c r="K390" s="3"/>
      <c r="Q390" s="3"/>
      <c r="R390" s="3"/>
      <c r="S390" s="3"/>
    </row>
    <row r="391" spans="6:19" ht="15.75" customHeight="1" x14ac:dyDescent="0.25">
      <c r="F391" s="3"/>
      <c r="G391" s="3"/>
      <c r="H391" s="3"/>
      <c r="I391" s="3"/>
      <c r="J391" s="3"/>
      <c r="K391" s="3"/>
      <c r="Q391" s="3"/>
      <c r="R391" s="3"/>
      <c r="S391" s="3"/>
    </row>
    <row r="392" spans="6:19" ht="15.75" customHeight="1" x14ac:dyDescent="0.25">
      <c r="F392" s="3"/>
      <c r="G392" s="3"/>
      <c r="H392" s="3"/>
      <c r="I392" s="3"/>
      <c r="J392" s="3"/>
      <c r="K392" s="3"/>
      <c r="Q392" s="3"/>
      <c r="R392" s="3"/>
      <c r="S392" s="3"/>
    </row>
    <row r="393" spans="6:19" ht="15.75" customHeight="1" x14ac:dyDescent="0.25">
      <c r="F393" s="3"/>
      <c r="G393" s="3"/>
      <c r="H393" s="3"/>
      <c r="I393" s="3"/>
      <c r="J393" s="3"/>
      <c r="K393" s="3"/>
      <c r="Q393" s="3"/>
      <c r="R393" s="3"/>
      <c r="S393" s="3"/>
    </row>
    <row r="394" spans="6:19" ht="15.75" customHeight="1" x14ac:dyDescent="0.25">
      <c r="F394" s="3"/>
      <c r="G394" s="3"/>
      <c r="H394" s="3"/>
      <c r="I394" s="3"/>
      <c r="J394" s="3"/>
      <c r="K394" s="3"/>
      <c r="Q394" s="3"/>
      <c r="R394" s="3"/>
      <c r="S394" s="3"/>
    </row>
    <row r="395" spans="6:19" ht="15.75" customHeight="1" x14ac:dyDescent="0.25">
      <c r="F395" s="3"/>
      <c r="G395" s="3"/>
      <c r="H395" s="3"/>
      <c r="I395" s="3"/>
      <c r="J395" s="3"/>
      <c r="K395" s="3"/>
      <c r="Q395" s="3"/>
      <c r="R395" s="3"/>
      <c r="S395" s="3"/>
    </row>
    <row r="396" spans="6:19" ht="15.75" customHeight="1" x14ac:dyDescent="0.25">
      <c r="F396" s="3"/>
      <c r="G396" s="3"/>
      <c r="H396" s="3"/>
      <c r="I396" s="3"/>
      <c r="J396" s="3"/>
      <c r="K396" s="3"/>
      <c r="Q396" s="3"/>
      <c r="R396" s="3"/>
      <c r="S396" s="3"/>
    </row>
    <row r="397" spans="6:19" ht="15.75" customHeight="1" x14ac:dyDescent="0.25">
      <c r="F397" s="3"/>
      <c r="G397" s="3"/>
      <c r="H397" s="3"/>
      <c r="I397" s="3"/>
      <c r="J397" s="3"/>
      <c r="K397" s="3"/>
      <c r="Q397" s="3"/>
      <c r="R397" s="3"/>
      <c r="S397" s="3"/>
    </row>
    <row r="398" spans="6:19" ht="15.75" customHeight="1" x14ac:dyDescent="0.25">
      <c r="F398" s="3"/>
      <c r="G398" s="3"/>
      <c r="H398" s="3"/>
      <c r="I398" s="3"/>
      <c r="J398" s="3"/>
      <c r="K398" s="3"/>
      <c r="Q398" s="3"/>
      <c r="R398" s="3"/>
      <c r="S398" s="3"/>
    </row>
    <row r="399" spans="6:19" ht="15.75" customHeight="1" x14ac:dyDescent="0.25">
      <c r="F399" s="3"/>
      <c r="G399" s="3"/>
      <c r="H399" s="3"/>
      <c r="I399" s="3"/>
      <c r="J399" s="3"/>
      <c r="K399" s="3"/>
      <c r="Q399" s="3"/>
      <c r="R399" s="3"/>
      <c r="S399" s="3"/>
    </row>
    <row r="400" spans="6:19" ht="15.75" customHeight="1" x14ac:dyDescent="0.25">
      <c r="F400" s="3"/>
      <c r="G400" s="3"/>
      <c r="H400" s="3"/>
      <c r="I400" s="3"/>
      <c r="J400" s="3"/>
      <c r="K400" s="3"/>
      <c r="Q400" s="3"/>
      <c r="R400" s="3"/>
      <c r="S400" s="3"/>
    </row>
    <row r="401" spans="6:19" ht="15.75" customHeight="1" x14ac:dyDescent="0.25">
      <c r="F401" s="3"/>
      <c r="G401" s="3"/>
      <c r="H401" s="3"/>
      <c r="I401" s="3"/>
      <c r="J401" s="3"/>
      <c r="K401" s="3"/>
      <c r="Q401" s="3"/>
      <c r="R401" s="3"/>
      <c r="S401" s="3"/>
    </row>
    <row r="402" spans="6:19" ht="15.75" customHeight="1" x14ac:dyDescent="0.25">
      <c r="F402" s="3"/>
      <c r="G402" s="3"/>
      <c r="H402" s="3"/>
      <c r="I402" s="3"/>
      <c r="J402" s="3"/>
      <c r="K402" s="3"/>
      <c r="Q402" s="3"/>
      <c r="R402" s="3"/>
      <c r="S402" s="3"/>
    </row>
    <row r="403" spans="6:19" ht="15.75" customHeight="1" x14ac:dyDescent="0.25">
      <c r="F403" s="3"/>
      <c r="G403" s="3"/>
      <c r="H403" s="3"/>
      <c r="I403" s="3"/>
      <c r="J403" s="3"/>
      <c r="K403" s="3"/>
      <c r="Q403" s="3"/>
      <c r="R403" s="3"/>
      <c r="S403" s="3"/>
    </row>
    <row r="404" spans="6:19" ht="15.75" customHeight="1" x14ac:dyDescent="0.25">
      <c r="F404" s="3"/>
      <c r="G404" s="3"/>
      <c r="H404" s="3"/>
      <c r="I404" s="3"/>
      <c r="J404" s="3"/>
      <c r="K404" s="3"/>
      <c r="Q404" s="3"/>
      <c r="R404" s="3"/>
      <c r="S404" s="3"/>
    </row>
    <row r="405" spans="6:19" ht="15.75" customHeight="1" x14ac:dyDescent="0.25">
      <c r="F405" s="3"/>
      <c r="G405" s="3"/>
      <c r="H405" s="3"/>
      <c r="I405" s="3"/>
      <c r="J405" s="3"/>
      <c r="K405" s="3"/>
      <c r="Q405" s="3"/>
      <c r="R405" s="3"/>
      <c r="S405" s="3"/>
    </row>
    <row r="406" spans="6:19" ht="15.75" customHeight="1" x14ac:dyDescent="0.25">
      <c r="F406" s="3"/>
      <c r="G406" s="3"/>
      <c r="H406" s="3"/>
      <c r="I406" s="3"/>
      <c r="J406" s="3"/>
      <c r="K406" s="3"/>
      <c r="Q406" s="3"/>
      <c r="R406" s="3"/>
      <c r="S406" s="3"/>
    </row>
    <row r="407" spans="6:19" ht="15.75" customHeight="1" x14ac:dyDescent="0.25">
      <c r="F407" s="3"/>
      <c r="G407" s="3"/>
      <c r="H407" s="3"/>
      <c r="I407" s="3"/>
      <c r="J407" s="3"/>
      <c r="K407" s="3"/>
      <c r="Q407" s="3"/>
      <c r="R407" s="3"/>
      <c r="S407" s="3"/>
    </row>
    <row r="408" spans="6:19" ht="15.75" customHeight="1" x14ac:dyDescent="0.25">
      <c r="F408" s="3"/>
      <c r="G408" s="3"/>
      <c r="H408" s="3"/>
      <c r="I408" s="3"/>
      <c r="J408" s="3"/>
      <c r="K408" s="3"/>
      <c r="Q408" s="3"/>
      <c r="R408" s="3"/>
      <c r="S408" s="3"/>
    </row>
    <row r="409" spans="6:19" ht="15.75" customHeight="1" x14ac:dyDescent="0.25">
      <c r="F409" s="3"/>
      <c r="G409" s="3"/>
      <c r="H409" s="3"/>
      <c r="I409" s="3"/>
      <c r="J409" s="3"/>
      <c r="K409" s="3"/>
      <c r="Q409" s="3"/>
      <c r="R409" s="3"/>
      <c r="S409" s="3"/>
    </row>
    <row r="410" spans="6:19" ht="15.75" customHeight="1" x14ac:dyDescent="0.25">
      <c r="F410" s="3"/>
      <c r="G410" s="3"/>
      <c r="H410" s="3"/>
      <c r="I410" s="3"/>
      <c r="J410" s="3"/>
      <c r="K410" s="3"/>
      <c r="Q410" s="3"/>
      <c r="R410" s="3"/>
      <c r="S410" s="3"/>
    </row>
    <row r="411" spans="6:19" ht="15.75" customHeight="1" x14ac:dyDescent="0.25">
      <c r="F411" s="3"/>
      <c r="G411" s="3"/>
      <c r="H411" s="3"/>
      <c r="I411" s="3"/>
      <c r="J411" s="3"/>
      <c r="K411" s="3"/>
      <c r="Q411" s="3"/>
      <c r="R411" s="3"/>
      <c r="S411" s="3"/>
    </row>
    <row r="412" spans="6:19" ht="15.75" customHeight="1" x14ac:dyDescent="0.25">
      <c r="F412" s="3"/>
      <c r="G412" s="3"/>
      <c r="H412" s="3"/>
      <c r="I412" s="3"/>
      <c r="J412" s="3"/>
      <c r="K412" s="3"/>
      <c r="Q412" s="3"/>
      <c r="R412" s="3"/>
      <c r="S412" s="3"/>
    </row>
    <row r="413" spans="6:19" ht="15.75" customHeight="1" x14ac:dyDescent="0.25">
      <c r="F413" s="3"/>
      <c r="G413" s="3"/>
      <c r="H413" s="3"/>
      <c r="I413" s="3"/>
      <c r="J413" s="3"/>
      <c r="K413" s="3"/>
      <c r="Q413" s="3"/>
      <c r="R413" s="3"/>
      <c r="S413" s="3"/>
    </row>
    <row r="414" spans="6:19" ht="15.75" customHeight="1" x14ac:dyDescent="0.25">
      <c r="F414" s="3"/>
      <c r="G414" s="3"/>
      <c r="H414" s="3"/>
      <c r="I414" s="3"/>
      <c r="J414" s="3"/>
      <c r="K414" s="3"/>
      <c r="Q414" s="3"/>
      <c r="R414" s="3"/>
      <c r="S414" s="3"/>
    </row>
    <row r="415" spans="6:19" ht="15.75" customHeight="1" x14ac:dyDescent="0.25">
      <c r="F415" s="3"/>
      <c r="G415" s="3"/>
      <c r="H415" s="3"/>
      <c r="I415" s="3"/>
      <c r="J415" s="3"/>
      <c r="K415" s="3"/>
      <c r="Q415" s="3"/>
      <c r="R415" s="3"/>
      <c r="S415" s="3"/>
    </row>
    <row r="416" spans="6:19" ht="15.75" customHeight="1" x14ac:dyDescent="0.25">
      <c r="F416" s="3"/>
      <c r="G416" s="3"/>
      <c r="H416" s="3"/>
      <c r="I416" s="3"/>
      <c r="J416" s="3"/>
      <c r="K416" s="3"/>
      <c r="Q416" s="3"/>
      <c r="R416" s="3"/>
      <c r="S416" s="3"/>
    </row>
    <row r="417" spans="6:19" ht="15.75" customHeight="1" x14ac:dyDescent="0.25">
      <c r="F417" s="3"/>
      <c r="G417" s="3"/>
      <c r="H417" s="3"/>
      <c r="I417" s="3"/>
      <c r="J417" s="3"/>
      <c r="K417" s="3"/>
      <c r="Q417" s="3"/>
      <c r="R417" s="3"/>
      <c r="S417" s="3"/>
    </row>
    <row r="418" spans="6:19" ht="15.75" customHeight="1" x14ac:dyDescent="0.25">
      <c r="F418" s="3"/>
      <c r="G418" s="3"/>
      <c r="H418" s="3"/>
      <c r="I418" s="3"/>
      <c r="J418" s="3"/>
      <c r="K418" s="3"/>
      <c r="Q418" s="3"/>
      <c r="R418" s="3"/>
      <c r="S418" s="3"/>
    </row>
    <row r="419" spans="6:19" ht="15.75" customHeight="1" x14ac:dyDescent="0.25">
      <c r="F419" s="3"/>
      <c r="G419" s="3"/>
      <c r="H419" s="3"/>
      <c r="I419" s="3"/>
      <c r="J419" s="3"/>
      <c r="K419" s="3"/>
      <c r="Q419" s="3"/>
      <c r="R419" s="3"/>
      <c r="S419" s="3"/>
    </row>
    <row r="420" spans="6:19" ht="15.75" customHeight="1" x14ac:dyDescent="0.25">
      <c r="F420" s="3"/>
      <c r="G420" s="3"/>
      <c r="H420" s="3"/>
      <c r="I420" s="3"/>
      <c r="J420" s="3"/>
      <c r="K420" s="3"/>
      <c r="Q420" s="3"/>
      <c r="R420" s="3"/>
      <c r="S420" s="3"/>
    </row>
    <row r="421" spans="6:19" ht="15.75" customHeight="1" x14ac:dyDescent="0.25">
      <c r="F421" s="3"/>
      <c r="G421" s="3"/>
      <c r="H421" s="3"/>
      <c r="I421" s="3"/>
      <c r="J421" s="3"/>
      <c r="K421" s="3"/>
      <c r="Q421" s="3"/>
      <c r="R421" s="3"/>
      <c r="S421" s="3"/>
    </row>
    <row r="422" spans="6:19" ht="15.75" customHeight="1" x14ac:dyDescent="0.25">
      <c r="F422" s="3"/>
      <c r="G422" s="3"/>
      <c r="H422" s="3"/>
      <c r="I422" s="3"/>
      <c r="J422" s="3"/>
      <c r="K422" s="3"/>
      <c r="Q422" s="3"/>
      <c r="R422" s="3"/>
      <c r="S422" s="3"/>
    </row>
    <row r="423" spans="6:19" ht="15.75" customHeight="1" x14ac:dyDescent="0.25">
      <c r="F423" s="3"/>
      <c r="G423" s="3"/>
      <c r="H423" s="3"/>
      <c r="I423" s="3"/>
      <c r="J423" s="3"/>
      <c r="K423" s="3"/>
      <c r="Q423" s="3"/>
      <c r="R423" s="3"/>
      <c r="S423" s="3"/>
    </row>
    <row r="424" spans="6:19" ht="15.75" customHeight="1" x14ac:dyDescent="0.25">
      <c r="F424" s="3"/>
      <c r="G424" s="3"/>
      <c r="H424" s="3"/>
      <c r="I424" s="3"/>
      <c r="J424" s="3"/>
      <c r="K424" s="3"/>
      <c r="Q424" s="3"/>
      <c r="R424" s="3"/>
      <c r="S424" s="3"/>
    </row>
    <row r="425" spans="6:19" ht="15.75" customHeight="1" x14ac:dyDescent="0.25">
      <c r="F425" s="3"/>
      <c r="G425" s="3"/>
      <c r="H425" s="3"/>
      <c r="I425" s="3"/>
      <c r="J425" s="3"/>
      <c r="K425" s="3"/>
      <c r="Q425" s="3"/>
      <c r="R425" s="3"/>
      <c r="S425" s="3"/>
    </row>
    <row r="426" spans="6:19" ht="15.75" customHeight="1" x14ac:dyDescent="0.25">
      <c r="F426" s="3"/>
      <c r="G426" s="3"/>
      <c r="H426" s="3"/>
      <c r="I426" s="3"/>
      <c r="J426" s="3"/>
      <c r="K426" s="3"/>
      <c r="Q426" s="3"/>
      <c r="R426" s="3"/>
      <c r="S426" s="3"/>
    </row>
    <row r="427" spans="6:19" ht="15.75" customHeight="1" x14ac:dyDescent="0.25">
      <c r="F427" s="3"/>
      <c r="G427" s="3"/>
      <c r="H427" s="3"/>
      <c r="I427" s="3"/>
      <c r="J427" s="3"/>
      <c r="K427" s="3"/>
      <c r="Q427" s="3"/>
      <c r="R427" s="3"/>
      <c r="S427" s="3"/>
    </row>
    <row r="428" spans="6:19" ht="15.75" customHeight="1" x14ac:dyDescent="0.25">
      <c r="F428" s="3"/>
      <c r="G428" s="3"/>
      <c r="H428" s="3"/>
      <c r="I428" s="3"/>
      <c r="J428" s="3"/>
      <c r="K428" s="3"/>
      <c r="Q428" s="3"/>
      <c r="R428" s="3"/>
      <c r="S428" s="3"/>
    </row>
    <row r="429" spans="6:19" ht="15.75" customHeight="1" x14ac:dyDescent="0.25">
      <c r="F429" s="3"/>
      <c r="G429" s="3"/>
      <c r="H429" s="3"/>
      <c r="I429" s="3"/>
      <c r="J429" s="3"/>
      <c r="K429" s="3"/>
      <c r="Q429" s="3"/>
      <c r="R429" s="3"/>
      <c r="S429" s="3"/>
    </row>
    <row r="430" spans="6:19" ht="15.75" customHeight="1" x14ac:dyDescent="0.25">
      <c r="F430" s="3"/>
      <c r="G430" s="3"/>
      <c r="H430" s="3"/>
      <c r="I430" s="3"/>
      <c r="J430" s="3"/>
      <c r="K430" s="3"/>
      <c r="Q430" s="3"/>
      <c r="R430" s="3"/>
      <c r="S430" s="3"/>
    </row>
    <row r="431" spans="6:19" ht="15.75" customHeight="1" x14ac:dyDescent="0.25">
      <c r="F431" s="3"/>
      <c r="G431" s="3"/>
      <c r="H431" s="3"/>
      <c r="I431" s="3"/>
      <c r="J431" s="3"/>
      <c r="K431" s="3"/>
      <c r="Q431" s="3"/>
      <c r="R431" s="3"/>
      <c r="S431" s="3"/>
    </row>
    <row r="432" spans="6:19" ht="15.75" customHeight="1" x14ac:dyDescent="0.25">
      <c r="F432" s="3"/>
      <c r="G432" s="3"/>
      <c r="H432" s="3"/>
      <c r="I432" s="3"/>
      <c r="J432" s="3"/>
      <c r="K432" s="3"/>
      <c r="Q432" s="3"/>
      <c r="R432" s="3"/>
      <c r="S432" s="3"/>
    </row>
    <row r="433" spans="6:19" ht="15.75" customHeight="1" x14ac:dyDescent="0.25">
      <c r="F433" s="3"/>
      <c r="G433" s="3"/>
      <c r="H433" s="3"/>
      <c r="I433" s="3"/>
      <c r="J433" s="3"/>
      <c r="K433" s="3"/>
      <c r="Q433" s="3"/>
      <c r="R433" s="3"/>
      <c r="S433" s="3"/>
    </row>
    <row r="434" spans="6:19" ht="15.75" customHeight="1" x14ac:dyDescent="0.25">
      <c r="F434" s="3"/>
      <c r="G434" s="3"/>
      <c r="H434" s="3"/>
      <c r="I434" s="3"/>
      <c r="J434" s="3"/>
      <c r="K434" s="3"/>
      <c r="Q434" s="3"/>
      <c r="R434" s="3"/>
      <c r="S434" s="3"/>
    </row>
    <row r="435" spans="6:19" ht="15.75" customHeight="1" x14ac:dyDescent="0.25">
      <c r="F435" s="3"/>
      <c r="G435" s="3"/>
      <c r="H435" s="3"/>
      <c r="I435" s="3"/>
      <c r="J435" s="3"/>
      <c r="K435" s="3"/>
      <c r="Q435" s="3"/>
      <c r="R435" s="3"/>
      <c r="S435" s="3"/>
    </row>
    <row r="436" spans="6:19" ht="15.75" customHeight="1" x14ac:dyDescent="0.25">
      <c r="F436" s="3"/>
      <c r="G436" s="3"/>
      <c r="H436" s="3"/>
      <c r="I436" s="3"/>
      <c r="J436" s="3"/>
      <c r="K436" s="3"/>
      <c r="Q436" s="3"/>
      <c r="R436" s="3"/>
      <c r="S436" s="3"/>
    </row>
    <row r="437" spans="6:19" ht="15.75" customHeight="1" x14ac:dyDescent="0.25">
      <c r="F437" s="3"/>
      <c r="G437" s="3"/>
      <c r="H437" s="3"/>
      <c r="I437" s="3"/>
      <c r="J437" s="3"/>
      <c r="K437" s="3"/>
      <c r="Q437" s="3"/>
      <c r="R437" s="3"/>
      <c r="S437" s="3"/>
    </row>
    <row r="438" spans="6:19" ht="15.75" customHeight="1" x14ac:dyDescent="0.25">
      <c r="F438" s="3"/>
      <c r="G438" s="3"/>
      <c r="H438" s="3"/>
      <c r="I438" s="3"/>
      <c r="J438" s="3"/>
      <c r="K438" s="3"/>
      <c r="Q438" s="3"/>
      <c r="R438" s="3"/>
      <c r="S438" s="3"/>
    </row>
    <row r="439" spans="6:19" ht="15.75" customHeight="1" x14ac:dyDescent="0.25">
      <c r="F439" s="3"/>
      <c r="G439" s="3"/>
      <c r="H439" s="3"/>
      <c r="I439" s="3"/>
      <c r="J439" s="3"/>
      <c r="K439" s="3"/>
      <c r="Q439" s="3"/>
      <c r="R439" s="3"/>
      <c r="S439" s="3"/>
    </row>
    <row r="440" spans="6:19" ht="15.75" customHeight="1" x14ac:dyDescent="0.25">
      <c r="F440" s="3"/>
      <c r="G440" s="3"/>
      <c r="H440" s="3"/>
      <c r="I440" s="3"/>
      <c r="J440" s="3"/>
      <c r="K440" s="3"/>
      <c r="Q440" s="3"/>
      <c r="R440" s="3"/>
      <c r="S440" s="3"/>
    </row>
    <row r="441" spans="6:19" ht="15.75" customHeight="1" x14ac:dyDescent="0.25">
      <c r="F441" s="3"/>
      <c r="G441" s="3"/>
      <c r="H441" s="3"/>
      <c r="I441" s="3"/>
      <c r="J441" s="3"/>
      <c r="K441" s="3"/>
      <c r="Q441" s="3"/>
      <c r="R441" s="3"/>
      <c r="S441" s="3"/>
    </row>
    <row r="442" spans="6:19" ht="15.75" customHeight="1" x14ac:dyDescent="0.25">
      <c r="F442" s="3"/>
      <c r="G442" s="3"/>
      <c r="H442" s="3"/>
      <c r="I442" s="3"/>
      <c r="J442" s="3"/>
      <c r="K442" s="3"/>
      <c r="Q442" s="3"/>
      <c r="R442" s="3"/>
      <c r="S442" s="3"/>
    </row>
    <row r="443" spans="6:19" ht="15.75" customHeight="1" x14ac:dyDescent="0.25">
      <c r="F443" s="3"/>
      <c r="G443" s="3"/>
      <c r="H443" s="3"/>
      <c r="I443" s="3"/>
      <c r="J443" s="3"/>
      <c r="K443" s="3"/>
      <c r="Q443" s="3"/>
      <c r="R443" s="3"/>
      <c r="S443" s="3"/>
    </row>
    <row r="444" spans="6:19" ht="15.75" customHeight="1" x14ac:dyDescent="0.25">
      <c r="F444" s="3"/>
      <c r="G444" s="3"/>
      <c r="H444" s="3"/>
      <c r="I444" s="3"/>
      <c r="J444" s="3"/>
      <c r="K444" s="3"/>
      <c r="Q444" s="3"/>
      <c r="R444" s="3"/>
      <c r="S444" s="3"/>
    </row>
    <row r="445" spans="6:19" ht="15.75" customHeight="1" x14ac:dyDescent="0.25">
      <c r="F445" s="3"/>
      <c r="G445" s="3"/>
      <c r="H445" s="3"/>
      <c r="I445" s="3"/>
      <c r="J445" s="3"/>
      <c r="K445" s="3"/>
      <c r="Q445" s="3"/>
      <c r="R445" s="3"/>
      <c r="S445" s="3"/>
    </row>
    <row r="446" spans="6:19" ht="15.75" customHeight="1" x14ac:dyDescent="0.25">
      <c r="F446" s="3"/>
      <c r="G446" s="3"/>
      <c r="H446" s="3"/>
      <c r="I446" s="3"/>
      <c r="J446" s="3"/>
      <c r="K446" s="3"/>
      <c r="Q446" s="3"/>
      <c r="R446" s="3"/>
      <c r="S446" s="3"/>
    </row>
    <row r="447" spans="6:19" ht="15.75" customHeight="1" x14ac:dyDescent="0.25">
      <c r="F447" s="3"/>
      <c r="G447" s="3"/>
      <c r="H447" s="3"/>
      <c r="I447" s="3"/>
      <c r="J447" s="3"/>
      <c r="K447" s="3"/>
      <c r="Q447" s="3"/>
      <c r="R447" s="3"/>
      <c r="S447" s="3"/>
    </row>
    <row r="448" spans="6:19" ht="15.75" customHeight="1" x14ac:dyDescent="0.25">
      <c r="F448" s="3"/>
      <c r="G448" s="3"/>
      <c r="H448" s="3"/>
      <c r="I448" s="3"/>
      <c r="J448" s="3"/>
      <c r="K448" s="3"/>
      <c r="Q448" s="3"/>
      <c r="R448" s="3"/>
      <c r="S448" s="3"/>
    </row>
    <row r="449" spans="6:19" ht="15.75" customHeight="1" x14ac:dyDescent="0.25">
      <c r="F449" s="3"/>
      <c r="G449" s="3"/>
      <c r="H449" s="3"/>
      <c r="I449" s="3"/>
      <c r="J449" s="3"/>
      <c r="K449" s="3"/>
      <c r="Q449" s="3"/>
      <c r="R449" s="3"/>
      <c r="S449" s="3"/>
    </row>
    <row r="450" spans="6:19" ht="15.75" customHeight="1" x14ac:dyDescent="0.25">
      <c r="F450" s="3"/>
      <c r="G450" s="3"/>
      <c r="H450" s="3"/>
      <c r="I450" s="3"/>
      <c r="J450" s="3"/>
      <c r="K450" s="3"/>
      <c r="Q450" s="3"/>
      <c r="R450" s="3"/>
      <c r="S450" s="3"/>
    </row>
    <row r="451" spans="6:19" ht="15.75" customHeight="1" x14ac:dyDescent="0.25">
      <c r="F451" s="3"/>
      <c r="G451" s="3"/>
      <c r="H451" s="3"/>
      <c r="I451" s="3"/>
      <c r="J451" s="3"/>
      <c r="K451" s="3"/>
      <c r="Q451" s="3"/>
      <c r="R451" s="3"/>
      <c r="S451" s="3"/>
    </row>
    <row r="452" spans="6:19" ht="15.75" customHeight="1" x14ac:dyDescent="0.25">
      <c r="F452" s="3"/>
      <c r="G452" s="3"/>
      <c r="H452" s="3"/>
      <c r="I452" s="3"/>
      <c r="J452" s="3"/>
      <c r="K452" s="3"/>
      <c r="Q452" s="3"/>
      <c r="R452" s="3"/>
      <c r="S452" s="3"/>
    </row>
    <row r="453" spans="6:19" ht="15.75" customHeight="1" x14ac:dyDescent="0.25">
      <c r="F453" s="3"/>
      <c r="G453" s="3"/>
      <c r="H453" s="3"/>
      <c r="I453" s="3"/>
      <c r="J453" s="3"/>
      <c r="K453" s="3"/>
      <c r="Q453" s="3"/>
      <c r="R453" s="3"/>
      <c r="S453" s="3"/>
    </row>
    <row r="454" spans="6:19" ht="15.75" customHeight="1" x14ac:dyDescent="0.25">
      <c r="F454" s="3"/>
      <c r="G454" s="3"/>
      <c r="H454" s="3"/>
      <c r="I454" s="3"/>
      <c r="J454" s="3"/>
      <c r="K454" s="3"/>
      <c r="Q454" s="3"/>
      <c r="R454" s="3"/>
      <c r="S454" s="3"/>
    </row>
    <row r="455" spans="6:19" ht="15.75" customHeight="1" x14ac:dyDescent="0.25">
      <c r="F455" s="3"/>
      <c r="G455" s="3"/>
      <c r="H455" s="3"/>
      <c r="I455" s="3"/>
      <c r="J455" s="3"/>
      <c r="K455" s="3"/>
      <c r="Q455" s="3"/>
      <c r="R455" s="3"/>
      <c r="S455" s="3"/>
    </row>
    <row r="456" spans="6:19" ht="15.75" customHeight="1" x14ac:dyDescent="0.25">
      <c r="F456" s="3"/>
      <c r="G456" s="3"/>
      <c r="H456" s="3"/>
      <c r="I456" s="3"/>
      <c r="J456" s="3"/>
      <c r="K456" s="3"/>
      <c r="Q456" s="3"/>
      <c r="R456" s="3"/>
      <c r="S456" s="3"/>
    </row>
    <row r="457" spans="6:19" ht="15.75" customHeight="1" x14ac:dyDescent="0.25">
      <c r="F457" s="3"/>
      <c r="G457" s="3"/>
      <c r="H457" s="3"/>
      <c r="I457" s="3"/>
      <c r="J457" s="3"/>
      <c r="K457" s="3"/>
      <c r="Q457" s="3"/>
      <c r="R457" s="3"/>
      <c r="S457" s="3"/>
    </row>
    <row r="458" spans="6:19" ht="15.75" customHeight="1" x14ac:dyDescent="0.25">
      <c r="F458" s="3"/>
      <c r="G458" s="3"/>
      <c r="H458" s="3"/>
      <c r="I458" s="3"/>
      <c r="J458" s="3"/>
      <c r="K458" s="3"/>
      <c r="Q458" s="3"/>
      <c r="R458" s="3"/>
      <c r="S458" s="3"/>
    </row>
    <row r="459" spans="6:19" ht="15.75" customHeight="1" x14ac:dyDescent="0.25">
      <c r="F459" s="3"/>
      <c r="G459" s="3"/>
      <c r="H459" s="3"/>
      <c r="I459" s="3"/>
      <c r="J459" s="3"/>
      <c r="K459" s="3"/>
      <c r="Q459" s="3"/>
      <c r="R459" s="3"/>
      <c r="S459" s="3"/>
    </row>
    <row r="460" spans="6:19" ht="15.75" customHeight="1" x14ac:dyDescent="0.25">
      <c r="F460" s="3"/>
      <c r="G460" s="3"/>
      <c r="H460" s="3"/>
      <c r="I460" s="3"/>
      <c r="J460" s="3"/>
      <c r="K460" s="3"/>
      <c r="Q460" s="3"/>
      <c r="R460" s="3"/>
      <c r="S460" s="3"/>
    </row>
    <row r="461" spans="6:19" ht="15.75" customHeight="1" x14ac:dyDescent="0.25">
      <c r="F461" s="3"/>
      <c r="G461" s="3"/>
      <c r="H461" s="3"/>
      <c r="I461" s="3"/>
      <c r="J461" s="3"/>
      <c r="K461" s="3"/>
      <c r="Q461" s="3"/>
      <c r="R461" s="3"/>
      <c r="S461" s="3"/>
    </row>
    <row r="462" spans="6:19" ht="15.75" customHeight="1" x14ac:dyDescent="0.25">
      <c r="F462" s="3"/>
      <c r="G462" s="3"/>
      <c r="H462" s="3"/>
      <c r="I462" s="3"/>
      <c r="J462" s="3"/>
      <c r="K462" s="3"/>
      <c r="Q462" s="3"/>
      <c r="R462" s="3"/>
      <c r="S462" s="3"/>
    </row>
    <row r="463" spans="6:19" ht="15.75" customHeight="1" x14ac:dyDescent="0.25">
      <c r="F463" s="3"/>
      <c r="G463" s="3"/>
      <c r="H463" s="3"/>
      <c r="I463" s="3"/>
      <c r="J463" s="3"/>
      <c r="K463" s="3"/>
      <c r="Q463" s="3"/>
      <c r="R463" s="3"/>
      <c r="S463" s="3"/>
    </row>
    <row r="464" spans="6:19" ht="15.75" customHeight="1" x14ac:dyDescent="0.25">
      <c r="F464" s="3"/>
      <c r="G464" s="3"/>
      <c r="H464" s="3"/>
      <c r="I464" s="3"/>
      <c r="J464" s="3"/>
      <c r="K464" s="3"/>
      <c r="Q464" s="3"/>
      <c r="R464" s="3"/>
      <c r="S464" s="3"/>
    </row>
    <row r="465" spans="6:19" ht="15.75" customHeight="1" x14ac:dyDescent="0.25">
      <c r="F465" s="3"/>
      <c r="G465" s="3"/>
      <c r="H465" s="3"/>
      <c r="I465" s="3"/>
      <c r="J465" s="3"/>
      <c r="K465" s="3"/>
      <c r="Q465" s="3"/>
      <c r="R465" s="3"/>
      <c r="S465" s="3"/>
    </row>
    <row r="466" spans="6:19" ht="15.75" customHeight="1" x14ac:dyDescent="0.25">
      <c r="F466" s="3"/>
      <c r="G466" s="3"/>
      <c r="H466" s="3"/>
      <c r="I466" s="3"/>
      <c r="J466" s="3"/>
      <c r="K466" s="3"/>
      <c r="Q466" s="3"/>
      <c r="R466" s="3"/>
      <c r="S466" s="3"/>
    </row>
    <row r="467" spans="6:19" ht="15.75" customHeight="1" x14ac:dyDescent="0.25">
      <c r="F467" s="3"/>
      <c r="G467" s="3"/>
      <c r="H467" s="3"/>
      <c r="I467" s="3"/>
      <c r="J467" s="3"/>
      <c r="K467" s="3"/>
      <c r="Q467" s="3"/>
      <c r="R467" s="3"/>
      <c r="S467" s="3"/>
    </row>
    <row r="468" spans="6:19" ht="15.75" customHeight="1" x14ac:dyDescent="0.25">
      <c r="F468" s="3"/>
      <c r="G468" s="3"/>
      <c r="H468" s="3"/>
      <c r="I468" s="3"/>
      <c r="J468" s="3"/>
      <c r="K468" s="3"/>
      <c r="Q468" s="3"/>
      <c r="R468" s="3"/>
      <c r="S468" s="3"/>
    </row>
    <row r="469" spans="6:19" ht="15.75" customHeight="1" x14ac:dyDescent="0.25">
      <c r="F469" s="3"/>
      <c r="G469" s="3"/>
      <c r="H469" s="3"/>
      <c r="I469" s="3"/>
      <c r="J469" s="3"/>
      <c r="K469" s="3"/>
      <c r="Q469" s="3"/>
      <c r="R469" s="3"/>
      <c r="S469" s="3"/>
    </row>
    <row r="470" spans="6:19" ht="15.75" customHeight="1" x14ac:dyDescent="0.25">
      <c r="F470" s="3"/>
      <c r="G470" s="3"/>
      <c r="H470" s="3"/>
      <c r="I470" s="3"/>
      <c r="J470" s="3"/>
      <c r="K470" s="3"/>
      <c r="Q470" s="3"/>
      <c r="R470" s="3"/>
      <c r="S470" s="3"/>
    </row>
    <row r="471" spans="6:19" ht="15.75" customHeight="1" x14ac:dyDescent="0.25">
      <c r="F471" s="3"/>
      <c r="G471" s="3"/>
      <c r="H471" s="3"/>
      <c r="I471" s="3"/>
      <c r="J471" s="3"/>
      <c r="K471" s="3"/>
      <c r="Q471" s="3"/>
      <c r="R471" s="3"/>
      <c r="S471" s="3"/>
    </row>
    <row r="472" spans="6:19" ht="15.75" customHeight="1" x14ac:dyDescent="0.25">
      <c r="F472" s="3"/>
      <c r="G472" s="3"/>
      <c r="H472" s="3"/>
      <c r="I472" s="3"/>
      <c r="J472" s="3"/>
      <c r="K472" s="3"/>
      <c r="Q472" s="3"/>
      <c r="R472" s="3"/>
      <c r="S472" s="3"/>
    </row>
    <row r="473" spans="6:19" ht="15.75" customHeight="1" x14ac:dyDescent="0.25">
      <c r="F473" s="3"/>
      <c r="G473" s="3"/>
      <c r="H473" s="3"/>
      <c r="I473" s="3"/>
      <c r="J473" s="3"/>
      <c r="K473" s="3"/>
      <c r="Q473" s="3"/>
      <c r="R473" s="3"/>
      <c r="S473" s="3"/>
    </row>
    <row r="474" spans="6:19" ht="15.75" customHeight="1" x14ac:dyDescent="0.25">
      <c r="F474" s="3"/>
      <c r="G474" s="3"/>
      <c r="H474" s="3"/>
      <c r="I474" s="3"/>
      <c r="J474" s="3"/>
      <c r="K474" s="3"/>
      <c r="Q474" s="3"/>
      <c r="R474" s="3"/>
      <c r="S474" s="3"/>
    </row>
    <row r="475" spans="6:19" ht="15.75" customHeight="1" x14ac:dyDescent="0.25">
      <c r="F475" s="3"/>
      <c r="G475" s="3"/>
      <c r="H475" s="3"/>
      <c r="I475" s="3"/>
      <c r="J475" s="3"/>
      <c r="K475" s="3"/>
      <c r="Q475" s="3"/>
      <c r="R475" s="3"/>
      <c r="S475" s="3"/>
    </row>
    <row r="476" spans="6:19" ht="15.75" customHeight="1" x14ac:dyDescent="0.25">
      <c r="F476" s="3"/>
      <c r="G476" s="3"/>
      <c r="H476" s="3"/>
      <c r="I476" s="3"/>
      <c r="J476" s="3"/>
      <c r="K476" s="3"/>
      <c r="Q476" s="3"/>
      <c r="R476" s="3"/>
      <c r="S476" s="3"/>
    </row>
    <row r="477" spans="6:19" ht="15.75" customHeight="1" x14ac:dyDescent="0.25">
      <c r="F477" s="3"/>
      <c r="G477" s="3"/>
      <c r="H477" s="3"/>
      <c r="I477" s="3"/>
      <c r="J477" s="3"/>
      <c r="K477" s="3"/>
      <c r="Q477" s="3"/>
      <c r="R477" s="3"/>
      <c r="S477" s="3"/>
    </row>
    <row r="478" spans="6:19" ht="15.75" customHeight="1" x14ac:dyDescent="0.25">
      <c r="F478" s="3"/>
      <c r="G478" s="3"/>
      <c r="H478" s="3"/>
      <c r="I478" s="3"/>
      <c r="J478" s="3"/>
      <c r="K478" s="3"/>
      <c r="Q478" s="3"/>
      <c r="R478" s="3"/>
      <c r="S478" s="3"/>
    </row>
    <row r="479" spans="6:19" ht="15.75" customHeight="1" x14ac:dyDescent="0.25">
      <c r="F479" s="3"/>
      <c r="G479" s="3"/>
      <c r="H479" s="3"/>
      <c r="I479" s="3"/>
      <c r="J479" s="3"/>
      <c r="K479" s="3"/>
      <c r="Q479" s="3"/>
      <c r="R479" s="3"/>
      <c r="S479" s="3"/>
    </row>
    <row r="480" spans="6:19" ht="15.75" customHeight="1" x14ac:dyDescent="0.25">
      <c r="F480" s="3"/>
      <c r="G480" s="3"/>
      <c r="H480" s="3"/>
      <c r="I480" s="3"/>
      <c r="J480" s="3"/>
      <c r="K480" s="3"/>
      <c r="Q480" s="3"/>
      <c r="R480" s="3"/>
      <c r="S480" s="3"/>
    </row>
    <row r="481" spans="6:19" ht="15.75" customHeight="1" x14ac:dyDescent="0.25">
      <c r="F481" s="3"/>
      <c r="G481" s="3"/>
      <c r="H481" s="3"/>
      <c r="I481" s="3"/>
      <c r="J481" s="3"/>
      <c r="K481" s="3"/>
      <c r="Q481" s="3"/>
      <c r="R481" s="3"/>
      <c r="S481" s="3"/>
    </row>
    <row r="482" spans="6:19" ht="15.75" customHeight="1" x14ac:dyDescent="0.25">
      <c r="F482" s="3"/>
      <c r="G482" s="3"/>
      <c r="H482" s="3"/>
      <c r="I482" s="3"/>
      <c r="J482" s="3"/>
      <c r="K482" s="3"/>
      <c r="Q482" s="3"/>
      <c r="R482" s="3"/>
      <c r="S482" s="3"/>
    </row>
    <row r="483" spans="6:19" ht="15.75" customHeight="1" x14ac:dyDescent="0.25">
      <c r="F483" s="3"/>
      <c r="G483" s="3"/>
      <c r="H483" s="3"/>
      <c r="I483" s="3"/>
      <c r="J483" s="3"/>
      <c r="K483" s="3"/>
      <c r="Q483" s="3"/>
      <c r="R483" s="3"/>
      <c r="S483" s="3"/>
    </row>
    <row r="484" spans="6:19" ht="15.75" customHeight="1" x14ac:dyDescent="0.25">
      <c r="F484" s="3"/>
      <c r="G484" s="3"/>
      <c r="H484" s="3"/>
      <c r="I484" s="3"/>
      <c r="J484" s="3"/>
      <c r="K484" s="3"/>
      <c r="Q484" s="3"/>
      <c r="R484" s="3"/>
      <c r="S484" s="3"/>
    </row>
    <row r="485" spans="6:19" ht="15.75" customHeight="1" x14ac:dyDescent="0.25">
      <c r="F485" s="3"/>
      <c r="G485" s="3"/>
      <c r="H485" s="3"/>
      <c r="I485" s="3"/>
      <c r="J485" s="3"/>
      <c r="K485" s="3"/>
      <c r="Q485" s="3"/>
      <c r="R485" s="3"/>
      <c r="S485" s="3"/>
    </row>
    <row r="486" spans="6:19" ht="15.75" customHeight="1" x14ac:dyDescent="0.25">
      <c r="F486" s="3"/>
      <c r="G486" s="3"/>
      <c r="H486" s="3"/>
      <c r="I486" s="3"/>
      <c r="J486" s="3"/>
      <c r="K486" s="3"/>
      <c r="Q486" s="3"/>
      <c r="R486" s="3"/>
      <c r="S486" s="3"/>
    </row>
    <row r="487" spans="6:19" ht="15.75" customHeight="1" x14ac:dyDescent="0.25">
      <c r="F487" s="3"/>
      <c r="G487" s="3"/>
      <c r="H487" s="3"/>
      <c r="I487" s="3"/>
      <c r="J487" s="3"/>
      <c r="K487" s="3"/>
      <c r="Q487" s="3"/>
      <c r="R487" s="3"/>
      <c r="S487" s="3"/>
    </row>
    <row r="488" spans="6:19" ht="15.75" customHeight="1" x14ac:dyDescent="0.25">
      <c r="F488" s="3"/>
      <c r="G488" s="3"/>
      <c r="H488" s="3"/>
      <c r="I488" s="3"/>
      <c r="J488" s="3"/>
      <c r="K488" s="3"/>
      <c r="Q488" s="3"/>
      <c r="R488" s="3"/>
      <c r="S488" s="3"/>
    </row>
    <row r="489" spans="6:19" ht="15.75" customHeight="1" x14ac:dyDescent="0.25">
      <c r="F489" s="3"/>
      <c r="G489" s="3"/>
      <c r="H489" s="3"/>
      <c r="I489" s="3"/>
      <c r="J489" s="3"/>
      <c r="K489" s="3"/>
      <c r="Q489" s="3"/>
      <c r="R489" s="3"/>
      <c r="S489" s="3"/>
    </row>
    <row r="490" spans="6:19" ht="15.75" customHeight="1" x14ac:dyDescent="0.25">
      <c r="F490" s="3"/>
      <c r="G490" s="3"/>
      <c r="H490" s="3"/>
      <c r="I490" s="3"/>
      <c r="J490" s="3"/>
      <c r="K490" s="3"/>
      <c r="Q490" s="3"/>
      <c r="R490" s="3"/>
      <c r="S490" s="3"/>
    </row>
    <row r="491" spans="6:19" ht="15.75" customHeight="1" x14ac:dyDescent="0.25">
      <c r="F491" s="3"/>
      <c r="G491" s="3"/>
      <c r="H491" s="3"/>
      <c r="I491" s="3"/>
      <c r="J491" s="3"/>
      <c r="K491" s="3"/>
      <c r="Q491" s="3"/>
      <c r="R491" s="3"/>
      <c r="S491" s="3"/>
    </row>
    <row r="492" spans="6:19" ht="15.75" customHeight="1" x14ac:dyDescent="0.25">
      <c r="F492" s="3"/>
      <c r="G492" s="3"/>
      <c r="H492" s="3"/>
      <c r="I492" s="3"/>
      <c r="J492" s="3"/>
      <c r="K492" s="3"/>
      <c r="Q492" s="3"/>
      <c r="R492" s="3"/>
      <c r="S492" s="3"/>
    </row>
    <row r="493" spans="6:19" ht="15.75" customHeight="1" x14ac:dyDescent="0.25">
      <c r="F493" s="3"/>
      <c r="G493" s="3"/>
      <c r="H493" s="3"/>
      <c r="I493" s="3"/>
      <c r="J493" s="3"/>
      <c r="K493" s="3"/>
      <c r="Q493" s="3"/>
      <c r="R493" s="3"/>
      <c r="S493" s="3"/>
    </row>
    <row r="494" spans="6:19" ht="15.75" customHeight="1" x14ac:dyDescent="0.25">
      <c r="F494" s="3"/>
      <c r="G494" s="3"/>
      <c r="H494" s="3"/>
      <c r="I494" s="3"/>
      <c r="J494" s="3"/>
      <c r="K494" s="3"/>
      <c r="Q494" s="3"/>
      <c r="R494" s="3"/>
      <c r="S494" s="3"/>
    </row>
    <row r="495" spans="6:19" ht="15.75" customHeight="1" x14ac:dyDescent="0.25">
      <c r="F495" s="3"/>
      <c r="G495" s="3"/>
      <c r="H495" s="3"/>
      <c r="I495" s="3"/>
      <c r="J495" s="3"/>
      <c r="K495" s="3"/>
      <c r="Q495" s="3"/>
      <c r="R495" s="3"/>
      <c r="S495" s="3"/>
    </row>
    <row r="496" spans="6:19" ht="15.75" customHeight="1" x14ac:dyDescent="0.25">
      <c r="F496" s="3"/>
      <c r="G496" s="3"/>
      <c r="H496" s="3"/>
      <c r="I496" s="3"/>
      <c r="J496" s="3"/>
      <c r="K496" s="3"/>
      <c r="Q496" s="3"/>
      <c r="R496" s="3"/>
      <c r="S496" s="3"/>
    </row>
    <row r="497" spans="6:19" ht="15.75" customHeight="1" x14ac:dyDescent="0.25">
      <c r="F497" s="3"/>
      <c r="G497" s="3"/>
      <c r="H497" s="3"/>
      <c r="I497" s="3"/>
      <c r="J497" s="3"/>
      <c r="K497" s="3"/>
      <c r="Q497" s="3"/>
      <c r="R497" s="3"/>
      <c r="S497" s="3"/>
    </row>
    <row r="498" spans="6:19" ht="15.75" customHeight="1" x14ac:dyDescent="0.25">
      <c r="F498" s="3"/>
      <c r="G498" s="3"/>
      <c r="H498" s="3"/>
      <c r="I498" s="3"/>
      <c r="J498" s="3"/>
      <c r="K498" s="3"/>
      <c r="Q498" s="3"/>
      <c r="R498" s="3"/>
      <c r="S498" s="3"/>
    </row>
    <row r="499" spans="6:19" ht="15.75" customHeight="1" x14ac:dyDescent="0.25">
      <c r="F499" s="3"/>
      <c r="G499" s="3"/>
      <c r="H499" s="3"/>
      <c r="I499" s="3"/>
      <c r="J499" s="3"/>
      <c r="K499" s="3"/>
      <c r="Q499" s="3"/>
      <c r="R499" s="3"/>
      <c r="S499" s="3"/>
    </row>
    <row r="500" spans="6:19" ht="15.75" customHeight="1" x14ac:dyDescent="0.25">
      <c r="F500" s="3"/>
      <c r="G500" s="3"/>
      <c r="H500" s="3"/>
      <c r="I500" s="3"/>
      <c r="J500" s="3"/>
      <c r="K500" s="3"/>
      <c r="Q500" s="3"/>
      <c r="R500" s="3"/>
      <c r="S500" s="3"/>
    </row>
    <row r="501" spans="6:19" ht="15.75" customHeight="1" x14ac:dyDescent="0.25">
      <c r="F501" s="3"/>
      <c r="G501" s="3"/>
      <c r="H501" s="3"/>
      <c r="I501" s="3"/>
      <c r="J501" s="3"/>
      <c r="K501" s="3"/>
      <c r="Q501" s="3"/>
      <c r="R501" s="3"/>
      <c r="S501" s="3"/>
    </row>
    <row r="502" spans="6:19" ht="15.75" customHeight="1" x14ac:dyDescent="0.25">
      <c r="F502" s="3"/>
      <c r="G502" s="3"/>
      <c r="H502" s="3"/>
      <c r="I502" s="3"/>
      <c r="J502" s="3"/>
      <c r="K502" s="3"/>
      <c r="Q502" s="3"/>
      <c r="R502" s="3"/>
      <c r="S502" s="3"/>
    </row>
    <row r="503" spans="6:19" ht="15.75" customHeight="1" x14ac:dyDescent="0.25">
      <c r="F503" s="3"/>
      <c r="G503" s="3"/>
      <c r="H503" s="3"/>
      <c r="I503" s="3"/>
      <c r="J503" s="3"/>
      <c r="K503" s="3"/>
      <c r="Q503" s="3"/>
      <c r="R503" s="3"/>
      <c r="S503" s="3"/>
    </row>
    <row r="504" spans="6:19" ht="15.75" customHeight="1" x14ac:dyDescent="0.25">
      <c r="F504" s="3"/>
      <c r="G504" s="3"/>
      <c r="H504" s="3"/>
      <c r="I504" s="3"/>
      <c r="J504" s="3"/>
      <c r="K504" s="3"/>
      <c r="Q504" s="3"/>
      <c r="R504" s="3"/>
      <c r="S504" s="3"/>
    </row>
    <row r="505" spans="6:19" ht="15.75" customHeight="1" x14ac:dyDescent="0.25">
      <c r="F505" s="3"/>
      <c r="G505" s="3"/>
      <c r="H505" s="3"/>
      <c r="I505" s="3"/>
      <c r="J505" s="3"/>
      <c r="K505" s="3"/>
      <c r="Q505" s="3"/>
      <c r="R505" s="3"/>
      <c r="S505" s="3"/>
    </row>
    <row r="506" spans="6:19" ht="15.75" customHeight="1" x14ac:dyDescent="0.25">
      <c r="F506" s="3"/>
      <c r="G506" s="3"/>
      <c r="H506" s="3"/>
      <c r="I506" s="3"/>
      <c r="J506" s="3"/>
      <c r="K506" s="3"/>
      <c r="Q506" s="3"/>
      <c r="R506" s="3"/>
      <c r="S506" s="3"/>
    </row>
    <row r="507" spans="6:19" ht="15.75" customHeight="1" x14ac:dyDescent="0.25">
      <c r="F507" s="3"/>
      <c r="G507" s="3"/>
      <c r="H507" s="3"/>
      <c r="I507" s="3"/>
      <c r="J507" s="3"/>
      <c r="K507" s="3"/>
      <c r="Q507" s="3"/>
      <c r="R507" s="3"/>
      <c r="S507" s="3"/>
    </row>
    <row r="508" spans="6:19" ht="15.75" customHeight="1" x14ac:dyDescent="0.25">
      <c r="F508" s="3"/>
      <c r="G508" s="3"/>
      <c r="H508" s="3"/>
      <c r="I508" s="3"/>
      <c r="J508" s="3"/>
      <c r="K508" s="3"/>
      <c r="Q508" s="3"/>
      <c r="R508" s="3"/>
      <c r="S508" s="3"/>
    </row>
    <row r="509" spans="6:19" ht="15.75" customHeight="1" x14ac:dyDescent="0.25">
      <c r="F509" s="3"/>
      <c r="G509" s="3"/>
      <c r="H509" s="3"/>
      <c r="I509" s="3"/>
      <c r="J509" s="3"/>
      <c r="K509" s="3"/>
      <c r="Q509" s="3"/>
      <c r="R509" s="3"/>
      <c r="S509" s="3"/>
    </row>
    <row r="510" spans="6:19" ht="15.75" customHeight="1" x14ac:dyDescent="0.25">
      <c r="F510" s="3"/>
      <c r="G510" s="3"/>
      <c r="H510" s="3"/>
      <c r="I510" s="3"/>
      <c r="J510" s="3"/>
      <c r="K510" s="3"/>
      <c r="Q510" s="3"/>
      <c r="R510" s="3"/>
      <c r="S510" s="3"/>
    </row>
    <row r="511" spans="6:19" ht="15.75" customHeight="1" x14ac:dyDescent="0.25">
      <c r="F511" s="3"/>
      <c r="G511" s="3"/>
      <c r="H511" s="3"/>
      <c r="I511" s="3"/>
      <c r="J511" s="3"/>
      <c r="K511" s="3"/>
      <c r="Q511" s="3"/>
      <c r="R511" s="3"/>
      <c r="S511" s="3"/>
    </row>
    <row r="512" spans="6:19" ht="15.75" customHeight="1" x14ac:dyDescent="0.25">
      <c r="F512" s="3"/>
      <c r="G512" s="3"/>
      <c r="H512" s="3"/>
      <c r="I512" s="3"/>
      <c r="J512" s="3"/>
      <c r="K512" s="3"/>
      <c r="Q512" s="3"/>
      <c r="R512" s="3"/>
      <c r="S512" s="3"/>
    </row>
    <row r="513" spans="6:19" ht="15.75" customHeight="1" x14ac:dyDescent="0.25">
      <c r="F513" s="3"/>
      <c r="G513" s="3"/>
      <c r="H513" s="3"/>
      <c r="I513" s="3"/>
      <c r="J513" s="3"/>
      <c r="K513" s="3"/>
      <c r="Q513" s="3"/>
      <c r="R513" s="3"/>
      <c r="S513" s="3"/>
    </row>
    <row r="514" spans="6:19" ht="15.75" customHeight="1" x14ac:dyDescent="0.25">
      <c r="F514" s="3"/>
      <c r="G514" s="3"/>
      <c r="H514" s="3"/>
      <c r="I514" s="3"/>
      <c r="J514" s="3"/>
      <c r="K514" s="3"/>
      <c r="Q514" s="3"/>
      <c r="R514" s="3"/>
      <c r="S514" s="3"/>
    </row>
    <row r="515" spans="6:19" ht="15.75" customHeight="1" x14ac:dyDescent="0.25">
      <c r="F515" s="3"/>
      <c r="G515" s="3"/>
      <c r="H515" s="3"/>
      <c r="I515" s="3"/>
      <c r="J515" s="3"/>
      <c r="K515" s="3"/>
      <c r="Q515" s="3"/>
      <c r="R515" s="3"/>
      <c r="S515" s="3"/>
    </row>
    <row r="516" spans="6:19" ht="15.75" customHeight="1" x14ac:dyDescent="0.25">
      <c r="F516" s="3"/>
      <c r="G516" s="3"/>
      <c r="H516" s="3"/>
      <c r="I516" s="3"/>
      <c r="J516" s="3"/>
      <c r="K516" s="3"/>
      <c r="Q516" s="3"/>
      <c r="R516" s="3"/>
      <c r="S516" s="3"/>
    </row>
    <row r="517" spans="6:19" ht="15.75" customHeight="1" x14ac:dyDescent="0.25">
      <c r="F517" s="3"/>
      <c r="G517" s="3"/>
      <c r="H517" s="3"/>
      <c r="I517" s="3"/>
      <c r="J517" s="3"/>
      <c r="K517" s="3"/>
      <c r="Q517" s="3"/>
      <c r="R517" s="3"/>
      <c r="S517" s="3"/>
    </row>
    <row r="518" spans="6:19" ht="15.75" customHeight="1" x14ac:dyDescent="0.25">
      <c r="F518" s="3"/>
      <c r="G518" s="3"/>
      <c r="H518" s="3"/>
      <c r="I518" s="3"/>
      <c r="J518" s="3"/>
      <c r="K518" s="3"/>
      <c r="Q518" s="3"/>
      <c r="R518" s="3"/>
      <c r="S518" s="3"/>
    </row>
    <row r="519" spans="6:19" ht="15.75" customHeight="1" x14ac:dyDescent="0.25">
      <c r="F519" s="3"/>
      <c r="G519" s="3"/>
      <c r="H519" s="3"/>
      <c r="I519" s="3"/>
      <c r="J519" s="3"/>
      <c r="K519" s="3"/>
      <c r="Q519" s="3"/>
      <c r="R519" s="3"/>
      <c r="S519" s="3"/>
    </row>
    <row r="520" spans="6:19" ht="15.75" customHeight="1" x14ac:dyDescent="0.25">
      <c r="F520" s="3"/>
      <c r="G520" s="3"/>
      <c r="H520" s="3"/>
      <c r="I520" s="3"/>
      <c r="J520" s="3"/>
      <c r="K520" s="3"/>
      <c r="Q520" s="3"/>
      <c r="R520" s="3"/>
      <c r="S520" s="3"/>
    </row>
    <row r="521" spans="6:19" ht="15.75" customHeight="1" x14ac:dyDescent="0.25">
      <c r="F521" s="3"/>
      <c r="G521" s="3"/>
      <c r="H521" s="3"/>
      <c r="I521" s="3"/>
      <c r="J521" s="3"/>
      <c r="K521" s="3"/>
      <c r="Q521" s="3"/>
      <c r="R521" s="3"/>
      <c r="S521" s="3"/>
    </row>
    <row r="522" spans="6:19" ht="15.75" customHeight="1" x14ac:dyDescent="0.25">
      <c r="F522" s="3"/>
      <c r="G522" s="3"/>
      <c r="H522" s="3"/>
      <c r="I522" s="3"/>
      <c r="J522" s="3"/>
      <c r="K522" s="3"/>
      <c r="Q522" s="3"/>
      <c r="R522" s="3"/>
      <c r="S522" s="3"/>
    </row>
    <row r="523" spans="6:19" ht="15.75" customHeight="1" x14ac:dyDescent="0.25">
      <c r="F523" s="3"/>
      <c r="G523" s="3"/>
      <c r="H523" s="3"/>
      <c r="I523" s="3"/>
      <c r="J523" s="3"/>
      <c r="K523" s="3"/>
      <c r="Q523" s="3"/>
      <c r="R523" s="3"/>
      <c r="S523" s="3"/>
    </row>
    <row r="524" spans="6:19" ht="15.75" customHeight="1" x14ac:dyDescent="0.25">
      <c r="F524" s="3"/>
      <c r="G524" s="3"/>
      <c r="H524" s="3"/>
      <c r="I524" s="3"/>
      <c r="J524" s="3"/>
      <c r="K524" s="3"/>
      <c r="Q524" s="3"/>
      <c r="R524" s="3"/>
      <c r="S524" s="3"/>
    </row>
    <row r="525" spans="6:19" ht="15.75" customHeight="1" x14ac:dyDescent="0.25">
      <c r="F525" s="3"/>
      <c r="G525" s="3"/>
      <c r="H525" s="3"/>
      <c r="I525" s="3"/>
      <c r="J525" s="3"/>
      <c r="K525" s="3"/>
      <c r="Q525" s="3"/>
      <c r="R525" s="3"/>
      <c r="S525" s="3"/>
    </row>
    <row r="526" spans="6:19" ht="15.75" customHeight="1" x14ac:dyDescent="0.25">
      <c r="F526" s="3"/>
      <c r="G526" s="3"/>
      <c r="H526" s="3"/>
      <c r="I526" s="3"/>
      <c r="J526" s="3"/>
      <c r="K526" s="3"/>
      <c r="Q526" s="3"/>
      <c r="R526" s="3"/>
      <c r="S526" s="3"/>
    </row>
    <row r="527" spans="6:19" ht="15.75" customHeight="1" x14ac:dyDescent="0.25">
      <c r="F527" s="3"/>
      <c r="G527" s="3"/>
      <c r="H527" s="3"/>
      <c r="I527" s="3"/>
      <c r="J527" s="3"/>
      <c r="K527" s="3"/>
      <c r="Q527" s="3"/>
      <c r="R527" s="3"/>
      <c r="S527" s="3"/>
    </row>
    <row r="528" spans="6:19" ht="15.75" customHeight="1" x14ac:dyDescent="0.25">
      <c r="F528" s="3"/>
      <c r="G528" s="3"/>
      <c r="H528" s="3"/>
      <c r="I528" s="3"/>
      <c r="J528" s="3"/>
      <c r="K528" s="3"/>
      <c r="Q528" s="3"/>
      <c r="R528" s="3"/>
      <c r="S528" s="3"/>
    </row>
    <row r="529" spans="6:19" ht="15.75" customHeight="1" x14ac:dyDescent="0.25">
      <c r="F529" s="3"/>
      <c r="G529" s="3"/>
      <c r="H529" s="3"/>
      <c r="I529" s="3"/>
      <c r="J529" s="3"/>
      <c r="K529" s="3"/>
      <c r="Q529" s="3"/>
      <c r="R529" s="3"/>
      <c r="S529" s="3"/>
    </row>
    <row r="530" spans="6:19" ht="15.75" customHeight="1" x14ac:dyDescent="0.25">
      <c r="F530" s="3"/>
      <c r="G530" s="3"/>
      <c r="H530" s="3"/>
      <c r="I530" s="3"/>
      <c r="J530" s="3"/>
      <c r="K530" s="3"/>
      <c r="Q530" s="3"/>
      <c r="R530" s="3"/>
      <c r="S530" s="3"/>
    </row>
    <row r="531" spans="6:19" ht="15.75" customHeight="1" x14ac:dyDescent="0.25">
      <c r="F531" s="3"/>
      <c r="G531" s="3"/>
      <c r="H531" s="3"/>
      <c r="I531" s="3"/>
      <c r="J531" s="3"/>
      <c r="K531" s="3"/>
      <c r="Q531" s="3"/>
      <c r="R531" s="3"/>
      <c r="S531" s="3"/>
    </row>
    <row r="532" spans="6:19" ht="15.75" customHeight="1" x14ac:dyDescent="0.25">
      <c r="F532" s="3"/>
      <c r="G532" s="3"/>
      <c r="H532" s="3"/>
      <c r="I532" s="3"/>
      <c r="J532" s="3"/>
      <c r="K532" s="3"/>
      <c r="Q532" s="3"/>
      <c r="R532" s="3"/>
      <c r="S532" s="3"/>
    </row>
    <row r="533" spans="6:19" ht="15.75" customHeight="1" x14ac:dyDescent="0.25">
      <c r="F533" s="3"/>
      <c r="G533" s="3"/>
      <c r="H533" s="3"/>
      <c r="I533" s="3"/>
      <c r="J533" s="3"/>
      <c r="K533" s="3"/>
      <c r="Q533" s="3"/>
      <c r="R533" s="3"/>
      <c r="S533" s="3"/>
    </row>
    <row r="534" spans="6:19" ht="15.75" customHeight="1" x14ac:dyDescent="0.25">
      <c r="F534" s="3"/>
      <c r="G534" s="3"/>
      <c r="H534" s="3"/>
      <c r="I534" s="3"/>
      <c r="J534" s="3"/>
      <c r="K534" s="3"/>
      <c r="Q534" s="3"/>
      <c r="R534" s="3"/>
      <c r="S534" s="3"/>
    </row>
    <row r="535" spans="6:19" ht="15.75" customHeight="1" x14ac:dyDescent="0.25">
      <c r="F535" s="3"/>
      <c r="G535" s="3"/>
      <c r="H535" s="3"/>
      <c r="I535" s="3"/>
      <c r="J535" s="3"/>
      <c r="K535" s="3"/>
      <c r="Q535" s="3"/>
      <c r="R535" s="3"/>
      <c r="S535" s="3"/>
    </row>
    <row r="536" spans="6:19" ht="15.75" customHeight="1" x14ac:dyDescent="0.25">
      <c r="F536" s="3"/>
      <c r="G536" s="3"/>
      <c r="H536" s="3"/>
      <c r="I536" s="3"/>
      <c r="J536" s="3"/>
      <c r="K536" s="3"/>
      <c r="Q536" s="3"/>
      <c r="R536" s="3"/>
      <c r="S536" s="3"/>
    </row>
    <row r="537" spans="6:19" ht="15.75" customHeight="1" x14ac:dyDescent="0.25">
      <c r="F537" s="3"/>
      <c r="G537" s="3"/>
      <c r="H537" s="3"/>
      <c r="I537" s="3"/>
      <c r="J537" s="3"/>
      <c r="K537" s="3"/>
      <c r="Q537" s="3"/>
      <c r="R537" s="3"/>
      <c r="S537" s="3"/>
    </row>
    <row r="538" spans="6:19" ht="15.75" customHeight="1" x14ac:dyDescent="0.25">
      <c r="F538" s="3"/>
      <c r="G538" s="3"/>
      <c r="H538" s="3"/>
      <c r="I538" s="3"/>
      <c r="J538" s="3"/>
      <c r="K538" s="3"/>
      <c r="Q538" s="3"/>
      <c r="R538" s="3"/>
      <c r="S538" s="3"/>
    </row>
    <row r="539" spans="6:19" ht="15.75" customHeight="1" x14ac:dyDescent="0.25">
      <c r="F539" s="3"/>
      <c r="G539" s="3"/>
      <c r="H539" s="3"/>
      <c r="I539" s="3"/>
      <c r="J539" s="3"/>
      <c r="K539" s="3"/>
      <c r="Q539" s="3"/>
      <c r="R539" s="3"/>
      <c r="S539" s="3"/>
    </row>
    <row r="540" spans="6:19" ht="15.75" customHeight="1" x14ac:dyDescent="0.25">
      <c r="F540" s="3"/>
      <c r="G540" s="3"/>
      <c r="H540" s="3"/>
      <c r="I540" s="3"/>
      <c r="J540" s="3"/>
      <c r="K540" s="3"/>
      <c r="Q540" s="3"/>
      <c r="R540" s="3"/>
      <c r="S540" s="3"/>
    </row>
    <row r="541" spans="6:19" ht="15.75" customHeight="1" x14ac:dyDescent="0.25">
      <c r="F541" s="3"/>
      <c r="G541" s="3"/>
      <c r="H541" s="3"/>
      <c r="I541" s="3"/>
      <c r="J541" s="3"/>
      <c r="K541" s="3"/>
      <c r="Q541" s="3"/>
      <c r="R541" s="3"/>
      <c r="S541" s="3"/>
    </row>
    <row r="542" spans="6:19" ht="15.75" customHeight="1" x14ac:dyDescent="0.25">
      <c r="F542" s="3"/>
      <c r="G542" s="3"/>
      <c r="H542" s="3"/>
      <c r="I542" s="3"/>
      <c r="J542" s="3"/>
      <c r="K542" s="3"/>
      <c r="Q542" s="3"/>
      <c r="R542" s="3"/>
      <c r="S542" s="3"/>
    </row>
    <row r="543" spans="6:19" ht="15.75" customHeight="1" x14ac:dyDescent="0.25">
      <c r="F543" s="3"/>
      <c r="G543" s="3"/>
      <c r="H543" s="3"/>
      <c r="I543" s="3"/>
      <c r="J543" s="3"/>
      <c r="K543" s="3"/>
      <c r="Q543" s="3"/>
      <c r="R543" s="3"/>
      <c r="S543" s="3"/>
    </row>
    <row r="544" spans="6:19" ht="15.75" customHeight="1" x14ac:dyDescent="0.25">
      <c r="F544" s="3"/>
      <c r="G544" s="3"/>
      <c r="H544" s="3"/>
      <c r="I544" s="3"/>
      <c r="J544" s="3"/>
      <c r="K544" s="3"/>
      <c r="Q544" s="3"/>
      <c r="R544" s="3"/>
      <c r="S544" s="3"/>
    </row>
    <row r="545" spans="6:19" ht="15.75" customHeight="1" x14ac:dyDescent="0.25">
      <c r="F545" s="3"/>
      <c r="G545" s="3"/>
      <c r="H545" s="3"/>
      <c r="I545" s="3"/>
      <c r="J545" s="3"/>
      <c r="K545" s="3"/>
      <c r="Q545" s="3"/>
      <c r="R545" s="3"/>
      <c r="S545" s="3"/>
    </row>
    <row r="546" spans="6:19" ht="15.75" customHeight="1" x14ac:dyDescent="0.25">
      <c r="F546" s="3"/>
      <c r="G546" s="3"/>
      <c r="H546" s="3"/>
      <c r="I546" s="3"/>
      <c r="J546" s="3"/>
      <c r="K546" s="3"/>
      <c r="Q546" s="3"/>
      <c r="R546" s="3"/>
      <c r="S546" s="3"/>
    </row>
    <row r="547" spans="6:19" ht="15.75" customHeight="1" x14ac:dyDescent="0.25">
      <c r="F547" s="3"/>
      <c r="G547" s="3"/>
      <c r="H547" s="3"/>
      <c r="I547" s="3"/>
      <c r="J547" s="3"/>
      <c r="K547" s="3"/>
      <c r="Q547" s="3"/>
      <c r="R547" s="3"/>
      <c r="S547" s="3"/>
    </row>
    <row r="548" spans="6:19" ht="15.75" customHeight="1" x14ac:dyDescent="0.25">
      <c r="F548" s="3"/>
      <c r="G548" s="3"/>
      <c r="H548" s="3"/>
      <c r="I548" s="3"/>
      <c r="J548" s="3"/>
      <c r="K548" s="3"/>
      <c r="Q548" s="3"/>
      <c r="R548" s="3"/>
      <c r="S548" s="3"/>
    </row>
    <row r="549" spans="6:19" ht="15.75" customHeight="1" x14ac:dyDescent="0.25">
      <c r="F549" s="3"/>
      <c r="G549" s="3"/>
      <c r="H549" s="3"/>
      <c r="I549" s="3"/>
      <c r="J549" s="3"/>
      <c r="K549" s="3"/>
      <c r="Q549" s="3"/>
      <c r="R549" s="3"/>
      <c r="S549" s="3"/>
    </row>
    <row r="550" spans="6:19" ht="15.75" customHeight="1" x14ac:dyDescent="0.25">
      <c r="F550" s="3"/>
      <c r="G550" s="3"/>
      <c r="H550" s="3"/>
      <c r="I550" s="3"/>
      <c r="J550" s="3"/>
      <c r="K550" s="3"/>
      <c r="Q550" s="3"/>
      <c r="R550" s="3"/>
      <c r="S550" s="3"/>
    </row>
    <row r="551" spans="6:19" ht="15.75" customHeight="1" x14ac:dyDescent="0.25">
      <c r="F551" s="3"/>
      <c r="G551" s="3"/>
      <c r="H551" s="3"/>
      <c r="I551" s="3"/>
      <c r="J551" s="3"/>
      <c r="K551" s="3"/>
      <c r="Q551" s="3"/>
      <c r="R551" s="3"/>
      <c r="S551" s="3"/>
    </row>
    <row r="552" spans="6:19" ht="15.75" customHeight="1" x14ac:dyDescent="0.25">
      <c r="F552" s="3"/>
      <c r="G552" s="3"/>
      <c r="H552" s="3"/>
      <c r="I552" s="3"/>
      <c r="J552" s="3"/>
      <c r="K552" s="3"/>
      <c r="Q552" s="3"/>
      <c r="R552" s="3"/>
      <c r="S552" s="3"/>
    </row>
    <row r="553" spans="6:19" ht="15.75" customHeight="1" x14ac:dyDescent="0.25">
      <c r="F553" s="3"/>
      <c r="G553" s="3"/>
      <c r="H553" s="3"/>
      <c r="I553" s="3"/>
      <c r="J553" s="3"/>
      <c r="K553" s="3"/>
      <c r="Q553" s="3"/>
      <c r="R553" s="3"/>
      <c r="S553" s="3"/>
    </row>
    <row r="554" spans="6:19" ht="15.75" customHeight="1" x14ac:dyDescent="0.25">
      <c r="F554" s="3"/>
      <c r="G554" s="3"/>
      <c r="H554" s="3"/>
      <c r="I554" s="3"/>
      <c r="J554" s="3"/>
      <c r="K554" s="3"/>
      <c r="Q554" s="3"/>
      <c r="R554" s="3"/>
      <c r="S554" s="3"/>
    </row>
    <row r="555" spans="6:19" ht="15.75" customHeight="1" x14ac:dyDescent="0.25">
      <c r="F555" s="3"/>
      <c r="G555" s="3"/>
      <c r="H555" s="3"/>
      <c r="I555" s="3"/>
      <c r="J555" s="3"/>
      <c r="K555" s="3"/>
      <c r="Q555" s="3"/>
      <c r="R555" s="3"/>
      <c r="S555" s="3"/>
    </row>
    <row r="556" spans="6:19" ht="15.75" customHeight="1" x14ac:dyDescent="0.25">
      <c r="F556" s="3"/>
      <c r="G556" s="3"/>
      <c r="H556" s="3"/>
      <c r="I556" s="3"/>
      <c r="J556" s="3"/>
      <c r="K556" s="3"/>
      <c r="Q556" s="3"/>
      <c r="R556" s="3"/>
      <c r="S556" s="3"/>
    </row>
    <row r="557" spans="6:19" ht="15.75" customHeight="1" x14ac:dyDescent="0.25">
      <c r="F557" s="3"/>
      <c r="G557" s="3"/>
      <c r="H557" s="3"/>
      <c r="I557" s="3"/>
      <c r="J557" s="3"/>
      <c r="K557" s="3"/>
      <c r="Q557" s="3"/>
      <c r="R557" s="3"/>
      <c r="S557" s="3"/>
    </row>
    <row r="558" spans="6:19" ht="15.75" customHeight="1" x14ac:dyDescent="0.25">
      <c r="F558" s="3"/>
      <c r="G558" s="3"/>
      <c r="H558" s="3"/>
      <c r="I558" s="3"/>
      <c r="J558" s="3"/>
      <c r="K558" s="3"/>
      <c r="Q558" s="3"/>
      <c r="R558" s="3"/>
      <c r="S558" s="3"/>
    </row>
    <row r="559" spans="6:19" ht="15.75" customHeight="1" x14ac:dyDescent="0.25">
      <c r="F559" s="3"/>
      <c r="G559" s="3"/>
      <c r="H559" s="3"/>
      <c r="I559" s="3"/>
      <c r="J559" s="3"/>
      <c r="K559" s="3"/>
      <c r="Q559" s="3"/>
      <c r="R559" s="3"/>
      <c r="S559" s="3"/>
    </row>
    <row r="560" spans="6:19" ht="15.75" customHeight="1" x14ac:dyDescent="0.25">
      <c r="F560" s="3"/>
      <c r="G560" s="3"/>
      <c r="H560" s="3"/>
      <c r="I560" s="3"/>
      <c r="J560" s="3"/>
      <c r="K560" s="3"/>
      <c r="Q560" s="3"/>
      <c r="R560" s="3"/>
      <c r="S560" s="3"/>
    </row>
    <row r="561" spans="6:19" ht="15.75" customHeight="1" x14ac:dyDescent="0.25">
      <c r="F561" s="3"/>
      <c r="G561" s="3"/>
      <c r="H561" s="3"/>
      <c r="I561" s="3"/>
      <c r="J561" s="3"/>
      <c r="K561" s="3"/>
      <c r="Q561" s="3"/>
      <c r="R561" s="3"/>
      <c r="S561" s="3"/>
    </row>
    <row r="562" spans="6:19" ht="15.75" customHeight="1" x14ac:dyDescent="0.25">
      <c r="F562" s="3"/>
      <c r="G562" s="3"/>
      <c r="H562" s="3"/>
      <c r="I562" s="3"/>
      <c r="J562" s="3"/>
      <c r="K562" s="3"/>
      <c r="Q562" s="3"/>
      <c r="R562" s="3"/>
      <c r="S562" s="3"/>
    </row>
    <row r="563" spans="6:19" ht="15.75" customHeight="1" x14ac:dyDescent="0.25">
      <c r="F563" s="3"/>
      <c r="G563" s="3"/>
      <c r="H563" s="3"/>
      <c r="I563" s="3"/>
      <c r="J563" s="3"/>
      <c r="K563" s="3"/>
      <c r="Q563" s="3"/>
      <c r="R563" s="3"/>
      <c r="S563" s="3"/>
    </row>
    <row r="564" spans="6:19" ht="15.75" customHeight="1" x14ac:dyDescent="0.25">
      <c r="F564" s="3"/>
      <c r="G564" s="3"/>
      <c r="H564" s="3"/>
      <c r="I564" s="3"/>
      <c r="J564" s="3"/>
      <c r="K564" s="3"/>
      <c r="Q564" s="3"/>
      <c r="R564" s="3"/>
      <c r="S564" s="3"/>
    </row>
    <row r="565" spans="6:19" ht="15.75" customHeight="1" x14ac:dyDescent="0.25">
      <c r="F565" s="3"/>
      <c r="G565" s="3"/>
      <c r="H565" s="3"/>
      <c r="I565" s="3"/>
      <c r="J565" s="3"/>
      <c r="K565" s="3"/>
      <c r="Q565" s="3"/>
      <c r="R565" s="3"/>
      <c r="S565" s="3"/>
    </row>
    <row r="566" spans="6:19" ht="15.75" customHeight="1" x14ac:dyDescent="0.25">
      <c r="F566" s="3"/>
      <c r="G566" s="3"/>
      <c r="H566" s="3"/>
      <c r="I566" s="3"/>
      <c r="J566" s="3"/>
      <c r="K566" s="3"/>
      <c r="Q566" s="3"/>
      <c r="R566" s="3"/>
      <c r="S566" s="3"/>
    </row>
    <row r="567" spans="6:19" ht="15.75" customHeight="1" x14ac:dyDescent="0.25">
      <c r="F567" s="3"/>
      <c r="G567" s="3"/>
      <c r="H567" s="3"/>
      <c r="I567" s="3"/>
      <c r="J567" s="3"/>
      <c r="K567" s="3"/>
      <c r="Q567" s="3"/>
      <c r="R567" s="3"/>
      <c r="S567" s="3"/>
    </row>
    <row r="568" spans="6:19" ht="15.75" customHeight="1" x14ac:dyDescent="0.25">
      <c r="F568" s="3"/>
      <c r="G568" s="3"/>
      <c r="H568" s="3"/>
      <c r="I568" s="3"/>
      <c r="J568" s="3"/>
      <c r="K568" s="3"/>
      <c r="Q568" s="3"/>
      <c r="R568" s="3"/>
      <c r="S568" s="3"/>
    </row>
    <row r="569" spans="6:19" ht="15.75" customHeight="1" x14ac:dyDescent="0.25">
      <c r="F569" s="3"/>
      <c r="G569" s="3"/>
      <c r="H569" s="3"/>
      <c r="I569" s="3"/>
      <c r="J569" s="3"/>
      <c r="K569" s="3"/>
      <c r="Q569" s="3"/>
      <c r="R569" s="3"/>
      <c r="S569" s="3"/>
    </row>
    <row r="570" spans="6:19" ht="15.75" customHeight="1" x14ac:dyDescent="0.25">
      <c r="F570" s="3"/>
      <c r="G570" s="3"/>
      <c r="H570" s="3"/>
      <c r="I570" s="3"/>
      <c r="J570" s="3"/>
      <c r="K570" s="3"/>
      <c r="Q570" s="3"/>
      <c r="R570" s="3"/>
      <c r="S570" s="3"/>
    </row>
    <row r="571" spans="6:19" ht="15.75" customHeight="1" x14ac:dyDescent="0.25">
      <c r="F571" s="3"/>
      <c r="G571" s="3"/>
      <c r="H571" s="3"/>
      <c r="I571" s="3"/>
      <c r="J571" s="3"/>
      <c r="K571" s="3"/>
      <c r="Q571" s="3"/>
      <c r="R571" s="3"/>
      <c r="S571" s="3"/>
    </row>
    <row r="572" spans="6:19" ht="15.75" customHeight="1" x14ac:dyDescent="0.25">
      <c r="F572" s="3"/>
      <c r="G572" s="3"/>
      <c r="H572" s="3"/>
      <c r="I572" s="3"/>
      <c r="J572" s="3"/>
      <c r="K572" s="3"/>
      <c r="Q572" s="3"/>
      <c r="R572" s="3"/>
      <c r="S572" s="3"/>
    </row>
    <row r="573" spans="6:19" ht="15.75" customHeight="1" x14ac:dyDescent="0.25">
      <c r="F573" s="3"/>
      <c r="G573" s="3"/>
      <c r="H573" s="3"/>
      <c r="I573" s="3"/>
      <c r="J573" s="3"/>
      <c r="K573" s="3"/>
      <c r="Q573" s="3"/>
      <c r="R573" s="3"/>
      <c r="S573" s="3"/>
    </row>
    <row r="574" spans="6:19" ht="15.75" customHeight="1" x14ac:dyDescent="0.25">
      <c r="F574" s="3"/>
      <c r="G574" s="3"/>
      <c r="H574" s="3"/>
      <c r="I574" s="3"/>
      <c r="J574" s="3"/>
      <c r="K574" s="3"/>
      <c r="Q574" s="3"/>
      <c r="R574" s="3"/>
      <c r="S574" s="3"/>
    </row>
    <row r="575" spans="6:19" ht="15.75" customHeight="1" x14ac:dyDescent="0.25">
      <c r="F575" s="3"/>
      <c r="G575" s="3"/>
      <c r="H575" s="3"/>
      <c r="I575" s="3"/>
      <c r="J575" s="3"/>
      <c r="K575" s="3"/>
      <c r="Q575" s="3"/>
      <c r="R575" s="3"/>
      <c r="S575" s="3"/>
    </row>
    <row r="576" spans="6:19" ht="15.75" customHeight="1" x14ac:dyDescent="0.25">
      <c r="F576" s="3"/>
      <c r="G576" s="3"/>
      <c r="H576" s="3"/>
      <c r="I576" s="3"/>
      <c r="J576" s="3"/>
      <c r="K576" s="3"/>
      <c r="Q576" s="3"/>
      <c r="R576" s="3"/>
      <c r="S576" s="3"/>
    </row>
    <row r="577" spans="6:19" ht="15.75" customHeight="1" x14ac:dyDescent="0.25">
      <c r="F577" s="3"/>
      <c r="G577" s="3"/>
      <c r="H577" s="3"/>
      <c r="I577" s="3"/>
      <c r="J577" s="3"/>
      <c r="K577" s="3"/>
      <c r="Q577" s="3"/>
      <c r="R577" s="3"/>
      <c r="S577" s="3"/>
    </row>
    <row r="578" spans="6:19" ht="15.75" customHeight="1" x14ac:dyDescent="0.25">
      <c r="F578" s="3"/>
      <c r="G578" s="3"/>
      <c r="H578" s="3"/>
      <c r="I578" s="3"/>
      <c r="J578" s="3"/>
      <c r="K578" s="3"/>
      <c r="Q578" s="3"/>
      <c r="R578" s="3"/>
      <c r="S578" s="3"/>
    </row>
    <row r="579" spans="6:19" ht="15.75" customHeight="1" x14ac:dyDescent="0.25">
      <c r="F579" s="3"/>
      <c r="G579" s="3"/>
      <c r="H579" s="3"/>
      <c r="I579" s="3"/>
      <c r="J579" s="3"/>
      <c r="K579" s="3"/>
      <c r="Q579" s="3"/>
      <c r="R579" s="3"/>
      <c r="S579" s="3"/>
    </row>
    <row r="580" spans="6:19" ht="15.75" customHeight="1" x14ac:dyDescent="0.25">
      <c r="F580" s="3"/>
      <c r="G580" s="3"/>
      <c r="H580" s="3"/>
      <c r="I580" s="3"/>
      <c r="J580" s="3"/>
      <c r="K580" s="3"/>
      <c r="Q580" s="3"/>
      <c r="R580" s="3"/>
      <c r="S580" s="3"/>
    </row>
    <row r="581" spans="6:19" ht="15.75" customHeight="1" x14ac:dyDescent="0.25">
      <c r="F581" s="3"/>
      <c r="G581" s="3"/>
      <c r="H581" s="3"/>
      <c r="I581" s="3"/>
      <c r="J581" s="3"/>
      <c r="K581" s="3"/>
      <c r="Q581" s="3"/>
      <c r="R581" s="3"/>
      <c r="S581" s="3"/>
    </row>
    <row r="582" spans="6:19" ht="15.75" customHeight="1" x14ac:dyDescent="0.25">
      <c r="F582" s="3"/>
      <c r="G582" s="3"/>
      <c r="H582" s="3"/>
      <c r="I582" s="3"/>
      <c r="J582" s="3"/>
      <c r="K582" s="3"/>
      <c r="Q582" s="3"/>
      <c r="R582" s="3"/>
      <c r="S582" s="3"/>
    </row>
    <row r="583" spans="6:19" ht="15.75" customHeight="1" x14ac:dyDescent="0.25">
      <c r="F583" s="3"/>
      <c r="G583" s="3"/>
      <c r="H583" s="3"/>
      <c r="I583" s="3"/>
      <c r="J583" s="3"/>
      <c r="K583" s="3"/>
      <c r="Q583" s="3"/>
      <c r="R583" s="3"/>
      <c r="S583" s="3"/>
    </row>
    <row r="584" spans="6:19" ht="15.75" customHeight="1" x14ac:dyDescent="0.25">
      <c r="F584" s="3"/>
      <c r="G584" s="3"/>
      <c r="H584" s="3"/>
      <c r="I584" s="3"/>
      <c r="J584" s="3"/>
      <c r="K584" s="3"/>
      <c r="Q584" s="3"/>
      <c r="R584" s="3"/>
      <c r="S584" s="3"/>
    </row>
    <row r="585" spans="6:19" ht="15.75" customHeight="1" x14ac:dyDescent="0.25">
      <c r="F585" s="3"/>
      <c r="G585" s="3"/>
      <c r="H585" s="3"/>
      <c r="I585" s="3"/>
      <c r="J585" s="3"/>
      <c r="K585" s="3"/>
      <c r="Q585" s="3"/>
      <c r="R585" s="3"/>
      <c r="S585" s="3"/>
    </row>
    <row r="586" spans="6:19" ht="15.75" customHeight="1" x14ac:dyDescent="0.25">
      <c r="F586" s="3"/>
      <c r="G586" s="3"/>
      <c r="H586" s="3"/>
      <c r="I586" s="3"/>
      <c r="J586" s="3"/>
      <c r="K586" s="3"/>
      <c r="Q586" s="3"/>
      <c r="R586" s="3"/>
      <c r="S586" s="3"/>
    </row>
    <row r="587" spans="6:19" ht="15.75" customHeight="1" x14ac:dyDescent="0.25">
      <c r="F587" s="3"/>
      <c r="G587" s="3"/>
      <c r="H587" s="3"/>
      <c r="I587" s="3"/>
      <c r="J587" s="3"/>
      <c r="K587" s="3"/>
      <c r="Q587" s="3"/>
      <c r="R587" s="3"/>
      <c r="S587" s="3"/>
    </row>
    <row r="588" spans="6:19" ht="15.75" customHeight="1" x14ac:dyDescent="0.25">
      <c r="F588" s="3"/>
      <c r="G588" s="3"/>
      <c r="H588" s="3"/>
      <c r="I588" s="3"/>
      <c r="J588" s="3"/>
      <c r="K588" s="3"/>
      <c r="Q588" s="3"/>
      <c r="R588" s="3"/>
      <c r="S588" s="3"/>
    </row>
    <row r="589" spans="6:19" ht="15.75" customHeight="1" x14ac:dyDescent="0.25">
      <c r="F589" s="3"/>
      <c r="G589" s="3"/>
      <c r="H589" s="3"/>
      <c r="I589" s="3"/>
      <c r="J589" s="3"/>
      <c r="K589" s="3"/>
      <c r="Q589" s="3"/>
      <c r="R589" s="3"/>
      <c r="S589" s="3"/>
    </row>
    <row r="590" spans="6:19" ht="15.75" customHeight="1" x14ac:dyDescent="0.25">
      <c r="F590" s="3"/>
      <c r="G590" s="3"/>
      <c r="H590" s="3"/>
      <c r="I590" s="3"/>
      <c r="J590" s="3"/>
      <c r="K590" s="3"/>
      <c r="Q590" s="3"/>
      <c r="R590" s="3"/>
      <c r="S590" s="3"/>
    </row>
    <row r="591" spans="6:19" ht="15.75" customHeight="1" x14ac:dyDescent="0.25">
      <c r="F591" s="3"/>
      <c r="G591" s="3"/>
      <c r="H591" s="3"/>
      <c r="I591" s="3"/>
      <c r="J591" s="3"/>
      <c r="K591" s="3"/>
      <c r="Q591" s="3"/>
      <c r="R591" s="3"/>
      <c r="S591" s="3"/>
    </row>
    <row r="592" spans="6:19" ht="15.75" customHeight="1" x14ac:dyDescent="0.25">
      <c r="F592" s="3"/>
      <c r="G592" s="3"/>
      <c r="H592" s="3"/>
      <c r="I592" s="3"/>
      <c r="J592" s="3"/>
      <c r="K592" s="3"/>
      <c r="Q592" s="3"/>
      <c r="R592" s="3"/>
      <c r="S592" s="3"/>
    </row>
    <row r="593" spans="6:19" ht="15.75" customHeight="1" x14ac:dyDescent="0.25">
      <c r="F593" s="3"/>
      <c r="G593" s="3"/>
      <c r="H593" s="3"/>
      <c r="I593" s="3"/>
      <c r="J593" s="3"/>
      <c r="K593" s="3"/>
      <c r="Q593" s="3"/>
      <c r="R593" s="3"/>
      <c r="S593" s="3"/>
    </row>
    <row r="594" spans="6:19" ht="15.75" customHeight="1" x14ac:dyDescent="0.25">
      <c r="F594" s="3"/>
      <c r="G594" s="3"/>
      <c r="H594" s="3"/>
      <c r="I594" s="3"/>
      <c r="J594" s="3"/>
      <c r="K594" s="3"/>
      <c r="Q594" s="3"/>
      <c r="R594" s="3"/>
      <c r="S594" s="3"/>
    </row>
    <row r="595" spans="6:19" ht="15.75" customHeight="1" x14ac:dyDescent="0.25">
      <c r="F595" s="3"/>
      <c r="G595" s="3"/>
      <c r="H595" s="3"/>
      <c r="I595" s="3"/>
      <c r="J595" s="3"/>
      <c r="K595" s="3"/>
      <c r="Q595" s="3"/>
      <c r="R595" s="3"/>
      <c r="S595" s="3"/>
    </row>
    <row r="596" spans="6:19" ht="15.75" customHeight="1" x14ac:dyDescent="0.25">
      <c r="F596" s="3"/>
      <c r="G596" s="3"/>
      <c r="H596" s="3"/>
      <c r="I596" s="3"/>
      <c r="J596" s="3"/>
      <c r="K596" s="3"/>
      <c r="Q596" s="3"/>
      <c r="R596" s="3"/>
      <c r="S596" s="3"/>
    </row>
    <row r="597" spans="6:19" ht="15.75" customHeight="1" x14ac:dyDescent="0.25">
      <c r="F597" s="3"/>
      <c r="G597" s="3"/>
      <c r="H597" s="3"/>
      <c r="I597" s="3"/>
      <c r="J597" s="3"/>
      <c r="K597" s="3"/>
      <c r="Q597" s="3"/>
      <c r="R597" s="3"/>
      <c r="S597" s="3"/>
    </row>
    <row r="598" spans="6:19" ht="15.75" customHeight="1" x14ac:dyDescent="0.25">
      <c r="F598" s="3"/>
      <c r="G598" s="3"/>
      <c r="H598" s="3"/>
      <c r="I598" s="3"/>
      <c r="J598" s="3"/>
      <c r="K598" s="3"/>
      <c r="Q598" s="3"/>
      <c r="R598" s="3"/>
      <c r="S598" s="3"/>
    </row>
    <row r="599" spans="6:19" ht="15.75" customHeight="1" x14ac:dyDescent="0.25">
      <c r="F599" s="3"/>
      <c r="G599" s="3"/>
      <c r="H599" s="3"/>
      <c r="I599" s="3"/>
      <c r="J599" s="3"/>
      <c r="K599" s="3"/>
      <c r="Q599" s="3"/>
      <c r="R599" s="3"/>
      <c r="S599" s="3"/>
    </row>
    <row r="600" spans="6:19" ht="15.75" customHeight="1" x14ac:dyDescent="0.25">
      <c r="F600" s="3"/>
      <c r="G600" s="3"/>
      <c r="H600" s="3"/>
      <c r="I600" s="3"/>
      <c r="J600" s="3"/>
      <c r="K600" s="3"/>
      <c r="Q600" s="3"/>
      <c r="R600" s="3"/>
      <c r="S600" s="3"/>
    </row>
    <row r="601" spans="6:19" ht="15.75" customHeight="1" x14ac:dyDescent="0.25">
      <c r="F601" s="3"/>
      <c r="G601" s="3"/>
      <c r="H601" s="3"/>
      <c r="I601" s="3"/>
      <c r="J601" s="3"/>
      <c r="K601" s="3"/>
      <c r="Q601" s="3"/>
      <c r="R601" s="3"/>
      <c r="S601" s="3"/>
    </row>
    <row r="602" spans="6:19" ht="15.75" customHeight="1" x14ac:dyDescent="0.25">
      <c r="F602" s="3"/>
      <c r="G602" s="3"/>
      <c r="H602" s="3"/>
      <c r="I602" s="3"/>
      <c r="J602" s="3"/>
      <c r="K602" s="3"/>
      <c r="Q602" s="3"/>
      <c r="R602" s="3"/>
      <c r="S602" s="3"/>
    </row>
    <row r="603" spans="6:19" ht="15.75" customHeight="1" x14ac:dyDescent="0.25">
      <c r="F603" s="3"/>
      <c r="G603" s="3"/>
      <c r="H603" s="3"/>
      <c r="I603" s="3"/>
      <c r="J603" s="3"/>
      <c r="K603" s="3"/>
      <c r="Q603" s="3"/>
      <c r="R603" s="3"/>
      <c r="S603" s="3"/>
    </row>
    <row r="604" spans="6:19" ht="15.75" customHeight="1" x14ac:dyDescent="0.25">
      <c r="F604" s="3"/>
      <c r="G604" s="3"/>
      <c r="H604" s="3"/>
      <c r="I604" s="3"/>
      <c r="J604" s="3"/>
      <c r="K604" s="3"/>
      <c r="Q604" s="3"/>
      <c r="R604" s="3"/>
      <c r="S604" s="3"/>
    </row>
    <row r="605" spans="6:19" ht="15.75" customHeight="1" x14ac:dyDescent="0.25">
      <c r="F605" s="3"/>
      <c r="G605" s="3"/>
      <c r="H605" s="3"/>
      <c r="I605" s="3"/>
      <c r="J605" s="3"/>
      <c r="K605" s="3"/>
      <c r="Q605" s="3"/>
      <c r="R605" s="3"/>
      <c r="S605" s="3"/>
    </row>
    <row r="606" spans="6:19" ht="15.75" customHeight="1" x14ac:dyDescent="0.25">
      <c r="F606" s="3"/>
      <c r="G606" s="3"/>
      <c r="H606" s="3"/>
      <c r="I606" s="3"/>
      <c r="J606" s="3"/>
      <c r="K606" s="3"/>
      <c r="Q606" s="3"/>
      <c r="R606" s="3"/>
      <c r="S606" s="3"/>
    </row>
    <row r="607" spans="6:19" ht="15.75" customHeight="1" x14ac:dyDescent="0.25">
      <c r="F607" s="3"/>
      <c r="G607" s="3"/>
      <c r="H607" s="3"/>
      <c r="I607" s="3"/>
      <c r="J607" s="3"/>
      <c r="K607" s="3"/>
      <c r="Q607" s="3"/>
      <c r="R607" s="3"/>
      <c r="S607" s="3"/>
    </row>
    <row r="608" spans="6:19" ht="15.75" customHeight="1" x14ac:dyDescent="0.25">
      <c r="F608" s="3"/>
      <c r="G608" s="3"/>
      <c r="H608" s="3"/>
      <c r="I608" s="3"/>
      <c r="J608" s="3"/>
      <c r="K608" s="3"/>
      <c r="Q608" s="3"/>
      <c r="R608" s="3"/>
      <c r="S608" s="3"/>
    </row>
    <row r="609" spans="6:19" ht="15.75" customHeight="1" x14ac:dyDescent="0.25">
      <c r="F609" s="3"/>
      <c r="G609" s="3"/>
      <c r="H609" s="3"/>
      <c r="I609" s="3"/>
      <c r="J609" s="3"/>
      <c r="K609" s="3"/>
      <c r="Q609" s="3"/>
      <c r="R609" s="3"/>
      <c r="S609" s="3"/>
    </row>
    <row r="610" spans="6:19" ht="15.75" customHeight="1" x14ac:dyDescent="0.25">
      <c r="F610" s="3"/>
      <c r="G610" s="3"/>
      <c r="H610" s="3"/>
      <c r="I610" s="3"/>
      <c r="J610" s="3"/>
      <c r="K610" s="3"/>
      <c r="Q610" s="3"/>
      <c r="R610" s="3"/>
      <c r="S610" s="3"/>
    </row>
    <row r="611" spans="6:19" ht="15.75" customHeight="1" x14ac:dyDescent="0.25">
      <c r="F611" s="3"/>
      <c r="G611" s="3"/>
      <c r="H611" s="3"/>
      <c r="I611" s="3"/>
      <c r="J611" s="3"/>
      <c r="K611" s="3"/>
      <c r="Q611" s="3"/>
      <c r="R611" s="3"/>
      <c r="S611" s="3"/>
    </row>
    <row r="612" spans="6:19" ht="15.75" customHeight="1" x14ac:dyDescent="0.25">
      <c r="F612" s="3"/>
      <c r="G612" s="3"/>
      <c r="H612" s="3"/>
      <c r="I612" s="3"/>
      <c r="J612" s="3"/>
      <c r="K612" s="3"/>
      <c r="Q612" s="3"/>
      <c r="R612" s="3"/>
      <c r="S612" s="3"/>
    </row>
    <row r="613" spans="6:19" ht="15.75" customHeight="1" x14ac:dyDescent="0.25">
      <c r="F613" s="3"/>
      <c r="G613" s="3"/>
      <c r="H613" s="3"/>
      <c r="I613" s="3"/>
      <c r="J613" s="3"/>
      <c r="K613" s="3"/>
      <c r="Q613" s="3"/>
      <c r="R613" s="3"/>
      <c r="S613" s="3"/>
    </row>
    <row r="614" spans="6:19" ht="15.75" customHeight="1" x14ac:dyDescent="0.25">
      <c r="F614" s="3"/>
      <c r="G614" s="3"/>
      <c r="H614" s="3"/>
      <c r="I614" s="3"/>
      <c r="J614" s="3"/>
      <c r="K614" s="3"/>
      <c r="Q614" s="3"/>
      <c r="R614" s="3"/>
      <c r="S614" s="3"/>
    </row>
    <row r="615" spans="6:19" ht="15.75" customHeight="1" x14ac:dyDescent="0.25">
      <c r="F615" s="3"/>
      <c r="G615" s="3"/>
      <c r="H615" s="3"/>
      <c r="I615" s="3"/>
      <c r="J615" s="3"/>
      <c r="K615" s="3"/>
      <c r="Q615" s="3"/>
      <c r="R615" s="3"/>
      <c r="S615" s="3"/>
    </row>
    <row r="616" spans="6:19" ht="15.75" customHeight="1" x14ac:dyDescent="0.25">
      <c r="F616" s="3"/>
      <c r="G616" s="3"/>
      <c r="H616" s="3"/>
      <c r="I616" s="3"/>
      <c r="J616" s="3"/>
      <c r="K616" s="3"/>
      <c r="Q616" s="3"/>
      <c r="R616" s="3"/>
      <c r="S616" s="3"/>
    </row>
    <row r="617" spans="6:19" ht="15.75" customHeight="1" x14ac:dyDescent="0.25">
      <c r="F617" s="3"/>
      <c r="G617" s="3"/>
      <c r="H617" s="3"/>
      <c r="I617" s="3"/>
      <c r="J617" s="3"/>
      <c r="K617" s="3"/>
      <c r="Q617" s="3"/>
      <c r="R617" s="3"/>
      <c r="S617" s="3"/>
    </row>
    <row r="618" spans="6:19" ht="15.75" customHeight="1" x14ac:dyDescent="0.25">
      <c r="F618" s="3"/>
      <c r="G618" s="3"/>
      <c r="H618" s="3"/>
      <c r="I618" s="3"/>
      <c r="J618" s="3"/>
      <c r="K618" s="3"/>
      <c r="Q618" s="3"/>
      <c r="R618" s="3"/>
      <c r="S618" s="3"/>
    </row>
    <row r="619" spans="6:19" ht="15.75" customHeight="1" x14ac:dyDescent="0.25">
      <c r="F619" s="3"/>
      <c r="G619" s="3"/>
      <c r="H619" s="3"/>
      <c r="I619" s="3"/>
      <c r="J619" s="3"/>
      <c r="K619" s="3"/>
      <c r="Q619" s="3"/>
      <c r="R619" s="3"/>
      <c r="S619" s="3"/>
    </row>
    <row r="620" spans="6:19" ht="15.75" customHeight="1" x14ac:dyDescent="0.25">
      <c r="F620" s="3"/>
      <c r="G620" s="3"/>
      <c r="H620" s="3"/>
      <c r="I620" s="3"/>
      <c r="J620" s="3"/>
      <c r="K620" s="3"/>
      <c r="Q620" s="3"/>
      <c r="R620" s="3"/>
      <c r="S620" s="3"/>
    </row>
    <row r="621" spans="6:19" ht="15.75" customHeight="1" x14ac:dyDescent="0.25">
      <c r="F621" s="3"/>
      <c r="G621" s="3"/>
      <c r="H621" s="3"/>
      <c r="I621" s="3"/>
      <c r="J621" s="3"/>
      <c r="K621" s="3"/>
      <c r="Q621" s="3"/>
      <c r="R621" s="3"/>
      <c r="S621" s="3"/>
    </row>
    <row r="622" spans="6:19" ht="15.75" customHeight="1" x14ac:dyDescent="0.25">
      <c r="F622" s="3"/>
      <c r="G622" s="3"/>
      <c r="H622" s="3"/>
      <c r="I622" s="3"/>
      <c r="J622" s="3"/>
      <c r="K622" s="3"/>
      <c r="Q622" s="3"/>
      <c r="R622" s="3"/>
      <c r="S622" s="3"/>
    </row>
    <row r="623" spans="6:19" ht="15.75" customHeight="1" x14ac:dyDescent="0.25">
      <c r="F623" s="3"/>
      <c r="G623" s="3"/>
      <c r="H623" s="3"/>
      <c r="I623" s="3"/>
      <c r="J623" s="3"/>
      <c r="K623" s="3"/>
      <c r="Q623" s="3"/>
      <c r="R623" s="3"/>
      <c r="S623" s="3"/>
    </row>
    <row r="624" spans="6:19" ht="15.75" customHeight="1" x14ac:dyDescent="0.25">
      <c r="F624" s="3"/>
      <c r="G624" s="3"/>
      <c r="H624" s="3"/>
      <c r="I624" s="3"/>
      <c r="J624" s="3"/>
      <c r="K624" s="3"/>
      <c r="Q624" s="3"/>
      <c r="R624" s="3"/>
      <c r="S624" s="3"/>
    </row>
    <row r="625" spans="6:19" ht="15.75" customHeight="1" x14ac:dyDescent="0.25">
      <c r="F625" s="3"/>
      <c r="G625" s="3"/>
      <c r="H625" s="3"/>
      <c r="I625" s="3"/>
      <c r="J625" s="3"/>
      <c r="K625" s="3"/>
      <c r="Q625" s="3"/>
      <c r="R625" s="3"/>
      <c r="S625" s="3"/>
    </row>
    <row r="626" spans="6:19" ht="15.75" customHeight="1" x14ac:dyDescent="0.25">
      <c r="F626" s="3"/>
      <c r="G626" s="3"/>
      <c r="H626" s="3"/>
      <c r="I626" s="3"/>
      <c r="J626" s="3"/>
      <c r="K626" s="3"/>
      <c r="Q626" s="3"/>
      <c r="R626" s="3"/>
      <c r="S626" s="3"/>
    </row>
    <row r="627" spans="6:19" ht="15.75" customHeight="1" x14ac:dyDescent="0.25">
      <c r="F627" s="3"/>
      <c r="G627" s="3"/>
      <c r="H627" s="3"/>
      <c r="I627" s="3"/>
      <c r="J627" s="3"/>
      <c r="K627" s="3"/>
      <c r="Q627" s="3"/>
      <c r="R627" s="3"/>
      <c r="S627" s="3"/>
    </row>
    <row r="628" spans="6:19" ht="15.75" customHeight="1" x14ac:dyDescent="0.25">
      <c r="F628" s="3"/>
      <c r="G628" s="3"/>
      <c r="H628" s="3"/>
      <c r="I628" s="3"/>
      <c r="J628" s="3"/>
      <c r="K628" s="3"/>
      <c r="Q628" s="3"/>
      <c r="R628" s="3"/>
      <c r="S628" s="3"/>
    </row>
    <row r="629" spans="6:19" ht="15.75" customHeight="1" x14ac:dyDescent="0.25">
      <c r="F629" s="3"/>
      <c r="G629" s="3"/>
      <c r="H629" s="3"/>
      <c r="I629" s="3"/>
      <c r="J629" s="3"/>
      <c r="K629" s="3"/>
      <c r="Q629" s="3"/>
      <c r="R629" s="3"/>
      <c r="S629" s="3"/>
    </row>
    <row r="630" spans="6:19" ht="15.75" customHeight="1" x14ac:dyDescent="0.25">
      <c r="F630" s="3"/>
      <c r="G630" s="3"/>
      <c r="H630" s="3"/>
      <c r="I630" s="3"/>
      <c r="J630" s="3"/>
      <c r="K630" s="3"/>
      <c r="Q630" s="3"/>
      <c r="R630" s="3"/>
      <c r="S630" s="3"/>
    </row>
    <row r="631" spans="6:19" ht="15.75" customHeight="1" x14ac:dyDescent="0.25">
      <c r="F631" s="3"/>
      <c r="G631" s="3"/>
      <c r="H631" s="3"/>
      <c r="I631" s="3"/>
      <c r="J631" s="3"/>
      <c r="K631" s="3"/>
      <c r="Q631" s="3"/>
      <c r="R631" s="3"/>
      <c r="S631" s="3"/>
    </row>
    <row r="632" spans="6:19" ht="15.75" customHeight="1" x14ac:dyDescent="0.25">
      <c r="F632" s="3"/>
      <c r="G632" s="3"/>
      <c r="H632" s="3"/>
      <c r="I632" s="3"/>
      <c r="J632" s="3"/>
      <c r="K632" s="3"/>
      <c r="Q632" s="3"/>
      <c r="R632" s="3"/>
      <c r="S632" s="3"/>
    </row>
    <row r="633" spans="6:19" ht="15.75" customHeight="1" x14ac:dyDescent="0.25">
      <c r="F633" s="3"/>
      <c r="G633" s="3"/>
      <c r="H633" s="3"/>
      <c r="I633" s="3"/>
      <c r="J633" s="3"/>
      <c r="K633" s="3"/>
      <c r="Q633" s="3"/>
      <c r="R633" s="3"/>
      <c r="S633" s="3"/>
    </row>
    <row r="634" spans="6:19" ht="15.75" customHeight="1" x14ac:dyDescent="0.25">
      <c r="F634" s="3"/>
      <c r="G634" s="3"/>
      <c r="H634" s="3"/>
      <c r="I634" s="3"/>
      <c r="J634" s="3"/>
      <c r="K634" s="3"/>
      <c r="Q634" s="3"/>
      <c r="R634" s="3"/>
      <c r="S634" s="3"/>
    </row>
    <row r="635" spans="6:19" ht="15.75" customHeight="1" x14ac:dyDescent="0.25">
      <c r="F635" s="3"/>
      <c r="G635" s="3"/>
      <c r="H635" s="3"/>
      <c r="I635" s="3"/>
      <c r="J635" s="3"/>
      <c r="K635" s="3"/>
      <c r="Q635" s="3"/>
      <c r="R635" s="3"/>
      <c r="S635" s="3"/>
    </row>
    <row r="636" spans="6:19" ht="15.75" customHeight="1" x14ac:dyDescent="0.25">
      <c r="F636" s="3"/>
      <c r="G636" s="3"/>
      <c r="H636" s="3"/>
      <c r="I636" s="3"/>
      <c r="J636" s="3"/>
      <c r="K636" s="3"/>
      <c r="Q636" s="3"/>
      <c r="R636" s="3"/>
      <c r="S636" s="3"/>
    </row>
    <row r="637" spans="6:19" ht="15.75" customHeight="1" x14ac:dyDescent="0.25">
      <c r="F637" s="3"/>
      <c r="G637" s="3"/>
      <c r="H637" s="3"/>
      <c r="I637" s="3"/>
      <c r="J637" s="3"/>
      <c r="K637" s="3"/>
      <c r="Q637" s="3"/>
      <c r="R637" s="3"/>
      <c r="S637" s="3"/>
    </row>
    <row r="638" spans="6:19" ht="15.75" customHeight="1" x14ac:dyDescent="0.25">
      <c r="F638" s="3"/>
      <c r="G638" s="3"/>
      <c r="H638" s="3"/>
      <c r="I638" s="3"/>
      <c r="J638" s="3"/>
      <c r="K638" s="3"/>
      <c r="Q638" s="3"/>
      <c r="R638" s="3"/>
      <c r="S638" s="3"/>
    </row>
    <row r="639" spans="6:19" ht="15.75" customHeight="1" x14ac:dyDescent="0.25">
      <c r="F639" s="3"/>
      <c r="G639" s="3"/>
      <c r="H639" s="3"/>
      <c r="I639" s="3"/>
      <c r="J639" s="3"/>
      <c r="K639" s="3"/>
      <c r="Q639" s="3"/>
      <c r="R639" s="3"/>
      <c r="S639" s="3"/>
    </row>
    <row r="640" spans="6:19" ht="15.75" customHeight="1" x14ac:dyDescent="0.25">
      <c r="F640" s="3"/>
      <c r="G640" s="3"/>
      <c r="H640" s="3"/>
      <c r="I640" s="3"/>
      <c r="J640" s="3"/>
      <c r="K640" s="3"/>
      <c r="Q640" s="3"/>
      <c r="R640" s="3"/>
      <c r="S640" s="3"/>
    </row>
    <row r="641" spans="6:19" ht="15.75" customHeight="1" x14ac:dyDescent="0.25">
      <c r="F641" s="3"/>
      <c r="G641" s="3"/>
      <c r="H641" s="3"/>
      <c r="I641" s="3"/>
      <c r="J641" s="3"/>
      <c r="K641" s="3"/>
      <c r="Q641" s="3"/>
      <c r="R641" s="3"/>
      <c r="S641" s="3"/>
    </row>
    <row r="642" spans="6:19" ht="15.75" customHeight="1" x14ac:dyDescent="0.25">
      <c r="F642" s="3"/>
      <c r="G642" s="3"/>
      <c r="H642" s="3"/>
      <c r="I642" s="3"/>
      <c r="J642" s="3"/>
      <c r="K642" s="3"/>
      <c r="Q642" s="3"/>
      <c r="R642" s="3"/>
      <c r="S642" s="3"/>
    </row>
    <row r="643" spans="6:19" ht="15.75" customHeight="1" x14ac:dyDescent="0.25">
      <c r="F643" s="3"/>
      <c r="G643" s="3"/>
      <c r="H643" s="3"/>
      <c r="I643" s="3"/>
      <c r="J643" s="3"/>
      <c r="K643" s="3"/>
      <c r="Q643" s="3"/>
      <c r="R643" s="3"/>
      <c r="S643" s="3"/>
    </row>
    <row r="644" spans="6:19" ht="15.75" customHeight="1" x14ac:dyDescent="0.25">
      <c r="F644" s="3"/>
      <c r="G644" s="3"/>
      <c r="H644" s="3"/>
      <c r="I644" s="3"/>
      <c r="J644" s="3"/>
      <c r="K644" s="3"/>
      <c r="Q644" s="3"/>
      <c r="R644" s="3"/>
      <c r="S644" s="3"/>
    </row>
    <row r="645" spans="6:19" ht="15.75" customHeight="1" x14ac:dyDescent="0.25">
      <c r="F645" s="3"/>
      <c r="G645" s="3"/>
      <c r="H645" s="3"/>
      <c r="I645" s="3"/>
      <c r="J645" s="3"/>
      <c r="K645" s="3"/>
      <c r="Q645" s="3"/>
      <c r="R645" s="3"/>
      <c r="S645" s="3"/>
    </row>
    <row r="646" spans="6:19" ht="15.75" customHeight="1" x14ac:dyDescent="0.25">
      <c r="F646" s="3"/>
      <c r="G646" s="3"/>
      <c r="H646" s="3"/>
      <c r="I646" s="3"/>
      <c r="J646" s="3"/>
      <c r="K646" s="3"/>
      <c r="Q646" s="3"/>
      <c r="R646" s="3"/>
      <c r="S646" s="3"/>
    </row>
    <row r="647" spans="6:19" ht="15.75" customHeight="1" x14ac:dyDescent="0.25">
      <c r="F647" s="3"/>
      <c r="G647" s="3"/>
      <c r="H647" s="3"/>
      <c r="I647" s="3"/>
      <c r="J647" s="3"/>
      <c r="K647" s="3"/>
      <c r="Q647" s="3"/>
      <c r="R647" s="3"/>
      <c r="S647" s="3"/>
    </row>
    <row r="648" spans="6:19" ht="15.75" customHeight="1" x14ac:dyDescent="0.25">
      <c r="F648" s="3"/>
      <c r="G648" s="3"/>
      <c r="H648" s="3"/>
      <c r="I648" s="3"/>
      <c r="J648" s="3"/>
      <c r="K648" s="3"/>
      <c r="Q648" s="3"/>
      <c r="R648" s="3"/>
      <c r="S648" s="3"/>
    </row>
    <row r="649" spans="6:19" ht="15.75" customHeight="1" x14ac:dyDescent="0.25">
      <c r="F649" s="3"/>
      <c r="G649" s="3"/>
      <c r="H649" s="3"/>
      <c r="I649" s="3"/>
      <c r="J649" s="3"/>
      <c r="K649" s="3"/>
      <c r="Q649" s="3"/>
      <c r="R649" s="3"/>
      <c r="S649" s="3"/>
    </row>
    <row r="650" spans="6:19" ht="15.75" customHeight="1" x14ac:dyDescent="0.25">
      <c r="F650" s="3"/>
      <c r="G650" s="3"/>
      <c r="H650" s="3"/>
      <c r="I650" s="3"/>
      <c r="J650" s="3"/>
      <c r="K650" s="3"/>
      <c r="Q650" s="3"/>
      <c r="R650" s="3"/>
      <c r="S650" s="3"/>
    </row>
    <row r="651" spans="6:19" ht="15.75" customHeight="1" x14ac:dyDescent="0.25">
      <c r="F651" s="3"/>
      <c r="G651" s="3"/>
      <c r="H651" s="3"/>
      <c r="I651" s="3"/>
      <c r="J651" s="3"/>
      <c r="K651" s="3"/>
      <c r="Q651" s="3"/>
      <c r="R651" s="3"/>
      <c r="S651" s="3"/>
    </row>
    <row r="652" spans="6:19" ht="15.75" customHeight="1" x14ac:dyDescent="0.25">
      <c r="F652" s="3"/>
      <c r="G652" s="3"/>
      <c r="H652" s="3"/>
      <c r="I652" s="3"/>
      <c r="J652" s="3"/>
      <c r="K652" s="3"/>
      <c r="Q652" s="3"/>
      <c r="R652" s="3"/>
      <c r="S652" s="3"/>
    </row>
    <row r="653" spans="6:19" ht="15.75" customHeight="1" x14ac:dyDescent="0.25">
      <c r="F653" s="3"/>
      <c r="G653" s="3"/>
      <c r="H653" s="3"/>
      <c r="I653" s="3"/>
      <c r="J653" s="3"/>
      <c r="K653" s="3"/>
      <c r="Q653" s="3"/>
      <c r="R653" s="3"/>
      <c r="S653" s="3"/>
    </row>
    <row r="654" spans="6:19" ht="15.75" customHeight="1" x14ac:dyDescent="0.25">
      <c r="F654" s="3"/>
      <c r="G654" s="3"/>
      <c r="H654" s="3"/>
      <c r="I654" s="3"/>
      <c r="J654" s="3"/>
      <c r="K654" s="3"/>
      <c r="Q654" s="3"/>
      <c r="R654" s="3"/>
      <c r="S654" s="3"/>
    </row>
    <row r="655" spans="6:19" ht="15.75" customHeight="1" x14ac:dyDescent="0.25">
      <c r="F655" s="3"/>
      <c r="G655" s="3"/>
      <c r="H655" s="3"/>
      <c r="I655" s="3"/>
      <c r="J655" s="3"/>
      <c r="K655" s="3"/>
      <c r="Q655" s="3"/>
      <c r="R655" s="3"/>
      <c r="S655" s="3"/>
    </row>
    <row r="656" spans="6:19" ht="15.75" customHeight="1" x14ac:dyDescent="0.25">
      <c r="F656" s="3"/>
      <c r="G656" s="3"/>
      <c r="H656" s="3"/>
      <c r="I656" s="3"/>
      <c r="J656" s="3"/>
      <c r="K656" s="3"/>
      <c r="Q656" s="3"/>
      <c r="R656" s="3"/>
      <c r="S656" s="3"/>
    </row>
    <row r="657" spans="6:19" ht="15.75" customHeight="1" x14ac:dyDescent="0.25">
      <c r="F657" s="3"/>
      <c r="G657" s="3"/>
      <c r="H657" s="3"/>
      <c r="I657" s="3"/>
      <c r="J657" s="3"/>
      <c r="K657" s="3"/>
      <c r="Q657" s="3"/>
      <c r="R657" s="3"/>
      <c r="S657" s="3"/>
    </row>
    <row r="658" spans="6:19" ht="15.75" customHeight="1" x14ac:dyDescent="0.25">
      <c r="F658" s="3"/>
      <c r="G658" s="3"/>
      <c r="H658" s="3"/>
      <c r="I658" s="3"/>
      <c r="J658" s="3"/>
      <c r="K658" s="3"/>
      <c r="Q658" s="3"/>
      <c r="R658" s="3"/>
      <c r="S658" s="3"/>
    </row>
    <row r="659" spans="6:19" ht="15.75" customHeight="1" x14ac:dyDescent="0.25">
      <c r="F659" s="3"/>
      <c r="G659" s="3"/>
      <c r="H659" s="3"/>
      <c r="I659" s="3"/>
      <c r="J659" s="3"/>
      <c r="K659" s="3"/>
      <c r="Q659" s="3"/>
      <c r="R659" s="3"/>
      <c r="S659" s="3"/>
    </row>
    <row r="660" spans="6:19" ht="15.75" customHeight="1" x14ac:dyDescent="0.25">
      <c r="F660" s="3"/>
      <c r="G660" s="3"/>
      <c r="H660" s="3"/>
      <c r="I660" s="3"/>
      <c r="J660" s="3"/>
      <c r="K660" s="3"/>
      <c r="Q660" s="3"/>
      <c r="R660" s="3"/>
      <c r="S660" s="3"/>
    </row>
    <row r="661" spans="6:19" ht="15.75" customHeight="1" x14ac:dyDescent="0.25">
      <c r="F661" s="3"/>
      <c r="G661" s="3"/>
      <c r="H661" s="3"/>
      <c r="I661" s="3"/>
      <c r="J661" s="3"/>
      <c r="K661" s="3"/>
      <c r="Q661" s="3"/>
      <c r="R661" s="3"/>
      <c r="S661" s="3"/>
    </row>
    <row r="662" spans="6:19" ht="15.75" customHeight="1" x14ac:dyDescent="0.25">
      <c r="F662" s="3"/>
      <c r="G662" s="3"/>
      <c r="H662" s="3"/>
      <c r="I662" s="3"/>
      <c r="J662" s="3"/>
      <c r="K662" s="3"/>
      <c r="Q662" s="3"/>
      <c r="R662" s="3"/>
      <c r="S662" s="3"/>
    </row>
    <row r="663" spans="6:19" ht="15.75" customHeight="1" x14ac:dyDescent="0.25">
      <c r="F663" s="3"/>
      <c r="G663" s="3"/>
      <c r="H663" s="3"/>
      <c r="I663" s="3"/>
      <c r="J663" s="3"/>
      <c r="K663" s="3"/>
      <c r="Q663" s="3"/>
      <c r="R663" s="3"/>
      <c r="S663" s="3"/>
    </row>
    <row r="664" spans="6:19" ht="15.75" customHeight="1" x14ac:dyDescent="0.25">
      <c r="F664" s="3"/>
      <c r="G664" s="3"/>
      <c r="H664" s="3"/>
      <c r="I664" s="3"/>
      <c r="J664" s="3"/>
      <c r="K664" s="3"/>
      <c r="Q664" s="3"/>
      <c r="R664" s="3"/>
      <c r="S664" s="3"/>
    </row>
    <row r="665" spans="6:19" ht="15.75" customHeight="1" x14ac:dyDescent="0.25">
      <c r="F665" s="3"/>
      <c r="G665" s="3"/>
      <c r="H665" s="3"/>
      <c r="I665" s="3"/>
      <c r="J665" s="3"/>
      <c r="K665" s="3"/>
      <c r="Q665" s="3"/>
      <c r="R665" s="3"/>
      <c r="S665" s="3"/>
    </row>
    <row r="666" spans="6:19" ht="15.75" customHeight="1" x14ac:dyDescent="0.25">
      <c r="F666" s="3"/>
      <c r="G666" s="3"/>
      <c r="H666" s="3"/>
      <c r="I666" s="3"/>
      <c r="J666" s="3"/>
      <c r="K666" s="3"/>
      <c r="Q666" s="3"/>
      <c r="R666" s="3"/>
      <c r="S666" s="3"/>
    </row>
    <row r="667" spans="6:19" ht="15.75" customHeight="1" x14ac:dyDescent="0.25">
      <c r="F667" s="3"/>
      <c r="G667" s="3"/>
      <c r="H667" s="3"/>
      <c r="I667" s="3"/>
      <c r="J667" s="3"/>
      <c r="K667" s="3"/>
      <c r="Q667" s="3"/>
      <c r="R667" s="3"/>
      <c r="S667" s="3"/>
    </row>
    <row r="668" spans="6:19" ht="15.75" customHeight="1" x14ac:dyDescent="0.25">
      <c r="F668" s="3"/>
      <c r="G668" s="3"/>
      <c r="H668" s="3"/>
      <c r="I668" s="3"/>
      <c r="J668" s="3"/>
      <c r="K668" s="3"/>
      <c r="Q668" s="3"/>
      <c r="R668" s="3"/>
      <c r="S668" s="3"/>
    </row>
    <row r="669" spans="6:19" ht="15.75" customHeight="1" x14ac:dyDescent="0.25">
      <c r="F669" s="3"/>
      <c r="G669" s="3"/>
      <c r="H669" s="3"/>
      <c r="I669" s="3"/>
      <c r="J669" s="3"/>
      <c r="K669" s="3"/>
      <c r="Q669" s="3"/>
      <c r="R669" s="3"/>
      <c r="S669" s="3"/>
    </row>
    <row r="670" spans="6:19" ht="15.75" customHeight="1" x14ac:dyDescent="0.25">
      <c r="F670" s="3"/>
      <c r="G670" s="3"/>
      <c r="H670" s="3"/>
      <c r="I670" s="3"/>
      <c r="J670" s="3"/>
      <c r="K670" s="3"/>
      <c r="Q670" s="3"/>
      <c r="R670" s="3"/>
      <c r="S670" s="3"/>
    </row>
    <row r="671" spans="6:19" ht="15.75" customHeight="1" x14ac:dyDescent="0.25">
      <c r="F671" s="3"/>
      <c r="G671" s="3"/>
      <c r="H671" s="3"/>
      <c r="I671" s="3"/>
      <c r="J671" s="3"/>
      <c r="K671" s="3"/>
      <c r="Q671" s="3"/>
      <c r="R671" s="3"/>
      <c r="S671" s="3"/>
    </row>
    <row r="672" spans="6:19" ht="15.75" customHeight="1" x14ac:dyDescent="0.25">
      <c r="F672" s="3"/>
      <c r="G672" s="3"/>
      <c r="H672" s="3"/>
      <c r="I672" s="3"/>
      <c r="J672" s="3"/>
      <c r="K672" s="3"/>
      <c r="Q672" s="3"/>
      <c r="R672" s="3"/>
      <c r="S672" s="3"/>
    </row>
    <row r="673" spans="6:19" ht="15.75" customHeight="1" x14ac:dyDescent="0.25">
      <c r="F673" s="3"/>
      <c r="G673" s="3"/>
      <c r="H673" s="3"/>
      <c r="I673" s="3"/>
      <c r="J673" s="3"/>
      <c r="K673" s="3"/>
      <c r="Q673" s="3"/>
      <c r="R673" s="3"/>
      <c r="S673" s="3"/>
    </row>
    <row r="674" spans="6:19" ht="15.75" customHeight="1" x14ac:dyDescent="0.25">
      <c r="F674" s="3"/>
      <c r="G674" s="3"/>
      <c r="H674" s="3"/>
      <c r="I674" s="3"/>
      <c r="J674" s="3"/>
      <c r="K674" s="3"/>
      <c r="Q674" s="3"/>
      <c r="R674" s="3"/>
      <c r="S674" s="3"/>
    </row>
    <row r="675" spans="6:19" ht="15.75" customHeight="1" x14ac:dyDescent="0.25">
      <c r="F675" s="3"/>
      <c r="G675" s="3"/>
      <c r="H675" s="3"/>
      <c r="I675" s="3"/>
      <c r="J675" s="3"/>
      <c r="K675" s="3"/>
      <c r="Q675" s="3"/>
      <c r="R675" s="3"/>
      <c r="S675" s="3"/>
    </row>
    <row r="676" spans="6:19" ht="15.75" customHeight="1" x14ac:dyDescent="0.25">
      <c r="F676" s="3"/>
      <c r="G676" s="3"/>
      <c r="H676" s="3"/>
      <c r="I676" s="3"/>
      <c r="J676" s="3"/>
      <c r="K676" s="3"/>
      <c r="Q676" s="3"/>
      <c r="R676" s="3"/>
      <c r="S676" s="3"/>
    </row>
    <row r="677" spans="6:19" ht="15.75" customHeight="1" x14ac:dyDescent="0.25">
      <c r="F677" s="3"/>
      <c r="G677" s="3"/>
      <c r="H677" s="3"/>
      <c r="I677" s="3"/>
      <c r="J677" s="3"/>
      <c r="K677" s="3"/>
      <c r="Q677" s="3"/>
      <c r="R677" s="3"/>
      <c r="S677" s="3"/>
    </row>
    <row r="678" spans="6:19" ht="15.75" customHeight="1" x14ac:dyDescent="0.25">
      <c r="F678" s="3"/>
      <c r="G678" s="3"/>
      <c r="H678" s="3"/>
      <c r="I678" s="3"/>
      <c r="J678" s="3"/>
      <c r="K678" s="3"/>
      <c r="Q678" s="3"/>
      <c r="R678" s="3"/>
      <c r="S678" s="3"/>
    </row>
    <row r="679" spans="6:19" ht="15.75" customHeight="1" x14ac:dyDescent="0.25">
      <c r="F679" s="3"/>
      <c r="G679" s="3"/>
      <c r="H679" s="3"/>
      <c r="I679" s="3"/>
      <c r="J679" s="3"/>
      <c r="K679" s="3"/>
      <c r="Q679" s="3"/>
      <c r="R679" s="3"/>
      <c r="S679" s="3"/>
    </row>
    <row r="680" spans="6:19" ht="15.75" customHeight="1" x14ac:dyDescent="0.25">
      <c r="F680" s="3"/>
      <c r="G680" s="3"/>
      <c r="H680" s="3"/>
      <c r="I680" s="3"/>
      <c r="J680" s="3"/>
      <c r="K680" s="3"/>
      <c r="Q680" s="3"/>
      <c r="R680" s="3"/>
      <c r="S680" s="3"/>
    </row>
    <row r="681" spans="6:19" ht="15.75" customHeight="1" x14ac:dyDescent="0.25">
      <c r="F681" s="3"/>
      <c r="G681" s="3"/>
      <c r="H681" s="3"/>
      <c r="I681" s="3"/>
      <c r="J681" s="3"/>
      <c r="K681" s="3"/>
      <c r="Q681" s="3"/>
      <c r="R681" s="3"/>
      <c r="S681" s="3"/>
    </row>
    <row r="682" spans="6:19" ht="15.75" customHeight="1" x14ac:dyDescent="0.25">
      <c r="F682" s="3"/>
      <c r="G682" s="3"/>
      <c r="H682" s="3"/>
      <c r="I682" s="3"/>
      <c r="J682" s="3"/>
      <c r="K682" s="3"/>
      <c r="Q682" s="3"/>
      <c r="R682" s="3"/>
      <c r="S682" s="3"/>
    </row>
    <row r="683" spans="6:19" ht="15.75" customHeight="1" x14ac:dyDescent="0.25">
      <c r="F683" s="3"/>
      <c r="G683" s="3"/>
      <c r="H683" s="3"/>
      <c r="I683" s="3"/>
      <c r="J683" s="3"/>
      <c r="K683" s="3"/>
      <c r="Q683" s="3"/>
      <c r="R683" s="3"/>
      <c r="S683" s="3"/>
    </row>
    <row r="684" spans="6:19" ht="15.75" customHeight="1" x14ac:dyDescent="0.25">
      <c r="F684" s="3"/>
      <c r="G684" s="3"/>
      <c r="H684" s="3"/>
      <c r="I684" s="3"/>
      <c r="J684" s="3"/>
      <c r="K684" s="3"/>
      <c r="Q684" s="3"/>
      <c r="R684" s="3"/>
      <c r="S684" s="3"/>
    </row>
    <row r="685" spans="6:19" ht="15.75" customHeight="1" x14ac:dyDescent="0.25">
      <c r="F685" s="3"/>
      <c r="G685" s="3"/>
      <c r="H685" s="3"/>
      <c r="I685" s="3"/>
      <c r="J685" s="3"/>
      <c r="K685" s="3"/>
      <c r="Q685" s="3"/>
      <c r="R685" s="3"/>
      <c r="S685" s="3"/>
    </row>
    <row r="686" spans="6:19" ht="15.75" customHeight="1" x14ac:dyDescent="0.25">
      <c r="F686" s="3"/>
      <c r="G686" s="3"/>
      <c r="H686" s="3"/>
      <c r="I686" s="3"/>
      <c r="J686" s="3"/>
      <c r="K686" s="3"/>
      <c r="Q686" s="3"/>
      <c r="R686" s="3"/>
      <c r="S686" s="3"/>
    </row>
    <row r="687" spans="6:19" ht="15.75" customHeight="1" x14ac:dyDescent="0.25">
      <c r="F687" s="3"/>
      <c r="G687" s="3"/>
      <c r="H687" s="3"/>
      <c r="I687" s="3"/>
      <c r="J687" s="3"/>
      <c r="K687" s="3"/>
      <c r="Q687" s="3"/>
      <c r="R687" s="3"/>
      <c r="S687" s="3"/>
    </row>
    <row r="688" spans="6:19" ht="15.75" customHeight="1" x14ac:dyDescent="0.25">
      <c r="F688" s="3"/>
      <c r="G688" s="3"/>
      <c r="H688" s="3"/>
      <c r="I688" s="3"/>
      <c r="J688" s="3"/>
      <c r="K688" s="3"/>
      <c r="Q688" s="3"/>
      <c r="R688" s="3"/>
      <c r="S688" s="3"/>
    </row>
    <row r="689" spans="6:19" ht="15.75" customHeight="1" x14ac:dyDescent="0.25">
      <c r="F689" s="3"/>
      <c r="G689" s="3"/>
      <c r="H689" s="3"/>
      <c r="I689" s="3"/>
      <c r="J689" s="3"/>
      <c r="K689" s="3"/>
      <c r="Q689" s="3"/>
      <c r="R689" s="3"/>
      <c r="S689" s="3"/>
    </row>
    <row r="690" spans="6:19" ht="15.75" customHeight="1" x14ac:dyDescent="0.25">
      <c r="F690" s="3"/>
      <c r="G690" s="3"/>
      <c r="H690" s="3"/>
      <c r="I690" s="3"/>
      <c r="J690" s="3"/>
      <c r="K690" s="3"/>
      <c r="Q690" s="3"/>
      <c r="R690" s="3"/>
      <c r="S690" s="3"/>
    </row>
    <row r="691" spans="6:19" ht="15.75" customHeight="1" x14ac:dyDescent="0.25">
      <c r="F691" s="3"/>
      <c r="G691" s="3"/>
      <c r="H691" s="3"/>
      <c r="I691" s="3"/>
      <c r="J691" s="3"/>
      <c r="K691" s="3"/>
      <c r="Q691" s="3"/>
      <c r="R691" s="3"/>
      <c r="S691" s="3"/>
    </row>
    <row r="692" spans="6:19" ht="15.75" customHeight="1" x14ac:dyDescent="0.25">
      <c r="F692" s="3"/>
      <c r="G692" s="3"/>
      <c r="H692" s="3"/>
      <c r="I692" s="3"/>
      <c r="J692" s="3"/>
      <c r="K692" s="3"/>
      <c r="Q692" s="3"/>
      <c r="R692" s="3"/>
      <c r="S692" s="3"/>
    </row>
    <row r="693" spans="6:19" ht="15.75" customHeight="1" x14ac:dyDescent="0.25">
      <c r="F693" s="3"/>
      <c r="G693" s="3"/>
      <c r="H693" s="3"/>
      <c r="I693" s="3"/>
      <c r="J693" s="3"/>
      <c r="K693" s="3"/>
      <c r="Q693" s="3"/>
      <c r="R693" s="3"/>
      <c r="S693" s="3"/>
    </row>
    <row r="694" spans="6:19" ht="15.75" customHeight="1" x14ac:dyDescent="0.25">
      <c r="F694" s="3"/>
      <c r="G694" s="3"/>
      <c r="H694" s="3"/>
      <c r="I694" s="3"/>
      <c r="J694" s="3"/>
      <c r="K694" s="3"/>
      <c r="Q694" s="3"/>
      <c r="R694" s="3"/>
      <c r="S694" s="3"/>
    </row>
    <row r="695" spans="6:19" ht="15.75" customHeight="1" x14ac:dyDescent="0.25">
      <c r="F695" s="3"/>
      <c r="G695" s="3"/>
      <c r="H695" s="3"/>
      <c r="I695" s="3"/>
      <c r="J695" s="3"/>
      <c r="K695" s="3"/>
      <c r="Q695" s="3"/>
      <c r="R695" s="3"/>
      <c r="S695" s="3"/>
    </row>
    <row r="696" spans="6:19" ht="15.75" customHeight="1" x14ac:dyDescent="0.25">
      <c r="F696" s="3"/>
      <c r="G696" s="3"/>
      <c r="H696" s="3"/>
      <c r="I696" s="3"/>
      <c r="J696" s="3"/>
      <c r="K696" s="3"/>
      <c r="Q696" s="3"/>
      <c r="R696" s="3"/>
      <c r="S696" s="3"/>
    </row>
    <row r="697" spans="6:19" ht="15.75" customHeight="1" x14ac:dyDescent="0.25">
      <c r="F697" s="3"/>
      <c r="G697" s="3"/>
      <c r="H697" s="3"/>
      <c r="I697" s="3"/>
      <c r="J697" s="3"/>
      <c r="K697" s="3"/>
      <c r="Q697" s="3"/>
      <c r="R697" s="3"/>
      <c r="S697" s="3"/>
    </row>
    <row r="698" spans="6:19" ht="15.75" customHeight="1" x14ac:dyDescent="0.25">
      <c r="F698" s="3"/>
      <c r="G698" s="3"/>
      <c r="H698" s="3"/>
      <c r="I698" s="3"/>
      <c r="J698" s="3"/>
      <c r="K698" s="3"/>
      <c r="Q698" s="3"/>
      <c r="R698" s="3"/>
      <c r="S698" s="3"/>
    </row>
    <row r="699" spans="6:19" ht="15.75" customHeight="1" x14ac:dyDescent="0.25">
      <c r="F699" s="3"/>
      <c r="G699" s="3"/>
      <c r="H699" s="3"/>
      <c r="I699" s="3"/>
      <c r="J699" s="3"/>
      <c r="K699" s="3"/>
      <c r="Q699" s="3"/>
      <c r="R699" s="3"/>
      <c r="S699" s="3"/>
    </row>
    <row r="700" spans="6:19" ht="15.75" customHeight="1" x14ac:dyDescent="0.25">
      <c r="F700" s="3"/>
      <c r="G700" s="3"/>
      <c r="H700" s="3"/>
      <c r="I700" s="3"/>
      <c r="J700" s="3"/>
      <c r="K700" s="3"/>
      <c r="Q700" s="3"/>
      <c r="R700" s="3"/>
      <c r="S700" s="3"/>
    </row>
    <row r="701" spans="6:19" ht="15.75" customHeight="1" x14ac:dyDescent="0.25">
      <c r="F701" s="3"/>
      <c r="G701" s="3"/>
      <c r="H701" s="3"/>
      <c r="I701" s="3"/>
      <c r="J701" s="3"/>
      <c r="K701" s="3"/>
      <c r="Q701" s="3"/>
      <c r="R701" s="3"/>
      <c r="S701" s="3"/>
    </row>
    <row r="702" spans="6:19" ht="15.75" customHeight="1" x14ac:dyDescent="0.25">
      <c r="F702" s="3"/>
      <c r="G702" s="3"/>
      <c r="H702" s="3"/>
      <c r="I702" s="3"/>
      <c r="J702" s="3"/>
      <c r="K702" s="3"/>
      <c r="Q702" s="3"/>
      <c r="R702" s="3"/>
      <c r="S702" s="3"/>
    </row>
    <row r="703" spans="6:19" ht="15.75" customHeight="1" x14ac:dyDescent="0.25">
      <c r="F703" s="3"/>
      <c r="G703" s="3"/>
      <c r="H703" s="3"/>
      <c r="I703" s="3"/>
      <c r="J703" s="3"/>
      <c r="K703" s="3"/>
      <c r="Q703" s="3"/>
      <c r="R703" s="3"/>
      <c r="S703" s="3"/>
    </row>
    <row r="704" spans="6:19" ht="15.75" customHeight="1" x14ac:dyDescent="0.25">
      <c r="F704" s="3"/>
      <c r="G704" s="3"/>
      <c r="H704" s="3"/>
      <c r="I704" s="3"/>
      <c r="J704" s="3"/>
      <c r="K704" s="3"/>
      <c r="Q704" s="3"/>
      <c r="R704" s="3"/>
      <c r="S704" s="3"/>
    </row>
    <row r="705" spans="6:19" ht="15.75" customHeight="1" x14ac:dyDescent="0.25">
      <c r="F705" s="3"/>
      <c r="G705" s="3"/>
      <c r="H705" s="3"/>
      <c r="I705" s="3"/>
      <c r="J705" s="3"/>
      <c r="K705" s="3"/>
      <c r="Q705" s="3"/>
      <c r="R705" s="3"/>
      <c r="S705" s="3"/>
    </row>
    <row r="706" spans="6:19" ht="15.75" customHeight="1" x14ac:dyDescent="0.25">
      <c r="F706" s="3"/>
      <c r="G706" s="3"/>
      <c r="H706" s="3"/>
      <c r="I706" s="3"/>
      <c r="J706" s="3"/>
      <c r="K706" s="3"/>
      <c r="Q706" s="3"/>
      <c r="R706" s="3"/>
      <c r="S706" s="3"/>
    </row>
    <row r="707" spans="6:19" ht="15.75" customHeight="1" x14ac:dyDescent="0.25">
      <c r="F707" s="3"/>
      <c r="G707" s="3"/>
      <c r="H707" s="3"/>
      <c r="I707" s="3"/>
      <c r="J707" s="3"/>
      <c r="K707" s="3"/>
      <c r="Q707" s="3"/>
      <c r="R707" s="3"/>
      <c r="S707" s="3"/>
    </row>
    <row r="708" spans="6:19" ht="15.75" customHeight="1" x14ac:dyDescent="0.25">
      <c r="F708" s="3"/>
      <c r="G708" s="3"/>
      <c r="H708" s="3"/>
      <c r="I708" s="3"/>
      <c r="J708" s="3"/>
      <c r="K708" s="3"/>
      <c r="Q708" s="3"/>
      <c r="R708" s="3"/>
      <c r="S708" s="3"/>
    </row>
    <row r="709" spans="6:19" ht="15.75" customHeight="1" x14ac:dyDescent="0.25">
      <c r="F709" s="3"/>
      <c r="G709" s="3"/>
      <c r="H709" s="3"/>
      <c r="I709" s="3"/>
      <c r="J709" s="3"/>
      <c r="K709" s="3"/>
      <c r="Q709" s="3"/>
      <c r="R709" s="3"/>
      <c r="S709" s="3"/>
    </row>
    <row r="710" spans="6:19" ht="15.75" customHeight="1" x14ac:dyDescent="0.25">
      <c r="F710" s="3"/>
      <c r="G710" s="3"/>
      <c r="H710" s="3"/>
      <c r="I710" s="3"/>
      <c r="J710" s="3"/>
      <c r="K710" s="3"/>
      <c r="Q710" s="3"/>
      <c r="R710" s="3"/>
      <c r="S710" s="3"/>
    </row>
    <row r="711" spans="6:19" ht="15.75" customHeight="1" x14ac:dyDescent="0.25">
      <c r="F711" s="3"/>
      <c r="G711" s="3"/>
      <c r="H711" s="3"/>
      <c r="I711" s="3"/>
      <c r="J711" s="3"/>
      <c r="K711" s="3"/>
      <c r="Q711" s="3"/>
      <c r="R711" s="3"/>
      <c r="S711" s="3"/>
    </row>
    <row r="712" spans="6:19" ht="15.75" customHeight="1" x14ac:dyDescent="0.25">
      <c r="F712" s="3"/>
      <c r="G712" s="3"/>
      <c r="H712" s="3"/>
      <c r="I712" s="3"/>
      <c r="J712" s="3"/>
      <c r="K712" s="3"/>
      <c r="Q712" s="3"/>
      <c r="R712" s="3"/>
      <c r="S712" s="3"/>
    </row>
    <row r="713" spans="6:19" ht="15.75" customHeight="1" x14ac:dyDescent="0.25">
      <c r="F713" s="3"/>
      <c r="G713" s="3"/>
      <c r="H713" s="3"/>
      <c r="I713" s="3"/>
      <c r="J713" s="3"/>
      <c r="K713" s="3"/>
      <c r="Q713" s="3"/>
      <c r="R713" s="3"/>
      <c r="S713" s="3"/>
    </row>
    <row r="714" spans="6:19" ht="15.75" customHeight="1" x14ac:dyDescent="0.25">
      <c r="F714" s="3"/>
      <c r="G714" s="3"/>
      <c r="H714" s="3"/>
      <c r="I714" s="3"/>
      <c r="J714" s="3"/>
      <c r="K714" s="3"/>
      <c r="Q714" s="3"/>
      <c r="R714" s="3"/>
      <c r="S714" s="3"/>
    </row>
    <row r="715" spans="6:19" ht="15.75" customHeight="1" x14ac:dyDescent="0.25">
      <c r="F715" s="3"/>
      <c r="G715" s="3"/>
      <c r="H715" s="3"/>
      <c r="I715" s="3"/>
      <c r="J715" s="3"/>
      <c r="K715" s="3"/>
      <c r="Q715" s="3"/>
      <c r="R715" s="3"/>
      <c r="S715" s="3"/>
    </row>
    <row r="716" spans="6:19" ht="15.75" customHeight="1" x14ac:dyDescent="0.25">
      <c r="F716" s="3"/>
      <c r="G716" s="3"/>
      <c r="H716" s="3"/>
      <c r="I716" s="3"/>
      <c r="J716" s="3"/>
      <c r="K716" s="3"/>
      <c r="Q716" s="3"/>
      <c r="R716" s="3"/>
      <c r="S716" s="3"/>
    </row>
    <row r="717" spans="6:19" ht="15.75" customHeight="1" x14ac:dyDescent="0.25">
      <c r="F717" s="3"/>
      <c r="G717" s="3"/>
      <c r="H717" s="3"/>
      <c r="I717" s="3"/>
      <c r="J717" s="3"/>
      <c r="K717" s="3"/>
      <c r="Q717" s="3"/>
      <c r="R717" s="3"/>
      <c r="S717" s="3"/>
    </row>
    <row r="718" spans="6:19" ht="15.75" customHeight="1" x14ac:dyDescent="0.25">
      <c r="F718" s="3"/>
      <c r="G718" s="3"/>
      <c r="H718" s="3"/>
      <c r="I718" s="3"/>
      <c r="J718" s="3"/>
      <c r="K718" s="3"/>
      <c r="Q718" s="3"/>
      <c r="R718" s="3"/>
      <c r="S718" s="3"/>
    </row>
    <row r="719" spans="6:19" ht="15.75" customHeight="1" x14ac:dyDescent="0.25">
      <c r="F719" s="3"/>
      <c r="G719" s="3"/>
      <c r="H719" s="3"/>
      <c r="I719" s="3"/>
      <c r="J719" s="3"/>
      <c r="K719" s="3"/>
      <c r="Q719" s="3"/>
      <c r="R719" s="3"/>
      <c r="S719" s="3"/>
    </row>
    <row r="720" spans="6:19" ht="15.75" customHeight="1" x14ac:dyDescent="0.25">
      <c r="F720" s="3"/>
      <c r="G720" s="3"/>
      <c r="H720" s="3"/>
      <c r="I720" s="3"/>
      <c r="J720" s="3"/>
      <c r="K720" s="3"/>
      <c r="Q720" s="3"/>
      <c r="R720" s="3"/>
      <c r="S720" s="3"/>
    </row>
    <row r="721" spans="6:19" ht="15.75" customHeight="1" x14ac:dyDescent="0.25">
      <c r="F721" s="3"/>
      <c r="G721" s="3"/>
      <c r="H721" s="3"/>
      <c r="I721" s="3"/>
      <c r="J721" s="3"/>
      <c r="K721" s="3"/>
      <c r="Q721" s="3"/>
      <c r="R721" s="3"/>
      <c r="S721" s="3"/>
    </row>
    <row r="722" spans="6:19" ht="15.75" customHeight="1" x14ac:dyDescent="0.25">
      <c r="F722" s="3"/>
      <c r="G722" s="3"/>
      <c r="H722" s="3"/>
      <c r="I722" s="3"/>
      <c r="J722" s="3"/>
      <c r="K722" s="3"/>
      <c r="Q722" s="3"/>
      <c r="R722" s="3"/>
      <c r="S722" s="3"/>
    </row>
    <row r="723" spans="6:19" ht="15.75" customHeight="1" x14ac:dyDescent="0.25">
      <c r="F723" s="3"/>
      <c r="G723" s="3"/>
      <c r="H723" s="3"/>
      <c r="I723" s="3"/>
      <c r="J723" s="3"/>
      <c r="K723" s="3"/>
      <c r="Q723" s="3"/>
      <c r="R723" s="3"/>
      <c r="S723" s="3"/>
    </row>
    <row r="724" spans="6:19" ht="15.75" customHeight="1" x14ac:dyDescent="0.25">
      <c r="F724" s="3"/>
      <c r="G724" s="3"/>
      <c r="H724" s="3"/>
      <c r="I724" s="3"/>
      <c r="J724" s="3"/>
      <c r="K724" s="3"/>
      <c r="Q724" s="3"/>
      <c r="R724" s="3"/>
      <c r="S724" s="3"/>
    </row>
    <row r="725" spans="6:19" ht="15.75" customHeight="1" x14ac:dyDescent="0.25">
      <c r="F725" s="3"/>
      <c r="G725" s="3"/>
      <c r="H725" s="3"/>
      <c r="I725" s="3"/>
      <c r="J725" s="3"/>
      <c r="K725" s="3"/>
      <c r="Q725" s="3"/>
      <c r="R725" s="3"/>
      <c r="S725" s="3"/>
    </row>
    <row r="726" spans="6:19" ht="15.75" customHeight="1" x14ac:dyDescent="0.25">
      <c r="F726" s="3"/>
      <c r="G726" s="3"/>
      <c r="H726" s="3"/>
      <c r="I726" s="3"/>
      <c r="J726" s="3"/>
      <c r="K726" s="3"/>
      <c r="Q726" s="3"/>
      <c r="R726" s="3"/>
      <c r="S726" s="3"/>
    </row>
    <row r="727" spans="6:19" ht="15.75" customHeight="1" x14ac:dyDescent="0.25">
      <c r="F727" s="3"/>
      <c r="G727" s="3"/>
      <c r="H727" s="3"/>
      <c r="I727" s="3"/>
      <c r="J727" s="3"/>
      <c r="K727" s="3"/>
      <c r="Q727" s="3"/>
      <c r="R727" s="3"/>
      <c r="S727" s="3"/>
    </row>
    <row r="728" spans="6:19" ht="15.75" customHeight="1" x14ac:dyDescent="0.25">
      <c r="F728" s="3"/>
      <c r="G728" s="3"/>
      <c r="H728" s="3"/>
      <c r="I728" s="3"/>
      <c r="J728" s="3"/>
      <c r="K728" s="3"/>
      <c r="Q728" s="3"/>
      <c r="R728" s="3"/>
      <c r="S728" s="3"/>
    </row>
    <row r="729" spans="6:19" ht="15.75" customHeight="1" x14ac:dyDescent="0.25">
      <c r="F729" s="3"/>
      <c r="G729" s="3"/>
      <c r="H729" s="3"/>
      <c r="I729" s="3"/>
      <c r="J729" s="3"/>
      <c r="K729" s="3"/>
      <c r="Q729" s="3"/>
      <c r="R729" s="3"/>
      <c r="S729" s="3"/>
    </row>
    <row r="730" spans="6:19" ht="15.75" customHeight="1" x14ac:dyDescent="0.25">
      <c r="F730" s="3"/>
      <c r="G730" s="3"/>
      <c r="H730" s="3"/>
      <c r="I730" s="3"/>
      <c r="J730" s="3"/>
      <c r="K730" s="3"/>
      <c r="Q730" s="3"/>
      <c r="R730" s="3"/>
      <c r="S730" s="3"/>
    </row>
    <row r="731" spans="6:19" ht="15.75" customHeight="1" x14ac:dyDescent="0.25">
      <c r="F731" s="3"/>
      <c r="G731" s="3"/>
      <c r="H731" s="3"/>
      <c r="I731" s="3"/>
      <c r="J731" s="3"/>
      <c r="K731" s="3"/>
      <c r="Q731" s="3"/>
      <c r="R731" s="3"/>
      <c r="S731" s="3"/>
    </row>
    <row r="732" spans="6:19" ht="15.75" customHeight="1" x14ac:dyDescent="0.25">
      <c r="F732" s="3"/>
      <c r="G732" s="3"/>
      <c r="H732" s="3"/>
      <c r="I732" s="3"/>
      <c r="J732" s="3"/>
      <c r="K732" s="3"/>
      <c r="Q732" s="3"/>
      <c r="R732" s="3"/>
      <c r="S732" s="3"/>
    </row>
    <row r="733" spans="6:19" ht="15.75" customHeight="1" x14ac:dyDescent="0.25">
      <c r="F733" s="3"/>
      <c r="G733" s="3"/>
      <c r="H733" s="3"/>
      <c r="I733" s="3"/>
      <c r="J733" s="3"/>
      <c r="K733" s="3"/>
      <c r="Q733" s="3"/>
      <c r="R733" s="3"/>
      <c r="S733" s="3"/>
    </row>
    <row r="734" spans="6:19" ht="15.75" customHeight="1" x14ac:dyDescent="0.25">
      <c r="F734" s="3"/>
      <c r="G734" s="3"/>
      <c r="H734" s="3"/>
      <c r="I734" s="3"/>
      <c r="J734" s="3"/>
      <c r="K734" s="3"/>
      <c r="Q734" s="3"/>
      <c r="R734" s="3"/>
      <c r="S734" s="3"/>
    </row>
    <row r="735" spans="6:19" ht="15.75" customHeight="1" x14ac:dyDescent="0.25">
      <c r="F735" s="3"/>
      <c r="G735" s="3"/>
      <c r="H735" s="3"/>
      <c r="I735" s="3"/>
      <c r="J735" s="3"/>
      <c r="K735" s="3"/>
      <c r="Q735" s="3"/>
      <c r="R735" s="3"/>
      <c r="S735" s="3"/>
    </row>
    <row r="736" spans="6:19" ht="15.75" customHeight="1" x14ac:dyDescent="0.25">
      <c r="F736" s="3"/>
      <c r="G736" s="3"/>
      <c r="H736" s="3"/>
      <c r="I736" s="3"/>
      <c r="J736" s="3"/>
      <c r="K736" s="3"/>
      <c r="Q736" s="3"/>
      <c r="R736" s="3"/>
      <c r="S736" s="3"/>
    </row>
    <row r="737" spans="6:19" ht="15.75" customHeight="1" x14ac:dyDescent="0.25">
      <c r="F737" s="3"/>
      <c r="G737" s="3"/>
      <c r="H737" s="3"/>
      <c r="I737" s="3"/>
      <c r="J737" s="3"/>
      <c r="K737" s="3"/>
      <c r="Q737" s="3"/>
      <c r="R737" s="3"/>
      <c r="S737" s="3"/>
    </row>
    <row r="738" spans="6:19" ht="15.75" customHeight="1" x14ac:dyDescent="0.25">
      <c r="F738" s="3"/>
      <c r="G738" s="3"/>
      <c r="H738" s="3"/>
      <c r="I738" s="3"/>
      <c r="J738" s="3"/>
      <c r="K738" s="3"/>
      <c r="Q738" s="3"/>
      <c r="R738" s="3"/>
      <c r="S738" s="3"/>
    </row>
    <row r="739" spans="6:19" ht="15.75" customHeight="1" x14ac:dyDescent="0.25">
      <c r="F739" s="3"/>
      <c r="G739" s="3"/>
      <c r="H739" s="3"/>
      <c r="I739" s="3"/>
      <c r="J739" s="3"/>
      <c r="K739" s="3"/>
      <c r="Q739" s="3"/>
      <c r="R739" s="3"/>
      <c r="S739" s="3"/>
    </row>
    <row r="740" spans="6:19" ht="15.75" customHeight="1" x14ac:dyDescent="0.25">
      <c r="F740" s="3"/>
      <c r="G740" s="3"/>
      <c r="H740" s="3"/>
      <c r="I740" s="3"/>
      <c r="J740" s="3"/>
      <c r="K740" s="3"/>
      <c r="Q740" s="3"/>
      <c r="R740" s="3"/>
      <c r="S740" s="3"/>
    </row>
    <row r="741" spans="6:19" ht="15.75" customHeight="1" x14ac:dyDescent="0.25">
      <c r="F741" s="3"/>
      <c r="G741" s="3"/>
      <c r="H741" s="3"/>
      <c r="I741" s="3"/>
      <c r="J741" s="3"/>
      <c r="K741" s="3"/>
      <c r="Q741" s="3"/>
      <c r="R741" s="3"/>
      <c r="S741" s="3"/>
    </row>
    <row r="742" spans="6:19" ht="15.75" customHeight="1" x14ac:dyDescent="0.25">
      <c r="F742" s="3"/>
      <c r="G742" s="3"/>
      <c r="H742" s="3"/>
      <c r="I742" s="3"/>
      <c r="J742" s="3"/>
      <c r="K742" s="3"/>
      <c r="Q742" s="3"/>
      <c r="R742" s="3"/>
      <c r="S742" s="3"/>
    </row>
    <row r="743" spans="6:19" ht="15.75" customHeight="1" x14ac:dyDescent="0.25">
      <c r="F743" s="3"/>
      <c r="G743" s="3"/>
      <c r="H743" s="3"/>
      <c r="I743" s="3"/>
      <c r="J743" s="3"/>
      <c r="K743" s="3"/>
      <c r="Q743" s="3"/>
      <c r="R743" s="3"/>
      <c r="S743" s="3"/>
    </row>
    <row r="744" spans="6:19" ht="15.75" customHeight="1" x14ac:dyDescent="0.25">
      <c r="F744" s="3"/>
      <c r="G744" s="3"/>
      <c r="H744" s="3"/>
      <c r="I744" s="3"/>
      <c r="J744" s="3"/>
      <c r="K744" s="3"/>
      <c r="Q744" s="3"/>
      <c r="R744" s="3"/>
      <c r="S744" s="3"/>
    </row>
    <row r="745" spans="6:19" ht="15.75" customHeight="1" x14ac:dyDescent="0.25">
      <c r="F745" s="3"/>
      <c r="G745" s="3"/>
      <c r="H745" s="3"/>
      <c r="I745" s="3"/>
      <c r="J745" s="3"/>
      <c r="K745" s="3"/>
      <c r="Q745" s="3"/>
      <c r="R745" s="3"/>
      <c r="S745" s="3"/>
    </row>
    <row r="746" spans="6:19" ht="15.75" customHeight="1" x14ac:dyDescent="0.25">
      <c r="F746" s="3"/>
      <c r="G746" s="3"/>
      <c r="H746" s="3"/>
      <c r="I746" s="3"/>
      <c r="J746" s="3"/>
      <c r="K746" s="3"/>
      <c r="Q746" s="3"/>
      <c r="R746" s="3"/>
      <c r="S746" s="3"/>
    </row>
    <row r="747" spans="6:19" ht="15.75" customHeight="1" x14ac:dyDescent="0.25">
      <c r="F747" s="3"/>
      <c r="G747" s="3"/>
      <c r="H747" s="3"/>
      <c r="I747" s="3"/>
      <c r="J747" s="3"/>
      <c r="K747" s="3"/>
      <c r="Q747" s="3"/>
      <c r="R747" s="3"/>
      <c r="S747" s="3"/>
    </row>
    <row r="748" spans="6:19" ht="15.75" customHeight="1" x14ac:dyDescent="0.25">
      <c r="F748" s="3"/>
      <c r="G748" s="3"/>
      <c r="H748" s="3"/>
      <c r="I748" s="3"/>
      <c r="J748" s="3"/>
      <c r="K748" s="3"/>
      <c r="Q748" s="3"/>
      <c r="R748" s="3"/>
      <c r="S748" s="3"/>
    </row>
    <row r="749" spans="6:19" ht="15.75" customHeight="1" x14ac:dyDescent="0.25">
      <c r="F749" s="3"/>
      <c r="G749" s="3"/>
      <c r="H749" s="3"/>
      <c r="I749" s="3"/>
      <c r="J749" s="3"/>
      <c r="K749" s="3"/>
      <c r="Q749" s="3"/>
      <c r="R749" s="3"/>
      <c r="S749" s="3"/>
    </row>
    <row r="750" spans="6:19" ht="15.75" customHeight="1" x14ac:dyDescent="0.25">
      <c r="F750" s="3"/>
      <c r="G750" s="3"/>
      <c r="H750" s="3"/>
      <c r="I750" s="3"/>
      <c r="J750" s="3"/>
      <c r="K750" s="3"/>
      <c r="Q750" s="3"/>
      <c r="R750" s="3"/>
      <c r="S750" s="3"/>
    </row>
    <row r="751" spans="6:19" ht="15.75" customHeight="1" x14ac:dyDescent="0.25">
      <c r="F751" s="3"/>
      <c r="G751" s="3"/>
      <c r="H751" s="3"/>
      <c r="I751" s="3"/>
      <c r="J751" s="3"/>
      <c r="K751" s="3"/>
      <c r="Q751" s="3"/>
      <c r="R751" s="3"/>
      <c r="S751" s="3"/>
    </row>
    <row r="752" spans="6:19" ht="15.75" customHeight="1" x14ac:dyDescent="0.25">
      <c r="F752" s="3"/>
      <c r="G752" s="3"/>
      <c r="H752" s="3"/>
      <c r="I752" s="3"/>
      <c r="J752" s="3"/>
      <c r="K752" s="3"/>
      <c r="Q752" s="3"/>
      <c r="R752" s="3"/>
      <c r="S752" s="3"/>
    </row>
    <row r="753" spans="6:19" ht="15.75" customHeight="1" x14ac:dyDescent="0.25">
      <c r="F753" s="3"/>
      <c r="G753" s="3"/>
      <c r="H753" s="3"/>
      <c r="I753" s="3"/>
      <c r="J753" s="3"/>
      <c r="K753" s="3"/>
      <c r="Q753" s="3"/>
      <c r="R753" s="3"/>
      <c r="S753" s="3"/>
    </row>
    <row r="754" spans="6:19" ht="15.75" customHeight="1" x14ac:dyDescent="0.25">
      <c r="F754" s="3"/>
      <c r="G754" s="3"/>
      <c r="H754" s="3"/>
      <c r="I754" s="3"/>
      <c r="J754" s="3"/>
      <c r="K754" s="3"/>
      <c r="Q754" s="3"/>
      <c r="R754" s="3"/>
      <c r="S754" s="3"/>
    </row>
    <row r="755" spans="6:19" ht="15.75" customHeight="1" x14ac:dyDescent="0.25">
      <c r="F755" s="3"/>
      <c r="G755" s="3"/>
      <c r="H755" s="3"/>
      <c r="I755" s="3"/>
      <c r="J755" s="3"/>
      <c r="K755" s="3"/>
      <c r="Q755" s="3"/>
      <c r="R755" s="3"/>
      <c r="S755" s="3"/>
    </row>
    <row r="756" spans="6:19" ht="15.75" customHeight="1" x14ac:dyDescent="0.25">
      <c r="F756" s="3"/>
      <c r="G756" s="3"/>
      <c r="H756" s="3"/>
      <c r="I756" s="3"/>
      <c r="J756" s="3"/>
      <c r="K756" s="3"/>
      <c r="Q756" s="3"/>
      <c r="R756" s="3"/>
      <c r="S756" s="3"/>
    </row>
    <row r="757" spans="6:19" ht="15.75" customHeight="1" x14ac:dyDescent="0.25">
      <c r="F757" s="3"/>
      <c r="G757" s="3"/>
      <c r="H757" s="3"/>
      <c r="I757" s="3"/>
      <c r="J757" s="3"/>
      <c r="K757" s="3"/>
      <c r="Q757" s="3"/>
      <c r="R757" s="3"/>
      <c r="S757" s="3"/>
    </row>
    <row r="758" spans="6:19" ht="15.75" customHeight="1" x14ac:dyDescent="0.25">
      <c r="F758" s="3"/>
      <c r="G758" s="3"/>
      <c r="H758" s="3"/>
      <c r="I758" s="3"/>
      <c r="J758" s="3"/>
      <c r="K758" s="3"/>
      <c r="Q758" s="3"/>
      <c r="R758" s="3"/>
      <c r="S758" s="3"/>
    </row>
    <row r="759" spans="6:19" ht="15.75" customHeight="1" x14ac:dyDescent="0.25">
      <c r="F759" s="3"/>
      <c r="G759" s="3"/>
      <c r="H759" s="3"/>
      <c r="I759" s="3"/>
      <c r="J759" s="3"/>
      <c r="K759" s="3"/>
      <c r="Q759" s="3"/>
      <c r="R759" s="3"/>
      <c r="S759" s="3"/>
    </row>
    <row r="760" spans="6:19" ht="15.75" customHeight="1" x14ac:dyDescent="0.25">
      <c r="F760" s="3"/>
      <c r="G760" s="3"/>
      <c r="H760" s="3"/>
      <c r="I760" s="3"/>
      <c r="J760" s="3"/>
      <c r="K760" s="3"/>
      <c r="Q760" s="3"/>
      <c r="R760" s="3"/>
      <c r="S760" s="3"/>
    </row>
    <row r="761" spans="6:19" ht="15.75" customHeight="1" x14ac:dyDescent="0.25">
      <c r="F761" s="3"/>
      <c r="G761" s="3"/>
      <c r="H761" s="3"/>
      <c r="I761" s="3"/>
      <c r="J761" s="3"/>
      <c r="K761" s="3"/>
      <c r="Q761" s="3"/>
      <c r="R761" s="3"/>
      <c r="S761" s="3"/>
    </row>
    <row r="762" spans="6:19" ht="15.75" customHeight="1" x14ac:dyDescent="0.25">
      <c r="F762" s="3"/>
      <c r="G762" s="3"/>
      <c r="H762" s="3"/>
      <c r="I762" s="3"/>
      <c r="J762" s="3"/>
      <c r="K762" s="3"/>
      <c r="Q762" s="3"/>
      <c r="R762" s="3"/>
      <c r="S762" s="3"/>
    </row>
    <row r="763" spans="6:19" ht="15.75" customHeight="1" x14ac:dyDescent="0.25">
      <c r="F763" s="3"/>
      <c r="G763" s="3"/>
      <c r="H763" s="3"/>
      <c r="I763" s="3"/>
      <c r="J763" s="3"/>
      <c r="K763" s="3"/>
      <c r="Q763" s="3"/>
      <c r="R763" s="3"/>
      <c r="S763" s="3"/>
    </row>
    <row r="764" spans="6:19" ht="15.75" customHeight="1" x14ac:dyDescent="0.25">
      <c r="F764" s="3"/>
      <c r="G764" s="3"/>
      <c r="H764" s="3"/>
      <c r="I764" s="3"/>
      <c r="J764" s="3"/>
      <c r="K764" s="3"/>
      <c r="Q764" s="3"/>
      <c r="R764" s="3"/>
      <c r="S764" s="3"/>
    </row>
    <row r="765" spans="6:19" ht="15.75" customHeight="1" x14ac:dyDescent="0.25">
      <c r="F765" s="3"/>
      <c r="G765" s="3"/>
      <c r="H765" s="3"/>
      <c r="I765" s="3"/>
      <c r="J765" s="3"/>
      <c r="K765" s="3"/>
      <c r="Q765" s="3"/>
      <c r="R765" s="3"/>
      <c r="S765" s="3"/>
    </row>
    <row r="766" spans="6:19" ht="15.75" customHeight="1" x14ac:dyDescent="0.25">
      <c r="F766" s="3"/>
      <c r="G766" s="3"/>
      <c r="H766" s="3"/>
      <c r="I766" s="3"/>
      <c r="J766" s="3"/>
      <c r="K766" s="3"/>
      <c r="Q766" s="3"/>
      <c r="R766" s="3"/>
      <c r="S766" s="3"/>
    </row>
    <row r="767" spans="6:19" ht="15.75" customHeight="1" x14ac:dyDescent="0.25">
      <c r="F767" s="3"/>
      <c r="G767" s="3"/>
      <c r="H767" s="3"/>
      <c r="I767" s="3"/>
      <c r="J767" s="3"/>
      <c r="K767" s="3"/>
      <c r="Q767" s="3"/>
      <c r="R767" s="3"/>
      <c r="S767" s="3"/>
    </row>
    <row r="768" spans="6:19" ht="15.75" customHeight="1" x14ac:dyDescent="0.25">
      <c r="F768" s="3"/>
      <c r="G768" s="3"/>
      <c r="H768" s="3"/>
      <c r="I768" s="3"/>
      <c r="J768" s="3"/>
      <c r="K768" s="3"/>
      <c r="Q768" s="3"/>
      <c r="R768" s="3"/>
      <c r="S768" s="3"/>
    </row>
    <row r="769" spans="6:19" ht="15.75" customHeight="1" x14ac:dyDescent="0.25">
      <c r="F769" s="3"/>
      <c r="G769" s="3"/>
      <c r="H769" s="3"/>
      <c r="I769" s="3"/>
      <c r="J769" s="3"/>
      <c r="K769" s="3"/>
      <c r="Q769" s="3"/>
      <c r="R769" s="3"/>
      <c r="S769" s="3"/>
    </row>
    <row r="770" spans="6:19" ht="15.75" customHeight="1" x14ac:dyDescent="0.25">
      <c r="F770" s="3"/>
      <c r="G770" s="3"/>
      <c r="H770" s="3"/>
      <c r="I770" s="3"/>
      <c r="J770" s="3"/>
      <c r="K770" s="3"/>
      <c r="Q770" s="3"/>
      <c r="R770" s="3"/>
      <c r="S770" s="3"/>
    </row>
    <row r="771" spans="6:19" ht="15.75" customHeight="1" x14ac:dyDescent="0.25">
      <c r="F771" s="3"/>
      <c r="G771" s="3"/>
      <c r="H771" s="3"/>
      <c r="I771" s="3"/>
      <c r="J771" s="3"/>
      <c r="K771" s="3"/>
      <c r="Q771" s="3"/>
      <c r="R771" s="3"/>
      <c r="S771" s="3"/>
    </row>
    <row r="772" spans="6:19" ht="15.75" customHeight="1" x14ac:dyDescent="0.25">
      <c r="F772" s="3"/>
      <c r="G772" s="3"/>
      <c r="H772" s="3"/>
      <c r="I772" s="3"/>
      <c r="J772" s="3"/>
      <c r="K772" s="3"/>
      <c r="Q772" s="3"/>
      <c r="R772" s="3"/>
      <c r="S772" s="3"/>
    </row>
    <row r="773" spans="6:19" ht="15.75" customHeight="1" x14ac:dyDescent="0.25">
      <c r="F773" s="3"/>
      <c r="G773" s="3"/>
      <c r="H773" s="3"/>
      <c r="I773" s="3"/>
      <c r="J773" s="3"/>
      <c r="K773" s="3"/>
      <c r="Q773" s="3"/>
      <c r="R773" s="3"/>
      <c r="S773" s="3"/>
    </row>
    <row r="774" spans="6:19" ht="15.75" customHeight="1" x14ac:dyDescent="0.25">
      <c r="F774" s="3"/>
      <c r="G774" s="3"/>
      <c r="H774" s="3"/>
      <c r="I774" s="3"/>
      <c r="J774" s="3"/>
      <c r="K774" s="3"/>
      <c r="Q774" s="3"/>
      <c r="R774" s="3"/>
      <c r="S774" s="3"/>
    </row>
    <row r="775" spans="6:19" ht="15.75" customHeight="1" x14ac:dyDescent="0.25">
      <c r="F775" s="3"/>
      <c r="G775" s="3"/>
      <c r="H775" s="3"/>
      <c r="I775" s="3"/>
      <c r="J775" s="3"/>
      <c r="K775" s="3"/>
      <c r="Q775" s="3"/>
      <c r="R775" s="3"/>
      <c r="S775" s="3"/>
    </row>
    <row r="776" spans="6:19" ht="15.75" customHeight="1" x14ac:dyDescent="0.25">
      <c r="F776" s="3"/>
      <c r="G776" s="3"/>
      <c r="H776" s="3"/>
      <c r="I776" s="3"/>
      <c r="J776" s="3"/>
      <c r="K776" s="3"/>
      <c r="Q776" s="3"/>
      <c r="R776" s="3"/>
      <c r="S776" s="3"/>
    </row>
    <row r="777" spans="6:19" ht="15.75" customHeight="1" x14ac:dyDescent="0.25">
      <c r="F777" s="3"/>
      <c r="G777" s="3"/>
      <c r="H777" s="3"/>
      <c r="I777" s="3"/>
      <c r="J777" s="3"/>
      <c r="K777" s="3"/>
      <c r="Q777" s="3"/>
      <c r="R777" s="3"/>
      <c r="S777" s="3"/>
    </row>
    <row r="778" spans="6:19" ht="15.75" customHeight="1" x14ac:dyDescent="0.25">
      <c r="F778" s="3"/>
      <c r="G778" s="3"/>
      <c r="H778" s="3"/>
      <c r="I778" s="3"/>
      <c r="J778" s="3"/>
      <c r="K778" s="3"/>
      <c r="Q778" s="3"/>
      <c r="R778" s="3"/>
      <c r="S778" s="3"/>
    </row>
    <row r="779" spans="6:19" ht="15.75" customHeight="1" x14ac:dyDescent="0.25">
      <c r="F779" s="3"/>
      <c r="G779" s="3"/>
      <c r="H779" s="3"/>
      <c r="I779" s="3"/>
      <c r="J779" s="3"/>
      <c r="K779" s="3"/>
      <c r="Q779" s="3"/>
      <c r="R779" s="3"/>
      <c r="S779" s="3"/>
    </row>
    <row r="780" spans="6:19" ht="15.75" customHeight="1" x14ac:dyDescent="0.25">
      <c r="F780" s="3"/>
      <c r="G780" s="3"/>
      <c r="H780" s="3"/>
      <c r="I780" s="3"/>
      <c r="J780" s="3"/>
      <c r="K780" s="3"/>
      <c r="Q780" s="3"/>
      <c r="R780" s="3"/>
      <c r="S780" s="3"/>
    </row>
    <row r="781" spans="6:19" ht="15.75" customHeight="1" x14ac:dyDescent="0.25">
      <c r="F781" s="3"/>
      <c r="G781" s="3"/>
      <c r="H781" s="3"/>
      <c r="I781" s="3"/>
      <c r="J781" s="3"/>
      <c r="K781" s="3"/>
      <c r="Q781" s="3"/>
      <c r="R781" s="3"/>
      <c r="S781" s="3"/>
    </row>
    <row r="782" spans="6:19" ht="15.75" customHeight="1" x14ac:dyDescent="0.25">
      <c r="F782" s="3"/>
      <c r="G782" s="3"/>
      <c r="H782" s="3"/>
      <c r="I782" s="3"/>
      <c r="J782" s="3"/>
      <c r="K782" s="3"/>
      <c r="Q782" s="3"/>
      <c r="R782" s="3"/>
      <c r="S782" s="3"/>
    </row>
    <row r="783" spans="6:19" ht="15.75" customHeight="1" x14ac:dyDescent="0.25">
      <c r="F783" s="3"/>
      <c r="G783" s="3"/>
      <c r="H783" s="3"/>
      <c r="I783" s="3"/>
      <c r="J783" s="3"/>
      <c r="K783" s="3"/>
      <c r="Q783" s="3"/>
      <c r="R783" s="3"/>
      <c r="S783" s="3"/>
    </row>
    <row r="784" spans="6:19" ht="15.75" customHeight="1" x14ac:dyDescent="0.25">
      <c r="F784" s="3"/>
      <c r="G784" s="3"/>
      <c r="H784" s="3"/>
      <c r="I784" s="3"/>
      <c r="J784" s="3"/>
      <c r="K784" s="3"/>
      <c r="Q784" s="3"/>
      <c r="R784" s="3"/>
      <c r="S784" s="3"/>
    </row>
    <row r="785" spans="6:19" ht="15.75" customHeight="1" x14ac:dyDescent="0.25">
      <c r="F785" s="3"/>
      <c r="G785" s="3"/>
      <c r="H785" s="3"/>
      <c r="I785" s="3"/>
      <c r="J785" s="3"/>
      <c r="K785" s="3"/>
      <c r="Q785" s="3"/>
      <c r="R785" s="3"/>
      <c r="S785" s="3"/>
    </row>
    <row r="786" spans="6:19" ht="15.75" customHeight="1" x14ac:dyDescent="0.25">
      <c r="F786" s="3"/>
      <c r="G786" s="3"/>
      <c r="H786" s="3"/>
      <c r="I786" s="3"/>
      <c r="J786" s="3"/>
      <c r="K786" s="3"/>
      <c r="Q786" s="3"/>
      <c r="R786" s="3"/>
      <c r="S786" s="3"/>
    </row>
    <row r="787" spans="6:19" ht="15.75" customHeight="1" x14ac:dyDescent="0.25">
      <c r="F787" s="3"/>
      <c r="G787" s="3"/>
      <c r="H787" s="3"/>
      <c r="I787" s="3"/>
      <c r="J787" s="3"/>
      <c r="K787" s="3"/>
      <c r="Q787" s="3"/>
      <c r="R787" s="3"/>
      <c r="S787" s="3"/>
    </row>
    <row r="788" spans="6:19" ht="15.75" customHeight="1" x14ac:dyDescent="0.25">
      <c r="F788" s="3"/>
      <c r="G788" s="3"/>
      <c r="H788" s="3"/>
      <c r="I788" s="3"/>
      <c r="J788" s="3"/>
      <c r="K788" s="3"/>
      <c r="Q788" s="3"/>
      <c r="R788" s="3"/>
      <c r="S788" s="3"/>
    </row>
    <row r="789" spans="6:19" ht="15.75" customHeight="1" x14ac:dyDescent="0.25">
      <c r="F789" s="3"/>
      <c r="G789" s="3"/>
      <c r="H789" s="3"/>
      <c r="I789" s="3"/>
      <c r="J789" s="3"/>
      <c r="K789" s="3"/>
      <c r="Q789" s="3"/>
      <c r="R789" s="3"/>
      <c r="S789" s="3"/>
    </row>
    <row r="790" spans="6:19" ht="15.75" customHeight="1" x14ac:dyDescent="0.25">
      <c r="F790" s="3"/>
      <c r="G790" s="3"/>
      <c r="H790" s="3"/>
      <c r="I790" s="3"/>
      <c r="J790" s="3"/>
      <c r="K790" s="3"/>
      <c r="Q790" s="3"/>
      <c r="R790" s="3"/>
      <c r="S790" s="3"/>
    </row>
    <row r="791" spans="6:19" ht="15.75" customHeight="1" x14ac:dyDescent="0.25">
      <c r="F791" s="3"/>
      <c r="G791" s="3"/>
      <c r="H791" s="3"/>
      <c r="I791" s="3"/>
      <c r="J791" s="3"/>
      <c r="K791" s="3"/>
      <c r="Q791" s="3"/>
      <c r="R791" s="3"/>
      <c r="S791" s="3"/>
    </row>
    <row r="792" spans="6:19" ht="15.75" customHeight="1" x14ac:dyDescent="0.25">
      <c r="F792" s="3"/>
      <c r="G792" s="3"/>
      <c r="H792" s="3"/>
      <c r="I792" s="3"/>
      <c r="J792" s="3"/>
      <c r="K792" s="3"/>
      <c r="Q792" s="3"/>
      <c r="R792" s="3"/>
      <c r="S792" s="3"/>
    </row>
    <row r="793" spans="6:19" ht="15.75" customHeight="1" x14ac:dyDescent="0.25">
      <c r="F793" s="3"/>
      <c r="G793" s="3"/>
      <c r="H793" s="3"/>
      <c r="I793" s="3"/>
      <c r="J793" s="3"/>
      <c r="K793" s="3"/>
      <c r="Q793" s="3"/>
      <c r="R793" s="3"/>
      <c r="S793" s="3"/>
    </row>
    <row r="794" spans="6:19" ht="15.75" customHeight="1" x14ac:dyDescent="0.25">
      <c r="F794" s="3"/>
      <c r="G794" s="3"/>
      <c r="H794" s="3"/>
      <c r="I794" s="3"/>
      <c r="J794" s="3"/>
      <c r="K794" s="3"/>
      <c r="Q794" s="3"/>
      <c r="R794" s="3"/>
      <c r="S794" s="3"/>
    </row>
    <row r="795" spans="6:19" ht="15.75" customHeight="1" x14ac:dyDescent="0.25">
      <c r="F795" s="3"/>
      <c r="G795" s="3"/>
      <c r="H795" s="3"/>
      <c r="I795" s="3"/>
      <c r="J795" s="3"/>
      <c r="K795" s="3"/>
      <c r="Q795" s="3"/>
      <c r="R795" s="3"/>
      <c r="S795" s="3"/>
    </row>
    <row r="796" spans="6:19" ht="15.75" customHeight="1" x14ac:dyDescent="0.25">
      <c r="F796" s="3"/>
      <c r="G796" s="3"/>
      <c r="H796" s="3"/>
      <c r="I796" s="3"/>
      <c r="J796" s="3"/>
      <c r="K796" s="3"/>
      <c r="Q796" s="3"/>
      <c r="R796" s="3"/>
      <c r="S796" s="3"/>
    </row>
    <row r="797" spans="6:19" ht="15.75" customHeight="1" x14ac:dyDescent="0.25">
      <c r="F797" s="3"/>
      <c r="G797" s="3"/>
      <c r="H797" s="3"/>
      <c r="I797" s="3"/>
      <c r="J797" s="3"/>
      <c r="K797" s="3"/>
      <c r="Q797" s="3"/>
      <c r="R797" s="3"/>
      <c r="S797" s="3"/>
    </row>
    <row r="798" spans="6:19" ht="15.75" customHeight="1" x14ac:dyDescent="0.25">
      <c r="F798" s="3"/>
      <c r="G798" s="3"/>
      <c r="H798" s="3"/>
      <c r="I798" s="3"/>
      <c r="J798" s="3"/>
      <c r="K798" s="3"/>
      <c r="Q798" s="3"/>
      <c r="R798" s="3"/>
      <c r="S798" s="3"/>
    </row>
    <row r="799" spans="6:19" ht="15.75" customHeight="1" x14ac:dyDescent="0.25">
      <c r="F799" s="3"/>
      <c r="G799" s="3"/>
      <c r="H799" s="3"/>
      <c r="I799" s="3"/>
      <c r="J799" s="3"/>
      <c r="K799" s="3"/>
      <c r="Q799" s="3"/>
      <c r="R799" s="3"/>
      <c r="S799" s="3"/>
    </row>
    <row r="800" spans="6:19" ht="15.75" customHeight="1" x14ac:dyDescent="0.25">
      <c r="F800" s="3"/>
      <c r="G800" s="3"/>
      <c r="H800" s="3"/>
      <c r="I800" s="3"/>
      <c r="J800" s="3"/>
      <c r="K800" s="3"/>
      <c r="Q800" s="3"/>
      <c r="R800" s="3"/>
      <c r="S800" s="3"/>
    </row>
    <row r="801" spans="6:19" ht="15.75" customHeight="1" x14ac:dyDescent="0.25">
      <c r="F801" s="3"/>
      <c r="G801" s="3"/>
      <c r="H801" s="3"/>
      <c r="I801" s="3"/>
      <c r="J801" s="3"/>
      <c r="K801" s="3"/>
      <c r="Q801" s="3"/>
      <c r="R801" s="3"/>
      <c r="S801" s="3"/>
    </row>
    <row r="802" spans="6:19" ht="15.75" customHeight="1" x14ac:dyDescent="0.25">
      <c r="F802" s="3"/>
      <c r="G802" s="3"/>
      <c r="H802" s="3"/>
      <c r="I802" s="3"/>
      <c r="J802" s="3"/>
      <c r="K802" s="3"/>
      <c r="Q802" s="3"/>
      <c r="R802" s="3"/>
      <c r="S802" s="3"/>
    </row>
    <row r="803" spans="6:19" ht="15.75" customHeight="1" x14ac:dyDescent="0.25">
      <c r="F803" s="3"/>
      <c r="G803" s="3"/>
      <c r="H803" s="3"/>
      <c r="I803" s="3"/>
      <c r="J803" s="3"/>
      <c r="K803" s="3"/>
      <c r="Q803" s="3"/>
      <c r="R803" s="3"/>
      <c r="S803" s="3"/>
    </row>
    <row r="804" spans="6:19" ht="15.75" customHeight="1" x14ac:dyDescent="0.25">
      <c r="F804" s="3"/>
      <c r="G804" s="3"/>
      <c r="H804" s="3"/>
      <c r="I804" s="3"/>
      <c r="J804" s="3"/>
      <c r="K804" s="3"/>
      <c r="Q804" s="3"/>
      <c r="R804" s="3"/>
      <c r="S804" s="3"/>
    </row>
    <row r="805" spans="6:19" ht="15.75" customHeight="1" x14ac:dyDescent="0.25">
      <c r="F805" s="3"/>
      <c r="G805" s="3"/>
      <c r="H805" s="3"/>
      <c r="I805" s="3"/>
      <c r="J805" s="3"/>
      <c r="K805" s="3"/>
      <c r="Q805" s="3"/>
      <c r="R805" s="3"/>
      <c r="S805" s="3"/>
    </row>
    <row r="806" spans="6:19" ht="15.75" customHeight="1" x14ac:dyDescent="0.25">
      <c r="F806" s="3"/>
      <c r="G806" s="3"/>
      <c r="H806" s="3"/>
      <c r="I806" s="3"/>
      <c r="J806" s="3"/>
      <c r="K806" s="3"/>
      <c r="Q806" s="3"/>
      <c r="R806" s="3"/>
      <c r="S806" s="3"/>
    </row>
    <row r="807" spans="6:19" ht="15.75" customHeight="1" x14ac:dyDescent="0.25">
      <c r="F807" s="3"/>
      <c r="G807" s="3"/>
      <c r="H807" s="3"/>
      <c r="I807" s="3"/>
      <c r="J807" s="3"/>
      <c r="K807" s="3"/>
      <c r="Q807" s="3"/>
      <c r="R807" s="3"/>
      <c r="S807" s="3"/>
    </row>
    <row r="808" spans="6:19" ht="15.75" customHeight="1" x14ac:dyDescent="0.25">
      <c r="F808" s="3"/>
      <c r="G808" s="3"/>
      <c r="H808" s="3"/>
      <c r="I808" s="3"/>
      <c r="J808" s="3"/>
      <c r="K808" s="3"/>
      <c r="Q808" s="3"/>
      <c r="R808" s="3"/>
      <c r="S808" s="3"/>
    </row>
    <row r="809" spans="6:19" ht="15.75" customHeight="1" x14ac:dyDescent="0.25">
      <c r="F809" s="3"/>
      <c r="G809" s="3"/>
      <c r="H809" s="3"/>
      <c r="I809" s="3"/>
      <c r="J809" s="3"/>
      <c r="K809" s="3"/>
      <c r="Q809" s="3"/>
      <c r="R809" s="3"/>
      <c r="S809" s="3"/>
    </row>
    <row r="810" spans="6:19" ht="15.75" customHeight="1" x14ac:dyDescent="0.25">
      <c r="F810" s="3"/>
      <c r="G810" s="3"/>
      <c r="H810" s="3"/>
      <c r="I810" s="3"/>
      <c r="J810" s="3"/>
      <c r="K810" s="3"/>
      <c r="Q810" s="3"/>
      <c r="R810" s="3"/>
      <c r="S810" s="3"/>
    </row>
    <row r="811" spans="6:19" ht="15.75" customHeight="1" x14ac:dyDescent="0.25">
      <c r="F811" s="3"/>
      <c r="G811" s="3"/>
      <c r="H811" s="3"/>
      <c r="I811" s="3"/>
      <c r="J811" s="3"/>
      <c r="K811" s="3"/>
      <c r="Q811" s="3"/>
      <c r="R811" s="3"/>
      <c r="S811" s="3"/>
    </row>
    <row r="812" spans="6:19" ht="15.75" customHeight="1" x14ac:dyDescent="0.25">
      <c r="F812" s="3"/>
      <c r="G812" s="3"/>
      <c r="H812" s="3"/>
      <c r="I812" s="3"/>
      <c r="J812" s="3"/>
      <c r="K812" s="3"/>
      <c r="Q812" s="3"/>
      <c r="R812" s="3"/>
      <c r="S812" s="3"/>
    </row>
    <row r="813" spans="6:19" ht="15.75" customHeight="1" x14ac:dyDescent="0.25">
      <c r="F813" s="3"/>
      <c r="G813" s="3"/>
      <c r="H813" s="3"/>
      <c r="I813" s="3"/>
      <c r="J813" s="3"/>
      <c r="K813" s="3"/>
      <c r="Q813" s="3"/>
      <c r="R813" s="3"/>
      <c r="S813" s="3"/>
    </row>
    <row r="814" spans="6:19" ht="15.75" customHeight="1" x14ac:dyDescent="0.25">
      <c r="F814" s="3"/>
      <c r="G814" s="3"/>
      <c r="H814" s="3"/>
      <c r="I814" s="3"/>
      <c r="J814" s="3"/>
      <c r="K814" s="3"/>
      <c r="Q814" s="3"/>
      <c r="R814" s="3"/>
      <c r="S814" s="3"/>
    </row>
    <row r="815" spans="6:19" ht="15.75" customHeight="1" x14ac:dyDescent="0.25">
      <c r="F815" s="3"/>
      <c r="G815" s="3"/>
      <c r="H815" s="3"/>
      <c r="I815" s="3"/>
      <c r="J815" s="3"/>
      <c r="K815" s="3"/>
      <c r="Q815" s="3"/>
      <c r="R815" s="3"/>
      <c r="S815" s="3"/>
    </row>
    <row r="816" spans="6:19" ht="15.75" customHeight="1" x14ac:dyDescent="0.25">
      <c r="F816" s="3"/>
      <c r="G816" s="3"/>
      <c r="H816" s="3"/>
      <c r="I816" s="3"/>
      <c r="J816" s="3"/>
      <c r="K816" s="3"/>
      <c r="Q816" s="3"/>
      <c r="R816" s="3"/>
      <c r="S816" s="3"/>
    </row>
    <row r="817" spans="6:19" ht="15.75" customHeight="1" x14ac:dyDescent="0.25">
      <c r="F817" s="3"/>
      <c r="G817" s="3"/>
      <c r="H817" s="3"/>
      <c r="I817" s="3"/>
      <c r="J817" s="3"/>
      <c r="K817" s="3"/>
      <c r="Q817" s="3"/>
      <c r="R817" s="3"/>
      <c r="S817" s="3"/>
    </row>
    <row r="818" spans="6:19" ht="15.75" customHeight="1" x14ac:dyDescent="0.25">
      <c r="F818" s="3"/>
      <c r="G818" s="3"/>
      <c r="H818" s="3"/>
      <c r="I818" s="3"/>
      <c r="J818" s="3"/>
      <c r="K818" s="3"/>
      <c r="Q818" s="3"/>
      <c r="R818" s="3"/>
      <c r="S818" s="3"/>
    </row>
    <row r="819" spans="6:19" ht="15.75" customHeight="1" x14ac:dyDescent="0.25">
      <c r="F819" s="3"/>
      <c r="G819" s="3"/>
      <c r="H819" s="3"/>
      <c r="I819" s="3"/>
      <c r="J819" s="3"/>
      <c r="K819" s="3"/>
      <c r="Q819" s="3"/>
      <c r="R819" s="3"/>
      <c r="S819" s="3"/>
    </row>
    <row r="820" spans="6:19" ht="15.75" customHeight="1" x14ac:dyDescent="0.25">
      <c r="F820" s="3"/>
      <c r="G820" s="3"/>
      <c r="H820" s="3"/>
      <c r="I820" s="3"/>
      <c r="J820" s="3"/>
      <c r="K820" s="3"/>
      <c r="Q820" s="3"/>
      <c r="R820" s="3"/>
      <c r="S820" s="3"/>
    </row>
    <row r="821" spans="6:19" ht="15.75" customHeight="1" x14ac:dyDescent="0.25">
      <c r="F821" s="3"/>
      <c r="G821" s="3"/>
      <c r="H821" s="3"/>
      <c r="I821" s="3"/>
      <c r="J821" s="3"/>
      <c r="K821" s="3"/>
      <c r="Q821" s="3"/>
      <c r="R821" s="3"/>
      <c r="S821" s="3"/>
    </row>
    <row r="822" spans="6:19" ht="15.75" customHeight="1" x14ac:dyDescent="0.25">
      <c r="F822" s="3"/>
      <c r="G822" s="3"/>
      <c r="H822" s="3"/>
      <c r="I822" s="3"/>
      <c r="J822" s="3"/>
      <c r="K822" s="3"/>
      <c r="Q822" s="3"/>
      <c r="R822" s="3"/>
      <c r="S822" s="3"/>
    </row>
    <row r="823" spans="6:19" ht="15.75" customHeight="1" x14ac:dyDescent="0.25">
      <c r="F823" s="3"/>
      <c r="G823" s="3"/>
      <c r="H823" s="3"/>
      <c r="I823" s="3"/>
      <c r="J823" s="3"/>
      <c r="K823" s="3"/>
      <c r="Q823" s="3"/>
      <c r="R823" s="3"/>
      <c r="S823" s="3"/>
    </row>
    <row r="824" spans="6:19" ht="15.75" customHeight="1" x14ac:dyDescent="0.25">
      <c r="F824" s="3"/>
      <c r="G824" s="3"/>
      <c r="H824" s="3"/>
      <c r="I824" s="3"/>
      <c r="J824" s="3"/>
      <c r="K824" s="3"/>
      <c r="Q824" s="3"/>
      <c r="R824" s="3"/>
      <c r="S824" s="3"/>
    </row>
    <row r="825" spans="6:19" ht="15.75" customHeight="1" x14ac:dyDescent="0.25">
      <c r="F825" s="3"/>
      <c r="G825" s="3"/>
      <c r="H825" s="3"/>
      <c r="I825" s="3"/>
      <c r="J825" s="3"/>
      <c r="K825" s="3"/>
      <c r="Q825" s="3"/>
      <c r="R825" s="3"/>
      <c r="S825" s="3"/>
    </row>
    <row r="826" spans="6:19" ht="15.75" customHeight="1" x14ac:dyDescent="0.25">
      <c r="F826" s="3"/>
      <c r="G826" s="3"/>
      <c r="H826" s="3"/>
      <c r="I826" s="3"/>
      <c r="J826" s="3"/>
      <c r="K826" s="3"/>
      <c r="Q826" s="3"/>
      <c r="R826" s="3"/>
      <c r="S826" s="3"/>
    </row>
    <row r="827" spans="6:19" ht="15.75" customHeight="1" x14ac:dyDescent="0.25">
      <c r="F827" s="3"/>
      <c r="G827" s="3"/>
      <c r="H827" s="3"/>
      <c r="I827" s="3"/>
      <c r="J827" s="3"/>
      <c r="K827" s="3"/>
      <c r="Q827" s="3"/>
      <c r="R827" s="3"/>
      <c r="S827" s="3"/>
    </row>
    <row r="828" spans="6:19" ht="15.75" customHeight="1" x14ac:dyDescent="0.25">
      <c r="F828" s="3"/>
      <c r="G828" s="3"/>
      <c r="H828" s="3"/>
      <c r="I828" s="3"/>
      <c r="J828" s="3"/>
      <c r="K828" s="3"/>
      <c r="Q828" s="3"/>
      <c r="R828" s="3"/>
      <c r="S828" s="3"/>
    </row>
    <row r="829" spans="6:19" ht="15.75" customHeight="1" x14ac:dyDescent="0.25">
      <c r="F829" s="3"/>
      <c r="G829" s="3"/>
      <c r="H829" s="3"/>
      <c r="I829" s="3"/>
      <c r="J829" s="3"/>
      <c r="K829" s="3"/>
      <c r="Q829" s="3"/>
      <c r="R829" s="3"/>
      <c r="S829" s="3"/>
    </row>
    <row r="830" spans="6:19" ht="15.75" customHeight="1" x14ac:dyDescent="0.25">
      <c r="F830" s="3"/>
      <c r="G830" s="3"/>
      <c r="H830" s="3"/>
      <c r="I830" s="3"/>
      <c r="J830" s="3"/>
      <c r="K830" s="3"/>
      <c r="Q830" s="3"/>
      <c r="R830" s="3"/>
      <c r="S830" s="3"/>
    </row>
    <row r="831" spans="6:19" ht="15.75" customHeight="1" x14ac:dyDescent="0.25">
      <c r="F831" s="3"/>
      <c r="G831" s="3"/>
      <c r="H831" s="3"/>
      <c r="I831" s="3"/>
      <c r="J831" s="3"/>
      <c r="K831" s="3"/>
      <c r="Q831" s="3"/>
      <c r="R831" s="3"/>
      <c r="S831" s="3"/>
    </row>
    <row r="832" spans="6:19" ht="15.75" customHeight="1" x14ac:dyDescent="0.25">
      <c r="F832" s="3"/>
      <c r="G832" s="3"/>
      <c r="H832" s="3"/>
      <c r="I832" s="3"/>
      <c r="J832" s="3"/>
      <c r="K832" s="3"/>
      <c r="Q832" s="3"/>
      <c r="R832" s="3"/>
      <c r="S832" s="3"/>
    </row>
    <row r="833" spans="6:19" ht="15.75" customHeight="1" x14ac:dyDescent="0.25">
      <c r="F833" s="3"/>
      <c r="G833" s="3"/>
      <c r="H833" s="3"/>
      <c r="I833" s="3"/>
      <c r="J833" s="3"/>
      <c r="K833" s="3"/>
      <c r="Q833" s="3"/>
      <c r="R833" s="3"/>
      <c r="S833" s="3"/>
    </row>
    <row r="834" spans="6:19" ht="15.75" customHeight="1" x14ac:dyDescent="0.25">
      <c r="F834" s="3"/>
      <c r="G834" s="3"/>
      <c r="H834" s="3"/>
      <c r="I834" s="3"/>
      <c r="J834" s="3"/>
      <c r="K834" s="3"/>
      <c r="Q834" s="3"/>
      <c r="R834" s="3"/>
      <c r="S834" s="3"/>
    </row>
    <row r="835" spans="6:19" ht="15.75" customHeight="1" x14ac:dyDescent="0.25">
      <c r="F835" s="3"/>
      <c r="G835" s="3"/>
      <c r="H835" s="3"/>
      <c r="I835" s="3"/>
      <c r="J835" s="3"/>
      <c r="K835" s="3"/>
      <c r="Q835" s="3"/>
      <c r="R835" s="3"/>
      <c r="S835" s="3"/>
    </row>
    <row r="836" spans="6:19" ht="15.75" customHeight="1" x14ac:dyDescent="0.25">
      <c r="F836" s="3"/>
      <c r="G836" s="3"/>
      <c r="H836" s="3"/>
      <c r="I836" s="3"/>
      <c r="J836" s="3"/>
      <c r="K836" s="3"/>
      <c r="Q836" s="3"/>
      <c r="R836" s="3"/>
      <c r="S836" s="3"/>
    </row>
    <row r="837" spans="6:19" ht="15.75" customHeight="1" x14ac:dyDescent="0.25">
      <c r="F837" s="3"/>
      <c r="G837" s="3"/>
      <c r="H837" s="3"/>
      <c r="I837" s="3"/>
      <c r="J837" s="3"/>
      <c r="K837" s="3"/>
      <c r="Q837" s="3"/>
      <c r="R837" s="3"/>
      <c r="S837" s="3"/>
    </row>
    <row r="838" spans="6:19" ht="15.75" customHeight="1" x14ac:dyDescent="0.25">
      <c r="F838" s="3"/>
      <c r="G838" s="3"/>
      <c r="H838" s="3"/>
      <c r="I838" s="3"/>
      <c r="J838" s="3"/>
      <c r="K838" s="3"/>
      <c r="Q838" s="3"/>
      <c r="R838" s="3"/>
      <c r="S838" s="3"/>
    </row>
    <row r="839" spans="6:19" ht="15.75" customHeight="1" x14ac:dyDescent="0.25">
      <c r="F839" s="3"/>
      <c r="G839" s="3"/>
      <c r="H839" s="3"/>
      <c r="I839" s="3"/>
      <c r="J839" s="3"/>
      <c r="K839" s="3"/>
      <c r="Q839" s="3"/>
      <c r="R839" s="3"/>
      <c r="S839" s="3"/>
    </row>
    <row r="840" spans="6:19" ht="15.75" customHeight="1" x14ac:dyDescent="0.25">
      <c r="F840" s="3"/>
      <c r="G840" s="3"/>
      <c r="H840" s="3"/>
      <c r="I840" s="3"/>
      <c r="J840" s="3"/>
      <c r="K840" s="3"/>
      <c r="Q840" s="3"/>
      <c r="R840" s="3"/>
      <c r="S840" s="3"/>
    </row>
    <row r="841" spans="6:19" ht="15.75" customHeight="1" x14ac:dyDescent="0.25">
      <c r="F841" s="3"/>
      <c r="G841" s="3"/>
      <c r="H841" s="3"/>
      <c r="I841" s="3"/>
      <c r="J841" s="3"/>
      <c r="K841" s="3"/>
      <c r="Q841" s="3"/>
      <c r="R841" s="3"/>
      <c r="S841" s="3"/>
    </row>
    <row r="842" spans="6:19" ht="15.75" customHeight="1" x14ac:dyDescent="0.25">
      <c r="F842" s="3"/>
      <c r="G842" s="3"/>
      <c r="H842" s="3"/>
      <c r="I842" s="3"/>
      <c r="J842" s="3"/>
      <c r="K842" s="3"/>
      <c r="Q842" s="3"/>
      <c r="R842" s="3"/>
      <c r="S842" s="3"/>
    </row>
    <row r="843" spans="6:19" ht="15.75" customHeight="1" x14ac:dyDescent="0.25">
      <c r="F843" s="3"/>
      <c r="G843" s="3"/>
      <c r="H843" s="3"/>
      <c r="I843" s="3"/>
      <c r="J843" s="3"/>
      <c r="K843" s="3"/>
      <c r="Q843" s="3"/>
      <c r="R843" s="3"/>
      <c r="S843" s="3"/>
    </row>
    <row r="844" spans="6:19" ht="15.75" customHeight="1" x14ac:dyDescent="0.25">
      <c r="F844" s="3"/>
      <c r="G844" s="3"/>
      <c r="H844" s="3"/>
      <c r="I844" s="3"/>
      <c r="J844" s="3"/>
      <c r="K844" s="3"/>
      <c r="Q844" s="3"/>
      <c r="R844" s="3"/>
      <c r="S844" s="3"/>
    </row>
    <row r="845" spans="6:19" ht="15.75" customHeight="1" x14ac:dyDescent="0.25">
      <c r="F845" s="3"/>
      <c r="G845" s="3"/>
      <c r="H845" s="3"/>
      <c r="I845" s="3"/>
      <c r="J845" s="3"/>
      <c r="K845" s="3"/>
      <c r="Q845" s="3"/>
      <c r="R845" s="3"/>
      <c r="S845" s="3"/>
    </row>
    <row r="846" spans="6:19" ht="15.75" customHeight="1" x14ac:dyDescent="0.25">
      <c r="F846" s="3"/>
      <c r="G846" s="3"/>
      <c r="H846" s="3"/>
      <c r="I846" s="3"/>
      <c r="J846" s="3"/>
      <c r="K846" s="3"/>
      <c r="Q846" s="3"/>
      <c r="R846" s="3"/>
      <c r="S846" s="3"/>
    </row>
    <row r="847" spans="6:19" ht="15.75" customHeight="1" x14ac:dyDescent="0.25">
      <c r="F847" s="3"/>
      <c r="G847" s="3"/>
      <c r="H847" s="3"/>
      <c r="I847" s="3"/>
      <c r="J847" s="3"/>
      <c r="K847" s="3"/>
      <c r="Q847" s="3"/>
      <c r="R847" s="3"/>
      <c r="S847" s="3"/>
    </row>
    <row r="848" spans="6:19" ht="15.75" customHeight="1" x14ac:dyDescent="0.25">
      <c r="F848" s="3"/>
      <c r="G848" s="3"/>
      <c r="H848" s="3"/>
      <c r="I848" s="3"/>
      <c r="J848" s="3"/>
      <c r="K848" s="3"/>
      <c r="Q848" s="3"/>
      <c r="R848" s="3"/>
      <c r="S848" s="3"/>
    </row>
    <row r="849" spans="6:19" ht="15.75" customHeight="1" x14ac:dyDescent="0.25">
      <c r="F849" s="3"/>
      <c r="G849" s="3"/>
      <c r="H849" s="3"/>
      <c r="I849" s="3"/>
      <c r="J849" s="3"/>
      <c r="K849" s="3"/>
      <c r="Q849" s="3"/>
      <c r="R849" s="3"/>
      <c r="S849" s="3"/>
    </row>
    <row r="850" spans="6:19" ht="15.75" customHeight="1" x14ac:dyDescent="0.25">
      <c r="F850" s="3"/>
      <c r="G850" s="3"/>
      <c r="H850" s="3"/>
      <c r="I850" s="3"/>
      <c r="J850" s="3"/>
      <c r="K850" s="3"/>
      <c r="Q850" s="3"/>
      <c r="R850" s="3"/>
      <c r="S850" s="3"/>
    </row>
    <row r="851" spans="6:19" ht="15.75" customHeight="1" x14ac:dyDescent="0.25">
      <c r="F851" s="3"/>
      <c r="G851" s="3"/>
      <c r="H851" s="3"/>
      <c r="I851" s="3"/>
      <c r="J851" s="3"/>
      <c r="K851" s="3"/>
      <c r="Q851" s="3"/>
      <c r="R851" s="3"/>
      <c r="S851" s="3"/>
    </row>
    <row r="852" spans="6:19" ht="15.75" customHeight="1" x14ac:dyDescent="0.25">
      <c r="F852" s="3"/>
      <c r="G852" s="3"/>
      <c r="H852" s="3"/>
      <c r="I852" s="3"/>
      <c r="J852" s="3"/>
      <c r="K852" s="3"/>
      <c r="Q852" s="3"/>
      <c r="R852" s="3"/>
      <c r="S852" s="3"/>
    </row>
    <row r="853" spans="6:19" ht="15.75" customHeight="1" x14ac:dyDescent="0.25">
      <c r="F853" s="3"/>
      <c r="G853" s="3"/>
      <c r="H853" s="3"/>
      <c r="I853" s="3"/>
      <c r="J853" s="3"/>
      <c r="K853" s="3"/>
      <c r="Q853" s="3"/>
      <c r="R853" s="3"/>
      <c r="S853" s="3"/>
    </row>
    <row r="854" spans="6:19" ht="15.75" customHeight="1" x14ac:dyDescent="0.25">
      <c r="F854" s="3"/>
      <c r="G854" s="3"/>
      <c r="H854" s="3"/>
      <c r="I854" s="3"/>
      <c r="J854" s="3"/>
      <c r="K854" s="3"/>
      <c r="Q854" s="3"/>
      <c r="R854" s="3"/>
      <c r="S854" s="3"/>
    </row>
    <row r="855" spans="6:19" ht="15.75" customHeight="1" x14ac:dyDescent="0.25">
      <c r="F855" s="3"/>
      <c r="G855" s="3"/>
      <c r="H855" s="3"/>
      <c r="I855" s="3"/>
      <c r="J855" s="3"/>
      <c r="K855" s="3"/>
      <c r="Q855" s="3"/>
      <c r="R855" s="3"/>
      <c r="S855" s="3"/>
    </row>
    <row r="856" spans="6:19" ht="15.75" customHeight="1" x14ac:dyDescent="0.25">
      <c r="F856" s="3"/>
      <c r="G856" s="3"/>
      <c r="H856" s="3"/>
      <c r="I856" s="3"/>
      <c r="J856" s="3"/>
      <c r="K856" s="3"/>
      <c r="Q856" s="3"/>
      <c r="R856" s="3"/>
      <c r="S856" s="3"/>
    </row>
    <row r="857" spans="6:19" ht="15.75" customHeight="1" x14ac:dyDescent="0.25">
      <c r="F857" s="3"/>
      <c r="G857" s="3"/>
      <c r="H857" s="3"/>
      <c r="I857" s="3"/>
      <c r="J857" s="3"/>
      <c r="K857" s="3"/>
      <c r="Q857" s="3"/>
      <c r="R857" s="3"/>
      <c r="S857" s="3"/>
    </row>
    <row r="858" spans="6:19" ht="15.75" customHeight="1" x14ac:dyDescent="0.25">
      <c r="F858" s="3"/>
      <c r="G858" s="3"/>
      <c r="H858" s="3"/>
      <c r="I858" s="3"/>
      <c r="J858" s="3"/>
      <c r="K858" s="3"/>
      <c r="Q858" s="3"/>
      <c r="R858" s="3"/>
      <c r="S858" s="3"/>
    </row>
    <row r="859" spans="6:19" ht="15.75" customHeight="1" x14ac:dyDescent="0.25">
      <c r="F859" s="3"/>
      <c r="G859" s="3"/>
      <c r="H859" s="3"/>
      <c r="I859" s="3"/>
      <c r="J859" s="3"/>
      <c r="K859" s="3"/>
      <c r="Q859" s="3"/>
      <c r="R859" s="3"/>
      <c r="S859" s="3"/>
    </row>
    <row r="860" spans="6:19" ht="15.75" customHeight="1" x14ac:dyDescent="0.25">
      <c r="F860" s="3"/>
      <c r="G860" s="3"/>
      <c r="H860" s="3"/>
      <c r="I860" s="3"/>
      <c r="J860" s="3"/>
      <c r="K860" s="3"/>
      <c r="Q860" s="3"/>
      <c r="R860" s="3"/>
      <c r="S860" s="3"/>
    </row>
    <row r="861" spans="6:19" ht="15.75" customHeight="1" x14ac:dyDescent="0.25">
      <c r="F861" s="3"/>
      <c r="G861" s="3"/>
      <c r="H861" s="3"/>
      <c r="I861" s="3"/>
      <c r="J861" s="3"/>
      <c r="K861" s="3"/>
      <c r="Q861" s="3"/>
      <c r="R861" s="3"/>
      <c r="S861" s="3"/>
    </row>
    <row r="862" spans="6:19" ht="15.75" customHeight="1" x14ac:dyDescent="0.25">
      <c r="F862" s="3"/>
      <c r="G862" s="3"/>
      <c r="H862" s="3"/>
      <c r="I862" s="3"/>
      <c r="J862" s="3"/>
      <c r="K862" s="3"/>
      <c r="Q862" s="3"/>
      <c r="R862" s="3"/>
      <c r="S862" s="3"/>
    </row>
    <row r="863" spans="6:19" ht="15.75" customHeight="1" x14ac:dyDescent="0.25">
      <c r="F863" s="3"/>
      <c r="G863" s="3"/>
      <c r="H863" s="3"/>
      <c r="I863" s="3"/>
      <c r="J863" s="3"/>
      <c r="K863" s="3"/>
      <c r="Q863" s="3"/>
      <c r="R863" s="3"/>
      <c r="S863" s="3"/>
    </row>
    <row r="864" spans="6:19" ht="15.75" customHeight="1" x14ac:dyDescent="0.25">
      <c r="F864" s="3"/>
      <c r="G864" s="3"/>
      <c r="H864" s="3"/>
      <c r="I864" s="3"/>
      <c r="J864" s="3"/>
      <c r="K864" s="3"/>
      <c r="Q864" s="3"/>
      <c r="R864" s="3"/>
      <c r="S864" s="3"/>
    </row>
    <row r="865" spans="6:19" ht="15.75" customHeight="1" x14ac:dyDescent="0.25">
      <c r="F865" s="3"/>
      <c r="G865" s="3"/>
      <c r="H865" s="3"/>
      <c r="I865" s="3"/>
      <c r="J865" s="3"/>
      <c r="K865" s="3"/>
      <c r="Q865" s="3"/>
      <c r="R865" s="3"/>
      <c r="S865" s="3"/>
    </row>
    <row r="866" spans="6:19" ht="15.75" customHeight="1" x14ac:dyDescent="0.25">
      <c r="F866" s="3"/>
      <c r="G866" s="3"/>
      <c r="H866" s="3"/>
      <c r="I866" s="3"/>
      <c r="J866" s="3"/>
      <c r="K866" s="3"/>
      <c r="Q866" s="3"/>
      <c r="R866" s="3"/>
      <c r="S866" s="3"/>
    </row>
    <row r="867" spans="6:19" ht="15.75" customHeight="1" x14ac:dyDescent="0.25">
      <c r="F867" s="3"/>
      <c r="G867" s="3"/>
      <c r="H867" s="3"/>
      <c r="I867" s="3"/>
      <c r="J867" s="3"/>
      <c r="K867" s="3"/>
      <c r="Q867" s="3"/>
      <c r="R867" s="3"/>
      <c r="S867" s="3"/>
    </row>
    <row r="868" spans="6:19" ht="15.75" customHeight="1" x14ac:dyDescent="0.25">
      <c r="F868" s="3"/>
      <c r="G868" s="3"/>
      <c r="H868" s="3"/>
      <c r="I868" s="3"/>
      <c r="J868" s="3"/>
      <c r="K868" s="3"/>
      <c r="Q868" s="3"/>
      <c r="R868" s="3"/>
      <c r="S868" s="3"/>
    </row>
    <row r="869" spans="6:19" ht="15.75" customHeight="1" x14ac:dyDescent="0.25">
      <c r="F869" s="3"/>
      <c r="G869" s="3"/>
      <c r="H869" s="3"/>
      <c r="I869" s="3"/>
      <c r="J869" s="3"/>
      <c r="K869" s="3"/>
      <c r="Q869" s="3"/>
      <c r="R869" s="3"/>
      <c r="S869" s="3"/>
    </row>
    <row r="870" spans="6:19" ht="15.75" customHeight="1" x14ac:dyDescent="0.25">
      <c r="F870" s="3"/>
      <c r="G870" s="3"/>
      <c r="H870" s="3"/>
      <c r="I870" s="3"/>
      <c r="J870" s="3"/>
      <c r="K870" s="3"/>
      <c r="Q870" s="3"/>
      <c r="R870" s="3"/>
      <c r="S870" s="3"/>
    </row>
    <row r="871" spans="6:19" ht="15.75" customHeight="1" x14ac:dyDescent="0.25">
      <c r="F871" s="3"/>
      <c r="G871" s="3"/>
      <c r="H871" s="3"/>
      <c r="I871" s="3"/>
      <c r="J871" s="3"/>
      <c r="K871" s="3"/>
      <c r="Q871" s="3"/>
      <c r="R871" s="3"/>
      <c r="S871" s="3"/>
    </row>
    <row r="872" spans="6:19" ht="15.75" customHeight="1" x14ac:dyDescent="0.25">
      <c r="F872" s="3"/>
      <c r="G872" s="3"/>
      <c r="H872" s="3"/>
      <c r="I872" s="3"/>
      <c r="J872" s="3"/>
      <c r="K872" s="3"/>
      <c r="Q872" s="3"/>
      <c r="R872" s="3"/>
      <c r="S872" s="3"/>
    </row>
    <row r="873" spans="6:19" ht="15.75" customHeight="1" x14ac:dyDescent="0.25">
      <c r="F873" s="3"/>
      <c r="G873" s="3"/>
      <c r="H873" s="3"/>
      <c r="I873" s="3"/>
      <c r="J873" s="3"/>
      <c r="K873" s="3"/>
      <c r="Q873" s="3"/>
      <c r="R873" s="3"/>
      <c r="S873" s="3"/>
    </row>
    <row r="874" spans="6:19" ht="15.75" customHeight="1" x14ac:dyDescent="0.25">
      <c r="F874" s="3"/>
      <c r="G874" s="3"/>
      <c r="H874" s="3"/>
      <c r="I874" s="3"/>
      <c r="J874" s="3"/>
      <c r="K874" s="3"/>
      <c r="Q874" s="3"/>
      <c r="R874" s="3"/>
      <c r="S874" s="3"/>
    </row>
    <row r="875" spans="6:19" ht="15.75" customHeight="1" x14ac:dyDescent="0.25">
      <c r="F875" s="3"/>
      <c r="G875" s="3"/>
      <c r="H875" s="3"/>
      <c r="I875" s="3"/>
      <c r="J875" s="3"/>
      <c r="K875" s="3"/>
      <c r="Q875" s="3"/>
      <c r="R875" s="3"/>
      <c r="S875" s="3"/>
    </row>
    <row r="876" spans="6:19" ht="15.75" customHeight="1" x14ac:dyDescent="0.25">
      <c r="F876" s="3"/>
      <c r="G876" s="3"/>
      <c r="H876" s="3"/>
      <c r="I876" s="3"/>
      <c r="J876" s="3"/>
      <c r="K876" s="3"/>
      <c r="Q876" s="3"/>
      <c r="R876" s="3"/>
      <c r="S876" s="3"/>
    </row>
    <row r="877" spans="6:19" ht="15.75" customHeight="1" x14ac:dyDescent="0.25">
      <c r="F877" s="3"/>
      <c r="G877" s="3"/>
      <c r="H877" s="3"/>
      <c r="I877" s="3"/>
      <c r="J877" s="3"/>
      <c r="K877" s="3"/>
      <c r="Q877" s="3"/>
      <c r="R877" s="3"/>
      <c r="S877" s="3"/>
    </row>
    <row r="878" spans="6:19" ht="15.75" customHeight="1" x14ac:dyDescent="0.25">
      <c r="F878" s="3"/>
      <c r="G878" s="3"/>
      <c r="H878" s="3"/>
      <c r="I878" s="3"/>
      <c r="J878" s="3"/>
      <c r="K878" s="3"/>
      <c r="Q878" s="3"/>
      <c r="R878" s="3"/>
      <c r="S878" s="3"/>
    </row>
    <row r="879" spans="6:19" ht="15.75" customHeight="1" x14ac:dyDescent="0.25">
      <c r="F879" s="3"/>
      <c r="G879" s="3"/>
      <c r="H879" s="3"/>
      <c r="I879" s="3"/>
      <c r="J879" s="3"/>
      <c r="K879" s="3"/>
      <c r="Q879" s="3"/>
      <c r="R879" s="3"/>
      <c r="S879" s="3"/>
    </row>
    <row r="880" spans="6:19" ht="15.75" customHeight="1" x14ac:dyDescent="0.25">
      <c r="F880" s="3"/>
      <c r="G880" s="3"/>
      <c r="H880" s="3"/>
      <c r="I880" s="3"/>
      <c r="J880" s="3"/>
      <c r="K880" s="3"/>
      <c r="Q880" s="3"/>
      <c r="R880" s="3"/>
      <c r="S880" s="3"/>
    </row>
    <row r="881" spans="6:19" ht="15.75" customHeight="1" x14ac:dyDescent="0.25">
      <c r="F881" s="3"/>
      <c r="G881" s="3"/>
      <c r="H881" s="3"/>
      <c r="I881" s="3"/>
      <c r="J881" s="3"/>
      <c r="K881" s="3"/>
      <c r="Q881" s="3"/>
      <c r="R881" s="3"/>
      <c r="S881" s="3"/>
    </row>
    <row r="882" spans="6:19" ht="15.75" customHeight="1" x14ac:dyDescent="0.25">
      <c r="F882" s="3"/>
      <c r="G882" s="3"/>
      <c r="H882" s="3"/>
      <c r="I882" s="3"/>
      <c r="J882" s="3"/>
      <c r="K882" s="3"/>
      <c r="Q882" s="3"/>
      <c r="R882" s="3"/>
      <c r="S882" s="3"/>
    </row>
    <row r="883" spans="6:19" ht="15.75" customHeight="1" x14ac:dyDescent="0.25">
      <c r="F883" s="3"/>
      <c r="G883" s="3"/>
      <c r="H883" s="3"/>
      <c r="I883" s="3"/>
      <c r="J883" s="3"/>
      <c r="K883" s="3"/>
      <c r="Q883" s="3"/>
      <c r="R883" s="3"/>
      <c r="S883" s="3"/>
    </row>
    <row r="884" spans="6:19" ht="15.75" customHeight="1" x14ac:dyDescent="0.25">
      <c r="F884" s="3"/>
      <c r="G884" s="3"/>
      <c r="H884" s="3"/>
      <c r="I884" s="3"/>
      <c r="J884" s="3"/>
      <c r="K884" s="3"/>
      <c r="Q884" s="3"/>
      <c r="R884" s="3"/>
      <c r="S884" s="3"/>
    </row>
    <row r="885" spans="6:19" ht="15.75" customHeight="1" x14ac:dyDescent="0.25">
      <c r="F885" s="3"/>
      <c r="G885" s="3"/>
      <c r="H885" s="3"/>
      <c r="I885" s="3"/>
      <c r="J885" s="3"/>
      <c r="K885" s="3"/>
      <c r="Q885" s="3"/>
      <c r="R885" s="3"/>
      <c r="S885" s="3"/>
    </row>
    <row r="886" spans="6:19" ht="15.75" customHeight="1" x14ac:dyDescent="0.25">
      <c r="F886" s="3"/>
      <c r="G886" s="3"/>
      <c r="H886" s="3"/>
      <c r="I886" s="3"/>
      <c r="J886" s="3"/>
      <c r="K886" s="3"/>
      <c r="Q886" s="3"/>
      <c r="R886" s="3"/>
      <c r="S886" s="3"/>
    </row>
    <row r="887" spans="6:19" ht="15.75" customHeight="1" x14ac:dyDescent="0.25">
      <c r="F887" s="3"/>
      <c r="G887" s="3"/>
      <c r="H887" s="3"/>
      <c r="I887" s="3"/>
      <c r="J887" s="3"/>
      <c r="K887" s="3"/>
      <c r="Q887" s="3"/>
      <c r="R887" s="3"/>
      <c r="S887" s="3"/>
    </row>
    <row r="888" spans="6:19" ht="15.75" customHeight="1" x14ac:dyDescent="0.25">
      <c r="F888" s="3"/>
      <c r="G888" s="3"/>
      <c r="H888" s="3"/>
      <c r="I888" s="3"/>
      <c r="J888" s="3"/>
      <c r="K888" s="3"/>
      <c r="Q888" s="3"/>
      <c r="R888" s="3"/>
      <c r="S888" s="3"/>
    </row>
    <row r="889" spans="6:19" ht="15.75" customHeight="1" x14ac:dyDescent="0.25">
      <c r="F889" s="3"/>
      <c r="G889" s="3"/>
      <c r="H889" s="3"/>
      <c r="I889" s="3"/>
      <c r="J889" s="3"/>
      <c r="K889" s="3"/>
      <c r="Q889" s="3"/>
      <c r="R889" s="3"/>
      <c r="S889" s="3"/>
    </row>
    <row r="890" spans="6:19" ht="15.75" customHeight="1" x14ac:dyDescent="0.25">
      <c r="F890" s="3"/>
      <c r="G890" s="3"/>
      <c r="H890" s="3"/>
      <c r="I890" s="3"/>
      <c r="J890" s="3"/>
      <c r="K890" s="3"/>
      <c r="Q890" s="3"/>
      <c r="R890" s="3"/>
      <c r="S890" s="3"/>
    </row>
    <row r="891" spans="6:19" ht="15.75" customHeight="1" x14ac:dyDescent="0.25">
      <c r="F891" s="3"/>
      <c r="G891" s="3"/>
      <c r="H891" s="3"/>
      <c r="I891" s="3"/>
      <c r="J891" s="3"/>
      <c r="K891" s="3"/>
      <c r="Q891" s="3"/>
      <c r="R891" s="3"/>
      <c r="S891" s="3"/>
    </row>
    <row r="892" spans="6:19" ht="15.75" customHeight="1" x14ac:dyDescent="0.25">
      <c r="F892" s="3"/>
      <c r="G892" s="3"/>
      <c r="H892" s="3"/>
      <c r="I892" s="3"/>
      <c r="J892" s="3"/>
      <c r="K892" s="3"/>
      <c r="Q892" s="3"/>
      <c r="R892" s="3"/>
      <c r="S892" s="3"/>
    </row>
    <row r="893" spans="6:19" ht="15.75" customHeight="1" x14ac:dyDescent="0.25">
      <c r="F893" s="3"/>
      <c r="G893" s="3"/>
      <c r="H893" s="3"/>
      <c r="I893" s="3"/>
      <c r="J893" s="3"/>
      <c r="K893" s="3"/>
      <c r="Q893" s="3"/>
      <c r="R893" s="3"/>
      <c r="S893" s="3"/>
    </row>
    <row r="894" spans="6:19" ht="15.75" customHeight="1" x14ac:dyDescent="0.25">
      <c r="F894" s="3"/>
      <c r="G894" s="3"/>
      <c r="H894" s="3"/>
      <c r="I894" s="3"/>
      <c r="J894" s="3"/>
      <c r="K894" s="3"/>
      <c r="Q894" s="3"/>
      <c r="R894" s="3"/>
      <c r="S894" s="3"/>
    </row>
    <row r="895" spans="6:19" ht="15.75" customHeight="1" x14ac:dyDescent="0.25">
      <c r="F895" s="3"/>
      <c r="G895" s="3"/>
      <c r="H895" s="3"/>
      <c r="I895" s="3"/>
      <c r="J895" s="3"/>
      <c r="K895" s="3"/>
      <c r="Q895" s="3"/>
      <c r="R895" s="3"/>
      <c r="S895" s="3"/>
    </row>
    <row r="896" spans="6:19" ht="15.75" customHeight="1" x14ac:dyDescent="0.25">
      <c r="F896" s="3"/>
      <c r="G896" s="3"/>
      <c r="H896" s="3"/>
      <c r="I896" s="3"/>
      <c r="J896" s="3"/>
      <c r="K896" s="3"/>
      <c r="Q896" s="3"/>
      <c r="R896" s="3"/>
      <c r="S896" s="3"/>
    </row>
    <row r="897" spans="6:19" ht="15.75" customHeight="1" x14ac:dyDescent="0.25">
      <c r="F897" s="3"/>
      <c r="G897" s="3"/>
      <c r="H897" s="3"/>
      <c r="I897" s="3"/>
      <c r="J897" s="3"/>
      <c r="K897" s="3"/>
      <c r="Q897" s="3"/>
      <c r="R897" s="3"/>
      <c r="S897" s="3"/>
    </row>
    <row r="898" spans="6:19" ht="15.75" customHeight="1" x14ac:dyDescent="0.25">
      <c r="F898" s="3"/>
      <c r="G898" s="3"/>
      <c r="H898" s="3"/>
      <c r="I898" s="3"/>
      <c r="J898" s="3"/>
      <c r="K898" s="3"/>
      <c r="Q898" s="3"/>
      <c r="R898" s="3"/>
      <c r="S898" s="3"/>
    </row>
    <row r="899" spans="6:19" ht="15.75" customHeight="1" x14ac:dyDescent="0.25">
      <c r="F899" s="3"/>
      <c r="G899" s="3"/>
      <c r="H899" s="3"/>
      <c r="I899" s="3"/>
      <c r="J899" s="3"/>
      <c r="K899" s="3"/>
      <c r="Q899" s="3"/>
      <c r="R899" s="3"/>
      <c r="S899" s="3"/>
    </row>
    <row r="900" spans="6:19" ht="15.75" customHeight="1" x14ac:dyDescent="0.25">
      <c r="F900" s="3"/>
      <c r="G900" s="3"/>
      <c r="H900" s="3"/>
      <c r="I900" s="3"/>
      <c r="J900" s="3"/>
      <c r="K900" s="3"/>
      <c r="Q900" s="3"/>
      <c r="R900" s="3"/>
      <c r="S900" s="3"/>
    </row>
    <row r="901" spans="6:19" ht="15.75" customHeight="1" x14ac:dyDescent="0.25">
      <c r="F901" s="3"/>
      <c r="G901" s="3"/>
      <c r="H901" s="3"/>
      <c r="I901" s="3"/>
      <c r="J901" s="3"/>
      <c r="K901" s="3"/>
      <c r="Q901" s="3"/>
      <c r="R901" s="3"/>
      <c r="S901" s="3"/>
    </row>
    <row r="902" spans="6:19" ht="15.75" customHeight="1" x14ac:dyDescent="0.25">
      <c r="F902" s="3"/>
      <c r="G902" s="3"/>
      <c r="H902" s="3"/>
      <c r="I902" s="3"/>
      <c r="J902" s="3"/>
      <c r="K902" s="3"/>
      <c r="Q902" s="3"/>
      <c r="R902" s="3"/>
      <c r="S902" s="3"/>
    </row>
    <row r="903" spans="6:19" ht="15.75" customHeight="1" x14ac:dyDescent="0.25">
      <c r="F903" s="3"/>
      <c r="G903" s="3"/>
      <c r="H903" s="3"/>
      <c r="I903" s="3"/>
      <c r="J903" s="3"/>
      <c r="K903" s="3"/>
      <c r="Q903" s="3"/>
      <c r="R903" s="3"/>
      <c r="S903" s="3"/>
    </row>
    <row r="904" spans="6:19" ht="15.75" customHeight="1" x14ac:dyDescent="0.25">
      <c r="F904" s="3"/>
      <c r="G904" s="3"/>
      <c r="H904" s="3"/>
      <c r="I904" s="3"/>
      <c r="J904" s="3"/>
      <c r="K904" s="3"/>
      <c r="Q904" s="3"/>
      <c r="R904" s="3"/>
      <c r="S904" s="3"/>
    </row>
    <row r="905" spans="6:19" ht="15.75" customHeight="1" x14ac:dyDescent="0.25">
      <c r="F905" s="3"/>
      <c r="G905" s="3"/>
      <c r="H905" s="3"/>
      <c r="I905" s="3"/>
      <c r="J905" s="3"/>
      <c r="K905" s="3"/>
      <c r="Q905" s="3"/>
      <c r="R905" s="3"/>
      <c r="S905" s="3"/>
    </row>
    <row r="906" spans="6:19" ht="15.75" customHeight="1" x14ac:dyDescent="0.25">
      <c r="F906" s="3"/>
      <c r="G906" s="3"/>
      <c r="H906" s="3"/>
      <c r="I906" s="3"/>
      <c r="J906" s="3"/>
      <c r="K906" s="3"/>
      <c r="Q906" s="3"/>
      <c r="R906" s="3"/>
      <c r="S906" s="3"/>
    </row>
    <row r="907" spans="6:19" ht="15.75" customHeight="1" x14ac:dyDescent="0.25">
      <c r="F907" s="3"/>
      <c r="G907" s="3"/>
      <c r="H907" s="3"/>
      <c r="I907" s="3"/>
      <c r="J907" s="3"/>
      <c r="K907" s="3"/>
      <c r="Q907" s="3"/>
      <c r="R907" s="3"/>
      <c r="S907" s="3"/>
    </row>
    <row r="908" spans="6:19" ht="15.75" customHeight="1" x14ac:dyDescent="0.25">
      <c r="F908" s="3"/>
      <c r="G908" s="3"/>
      <c r="H908" s="3"/>
      <c r="I908" s="3"/>
      <c r="J908" s="3"/>
      <c r="K908" s="3"/>
      <c r="Q908" s="3"/>
      <c r="R908" s="3"/>
      <c r="S908" s="3"/>
    </row>
    <row r="909" spans="6:19" ht="15.75" customHeight="1" x14ac:dyDescent="0.25">
      <c r="F909" s="3"/>
      <c r="G909" s="3"/>
      <c r="H909" s="3"/>
      <c r="I909" s="3"/>
      <c r="J909" s="3"/>
      <c r="K909" s="3"/>
      <c r="Q909" s="3"/>
      <c r="R909" s="3"/>
      <c r="S909" s="3"/>
    </row>
    <row r="910" spans="6:19" ht="15.75" customHeight="1" x14ac:dyDescent="0.25">
      <c r="F910" s="3"/>
      <c r="G910" s="3"/>
      <c r="H910" s="3"/>
      <c r="I910" s="3"/>
      <c r="J910" s="3"/>
      <c r="K910" s="3"/>
      <c r="Q910" s="3"/>
      <c r="R910" s="3"/>
      <c r="S910" s="3"/>
    </row>
    <row r="911" spans="6:19" ht="15.75" customHeight="1" x14ac:dyDescent="0.25">
      <c r="F911" s="3"/>
      <c r="G911" s="3"/>
      <c r="H911" s="3"/>
      <c r="I911" s="3"/>
      <c r="J911" s="3"/>
      <c r="K911" s="3"/>
      <c r="Q911" s="3"/>
      <c r="R911" s="3"/>
      <c r="S911" s="3"/>
    </row>
    <row r="912" spans="6:19" ht="15.75" customHeight="1" x14ac:dyDescent="0.25">
      <c r="F912" s="3"/>
      <c r="G912" s="3"/>
      <c r="H912" s="3"/>
      <c r="I912" s="3"/>
      <c r="J912" s="3"/>
      <c r="K912" s="3"/>
      <c r="Q912" s="3"/>
      <c r="R912" s="3"/>
      <c r="S912" s="3"/>
    </row>
    <row r="913" spans="6:19" ht="15.75" customHeight="1" x14ac:dyDescent="0.25">
      <c r="F913" s="3"/>
      <c r="G913" s="3"/>
      <c r="H913" s="3"/>
      <c r="I913" s="3"/>
      <c r="J913" s="3"/>
      <c r="K913" s="3"/>
      <c r="Q913" s="3"/>
      <c r="R913" s="3"/>
      <c r="S913" s="3"/>
    </row>
    <row r="914" spans="6:19" ht="15.75" customHeight="1" x14ac:dyDescent="0.25">
      <c r="F914" s="3"/>
      <c r="G914" s="3"/>
      <c r="H914" s="3"/>
      <c r="I914" s="3"/>
      <c r="J914" s="3"/>
      <c r="K914" s="3"/>
      <c r="Q914" s="3"/>
      <c r="R914" s="3"/>
      <c r="S914" s="3"/>
    </row>
    <row r="915" spans="6:19" ht="15.75" customHeight="1" x14ac:dyDescent="0.25">
      <c r="F915" s="3"/>
      <c r="G915" s="3"/>
      <c r="H915" s="3"/>
      <c r="I915" s="3"/>
      <c r="J915" s="3"/>
      <c r="K915" s="3"/>
      <c r="Q915" s="3"/>
      <c r="R915" s="3"/>
      <c r="S915" s="3"/>
    </row>
    <row r="916" spans="6:19" ht="15.75" customHeight="1" x14ac:dyDescent="0.25">
      <c r="F916" s="3"/>
      <c r="G916" s="3"/>
      <c r="H916" s="3"/>
      <c r="I916" s="3"/>
      <c r="J916" s="3"/>
      <c r="K916" s="3"/>
      <c r="Q916" s="3"/>
      <c r="R916" s="3"/>
      <c r="S916" s="3"/>
    </row>
    <row r="917" spans="6:19" ht="15.75" customHeight="1" x14ac:dyDescent="0.25">
      <c r="F917" s="3"/>
      <c r="G917" s="3"/>
      <c r="H917" s="3"/>
      <c r="I917" s="3"/>
      <c r="J917" s="3"/>
      <c r="K917" s="3"/>
      <c r="Q917" s="3"/>
      <c r="R917" s="3"/>
      <c r="S917" s="3"/>
    </row>
    <row r="918" spans="6:19" ht="15.75" customHeight="1" x14ac:dyDescent="0.25">
      <c r="F918" s="3"/>
      <c r="G918" s="3"/>
      <c r="H918" s="3"/>
      <c r="I918" s="3"/>
      <c r="J918" s="3"/>
      <c r="K918" s="3"/>
      <c r="Q918" s="3"/>
      <c r="R918" s="3"/>
      <c r="S918" s="3"/>
    </row>
    <row r="919" spans="6:19" ht="15.75" customHeight="1" x14ac:dyDescent="0.25">
      <c r="F919" s="3"/>
      <c r="G919" s="3"/>
      <c r="H919" s="3"/>
      <c r="I919" s="3"/>
      <c r="J919" s="3"/>
      <c r="K919" s="3"/>
      <c r="Q919" s="3"/>
      <c r="R919" s="3"/>
      <c r="S919" s="3"/>
    </row>
    <row r="920" spans="6:19" ht="15.75" customHeight="1" x14ac:dyDescent="0.25">
      <c r="F920" s="3"/>
      <c r="G920" s="3"/>
      <c r="H920" s="3"/>
      <c r="I920" s="3"/>
      <c r="J920" s="3"/>
      <c r="K920" s="3"/>
      <c r="Q920" s="3"/>
      <c r="R920" s="3"/>
      <c r="S920" s="3"/>
    </row>
    <row r="921" spans="6:19" ht="15.75" customHeight="1" x14ac:dyDescent="0.25">
      <c r="F921" s="3"/>
      <c r="G921" s="3"/>
      <c r="H921" s="3"/>
      <c r="I921" s="3"/>
      <c r="J921" s="3"/>
      <c r="K921" s="3"/>
      <c r="Q921" s="3"/>
      <c r="R921" s="3"/>
      <c r="S921" s="3"/>
    </row>
    <row r="922" spans="6:19" ht="15.75" customHeight="1" x14ac:dyDescent="0.25">
      <c r="F922" s="3"/>
      <c r="G922" s="3"/>
      <c r="H922" s="3"/>
      <c r="I922" s="3"/>
      <c r="J922" s="3"/>
      <c r="K922" s="3"/>
      <c r="Q922" s="3"/>
      <c r="R922" s="3"/>
      <c r="S922" s="3"/>
    </row>
    <row r="923" spans="6:19" ht="15.75" customHeight="1" x14ac:dyDescent="0.25">
      <c r="F923" s="3"/>
      <c r="G923" s="3"/>
      <c r="H923" s="3"/>
      <c r="I923" s="3"/>
      <c r="J923" s="3"/>
      <c r="K923" s="3"/>
      <c r="Q923" s="3"/>
      <c r="R923" s="3"/>
      <c r="S923" s="3"/>
    </row>
    <row r="924" spans="6:19" ht="15.75" customHeight="1" x14ac:dyDescent="0.25">
      <c r="F924" s="3"/>
      <c r="G924" s="3"/>
      <c r="H924" s="3"/>
      <c r="I924" s="3"/>
      <c r="J924" s="3"/>
      <c r="K924" s="3"/>
      <c r="Q924" s="3"/>
      <c r="R924" s="3"/>
      <c r="S924" s="3"/>
    </row>
    <row r="925" spans="6:19" ht="15.75" customHeight="1" x14ac:dyDescent="0.25">
      <c r="F925" s="3"/>
      <c r="G925" s="3"/>
      <c r="H925" s="3"/>
      <c r="I925" s="3"/>
      <c r="J925" s="3"/>
      <c r="K925" s="3"/>
      <c r="Q925" s="3"/>
      <c r="R925" s="3"/>
      <c r="S925" s="3"/>
    </row>
    <row r="926" spans="6:19" ht="15.75" customHeight="1" x14ac:dyDescent="0.25">
      <c r="F926" s="3"/>
      <c r="G926" s="3"/>
      <c r="H926" s="3"/>
      <c r="I926" s="3"/>
      <c r="J926" s="3"/>
      <c r="K926" s="3"/>
      <c r="Q926" s="3"/>
      <c r="R926" s="3"/>
      <c r="S926" s="3"/>
    </row>
    <row r="927" spans="6:19" ht="15.75" customHeight="1" x14ac:dyDescent="0.25">
      <c r="F927" s="3"/>
      <c r="G927" s="3"/>
      <c r="H927" s="3"/>
      <c r="I927" s="3"/>
      <c r="J927" s="3"/>
      <c r="K927" s="3"/>
      <c r="Q927" s="3"/>
      <c r="R927" s="3"/>
      <c r="S927" s="3"/>
    </row>
    <row r="928" spans="6:19" ht="15.75" customHeight="1" x14ac:dyDescent="0.25">
      <c r="F928" s="3"/>
      <c r="G928" s="3"/>
      <c r="H928" s="3"/>
      <c r="I928" s="3"/>
      <c r="J928" s="3"/>
      <c r="K928" s="3"/>
      <c r="Q928" s="3"/>
      <c r="R928" s="3"/>
      <c r="S928" s="3"/>
    </row>
    <row r="929" spans="6:19" ht="15.75" customHeight="1" x14ac:dyDescent="0.25">
      <c r="F929" s="3"/>
      <c r="G929" s="3"/>
      <c r="H929" s="3"/>
      <c r="I929" s="3"/>
      <c r="J929" s="3"/>
      <c r="K929" s="3"/>
      <c r="Q929" s="3"/>
      <c r="R929" s="3"/>
      <c r="S929" s="3"/>
    </row>
    <row r="930" spans="6:19" ht="15.75" customHeight="1" x14ac:dyDescent="0.25">
      <c r="F930" s="3"/>
      <c r="G930" s="3"/>
      <c r="H930" s="3"/>
      <c r="I930" s="3"/>
      <c r="J930" s="3"/>
      <c r="K930" s="3"/>
      <c r="Q930" s="3"/>
      <c r="R930" s="3"/>
      <c r="S930" s="3"/>
    </row>
    <row r="931" spans="6:19" ht="15.75" customHeight="1" x14ac:dyDescent="0.25">
      <c r="F931" s="3"/>
      <c r="G931" s="3"/>
      <c r="H931" s="3"/>
      <c r="I931" s="3"/>
      <c r="J931" s="3"/>
      <c r="K931" s="3"/>
      <c r="Q931" s="3"/>
      <c r="R931" s="3"/>
      <c r="S931" s="3"/>
    </row>
    <row r="932" spans="6:19" ht="15.75" customHeight="1" x14ac:dyDescent="0.25">
      <c r="F932" s="3"/>
      <c r="G932" s="3"/>
      <c r="H932" s="3"/>
      <c r="I932" s="3"/>
      <c r="J932" s="3"/>
      <c r="K932" s="3"/>
      <c r="Q932" s="3"/>
      <c r="R932" s="3"/>
      <c r="S932" s="3"/>
    </row>
    <row r="933" spans="6:19" ht="15.75" customHeight="1" x14ac:dyDescent="0.25">
      <c r="F933" s="3"/>
      <c r="G933" s="3"/>
      <c r="H933" s="3"/>
      <c r="I933" s="3"/>
      <c r="J933" s="3"/>
      <c r="K933" s="3"/>
      <c r="Q933" s="3"/>
      <c r="R933" s="3"/>
      <c r="S933" s="3"/>
    </row>
    <row r="934" spans="6:19" ht="15.75" customHeight="1" x14ac:dyDescent="0.25">
      <c r="F934" s="3"/>
      <c r="G934" s="3"/>
      <c r="H934" s="3"/>
      <c r="I934" s="3"/>
      <c r="J934" s="3"/>
      <c r="K934" s="3"/>
      <c r="Q934" s="3"/>
      <c r="R934" s="3"/>
      <c r="S934" s="3"/>
    </row>
    <row r="935" spans="6:19" ht="15.75" customHeight="1" x14ac:dyDescent="0.25">
      <c r="F935" s="3"/>
      <c r="G935" s="3"/>
      <c r="H935" s="3"/>
      <c r="I935" s="3"/>
      <c r="J935" s="3"/>
      <c r="K935" s="3"/>
      <c r="Q935" s="3"/>
      <c r="R935" s="3"/>
      <c r="S935" s="3"/>
    </row>
    <row r="936" spans="6:19" ht="15.75" customHeight="1" x14ac:dyDescent="0.25">
      <c r="F936" s="3"/>
      <c r="G936" s="3"/>
      <c r="H936" s="3"/>
      <c r="I936" s="3"/>
      <c r="J936" s="3"/>
      <c r="K936" s="3"/>
      <c r="Q936" s="3"/>
      <c r="R936" s="3"/>
      <c r="S936" s="3"/>
    </row>
    <row r="937" spans="6:19" ht="15.75" customHeight="1" x14ac:dyDescent="0.25">
      <c r="F937" s="3"/>
      <c r="G937" s="3"/>
      <c r="H937" s="3"/>
      <c r="I937" s="3"/>
      <c r="J937" s="3"/>
      <c r="K937" s="3"/>
      <c r="Q937" s="3"/>
      <c r="R937" s="3"/>
      <c r="S937" s="3"/>
    </row>
    <row r="938" spans="6:19" ht="15.75" customHeight="1" x14ac:dyDescent="0.25">
      <c r="F938" s="3"/>
      <c r="G938" s="3"/>
      <c r="H938" s="3"/>
      <c r="I938" s="3"/>
      <c r="J938" s="3"/>
      <c r="K938" s="3"/>
      <c r="Q938" s="3"/>
      <c r="R938" s="3"/>
      <c r="S938" s="3"/>
    </row>
    <row r="939" spans="6:19" ht="15.75" customHeight="1" x14ac:dyDescent="0.25">
      <c r="F939" s="3"/>
      <c r="G939" s="3"/>
      <c r="H939" s="3"/>
      <c r="I939" s="3"/>
      <c r="J939" s="3"/>
      <c r="K939" s="3"/>
      <c r="Q939" s="3"/>
      <c r="R939" s="3"/>
      <c r="S939" s="3"/>
    </row>
    <row r="940" spans="6:19" ht="15.75" customHeight="1" x14ac:dyDescent="0.25">
      <c r="F940" s="3"/>
      <c r="G940" s="3"/>
      <c r="H940" s="3"/>
      <c r="I940" s="3"/>
      <c r="J940" s="3"/>
      <c r="K940" s="3"/>
      <c r="Q940" s="3"/>
      <c r="R940" s="3"/>
      <c r="S940" s="3"/>
    </row>
    <row r="941" spans="6:19" ht="15.75" customHeight="1" x14ac:dyDescent="0.25">
      <c r="F941" s="3"/>
      <c r="G941" s="3"/>
      <c r="H941" s="3"/>
      <c r="I941" s="3"/>
      <c r="J941" s="3"/>
      <c r="K941" s="3"/>
      <c r="Q941" s="3"/>
      <c r="R941" s="3"/>
      <c r="S941" s="3"/>
    </row>
    <row r="942" spans="6:19" ht="15.75" customHeight="1" x14ac:dyDescent="0.25">
      <c r="F942" s="3"/>
      <c r="G942" s="3"/>
      <c r="H942" s="3"/>
      <c r="I942" s="3"/>
      <c r="J942" s="3"/>
      <c r="K942" s="3"/>
      <c r="Q942" s="3"/>
      <c r="R942" s="3"/>
      <c r="S942" s="3"/>
    </row>
    <row r="943" spans="6:19" ht="15.75" customHeight="1" x14ac:dyDescent="0.25">
      <c r="F943" s="3"/>
      <c r="G943" s="3"/>
      <c r="H943" s="3"/>
      <c r="I943" s="3"/>
      <c r="J943" s="3"/>
      <c r="K943" s="3"/>
      <c r="Q943" s="3"/>
      <c r="R943" s="3"/>
      <c r="S943" s="3"/>
    </row>
    <row r="944" spans="6:19" ht="15.75" customHeight="1" x14ac:dyDescent="0.25">
      <c r="F944" s="3"/>
      <c r="G944" s="3"/>
      <c r="H944" s="3"/>
      <c r="I944" s="3"/>
      <c r="J944" s="3"/>
      <c r="K944" s="3"/>
      <c r="Q944" s="3"/>
      <c r="R944" s="3"/>
      <c r="S944" s="3"/>
    </row>
    <row r="945" spans="6:19" ht="15.75" customHeight="1" x14ac:dyDescent="0.25">
      <c r="F945" s="3"/>
      <c r="G945" s="3"/>
      <c r="H945" s="3"/>
      <c r="I945" s="3"/>
      <c r="J945" s="3"/>
      <c r="K945" s="3"/>
      <c r="Q945" s="3"/>
      <c r="R945" s="3"/>
      <c r="S945" s="3"/>
    </row>
    <row r="946" spans="6:19" ht="15.75" customHeight="1" x14ac:dyDescent="0.25">
      <c r="F946" s="3"/>
      <c r="G946" s="3"/>
      <c r="H946" s="3"/>
      <c r="I946" s="3"/>
      <c r="J946" s="3"/>
      <c r="K946" s="3"/>
      <c r="Q946" s="3"/>
      <c r="R946" s="3"/>
      <c r="S946" s="3"/>
    </row>
    <row r="947" spans="6:19" ht="15.75" customHeight="1" x14ac:dyDescent="0.25">
      <c r="F947" s="3"/>
      <c r="G947" s="3"/>
      <c r="H947" s="3"/>
      <c r="I947" s="3"/>
      <c r="J947" s="3"/>
      <c r="K947" s="3"/>
      <c r="Q947" s="3"/>
      <c r="R947" s="3"/>
      <c r="S947" s="3"/>
    </row>
    <row r="948" spans="6:19" ht="15.75" customHeight="1" x14ac:dyDescent="0.25">
      <c r="F948" s="3"/>
      <c r="G948" s="3"/>
      <c r="H948" s="3"/>
      <c r="I948" s="3"/>
      <c r="J948" s="3"/>
      <c r="K948" s="3"/>
      <c r="Q948" s="3"/>
      <c r="R948" s="3"/>
      <c r="S948" s="3"/>
    </row>
    <row r="949" spans="6:19" ht="15.75" customHeight="1" x14ac:dyDescent="0.25">
      <c r="F949" s="3"/>
      <c r="G949" s="3"/>
      <c r="H949" s="3"/>
      <c r="I949" s="3"/>
      <c r="J949" s="3"/>
      <c r="K949" s="3"/>
      <c r="Q949" s="3"/>
      <c r="R949" s="3"/>
      <c r="S949" s="3"/>
    </row>
    <row r="950" spans="6:19" ht="15.75" customHeight="1" x14ac:dyDescent="0.25">
      <c r="F950" s="3"/>
      <c r="G950" s="3"/>
      <c r="H950" s="3"/>
      <c r="I950" s="3"/>
      <c r="J950" s="3"/>
      <c r="K950" s="3"/>
      <c r="Q950" s="3"/>
      <c r="R950" s="3"/>
      <c r="S950" s="3"/>
    </row>
    <row r="951" spans="6:19" ht="15.75" customHeight="1" x14ac:dyDescent="0.25">
      <c r="F951" s="3"/>
      <c r="G951" s="3"/>
      <c r="H951" s="3"/>
      <c r="I951" s="3"/>
      <c r="J951" s="3"/>
      <c r="K951" s="3"/>
      <c r="Q951" s="3"/>
      <c r="R951" s="3"/>
      <c r="S951" s="3"/>
    </row>
    <row r="952" spans="6:19" ht="15.75" customHeight="1" x14ac:dyDescent="0.25">
      <c r="F952" s="3"/>
      <c r="G952" s="3"/>
      <c r="H952" s="3"/>
      <c r="I952" s="3"/>
      <c r="J952" s="3"/>
      <c r="K952" s="3"/>
      <c r="Q952" s="3"/>
      <c r="R952" s="3"/>
      <c r="S952" s="3"/>
    </row>
    <row r="953" spans="6:19" ht="15.75" customHeight="1" x14ac:dyDescent="0.25">
      <c r="F953" s="3"/>
      <c r="G953" s="3"/>
      <c r="H953" s="3"/>
      <c r="I953" s="3"/>
      <c r="J953" s="3"/>
      <c r="K953" s="3"/>
      <c r="Q953" s="3"/>
      <c r="R953" s="3"/>
      <c r="S953" s="3"/>
    </row>
    <row r="954" spans="6:19" ht="15.75" customHeight="1" x14ac:dyDescent="0.25">
      <c r="F954" s="3"/>
      <c r="G954" s="3"/>
      <c r="H954" s="3"/>
      <c r="I954" s="3"/>
      <c r="J954" s="3"/>
      <c r="K954" s="3"/>
      <c r="Q954" s="3"/>
      <c r="R954" s="3"/>
      <c r="S954" s="3"/>
    </row>
    <row r="955" spans="6:19" ht="15.75" customHeight="1" x14ac:dyDescent="0.25">
      <c r="F955" s="3"/>
      <c r="G955" s="3"/>
      <c r="H955" s="3"/>
      <c r="I955" s="3"/>
      <c r="J955" s="3"/>
      <c r="K955" s="3"/>
      <c r="Q955" s="3"/>
      <c r="R955" s="3"/>
      <c r="S955" s="3"/>
    </row>
    <row r="956" spans="6:19" ht="15.75" customHeight="1" x14ac:dyDescent="0.25">
      <c r="F956" s="3"/>
      <c r="G956" s="3"/>
      <c r="H956" s="3"/>
      <c r="I956" s="3"/>
      <c r="J956" s="3"/>
      <c r="K956" s="3"/>
      <c r="Q956" s="3"/>
      <c r="R956" s="3"/>
      <c r="S956" s="3"/>
    </row>
    <row r="957" spans="6:19" ht="15.75" customHeight="1" x14ac:dyDescent="0.25">
      <c r="F957" s="3"/>
      <c r="G957" s="3"/>
      <c r="H957" s="3"/>
      <c r="I957" s="3"/>
      <c r="J957" s="3"/>
      <c r="K957" s="3"/>
      <c r="Q957" s="3"/>
      <c r="R957" s="3"/>
      <c r="S957" s="3"/>
    </row>
    <row r="958" spans="6:19" ht="15.75" customHeight="1" x14ac:dyDescent="0.25">
      <c r="F958" s="3"/>
      <c r="G958" s="3"/>
      <c r="H958" s="3"/>
      <c r="I958" s="3"/>
      <c r="J958" s="3"/>
      <c r="K958" s="3"/>
      <c r="Q958" s="3"/>
      <c r="R958" s="3"/>
      <c r="S958" s="3"/>
    </row>
    <row r="959" spans="6:19" ht="15.75" customHeight="1" x14ac:dyDescent="0.25">
      <c r="F959" s="3"/>
      <c r="G959" s="3"/>
      <c r="H959" s="3"/>
      <c r="I959" s="3"/>
      <c r="J959" s="3"/>
      <c r="K959" s="3"/>
      <c r="Q959" s="3"/>
      <c r="R959" s="3"/>
      <c r="S959" s="3"/>
    </row>
    <row r="960" spans="6:19" ht="15.75" customHeight="1" x14ac:dyDescent="0.25">
      <c r="F960" s="3"/>
      <c r="G960" s="3"/>
      <c r="H960" s="3"/>
      <c r="I960" s="3"/>
      <c r="J960" s="3"/>
      <c r="K960" s="3"/>
      <c r="Q960" s="3"/>
      <c r="R960" s="3"/>
      <c r="S960" s="3"/>
    </row>
    <row r="961" spans="6:19" ht="15.75" customHeight="1" x14ac:dyDescent="0.25">
      <c r="F961" s="3"/>
      <c r="G961" s="3"/>
      <c r="H961" s="3"/>
      <c r="I961" s="3"/>
      <c r="J961" s="3"/>
      <c r="K961" s="3"/>
      <c r="Q961" s="3"/>
      <c r="R961" s="3"/>
      <c r="S961" s="3"/>
    </row>
    <row r="962" spans="6:19" ht="15.75" customHeight="1" x14ac:dyDescent="0.25">
      <c r="F962" s="3"/>
      <c r="G962" s="3"/>
      <c r="H962" s="3"/>
      <c r="I962" s="3"/>
      <c r="J962" s="3"/>
      <c r="K962" s="3"/>
      <c r="Q962" s="3"/>
      <c r="R962" s="3"/>
      <c r="S962" s="3"/>
    </row>
    <row r="963" spans="6:19" ht="15.75" customHeight="1" x14ac:dyDescent="0.25">
      <c r="F963" s="3"/>
      <c r="G963" s="3"/>
      <c r="H963" s="3"/>
      <c r="I963" s="3"/>
      <c r="J963" s="3"/>
      <c r="K963" s="3"/>
      <c r="Q963" s="3"/>
      <c r="R963" s="3"/>
      <c r="S963" s="3"/>
    </row>
    <row r="964" spans="6:19" ht="15.75" customHeight="1" x14ac:dyDescent="0.25">
      <c r="F964" s="3"/>
      <c r="G964" s="3"/>
      <c r="H964" s="3"/>
      <c r="I964" s="3"/>
      <c r="J964" s="3"/>
      <c r="K964" s="3"/>
      <c r="Q964" s="3"/>
      <c r="R964" s="3"/>
      <c r="S964" s="3"/>
    </row>
    <row r="965" spans="6:19" ht="15.75" customHeight="1" x14ac:dyDescent="0.25">
      <c r="F965" s="3"/>
      <c r="G965" s="3"/>
      <c r="H965" s="3"/>
      <c r="I965" s="3"/>
      <c r="J965" s="3"/>
      <c r="K965" s="3"/>
      <c r="Q965" s="3"/>
      <c r="R965" s="3"/>
      <c r="S965" s="3"/>
    </row>
    <row r="966" spans="6:19" ht="15.75" customHeight="1" x14ac:dyDescent="0.25">
      <c r="F966" s="3"/>
      <c r="G966" s="3"/>
      <c r="H966" s="3"/>
      <c r="I966" s="3"/>
      <c r="J966" s="3"/>
      <c r="K966" s="3"/>
      <c r="Q966" s="3"/>
      <c r="R966" s="3"/>
      <c r="S966" s="3"/>
    </row>
    <row r="967" spans="6:19" ht="15.75" customHeight="1" x14ac:dyDescent="0.25">
      <c r="F967" s="3"/>
      <c r="G967" s="3"/>
      <c r="H967" s="3"/>
      <c r="I967" s="3"/>
      <c r="J967" s="3"/>
      <c r="K967" s="3"/>
      <c r="Q967" s="3"/>
      <c r="R967" s="3"/>
      <c r="S967" s="3"/>
    </row>
    <row r="968" spans="6:19" ht="15.75" customHeight="1" x14ac:dyDescent="0.25">
      <c r="F968" s="3"/>
      <c r="G968" s="3"/>
      <c r="H968" s="3"/>
      <c r="I968" s="3"/>
      <c r="J968" s="3"/>
      <c r="K968" s="3"/>
      <c r="Q968" s="3"/>
      <c r="R968" s="3"/>
      <c r="S968" s="3"/>
    </row>
    <row r="969" spans="6:19" ht="15.75" customHeight="1" x14ac:dyDescent="0.25">
      <c r="F969" s="3"/>
      <c r="G969" s="3"/>
      <c r="H969" s="3"/>
      <c r="I969" s="3"/>
      <c r="J969" s="3"/>
      <c r="K969" s="3"/>
      <c r="Q969" s="3"/>
      <c r="R969" s="3"/>
      <c r="S969" s="3"/>
    </row>
    <row r="970" spans="6:19" ht="15.75" customHeight="1" x14ac:dyDescent="0.25">
      <c r="F970" s="3"/>
      <c r="G970" s="3"/>
      <c r="H970" s="3"/>
      <c r="I970" s="3"/>
      <c r="J970" s="3"/>
      <c r="K970" s="3"/>
      <c r="Q970" s="3"/>
      <c r="R970" s="3"/>
      <c r="S970" s="3"/>
    </row>
    <row r="971" spans="6:19" ht="15.75" customHeight="1" x14ac:dyDescent="0.25">
      <c r="F971" s="3"/>
      <c r="G971" s="3"/>
      <c r="H971" s="3"/>
      <c r="I971" s="3"/>
      <c r="J971" s="3"/>
      <c r="K971" s="3"/>
      <c r="Q971" s="3"/>
      <c r="R971" s="3"/>
      <c r="S971" s="3"/>
    </row>
    <row r="972" spans="6:19" ht="15.75" customHeight="1" x14ac:dyDescent="0.25">
      <c r="F972" s="3"/>
      <c r="G972" s="3"/>
      <c r="H972" s="3"/>
      <c r="I972" s="3"/>
      <c r="J972" s="3"/>
      <c r="K972" s="3"/>
      <c r="Q972" s="3"/>
      <c r="R972" s="3"/>
      <c r="S972" s="3"/>
    </row>
    <row r="973" spans="6:19" ht="15.75" customHeight="1" x14ac:dyDescent="0.25">
      <c r="F973" s="3"/>
      <c r="G973" s="3"/>
      <c r="H973" s="3"/>
      <c r="I973" s="3"/>
      <c r="J973" s="3"/>
      <c r="K973" s="3"/>
      <c r="Q973" s="3"/>
      <c r="R973" s="3"/>
      <c r="S973" s="3"/>
    </row>
    <row r="974" spans="6:19" ht="15.75" customHeight="1" x14ac:dyDescent="0.25">
      <c r="F974" s="3"/>
      <c r="G974" s="3"/>
      <c r="H974" s="3"/>
      <c r="I974" s="3"/>
      <c r="J974" s="3"/>
      <c r="K974" s="3"/>
      <c r="Q974" s="3"/>
      <c r="R974" s="3"/>
      <c r="S974" s="3"/>
    </row>
    <row r="975" spans="6:19" ht="15.75" customHeight="1" x14ac:dyDescent="0.25">
      <c r="F975" s="3"/>
      <c r="G975" s="3"/>
      <c r="H975" s="3"/>
      <c r="I975" s="3"/>
      <c r="J975" s="3"/>
      <c r="K975" s="3"/>
      <c r="Q975" s="3"/>
      <c r="R975" s="3"/>
      <c r="S975" s="3"/>
    </row>
    <row r="976" spans="6:19" ht="15.75" customHeight="1" x14ac:dyDescent="0.25">
      <c r="F976" s="3"/>
      <c r="G976" s="3"/>
      <c r="H976" s="3"/>
      <c r="I976" s="3"/>
      <c r="J976" s="3"/>
      <c r="K976" s="3"/>
      <c r="Q976" s="3"/>
      <c r="R976" s="3"/>
      <c r="S976" s="3"/>
    </row>
    <row r="977" spans="6:19" ht="15.75" customHeight="1" x14ac:dyDescent="0.25">
      <c r="F977" s="3"/>
      <c r="G977" s="3"/>
      <c r="H977" s="3"/>
      <c r="I977" s="3"/>
      <c r="J977" s="3"/>
      <c r="K977" s="3"/>
      <c r="Q977" s="3"/>
      <c r="R977" s="3"/>
      <c r="S977" s="3"/>
    </row>
    <row r="978" spans="6:19" ht="15.75" customHeight="1" x14ac:dyDescent="0.25">
      <c r="F978" s="3"/>
      <c r="G978" s="3"/>
      <c r="H978" s="3"/>
      <c r="I978" s="3"/>
      <c r="J978" s="3"/>
      <c r="K978" s="3"/>
      <c r="Q978" s="3"/>
      <c r="R978" s="3"/>
      <c r="S978" s="3"/>
    </row>
    <row r="979" spans="6:19" ht="15.75" customHeight="1" x14ac:dyDescent="0.25">
      <c r="F979" s="3"/>
      <c r="G979" s="3"/>
      <c r="H979" s="3"/>
      <c r="I979" s="3"/>
      <c r="J979" s="3"/>
      <c r="K979" s="3"/>
      <c r="Q979" s="3"/>
      <c r="R979" s="3"/>
      <c r="S979" s="3"/>
    </row>
    <row r="980" spans="6:19" ht="15.75" customHeight="1" x14ac:dyDescent="0.25">
      <c r="F980" s="3"/>
      <c r="G980" s="3"/>
      <c r="H980" s="3"/>
      <c r="I980" s="3"/>
      <c r="J980" s="3"/>
      <c r="K980" s="3"/>
      <c r="Q980" s="3"/>
      <c r="R980" s="3"/>
      <c r="S980" s="3"/>
    </row>
    <row r="981" spans="6:19" ht="15.75" customHeight="1" x14ac:dyDescent="0.25">
      <c r="F981" s="3"/>
      <c r="G981" s="3"/>
      <c r="H981" s="3"/>
      <c r="I981" s="3"/>
      <c r="J981" s="3"/>
      <c r="K981" s="3"/>
      <c r="Q981" s="3"/>
      <c r="R981" s="3"/>
      <c r="S981" s="3"/>
    </row>
    <row r="982" spans="6:19" ht="15.75" customHeight="1" x14ac:dyDescent="0.25">
      <c r="F982" s="3"/>
      <c r="G982" s="3"/>
      <c r="H982" s="3"/>
      <c r="I982" s="3"/>
      <c r="J982" s="3"/>
      <c r="K982" s="3"/>
      <c r="Q982" s="3"/>
      <c r="R982" s="3"/>
      <c r="S982" s="3"/>
    </row>
    <row r="983" spans="6:19" ht="15.75" customHeight="1" x14ac:dyDescent="0.25">
      <c r="F983" s="3"/>
      <c r="G983" s="3"/>
      <c r="H983" s="3"/>
      <c r="I983" s="3"/>
      <c r="J983" s="3"/>
      <c r="K983" s="3"/>
      <c r="Q983" s="3"/>
      <c r="R983" s="3"/>
      <c r="S983" s="3"/>
    </row>
    <row r="984" spans="6:19" ht="15.75" customHeight="1" x14ac:dyDescent="0.25">
      <c r="F984" s="3"/>
      <c r="G984" s="3"/>
      <c r="H984" s="3"/>
      <c r="I984" s="3"/>
      <c r="J984" s="3"/>
      <c r="K984" s="3"/>
      <c r="Q984" s="3"/>
      <c r="R984" s="3"/>
      <c r="S984" s="3"/>
    </row>
    <row r="985" spans="6:19" ht="15.75" customHeight="1" x14ac:dyDescent="0.25">
      <c r="F985" s="3"/>
      <c r="G985" s="3"/>
      <c r="H985" s="3"/>
      <c r="I985" s="3"/>
      <c r="J985" s="3"/>
      <c r="K985" s="3"/>
      <c r="Q985" s="3"/>
      <c r="R985" s="3"/>
      <c r="S985" s="3"/>
    </row>
    <row r="986" spans="6:19" ht="15.75" customHeight="1" x14ac:dyDescent="0.25">
      <c r="F986" s="3"/>
      <c r="G986" s="3"/>
      <c r="H986" s="3"/>
      <c r="I986" s="3"/>
      <c r="J986" s="3"/>
      <c r="K986" s="3"/>
      <c r="Q986" s="3"/>
      <c r="R986" s="3"/>
      <c r="S986" s="3"/>
    </row>
    <row r="987" spans="6:19" ht="15.75" customHeight="1" x14ac:dyDescent="0.25">
      <c r="F987" s="3"/>
      <c r="G987" s="3"/>
      <c r="H987" s="3"/>
      <c r="I987" s="3"/>
      <c r="J987" s="3"/>
      <c r="K987" s="3"/>
      <c r="Q987" s="3"/>
      <c r="R987" s="3"/>
      <c r="S987" s="3"/>
    </row>
    <row r="988" spans="6:19" ht="15.75" customHeight="1" x14ac:dyDescent="0.25">
      <c r="F988" s="3"/>
      <c r="G988" s="3"/>
      <c r="H988" s="3"/>
      <c r="I988" s="3"/>
      <c r="J988" s="3"/>
      <c r="K988" s="3"/>
      <c r="Q988" s="3"/>
      <c r="R988" s="3"/>
      <c r="S988" s="3"/>
    </row>
    <row r="989" spans="6:19" ht="15.75" customHeight="1" x14ac:dyDescent="0.25">
      <c r="F989" s="3"/>
      <c r="G989" s="3"/>
      <c r="H989" s="3"/>
      <c r="I989" s="3"/>
      <c r="J989" s="3"/>
      <c r="K989" s="3"/>
      <c r="Q989" s="3"/>
      <c r="R989" s="3"/>
      <c r="S989" s="3"/>
    </row>
    <row r="990" spans="6:19" ht="15.75" customHeight="1" x14ac:dyDescent="0.25">
      <c r="F990" s="3"/>
      <c r="G990" s="3"/>
      <c r="H990" s="3"/>
      <c r="I990" s="3"/>
      <c r="J990" s="3"/>
      <c r="K990" s="3"/>
      <c r="Q990" s="3"/>
      <c r="R990" s="3"/>
      <c r="S990" s="3"/>
    </row>
    <row r="991" spans="6:19" ht="15.75" customHeight="1" x14ac:dyDescent="0.25">
      <c r="F991" s="3"/>
      <c r="G991" s="3"/>
      <c r="H991" s="3"/>
      <c r="I991" s="3"/>
      <c r="J991" s="3"/>
      <c r="K991" s="3"/>
      <c r="Q991" s="3"/>
      <c r="R991" s="3"/>
      <c r="S991" s="3"/>
    </row>
    <row r="992" spans="6:19" ht="15.75" customHeight="1" x14ac:dyDescent="0.25">
      <c r="F992" s="3"/>
      <c r="G992" s="3"/>
      <c r="H992" s="3"/>
      <c r="I992" s="3"/>
      <c r="J992" s="3"/>
      <c r="K992" s="3"/>
      <c r="Q992" s="3"/>
      <c r="R992" s="3"/>
      <c r="S992" s="3"/>
    </row>
  </sheetData>
  <mergeCells count="64">
    <mergeCell ref="O212:O221"/>
    <mergeCell ref="O232:O241"/>
    <mergeCell ref="O242:O253"/>
    <mergeCell ref="N184:N185"/>
    <mergeCell ref="O184:O185"/>
    <mergeCell ref="N186:N193"/>
    <mergeCell ref="O186:O193"/>
    <mergeCell ref="N194:N201"/>
    <mergeCell ref="O194:O201"/>
    <mergeCell ref="O202:O211"/>
    <mergeCell ref="N202:N211"/>
    <mergeCell ref="N212:N221"/>
    <mergeCell ref="N222:N231"/>
    <mergeCell ref="N232:N241"/>
    <mergeCell ref="N242:N253"/>
    <mergeCell ref="A1:D1"/>
    <mergeCell ref="N7:N9"/>
    <mergeCell ref="N10:N13"/>
    <mergeCell ref="N14:N15"/>
    <mergeCell ref="N16:N17"/>
    <mergeCell ref="N18:N19"/>
    <mergeCell ref="N20:N25"/>
    <mergeCell ref="N26:N27"/>
    <mergeCell ref="U26:U27"/>
    <mergeCell ref="N41:N46"/>
    <mergeCell ref="U41:U46"/>
    <mergeCell ref="U54:U57"/>
    <mergeCell ref="U78:U79"/>
    <mergeCell ref="U80:U81"/>
    <mergeCell ref="N47:N49"/>
    <mergeCell ref="N105:N112"/>
    <mergeCell ref="O105:O116"/>
    <mergeCell ref="N113:N116"/>
    <mergeCell ref="H117:H118"/>
    <mergeCell ref="I117:I118"/>
    <mergeCell ref="J117:J118"/>
    <mergeCell ref="N117:N119"/>
    <mergeCell ref="O117:O119"/>
    <mergeCell ref="Q117:Q118"/>
    <mergeCell ref="N120:N121"/>
    <mergeCell ref="O120:O121"/>
    <mergeCell ref="N122:N123"/>
    <mergeCell ref="O122:O123"/>
    <mergeCell ref="N127:N130"/>
    <mergeCell ref="O127:O130"/>
    <mergeCell ref="N131:N135"/>
    <mergeCell ref="O131:O135"/>
    <mergeCell ref="N136:N147"/>
    <mergeCell ref="O136:O151"/>
    <mergeCell ref="N148:N151"/>
    <mergeCell ref="N152:N153"/>
    <mergeCell ref="O152:O153"/>
    <mergeCell ref="N155:N158"/>
    <mergeCell ref="O155:O158"/>
    <mergeCell ref="N159:N160"/>
    <mergeCell ref="O159:O160"/>
    <mergeCell ref="N182:N183"/>
    <mergeCell ref="O182:O183"/>
    <mergeCell ref="O161:O166"/>
    <mergeCell ref="N161:N166"/>
    <mergeCell ref="N167:N178"/>
    <mergeCell ref="O167:O178"/>
    <mergeCell ref="N179:N181"/>
    <mergeCell ref="O179:O181"/>
  </mergeCells>
  <hyperlinks>
    <hyperlink ref="G7" r:id="rId1"/>
    <hyperlink ref="J7" r:id="rId2" display="https://drive.google.com/file/d/1a5nSPUppeP-KnVbvr0NOtv6hakikerrx/view?usp=drive_link"/>
    <hyperlink ref="N7" r:id="rId3" display="https://drive.google.com/file/d/1y1IBGED_DYynpA8J9B6uEUrEJvyGaIrr/view?usp=drive_link"/>
    <hyperlink ref="J8" r:id="rId4" display="https://drive.google.com/file/d/1YSJcHlAlvWj-l786achep0OHsE0z7Z7P/view?usp=drive_link"/>
    <hyperlink ref="J9" r:id="rId5" display="https://drive.google.com/file/d/18Dl-hOsUT1AWyM05M3Rb30QPH2fY8Fot/view?usp=drive_link"/>
    <hyperlink ref="J10" r:id="rId6" display="https://drive.google.com/file/d/1moL9zLe8IrQiEV2SExa4DsueuBf1Y2I2/view?usp=drive_link"/>
    <hyperlink ref="N10" r:id="rId7"/>
    <hyperlink ref="J11" r:id="rId8" display="https://drive.google.com/file/d/1mNIlw_fpPvu55amVBkDtr9w9m0Z0aanJ/view?usp=drive_link"/>
    <hyperlink ref="J12" r:id="rId9" display="https://drive.google.com/file/d/1wzDDEcepOY5OvmV_3V3i4NT7oTO487xi/view?usp=drive_link"/>
    <hyperlink ref="J13" r:id="rId10" display="https://drive.google.com/file/d/1H7dVQRI5p6Mz0aQOlAOGirArjv2wPNsZ/view?usp=drive_link"/>
    <hyperlink ref="J14" r:id="rId11" display="https://drive.google.com/file/d/1dUXnZo9cbmNCMm1lmW4xj4TSnZA9FMZp/view?usp=drive_link"/>
    <hyperlink ref="N14" r:id="rId12"/>
    <hyperlink ref="J15" r:id="rId13" display="https://drive.google.com/file/d/107W32MwXBOULqxsNrx1H2VjWt1qju3Iw/view?usp=drive_link"/>
    <hyperlink ref="M15" r:id="rId14"/>
    <hyperlink ref="J16" r:id="rId15" display="https://drive.google.com/file/d/1Xu16Skr0Gz-PR5zGS7WHtW5hi-wgFzOq/view?usp=drive_link"/>
    <hyperlink ref="N16" r:id="rId16"/>
    <hyperlink ref="J17" r:id="rId17" display="https://drive.google.com/file/d/1lEo4RK9GpjbQAsbeueS-fIRnasM7dKW5/view?usp=drive_link"/>
    <hyperlink ref="J18" r:id="rId18" display="https://drive.google.com/file/d/1i-i4r1HvHXop2D9ewcP_4z2DlNqthFSE/view?usp=drive_link"/>
    <hyperlink ref="M18" r:id="rId19"/>
    <hyperlink ref="N18" r:id="rId20" display="https://drive.google.com/file/d/149Alcd3gV2EuHvR5srLhPTZwvNajkOvQ/view?usp=drive_link"/>
    <hyperlink ref="J19" r:id="rId21" display="https://drive.google.com/file/d/13Su7_qWvUtdILpdgBF7mvvZJ8vuHXpWT/view?usp=drive_link"/>
    <hyperlink ref="C20" r:id="rId22"/>
    <hyperlink ref="J20" r:id="rId23" display="https://drive.google.com/file/d/1vGdgCHbVQiA4AbnlJW3suBtMoQwJDUz2/view?usp=drive_link"/>
    <hyperlink ref="N20" r:id="rId24" display="https://drive.google.com/file/d/1EP1PQYTKZ4_zmoWUVc8f97urFIjC-ayG/view?usp=drive_link"/>
    <hyperlink ref="C21" r:id="rId25"/>
    <hyperlink ref="J21" r:id="rId26" display="https://drive.google.com/file/d/1p_2ylC833JWufDGwfaeR83eOnoZlrfXs/view?usp=drive_link"/>
    <hyperlink ref="J22" r:id="rId27" display="https://drive.google.com/file/d/1yjCtjFCoTOhfzLxSLnm53qsAnDXPLHl_/view?usp=drive_link"/>
    <hyperlink ref="J23" r:id="rId28" display="https://drive.google.com/file/d/1g97mmqigeFpybxCYwX4qcLU-idc9AK9J/view?usp=drive_link"/>
    <hyperlink ref="J24" r:id="rId29" display="https://drive.google.com/file/d/1u9vyXQhb1qaY9An9IHE9vX439SfFBPQ5/view?usp=drive_link"/>
    <hyperlink ref="J25" r:id="rId30" display="https://drive.google.com/file/d/1Ra78chHXU_nxll6cK72P2i8RRXOgtUIr/view?usp=drive_link"/>
    <hyperlink ref="J26" r:id="rId31" display="https://drive.google.com/file/d/1YKG9-Pr7mbMqnRKmiACwn4e-SfqflN5Q/view?usp=drive_link"/>
    <hyperlink ref="N26" r:id="rId32"/>
    <hyperlink ref="J27" r:id="rId33" display="https://drive.google.com/file/d/1b3tMtK8wzBtZeri5oH1qv95O4QlHbv7a/view?usp=drive_link"/>
    <hyperlink ref="M31" r:id="rId34"/>
    <hyperlink ref="G40" r:id="rId35"/>
    <hyperlink ref="J40" r:id="rId36" display="https://drive.google.com/file/d/1B6dAJIHsKVFM7BBTzD1T6yPf93iKluAo/view?usp=drive_link"/>
    <hyperlink ref="N40" r:id="rId37"/>
    <hyperlink ref="J41" r:id="rId38" display="https://drive.google.com/file/d/1GU8v8TD8k0HuZ0WyjutzhodI4BjPGu7b/view?usp=drive_link"/>
    <hyperlink ref="J42" r:id="rId39" display="https://drive.google.com/file/d/1wI-jRC7bFcAFaJ2Mz58AvkBybhB8A55S/view?usp=drive_link"/>
    <hyperlink ref="J43" r:id="rId40" display="https://drive.google.com/file/d/1V7fnDMQ7Zc6IEWLe3sL0PaRd3ADlNeFR/view?usp=drive_link"/>
    <hyperlink ref="J44" r:id="rId41" display="https://drive.google.com/file/d/1XeqwjZsquBgMrRya8k1fDKWCf6_CJZW8/view?usp=drive_link"/>
    <hyperlink ref="J45" r:id="rId42" display="https://drive.google.com/file/d/1Gy9xSKGEEv8iLaUx-yYm5owKan8EluW_/view?usp=drive_link"/>
    <hyperlink ref="J46" r:id="rId43" display="https://drive.google.com/file/d/1cBR90aFy94_WCbL4l3Wz4xXcdLOdyZUT/view?usp=drive_link"/>
    <hyperlink ref="J47" r:id="rId44" display="https://drive.google.com/file/d/1o17ZdeU8J8GUDXLek88A4o0j8NM2L2WY/view?usp=drive_link"/>
    <hyperlink ref="N47" r:id="rId45"/>
    <hyperlink ref="J48" r:id="rId46" display="https://drive.google.com/file/d/13-vyMoI-eKmPxDSkfSSHMfTdZRvwkTXf/view?usp=drive_link"/>
    <hyperlink ref="J49" r:id="rId47" display="https://drive.google.com/file/d/1LBu15snuBZ9trZyHODQ7RNE358DjfUcP/view?usp=drive_link"/>
    <hyperlink ref="C62" r:id="rId48"/>
    <hyperlink ref="C73" r:id="rId49"/>
    <hyperlink ref="G98" r:id="rId50"/>
    <hyperlink ref="J105" r:id="rId51" display="https://drive.google.com/file/d/1HDp6nBc0uIPTMML_G6vfjeid3LTnQ4Vq/view?usp=drive_link"/>
    <hyperlink ref="N105" r:id="rId52"/>
    <hyperlink ref="O105" r:id="rId53"/>
    <hyperlink ref="J106" r:id="rId54" display="https://drive.google.com/file/d/175aHrO20t0D8pCF8cJnD0kNYCzoQ4k4t/view?usp=drive_link"/>
    <hyperlink ref="J107" r:id="rId55" display="https://drive.google.com/file/d/1mLm-AgNy3N1ElSH3Bni-Gnd1cMoAFkiQ/view?usp=drive_link"/>
    <hyperlink ref="J108" r:id="rId56" display="https://drive.google.com/file/d/1DTUsY8FbiIhBaU2GfFWmj60XKv-SsEHR/view?usp=drive_link"/>
    <hyperlink ref="J109" r:id="rId57" display="https://drive.google.com/file/d/1UT6SzRm8EDB0SG6SL9Fl9QNZnUgrQe7G/view?usp=drive_link"/>
    <hyperlink ref="J110" r:id="rId58" display="https://drive.google.com/file/d/11NMWgbBCwtB1M_YkN4Dw5w7FOOtzkOoA/view?usp=drive_link"/>
    <hyperlink ref="J111" r:id="rId59" display="https://drive.google.com/file/d/1DkuaOs6d-1fq1nzq5xiYI-H08oJoKvnN/view?usp=drive_link"/>
    <hyperlink ref="J112" r:id="rId60" display="https://drive.google.com/file/d/1PUXGPSJd0KKNU8JBAxge3U3V4-fBxO-0/view?usp=drive_link"/>
    <hyperlink ref="J113" r:id="rId61" display="https://drive.google.com/file/d/1-G_ysQvJmvkKcS7e5pLjQ-Q24rjaZFEY/view?usp=drive_link"/>
    <hyperlink ref="N113" r:id="rId62"/>
    <hyperlink ref="J114" r:id="rId63" display="https://drive.google.com/file/d/1B1ygImAI5ZNQzH1vSQt6lRHWV79iHSJ-/view?usp=drive_link"/>
    <hyperlink ref="J115" r:id="rId64" display="https://drive.google.com/file/d/1hhxDtGEGWpW9vUZMdvfljSU315RJa6tJ/view?usp=drive_link"/>
    <hyperlink ref="J116" r:id="rId65" display="https://drive.google.com/file/d/18Q31g4VLZkR0PtiOq27M677lD8GLIC-m/view?usp=drive_link"/>
    <hyperlink ref="J117" r:id="rId66" display="https://drive.google.com/file/d/105xc6ni5K7FWlc9Ip16hJ5i02-JK2Z8n/view?usp=drive_link"/>
    <hyperlink ref="N117" r:id="rId67"/>
    <hyperlink ref="J119" r:id="rId68" display="https://drive.google.com/file/d/1W-aNd8kxhBrO28I6azWLhWMAi3WOOglp/view?usp=drive_link"/>
    <hyperlink ref="G120" r:id="rId69"/>
    <hyperlink ref="J120" r:id="rId70" display="https://drive.google.com/file/d/1dxXhaX_Kzsvmeb_pEIpGVEBqESZ9VJYP/view?usp=drive_link"/>
    <hyperlink ref="N120" r:id="rId71"/>
    <hyperlink ref="O120" r:id="rId72"/>
    <hyperlink ref="J121" r:id="rId73" display="https://drive.google.com/file/d/1cFcYMwJSbrbgcuqkfx10oClAhw72O90G/view?usp=drive_link"/>
    <hyperlink ref="U121" r:id="rId74"/>
    <hyperlink ref="J122" r:id="rId75" display="https://drive.google.com/file/d/1_nHdEVzTHfSa8kQOVfTNKpRSfFs86ZCN/view?usp=drive_link"/>
    <hyperlink ref="N122" r:id="rId76"/>
    <hyperlink ref="J123" r:id="rId77" display="https://drive.google.com/file/d/1ZvzRYZHgTlKdwcUzUNeBAN69j-jrPi3r/view?usp=drive_link"/>
    <hyperlink ref="J124" r:id="rId78" display="https://drive.google.com/file/d/12TXnjeWaW9Nj6vO7ukG7WJ63E44mNhHZ/view?usp=drive_link"/>
    <hyperlink ref="J125" r:id="rId79" display="https://drive.google.com/file/d/1IlK5kV96DdfE06AZOfg2pTuTdu4Ll1sv/view?usp=drive_link"/>
    <hyperlink ref="N125" r:id="rId80"/>
    <hyperlink ref="G126" r:id="rId81"/>
    <hyperlink ref="J126" r:id="rId82" display="https://drive.google.com/file/d/1NGFH_AJO6_16ZQ3EUHDabGqMIlpfHVhP/view?usp=drive_link"/>
    <hyperlink ref="N126" r:id="rId83"/>
    <hyperlink ref="J127" r:id="rId84" display="https://drive.google.com/file/d/1LAxqVWmkh2eBWWsaCjWyJF5giG1ilsna/view?usp=drive_link"/>
    <hyperlink ref="N127" r:id="rId85"/>
    <hyperlink ref="J128" r:id="rId86" display="https://drive.google.com/file/d/1S_ZsPbZELeDDoTw553w9D9zxqAsRSeEf/view?usp=drive_link"/>
    <hyperlink ref="J129" r:id="rId87" display="https://drive.google.com/file/d/1OoBnIFDi4rPlH5dB2ExiwVeIlvtppwwg/view?usp=drive_link"/>
    <hyperlink ref="J130" r:id="rId88" display="https://drive.google.com/file/d/1xYj3oneY1H0D1lReTcMb61Ty4n3zClVD/view?usp=drive_link"/>
    <hyperlink ref="J131" r:id="rId89" display="https://drive.google.com/file/d/1XTDcfN2iI9xYRnKZTQwc2rfAkaKc78T1/view?usp=drive_link"/>
    <hyperlink ref="N131" r:id="rId90"/>
    <hyperlink ref="J132" r:id="rId91" display="https://drive.google.com/file/d/1gfoXW-n32_cGb4XeugafHcHGXXXwBgEb/view?usp=drive_link"/>
    <hyperlink ref="J133" r:id="rId92" display="https://drive.google.com/file/d/15wRPYjYY_X22zPjl3vhyePRb_NM0IWHG/view?usp=drive_link"/>
    <hyperlink ref="J134" r:id="rId93" display="https://drive.google.com/file/d/1MrjBtps3_gcvzpn-aQ1onY9v8G2J2rSW/view?usp=drive_link"/>
    <hyperlink ref="J135" r:id="rId94" display="https://drive.google.com/file/d/1c9mKP6-YP4TpFiM82RFU3Y5yHnN68ZVL/view?usp=drive_link"/>
    <hyperlink ref="J136" r:id="rId95" display="https://drive.google.com/file/d/1LMWN3B6ZIabghEn2-kPQP6nH01n_PXT5/view?usp=drive_link"/>
    <hyperlink ref="N136" r:id="rId96"/>
    <hyperlink ref="J137" r:id="rId97" display="https://drive.google.com/file/d/1viEM_o4bTQpdO9NA-dN30g3fBNOFZxo_/view?usp=drive_link"/>
    <hyperlink ref="J138" r:id="rId98" display="https://drive.google.com/file/d/1yh2mFFDz8YR31JXKc4BegPlZ5r0ty76C/view?usp=drive_link"/>
    <hyperlink ref="J139" r:id="rId99" display="https://drive.google.com/file/d/1IdQHqDXBwBanrH2VPi9sOwqMrixwlVH4/view?usp=drive_link"/>
    <hyperlink ref="J140" r:id="rId100" display="https://drive.google.com/file/d/1KJgSXQ6Vyxt9iyfEAOSqOibq19sVlcJX/view?usp=drive_link"/>
    <hyperlink ref="J141" r:id="rId101" display="https://drive.google.com/file/d/1hKJBiy5uDO7OfTH6NsnxvNIMgNPdT6nJ/view?usp=drive_link"/>
    <hyperlink ref="J142" r:id="rId102" display="https://drive.google.com/file/d/1FUtBOGxbV3NbPqzHl-fNYPv0iJoHrxE7/view?usp=drive_link"/>
    <hyperlink ref="J143" r:id="rId103" display="https://drive.google.com/file/d/1W2A2u42i1RrScC8yplgFtGfsyqcIbvfB/view?usp=drive_link"/>
    <hyperlink ref="J144" r:id="rId104" display="https://drive.google.com/file/d/19r7JBigFJAYmebxCkV2dwbN5jtgUrfaY/view?usp=drive_link"/>
    <hyperlink ref="J145" r:id="rId105" display="https://drive.google.com/file/d/1_4_wD_RsIyXR6YEpCzCg-fPI9LJ4qVI9/view?usp=drive_link"/>
    <hyperlink ref="J146" r:id="rId106" display="https://drive.google.com/file/d/1E-GBvR7ZO8-uLNMF198mMEDvlyQNhaj7/view?usp=drive_link"/>
    <hyperlink ref="J147" r:id="rId107" display="https://drive.google.com/file/d/1YQaXIOb01_uWvbc4ac-zTA3nVRliDtJX/view?usp=drive_link"/>
    <hyperlink ref="J148" r:id="rId108" display="https://drive.google.com/file/d/1LbsWK063KTKo_J7x-v3Ux_OffXNVSOwB/view?usp=drive_link"/>
    <hyperlink ref="N148" r:id="rId109"/>
    <hyperlink ref="J149" r:id="rId110" display="https://drive.google.com/file/d/1-bpGdEUo6Sk-6dvahOaAOprlkvraz7eO/view?usp=drive_link"/>
    <hyperlink ref="J150" r:id="rId111" display="https://drive.google.com/file/d/1qoNcnZPEPF9FT745KWt1_1jDfJ4HqkgB/view?usp=drive_link"/>
    <hyperlink ref="J151" r:id="rId112" display="https://drive.google.com/file/d/1fjXYg3ltnzZ34DYA_RIolTEvXMhLZn4D/view?usp=drive_link"/>
    <hyperlink ref="J152" r:id="rId113" display="https://drive.google.com/file/d/1m6gU1W7DxNTkKxXVcPGjtzj62or0WfzK/view?usp=drive_link"/>
    <hyperlink ref="N152" r:id="rId114"/>
    <hyperlink ref="J153" r:id="rId115" display="https://drive.google.com/file/d/1H-J3sK0PkgzdozARs_Biw2yaORr99YUj/view?usp=drive_link"/>
    <hyperlink ref="J154" r:id="rId116" display="https://drive.google.com/file/d/1CcqyNcKzsMaWp0ynmRMWYIOXIrSVCji_/view?usp=drive_link"/>
    <hyperlink ref="G155" r:id="rId117"/>
    <hyperlink ref="J155" r:id="rId118" display="https://drive.google.com/file/d/1MsXnBzorpHTMtAUkW_K_1JRyRL7pXJAr/view?usp=drive_link"/>
    <hyperlink ref="N155" r:id="rId119"/>
    <hyperlink ref="J156" r:id="rId120" display="https://drive.google.com/file/d/1rphaY1bwFbwfmbtZ5uZ6OSvJeAnyTUqF/view?usp=drive_link"/>
    <hyperlink ref="J157" r:id="rId121" display="https://drive.google.com/file/d/1MSggg0fzfjk-dDW3UzsdabGL6t-hTu-Z/view?usp=drive_link"/>
    <hyperlink ref="J158" r:id="rId122" display="https://drive.google.com/file/d/12BSCPHEiEoDKKX_bh9RSUy_yWa47reje/view?usp=drive_link"/>
    <hyperlink ref="F159" r:id="rId123"/>
    <hyperlink ref="J159" r:id="rId124" display="https://drive.google.com/file/d/1ycjP0MCioPTUwgECQxleeVLGeRF4ZysE/view?usp=drive_link"/>
    <hyperlink ref="N159" r:id="rId125"/>
    <hyperlink ref="F160" r:id="rId126"/>
    <hyperlink ref="J160" r:id="rId127" display="https://drive.google.com/file/d/17LgCSMZu1EFP0T3Foz7kMehNaDI9Za2l/view?usp=drive_link"/>
    <hyperlink ref="J161" r:id="rId128" display="https://drive.google.com/file/d/18LJsuwL-GTJKlo3Es78rOof7EoKbwBSa/view?usp=drive_link"/>
    <hyperlink ref="N161" r:id="rId129"/>
    <hyperlink ref="J162" r:id="rId130" display="https://drive.google.com/file/d/1gE4Z0gJ93j-hrY0usycWBPfvbIL89T8d/view?usp=drive_link"/>
    <hyperlink ref="J163" r:id="rId131" display="https://drive.google.com/file/d/1XUKG9B2nq-DjiPUqnFsRxGVDJAZdApu6/view?usp=drive_link"/>
    <hyperlink ref="J164" r:id="rId132" display="https://drive.google.com/file/d/1GvbJzrIzUuPkp_bW4MAQi4DSmdKKtsRq/view?usp=drive_link"/>
    <hyperlink ref="J165" r:id="rId133" display="https://drive.google.com/file/d/1h1tt864Vz9AzzqPCkw--fpfZ2WaERPh3/view?usp=drive_link"/>
    <hyperlink ref="J166" r:id="rId134" display="https://drive.google.com/file/d/1hrMwRyxCUvtb7W9MxuuZfi-DnN_G5k5T/view?usp=drive_link"/>
    <hyperlink ref="J167" r:id="rId135" display="https://drive.google.com/file/d/1vMyHfG1ObZRLotEg7qevgff3Zd3OBeY6/view?usp=drive_link"/>
    <hyperlink ref="N167" r:id="rId136"/>
    <hyperlink ref="J168" r:id="rId137" display="https://drive.google.com/file/d/1A7469IT7lKsIwhqwRXQWtBcPxMdceYaK/view?usp=drive_link"/>
    <hyperlink ref="J169" r:id="rId138" display="https://drive.google.com/file/d/1Hd68BNM6MU07EtOIZbj_wphL-7uz86w3/view?usp=drive_link"/>
    <hyperlink ref="J170" r:id="rId139" display="https://drive.google.com/file/d/1cvycGBnmamwai5hDxEQ9o5BI59Hx81-f/view?usp=drive_link"/>
    <hyperlink ref="J171" r:id="rId140" display="https://drive.google.com/file/d/1LnwFITg82MUUmBJuRJh1u1HAqNoyB4bb/view?usp=drive_link"/>
    <hyperlink ref="J172" r:id="rId141" display="https://drive.google.com/file/d/1mHOo2jNZspKDGAeb5LRmRxDXbVy_XYAE/view?usp=drive_link"/>
    <hyperlink ref="J173" r:id="rId142" display="https://drive.google.com/file/d/1NIx-XBF4t8t6g25_ifAqnhshDXNZG51Q/view?usp=drive_link"/>
    <hyperlink ref="J174" r:id="rId143" display="https://drive.google.com/file/d/1d34UDLaWTdf9kquNva44pmYbvCq1cUvw/view?usp=drive_link"/>
    <hyperlink ref="J175" r:id="rId144" display="https://drive.google.com/file/d/1vWRhA1DpcsR32s4dfGK60xm4lWdoVYUj/view?usp=drive_link"/>
    <hyperlink ref="J176" r:id="rId145" display="https://drive.google.com/file/d/1uQOu8gtZhRNsFDxz5VGeSdDrdEQIHqDB/view?usp=drive_link"/>
    <hyperlink ref="J177" r:id="rId146" display="https://drive.google.com/file/d/124pOtxMLNCD1B_BIt6Z4GHU68Ms3B669/view?usp=drive_link"/>
    <hyperlink ref="J178" r:id="rId147" display="https://drive.google.com/file/d/1YTDsQQu8Sd5gyjsn2qYRct2-fJc083md/view?usp=drive_link"/>
    <hyperlink ref="J179" r:id="rId148" display="https://drive.google.com/file/d/1hYEk9Toxg-dXWBMB5-aI0hwBBwqxl-h2/view?usp=drive_link"/>
    <hyperlink ref="N179" r:id="rId149"/>
    <hyperlink ref="J180" r:id="rId150" display="https://drive.google.com/file/d/119MSRX9tX6BxvGS3OH7oJdk6Uz1mVSKF/view?usp=drive_link"/>
    <hyperlink ref="J181" r:id="rId151" display="https://drive.google.com/file/d/1OE125D2cgp3Z3m-0YvHD-ChHl1LfeGsm/view?usp=drive_link"/>
    <hyperlink ref="J182" r:id="rId152" display="https://drive.google.com/file/d/1xdzJoNlsfQgDRakfMfRtTCw7xpN91W-s/view?usp=drive_link"/>
    <hyperlink ref="N182" r:id="rId153"/>
    <hyperlink ref="J183" r:id="rId154" display="https://drive.google.com/file/d/1HCDmsEs4-cB-S_TvHZgGvFC54u4yRCDp/view?usp=drive_link"/>
    <hyperlink ref="J184" r:id="rId155" display="https://drive.google.com/file/d/1P2HH9RO_J-oZBgBPLBvyslP255ISuzPK/view?usp=drive_link"/>
    <hyperlink ref="N184" r:id="rId156"/>
    <hyperlink ref="J185" r:id="rId157" display="https://drive.google.com/file/d/1lR4wLt_dh1tVOgBZoYAYI9fo0Gu5wz18/view?usp=drive_link"/>
    <hyperlink ref="J186" r:id="rId158" display="https://drive.google.com/file/d/1ZCy_YOg46gZvY88oh_LG6fbvGPv4yygB/view?usp=drive_link"/>
    <hyperlink ref="M186" r:id="rId159"/>
    <hyperlink ref="N186" r:id="rId160"/>
    <hyperlink ref="J187" r:id="rId161" display="https://drive.google.com/file/d/1ZCy_YOg46gZvY88oh_LG6fbvGPv4yygB/view?usp=drive_link"/>
    <hyperlink ref="M187" r:id="rId162"/>
    <hyperlink ref="J188" r:id="rId163" display="https://drive.google.com/file/d/15UDlBZfb_NYjTvpGe7m1L5pfR1qHeheh/view?usp=drive_link"/>
    <hyperlink ref="J189" r:id="rId164" display="https://drive.google.com/file/d/1d4ZGmsUSHcPiE5I3s1L4nMLsGYBKnfo7/view?usp=drive_link"/>
    <hyperlink ref="J190" r:id="rId165" display="https://drive.google.com/file/d/1a7Spm-fTZt6dr5Tm8BW0RL_iMSbMlhll/view?usp=drive_link"/>
    <hyperlink ref="J191" r:id="rId166" display="https://drive.google.com/file/d/1ywWkuQ7JPn4PoKwdMWRjTfyc-n-4rGCr/view?usp=drive_link"/>
    <hyperlink ref="J192" r:id="rId167" display="https://drive.google.com/file/d/1NlboZ6PlqkJq6rdCH-RHCzu07INkcld2/view?usp=drive_link"/>
    <hyperlink ref="J193" r:id="rId168" display="https://drive.google.com/file/d/1wa2i1WNf9bxNnRSYsTmcxu3An4tAnPIF/view?usp=drive_link"/>
    <hyperlink ref="J194" r:id="rId169" display="https://drive.google.com/file/d/1vPvpltVfwbWI5V42vhzn3hUh5rmU1GdQ/view?usp=drive_link"/>
    <hyperlink ref="N194" r:id="rId170"/>
    <hyperlink ref="J195" r:id="rId171" display="https://drive.google.com/file/d/17pvUsg58vNUKlc-vGIzTeLi14W53OWMd/view?usp=drive_link"/>
    <hyperlink ref="J196" r:id="rId172" display="https://drive.google.com/file/d/1iGp6qC74YKFWW1Bz7C8OBxabCZjEyD73/view?usp=drive_link"/>
    <hyperlink ref="J197" r:id="rId173" display="https://drive.google.com/file/d/1eC7jh5eb0YEU2nBFMpb-QHH9Yb41w5Ka/view?usp=drive_link"/>
    <hyperlink ref="J198" r:id="rId174" display="https://drive.google.com/file/d/1dNwDmCmWzX8HDStklEk688QTTOk2nqmj/view?usp=drive_link"/>
    <hyperlink ref="J199" r:id="rId175" display="https://drive.google.com/file/d/1xesuYf5fwnH9oBU8iof_O16BJV11qs-A/view?usp=drive_link"/>
    <hyperlink ref="J200" r:id="rId176" display="https://drive.google.com/file/d/1wu_Jmq-JJXRHv27vWst0LL4x7FU-PVWv/view?usp=drive_link"/>
    <hyperlink ref="J201" r:id="rId177" display="https://drive.google.com/file/d/1ptWkamT34AP0YIqys4HkNOsOOMUFfjYw/view?usp=drive_link"/>
    <hyperlink ref="J202" r:id="rId178" display="https://drive.google.com/file/d/1bbBJ82hvSRx6gPNypFzQ3IlVITgYdaZs/view?usp=drive_link"/>
    <hyperlink ref="N202" r:id="rId179"/>
    <hyperlink ref="J203" r:id="rId180" display="https://drive.google.com/file/d/1_2hAO_ZoUPjwlV1Xzwlij7sURPowtVNB/view?usp=drive_link"/>
    <hyperlink ref="J204" r:id="rId181" display="https://drive.google.com/file/d/1aQvNPPI8WoUwzo77qrvKUmJ6DKecGI0k/view?usp=drive_link"/>
    <hyperlink ref="J205" r:id="rId182" display="https://drive.google.com/file/d/1VUZFRGoHeUBILEnfXJs5Dp_5LCvK7-Uf/view?usp=drive_link"/>
    <hyperlink ref="J206" r:id="rId183" display="https://drive.google.com/file/d/1Lq4RZ7y9Jpo0EXD0S375mFArPVjSwrKB/view?usp=drive_link"/>
    <hyperlink ref="J207" r:id="rId184" display="https://drive.google.com/file/d/1PdYx_IbJtfKtHhVVtIXC2NIKfWgbZCqq/view?usp=drive_link"/>
    <hyperlink ref="J208" r:id="rId185" display="https://drive.google.com/file/d/1xu7NEHTLsg6OxLRW4MopHlXQhUy6UxVs/view?usp=drive_link"/>
    <hyperlink ref="J209" r:id="rId186" display="https://drive.google.com/file/d/1qCP3zsapFcMsGxCT996hApI_dLmjR6GU/view?usp=drive_link"/>
    <hyperlink ref="J210" r:id="rId187" display="https://drive.google.com/file/d/1CdTsD_PbSnkTeH-SEP1nAo9cxZlkXOaO/view?usp=drive_link"/>
    <hyperlink ref="J211" r:id="rId188" display="https://drive.google.com/file/d/1Tt8xjjnrfyQttZw1kiqWaoDWtx0ymgsZ/view?usp=drive_link"/>
    <hyperlink ref="J212" r:id="rId189" display="https://drive.google.com/file/d/1hUa4qsDrZ-f5g-YMVmUToYF1zarz_CFH/view?usp=drive_link"/>
    <hyperlink ref="N212" r:id="rId190"/>
    <hyperlink ref="J213" r:id="rId191" display="https://drive.google.com/file/d/1ragvVffxmanu4qy3ft3ZESO-pPc3yC2D/view?usp=drive_link"/>
    <hyperlink ref="J214" r:id="rId192" display="https://drive.google.com/file/d/1JlYL_CpLVFi3qbWEh8B2rbnog8LQrwWh/view?usp=drive_link"/>
    <hyperlink ref="J215" r:id="rId193" display="https://drive.google.com/file/d/1k_EbMtheEbVxh0606w56UoiO0eQnljOH/view?usp=drive_link"/>
    <hyperlink ref="J216" r:id="rId194" display="https://drive.google.com/file/d/1SlSME8jzlNZXBV-uItqfEO568aYhqi-N/view?usp=drive_link"/>
    <hyperlink ref="J217" r:id="rId195" display="https://drive.google.com/file/d/1D0cDvwO8PX5sSzp9U5qLFZJHc2_0Lhzp/view?usp=drive_link"/>
    <hyperlink ref="J218" r:id="rId196" display="https://drive.google.com/file/d/1Z5u4r3WJ1e34dup7TJ3TXNud1BHRdh20/view?usp=drive_link"/>
    <hyperlink ref="J219" r:id="rId197" display="https://drive.google.com/file/d/1LRUv3mBf2otXCFxjiuiOvYKZpih_iYb_/view?usp=drive_link"/>
    <hyperlink ref="J220" r:id="rId198" display="https://drive.google.com/file/d/1VmV2o6bwkEIqsgkVf-xwWvrxYrXHeVS_/view?usp=drive_link"/>
    <hyperlink ref="J221" r:id="rId199" display="https://drive.google.com/file/d/1i4WNybSfMKaiyIelTwQMqr-Fz68uXHSy/view?usp=drive_link"/>
    <hyperlink ref="G222" r:id="rId200"/>
    <hyperlink ref="J222" r:id="rId201" display="https://drive.google.com/file/d/1KgUG7pQfM9yqqEKiXtEcu2VHOilXYcH8/view?usp=drive_link"/>
    <hyperlink ref="N222" r:id="rId202"/>
    <hyperlink ref="J223" r:id="rId203" display="https://drive.google.com/file/d/1X9HoHVBtGN2PrO9K_jRZhsW1cUBKwaPg/view?usp=drive_link"/>
    <hyperlink ref="J224" r:id="rId204" display="https://drive.google.com/file/d/1swd0GvkUkNuo4xhisimg_MMc1-cvQVSx/view?usp=drive_link"/>
    <hyperlink ref="J225" r:id="rId205" display="https://drive.google.com/file/d/1tWmuoTZtRLWYjbS1uO_sTxgECbPoAQ3q/view?usp=drive_link"/>
    <hyperlink ref="J226" r:id="rId206" display="https://drive.google.com/file/d/1f_nElb8nYIHQtu-wYWB_q_sOjweqT4Bt/view?usp=drive_link"/>
    <hyperlink ref="J227" r:id="rId207" display="https://drive.google.com/file/d/1PR4NoN5S_-MgHtnVVO4UU6qMBXZ6y8GG/view?usp=drive_link"/>
    <hyperlink ref="J228" r:id="rId208" display="https://drive.google.com/file/d/1leLRRyss8ry-9BrgmcwxGTLgPstA8_bW/view?usp=drive_link"/>
    <hyperlink ref="J229" r:id="rId209" display="https://drive.google.com/file/d/1dxinztMCgccOxcOfEYhTVhqg1PjnwrRS/view?usp=drive_link"/>
    <hyperlink ref="J230" r:id="rId210" display="https://drive.google.com/file/d/1lhBjC-Ox5PHgpwmPw-9b6d7yB-rah8Bt/view?usp=drive_link"/>
    <hyperlink ref="J231" r:id="rId211" display="https://drive.google.com/file/d/1novNgeWhrcfvR05wqwOlFXJZDT5_kdQ8/view?usp=drive_link"/>
    <hyperlink ref="J232" r:id="rId212" display="https://drive.google.com/file/d/1NTBb73z417vbwT1ua0jsksqJuGXP7GjQ/view?usp=drive_link"/>
    <hyperlink ref="N232" r:id="rId213"/>
    <hyperlink ref="J233" r:id="rId214" display="https://drive.google.com/file/d/1NTBb73z417vbwT1ua0jsksqJuGXP7GjQ/view?usp=drive_link"/>
    <hyperlink ref="J234" r:id="rId215" display="https://drive.google.com/file/d/1pDPfohSCrsfJWMj_QWW-ylaLMWyTdR95/view?usp=drive_link"/>
    <hyperlink ref="J235" r:id="rId216" display="https://drive.google.com/file/d/1WQWEa7tW3ZlHFZSPWedNkedptvQGYwPx/view?usp=drive_link"/>
    <hyperlink ref="J236" r:id="rId217" display="https://drive.google.com/file/d/1LMAsf82i0Hg5wL5Oj-Mf-hMJjHuxh4AJ/view?usp=drive_link"/>
    <hyperlink ref="J237" r:id="rId218" display="https://drive.google.com/file/d/1NzgYcmsjvmnhBqI1lCqikshHBnShugoQ/view?usp=drive_link"/>
    <hyperlink ref="J238" r:id="rId219" display="https://drive.google.com/file/d/16HORTAIeFAw7bW6RwNjWj543fDpB2b9x/view?usp=drive_link"/>
    <hyperlink ref="J239" r:id="rId220" display="https://drive.google.com/file/d/16HORTAIeFAw7bW6RwNjWj543fDpB2b9x/view?usp=drive_link"/>
    <hyperlink ref="J240" r:id="rId221" display="https://drive.google.com/file/d/1DzXz446VfsIHZhUEGlVnqWXKPW-RRo0r/view?usp=drive_link"/>
    <hyperlink ref="J241" r:id="rId222" display="https://drive.google.com/file/d/1WLJSHdi3XRfta9sL4t0karK1eLIcQAe9/view?usp=drive_link"/>
    <hyperlink ref="G242" r:id="rId223"/>
  </hyperlinks>
  <pageMargins left="0.7" right="0.7" top="0.75" bottom="0.75" header="0" footer="0"/>
  <pageSetup paperSize="9" orientation="portrait" r:id="rId224"/>
  <drawing r:id="rId225"/>
  <legacyDrawing r:id="rId2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D1000"/>
  <sheetViews>
    <sheetView workbookViewId="0">
      <pane ySplit="2" topLeftCell="A21" activePane="bottomLeft" state="frozen"/>
      <selection pane="bottomLeft" activeCell="B4" sqref="B4"/>
    </sheetView>
  </sheetViews>
  <sheetFormatPr defaultColWidth="14.42578125" defaultRowHeight="15" customHeight="1" x14ac:dyDescent="0.25"/>
  <cols>
    <col min="1" max="1" width="10.85546875" customWidth="1"/>
    <col min="2" max="2" width="21.5703125" customWidth="1"/>
    <col min="3" max="3" width="11" customWidth="1"/>
    <col min="4" max="5" width="15.5703125" customWidth="1"/>
    <col min="6" max="6" width="17.28515625" customWidth="1"/>
    <col min="7" max="7" width="32.7109375" customWidth="1"/>
    <col min="8" max="8" width="17.5703125" customWidth="1"/>
    <col min="9" max="9" width="14.85546875" customWidth="1"/>
    <col min="10" max="10" width="18.140625" customWidth="1"/>
    <col min="11" max="11" width="7.7109375" customWidth="1"/>
    <col min="12" max="12" width="20.28515625" customWidth="1"/>
    <col min="13" max="13" width="20.5703125" customWidth="1"/>
    <col min="14" max="14" width="8.42578125" customWidth="1"/>
    <col min="15" max="15" width="8.5703125" customWidth="1"/>
    <col min="16" max="16" width="15.85546875" customWidth="1"/>
    <col min="17" max="17" width="18" customWidth="1"/>
    <col min="18" max="18" width="12.7109375" customWidth="1"/>
    <col min="19" max="20" width="11.42578125" customWidth="1"/>
    <col min="21" max="21" width="15" customWidth="1"/>
    <col min="22" max="22" width="17.85546875" customWidth="1"/>
    <col min="23" max="23" width="24.140625" customWidth="1"/>
  </cols>
  <sheetData>
    <row r="1" spans="1:30"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30" x14ac:dyDescent="0.25">
      <c r="A2" s="124" t="s">
        <v>491</v>
      </c>
      <c r="B2" s="124" t="s">
        <v>492</v>
      </c>
      <c r="C2" s="124" t="s">
        <v>493</v>
      </c>
      <c r="D2" s="124" t="s">
        <v>494</v>
      </c>
      <c r="E2" s="124" t="s">
        <v>495</v>
      </c>
      <c r="F2" s="124" t="s">
        <v>496</v>
      </c>
      <c r="G2" s="124" t="s">
        <v>497</v>
      </c>
      <c r="H2" s="124" t="s">
        <v>498</v>
      </c>
      <c r="I2" s="124" t="s">
        <v>499</v>
      </c>
      <c r="J2" s="124" t="s">
        <v>500</v>
      </c>
      <c r="K2" s="124" t="s">
        <v>501</v>
      </c>
      <c r="L2" s="124" t="s">
        <v>502</v>
      </c>
      <c r="M2" s="124" t="s">
        <v>503</v>
      </c>
      <c r="N2" s="124" t="s">
        <v>504</v>
      </c>
      <c r="O2" s="124" t="s">
        <v>505</v>
      </c>
      <c r="P2" s="124" t="s">
        <v>506</v>
      </c>
      <c r="Q2" s="124" t="s">
        <v>507</v>
      </c>
      <c r="R2" s="124" t="s">
        <v>508</v>
      </c>
      <c r="S2" s="124" t="s">
        <v>509</v>
      </c>
      <c r="T2" s="124" t="s">
        <v>510</v>
      </c>
      <c r="U2" s="124" t="s">
        <v>511</v>
      </c>
      <c r="V2" s="124" t="s">
        <v>512</v>
      </c>
      <c r="W2" s="124" t="s">
        <v>513</v>
      </c>
      <c r="X2" s="125"/>
      <c r="Y2" s="125"/>
      <c r="Z2" s="125"/>
      <c r="AA2" s="125"/>
      <c r="AB2" s="125"/>
      <c r="AC2" s="125"/>
      <c r="AD2" s="125"/>
    </row>
    <row r="3" spans="1:30" x14ac:dyDescent="0.25">
      <c r="A3" s="158">
        <v>45482</v>
      </c>
      <c r="B3" s="2" t="s">
        <v>514</v>
      </c>
      <c r="C3" s="143" t="s">
        <v>515</v>
      </c>
      <c r="D3" s="143" t="s">
        <v>516</v>
      </c>
      <c r="E3" s="143" t="s">
        <v>517</v>
      </c>
      <c r="F3" s="143" t="s">
        <v>518</v>
      </c>
      <c r="G3" s="126" t="str">
        <f>'DNA extractions'!B91</f>
        <v>Bull3_Dung_Filtered2_1st_TS</v>
      </c>
      <c r="H3" s="157">
        <v>2.5</v>
      </c>
      <c r="I3" s="157">
        <v>2.5</v>
      </c>
      <c r="J3" s="157">
        <v>2.5</v>
      </c>
      <c r="K3" s="157">
        <v>0.15</v>
      </c>
      <c r="L3" s="157">
        <v>0.15</v>
      </c>
      <c r="M3" s="157">
        <v>0.15</v>
      </c>
      <c r="N3" s="157">
        <v>15.05</v>
      </c>
      <c r="O3" s="157">
        <v>2</v>
      </c>
      <c r="P3" s="3">
        <f t="shared" ref="P3:P44" si="0">25-4-4</f>
        <v>17</v>
      </c>
      <c r="Q3" s="143" t="s">
        <v>519</v>
      </c>
      <c r="R3" s="143" t="s">
        <v>520</v>
      </c>
      <c r="S3" s="143" t="s">
        <v>521</v>
      </c>
      <c r="T3" s="143" t="s">
        <v>522</v>
      </c>
      <c r="U3" s="143" t="s">
        <v>523</v>
      </c>
      <c r="V3" s="128" t="s">
        <v>524</v>
      </c>
      <c r="W3" s="159" t="s">
        <v>108</v>
      </c>
      <c r="X3" s="3"/>
      <c r="Y3" s="3"/>
      <c r="Z3" s="3"/>
      <c r="AA3" s="3"/>
      <c r="AB3" s="3"/>
      <c r="AC3" s="3"/>
      <c r="AD3" s="3"/>
    </row>
    <row r="4" spans="1:30" x14ac:dyDescent="0.25">
      <c r="A4" s="144"/>
      <c r="B4" s="2" t="s">
        <v>525</v>
      </c>
      <c r="C4" s="144"/>
      <c r="D4" s="144"/>
      <c r="E4" s="144"/>
      <c r="F4" s="144"/>
      <c r="G4" s="126" t="str">
        <f>'DNA extractions'!B92</f>
        <v>Bull3_Dung_Filtered2_1st_FF</v>
      </c>
      <c r="H4" s="144"/>
      <c r="I4" s="144"/>
      <c r="J4" s="144"/>
      <c r="K4" s="144"/>
      <c r="L4" s="144"/>
      <c r="M4" s="144"/>
      <c r="N4" s="144"/>
      <c r="O4" s="144"/>
      <c r="P4" s="3">
        <f t="shared" si="0"/>
        <v>17</v>
      </c>
      <c r="Q4" s="144"/>
      <c r="R4" s="144"/>
      <c r="S4" s="144"/>
      <c r="T4" s="144"/>
      <c r="U4" s="144"/>
      <c r="V4" s="2" t="s">
        <v>524</v>
      </c>
      <c r="W4" s="144"/>
      <c r="X4" s="3"/>
      <c r="Y4" s="3"/>
      <c r="Z4" s="3"/>
      <c r="AA4" s="3"/>
      <c r="AB4" s="3"/>
      <c r="AC4" s="3"/>
      <c r="AD4" s="3"/>
    </row>
    <row r="5" spans="1:30" x14ac:dyDescent="0.25">
      <c r="A5" s="144"/>
      <c r="B5" s="2" t="s">
        <v>526</v>
      </c>
      <c r="C5" s="144"/>
      <c r="D5" s="144"/>
      <c r="E5" s="144"/>
      <c r="F5" s="144"/>
      <c r="G5" s="126" t="str">
        <f>'DNA extractions'!B98</f>
        <v>Bull3_Dung_Filtered2_1st_100µm.kp</v>
      </c>
      <c r="H5" s="144"/>
      <c r="I5" s="144"/>
      <c r="J5" s="144"/>
      <c r="K5" s="144"/>
      <c r="L5" s="144"/>
      <c r="M5" s="144"/>
      <c r="N5" s="144"/>
      <c r="O5" s="144"/>
      <c r="P5" s="3">
        <f t="shared" si="0"/>
        <v>17</v>
      </c>
      <c r="Q5" s="144"/>
      <c r="R5" s="144"/>
      <c r="S5" s="144"/>
      <c r="T5" s="144"/>
      <c r="U5" s="144"/>
      <c r="V5" s="2" t="s">
        <v>527</v>
      </c>
      <c r="W5" s="144"/>
      <c r="X5" s="3"/>
      <c r="Y5" s="3"/>
      <c r="Z5" s="3"/>
      <c r="AA5" s="3"/>
      <c r="AB5" s="3"/>
      <c r="AC5" s="3"/>
      <c r="AD5" s="3"/>
    </row>
    <row r="6" spans="1:30" x14ac:dyDescent="0.25">
      <c r="A6" s="144"/>
      <c r="B6" s="2" t="s">
        <v>528</v>
      </c>
      <c r="C6" s="144"/>
      <c r="D6" s="144"/>
      <c r="E6" s="144"/>
      <c r="F6" s="144"/>
      <c r="G6" s="126" t="str">
        <f>'DNA extractions'!B94</f>
        <v>Bull3_Dung_Filtered2_1st_8.0µm</v>
      </c>
      <c r="H6" s="144"/>
      <c r="I6" s="144"/>
      <c r="J6" s="144"/>
      <c r="K6" s="144"/>
      <c r="L6" s="144"/>
      <c r="M6" s="144"/>
      <c r="N6" s="144"/>
      <c r="O6" s="144"/>
      <c r="P6" s="3">
        <f t="shared" si="0"/>
        <v>17</v>
      </c>
      <c r="Q6" s="144"/>
      <c r="R6" s="144"/>
      <c r="S6" s="144"/>
      <c r="T6" s="144"/>
      <c r="U6" s="144"/>
      <c r="V6" s="2" t="s">
        <v>524</v>
      </c>
      <c r="W6" s="144"/>
      <c r="X6" s="3"/>
      <c r="Y6" s="3"/>
      <c r="Z6" s="3"/>
      <c r="AA6" s="3"/>
      <c r="AB6" s="3"/>
      <c r="AC6" s="3"/>
      <c r="AD6" s="3"/>
    </row>
    <row r="7" spans="1:30" x14ac:dyDescent="0.25">
      <c r="A7" s="144"/>
      <c r="B7" s="2" t="s">
        <v>529</v>
      </c>
      <c r="C7" s="144"/>
      <c r="D7" s="144"/>
      <c r="E7" s="144"/>
      <c r="F7" s="144"/>
      <c r="G7" s="126" t="str">
        <f>'DNA extractions'!B99</f>
        <v>Bull3_Dung_Filtered2_1st_1.2µm.kp</v>
      </c>
      <c r="H7" s="144"/>
      <c r="I7" s="144"/>
      <c r="J7" s="144"/>
      <c r="K7" s="144"/>
      <c r="L7" s="144"/>
      <c r="M7" s="144"/>
      <c r="N7" s="144"/>
      <c r="O7" s="144"/>
      <c r="P7" s="3">
        <f t="shared" si="0"/>
        <v>17</v>
      </c>
      <c r="Q7" s="144"/>
      <c r="R7" s="144"/>
      <c r="S7" s="144"/>
      <c r="T7" s="144"/>
      <c r="U7" s="144"/>
      <c r="V7" s="2" t="s">
        <v>527</v>
      </c>
      <c r="W7" s="144"/>
      <c r="X7" s="3"/>
      <c r="Y7" s="3"/>
      <c r="Z7" s="3"/>
      <c r="AA7" s="3"/>
      <c r="AB7" s="3"/>
      <c r="AC7" s="3"/>
      <c r="AD7" s="3"/>
    </row>
    <row r="8" spans="1:30" x14ac:dyDescent="0.25">
      <c r="A8" s="144"/>
      <c r="B8" s="2" t="s">
        <v>530</v>
      </c>
      <c r="C8" s="144"/>
      <c r="D8" s="144"/>
      <c r="E8" s="144"/>
      <c r="F8" s="144"/>
      <c r="G8" s="126" t="str">
        <f>'DNA extractions'!B96</f>
        <v>Bull3_Dung_Filtered2_1st_0.22µm</v>
      </c>
      <c r="H8" s="144"/>
      <c r="I8" s="144"/>
      <c r="J8" s="144"/>
      <c r="K8" s="144"/>
      <c r="L8" s="144"/>
      <c r="M8" s="144"/>
      <c r="N8" s="144"/>
      <c r="O8" s="144"/>
      <c r="P8" s="3">
        <f t="shared" si="0"/>
        <v>17</v>
      </c>
      <c r="Q8" s="144"/>
      <c r="R8" s="144"/>
      <c r="S8" s="144"/>
      <c r="T8" s="144"/>
      <c r="U8" s="144"/>
      <c r="V8" s="2" t="s">
        <v>524</v>
      </c>
      <c r="W8" s="144"/>
      <c r="X8" s="3"/>
      <c r="Y8" s="3"/>
      <c r="Z8" s="3"/>
      <c r="AA8" s="3"/>
      <c r="AB8" s="3"/>
      <c r="AC8" s="3"/>
      <c r="AD8" s="3"/>
    </row>
    <row r="9" spans="1:30" x14ac:dyDescent="0.25">
      <c r="A9" s="144"/>
      <c r="B9" s="2" t="s">
        <v>531</v>
      </c>
      <c r="C9" s="144"/>
      <c r="D9" s="144"/>
      <c r="E9" s="144"/>
      <c r="F9" s="144"/>
      <c r="G9" s="126" t="str">
        <f>'DNA extractions'!B97</f>
        <v>Bull3_Dung_Filtered2_1st_filtrate</v>
      </c>
      <c r="H9" s="144"/>
      <c r="I9" s="144"/>
      <c r="J9" s="144"/>
      <c r="K9" s="144"/>
      <c r="L9" s="144"/>
      <c r="M9" s="144"/>
      <c r="N9" s="144"/>
      <c r="O9" s="144"/>
      <c r="P9" s="3">
        <f t="shared" si="0"/>
        <v>17</v>
      </c>
      <c r="Q9" s="144"/>
      <c r="R9" s="144"/>
      <c r="S9" s="144"/>
      <c r="T9" s="144"/>
      <c r="U9" s="144"/>
      <c r="V9" s="2" t="s">
        <v>524</v>
      </c>
      <c r="W9" s="144"/>
      <c r="X9" s="3"/>
      <c r="Y9" s="3"/>
      <c r="Z9" s="3"/>
      <c r="AA9" s="3"/>
      <c r="AB9" s="3"/>
      <c r="AC9" s="3"/>
      <c r="AD9" s="3"/>
    </row>
    <row r="10" spans="1:30" x14ac:dyDescent="0.25">
      <c r="A10" s="144"/>
      <c r="B10" s="73" t="s">
        <v>532</v>
      </c>
      <c r="C10" s="142"/>
      <c r="D10" s="142"/>
      <c r="E10" s="142"/>
      <c r="F10" s="142"/>
      <c r="G10" s="73" t="s">
        <v>28</v>
      </c>
      <c r="H10" s="142"/>
      <c r="I10" s="142"/>
      <c r="J10" s="142"/>
      <c r="K10" s="142"/>
      <c r="L10" s="142"/>
      <c r="M10" s="142"/>
      <c r="N10" s="129">
        <v>17.05</v>
      </c>
      <c r="O10" s="129" t="s">
        <v>28</v>
      </c>
      <c r="P10" s="75">
        <f t="shared" si="0"/>
        <v>17</v>
      </c>
      <c r="Q10" s="142"/>
      <c r="R10" s="142"/>
      <c r="S10" s="142"/>
      <c r="T10" s="142"/>
      <c r="U10" s="142"/>
      <c r="V10" s="130" t="s">
        <v>524</v>
      </c>
      <c r="W10" s="144"/>
      <c r="X10" s="3"/>
      <c r="Y10" s="3"/>
      <c r="Z10" s="3"/>
      <c r="AA10" s="3"/>
      <c r="AB10" s="3"/>
      <c r="AC10" s="3"/>
      <c r="AD10" s="3"/>
    </row>
    <row r="11" spans="1:30" x14ac:dyDescent="0.25">
      <c r="A11" s="144"/>
      <c r="B11" s="2" t="s">
        <v>533</v>
      </c>
      <c r="C11" s="143" t="s">
        <v>534</v>
      </c>
      <c r="D11" s="143" t="s">
        <v>535</v>
      </c>
      <c r="E11" s="143" t="s">
        <v>536</v>
      </c>
      <c r="F11" s="143">
        <v>366</v>
      </c>
      <c r="G11" s="126" t="s">
        <v>194</v>
      </c>
      <c r="H11" s="157">
        <v>2.5</v>
      </c>
      <c r="I11" s="157">
        <v>2.5</v>
      </c>
      <c r="J11" s="157">
        <v>2.5</v>
      </c>
      <c r="K11" s="157">
        <v>0.15</v>
      </c>
      <c r="L11" s="157">
        <v>0.15</v>
      </c>
      <c r="M11" s="157">
        <v>0.15</v>
      </c>
      <c r="N11" s="157">
        <v>15.05</v>
      </c>
      <c r="O11" s="157">
        <v>2</v>
      </c>
      <c r="P11" s="3">
        <f t="shared" si="0"/>
        <v>17</v>
      </c>
      <c r="Q11" s="143" t="s">
        <v>519</v>
      </c>
      <c r="R11" s="143" t="s">
        <v>520</v>
      </c>
      <c r="S11" s="143" t="s">
        <v>521</v>
      </c>
      <c r="T11" s="143" t="s">
        <v>522</v>
      </c>
      <c r="U11" s="143" t="s">
        <v>523</v>
      </c>
      <c r="V11" s="2" t="s">
        <v>524</v>
      </c>
      <c r="W11" s="144"/>
      <c r="X11" s="3"/>
      <c r="Y11" s="3"/>
      <c r="Z11" s="3"/>
      <c r="AA11" s="3"/>
      <c r="AB11" s="3"/>
      <c r="AC11" s="3"/>
      <c r="AD11" s="3"/>
    </row>
    <row r="12" spans="1:30" x14ac:dyDescent="0.25">
      <c r="A12" s="144"/>
      <c r="B12" s="2" t="s">
        <v>537</v>
      </c>
      <c r="C12" s="144"/>
      <c r="D12" s="144"/>
      <c r="E12" s="144"/>
      <c r="F12" s="144"/>
      <c r="G12" s="126" t="s">
        <v>196</v>
      </c>
      <c r="H12" s="144"/>
      <c r="I12" s="144"/>
      <c r="J12" s="144"/>
      <c r="K12" s="144"/>
      <c r="L12" s="144"/>
      <c r="M12" s="144"/>
      <c r="N12" s="144"/>
      <c r="O12" s="144"/>
      <c r="P12" s="3">
        <f t="shared" si="0"/>
        <v>17</v>
      </c>
      <c r="Q12" s="144"/>
      <c r="R12" s="144"/>
      <c r="S12" s="144"/>
      <c r="T12" s="144"/>
      <c r="U12" s="144"/>
      <c r="V12" s="2" t="s">
        <v>524</v>
      </c>
      <c r="W12" s="144"/>
      <c r="X12" s="3"/>
      <c r="Y12" s="3"/>
      <c r="Z12" s="3"/>
      <c r="AA12" s="3"/>
      <c r="AB12" s="3"/>
      <c r="AC12" s="3"/>
      <c r="AD12" s="3"/>
    </row>
    <row r="13" spans="1:30" x14ac:dyDescent="0.25">
      <c r="A13" s="144"/>
      <c r="B13" s="2" t="s">
        <v>538</v>
      </c>
      <c r="C13" s="144"/>
      <c r="D13" s="144"/>
      <c r="E13" s="144"/>
      <c r="F13" s="144"/>
      <c r="G13" s="126" t="s">
        <v>208</v>
      </c>
      <c r="H13" s="144"/>
      <c r="I13" s="144"/>
      <c r="J13" s="144"/>
      <c r="K13" s="144"/>
      <c r="L13" s="144"/>
      <c r="M13" s="144"/>
      <c r="N13" s="144"/>
      <c r="O13" s="144"/>
      <c r="P13" s="3">
        <f t="shared" si="0"/>
        <v>17</v>
      </c>
      <c r="Q13" s="144"/>
      <c r="R13" s="144"/>
      <c r="S13" s="144"/>
      <c r="T13" s="144"/>
      <c r="U13" s="144"/>
      <c r="V13" s="2" t="s">
        <v>524</v>
      </c>
      <c r="W13" s="144"/>
      <c r="X13" s="3"/>
      <c r="Y13" s="3"/>
      <c r="Z13" s="3"/>
      <c r="AA13" s="3"/>
      <c r="AB13" s="3"/>
      <c r="AC13" s="3"/>
      <c r="AD13" s="3"/>
    </row>
    <row r="14" spans="1:30" x14ac:dyDescent="0.25">
      <c r="A14" s="144"/>
      <c r="B14" s="2" t="s">
        <v>539</v>
      </c>
      <c r="C14" s="144"/>
      <c r="D14" s="144"/>
      <c r="E14" s="144"/>
      <c r="F14" s="144"/>
      <c r="G14" s="126" t="s">
        <v>200</v>
      </c>
      <c r="H14" s="144"/>
      <c r="I14" s="144"/>
      <c r="J14" s="144"/>
      <c r="K14" s="144"/>
      <c r="L14" s="144"/>
      <c r="M14" s="144"/>
      <c r="N14" s="144"/>
      <c r="O14" s="144"/>
      <c r="P14" s="3">
        <f t="shared" si="0"/>
        <v>17</v>
      </c>
      <c r="Q14" s="144"/>
      <c r="R14" s="144"/>
      <c r="S14" s="144"/>
      <c r="T14" s="144"/>
      <c r="U14" s="144"/>
      <c r="V14" s="2" t="s">
        <v>524</v>
      </c>
      <c r="W14" s="144"/>
      <c r="X14" s="3"/>
      <c r="Y14" s="3"/>
      <c r="Z14" s="3"/>
      <c r="AA14" s="3"/>
      <c r="AB14" s="3"/>
      <c r="AC14" s="3"/>
      <c r="AD14" s="3"/>
    </row>
    <row r="15" spans="1:30" x14ac:dyDescent="0.25">
      <c r="A15" s="144"/>
      <c r="B15" s="2" t="s">
        <v>540</v>
      </c>
      <c r="C15" s="144"/>
      <c r="D15" s="144"/>
      <c r="E15" s="144"/>
      <c r="F15" s="144"/>
      <c r="G15" s="126" t="s">
        <v>211</v>
      </c>
      <c r="H15" s="144"/>
      <c r="I15" s="144"/>
      <c r="J15" s="144"/>
      <c r="K15" s="144"/>
      <c r="L15" s="144"/>
      <c r="M15" s="144"/>
      <c r="N15" s="144"/>
      <c r="O15" s="144"/>
      <c r="P15" s="3">
        <f t="shared" si="0"/>
        <v>17</v>
      </c>
      <c r="Q15" s="144"/>
      <c r="R15" s="144"/>
      <c r="S15" s="144"/>
      <c r="T15" s="144"/>
      <c r="U15" s="144"/>
      <c r="V15" s="2" t="s">
        <v>524</v>
      </c>
      <c r="W15" s="144"/>
      <c r="X15" s="3"/>
      <c r="Y15" s="3"/>
      <c r="Z15" s="3"/>
      <c r="AA15" s="3"/>
      <c r="AB15" s="3"/>
      <c r="AC15" s="3"/>
      <c r="AD15" s="3"/>
    </row>
    <row r="16" spans="1:30" x14ac:dyDescent="0.25">
      <c r="A16" s="144"/>
      <c r="B16" s="2" t="s">
        <v>541</v>
      </c>
      <c r="C16" s="144"/>
      <c r="D16" s="144"/>
      <c r="E16" s="144"/>
      <c r="F16" s="144"/>
      <c r="G16" s="126" t="s">
        <v>204</v>
      </c>
      <c r="H16" s="144"/>
      <c r="I16" s="144"/>
      <c r="J16" s="144"/>
      <c r="K16" s="144"/>
      <c r="L16" s="144"/>
      <c r="M16" s="144"/>
      <c r="N16" s="144"/>
      <c r="O16" s="144"/>
      <c r="P16" s="3">
        <f t="shared" si="0"/>
        <v>17</v>
      </c>
      <c r="Q16" s="144"/>
      <c r="R16" s="144"/>
      <c r="S16" s="144"/>
      <c r="T16" s="144"/>
      <c r="U16" s="144"/>
      <c r="V16" s="2" t="s">
        <v>524</v>
      </c>
      <c r="W16" s="144"/>
      <c r="X16" s="3"/>
      <c r="Y16" s="3"/>
      <c r="Z16" s="3"/>
      <c r="AA16" s="3"/>
      <c r="AB16" s="3"/>
      <c r="AC16" s="3"/>
      <c r="AD16" s="3"/>
    </row>
    <row r="17" spans="1:30" x14ac:dyDescent="0.25">
      <c r="A17" s="144"/>
      <c r="B17" s="2" t="s">
        <v>542</v>
      </c>
      <c r="C17" s="144"/>
      <c r="D17" s="144"/>
      <c r="E17" s="144"/>
      <c r="F17" s="144"/>
      <c r="G17" s="126" t="s">
        <v>206</v>
      </c>
      <c r="H17" s="144"/>
      <c r="I17" s="144"/>
      <c r="J17" s="144"/>
      <c r="K17" s="144"/>
      <c r="L17" s="144"/>
      <c r="M17" s="144"/>
      <c r="N17" s="144"/>
      <c r="O17" s="144"/>
      <c r="P17" s="3">
        <f t="shared" si="0"/>
        <v>17</v>
      </c>
      <c r="Q17" s="144"/>
      <c r="R17" s="144"/>
      <c r="S17" s="144"/>
      <c r="T17" s="144"/>
      <c r="U17" s="144"/>
      <c r="V17" s="2" t="s">
        <v>524</v>
      </c>
      <c r="W17" s="144"/>
      <c r="X17" s="3"/>
      <c r="Y17" s="3"/>
      <c r="Z17" s="3"/>
      <c r="AA17" s="3"/>
      <c r="AB17" s="3"/>
      <c r="AC17" s="3"/>
      <c r="AD17" s="3"/>
    </row>
    <row r="18" spans="1:30" x14ac:dyDescent="0.25">
      <c r="A18" s="144"/>
      <c r="B18" s="73" t="s">
        <v>543</v>
      </c>
      <c r="C18" s="142"/>
      <c r="D18" s="142"/>
      <c r="E18" s="142"/>
      <c r="F18" s="142"/>
      <c r="G18" s="73" t="s">
        <v>28</v>
      </c>
      <c r="H18" s="142"/>
      <c r="I18" s="142"/>
      <c r="J18" s="142"/>
      <c r="K18" s="142"/>
      <c r="L18" s="142"/>
      <c r="M18" s="142"/>
      <c r="N18" s="129">
        <v>17.05</v>
      </c>
      <c r="O18" s="129" t="s">
        <v>28</v>
      </c>
      <c r="P18" s="75">
        <f t="shared" si="0"/>
        <v>17</v>
      </c>
      <c r="Q18" s="142"/>
      <c r="R18" s="142"/>
      <c r="S18" s="142"/>
      <c r="T18" s="142"/>
      <c r="U18" s="142"/>
      <c r="V18" s="130" t="s">
        <v>524</v>
      </c>
      <c r="W18" s="144"/>
      <c r="X18" s="3"/>
      <c r="Y18" s="3"/>
      <c r="Z18" s="3"/>
      <c r="AA18" s="3"/>
      <c r="AB18" s="3"/>
      <c r="AC18" s="3"/>
      <c r="AD18" s="3"/>
    </row>
    <row r="19" spans="1:30" x14ac:dyDescent="0.25">
      <c r="A19" s="144"/>
      <c r="B19" s="2" t="s">
        <v>544</v>
      </c>
      <c r="C19" s="143" t="s">
        <v>545</v>
      </c>
      <c r="D19" s="143" t="s">
        <v>546</v>
      </c>
      <c r="E19" s="143" t="s">
        <v>547</v>
      </c>
      <c r="F19" s="143" t="s">
        <v>548</v>
      </c>
      <c r="G19" s="126" t="s">
        <v>194</v>
      </c>
      <c r="H19" s="157">
        <v>2.5</v>
      </c>
      <c r="I19" s="157">
        <v>2.5</v>
      </c>
      <c r="J19" s="157">
        <v>2.5</v>
      </c>
      <c r="K19" s="157">
        <v>0.15</v>
      </c>
      <c r="L19" s="157">
        <v>0.15</v>
      </c>
      <c r="M19" s="157">
        <v>0.15</v>
      </c>
      <c r="N19" s="157">
        <v>15.05</v>
      </c>
      <c r="O19" s="157">
        <v>2</v>
      </c>
      <c r="P19" s="3">
        <f t="shared" si="0"/>
        <v>17</v>
      </c>
      <c r="Q19" s="143" t="s">
        <v>519</v>
      </c>
      <c r="R19" s="143" t="s">
        <v>520</v>
      </c>
      <c r="S19" s="143" t="s">
        <v>521</v>
      </c>
      <c r="T19" s="143" t="s">
        <v>522</v>
      </c>
      <c r="U19" s="143" t="s">
        <v>523</v>
      </c>
      <c r="V19" s="2" t="s">
        <v>524</v>
      </c>
      <c r="W19" s="144"/>
      <c r="X19" s="3"/>
      <c r="Y19" s="3"/>
      <c r="Z19" s="3"/>
      <c r="AA19" s="3"/>
      <c r="AB19" s="3"/>
      <c r="AC19" s="3"/>
      <c r="AD19" s="3"/>
    </row>
    <row r="20" spans="1:30" x14ac:dyDescent="0.25">
      <c r="A20" s="144"/>
      <c r="B20" s="2" t="s">
        <v>549</v>
      </c>
      <c r="C20" s="144"/>
      <c r="D20" s="144"/>
      <c r="E20" s="144"/>
      <c r="F20" s="144"/>
      <c r="G20" s="126" t="s">
        <v>196</v>
      </c>
      <c r="H20" s="144"/>
      <c r="I20" s="144"/>
      <c r="J20" s="144"/>
      <c r="K20" s="144"/>
      <c r="L20" s="144"/>
      <c r="M20" s="144"/>
      <c r="N20" s="144"/>
      <c r="O20" s="144"/>
      <c r="P20" s="3">
        <f t="shared" si="0"/>
        <v>17</v>
      </c>
      <c r="Q20" s="144"/>
      <c r="R20" s="144"/>
      <c r="S20" s="144"/>
      <c r="T20" s="144"/>
      <c r="U20" s="144"/>
      <c r="V20" s="2" t="s">
        <v>524</v>
      </c>
      <c r="W20" s="144"/>
      <c r="X20" s="3"/>
      <c r="Y20" s="3"/>
      <c r="Z20" s="3"/>
      <c r="AA20" s="3"/>
      <c r="AB20" s="3"/>
      <c r="AC20" s="3"/>
      <c r="AD20" s="3"/>
    </row>
    <row r="21" spans="1:30" x14ac:dyDescent="0.25">
      <c r="A21" s="144"/>
      <c r="B21" s="2" t="s">
        <v>550</v>
      </c>
      <c r="C21" s="144"/>
      <c r="D21" s="144"/>
      <c r="E21" s="144"/>
      <c r="F21" s="144"/>
      <c r="G21" s="126" t="s">
        <v>208</v>
      </c>
      <c r="H21" s="144"/>
      <c r="I21" s="144"/>
      <c r="J21" s="144"/>
      <c r="K21" s="144"/>
      <c r="L21" s="144"/>
      <c r="M21" s="144"/>
      <c r="N21" s="144"/>
      <c r="O21" s="144"/>
      <c r="P21" s="3">
        <f t="shared" si="0"/>
        <v>17</v>
      </c>
      <c r="Q21" s="144"/>
      <c r="R21" s="144"/>
      <c r="S21" s="144"/>
      <c r="T21" s="144"/>
      <c r="U21" s="144"/>
      <c r="V21" s="2" t="s">
        <v>527</v>
      </c>
      <c r="W21" s="144"/>
      <c r="X21" s="3"/>
      <c r="Y21" s="3"/>
      <c r="Z21" s="3"/>
      <c r="AA21" s="3"/>
      <c r="AB21" s="3"/>
      <c r="AC21" s="3"/>
      <c r="AD21" s="3"/>
    </row>
    <row r="22" spans="1:30" x14ac:dyDescent="0.25">
      <c r="A22" s="144"/>
      <c r="B22" s="2" t="s">
        <v>551</v>
      </c>
      <c r="C22" s="144"/>
      <c r="D22" s="144"/>
      <c r="E22" s="144"/>
      <c r="F22" s="144"/>
      <c r="G22" s="126" t="s">
        <v>200</v>
      </c>
      <c r="H22" s="144"/>
      <c r="I22" s="144"/>
      <c r="J22" s="144"/>
      <c r="K22" s="144"/>
      <c r="L22" s="144"/>
      <c r="M22" s="144"/>
      <c r="N22" s="144"/>
      <c r="O22" s="144"/>
      <c r="P22" s="3">
        <f t="shared" si="0"/>
        <v>17</v>
      </c>
      <c r="Q22" s="144"/>
      <c r="R22" s="144"/>
      <c r="S22" s="144"/>
      <c r="T22" s="144"/>
      <c r="U22" s="144"/>
      <c r="V22" s="2" t="s">
        <v>524</v>
      </c>
      <c r="W22" s="144"/>
      <c r="X22" s="3"/>
      <c r="Y22" s="3"/>
      <c r="Z22" s="3"/>
      <c r="AA22" s="3"/>
      <c r="AB22" s="3"/>
      <c r="AC22" s="3"/>
      <c r="AD22" s="3"/>
    </row>
    <row r="23" spans="1:30" x14ac:dyDescent="0.25">
      <c r="A23" s="144"/>
      <c r="B23" s="2" t="s">
        <v>552</v>
      </c>
      <c r="C23" s="144"/>
      <c r="D23" s="144"/>
      <c r="E23" s="144"/>
      <c r="F23" s="144"/>
      <c r="G23" s="126" t="s">
        <v>211</v>
      </c>
      <c r="H23" s="144"/>
      <c r="I23" s="144"/>
      <c r="J23" s="144"/>
      <c r="K23" s="144"/>
      <c r="L23" s="144"/>
      <c r="M23" s="144"/>
      <c r="N23" s="144"/>
      <c r="O23" s="144"/>
      <c r="P23" s="3">
        <f t="shared" si="0"/>
        <v>17</v>
      </c>
      <c r="Q23" s="144"/>
      <c r="R23" s="144"/>
      <c r="S23" s="144"/>
      <c r="T23" s="144"/>
      <c r="U23" s="144"/>
      <c r="V23" s="2" t="s">
        <v>527</v>
      </c>
      <c r="W23" s="144"/>
      <c r="X23" s="3"/>
      <c r="Y23" s="3"/>
      <c r="Z23" s="3"/>
      <c r="AA23" s="3"/>
      <c r="AB23" s="3"/>
      <c r="AC23" s="3"/>
      <c r="AD23" s="3"/>
    </row>
    <row r="24" spans="1:30" x14ac:dyDescent="0.25">
      <c r="A24" s="144"/>
      <c r="B24" s="2" t="s">
        <v>553</v>
      </c>
      <c r="C24" s="144"/>
      <c r="D24" s="144"/>
      <c r="E24" s="144"/>
      <c r="F24" s="144"/>
      <c r="G24" s="126" t="s">
        <v>204</v>
      </c>
      <c r="H24" s="144"/>
      <c r="I24" s="144"/>
      <c r="J24" s="144"/>
      <c r="K24" s="144"/>
      <c r="L24" s="144"/>
      <c r="M24" s="144"/>
      <c r="N24" s="144"/>
      <c r="O24" s="144"/>
      <c r="P24" s="3">
        <f t="shared" si="0"/>
        <v>17</v>
      </c>
      <c r="Q24" s="144"/>
      <c r="R24" s="144"/>
      <c r="S24" s="144"/>
      <c r="T24" s="144"/>
      <c r="U24" s="144"/>
      <c r="V24" s="2" t="s">
        <v>524</v>
      </c>
      <c r="W24" s="144"/>
      <c r="X24" s="3"/>
      <c r="Y24" s="3"/>
      <c r="Z24" s="3"/>
      <c r="AA24" s="3"/>
      <c r="AB24" s="3"/>
      <c r="AC24" s="3"/>
      <c r="AD24" s="3"/>
    </row>
    <row r="25" spans="1:30" x14ac:dyDescent="0.25">
      <c r="A25" s="144"/>
      <c r="B25" s="2" t="s">
        <v>554</v>
      </c>
      <c r="C25" s="144"/>
      <c r="D25" s="144"/>
      <c r="E25" s="144"/>
      <c r="F25" s="144"/>
      <c r="G25" s="126" t="s">
        <v>206</v>
      </c>
      <c r="H25" s="144"/>
      <c r="I25" s="144"/>
      <c r="J25" s="144"/>
      <c r="K25" s="144"/>
      <c r="L25" s="144"/>
      <c r="M25" s="144"/>
      <c r="N25" s="144"/>
      <c r="O25" s="144"/>
      <c r="P25" s="3">
        <f t="shared" si="0"/>
        <v>17</v>
      </c>
      <c r="Q25" s="144"/>
      <c r="R25" s="144"/>
      <c r="S25" s="144"/>
      <c r="T25" s="144"/>
      <c r="U25" s="144"/>
      <c r="V25" s="2" t="s">
        <v>527</v>
      </c>
      <c r="W25" s="144"/>
      <c r="X25" s="3"/>
      <c r="Y25" s="3"/>
      <c r="Z25" s="3"/>
      <c r="AA25" s="3"/>
      <c r="AB25" s="3"/>
      <c r="AC25" s="3"/>
      <c r="AD25" s="3"/>
    </row>
    <row r="26" spans="1:30" x14ac:dyDescent="0.25">
      <c r="A26" s="144"/>
      <c r="B26" s="73" t="s">
        <v>555</v>
      </c>
      <c r="C26" s="142"/>
      <c r="D26" s="142"/>
      <c r="E26" s="142"/>
      <c r="F26" s="142"/>
      <c r="G26" s="73" t="s">
        <v>28</v>
      </c>
      <c r="H26" s="142"/>
      <c r="I26" s="142"/>
      <c r="J26" s="142"/>
      <c r="K26" s="142"/>
      <c r="L26" s="142"/>
      <c r="M26" s="142"/>
      <c r="N26" s="129">
        <v>17.05</v>
      </c>
      <c r="O26" s="129" t="s">
        <v>28</v>
      </c>
      <c r="P26" s="75">
        <f t="shared" si="0"/>
        <v>17</v>
      </c>
      <c r="Q26" s="142"/>
      <c r="R26" s="142"/>
      <c r="S26" s="142"/>
      <c r="T26" s="142"/>
      <c r="U26" s="142"/>
      <c r="V26" s="131" t="s">
        <v>527</v>
      </c>
      <c r="W26" s="142"/>
      <c r="X26" s="3"/>
      <c r="Y26" s="3"/>
      <c r="Z26" s="3"/>
      <c r="AA26" s="3"/>
      <c r="AB26" s="3"/>
      <c r="AC26" s="3"/>
      <c r="AD26" s="3"/>
    </row>
    <row r="27" spans="1:30" x14ac:dyDescent="0.25">
      <c r="A27" s="144"/>
      <c r="B27" s="2" t="s">
        <v>556</v>
      </c>
      <c r="C27" s="143" t="s">
        <v>557</v>
      </c>
      <c r="D27" s="143" t="s">
        <v>558</v>
      </c>
      <c r="E27" s="143" t="s">
        <v>559</v>
      </c>
      <c r="F27" s="143" t="s">
        <v>560</v>
      </c>
      <c r="G27" s="126" t="s">
        <v>194</v>
      </c>
      <c r="H27" s="157">
        <v>2.5</v>
      </c>
      <c r="I27" s="157">
        <v>2.5</v>
      </c>
      <c r="J27" s="157">
        <v>2.5</v>
      </c>
      <c r="K27" s="157">
        <v>0.15</v>
      </c>
      <c r="L27" s="157">
        <v>0.15</v>
      </c>
      <c r="M27" s="157">
        <v>0.15</v>
      </c>
      <c r="N27" s="157">
        <v>15.05</v>
      </c>
      <c r="O27" s="157">
        <v>2</v>
      </c>
      <c r="P27" s="3">
        <f t="shared" si="0"/>
        <v>17</v>
      </c>
      <c r="Q27" s="143" t="s">
        <v>519</v>
      </c>
      <c r="R27" s="143" t="s">
        <v>520</v>
      </c>
      <c r="S27" s="143" t="s">
        <v>521</v>
      </c>
      <c r="T27" s="143" t="s">
        <v>522</v>
      </c>
      <c r="U27" s="143" t="s">
        <v>523</v>
      </c>
      <c r="V27" s="2" t="s">
        <v>524</v>
      </c>
      <c r="W27" s="159" t="s">
        <v>108</v>
      </c>
      <c r="X27" s="3"/>
      <c r="Y27" s="3"/>
      <c r="Z27" s="3"/>
      <c r="AA27" s="3"/>
      <c r="AB27" s="3"/>
      <c r="AC27" s="3"/>
      <c r="AD27" s="3"/>
    </row>
    <row r="28" spans="1:30" x14ac:dyDescent="0.25">
      <c r="A28" s="144"/>
      <c r="B28" s="2" t="s">
        <v>561</v>
      </c>
      <c r="C28" s="144"/>
      <c r="D28" s="144"/>
      <c r="E28" s="144"/>
      <c r="F28" s="144"/>
      <c r="G28" s="126" t="s">
        <v>196</v>
      </c>
      <c r="H28" s="144"/>
      <c r="I28" s="144"/>
      <c r="J28" s="144"/>
      <c r="K28" s="144"/>
      <c r="L28" s="144"/>
      <c r="M28" s="144"/>
      <c r="N28" s="144"/>
      <c r="O28" s="144"/>
      <c r="P28" s="3">
        <f t="shared" si="0"/>
        <v>17</v>
      </c>
      <c r="Q28" s="144"/>
      <c r="R28" s="144"/>
      <c r="S28" s="144"/>
      <c r="T28" s="144"/>
      <c r="U28" s="144"/>
      <c r="V28" s="2" t="s">
        <v>524</v>
      </c>
      <c r="W28" s="144"/>
      <c r="X28" s="3"/>
      <c r="Y28" s="3"/>
      <c r="Z28" s="3"/>
      <c r="AA28" s="3"/>
      <c r="AB28" s="3"/>
      <c r="AC28" s="3"/>
      <c r="AD28" s="3"/>
    </row>
    <row r="29" spans="1:30" x14ac:dyDescent="0.25">
      <c r="A29" s="144"/>
      <c r="B29" s="2" t="s">
        <v>562</v>
      </c>
      <c r="C29" s="144"/>
      <c r="D29" s="144"/>
      <c r="E29" s="144"/>
      <c r="F29" s="144"/>
      <c r="G29" s="126" t="s">
        <v>208</v>
      </c>
      <c r="H29" s="144"/>
      <c r="I29" s="144"/>
      <c r="J29" s="144"/>
      <c r="K29" s="144"/>
      <c r="L29" s="144"/>
      <c r="M29" s="144"/>
      <c r="N29" s="144"/>
      <c r="O29" s="144"/>
      <c r="P29" s="3">
        <f t="shared" si="0"/>
        <v>17</v>
      </c>
      <c r="Q29" s="144"/>
      <c r="R29" s="144"/>
      <c r="S29" s="144"/>
      <c r="T29" s="144"/>
      <c r="U29" s="144"/>
      <c r="V29" s="2" t="s">
        <v>524</v>
      </c>
      <c r="W29" s="144"/>
      <c r="X29" s="3"/>
      <c r="Y29" s="3"/>
      <c r="Z29" s="3"/>
      <c r="AA29" s="3"/>
      <c r="AB29" s="3"/>
      <c r="AC29" s="3"/>
      <c r="AD29" s="3"/>
    </row>
    <row r="30" spans="1:30" x14ac:dyDescent="0.25">
      <c r="A30" s="144"/>
      <c r="B30" s="2" t="s">
        <v>563</v>
      </c>
      <c r="C30" s="144"/>
      <c r="D30" s="144"/>
      <c r="E30" s="144"/>
      <c r="F30" s="144"/>
      <c r="G30" s="126" t="s">
        <v>200</v>
      </c>
      <c r="H30" s="144"/>
      <c r="I30" s="144"/>
      <c r="J30" s="144"/>
      <c r="K30" s="144"/>
      <c r="L30" s="144"/>
      <c r="M30" s="144"/>
      <c r="N30" s="144"/>
      <c r="O30" s="144"/>
      <c r="P30" s="3">
        <f t="shared" si="0"/>
        <v>17</v>
      </c>
      <c r="Q30" s="144"/>
      <c r="R30" s="144"/>
      <c r="S30" s="144"/>
      <c r="T30" s="144"/>
      <c r="U30" s="144"/>
      <c r="V30" s="2" t="s">
        <v>524</v>
      </c>
      <c r="W30" s="144"/>
      <c r="X30" s="3"/>
      <c r="Y30" s="3"/>
      <c r="Z30" s="3"/>
      <c r="AA30" s="3"/>
      <c r="AB30" s="3"/>
      <c r="AC30" s="3"/>
      <c r="AD30" s="3"/>
    </row>
    <row r="31" spans="1:30" x14ac:dyDescent="0.25">
      <c r="A31" s="144"/>
      <c r="B31" s="2" t="s">
        <v>564</v>
      </c>
      <c r="C31" s="144"/>
      <c r="D31" s="144"/>
      <c r="E31" s="144"/>
      <c r="F31" s="144"/>
      <c r="G31" s="126" t="s">
        <v>211</v>
      </c>
      <c r="H31" s="144"/>
      <c r="I31" s="144"/>
      <c r="J31" s="144"/>
      <c r="K31" s="144"/>
      <c r="L31" s="144"/>
      <c r="M31" s="144"/>
      <c r="N31" s="144"/>
      <c r="O31" s="144"/>
      <c r="P31" s="3">
        <f t="shared" si="0"/>
        <v>17</v>
      </c>
      <c r="Q31" s="144"/>
      <c r="R31" s="144"/>
      <c r="S31" s="144"/>
      <c r="T31" s="144"/>
      <c r="U31" s="144"/>
      <c r="V31" s="2" t="s">
        <v>524</v>
      </c>
      <c r="W31" s="144"/>
      <c r="X31" s="3"/>
      <c r="Y31" s="3"/>
      <c r="Z31" s="3"/>
      <c r="AA31" s="3"/>
      <c r="AB31" s="3"/>
      <c r="AC31" s="3"/>
      <c r="AD31" s="3"/>
    </row>
    <row r="32" spans="1:30" x14ac:dyDescent="0.25">
      <c r="A32" s="144"/>
      <c r="B32" s="2" t="s">
        <v>565</v>
      </c>
      <c r="C32" s="144"/>
      <c r="D32" s="144"/>
      <c r="E32" s="144"/>
      <c r="F32" s="144"/>
      <c r="G32" s="126" t="s">
        <v>204</v>
      </c>
      <c r="H32" s="144"/>
      <c r="I32" s="144"/>
      <c r="J32" s="144"/>
      <c r="K32" s="144"/>
      <c r="L32" s="144"/>
      <c r="M32" s="144"/>
      <c r="N32" s="144"/>
      <c r="O32" s="144"/>
      <c r="P32" s="3">
        <f t="shared" si="0"/>
        <v>17</v>
      </c>
      <c r="Q32" s="144"/>
      <c r="R32" s="144"/>
      <c r="S32" s="144"/>
      <c r="T32" s="144"/>
      <c r="U32" s="144"/>
      <c r="V32" s="2" t="s">
        <v>524</v>
      </c>
      <c r="W32" s="144"/>
      <c r="X32" s="3"/>
      <c r="Y32" s="3"/>
      <c r="Z32" s="3"/>
      <c r="AA32" s="3"/>
      <c r="AB32" s="3"/>
      <c r="AC32" s="3"/>
      <c r="AD32" s="3"/>
    </row>
    <row r="33" spans="1:30" x14ac:dyDescent="0.25">
      <c r="A33" s="144"/>
      <c r="B33" s="2" t="s">
        <v>566</v>
      </c>
      <c r="C33" s="144"/>
      <c r="D33" s="144"/>
      <c r="E33" s="144"/>
      <c r="F33" s="144"/>
      <c r="G33" s="126" t="s">
        <v>206</v>
      </c>
      <c r="H33" s="144"/>
      <c r="I33" s="144"/>
      <c r="J33" s="144"/>
      <c r="K33" s="144"/>
      <c r="L33" s="144"/>
      <c r="M33" s="144"/>
      <c r="N33" s="144"/>
      <c r="O33" s="144"/>
      <c r="P33" s="3">
        <f t="shared" si="0"/>
        <v>17</v>
      </c>
      <c r="Q33" s="144"/>
      <c r="R33" s="144"/>
      <c r="S33" s="144"/>
      <c r="T33" s="144"/>
      <c r="U33" s="144"/>
      <c r="V33" s="2" t="s">
        <v>524</v>
      </c>
      <c r="W33" s="144"/>
      <c r="X33" s="3"/>
      <c r="Y33" s="3"/>
      <c r="Z33" s="3"/>
      <c r="AA33" s="3"/>
      <c r="AB33" s="3"/>
      <c r="AC33" s="3"/>
      <c r="AD33" s="3"/>
    </row>
    <row r="34" spans="1:30" x14ac:dyDescent="0.25">
      <c r="A34" s="144"/>
      <c r="B34" s="2" t="s">
        <v>567</v>
      </c>
      <c r="C34" s="144"/>
      <c r="D34" s="144"/>
      <c r="E34" s="144"/>
      <c r="F34" s="144"/>
      <c r="G34" s="2" t="s">
        <v>28</v>
      </c>
      <c r="H34" s="144"/>
      <c r="I34" s="144"/>
      <c r="J34" s="144"/>
      <c r="K34" s="144"/>
      <c r="L34" s="144"/>
      <c r="M34" s="144"/>
      <c r="N34" s="127">
        <v>17.05</v>
      </c>
      <c r="O34" s="127" t="s">
        <v>28</v>
      </c>
      <c r="P34" s="3">
        <f t="shared" si="0"/>
        <v>17</v>
      </c>
      <c r="Q34" s="144"/>
      <c r="R34" s="144"/>
      <c r="S34" s="144"/>
      <c r="T34" s="144"/>
      <c r="U34" s="144"/>
      <c r="V34" s="86" t="s">
        <v>524</v>
      </c>
      <c r="W34" s="144"/>
      <c r="X34" s="3"/>
      <c r="Y34" s="3"/>
      <c r="Z34" s="3"/>
      <c r="AA34" s="3"/>
      <c r="AB34" s="3"/>
      <c r="AC34" s="3"/>
      <c r="AD34" s="3"/>
    </row>
    <row r="35" spans="1:30" x14ac:dyDescent="0.25">
      <c r="A35" s="144"/>
      <c r="B35" s="73" t="s">
        <v>568</v>
      </c>
      <c r="C35" s="142"/>
      <c r="D35" s="142"/>
      <c r="E35" s="142"/>
      <c r="F35" s="142"/>
      <c r="G35" s="132" t="s">
        <v>569</v>
      </c>
      <c r="H35" s="142"/>
      <c r="I35" s="142"/>
      <c r="J35" s="142"/>
      <c r="K35" s="142"/>
      <c r="L35" s="142"/>
      <c r="M35" s="142"/>
      <c r="N35" s="129">
        <v>15.05</v>
      </c>
      <c r="O35" s="129">
        <v>2</v>
      </c>
      <c r="P35" s="75">
        <f t="shared" si="0"/>
        <v>17</v>
      </c>
      <c r="Q35" s="142"/>
      <c r="R35" s="142"/>
      <c r="S35" s="142"/>
      <c r="T35" s="142"/>
      <c r="U35" s="142"/>
      <c r="V35" s="73" t="s">
        <v>524</v>
      </c>
      <c r="W35" s="144"/>
      <c r="X35" s="3"/>
      <c r="Y35" s="3"/>
      <c r="Z35" s="3"/>
      <c r="AA35" s="3"/>
      <c r="AB35" s="3"/>
      <c r="AC35" s="3"/>
      <c r="AD35" s="3"/>
    </row>
    <row r="36" spans="1:30" x14ac:dyDescent="0.25">
      <c r="A36" s="144"/>
      <c r="B36" s="2" t="s">
        <v>570</v>
      </c>
      <c r="C36" s="143" t="s">
        <v>571</v>
      </c>
      <c r="D36" s="143" t="s">
        <v>572</v>
      </c>
      <c r="E36" s="143" t="s">
        <v>573</v>
      </c>
      <c r="F36" s="143" t="s">
        <v>60</v>
      </c>
      <c r="G36" s="126" t="s">
        <v>194</v>
      </c>
      <c r="H36" s="157">
        <v>2.5</v>
      </c>
      <c r="I36" s="157">
        <v>2.5</v>
      </c>
      <c r="J36" s="157">
        <v>2.5</v>
      </c>
      <c r="K36" s="157">
        <v>0.15</v>
      </c>
      <c r="L36" s="157">
        <v>0.15</v>
      </c>
      <c r="M36" s="157">
        <v>0.15</v>
      </c>
      <c r="N36" s="157">
        <v>15.05</v>
      </c>
      <c r="O36" s="157">
        <v>2</v>
      </c>
      <c r="P36" s="3">
        <f t="shared" si="0"/>
        <v>17</v>
      </c>
      <c r="Q36" s="143" t="s">
        <v>519</v>
      </c>
      <c r="R36" s="143" t="s">
        <v>520</v>
      </c>
      <c r="S36" s="143" t="s">
        <v>521</v>
      </c>
      <c r="T36" s="143" t="s">
        <v>522</v>
      </c>
      <c r="U36" s="143" t="s">
        <v>523</v>
      </c>
      <c r="V36" s="2" t="s">
        <v>524</v>
      </c>
      <c r="W36" s="144"/>
      <c r="X36" s="3"/>
      <c r="Y36" s="3"/>
      <c r="Z36" s="3"/>
      <c r="AA36" s="3"/>
      <c r="AB36" s="3"/>
      <c r="AC36" s="3"/>
      <c r="AD36" s="3"/>
    </row>
    <row r="37" spans="1:30" x14ac:dyDescent="0.25">
      <c r="A37" s="144"/>
      <c r="B37" s="2" t="s">
        <v>574</v>
      </c>
      <c r="C37" s="144"/>
      <c r="D37" s="144"/>
      <c r="E37" s="144"/>
      <c r="F37" s="144"/>
      <c r="G37" s="126" t="s">
        <v>196</v>
      </c>
      <c r="H37" s="144"/>
      <c r="I37" s="144"/>
      <c r="J37" s="144"/>
      <c r="K37" s="144"/>
      <c r="L37" s="144"/>
      <c r="M37" s="144"/>
      <c r="N37" s="144"/>
      <c r="O37" s="144"/>
      <c r="P37" s="3">
        <f t="shared" si="0"/>
        <v>17</v>
      </c>
      <c r="Q37" s="144"/>
      <c r="R37" s="144"/>
      <c r="S37" s="144"/>
      <c r="T37" s="144"/>
      <c r="U37" s="144"/>
      <c r="V37" s="2" t="s">
        <v>524</v>
      </c>
      <c r="W37" s="144"/>
      <c r="X37" s="3"/>
      <c r="Y37" s="3"/>
      <c r="Z37" s="3"/>
      <c r="AA37" s="3"/>
      <c r="AB37" s="3"/>
      <c r="AC37" s="3"/>
      <c r="AD37" s="3"/>
    </row>
    <row r="38" spans="1:30" x14ac:dyDescent="0.25">
      <c r="A38" s="144"/>
      <c r="B38" s="2" t="s">
        <v>575</v>
      </c>
      <c r="C38" s="144"/>
      <c r="D38" s="144"/>
      <c r="E38" s="144"/>
      <c r="F38" s="144"/>
      <c r="G38" s="126" t="s">
        <v>208</v>
      </c>
      <c r="H38" s="144"/>
      <c r="I38" s="144"/>
      <c r="J38" s="144"/>
      <c r="K38" s="144"/>
      <c r="L38" s="144"/>
      <c r="M38" s="144"/>
      <c r="N38" s="144"/>
      <c r="O38" s="144"/>
      <c r="P38" s="3">
        <f t="shared" si="0"/>
        <v>17</v>
      </c>
      <c r="Q38" s="144"/>
      <c r="R38" s="144"/>
      <c r="S38" s="144"/>
      <c r="T38" s="144"/>
      <c r="U38" s="144"/>
      <c r="V38" s="2" t="s">
        <v>527</v>
      </c>
      <c r="W38" s="144"/>
      <c r="X38" s="3"/>
      <c r="Y38" s="3"/>
      <c r="Z38" s="3"/>
      <c r="AA38" s="3"/>
      <c r="AB38" s="3"/>
      <c r="AC38" s="3"/>
      <c r="AD38" s="3"/>
    </row>
    <row r="39" spans="1:30" x14ac:dyDescent="0.25">
      <c r="A39" s="144"/>
      <c r="B39" s="2" t="s">
        <v>576</v>
      </c>
      <c r="C39" s="144"/>
      <c r="D39" s="144"/>
      <c r="E39" s="144"/>
      <c r="F39" s="144"/>
      <c r="G39" s="126" t="s">
        <v>200</v>
      </c>
      <c r="H39" s="144"/>
      <c r="I39" s="144"/>
      <c r="J39" s="144"/>
      <c r="K39" s="144"/>
      <c r="L39" s="144"/>
      <c r="M39" s="144"/>
      <c r="N39" s="144"/>
      <c r="O39" s="144"/>
      <c r="P39" s="3">
        <f t="shared" si="0"/>
        <v>17</v>
      </c>
      <c r="Q39" s="144"/>
      <c r="R39" s="144"/>
      <c r="S39" s="144"/>
      <c r="T39" s="144"/>
      <c r="U39" s="144"/>
      <c r="V39" s="2" t="s">
        <v>524</v>
      </c>
      <c r="W39" s="144"/>
      <c r="X39" s="3"/>
      <c r="Y39" s="3"/>
      <c r="Z39" s="3"/>
      <c r="AA39" s="3"/>
      <c r="AB39" s="3"/>
      <c r="AC39" s="3"/>
      <c r="AD39" s="3"/>
    </row>
    <row r="40" spans="1:30" x14ac:dyDescent="0.25">
      <c r="A40" s="144"/>
      <c r="B40" s="2" t="s">
        <v>577</v>
      </c>
      <c r="C40" s="144"/>
      <c r="D40" s="144"/>
      <c r="E40" s="144"/>
      <c r="F40" s="144"/>
      <c r="G40" s="126" t="s">
        <v>211</v>
      </c>
      <c r="H40" s="144"/>
      <c r="I40" s="144"/>
      <c r="J40" s="144"/>
      <c r="K40" s="144"/>
      <c r="L40" s="144"/>
      <c r="M40" s="144"/>
      <c r="N40" s="144"/>
      <c r="O40" s="144"/>
      <c r="P40" s="3">
        <f t="shared" si="0"/>
        <v>17</v>
      </c>
      <c r="Q40" s="144"/>
      <c r="R40" s="144"/>
      <c r="S40" s="144"/>
      <c r="T40" s="144"/>
      <c r="U40" s="144"/>
      <c r="V40" s="2" t="s">
        <v>524</v>
      </c>
      <c r="W40" s="144"/>
      <c r="X40" s="3"/>
      <c r="Y40" s="3"/>
      <c r="Z40" s="3"/>
      <c r="AA40" s="3"/>
      <c r="AB40" s="3"/>
      <c r="AC40" s="3"/>
      <c r="AD40" s="3"/>
    </row>
    <row r="41" spans="1:30" x14ac:dyDescent="0.25">
      <c r="A41" s="144"/>
      <c r="B41" s="2" t="s">
        <v>578</v>
      </c>
      <c r="C41" s="144"/>
      <c r="D41" s="144"/>
      <c r="E41" s="144"/>
      <c r="F41" s="144"/>
      <c r="G41" s="126" t="s">
        <v>204</v>
      </c>
      <c r="H41" s="144"/>
      <c r="I41" s="144"/>
      <c r="J41" s="144"/>
      <c r="K41" s="144"/>
      <c r="L41" s="144"/>
      <c r="M41" s="144"/>
      <c r="N41" s="144"/>
      <c r="O41" s="144"/>
      <c r="P41" s="3">
        <f t="shared" si="0"/>
        <v>17</v>
      </c>
      <c r="Q41" s="144"/>
      <c r="R41" s="144"/>
      <c r="S41" s="144"/>
      <c r="T41" s="144"/>
      <c r="U41" s="144"/>
      <c r="V41" s="2" t="s">
        <v>524</v>
      </c>
      <c r="W41" s="144"/>
      <c r="X41" s="3"/>
      <c r="Y41" s="3"/>
      <c r="Z41" s="3"/>
      <c r="AA41" s="3"/>
      <c r="AB41" s="3"/>
      <c r="AC41" s="3"/>
      <c r="AD41" s="3"/>
    </row>
    <row r="42" spans="1:30" x14ac:dyDescent="0.25">
      <c r="A42" s="144"/>
      <c r="B42" s="2" t="s">
        <v>579</v>
      </c>
      <c r="C42" s="144"/>
      <c r="D42" s="144"/>
      <c r="E42" s="144"/>
      <c r="F42" s="144"/>
      <c r="G42" s="126" t="s">
        <v>206</v>
      </c>
      <c r="H42" s="144"/>
      <c r="I42" s="144"/>
      <c r="J42" s="144"/>
      <c r="K42" s="144"/>
      <c r="L42" s="144"/>
      <c r="M42" s="144"/>
      <c r="N42" s="144"/>
      <c r="O42" s="144"/>
      <c r="P42" s="3">
        <f t="shared" si="0"/>
        <v>17</v>
      </c>
      <c r="Q42" s="144"/>
      <c r="R42" s="144"/>
      <c r="S42" s="144"/>
      <c r="T42" s="144"/>
      <c r="U42" s="144"/>
      <c r="V42" s="2" t="s">
        <v>524</v>
      </c>
      <c r="W42" s="144"/>
      <c r="X42" s="3"/>
      <c r="Y42" s="3"/>
      <c r="Z42" s="3"/>
      <c r="AA42" s="3"/>
      <c r="AB42" s="3"/>
      <c r="AC42" s="3"/>
      <c r="AD42" s="3"/>
    </row>
    <row r="43" spans="1:30" x14ac:dyDescent="0.25">
      <c r="A43" s="144"/>
      <c r="B43" s="2" t="s">
        <v>580</v>
      </c>
      <c r="C43" s="144"/>
      <c r="D43" s="144"/>
      <c r="E43" s="144"/>
      <c r="F43" s="144"/>
      <c r="G43" s="2" t="s">
        <v>28</v>
      </c>
      <c r="H43" s="144"/>
      <c r="I43" s="144"/>
      <c r="J43" s="144"/>
      <c r="K43" s="144"/>
      <c r="L43" s="144"/>
      <c r="M43" s="144"/>
      <c r="N43" s="127">
        <v>17.05</v>
      </c>
      <c r="O43" s="127" t="s">
        <v>28</v>
      </c>
      <c r="P43" s="3">
        <f t="shared" si="0"/>
        <v>17</v>
      </c>
      <c r="Q43" s="144"/>
      <c r="R43" s="144"/>
      <c r="S43" s="144"/>
      <c r="T43" s="144"/>
      <c r="U43" s="144"/>
      <c r="V43" s="86" t="s">
        <v>524</v>
      </c>
      <c r="W43" s="144"/>
      <c r="X43" s="3"/>
      <c r="Y43" s="3"/>
      <c r="Z43" s="3"/>
      <c r="AA43" s="3"/>
      <c r="AB43" s="3"/>
      <c r="AC43" s="3"/>
      <c r="AD43" s="3"/>
    </row>
    <row r="44" spans="1:30" x14ac:dyDescent="0.25">
      <c r="A44" s="156"/>
      <c r="B44" s="133" t="s">
        <v>581</v>
      </c>
      <c r="C44" s="156"/>
      <c r="D44" s="156"/>
      <c r="E44" s="156"/>
      <c r="F44" s="156"/>
      <c r="G44" s="134" t="str">
        <f>'DNA extractions'!B22</f>
        <v>Bull1_Blood_2nd_B1</v>
      </c>
      <c r="H44" s="156"/>
      <c r="I44" s="156"/>
      <c r="J44" s="156"/>
      <c r="K44" s="156"/>
      <c r="L44" s="156"/>
      <c r="M44" s="156"/>
      <c r="N44" s="135">
        <v>15.05</v>
      </c>
      <c r="O44" s="135">
        <v>2</v>
      </c>
      <c r="P44" s="136">
        <f t="shared" si="0"/>
        <v>17</v>
      </c>
      <c r="Q44" s="156"/>
      <c r="R44" s="156"/>
      <c r="S44" s="156"/>
      <c r="T44" s="156"/>
      <c r="U44" s="156"/>
      <c r="V44" s="137" t="s">
        <v>527</v>
      </c>
      <c r="W44" s="156"/>
      <c r="X44" s="3"/>
      <c r="Y44" s="3"/>
      <c r="Z44" s="3"/>
      <c r="AA44" s="3"/>
      <c r="AB44" s="3"/>
      <c r="AC44" s="3"/>
      <c r="AD44" s="3"/>
    </row>
    <row r="45" spans="1:30" x14ac:dyDescent="0.25">
      <c r="A45" s="158">
        <v>45488</v>
      </c>
      <c r="B45" s="2" t="s">
        <v>582</v>
      </c>
      <c r="C45" s="143" t="s">
        <v>515</v>
      </c>
      <c r="D45" s="143" t="s">
        <v>516</v>
      </c>
      <c r="E45" s="143" t="s">
        <v>517</v>
      </c>
      <c r="F45" s="143" t="s">
        <v>518</v>
      </c>
      <c r="G45" s="126" t="s">
        <v>208</v>
      </c>
      <c r="H45" s="157">
        <v>2.5</v>
      </c>
      <c r="I45" s="157">
        <v>2.5</v>
      </c>
      <c r="J45" s="157">
        <v>2.5</v>
      </c>
      <c r="K45" s="157">
        <v>0.15</v>
      </c>
      <c r="L45" s="157">
        <v>0.15</v>
      </c>
      <c r="M45" s="157">
        <v>0.15</v>
      </c>
      <c r="N45" s="148">
        <v>15.05</v>
      </c>
      <c r="O45" s="148">
        <v>2</v>
      </c>
      <c r="P45" s="3">
        <f t="shared" ref="P45:P83" si="1">25-4</f>
        <v>21</v>
      </c>
      <c r="Q45" s="143" t="s">
        <v>519</v>
      </c>
      <c r="R45" s="143" t="s">
        <v>520</v>
      </c>
      <c r="S45" s="143" t="s">
        <v>583</v>
      </c>
      <c r="T45" s="143" t="s">
        <v>522</v>
      </c>
      <c r="U45" s="143" t="s">
        <v>523</v>
      </c>
      <c r="V45" s="2" t="s">
        <v>527</v>
      </c>
      <c r="W45" s="159" t="s">
        <v>108</v>
      </c>
      <c r="X45" s="3"/>
      <c r="Y45" s="3"/>
      <c r="Z45" s="3"/>
      <c r="AA45" s="3"/>
      <c r="AB45" s="3"/>
      <c r="AC45" s="3"/>
      <c r="AD45" s="3"/>
    </row>
    <row r="46" spans="1:30" x14ac:dyDescent="0.25">
      <c r="A46" s="144"/>
      <c r="B46" s="2" t="s">
        <v>584</v>
      </c>
      <c r="C46" s="144"/>
      <c r="D46" s="144"/>
      <c r="E46" s="144"/>
      <c r="F46" s="144"/>
      <c r="G46" s="126" t="s">
        <v>211</v>
      </c>
      <c r="H46" s="144"/>
      <c r="I46" s="144"/>
      <c r="J46" s="144"/>
      <c r="K46" s="144"/>
      <c r="L46" s="144"/>
      <c r="M46" s="144"/>
      <c r="N46" s="144"/>
      <c r="O46" s="144"/>
      <c r="P46" s="3">
        <f t="shared" si="1"/>
        <v>21</v>
      </c>
      <c r="Q46" s="144"/>
      <c r="R46" s="144"/>
      <c r="S46" s="144"/>
      <c r="T46" s="144"/>
      <c r="U46" s="144"/>
      <c r="V46" s="2" t="s">
        <v>527</v>
      </c>
      <c r="W46" s="144"/>
      <c r="X46" s="3"/>
      <c r="Y46" s="3"/>
      <c r="Z46" s="3"/>
      <c r="AA46" s="3"/>
      <c r="AB46" s="3"/>
      <c r="AC46" s="3"/>
      <c r="AD46" s="3"/>
    </row>
    <row r="47" spans="1:30" x14ac:dyDescent="0.25">
      <c r="A47" s="144"/>
      <c r="B47" s="2" t="s">
        <v>585</v>
      </c>
      <c r="C47" s="144"/>
      <c r="D47" s="144"/>
      <c r="E47" s="144"/>
      <c r="F47" s="144"/>
      <c r="G47" s="2" t="s">
        <v>28</v>
      </c>
      <c r="H47" s="144"/>
      <c r="I47" s="144"/>
      <c r="J47" s="144"/>
      <c r="K47" s="144"/>
      <c r="L47" s="144"/>
      <c r="M47" s="144"/>
      <c r="N47" s="2">
        <v>17.05</v>
      </c>
      <c r="O47" s="2" t="s">
        <v>28</v>
      </c>
      <c r="P47" s="3">
        <f t="shared" si="1"/>
        <v>21</v>
      </c>
      <c r="Q47" s="144"/>
      <c r="R47" s="144"/>
      <c r="S47" s="144"/>
      <c r="T47" s="144"/>
      <c r="U47" s="144"/>
      <c r="V47" s="86" t="s">
        <v>524</v>
      </c>
      <c r="W47" s="144"/>
      <c r="X47" s="3"/>
      <c r="Y47" s="3"/>
      <c r="Z47" s="3"/>
      <c r="AA47" s="3"/>
      <c r="AB47" s="3"/>
      <c r="AC47" s="3"/>
      <c r="AD47" s="3"/>
    </row>
    <row r="48" spans="1:30" x14ac:dyDescent="0.25">
      <c r="A48" s="144"/>
      <c r="B48" s="2" t="s">
        <v>586</v>
      </c>
      <c r="C48" s="144"/>
      <c r="D48" s="144"/>
      <c r="E48" s="144"/>
      <c r="F48" s="144"/>
      <c r="G48" s="138" t="s">
        <v>569</v>
      </c>
      <c r="H48" s="144"/>
      <c r="I48" s="144"/>
      <c r="J48" s="144"/>
      <c r="K48" s="144"/>
      <c r="L48" s="144"/>
      <c r="M48" s="144"/>
      <c r="N48" s="143">
        <v>15.05</v>
      </c>
      <c r="O48" s="143">
        <v>2</v>
      </c>
      <c r="P48" s="3">
        <f t="shared" si="1"/>
        <v>21</v>
      </c>
      <c r="Q48" s="144"/>
      <c r="R48" s="144"/>
      <c r="S48" s="144"/>
      <c r="T48" s="144"/>
      <c r="U48" s="144"/>
      <c r="V48" s="2" t="s">
        <v>524</v>
      </c>
      <c r="W48" s="144"/>
      <c r="X48" s="3"/>
      <c r="Y48" s="3"/>
      <c r="Z48" s="3"/>
      <c r="AA48" s="3"/>
      <c r="AB48" s="3"/>
      <c r="AC48" s="3"/>
      <c r="AD48" s="3"/>
    </row>
    <row r="49" spans="1:30" x14ac:dyDescent="0.25">
      <c r="A49" s="144"/>
      <c r="B49" s="2" t="s">
        <v>587</v>
      </c>
      <c r="C49" s="144"/>
      <c r="D49" s="144"/>
      <c r="E49" s="144"/>
      <c r="F49" s="144"/>
      <c r="G49" s="2" t="s">
        <v>588</v>
      </c>
      <c r="H49" s="144"/>
      <c r="I49" s="144"/>
      <c r="J49" s="144"/>
      <c r="K49" s="144"/>
      <c r="L49" s="144"/>
      <c r="M49" s="144"/>
      <c r="N49" s="144"/>
      <c r="O49" s="144"/>
      <c r="P49" s="3">
        <f t="shared" si="1"/>
        <v>21</v>
      </c>
      <c r="Q49" s="144"/>
      <c r="R49" s="144"/>
      <c r="S49" s="144"/>
      <c r="T49" s="144"/>
      <c r="U49" s="144"/>
      <c r="V49" s="86" t="s">
        <v>527</v>
      </c>
      <c r="W49" s="144"/>
      <c r="X49" s="3"/>
      <c r="Y49" s="3"/>
      <c r="Z49" s="3"/>
      <c r="AA49" s="3"/>
      <c r="AB49" s="3"/>
      <c r="AC49" s="3"/>
      <c r="AD49" s="3"/>
    </row>
    <row r="50" spans="1:30" x14ac:dyDescent="0.25">
      <c r="A50" s="144"/>
      <c r="B50" s="2" t="s">
        <v>589</v>
      </c>
      <c r="C50" s="144"/>
      <c r="D50" s="144"/>
      <c r="E50" s="144"/>
      <c r="F50" s="144"/>
      <c r="G50" s="2" t="s">
        <v>590</v>
      </c>
      <c r="H50" s="144"/>
      <c r="I50" s="144"/>
      <c r="J50" s="144"/>
      <c r="K50" s="144"/>
      <c r="L50" s="144"/>
      <c r="M50" s="144"/>
      <c r="N50" s="144"/>
      <c r="O50" s="144"/>
      <c r="P50" s="3">
        <f t="shared" si="1"/>
        <v>21</v>
      </c>
      <c r="Q50" s="144"/>
      <c r="R50" s="144"/>
      <c r="S50" s="144"/>
      <c r="T50" s="144"/>
      <c r="U50" s="144"/>
      <c r="V50" s="2" t="s">
        <v>524</v>
      </c>
      <c r="W50" s="144"/>
      <c r="X50" s="3"/>
      <c r="Y50" s="3"/>
      <c r="Z50" s="3"/>
      <c r="AA50" s="3"/>
      <c r="AB50" s="3"/>
      <c r="AC50" s="3"/>
      <c r="AD50" s="3"/>
    </row>
    <row r="51" spans="1:30" x14ac:dyDescent="0.25">
      <c r="A51" s="144"/>
      <c r="B51" s="2" t="s">
        <v>591</v>
      </c>
      <c r="C51" s="144"/>
      <c r="D51" s="144"/>
      <c r="E51" s="144"/>
      <c r="F51" s="144"/>
      <c r="G51" s="2" t="s">
        <v>592</v>
      </c>
      <c r="H51" s="144"/>
      <c r="I51" s="144"/>
      <c r="J51" s="144"/>
      <c r="K51" s="144"/>
      <c r="L51" s="144"/>
      <c r="M51" s="144"/>
      <c r="N51" s="144"/>
      <c r="O51" s="144"/>
      <c r="P51" s="3">
        <f t="shared" si="1"/>
        <v>21</v>
      </c>
      <c r="Q51" s="144"/>
      <c r="R51" s="144"/>
      <c r="S51" s="144"/>
      <c r="T51" s="144"/>
      <c r="U51" s="144"/>
      <c r="V51" s="2" t="s">
        <v>524</v>
      </c>
      <c r="W51" s="144"/>
      <c r="X51" s="3"/>
      <c r="Y51" s="3"/>
      <c r="Z51" s="3"/>
      <c r="AA51" s="3"/>
      <c r="AB51" s="3"/>
      <c r="AC51" s="3"/>
      <c r="AD51" s="3"/>
    </row>
    <row r="52" spans="1:30" x14ac:dyDescent="0.25">
      <c r="A52" s="144"/>
      <c r="B52" s="73" t="s">
        <v>593</v>
      </c>
      <c r="C52" s="142"/>
      <c r="D52" s="142"/>
      <c r="E52" s="142"/>
      <c r="F52" s="142"/>
      <c r="G52" s="73" t="s">
        <v>594</v>
      </c>
      <c r="H52" s="142"/>
      <c r="I52" s="142"/>
      <c r="J52" s="142"/>
      <c r="K52" s="142"/>
      <c r="L52" s="142"/>
      <c r="M52" s="142"/>
      <c r="N52" s="142"/>
      <c r="O52" s="142"/>
      <c r="P52" s="75">
        <f t="shared" si="1"/>
        <v>21</v>
      </c>
      <c r="Q52" s="142"/>
      <c r="R52" s="142"/>
      <c r="S52" s="142"/>
      <c r="T52" s="142"/>
      <c r="U52" s="142"/>
      <c r="V52" s="130" t="s">
        <v>527</v>
      </c>
      <c r="W52" s="144"/>
      <c r="X52" s="3"/>
      <c r="Y52" s="3"/>
      <c r="Z52" s="3"/>
      <c r="AA52" s="3"/>
      <c r="AB52" s="3"/>
      <c r="AC52" s="3"/>
      <c r="AD52" s="3"/>
    </row>
    <row r="53" spans="1:30" x14ac:dyDescent="0.25">
      <c r="A53" s="144"/>
      <c r="B53" s="2" t="s">
        <v>595</v>
      </c>
      <c r="C53" s="143" t="s">
        <v>557</v>
      </c>
      <c r="D53" s="143" t="s">
        <v>558</v>
      </c>
      <c r="E53" s="143" t="s">
        <v>559</v>
      </c>
      <c r="F53" s="143" t="s">
        <v>560</v>
      </c>
      <c r="G53" s="126" t="s">
        <v>208</v>
      </c>
      <c r="H53" s="148">
        <v>2.5</v>
      </c>
      <c r="I53" s="148">
        <v>2.5</v>
      </c>
      <c r="J53" s="148">
        <v>2.5</v>
      </c>
      <c r="K53" s="148">
        <v>0.15</v>
      </c>
      <c r="L53" s="148">
        <v>0.15</v>
      </c>
      <c r="M53" s="148">
        <v>0.15</v>
      </c>
      <c r="N53" s="148">
        <v>15.05</v>
      </c>
      <c r="O53" s="148">
        <v>2</v>
      </c>
      <c r="P53" s="3">
        <f t="shared" si="1"/>
        <v>21</v>
      </c>
      <c r="Q53" s="143" t="s">
        <v>519</v>
      </c>
      <c r="R53" s="143" t="s">
        <v>520</v>
      </c>
      <c r="S53" s="143" t="s">
        <v>583</v>
      </c>
      <c r="T53" s="143" t="s">
        <v>522</v>
      </c>
      <c r="U53" s="143" t="s">
        <v>523</v>
      </c>
      <c r="V53" s="2" t="s">
        <v>524</v>
      </c>
      <c r="W53" s="144"/>
      <c r="X53" s="3"/>
      <c r="Y53" s="3"/>
      <c r="Z53" s="3"/>
      <c r="AA53" s="3"/>
      <c r="AB53" s="3"/>
      <c r="AC53" s="3"/>
      <c r="AD53" s="3"/>
    </row>
    <row r="54" spans="1:30" x14ac:dyDescent="0.25">
      <c r="A54" s="144"/>
      <c r="B54" s="2" t="s">
        <v>596</v>
      </c>
      <c r="C54" s="144"/>
      <c r="D54" s="144"/>
      <c r="E54" s="144"/>
      <c r="F54" s="144"/>
      <c r="G54" s="126" t="s">
        <v>211</v>
      </c>
      <c r="H54" s="144"/>
      <c r="I54" s="144"/>
      <c r="J54" s="144"/>
      <c r="K54" s="144"/>
      <c r="L54" s="144"/>
      <c r="M54" s="144"/>
      <c r="N54" s="144"/>
      <c r="O54" s="144"/>
      <c r="P54" s="3">
        <f t="shared" si="1"/>
        <v>21</v>
      </c>
      <c r="Q54" s="144"/>
      <c r="R54" s="144"/>
      <c r="S54" s="144"/>
      <c r="T54" s="144"/>
      <c r="U54" s="144"/>
      <c r="V54" s="2" t="s">
        <v>524</v>
      </c>
      <c r="W54" s="144"/>
      <c r="X54" s="3"/>
      <c r="Y54" s="3"/>
      <c r="Z54" s="3"/>
      <c r="AA54" s="3"/>
      <c r="AB54" s="3"/>
      <c r="AC54" s="3"/>
      <c r="AD54" s="3"/>
    </row>
    <row r="55" spans="1:30" x14ac:dyDescent="0.25">
      <c r="A55" s="144"/>
      <c r="B55" s="2" t="s">
        <v>597</v>
      </c>
      <c r="C55" s="144"/>
      <c r="D55" s="144"/>
      <c r="E55" s="144"/>
      <c r="F55" s="144"/>
      <c r="G55" s="2" t="s">
        <v>28</v>
      </c>
      <c r="H55" s="144"/>
      <c r="I55" s="144"/>
      <c r="J55" s="144"/>
      <c r="K55" s="144"/>
      <c r="L55" s="144"/>
      <c r="M55" s="144"/>
      <c r="N55" s="3"/>
      <c r="O55" s="2" t="s">
        <v>28</v>
      </c>
      <c r="P55" s="3">
        <f t="shared" si="1"/>
        <v>21</v>
      </c>
      <c r="Q55" s="144"/>
      <c r="R55" s="144"/>
      <c r="S55" s="144"/>
      <c r="T55" s="144"/>
      <c r="U55" s="144"/>
      <c r="V55" s="2" t="s">
        <v>524</v>
      </c>
      <c r="W55" s="144"/>
      <c r="X55" s="3"/>
      <c r="Y55" s="3"/>
      <c r="Z55" s="3"/>
      <c r="AA55" s="3"/>
      <c r="AB55" s="3"/>
      <c r="AC55" s="3"/>
      <c r="AD55" s="3"/>
    </row>
    <row r="56" spans="1:30" x14ac:dyDescent="0.25">
      <c r="A56" s="144"/>
      <c r="B56" s="2" t="s">
        <v>598</v>
      </c>
      <c r="C56" s="144"/>
      <c r="D56" s="144"/>
      <c r="E56" s="144"/>
      <c r="F56" s="144"/>
      <c r="G56" s="138" t="s">
        <v>569</v>
      </c>
      <c r="H56" s="144"/>
      <c r="I56" s="144"/>
      <c r="J56" s="144"/>
      <c r="K56" s="144"/>
      <c r="L56" s="144"/>
      <c r="M56" s="144"/>
      <c r="N56" s="148">
        <v>15.05</v>
      </c>
      <c r="O56" s="148">
        <v>2</v>
      </c>
      <c r="P56" s="3">
        <f t="shared" si="1"/>
        <v>21</v>
      </c>
      <c r="Q56" s="144"/>
      <c r="R56" s="144"/>
      <c r="S56" s="144"/>
      <c r="T56" s="144"/>
      <c r="U56" s="144"/>
      <c r="V56" s="2" t="s">
        <v>527</v>
      </c>
      <c r="W56" s="144"/>
      <c r="X56" s="3"/>
      <c r="Y56" s="3"/>
      <c r="Z56" s="3"/>
      <c r="AA56" s="3"/>
      <c r="AB56" s="3"/>
      <c r="AC56" s="3"/>
      <c r="AD56" s="3"/>
    </row>
    <row r="57" spans="1:30" x14ac:dyDescent="0.25">
      <c r="A57" s="144"/>
      <c r="B57" s="73" t="s">
        <v>599</v>
      </c>
      <c r="C57" s="142"/>
      <c r="D57" s="142"/>
      <c r="E57" s="142"/>
      <c r="F57" s="142"/>
      <c r="G57" s="73" t="s">
        <v>588</v>
      </c>
      <c r="H57" s="142"/>
      <c r="I57" s="142"/>
      <c r="J57" s="142"/>
      <c r="K57" s="142"/>
      <c r="L57" s="142"/>
      <c r="M57" s="142"/>
      <c r="N57" s="142"/>
      <c r="O57" s="142"/>
      <c r="P57" s="75">
        <f t="shared" si="1"/>
        <v>21</v>
      </c>
      <c r="Q57" s="142"/>
      <c r="R57" s="142"/>
      <c r="S57" s="142"/>
      <c r="T57" s="142"/>
      <c r="U57" s="142"/>
      <c r="V57" s="73" t="s">
        <v>524</v>
      </c>
      <c r="W57" s="142"/>
      <c r="X57" s="3"/>
      <c r="Y57" s="3"/>
      <c r="Z57" s="3"/>
      <c r="AA57" s="3"/>
      <c r="AB57" s="3"/>
      <c r="AC57" s="3"/>
      <c r="AD57" s="3"/>
    </row>
    <row r="58" spans="1:30" x14ac:dyDescent="0.25">
      <c r="A58" s="144"/>
      <c r="B58" s="2" t="s">
        <v>600</v>
      </c>
      <c r="C58" s="143" t="s">
        <v>534</v>
      </c>
      <c r="D58" s="143" t="s">
        <v>535</v>
      </c>
      <c r="E58" s="143" t="s">
        <v>536</v>
      </c>
      <c r="F58" s="143">
        <v>366</v>
      </c>
      <c r="G58" s="126" t="s">
        <v>208</v>
      </c>
      <c r="H58" s="148">
        <v>2.5</v>
      </c>
      <c r="I58" s="148">
        <v>2.5</v>
      </c>
      <c r="J58" s="148">
        <v>2.5</v>
      </c>
      <c r="K58" s="148">
        <v>0.15</v>
      </c>
      <c r="L58" s="148">
        <v>0.15</v>
      </c>
      <c r="M58" s="148">
        <v>0.15</v>
      </c>
      <c r="N58" s="148">
        <v>15.05</v>
      </c>
      <c r="O58" s="148">
        <v>2</v>
      </c>
      <c r="P58" s="3">
        <f t="shared" si="1"/>
        <v>21</v>
      </c>
      <c r="Q58" s="143" t="s">
        <v>519</v>
      </c>
      <c r="R58" s="143" t="s">
        <v>520</v>
      </c>
      <c r="S58" s="143" t="s">
        <v>583</v>
      </c>
      <c r="T58" s="143" t="s">
        <v>522</v>
      </c>
      <c r="U58" s="143" t="s">
        <v>523</v>
      </c>
      <c r="V58" s="2" t="s">
        <v>524</v>
      </c>
      <c r="W58" s="159" t="s">
        <v>108</v>
      </c>
      <c r="X58" s="3"/>
      <c r="Y58" s="3"/>
      <c r="Z58" s="3"/>
      <c r="AA58" s="3"/>
      <c r="AB58" s="3"/>
      <c r="AC58" s="3"/>
      <c r="AD58" s="3"/>
    </row>
    <row r="59" spans="1:30" x14ac:dyDescent="0.25">
      <c r="A59" s="144"/>
      <c r="B59" s="2" t="s">
        <v>601</v>
      </c>
      <c r="C59" s="144"/>
      <c r="D59" s="144"/>
      <c r="E59" s="144"/>
      <c r="F59" s="144"/>
      <c r="G59" s="126" t="s">
        <v>211</v>
      </c>
      <c r="H59" s="144"/>
      <c r="I59" s="144"/>
      <c r="J59" s="144"/>
      <c r="K59" s="144"/>
      <c r="L59" s="144"/>
      <c r="M59" s="144"/>
      <c r="N59" s="144"/>
      <c r="O59" s="144"/>
      <c r="P59" s="3">
        <f t="shared" si="1"/>
        <v>21</v>
      </c>
      <c r="Q59" s="144"/>
      <c r="R59" s="144"/>
      <c r="S59" s="144"/>
      <c r="T59" s="144"/>
      <c r="U59" s="144"/>
      <c r="V59" s="2" t="s">
        <v>524</v>
      </c>
      <c r="W59" s="144"/>
      <c r="X59" s="3"/>
      <c r="Y59" s="3"/>
      <c r="Z59" s="3"/>
      <c r="AA59" s="3"/>
      <c r="AB59" s="3"/>
      <c r="AC59" s="3"/>
      <c r="AD59" s="3"/>
    </row>
    <row r="60" spans="1:30" x14ac:dyDescent="0.25">
      <c r="A60" s="144"/>
      <c r="B60" s="2" t="s">
        <v>602</v>
      </c>
      <c r="C60" s="144"/>
      <c r="D60" s="144"/>
      <c r="E60" s="144"/>
      <c r="F60" s="144"/>
      <c r="G60" s="2" t="s">
        <v>28</v>
      </c>
      <c r="H60" s="144"/>
      <c r="I60" s="144"/>
      <c r="J60" s="144"/>
      <c r="K60" s="144"/>
      <c r="L60" s="144"/>
      <c r="M60" s="144"/>
      <c r="N60" s="2" t="s">
        <v>28</v>
      </c>
      <c r="O60" s="2" t="s">
        <v>28</v>
      </c>
      <c r="P60" s="3">
        <f t="shared" si="1"/>
        <v>21</v>
      </c>
      <c r="Q60" s="144"/>
      <c r="R60" s="144"/>
      <c r="S60" s="144"/>
      <c r="T60" s="144"/>
      <c r="U60" s="144"/>
      <c r="V60" s="2" t="s">
        <v>524</v>
      </c>
      <c r="W60" s="144"/>
      <c r="X60" s="3"/>
      <c r="Y60" s="3"/>
      <c r="Z60" s="3"/>
      <c r="AA60" s="3"/>
      <c r="AB60" s="3"/>
      <c r="AC60" s="3"/>
      <c r="AD60" s="3"/>
    </row>
    <row r="61" spans="1:30" x14ac:dyDescent="0.25">
      <c r="A61" s="144"/>
      <c r="B61" s="73" t="s">
        <v>603</v>
      </c>
      <c r="C61" s="142"/>
      <c r="D61" s="142"/>
      <c r="E61" s="142"/>
      <c r="F61" s="142"/>
      <c r="G61" s="73" t="s">
        <v>604</v>
      </c>
      <c r="H61" s="142"/>
      <c r="I61" s="142"/>
      <c r="J61" s="142"/>
      <c r="K61" s="142"/>
      <c r="L61" s="142"/>
      <c r="M61" s="142"/>
      <c r="N61" s="73">
        <v>15.05</v>
      </c>
      <c r="O61" s="73">
        <v>2</v>
      </c>
      <c r="P61" s="75">
        <f t="shared" si="1"/>
        <v>21</v>
      </c>
      <c r="Q61" s="142"/>
      <c r="R61" s="142"/>
      <c r="S61" s="142"/>
      <c r="T61" s="142"/>
      <c r="U61" s="142"/>
      <c r="V61" s="73" t="s">
        <v>524</v>
      </c>
      <c r="W61" s="144"/>
      <c r="X61" s="3"/>
      <c r="Y61" s="3"/>
      <c r="Z61" s="3"/>
      <c r="AA61" s="3"/>
      <c r="AB61" s="3"/>
      <c r="AC61" s="3"/>
      <c r="AD61" s="3"/>
    </row>
    <row r="62" spans="1:30" x14ac:dyDescent="0.25">
      <c r="A62" s="144"/>
      <c r="B62" s="2" t="s">
        <v>605</v>
      </c>
      <c r="C62" s="143" t="s">
        <v>545</v>
      </c>
      <c r="D62" s="143" t="s">
        <v>546</v>
      </c>
      <c r="E62" s="143" t="s">
        <v>547</v>
      </c>
      <c r="F62" s="143" t="s">
        <v>548</v>
      </c>
      <c r="G62" s="126" t="s">
        <v>208</v>
      </c>
      <c r="H62" s="148">
        <v>2.5</v>
      </c>
      <c r="I62" s="148">
        <v>2.5</v>
      </c>
      <c r="J62" s="148">
        <v>2.5</v>
      </c>
      <c r="K62" s="148">
        <v>0.15</v>
      </c>
      <c r="L62" s="148">
        <v>0.15</v>
      </c>
      <c r="M62" s="148">
        <v>0.15</v>
      </c>
      <c r="N62" s="148">
        <v>15.05</v>
      </c>
      <c r="O62" s="148">
        <v>2</v>
      </c>
      <c r="P62" s="3">
        <f t="shared" si="1"/>
        <v>21</v>
      </c>
      <c r="Q62" s="143" t="s">
        <v>519</v>
      </c>
      <c r="R62" s="143" t="s">
        <v>520</v>
      </c>
      <c r="S62" s="143" t="s">
        <v>583</v>
      </c>
      <c r="T62" s="143" t="s">
        <v>522</v>
      </c>
      <c r="U62" s="143" t="s">
        <v>523</v>
      </c>
      <c r="V62" s="2" t="s">
        <v>527</v>
      </c>
      <c r="W62" s="144"/>
      <c r="X62" s="3"/>
      <c r="Y62" s="3"/>
      <c r="Z62" s="3"/>
      <c r="AA62" s="3"/>
      <c r="AB62" s="3"/>
      <c r="AC62" s="3"/>
      <c r="AD62" s="3"/>
    </row>
    <row r="63" spans="1:30" x14ac:dyDescent="0.25">
      <c r="A63" s="144"/>
      <c r="B63" s="2" t="s">
        <v>606</v>
      </c>
      <c r="C63" s="144"/>
      <c r="D63" s="144"/>
      <c r="E63" s="144"/>
      <c r="F63" s="144"/>
      <c r="G63" s="126" t="s">
        <v>211</v>
      </c>
      <c r="H63" s="144"/>
      <c r="I63" s="144"/>
      <c r="J63" s="144"/>
      <c r="K63" s="144"/>
      <c r="L63" s="144"/>
      <c r="M63" s="144"/>
      <c r="N63" s="144"/>
      <c r="O63" s="144"/>
      <c r="P63" s="3">
        <f t="shared" si="1"/>
        <v>21</v>
      </c>
      <c r="Q63" s="144"/>
      <c r="R63" s="144"/>
      <c r="S63" s="144"/>
      <c r="T63" s="144"/>
      <c r="U63" s="144"/>
      <c r="V63" s="2" t="s">
        <v>527</v>
      </c>
      <c r="W63" s="144"/>
      <c r="X63" s="3"/>
      <c r="Y63" s="3"/>
      <c r="Z63" s="3"/>
      <c r="AA63" s="3"/>
      <c r="AB63" s="3"/>
      <c r="AC63" s="3"/>
      <c r="AD63" s="3"/>
    </row>
    <row r="64" spans="1:30" x14ac:dyDescent="0.25">
      <c r="A64" s="144"/>
      <c r="B64" s="2" t="s">
        <v>607</v>
      </c>
      <c r="C64" s="144"/>
      <c r="D64" s="144"/>
      <c r="E64" s="144"/>
      <c r="F64" s="144"/>
      <c r="G64" s="2" t="s">
        <v>28</v>
      </c>
      <c r="H64" s="144"/>
      <c r="I64" s="144"/>
      <c r="J64" s="144"/>
      <c r="K64" s="144"/>
      <c r="L64" s="144"/>
      <c r="M64" s="144"/>
      <c r="N64" s="2" t="s">
        <v>28</v>
      </c>
      <c r="O64" s="2" t="s">
        <v>28</v>
      </c>
      <c r="P64" s="3">
        <f t="shared" si="1"/>
        <v>21</v>
      </c>
      <c r="Q64" s="144"/>
      <c r="R64" s="144"/>
      <c r="S64" s="144"/>
      <c r="T64" s="144"/>
      <c r="U64" s="144"/>
      <c r="V64" s="139" t="s">
        <v>527</v>
      </c>
      <c r="W64" s="144"/>
      <c r="X64" s="3"/>
      <c r="Y64" s="3"/>
      <c r="Z64" s="3"/>
      <c r="AA64" s="3"/>
      <c r="AB64" s="3"/>
      <c r="AC64" s="3"/>
      <c r="AD64" s="3"/>
    </row>
    <row r="65" spans="1:30" x14ac:dyDescent="0.25">
      <c r="A65" s="156"/>
      <c r="B65" s="133" t="s">
        <v>608</v>
      </c>
      <c r="C65" s="156"/>
      <c r="D65" s="156"/>
      <c r="E65" s="156"/>
      <c r="F65" s="156"/>
      <c r="G65" s="140" t="s">
        <v>609</v>
      </c>
      <c r="H65" s="156"/>
      <c r="I65" s="156"/>
      <c r="J65" s="156"/>
      <c r="K65" s="156"/>
      <c r="L65" s="156"/>
      <c r="M65" s="156"/>
      <c r="N65" s="133">
        <v>15.05</v>
      </c>
      <c r="O65" s="133">
        <v>2</v>
      </c>
      <c r="P65" s="136">
        <f t="shared" si="1"/>
        <v>21</v>
      </c>
      <c r="Q65" s="156"/>
      <c r="R65" s="156"/>
      <c r="S65" s="156"/>
      <c r="T65" s="156"/>
      <c r="U65" s="156"/>
      <c r="V65" s="133" t="s">
        <v>527</v>
      </c>
      <c r="W65" s="156"/>
      <c r="X65" s="3"/>
      <c r="Y65" s="3"/>
      <c r="Z65" s="3"/>
      <c r="AA65" s="3"/>
      <c r="AB65" s="3"/>
      <c r="AC65" s="3"/>
      <c r="AD65" s="3"/>
    </row>
    <row r="66" spans="1:30" x14ac:dyDescent="0.25">
      <c r="A66" s="76">
        <v>45520</v>
      </c>
      <c r="B66" s="2" t="s">
        <v>610</v>
      </c>
      <c r="C66" s="143" t="s">
        <v>571</v>
      </c>
      <c r="D66" s="143" t="s">
        <v>572</v>
      </c>
      <c r="E66" s="143" t="s">
        <v>573</v>
      </c>
      <c r="F66" s="143" t="s">
        <v>60</v>
      </c>
      <c r="G66" s="2" t="s">
        <v>288</v>
      </c>
      <c r="H66" s="143">
        <v>2.5</v>
      </c>
      <c r="I66" s="143">
        <v>2.5</v>
      </c>
      <c r="J66" s="143">
        <v>2.5</v>
      </c>
      <c r="K66" s="143">
        <v>0.15</v>
      </c>
      <c r="L66" s="143">
        <v>0.15</v>
      </c>
      <c r="M66" s="143">
        <v>0.15</v>
      </c>
      <c r="N66" s="143">
        <v>15.05</v>
      </c>
      <c r="O66" s="143">
        <v>2</v>
      </c>
      <c r="P66" s="3">
        <f t="shared" si="1"/>
        <v>21</v>
      </c>
      <c r="Q66" s="143" t="s">
        <v>611</v>
      </c>
      <c r="R66" s="143" t="s">
        <v>520</v>
      </c>
      <c r="S66" s="143" t="s">
        <v>521</v>
      </c>
      <c r="T66" s="143" t="s">
        <v>522</v>
      </c>
      <c r="U66" s="143" t="s">
        <v>523</v>
      </c>
      <c r="V66" s="2" t="s">
        <v>524</v>
      </c>
      <c r="W66" s="141" t="s">
        <v>108</v>
      </c>
      <c r="X66" s="3"/>
      <c r="Y66" s="3"/>
      <c r="Z66" s="3"/>
      <c r="AA66" s="3"/>
      <c r="AB66" s="3"/>
      <c r="AC66" s="3"/>
      <c r="AD66" s="3"/>
    </row>
    <row r="67" spans="1:30" x14ac:dyDescent="0.25">
      <c r="A67" s="3"/>
      <c r="B67" s="2" t="s">
        <v>612</v>
      </c>
      <c r="C67" s="144"/>
      <c r="D67" s="144"/>
      <c r="E67" s="144"/>
      <c r="F67" s="144"/>
      <c r="G67" s="2" t="s">
        <v>289</v>
      </c>
      <c r="H67" s="144"/>
      <c r="I67" s="144"/>
      <c r="J67" s="144"/>
      <c r="K67" s="144"/>
      <c r="L67" s="144"/>
      <c r="M67" s="144"/>
      <c r="N67" s="144"/>
      <c r="O67" s="144"/>
      <c r="P67" s="3">
        <f t="shared" si="1"/>
        <v>21</v>
      </c>
      <c r="Q67" s="144"/>
      <c r="R67" s="144"/>
      <c r="S67" s="144"/>
      <c r="T67" s="144"/>
      <c r="U67" s="144"/>
      <c r="V67" s="2" t="s">
        <v>527</v>
      </c>
      <c r="W67" s="144"/>
      <c r="X67" s="3"/>
      <c r="Y67" s="3"/>
      <c r="Z67" s="3"/>
      <c r="AA67" s="3"/>
      <c r="AB67" s="3"/>
      <c r="AC67" s="3"/>
      <c r="AD67" s="3"/>
    </row>
    <row r="68" spans="1:30" x14ac:dyDescent="0.25">
      <c r="A68" s="3"/>
      <c r="B68" s="2" t="s">
        <v>613</v>
      </c>
      <c r="C68" s="144"/>
      <c r="D68" s="144"/>
      <c r="E68" s="144"/>
      <c r="F68" s="144"/>
      <c r="G68" s="2" t="s">
        <v>291</v>
      </c>
      <c r="H68" s="144"/>
      <c r="I68" s="144"/>
      <c r="J68" s="144"/>
      <c r="K68" s="144"/>
      <c r="L68" s="144"/>
      <c r="M68" s="144"/>
      <c r="N68" s="144"/>
      <c r="O68" s="144"/>
      <c r="P68" s="3">
        <f t="shared" si="1"/>
        <v>21</v>
      </c>
      <c r="Q68" s="144"/>
      <c r="R68" s="144"/>
      <c r="S68" s="144"/>
      <c r="T68" s="144"/>
      <c r="U68" s="144"/>
      <c r="V68" s="2" t="s">
        <v>524</v>
      </c>
      <c r="W68" s="144"/>
      <c r="X68" s="3"/>
      <c r="Y68" s="3"/>
      <c r="Z68" s="3"/>
      <c r="AA68" s="3"/>
      <c r="AB68" s="3"/>
      <c r="AC68" s="3"/>
      <c r="AD68" s="3"/>
    </row>
    <row r="69" spans="1:30" x14ac:dyDescent="0.25">
      <c r="A69" s="3"/>
      <c r="B69" s="2" t="s">
        <v>614</v>
      </c>
      <c r="C69" s="144"/>
      <c r="D69" s="144"/>
      <c r="E69" s="144"/>
      <c r="F69" s="144"/>
      <c r="G69" s="2" t="s">
        <v>293</v>
      </c>
      <c r="H69" s="144"/>
      <c r="I69" s="144"/>
      <c r="J69" s="144"/>
      <c r="K69" s="144"/>
      <c r="L69" s="144"/>
      <c r="M69" s="144"/>
      <c r="N69" s="144"/>
      <c r="O69" s="144"/>
      <c r="P69" s="3">
        <f t="shared" si="1"/>
        <v>21</v>
      </c>
      <c r="Q69" s="144"/>
      <c r="R69" s="144"/>
      <c r="S69" s="144"/>
      <c r="T69" s="144"/>
      <c r="U69" s="144"/>
      <c r="V69" s="2" t="s">
        <v>527</v>
      </c>
      <c r="W69" s="144"/>
      <c r="X69" s="3"/>
      <c r="Y69" s="3"/>
      <c r="Z69" s="3"/>
      <c r="AA69" s="3"/>
      <c r="AB69" s="3"/>
      <c r="AC69" s="3"/>
      <c r="AD69" s="3"/>
    </row>
    <row r="70" spans="1:30" x14ac:dyDescent="0.25">
      <c r="A70" s="3"/>
      <c r="B70" s="2" t="s">
        <v>615</v>
      </c>
      <c r="C70" s="144"/>
      <c r="D70" s="144"/>
      <c r="E70" s="144"/>
      <c r="F70" s="144"/>
      <c r="G70" s="2" t="s">
        <v>295</v>
      </c>
      <c r="H70" s="144"/>
      <c r="I70" s="144"/>
      <c r="J70" s="144"/>
      <c r="K70" s="144"/>
      <c r="L70" s="144"/>
      <c r="M70" s="144"/>
      <c r="N70" s="144"/>
      <c r="O70" s="144"/>
      <c r="P70" s="3">
        <f t="shared" si="1"/>
        <v>21</v>
      </c>
      <c r="Q70" s="144"/>
      <c r="R70" s="144"/>
      <c r="S70" s="144"/>
      <c r="T70" s="144"/>
      <c r="U70" s="144"/>
      <c r="V70" s="2" t="s">
        <v>524</v>
      </c>
      <c r="W70" s="144"/>
      <c r="X70" s="3"/>
      <c r="Y70" s="3"/>
      <c r="Z70" s="3"/>
      <c r="AA70" s="3"/>
      <c r="AB70" s="3"/>
      <c r="AC70" s="3"/>
      <c r="AD70" s="3"/>
    </row>
    <row r="71" spans="1:30" x14ac:dyDescent="0.25">
      <c r="A71" s="3"/>
      <c r="B71" s="2" t="s">
        <v>616</v>
      </c>
      <c r="C71" s="144"/>
      <c r="D71" s="144"/>
      <c r="E71" s="144"/>
      <c r="F71" s="144"/>
      <c r="G71" s="2" t="s">
        <v>297</v>
      </c>
      <c r="H71" s="144"/>
      <c r="I71" s="144"/>
      <c r="J71" s="144"/>
      <c r="K71" s="144"/>
      <c r="L71" s="144"/>
      <c r="M71" s="144"/>
      <c r="N71" s="144"/>
      <c r="O71" s="144"/>
      <c r="P71" s="3">
        <f t="shared" si="1"/>
        <v>21</v>
      </c>
      <c r="Q71" s="144"/>
      <c r="R71" s="144"/>
      <c r="S71" s="144"/>
      <c r="T71" s="144"/>
      <c r="U71" s="144"/>
      <c r="V71" s="2" t="s">
        <v>527</v>
      </c>
      <c r="W71" s="144"/>
      <c r="X71" s="3"/>
      <c r="Y71" s="3"/>
      <c r="Z71" s="3"/>
      <c r="AA71" s="3"/>
      <c r="AB71" s="3"/>
      <c r="AC71" s="3"/>
      <c r="AD71" s="3"/>
    </row>
    <row r="72" spans="1:30" x14ac:dyDescent="0.25">
      <c r="A72" s="3"/>
      <c r="B72" s="2" t="s">
        <v>617</v>
      </c>
      <c r="C72" s="144"/>
      <c r="D72" s="144"/>
      <c r="E72" s="144"/>
      <c r="F72" s="144"/>
      <c r="G72" s="2" t="s">
        <v>299</v>
      </c>
      <c r="H72" s="144"/>
      <c r="I72" s="144"/>
      <c r="J72" s="144"/>
      <c r="K72" s="144"/>
      <c r="L72" s="144"/>
      <c r="M72" s="144"/>
      <c r="N72" s="144"/>
      <c r="O72" s="144"/>
      <c r="P72" s="3">
        <f t="shared" si="1"/>
        <v>21</v>
      </c>
      <c r="Q72" s="144"/>
      <c r="R72" s="144"/>
      <c r="S72" s="144"/>
      <c r="T72" s="144"/>
      <c r="U72" s="144"/>
      <c r="V72" s="2" t="s">
        <v>524</v>
      </c>
      <c r="W72" s="144"/>
      <c r="X72" s="3"/>
      <c r="Y72" s="3"/>
      <c r="Z72" s="3"/>
      <c r="AA72" s="3"/>
      <c r="AB72" s="3"/>
      <c r="AC72" s="3"/>
      <c r="AD72" s="3"/>
    </row>
    <row r="73" spans="1:30" x14ac:dyDescent="0.25">
      <c r="A73" s="3"/>
      <c r="B73" s="2" t="s">
        <v>618</v>
      </c>
      <c r="C73" s="144"/>
      <c r="D73" s="144"/>
      <c r="E73" s="144"/>
      <c r="F73" s="144"/>
      <c r="G73" s="2" t="s">
        <v>301</v>
      </c>
      <c r="H73" s="144"/>
      <c r="I73" s="144"/>
      <c r="J73" s="144"/>
      <c r="K73" s="144"/>
      <c r="L73" s="144"/>
      <c r="M73" s="144"/>
      <c r="N73" s="144"/>
      <c r="O73" s="144"/>
      <c r="P73" s="3">
        <f t="shared" si="1"/>
        <v>21</v>
      </c>
      <c r="Q73" s="144"/>
      <c r="R73" s="144"/>
      <c r="S73" s="144"/>
      <c r="T73" s="144"/>
      <c r="U73" s="144"/>
      <c r="V73" s="2" t="s">
        <v>527</v>
      </c>
      <c r="W73" s="144"/>
      <c r="X73" s="3"/>
      <c r="Y73" s="3"/>
      <c r="Z73" s="3"/>
      <c r="AA73" s="3"/>
      <c r="AB73" s="3"/>
      <c r="AC73" s="3"/>
      <c r="AD73" s="3"/>
    </row>
    <row r="74" spans="1:30" x14ac:dyDescent="0.25">
      <c r="A74" s="3"/>
      <c r="B74" s="2" t="s">
        <v>619</v>
      </c>
      <c r="C74" s="144"/>
      <c r="D74" s="144"/>
      <c r="E74" s="144"/>
      <c r="F74" s="144"/>
      <c r="G74" s="2" t="s">
        <v>303</v>
      </c>
      <c r="H74" s="144"/>
      <c r="I74" s="144"/>
      <c r="J74" s="144"/>
      <c r="K74" s="144"/>
      <c r="L74" s="144"/>
      <c r="M74" s="144"/>
      <c r="N74" s="144"/>
      <c r="O74" s="144"/>
      <c r="P74" s="3">
        <f t="shared" si="1"/>
        <v>21</v>
      </c>
      <c r="Q74" s="144"/>
      <c r="R74" s="144"/>
      <c r="S74" s="144"/>
      <c r="T74" s="144"/>
      <c r="U74" s="144"/>
      <c r="V74" s="2" t="s">
        <v>524</v>
      </c>
      <c r="W74" s="144"/>
      <c r="X74" s="3"/>
      <c r="Y74" s="3"/>
      <c r="Z74" s="3"/>
      <c r="AA74" s="3"/>
      <c r="AB74" s="3"/>
      <c r="AC74" s="3"/>
      <c r="AD74" s="3"/>
    </row>
    <row r="75" spans="1:30" x14ac:dyDescent="0.25">
      <c r="A75" s="3"/>
      <c r="B75" s="2" t="s">
        <v>620</v>
      </c>
      <c r="C75" s="144"/>
      <c r="D75" s="144"/>
      <c r="E75" s="144"/>
      <c r="F75" s="144"/>
      <c r="G75" s="2" t="s">
        <v>304</v>
      </c>
      <c r="H75" s="144"/>
      <c r="I75" s="144"/>
      <c r="J75" s="144"/>
      <c r="K75" s="144"/>
      <c r="L75" s="144"/>
      <c r="M75" s="144"/>
      <c r="N75" s="144"/>
      <c r="O75" s="144"/>
      <c r="P75" s="3">
        <f t="shared" si="1"/>
        <v>21</v>
      </c>
      <c r="Q75" s="144"/>
      <c r="R75" s="144"/>
      <c r="S75" s="144"/>
      <c r="T75" s="144"/>
      <c r="U75" s="144"/>
      <c r="V75" s="2" t="s">
        <v>527</v>
      </c>
      <c r="W75" s="144"/>
      <c r="X75" s="3"/>
      <c r="Y75" s="3"/>
      <c r="Z75" s="3"/>
      <c r="AA75" s="3"/>
      <c r="AB75" s="3"/>
      <c r="AC75" s="3"/>
      <c r="AD75" s="3"/>
    </row>
    <row r="76" spans="1:30" x14ac:dyDescent="0.25">
      <c r="A76" s="3"/>
      <c r="B76" s="2" t="s">
        <v>621</v>
      </c>
      <c r="C76" s="144"/>
      <c r="D76" s="144"/>
      <c r="E76" s="144"/>
      <c r="F76" s="144"/>
      <c r="G76" s="2" t="s">
        <v>306</v>
      </c>
      <c r="H76" s="144"/>
      <c r="I76" s="144"/>
      <c r="J76" s="144"/>
      <c r="K76" s="144"/>
      <c r="L76" s="144"/>
      <c r="M76" s="144"/>
      <c r="N76" s="144"/>
      <c r="O76" s="144"/>
      <c r="P76" s="3">
        <f t="shared" si="1"/>
        <v>21</v>
      </c>
      <c r="Q76" s="144"/>
      <c r="R76" s="144"/>
      <c r="S76" s="144"/>
      <c r="T76" s="144"/>
      <c r="U76" s="144"/>
      <c r="V76" s="2" t="s">
        <v>524</v>
      </c>
      <c r="W76" s="144"/>
      <c r="X76" s="3"/>
      <c r="Y76" s="3"/>
      <c r="Z76" s="3"/>
      <c r="AA76" s="3"/>
      <c r="AB76" s="3"/>
      <c r="AC76" s="3"/>
      <c r="AD76" s="3"/>
    </row>
    <row r="77" spans="1:30" x14ac:dyDescent="0.25">
      <c r="A77" s="3"/>
      <c r="B77" s="2" t="s">
        <v>622</v>
      </c>
      <c r="C77" s="144"/>
      <c r="D77" s="144"/>
      <c r="E77" s="144"/>
      <c r="F77" s="144"/>
      <c r="G77" s="2" t="s">
        <v>307</v>
      </c>
      <c r="H77" s="144"/>
      <c r="I77" s="144"/>
      <c r="J77" s="144"/>
      <c r="K77" s="144"/>
      <c r="L77" s="144"/>
      <c r="M77" s="144"/>
      <c r="N77" s="144"/>
      <c r="O77" s="144"/>
      <c r="P77" s="3">
        <f t="shared" si="1"/>
        <v>21</v>
      </c>
      <c r="Q77" s="144"/>
      <c r="R77" s="144"/>
      <c r="S77" s="144"/>
      <c r="T77" s="144"/>
      <c r="U77" s="144"/>
      <c r="V77" s="2" t="s">
        <v>524</v>
      </c>
      <c r="W77" s="144"/>
      <c r="X77" s="3"/>
      <c r="Y77" s="3"/>
      <c r="Z77" s="3"/>
      <c r="AA77" s="3"/>
      <c r="AB77" s="3"/>
      <c r="AC77" s="3"/>
      <c r="AD77" s="3"/>
    </row>
    <row r="78" spans="1:30" x14ac:dyDescent="0.25">
      <c r="A78" s="3"/>
      <c r="B78" s="2" t="s">
        <v>623</v>
      </c>
      <c r="C78" s="144"/>
      <c r="D78" s="144"/>
      <c r="E78" s="144"/>
      <c r="F78" s="144"/>
      <c r="G78" s="2" t="s">
        <v>309</v>
      </c>
      <c r="H78" s="144"/>
      <c r="I78" s="144"/>
      <c r="J78" s="144"/>
      <c r="K78" s="144"/>
      <c r="L78" s="144"/>
      <c r="M78" s="144"/>
      <c r="N78" s="144"/>
      <c r="O78" s="144"/>
      <c r="P78" s="3">
        <f t="shared" si="1"/>
        <v>21</v>
      </c>
      <c r="Q78" s="144"/>
      <c r="R78" s="144"/>
      <c r="S78" s="144"/>
      <c r="T78" s="144"/>
      <c r="U78" s="144"/>
      <c r="V78" s="2" t="s">
        <v>524</v>
      </c>
      <c r="W78" s="141" t="s">
        <v>108</v>
      </c>
      <c r="X78" s="3"/>
      <c r="Y78" s="3"/>
      <c r="Z78" s="3"/>
      <c r="AA78" s="3"/>
      <c r="AB78" s="3"/>
      <c r="AC78" s="3"/>
      <c r="AD78" s="3"/>
    </row>
    <row r="79" spans="1:30" x14ac:dyDescent="0.25">
      <c r="A79" s="3"/>
      <c r="B79" s="2" t="s">
        <v>624</v>
      </c>
      <c r="C79" s="144"/>
      <c r="D79" s="144"/>
      <c r="E79" s="144"/>
      <c r="F79" s="144"/>
      <c r="G79" s="2" t="s">
        <v>310</v>
      </c>
      <c r="H79" s="144"/>
      <c r="I79" s="144"/>
      <c r="J79" s="144"/>
      <c r="K79" s="144"/>
      <c r="L79" s="144"/>
      <c r="M79" s="144"/>
      <c r="N79" s="144"/>
      <c r="O79" s="144"/>
      <c r="P79" s="3">
        <f t="shared" si="1"/>
        <v>21</v>
      </c>
      <c r="Q79" s="144"/>
      <c r="R79" s="144"/>
      <c r="S79" s="144"/>
      <c r="T79" s="144"/>
      <c r="U79" s="144"/>
      <c r="V79" s="2" t="s">
        <v>524</v>
      </c>
      <c r="W79" s="144"/>
      <c r="X79" s="3"/>
      <c r="Y79" s="3"/>
      <c r="Z79" s="3"/>
      <c r="AA79" s="3"/>
      <c r="AB79" s="3"/>
      <c r="AC79" s="3"/>
      <c r="AD79" s="3"/>
    </row>
    <row r="80" spans="1:30" x14ac:dyDescent="0.25">
      <c r="A80" s="3"/>
      <c r="B80" s="2" t="s">
        <v>625</v>
      </c>
      <c r="C80" s="144"/>
      <c r="D80" s="144"/>
      <c r="E80" s="144"/>
      <c r="F80" s="144"/>
      <c r="G80" s="2" t="s">
        <v>312</v>
      </c>
      <c r="H80" s="144"/>
      <c r="I80" s="144"/>
      <c r="J80" s="144"/>
      <c r="K80" s="144"/>
      <c r="L80" s="144"/>
      <c r="M80" s="144"/>
      <c r="N80" s="144"/>
      <c r="O80" s="144"/>
      <c r="P80" s="3">
        <f t="shared" si="1"/>
        <v>21</v>
      </c>
      <c r="Q80" s="144"/>
      <c r="R80" s="144"/>
      <c r="S80" s="144"/>
      <c r="T80" s="144"/>
      <c r="U80" s="144"/>
      <c r="V80" s="2" t="s">
        <v>524</v>
      </c>
      <c r="W80" s="144"/>
      <c r="X80" s="3"/>
      <c r="Y80" s="3"/>
      <c r="Z80" s="3"/>
      <c r="AA80" s="3"/>
      <c r="AB80" s="3"/>
      <c r="AC80" s="3"/>
      <c r="AD80" s="3"/>
    </row>
    <row r="81" spans="1:30" x14ac:dyDescent="0.25">
      <c r="A81" s="3"/>
      <c r="B81" s="2" t="s">
        <v>626</v>
      </c>
      <c r="C81" s="144"/>
      <c r="D81" s="144"/>
      <c r="E81" s="144"/>
      <c r="F81" s="144"/>
      <c r="G81" s="2" t="s">
        <v>314</v>
      </c>
      <c r="H81" s="144"/>
      <c r="I81" s="144"/>
      <c r="J81" s="144"/>
      <c r="K81" s="144"/>
      <c r="L81" s="144"/>
      <c r="M81" s="144"/>
      <c r="N81" s="144"/>
      <c r="O81" s="144"/>
      <c r="P81" s="3">
        <f t="shared" si="1"/>
        <v>21</v>
      </c>
      <c r="Q81" s="144"/>
      <c r="R81" s="144"/>
      <c r="S81" s="144"/>
      <c r="T81" s="144"/>
      <c r="U81" s="144"/>
      <c r="V81" s="2" t="s">
        <v>524</v>
      </c>
      <c r="W81" s="144"/>
      <c r="X81" s="3"/>
      <c r="Y81" s="3"/>
      <c r="Z81" s="3"/>
      <c r="AA81" s="3"/>
      <c r="AB81" s="3"/>
      <c r="AC81" s="3"/>
      <c r="AD81" s="3"/>
    </row>
    <row r="82" spans="1:30" x14ac:dyDescent="0.25">
      <c r="A82" s="3"/>
      <c r="B82" s="2" t="s">
        <v>627</v>
      </c>
      <c r="C82" s="3"/>
      <c r="D82" s="3"/>
      <c r="E82" s="3"/>
      <c r="F82" s="3"/>
      <c r="G82" s="2" t="s">
        <v>28</v>
      </c>
      <c r="H82" s="144"/>
      <c r="I82" s="144"/>
      <c r="J82" s="144"/>
      <c r="K82" s="144"/>
      <c r="L82" s="144"/>
      <c r="M82" s="144"/>
      <c r="N82" s="144"/>
      <c r="O82" s="2" t="s">
        <v>28</v>
      </c>
      <c r="P82" s="3">
        <f t="shared" si="1"/>
        <v>21</v>
      </c>
      <c r="Q82" s="144"/>
      <c r="R82" s="144"/>
      <c r="S82" s="144"/>
      <c r="T82" s="144"/>
      <c r="U82" s="144"/>
      <c r="V82" s="2" t="s">
        <v>524</v>
      </c>
      <c r="W82" s="144"/>
      <c r="X82" s="3"/>
      <c r="Y82" s="3"/>
      <c r="Z82" s="3"/>
      <c r="AA82" s="3"/>
      <c r="AB82" s="3"/>
      <c r="AC82" s="3"/>
      <c r="AD82" s="3"/>
    </row>
    <row r="83" spans="1:30" x14ac:dyDescent="0.25">
      <c r="A83" s="136"/>
      <c r="B83" s="133" t="s">
        <v>628</v>
      </c>
      <c r="C83" s="136"/>
      <c r="D83" s="136"/>
      <c r="E83" s="136"/>
      <c r="F83" s="136"/>
      <c r="G83" s="136" t="s">
        <v>629</v>
      </c>
      <c r="H83" s="156"/>
      <c r="I83" s="156"/>
      <c r="J83" s="156"/>
      <c r="K83" s="156"/>
      <c r="L83" s="156"/>
      <c r="M83" s="156"/>
      <c r="N83" s="156"/>
      <c r="O83" s="133">
        <v>2</v>
      </c>
      <c r="P83" s="136">
        <f t="shared" si="1"/>
        <v>21</v>
      </c>
      <c r="Q83" s="156"/>
      <c r="R83" s="156"/>
      <c r="S83" s="156"/>
      <c r="T83" s="156"/>
      <c r="U83" s="156"/>
      <c r="V83" s="133" t="s">
        <v>527</v>
      </c>
      <c r="W83" s="156"/>
      <c r="X83" s="3"/>
      <c r="Y83" s="3"/>
      <c r="Z83" s="3"/>
      <c r="AA83" s="3"/>
      <c r="AB83" s="3"/>
      <c r="AC83" s="3"/>
      <c r="AD83" s="3"/>
    </row>
    <row r="84" spans="1:30"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spans="1:30"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sheetData>
  <mergeCells count="182">
    <mergeCell ref="R3:R10"/>
    <mergeCell ref="S3:S10"/>
    <mergeCell ref="T3:T10"/>
    <mergeCell ref="U3:U10"/>
    <mergeCell ref="W3:W26"/>
    <mergeCell ref="R11:R18"/>
    <mergeCell ref="S11:S18"/>
    <mergeCell ref="T11:T18"/>
    <mergeCell ref="U11:U18"/>
    <mergeCell ref="O3:O9"/>
    <mergeCell ref="Q3:Q10"/>
    <mergeCell ref="C11:C18"/>
    <mergeCell ref="D11:D18"/>
    <mergeCell ref="E11:E18"/>
    <mergeCell ref="F11:F18"/>
    <mergeCell ref="O11:O17"/>
    <mergeCell ref="Q11:Q18"/>
    <mergeCell ref="H3:H10"/>
    <mergeCell ref="I3:I10"/>
    <mergeCell ref="H11:H18"/>
    <mergeCell ref="I11:I18"/>
    <mergeCell ref="J11:J18"/>
    <mergeCell ref="K11:K18"/>
    <mergeCell ref="L11:L18"/>
    <mergeCell ref="M11:M18"/>
    <mergeCell ref="N11:N17"/>
    <mergeCell ref="J3:J10"/>
    <mergeCell ref="K3:K10"/>
    <mergeCell ref="L3:L10"/>
    <mergeCell ref="M3:M10"/>
    <mergeCell ref="N3:N9"/>
    <mergeCell ref="U27:U35"/>
    <mergeCell ref="W27:W44"/>
    <mergeCell ref="U36:U44"/>
    <mergeCell ref="Q45:Q52"/>
    <mergeCell ref="U45:U52"/>
    <mergeCell ref="W45:W57"/>
    <mergeCell ref="J19:J26"/>
    <mergeCell ref="K19:K26"/>
    <mergeCell ref="L19:L26"/>
    <mergeCell ref="M19:M26"/>
    <mergeCell ref="N19:N25"/>
    <mergeCell ref="O19:O25"/>
    <mergeCell ref="Q19:Q26"/>
    <mergeCell ref="R19:R26"/>
    <mergeCell ref="S19:S26"/>
    <mergeCell ref="T19:T26"/>
    <mergeCell ref="U19:U26"/>
    <mergeCell ref="S36:S44"/>
    <mergeCell ref="T36:T44"/>
    <mergeCell ref="S45:S52"/>
    <mergeCell ref="T45:T52"/>
    <mergeCell ref="S53:S57"/>
    <mergeCell ref="T62:T65"/>
    <mergeCell ref="O27:O33"/>
    <mergeCell ref="Q27:Q35"/>
    <mergeCell ref="R27:R35"/>
    <mergeCell ref="S27:S35"/>
    <mergeCell ref="T27:T35"/>
    <mergeCell ref="N56:N57"/>
    <mergeCell ref="O56:O57"/>
    <mergeCell ref="N58:N59"/>
    <mergeCell ref="O58:O59"/>
    <mergeCell ref="N62:N63"/>
    <mergeCell ref="O62:O63"/>
    <mergeCell ref="Q36:Q44"/>
    <mergeCell ref="R36:R44"/>
    <mergeCell ref="R45:R52"/>
    <mergeCell ref="N48:N52"/>
    <mergeCell ref="O48:O52"/>
    <mergeCell ref="N53:N54"/>
    <mergeCell ref="O53:O54"/>
    <mergeCell ref="Q53:Q57"/>
    <mergeCell ref="R53:R57"/>
    <mergeCell ref="Q58:Q61"/>
    <mergeCell ref="R58:R61"/>
    <mergeCell ref="Q62:Q65"/>
    <mergeCell ref="R62:R65"/>
    <mergeCell ref="U62:U65"/>
    <mergeCell ref="T53:T57"/>
    <mergeCell ref="U53:U57"/>
    <mergeCell ref="S58:S61"/>
    <mergeCell ref="T58:T61"/>
    <mergeCell ref="U58:U61"/>
    <mergeCell ref="W58:W65"/>
    <mergeCell ref="S62:S65"/>
    <mergeCell ref="C19:C26"/>
    <mergeCell ref="D19:D26"/>
    <mergeCell ref="E19:E26"/>
    <mergeCell ref="F19:F26"/>
    <mergeCell ref="H19:H26"/>
    <mergeCell ref="I19:I26"/>
    <mergeCell ref="J36:J44"/>
    <mergeCell ref="K36:K44"/>
    <mergeCell ref="L36:L44"/>
    <mergeCell ref="M36:M44"/>
    <mergeCell ref="C27:C35"/>
    <mergeCell ref="D27:D35"/>
    <mergeCell ref="E27:E35"/>
    <mergeCell ref="F27:F35"/>
    <mergeCell ref="H27:H35"/>
    <mergeCell ref="I27:I35"/>
    <mergeCell ref="J27:J35"/>
    <mergeCell ref="K27:K35"/>
    <mergeCell ref="L27:L35"/>
    <mergeCell ref="M27:M35"/>
    <mergeCell ref="N27:N33"/>
    <mergeCell ref="N36:N42"/>
    <mergeCell ref="O36:O42"/>
    <mergeCell ref="N45:N46"/>
    <mergeCell ref="O45:O46"/>
    <mergeCell ref="C66:C81"/>
    <mergeCell ref="D66:D81"/>
    <mergeCell ref="E66:E81"/>
    <mergeCell ref="F66:F81"/>
    <mergeCell ref="H66:H83"/>
    <mergeCell ref="I66:I83"/>
    <mergeCell ref="J66:J83"/>
    <mergeCell ref="S66:S83"/>
    <mergeCell ref="T66:T83"/>
    <mergeCell ref="U66:U83"/>
    <mergeCell ref="W66:W77"/>
    <mergeCell ref="W78:W83"/>
    <mergeCell ref="K66:K83"/>
    <mergeCell ref="L66:L83"/>
    <mergeCell ref="M66:M83"/>
    <mergeCell ref="N66:N83"/>
    <mergeCell ref="O66:O81"/>
    <mergeCell ref="Q66:Q83"/>
    <mergeCell ref="R66:R83"/>
    <mergeCell ref="E36:E44"/>
    <mergeCell ref="F36:F44"/>
    <mergeCell ref="E45:E52"/>
    <mergeCell ref="F45:F52"/>
    <mergeCell ref="E53:E57"/>
    <mergeCell ref="F53:F57"/>
    <mergeCell ref="A3:A44"/>
    <mergeCell ref="C3:C10"/>
    <mergeCell ref="D3:D10"/>
    <mergeCell ref="E3:E10"/>
    <mergeCell ref="F3:F10"/>
    <mergeCell ref="C36:C44"/>
    <mergeCell ref="D36:D44"/>
    <mergeCell ref="A45:A65"/>
    <mergeCell ref="C45:C52"/>
    <mergeCell ref="D45:D52"/>
    <mergeCell ref="C53:C57"/>
    <mergeCell ref="D53:D57"/>
    <mergeCell ref="C62:C65"/>
    <mergeCell ref="D62:D65"/>
    <mergeCell ref="E62:E65"/>
    <mergeCell ref="F62:F65"/>
    <mergeCell ref="H45:H52"/>
    <mergeCell ref="H53:H57"/>
    <mergeCell ref="I53:I57"/>
    <mergeCell ref="J53:J57"/>
    <mergeCell ref="K53:K57"/>
    <mergeCell ref="L53:L57"/>
    <mergeCell ref="M53:M57"/>
    <mergeCell ref="H36:H44"/>
    <mergeCell ref="I36:I44"/>
    <mergeCell ref="I45:I52"/>
    <mergeCell ref="J45:J52"/>
    <mergeCell ref="K45:K52"/>
    <mergeCell ref="L45:L52"/>
    <mergeCell ref="M45:M52"/>
    <mergeCell ref="K58:K61"/>
    <mergeCell ref="L58:L61"/>
    <mergeCell ref="M58:M61"/>
    <mergeCell ref="M62:M65"/>
    <mergeCell ref="C58:C61"/>
    <mergeCell ref="D58:D61"/>
    <mergeCell ref="E58:E61"/>
    <mergeCell ref="F58:F61"/>
    <mergeCell ref="H58:H61"/>
    <mergeCell ref="I58:I61"/>
    <mergeCell ref="J58:J61"/>
    <mergeCell ref="K62:K65"/>
    <mergeCell ref="L62:L65"/>
    <mergeCell ref="H62:H65"/>
    <mergeCell ref="I62:I65"/>
    <mergeCell ref="J62:J65"/>
  </mergeCells>
  <hyperlinks>
    <hyperlink ref="W3" r:id="rId1"/>
    <hyperlink ref="W27" r:id="rId2"/>
    <hyperlink ref="W45" r:id="rId3"/>
    <hyperlink ref="W58" r:id="rId4"/>
    <hyperlink ref="W66" r:id="rId5"/>
    <hyperlink ref="W78" r:id="rId6"/>
  </hyperlinks>
  <pageMargins left="0.7" right="0.7" top="0.75" bottom="0.75" header="0.3" footer="0.3"/>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DNA extractions</vt:lpstr>
      <vt:lpstr>PCR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ruche</dc:creator>
  <cp:lastModifiedBy>ruche</cp:lastModifiedBy>
  <cp:lastPrinted>2025-05-21T13:53:25Z</cp:lastPrinted>
  <dcterms:created xsi:type="dcterms:W3CDTF">2024-01-27T16:48:12Z</dcterms:created>
  <dcterms:modified xsi:type="dcterms:W3CDTF">2025-05-21T13:56:39Z</dcterms:modified>
</cp:coreProperties>
</file>