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David\Documents\Research 2022\PMACS\PMACS-95\"/>
    </mc:Choice>
  </mc:AlternateContent>
  <xr:revisionPtr revIDLastSave="0" documentId="13_ncr:1_{DDE9C600-F490-49B6-B144-698DC3479E53}" xr6:coauthVersionLast="47" xr6:coauthVersionMax="47" xr10:uidLastSave="{00000000-0000-0000-0000-000000000000}"/>
  <bookViews>
    <workbookView xWindow="13810" yWindow="2330" windowWidth="19200" windowHeight="10060" xr2:uid="{00000000-000D-0000-FFFF-FFFF00000000}"/>
  </bookViews>
  <sheets>
    <sheet name="Fibroblasts" sheetId="9" r:id="rId1"/>
    <sheet name="F Plate 1" sheetId="30" r:id="rId2"/>
    <sheet name="F Plate 2" sheetId="31" r:id="rId3"/>
    <sheet name="F Plate 3" sheetId="32" r:id="rId4"/>
    <sheet name="F Plate 4" sheetId="3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0" i="9" l="1"/>
  <c r="U130" i="9"/>
  <c r="V130" i="9"/>
  <c r="W130" i="9"/>
  <c r="T131" i="9"/>
  <c r="U131" i="9"/>
  <c r="V131" i="9"/>
  <c r="W131" i="9"/>
  <c r="T132" i="9"/>
  <c r="U132" i="9"/>
  <c r="V132" i="9"/>
  <c r="W132" i="9" s="1"/>
  <c r="E66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V185" i="9" s="1"/>
  <c r="W185" i="9" s="1"/>
  <c r="U186" i="9"/>
  <c r="U187" i="9"/>
  <c r="U188" i="9"/>
  <c r="U189" i="9"/>
  <c r="U190" i="9"/>
  <c r="U191" i="9"/>
  <c r="U162" i="9"/>
  <c r="T191" i="9"/>
  <c r="V191" i="9" s="1"/>
  <c r="W191" i="9" s="1"/>
  <c r="T190" i="9"/>
  <c r="T189" i="9"/>
  <c r="V188" i="9"/>
  <c r="W188" i="9" s="1"/>
  <c r="T188" i="9"/>
  <c r="T187" i="9"/>
  <c r="V187" i="9" s="1"/>
  <c r="W187" i="9" s="1"/>
  <c r="T186" i="9"/>
  <c r="T185" i="9"/>
  <c r="T184" i="9"/>
  <c r="V184" i="9" s="1"/>
  <c r="W184" i="9" s="1"/>
  <c r="T183" i="9"/>
  <c r="T182" i="9"/>
  <c r="V182" i="9" s="1"/>
  <c r="W182" i="9" s="1"/>
  <c r="T181" i="9"/>
  <c r="V181" i="9" s="1"/>
  <c r="W181" i="9" s="1"/>
  <c r="T180" i="9"/>
  <c r="V180" i="9" s="1"/>
  <c r="W180" i="9" s="1"/>
  <c r="T179" i="9"/>
  <c r="V179" i="9" s="1"/>
  <c r="W179" i="9" s="1"/>
  <c r="T178" i="9"/>
  <c r="V177" i="9"/>
  <c r="W177" i="9" s="1"/>
  <c r="T177" i="9"/>
  <c r="T176" i="9"/>
  <c r="V176" i="9" s="1"/>
  <c r="W176" i="9" s="1"/>
  <c r="T175" i="9"/>
  <c r="V174" i="9"/>
  <c r="W174" i="9" s="1"/>
  <c r="T174" i="9"/>
  <c r="V173" i="9"/>
  <c r="W173" i="9" s="1"/>
  <c r="T173" i="9"/>
  <c r="T172" i="9"/>
  <c r="V172" i="9" s="1"/>
  <c r="W172" i="9" s="1"/>
  <c r="T171" i="9"/>
  <c r="V171" i="9" s="1"/>
  <c r="W171" i="9" s="1"/>
  <c r="T170" i="9"/>
  <c r="T169" i="9"/>
  <c r="T168" i="9"/>
  <c r="V168" i="9" s="1"/>
  <c r="W168" i="9" s="1"/>
  <c r="T167" i="9"/>
  <c r="V166" i="9"/>
  <c r="W166" i="9" s="1"/>
  <c r="T166" i="9"/>
  <c r="V165" i="9"/>
  <c r="W165" i="9" s="1"/>
  <c r="T165" i="9"/>
  <c r="T164" i="9"/>
  <c r="V163" i="9"/>
  <c r="W163" i="9" s="1"/>
  <c r="T163" i="9"/>
  <c r="T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62" i="9"/>
  <c r="D191" i="9"/>
  <c r="F191" i="9" s="1"/>
  <c r="G191" i="9" s="1"/>
  <c r="D190" i="9"/>
  <c r="D189" i="9"/>
  <c r="F189" i="9" s="1"/>
  <c r="G189" i="9" s="1"/>
  <c r="D188" i="9"/>
  <c r="D187" i="9"/>
  <c r="F187" i="9" s="1"/>
  <c r="G187" i="9" s="1"/>
  <c r="D186" i="9"/>
  <c r="D185" i="9"/>
  <c r="F184" i="9"/>
  <c r="G184" i="9" s="1"/>
  <c r="D184" i="9"/>
  <c r="D183" i="9"/>
  <c r="F183" i="9" s="1"/>
  <c r="G183" i="9" s="1"/>
  <c r="D182" i="9"/>
  <c r="D181" i="9"/>
  <c r="F181" i="9" s="1"/>
  <c r="G181" i="9" s="1"/>
  <c r="F180" i="9"/>
  <c r="G180" i="9" s="1"/>
  <c r="D180" i="9"/>
  <c r="D179" i="9"/>
  <c r="F179" i="9" s="1"/>
  <c r="G179" i="9" s="1"/>
  <c r="D178" i="9"/>
  <c r="D177" i="9"/>
  <c r="D176" i="9"/>
  <c r="F176" i="9" s="1"/>
  <c r="G176" i="9" s="1"/>
  <c r="D175" i="9"/>
  <c r="F175" i="9" s="1"/>
  <c r="G175" i="9" s="1"/>
  <c r="D174" i="9"/>
  <c r="F174" i="9" s="1"/>
  <c r="G174" i="9" s="1"/>
  <c r="F173" i="9"/>
  <c r="G173" i="9" s="1"/>
  <c r="D173" i="9"/>
  <c r="D172" i="9"/>
  <c r="F172" i="9" s="1"/>
  <c r="G172" i="9" s="1"/>
  <c r="D171" i="9"/>
  <c r="D170" i="9"/>
  <c r="D169" i="9"/>
  <c r="F169" i="9" s="1"/>
  <c r="G169" i="9" s="1"/>
  <c r="D168" i="9"/>
  <c r="F168" i="9" s="1"/>
  <c r="G168" i="9" s="1"/>
  <c r="D167" i="9"/>
  <c r="F167" i="9" s="1"/>
  <c r="G167" i="9" s="1"/>
  <c r="D166" i="9"/>
  <c r="D165" i="9"/>
  <c r="F165" i="9" s="1"/>
  <c r="G165" i="9" s="1"/>
  <c r="D164" i="9"/>
  <c r="D163" i="9"/>
  <c r="F163" i="9" s="1"/>
  <c r="G163" i="9" s="1"/>
  <c r="D16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T159" i="9"/>
  <c r="V159" i="9" s="1"/>
  <c r="W159" i="9" s="1"/>
  <c r="T158" i="9"/>
  <c r="T157" i="9"/>
  <c r="V157" i="9" s="1"/>
  <c r="W157" i="9" s="1"/>
  <c r="V156" i="9"/>
  <c r="W156" i="9" s="1"/>
  <c r="T156" i="9"/>
  <c r="T155" i="9"/>
  <c r="V155" i="9" s="1"/>
  <c r="W155" i="9" s="1"/>
  <c r="T154" i="9"/>
  <c r="T153" i="9"/>
  <c r="T152" i="9"/>
  <c r="V152" i="9" s="1"/>
  <c r="W152" i="9" s="1"/>
  <c r="T151" i="9"/>
  <c r="V151" i="9" s="1"/>
  <c r="W151" i="9" s="1"/>
  <c r="T150" i="9"/>
  <c r="V150" i="9" s="1"/>
  <c r="W150" i="9" s="1"/>
  <c r="T149" i="9"/>
  <c r="V149" i="9" s="1"/>
  <c r="W149" i="9" s="1"/>
  <c r="V148" i="9"/>
  <c r="W148" i="9" s="1"/>
  <c r="T148" i="9"/>
  <c r="T147" i="9"/>
  <c r="V147" i="9" s="1"/>
  <c r="W147" i="9" s="1"/>
  <c r="T146" i="9"/>
  <c r="T145" i="9"/>
  <c r="T144" i="9"/>
  <c r="V144" i="9" s="1"/>
  <c r="W144" i="9" s="1"/>
  <c r="T143" i="9"/>
  <c r="V143" i="9" s="1"/>
  <c r="W143" i="9" s="1"/>
  <c r="T142" i="9"/>
  <c r="V142" i="9" s="1"/>
  <c r="W142" i="9" s="1"/>
  <c r="V141" i="9"/>
  <c r="W141" i="9" s="1"/>
  <c r="T141" i="9"/>
  <c r="T140" i="9"/>
  <c r="V140" i="9" s="1"/>
  <c r="W140" i="9" s="1"/>
  <c r="T139" i="9"/>
  <c r="V139" i="9" s="1"/>
  <c r="W139" i="9" s="1"/>
  <c r="T138" i="9"/>
  <c r="V137" i="9"/>
  <c r="W137" i="9" s="1"/>
  <c r="T137" i="9"/>
  <c r="T136" i="9"/>
  <c r="V136" i="9" s="1"/>
  <c r="W136" i="9" s="1"/>
  <c r="T135" i="9"/>
  <c r="T134" i="9"/>
  <c r="T133" i="9"/>
  <c r="V133" i="9" s="1"/>
  <c r="W133" i="9" s="1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F153" i="9" s="1"/>
  <c r="G153" i="9" s="1"/>
  <c r="E154" i="9"/>
  <c r="E155" i="9"/>
  <c r="E156" i="9"/>
  <c r="E157" i="9"/>
  <c r="E158" i="9"/>
  <c r="E159" i="9"/>
  <c r="E130" i="9"/>
  <c r="D159" i="9"/>
  <c r="F159" i="9" s="1"/>
  <c r="G159" i="9" s="1"/>
  <c r="D158" i="9"/>
  <c r="D157" i="9"/>
  <c r="F156" i="9"/>
  <c r="G156" i="9" s="1"/>
  <c r="D156" i="9"/>
  <c r="D155" i="9"/>
  <c r="F155" i="9" s="1"/>
  <c r="G155" i="9" s="1"/>
  <c r="D154" i="9"/>
  <c r="D153" i="9"/>
  <c r="D152" i="9"/>
  <c r="D151" i="9"/>
  <c r="F151" i="9" s="1"/>
  <c r="G151" i="9" s="1"/>
  <c r="D150" i="9"/>
  <c r="F150" i="9" s="1"/>
  <c r="G150" i="9" s="1"/>
  <c r="D149" i="9"/>
  <c r="F149" i="9" s="1"/>
  <c r="G149" i="9" s="1"/>
  <c r="D148" i="9"/>
  <c r="F148" i="9" s="1"/>
  <c r="G148" i="9" s="1"/>
  <c r="D147" i="9"/>
  <c r="F147" i="9" s="1"/>
  <c r="G147" i="9" s="1"/>
  <c r="D146" i="9"/>
  <c r="F145" i="9"/>
  <c r="G145" i="9" s="1"/>
  <c r="D145" i="9"/>
  <c r="D144" i="9"/>
  <c r="D143" i="9"/>
  <c r="F143" i="9" s="1"/>
  <c r="G143" i="9" s="1"/>
  <c r="F142" i="9"/>
  <c r="G142" i="9" s="1"/>
  <c r="D142" i="9"/>
  <c r="F141" i="9"/>
  <c r="G141" i="9" s="1"/>
  <c r="D141" i="9"/>
  <c r="D140" i="9"/>
  <c r="F140" i="9" s="1"/>
  <c r="G140" i="9" s="1"/>
  <c r="D139" i="9"/>
  <c r="F139" i="9" s="1"/>
  <c r="G139" i="9" s="1"/>
  <c r="D138" i="9"/>
  <c r="D137" i="9"/>
  <c r="D136" i="9"/>
  <c r="D135" i="9"/>
  <c r="F135" i="9" s="1"/>
  <c r="G135" i="9" s="1"/>
  <c r="F134" i="9"/>
  <c r="G134" i="9" s="1"/>
  <c r="D134" i="9"/>
  <c r="D133" i="9"/>
  <c r="D132" i="9"/>
  <c r="F131" i="9"/>
  <c r="G131" i="9" s="1"/>
  <c r="D131" i="9"/>
  <c r="D130" i="9"/>
  <c r="U99" i="9"/>
  <c r="U100" i="9"/>
  <c r="U101" i="9"/>
  <c r="U102" i="9"/>
  <c r="U103" i="9"/>
  <c r="V103" i="9" s="1"/>
  <c r="W103" i="9" s="1"/>
  <c r="U104" i="9"/>
  <c r="U105" i="9"/>
  <c r="U106" i="9"/>
  <c r="U107" i="9"/>
  <c r="U108" i="9"/>
  <c r="U109" i="9"/>
  <c r="U110" i="9"/>
  <c r="U111" i="9"/>
  <c r="U112" i="9"/>
  <c r="U113" i="9"/>
  <c r="V113" i="9" s="1"/>
  <c r="W113" i="9" s="1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98" i="9"/>
  <c r="T127" i="9"/>
  <c r="T126" i="9"/>
  <c r="T125" i="9"/>
  <c r="T124" i="9"/>
  <c r="T123" i="9"/>
  <c r="V123" i="9" s="1"/>
  <c r="W123" i="9" s="1"/>
  <c r="T122" i="9"/>
  <c r="V121" i="9"/>
  <c r="W121" i="9" s="1"/>
  <c r="T121" i="9"/>
  <c r="T120" i="9"/>
  <c r="T119" i="9"/>
  <c r="V119" i="9" s="1"/>
  <c r="W119" i="9" s="1"/>
  <c r="T118" i="9"/>
  <c r="V118" i="9" s="1"/>
  <c r="W118" i="9" s="1"/>
  <c r="T117" i="9"/>
  <c r="V117" i="9" s="1"/>
  <c r="W117" i="9" s="1"/>
  <c r="T116" i="9"/>
  <c r="V116" i="9" s="1"/>
  <c r="W116" i="9" s="1"/>
  <c r="T115" i="9"/>
  <c r="V115" i="9" s="1"/>
  <c r="W115" i="9" s="1"/>
  <c r="T114" i="9"/>
  <c r="T113" i="9"/>
  <c r="T112" i="9"/>
  <c r="T111" i="9"/>
  <c r="V110" i="9"/>
  <c r="W110" i="9" s="1"/>
  <c r="T110" i="9"/>
  <c r="T109" i="9"/>
  <c r="V109" i="9" s="1"/>
  <c r="W109" i="9" s="1"/>
  <c r="T108" i="9"/>
  <c r="V108" i="9" s="1"/>
  <c r="W108" i="9" s="1"/>
  <c r="T107" i="9"/>
  <c r="T106" i="9"/>
  <c r="T105" i="9"/>
  <c r="V105" i="9" s="1"/>
  <c r="W105" i="9" s="1"/>
  <c r="T104" i="9"/>
  <c r="V104" i="9" s="1"/>
  <c r="W104" i="9" s="1"/>
  <c r="T103" i="9"/>
  <c r="T102" i="9"/>
  <c r="T101" i="9"/>
  <c r="T100" i="9"/>
  <c r="T99" i="9"/>
  <c r="V99" i="9" s="1"/>
  <c r="W99" i="9" s="1"/>
  <c r="T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F114" i="9" s="1"/>
  <c r="G114" i="9" s="1"/>
  <c r="E115" i="9"/>
  <c r="E116" i="9"/>
  <c r="E117" i="9"/>
  <c r="E118" i="9"/>
  <c r="E119" i="9"/>
  <c r="E120" i="9"/>
  <c r="E121" i="9"/>
  <c r="E122" i="9"/>
  <c r="F122" i="9" s="1"/>
  <c r="G122" i="9" s="1"/>
  <c r="E123" i="9"/>
  <c r="E124" i="9"/>
  <c r="E125" i="9"/>
  <c r="E126" i="9"/>
  <c r="E127" i="9"/>
  <c r="E98" i="9"/>
  <c r="D127" i="9"/>
  <c r="F127" i="9" s="1"/>
  <c r="G127" i="9" s="1"/>
  <c r="D126" i="9"/>
  <c r="F126" i="9" s="1"/>
  <c r="G126" i="9" s="1"/>
  <c r="D125" i="9"/>
  <c r="F124" i="9"/>
  <c r="G124" i="9" s="1"/>
  <c r="D124" i="9"/>
  <c r="D123" i="9"/>
  <c r="F123" i="9" s="1"/>
  <c r="G123" i="9" s="1"/>
  <c r="D122" i="9"/>
  <c r="D121" i="9"/>
  <c r="F121" i="9" s="1"/>
  <c r="G121" i="9" s="1"/>
  <c r="D120" i="9"/>
  <c r="F120" i="9" s="1"/>
  <c r="G120" i="9" s="1"/>
  <c r="D119" i="9"/>
  <c r="F119" i="9" s="1"/>
  <c r="G119" i="9" s="1"/>
  <c r="D118" i="9"/>
  <c r="F118" i="9" s="1"/>
  <c r="G118" i="9" s="1"/>
  <c r="D117" i="9"/>
  <c r="F117" i="9" s="1"/>
  <c r="G117" i="9" s="1"/>
  <c r="D116" i="9"/>
  <c r="F116" i="9" s="1"/>
  <c r="G116" i="9" s="1"/>
  <c r="D115" i="9"/>
  <c r="F115" i="9" s="1"/>
  <c r="G115" i="9" s="1"/>
  <c r="D114" i="9"/>
  <c r="F113" i="9"/>
  <c r="G113" i="9" s="1"/>
  <c r="D113" i="9"/>
  <c r="D112" i="9"/>
  <c r="D111" i="9"/>
  <c r="F111" i="9" s="1"/>
  <c r="G111" i="9" s="1"/>
  <c r="D110" i="9"/>
  <c r="F110" i="9" s="1"/>
  <c r="G110" i="9" s="1"/>
  <c r="D109" i="9"/>
  <c r="F109" i="9" s="1"/>
  <c r="G109" i="9" s="1"/>
  <c r="D108" i="9"/>
  <c r="F108" i="9" s="1"/>
  <c r="G108" i="9" s="1"/>
  <c r="D107" i="9"/>
  <c r="F107" i="9" s="1"/>
  <c r="G107" i="9" s="1"/>
  <c r="D106" i="9"/>
  <c r="F106" i="9" s="1"/>
  <c r="G106" i="9" s="1"/>
  <c r="D105" i="9"/>
  <c r="D104" i="9"/>
  <c r="F103" i="9"/>
  <c r="G103" i="9" s="1"/>
  <c r="D103" i="9"/>
  <c r="D102" i="9"/>
  <c r="F102" i="9" s="1"/>
  <c r="G102" i="9" s="1"/>
  <c r="F101" i="9"/>
  <c r="G101" i="9" s="1"/>
  <c r="D101" i="9"/>
  <c r="F100" i="9"/>
  <c r="G100" i="9" s="1"/>
  <c r="D100" i="9"/>
  <c r="D99" i="9"/>
  <c r="F99" i="9" s="1"/>
  <c r="G99" i="9" s="1"/>
  <c r="D98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66" i="9"/>
  <c r="T95" i="9"/>
  <c r="T94" i="9"/>
  <c r="V93" i="9"/>
  <c r="W93" i="9" s="1"/>
  <c r="T93" i="9"/>
  <c r="T92" i="9"/>
  <c r="T91" i="9"/>
  <c r="T90" i="9"/>
  <c r="T89" i="9"/>
  <c r="T88" i="9"/>
  <c r="V88" i="9" s="1"/>
  <c r="W88" i="9" s="1"/>
  <c r="T87" i="9"/>
  <c r="V87" i="9" s="1"/>
  <c r="W87" i="9" s="1"/>
  <c r="T86" i="9"/>
  <c r="V86" i="9" s="1"/>
  <c r="W86" i="9" s="1"/>
  <c r="T85" i="9"/>
  <c r="T84" i="9"/>
  <c r="V84" i="9" s="1"/>
  <c r="W84" i="9" s="1"/>
  <c r="T83" i="9"/>
  <c r="T82" i="9"/>
  <c r="T81" i="9"/>
  <c r="V80" i="9"/>
  <c r="W80" i="9" s="1"/>
  <c r="T80" i="9"/>
  <c r="T79" i="9"/>
  <c r="V79" i="9" s="1"/>
  <c r="W79" i="9" s="1"/>
  <c r="T78" i="9"/>
  <c r="V78" i="9" s="1"/>
  <c r="W78" i="9" s="1"/>
  <c r="V77" i="9"/>
  <c r="W77" i="9" s="1"/>
  <c r="T77" i="9"/>
  <c r="T76" i="9"/>
  <c r="V76" i="9" s="1"/>
  <c r="W76" i="9" s="1"/>
  <c r="T75" i="9"/>
  <c r="T74" i="9"/>
  <c r="V73" i="9"/>
  <c r="W73" i="9" s="1"/>
  <c r="T73" i="9"/>
  <c r="T72" i="9"/>
  <c r="V72" i="9" s="1"/>
  <c r="W72" i="9" s="1"/>
  <c r="T71" i="9"/>
  <c r="V71" i="9" s="1"/>
  <c r="W71" i="9" s="1"/>
  <c r="V70" i="9"/>
  <c r="W70" i="9" s="1"/>
  <c r="T70" i="9"/>
  <c r="T69" i="9"/>
  <c r="T68" i="9"/>
  <c r="T67" i="9"/>
  <c r="T66" i="9"/>
  <c r="V66" i="9" s="1"/>
  <c r="W66" i="9" s="1"/>
  <c r="E95" i="9"/>
  <c r="D95" i="9"/>
  <c r="F95" i="9" s="1"/>
  <c r="G95" i="9" s="1"/>
  <c r="E94" i="9"/>
  <c r="D94" i="9"/>
  <c r="F94" i="9" s="1"/>
  <c r="G94" i="9" s="1"/>
  <c r="E93" i="9"/>
  <c r="D93" i="9"/>
  <c r="F93" i="9" s="1"/>
  <c r="G93" i="9" s="1"/>
  <c r="E92" i="9"/>
  <c r="D92" i="9"/>
  <c r="F92" i="9" s="1"/>
  <c r="G92" i="9" s="1"/>
  <c r="E91" i="9"/>
  <c r="D91" i="9"/>
  <c r="E90" i="9"/>
  <c r="D90" i="9"/>
  <c r="E89" i="9"/>
  <c r="D89" i="9"/>
  <c r="F88" i="9"/>
  <c r="G88" i="9" s="1"/>
  <c r="E88" i="9"/>
  <c r="D88" i="9"/>
  <c r="E87" i="9"/>
  <c r="D87" i="9"/>
  <c r="F87" i="9" s="1"/>
  <c r="G87" i="9" s="1"/>
  <c r="F86" i="9"/>
  <c r="G86" i="9" s="1"/>
  <c r="E86" i="9"/>
  <c r="D86" i="9"/>
  <c r="E85" i="9"/>
  <c r="D85" i="9"/>
  <c r="F85" i="9" s="1"/>
  <c r="G85" i="9" s="1"/>
  <c r="E84" i="9"/>
  <c r="D84" i="9"/>
  <c r="F84" i="9" s="1"/>
  <c r="G84" i="9" s="1"/>
  <c r="E83" i="9"/>
  <c r="D83" i="9"/>
  <c r="F83" i="9" s="1"/>
  <c r="G83" i="9" s="1"/>
  <c r="E82" i="9"/>
  <c r="D82" i="9"/>
  <c r="F82" i="9" s="1"/>
  <c r="G82" i="9" s="1"/>
  <c r="E81" i="9"/>
  <c r="D81" i="9"/>
  <c r="F81" i="9" s="1"/>
  <c r="G81" i="9" s="1"/>
  <c r="E80" i="9"/>
  <c r="D80" i="9"/>
  <c r="F80" i="9" s="1"/>
  <c r="G80" i="9" s="1"/>
  <c r="E79" i="9"/>
  <c r="F79" i="9" s="1"/>
  <c r="G79" i="9" s="1"/>
  <c r="D79" i="9"/>
  <c r="E78" i="9"/>
  <c r="D78" i="9"/>
  <c r="E77" i="9"/>
  <c r="D77" i="9"/>
  <c r="E76" i="9"/>
  <c r="D76" i="9"/>
  <c r="F76" i="9" s="1"/>
  <c r="G76" i="9" s="1"/>
  <c r="F75" i="9"/>
  <c r="G75" i="9" s="1"/>
  <c r="E75" i="9"/>
  <c r="D75" i="9"/>
  <c r="E74" i="9"/>
  <c r="D74" i="9"/>
  <c r="F74" i="9" s="1"/>
  <c r="G74" i="9" s="1"/>
  <c r="E73" i="9"/>
  <c r="D73" i="9"/>
  <c r="F73" i="9" s="1"/>
  <c r="G73" i="9" s="1"/>
  <c r="E72" i="9"/>
  <c r="D72" i="9"/>
  <c r="F72" i="9" s="1"/>
  <c r="G72" i="9" s="1"/>
  <c r="E71" i="9"/>
  <c r="D71" i="9"/>
  <c r="F71" i="9" s="1"/>
  <c r="G71" i="9" s="1"/>
  <c r="E70" i="9"/>
  <c r="D70" i="9"/>
  <c r="F70" i="9" s="1"/>
  <c r="G70" i="9" s="1"/>
  <c r="E69" i="9"/>
  <c r="D69" i="9"/>
  <c r="F69" i="9" s="1"/>
  <c r="G69" i="9" s="1"/>
  <c r="E68" i="9"/>
  <c r="D68" i="9"/>
  <c r="F68" i="9" s="1"/>
  <c r="G68" i="9" s="1"/>
  <c r="E67" i="9"/>
  <c r="D67" i="9"/>
  <c r="D66" i="9"/>
  <c r="U35" i="9"/>
  <c r="U36" i="9"/>
  <c r="U37" i="9"/>
  <c r="U38" i="9"/>
  <c r="U39" i="9"/>
  <c r="U40" i="9"/>
  <c r="U41" i="9"/>
  <c r="V41" i="9" s="1"/>
  <c r="W41" i="9" s="1"/>
  <c r="U42" i="9"/>
  <c r="U43" i="9"/>
  <c r="U44" i="9"/>
  <c r="U45" i="9"/>
  <c r="U46" i="9"/>
  <c r="U47" i="9"/>
  <c r="U48" i="9"/>
  <c r="U49" i="9"/>
  <c r="V49" i="9" s="1"/>
  <c r="W49" i="9" s="1"/>
  <c r="U50" i="9"/>
  <c r="U51" i="9"/>
  <c r="U52" i="9"/>
  <c r="U53" i="9"/>
  <c r="U54" i="9"/>
  <c r="U55" i="9"/>
  <c r="U56" i="9"/>
  <c r="V56" i="9" s="1"/>
  <c r="W56" i="9" s="1"/>
  <c r="U57" i="9"/>
  <c r="U58" i="9"/>
  <c r="U59" i="9"/>
  <c r="U60" i="9"/>
  <c r="U61" i="9"/>
  <c r="U62" i="9"/>
  <c r="U63" i="9"/>
  <c r="U34" i="9"/>
  <c r="V34" i="9" s="1"/>
  <c r="W34" i="9" s="1"/>
  <c r="T63" i="9"/>
  <c r="V63" i="9" s="1"/>
  <c r="W63" i="9" s="1"/>
  <c r="T62" i="9"/>
  <c r="V62" i="9" s="1"/>
  <c r="W62" i="9" s="1"/>
  <c r="T61" i="9"/>
  <c r="V61" i="9" s="1"/>
  <c r="W61" i="9" s="1"/>
  <c r="T60" i="9"/>
  <c r="V60" i="9" s="1"/>
  <c r="W60" i="9" s="1"/>
  <c r="T59" i="9"/>
  <c r="V59" i="9" s="1"/>
  <c r="W59" i="9" s="1"/>
  <c r="T58" i="9"/>
  <c r="T57" i="9"/>
  <c r="T56" i="9"/>
  <c r="T55" i="9"/>
  <c r="V55" i="9" s="1"/>
  <c r="W55" i="9" s="1"/>
  <c r="T54" i="9"/>
  <c r="T53" i="9"/>
  <c r="V53" i="9" s="1"/>
  <c r="W53" i="9" s="1"/>
  <c r="T52" i="9"/>
  <c r="V52" i="9" s="1"/>
  <c r="W52" i="9" s="1"/>
  <c r="T51" i="9"/>
  <c r="V51" i="9" s="1"/>
  <c r="W51" i="9" s="1"/>
  <c r="T50" i="9"/>
  <c r="T49" i="9"/>
  <c r="T48" i="9"/>
  <c r="T47" i="9"/>
  <c r="V47" i="9" s="1"/>
  <c r="W47" i="9" s="1"/>
  <c r="T46" i="9"/>
  <c r="V46" i="9" s="1"/>
  <c r="W46" i="9" s="1"/>
  <c r="T45" i="9"/>
  <c r="V45" i="9" s="1"/>
  <c r="W45" i="9" s="1"/>
  <c r="T44" i="9"/>
  <c r="V44" i="9" s="1"/>
  <c r="W44" i="9" s="1"/>
  <c r="T43" i="9"/>
  <c r="V43" i="9" s="1"/>
  <c r="W43" i="9" s="1"/>
  <c r="T42" i="9"/>
  <c r="V42" i="9" s="1"/>
  <c r="W42" i="9" s="1"/>
  <c r="T41" i="9"/>
  <c r="T40" i="9"/>
  <c r="T39" i="9"/>
  <c r="V39" i="9" s="1"/>
  <c r="W39" i="9" s="1"/>
  <c r="V38" i="9"/>
  <c r="W38" i="9" s="1"/>
  <c r="T38" i="9"/>
  <c r="T37" i="9"/>
  <c r="V37" i="9" s="1"/>
  <c r="W37" i="9" s="1"/>
  <c r="T36" i="9"/>
  <c r="T35" i="9"/>
  <c r="V35" i="9" s="1"/>
  <c r="W35" i="9" s="1"/>
  <c r="T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34" i="9"/>
  <c r="D63" i="9"/>
  <c r="F63" i="9" s="1"/>
  <c r="G63" i="9" s="1"/>
  <c r="D62" i="9"/>
  <c r="D61" i="9"/>
  <c r="F60" i="9"/>
  <c r="G60" i="9" s="1"/>
  <c r="D60" i="9"/>
  <c r="D59" i="9"/>
  <c r="D58" i="9"/>
  <c r="D57" i="9"/>
  <c r="F56" i="9"/>
  <c r="G56" i="9" s="1"/>
  <c r="D56" i="9"/>
  <c r="D55" i="9"/>
  <c r="D54" i="9"/>
  <c r="D53" i="9"/>
  <c r="F53" i="9" s="1"/>
  <c r="G53" i="9" s="1"/>
  <c r="D52" i="9"/>
  <c r="F52" i="9" s="1"/>
  <c r="G52" i="9" s="1"/>
  <c r="D51" i="9"/>
  <c r="F51" i="9" s="1"/>
  <c r="G51" i="9" s="1"/>
  <c r="D50" i="9"/>
  <c r="F49" i="9"/>
  <c r="G49" i="9" s="1"/>
  <c r="D49" i="9"/>
  <c r="D48" i="9"/>
  <c r="F48" i="9" s="1"/>
  <c r="G48" i="9" s="1"/>
  <c r="D47" i="9"/>
  <c r="D46" i="9"/>
  <c r="F46" i="9" s="1"/>
  <c r="G46" i="9" s="1"/>
  <c r="D45" i="9"/>
  <c r="F45" i="9" s="1"/>
  <c r="G45" i="9" s="1"/>
  <c r="D44" i="9"/>
  <c r="F44" i="9" s="1"/>
  <c r="G44" i="9" s="1"/>
  <c r="F43" i="9"/>
  <c r="G43" i="9" s="1"/>
  <c r="D43" i="9"/>
  <c r="D42" i="9"/>
  <c r="F42" i="9" s="1"/>
  <c r="G42" i="9" s="1"/>
  <c r="D41" i="9"/>
  <c r="D40" i="9"/>
  <c r="F40" i="9" s="1"/>
  <c r="G40" i="9" s="1"/>
  <c r="D39" i="9"/>
  <c r="D38" i="9"/>
  <c r="D37" i="9"/>
  <c r="F37" i="9" s="1"/>
  <c r="G37" i="9" s="1"/>
  <c r="F36" i="9"/>
  <c r="G36" i="9" s="1"/>
  <c r="D36" i="9"/>
  <c r="D35" i="9"/>
  <c r="D34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2" i="9"/>
  <c r="T2" i="9"/>
  <c r="X131" i="9" l="1"/>
  <c r="V178" i="9"/>
  <c r="W178" i="9" s="1"/>
  <c r="X178" i="9" s="1"/>
  <c r="V167" i="9"/>
  <c r="W167" i="9" s="1"/>
  <c r="V186" i="9"/>
  <c r="W186" i="9" s="1"/>
  <c r="V169" i="9"/>
  <c r="W169" i="9" s="1"/>
  <c r="X169" i="9" s="1"/>
  <c r="V175" i="9"/>
  <c r="W175" i="9" s="1"/>
  <c r="V170" i="9"/>
  <c r="W170" i="9" s="1"/>
  <c r="V183" i="9"/>
  <c r="W183" i="9" s="1"/>
  <c r="X184" i="9" s="1"/>
  <c r="V162" i="9"/>
  <c r="W162" i="9" s="1"/>
  <c r="X175" i="9"/>
  <c r="X172" i="9"/>
  <c r="V164" i="9"/>
  <c r="W164" i="9" s="1"/>
  <c r="X163" i="9" s="1"/>
  <c r="V189" i="9"/>
  <c r="W189" i="9" s="1"/>
  <c r="V190" i="9"/>
  <c r="W190" i="9" s="1"/>
  <c r="X187" i="9"/>
  <c r="X166" i="9"/>
  <c r="X181" i="9"/>
  <c r="F170" i="9"/>
  <c r="G170" i="9" s="1"/>
  <c r="H169" i="9" s="1"/>
  <c r="F178" i="9"/>
  <c r="G178" i="9" s="1"/>
  <c r="F185" i="9"/>
  <c r="G185" i="9" s="1"/>
  <c r="F186" i="9"/>
  <c r="G186" i="9" s="1"/>
  <c r="H187" i="9" s="1"/>
  <c r="F162" i="9"/>
  <c r="G162" i="9" s="1"/>
  <c r="H175" i="9"/>
  <c r="F177" i="9"/>
  <c r="G177" i="9" s="1"/>
  <c r="H178" i="9" s="1"/>
  <c r="F188" i="9"/>
  <c r="G188" i="9" s="1"/>
  <c r="F171" i="9"/>
  <c r="G171" i="9" s="1"/>
  <c r="H172" i="9" s="1"/>
  <c r="F182" i="9"/>
  <c r="G182" i="9" s="1"/>
  <c r="H181" i="9" s="1"/>
  <c r="F164" i="9"/>
  <c r="G164" i="9" s="1"/>
  <c r="H163" i="9" s="1"/>
  <c r="F190" i="9"/>
  <c r="G190" i="9" s="1"/>
  <c r="H190" i="9" s="1"/>
  <c r="F166" i="9"/>
  <c r="G166" i="9" s="1"/>
  <c r="H166" i="9"/>
  <c r="H184" i="9"/>
  <c r="V138" i="9"/>
  <c r="W138" i="9" s="1"/>
  <c r="V146" i="9"/>
  <c r="W146" i="9" s="1"/>
  <c r="V153" i="9"/>
  <c r="W153" i="9" s="1"/>
  <c r="V154" i="9"/>
  <c r="W154" i="9" s="1"/>
  <c r="V134" i="9"/>
  <c r="W134" i="9" s="1"/>
  <c r="X134" i="9" s="1"/>
  <c r="V145" i="9"/>
  <c r="W145" i="9" s="1"/>
  <c r="X146" i="9" s="1"/>
  <c r="V135" i="9"/>
  <c r="W135" i="9" s="1"/>
  <c r="V158" i="9"/>
  <c r="W158" i="9" s="1"/>
  <c r="X158" i="9" s="1"/>
  <c r="X149" i="9"/>
  <c r="X143" i="9"/>
  <c r="X140" i="9"/>
  <c r="X137" i="9"/>
  <c r="X152" i="9"/>
  <c r="X155" i="9"/>
  <c r="H140" i="9"/>
  <c r="F152" i="9"/>
  <c r="G152" i="9" s="1"/>
  <c r="H152" i="9" s="1"/>
  <c r="F154" i="9"/>
  <c r="G154" i="9" s="1"/>
  <c r="F136" i="9"/>
  <c r="G136" i="9" s="1"/>
  <c r="F137" i="9"/>
  <c r="G137" i="9" s="1"/>
  <c r="F138" i="9"/>
  <c r="G138" i="9" s="1"/>
  <c r="H137" i="9" s="1"/>
  <c r="F130" i="9"/>
  <c r="G130" i="9" s="1"/>
  <c r="F146" i="9"/>
  <c r="G146" i="9" s="1"/>
  <c r="H146" i="9" s="1"/>
  <c r="F132" i="9"/>
  <c r="G132" i="9" s="1"/>
  <c r="H131" i="9" s="1"/>
  <c r="F157" i="9"/>
  <c r="G157" i="9" s="1"/>
  <c r="F133" i="9"/>
  <c r="G133" i="9" s="1"/>
  <c r="H134" i="9" s="1"/>
  <c r="F158" i="9"/>
  <c r="G158" i="9" s="1"/>
  <c r="F144" i="9"/>
  <c r="G144" i="9" s="1"/>
  <c r="H143" i="9"/>
  <c r="H155" i="9"/>
  <c r="H149" i="9"/>
  <c r="V106" i="9"/>
  <c r="W106" i="9" s="1"/>
  <c r="V127" i="9"/>
  <c r="W127" i="9" s="1"/>
  <c r="V122" i="9"/>
  <c r="W122" i="9" s="1"/>
  <c r="V111" i="9"/>
  <c r="W111" i="9" s="1"/>
  <c r="V98" i="9"/>
  <c r="W98" i="9" s="1"/>
  <c r="X105" i="9"/>
  <c r="V124" i="9"/>
  <c r="W124" i="9" s="1"/>
  <c r="X123" i="9" s="1"/>
  <c r="V114" i="9"/>
  <c r="W114" i="9" s="1"/>
  <c r="X114" i="9" s="1"/>
  <c r="V101" i="9"/>
  <c r="W101" i="9" s="1"/>
  <c r="V125" i="9"/>
  <c r="W125" i="9" s="1"/>
  <c r="V100" i="9"/>
  <c r="W100" i="9" s="1"/>
  <c r="V107" i="9"/>
  <c r="W107" i="9" s="1"/>
  <c r="X108" i="9" s="1"/>
  <c r="V102" i="9"/>
  <c r="W102" i="9" s="1"/>
  <c r="X102" i="9" s="1"/>
  <c r="V126" i="9"/>
  <c r="W126" i="9" s="1"/>
  <c r="X126" i="9" s="1"/>
  <c r="V112" i="9"/>
  <c r="W112" i="9" s="1"/>
  <c r="X111" i="9" s="1"/>
  <c r="V120" i="9"/>
  <c r="W120" i="9" s="1"/>
  <c r="X120" i="9"/>
  <c r="X99" i="9"/>
  <c r="X117" i="9"/>
  <c r="F112" i="9"/>
  <c r="G112" i="9" s="1"/>
  <c r="F104" i="9"/>
  <c r="G104" i="9" s="1"/>
  <c r="F105" i="9"/>
  <c r="G105" i="9" s="1"/>
  <c r="H120" i="9"/>
  <c r="F125" i="9"/>
  <c r="G125" i="9" s="1"/>
  <c r="F98" i="9"/>
  <c r="G98" i="9" s="1"/>
  <c r="H105" i="9"/>
  <c r="H126" i="9"/>
  <c r="H108" i="9"/>
  <c r="H123" i="9"/>
  <c r="H102" i="9"/>
  <c r="H117" i="9"/>
  <c r="H99" i="9"/>
  <c r="H111" i="9"/>
  <c r="H114" i="9"/>
  <c r="V67" i="9"/>
  <c r="W67" i="9" s="1"/>
  <c r="V74" i="9"/>
  <c r="W74" i="9" s="1"/>
  <c r="V95" i="9"/>
  <c r="W95" i="9" s="1"/>
  <c r="V69" i="9"/>
  <c r="W69" i="9" s="1"/>
  <c r="V75" i="9"/>
  <c r="W75" i="9" s="1"/>
  <c r="X76" i="9" s="1"/>
  <c r="V89" i="9"/>
  <c r="W89" i="9" s="1"/>
  <c r="X88" i="9"/>
  <c r="V82" i="9"/>
  <c r="W82" i="9" s="1"/>
  <c r="V90" i="9"/>
  <c r="W90" i="9" s="1"/>
  <c r="V83" i="9"/>
  <c r="W83" i="9" s="1"/>
  <c r="V91" i="9"/>
  <c r="W91" i="9" s="1"/>
  <c r="V85" i="9"/>
  <c r="W85" i="9" s="1"/>
  <c r="V81" i="9"/>
  <c r="W81" i="9" s="1"/>
  <c r="V94" i="9"/>
  <c r="W94" i="9" s="1"/>
  <c r="X94" i="9" s="1"/>
  <c r="V68" i="9"/>
  <c r="W68" i="9" s="1"/>
  <c r="X67" i="9" s="1"/>
  <c r="V92" i="9"/>
  <c r="W92" i="9" s="1"/>
  <c r="X91" i="9" s="1"/>
  <c r="X79" i="9"/>
  <c r="X73" i="9"/>
  <c r="X85" i="9"/>
  <c r="X70" i="9"/>
  <c r="F90" i="9"/>
  <c r="G90" i="9" s="1"/>
  <c r="H91" i="9" s="1"/>
  <c r="F91" i="9"/>
  <c r="G91" i="9" s="1"/>
  <c r="F89" i="9"/>
  <c r="G89" i="9" s="1"/>
  <c r="H88" i="9" s="1"/>
  <c r="F67" i="9"/>
  <c r="G67" i="9" s="1"/>
  <c r="F77" i="9"/>
  <c r="G77" i="9" s="1"/>
  <c r="H76" i="9" s="1"/>
  <c r="F78" i="9"/>
  <c r="G78" i="9" s="1"/>
  <c r="H79" i="9" s="1"/>
  <c r="H85" i="9"/>
  <c r="F66" i="9"/>
  <c r="G66" i="9" s="1"/>
  <c r="H67" i="9" s="1"/>
  <c r="H70" i="9"/>
  <c r="H94" i="9"/>
  <c r="H82" i="9"/>
  <c r="H73" i="9"/>
  <c r="V48" i="9"/>
  <c r="W48" i="9" s="1"/>
  <c r="V50" i="9"/>
  <c r="W50" i="9" s="1"/>
  <c r="V57" i="9"/>
  <c r="W57" i="9" s="1"/>
  <c r="V58" i="9"/>
  <c r="W58" i="9" s="1"/>
  <c r="V40" i="9"/>
  <c r="W40" i="9" s="1"/>
  <c r="X59" i="9"/>
  <c r="V54" i="9"/>
  <c r="W54" i="9" s="1"/>
  <c r="X53" i="9" s="1"/>
  <c r="X56" i="9"/>
  <c r="X62" i="9"/>
  <c r="V36" i="9"/>
  <c r="W36" i="9" s="1"/>
  <c r="X35" i="9" s="1"/>
  <c r="X38" i="9"/>
  <c r="X47" i="9"/>
  <c r="X41" i="9"/>
  <c r="X50" i="9"/>
  <c r="X44" i="9"/>
  <c r="F50" i="9"/>
  <c r="G50" i="9" s="1"/>
  <c r="F57" i="9"/>
  <c r="G57" i="9" s="1"/>
  <c r="F58" i="9"/>
  <c r="G58" i="9" s="1"/>
  <c r="H59" i="9" s="1"/>
  <c r="F59" i="9"/>
  <c r="G59" i="9" s="1"/>
  <c r="F39" i="9"/>
  <c r="G39" i="9" s="1"/>
  <c r="F47" i="9"/>
  <c r="G47" i="9" s="1"/>
  <c r="H47" i="9" s="1"/>
  <c r="F41" i="9"/>
  <c r="G41" i="9" s="1"/>
  <c r="H41" i="9" s="1"/>
  <c r="F55" i="9"/>
  <c r="G55" i="9" s="1"/>
  <c r="H56" i="9" s="1"/>
  <c r="F61" i="9"/>
  <c r="G61" i="9" s="1"/>
  <c r="F34" i="9"/>
  <c r="G34" i="9" s="1"/>
  <c r="H44" i="9"/>
  <c r="F54" i="9"/>
  <c r="G54" i="9" s="1"/>
  <c r="H53" i="9" s="1"/>
  <c r="F38" i="9"/>
  <c r="G38" i="9" s="1"/>
  <c r="F62" i="9"/>
  <c r="G62" i="9" s="1"/>
  <c r="H62" i="9" s="1"/>
  <c r="F35" i="9"/>
  <c r="G35" i="9" s="1"/>
  <c r="H35" i="9" s="1"/>
  <c r="H38" i="9"/>
  <c r="H50" i="9"/>
  <c r="T8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7" i="9"/>
  <c r="T6" i="9"/>
  <c r="T5" i="9"/>
  <c r="T4" i="9"/>
  <c r="T3" i="9"/>
  <c r="X190" i="9" l="1"/>
  <c r="H158" i="9"/>
  <c r="X82" i="9"/>
  <c r="V31" i="9"/>
  <c r="W31" i="9" s="1"/>
  <c r="V30" i="9"/>
  <c r="W30" i="9" s="1"/>
  <c r="V23" i="9"/>
  <c r="W23" i="9" s="1"/>
  <c r="V25" i="9"/>
  <c r="W25" i="9" s="1"/>
  <c r="V29" i="9"/>
  <c r="W29" i="9" s="1"/>
  <c r="V18" i="9"/>
  <c r="W18" i="9" s="1"/>
  <c r="V26" i="9"/>
  <c r="W26" i="9" s="1"/>
  <c r="V4" i="9"/>
  <c r="W4" i="9" s="1"/>
  <c r="V8" i="9"/>
  <c r="W8" i="9" s="1"/>
  <c r="V12" i="9"/>
  <c r="W12" i="9" s="1"/>
  <c r="V5" i="9"/>
  <c r="W5" i="9" s="1"/>
  <c r="V16" i="9"/>
  <c r="W16" i="9" s="1"/>
  <c r="V3" i="9"/>
  <c r="W3" i="9" s="1"/>
  <c r="V22" i="9"/>
  <c r="W22" i="9" s="1"/>
  <c r="V19" i="9"/>
  <c r="W19" i="9" s="1"/>
  <c r="V2" i="9"/>
  <c r="W2" i="9" s="1"/>
  <c r="V9" i="9"/>
  <c r="W9" i="9" s="1"/>
  <c r="V13" i="9"/>
  <c r="W13" i="9" s="1"/>
  <c r="V17" i="9"/>
  <c r="W17" i="9" s="1"/>
  <c r="V20" i="9"/>
  <c r="W20" i="9" s="1"/>
  <c r="V24" i="9"/>
  <c r="W24" i="9" s="1"/>
  <c r="V28" i="9"/>
  <c r="W28" i="9" s="1"/>
  <c r="V10" i="9"/>
  <c r="W10" i="9" s="1"/>
  <c r="V21" i="9"/>
  <c r="W21" i="9" s="1"/>
  <c r="V7" i="9"/>
  <c r="W7" i="9" s="1"/>
  <c r="V14" i="9"/>
  <c r="W14" i="9" s="1"/>
  <c r="V11" i="9"/>
  <c r="W11" i="9" s="1"/>
  <c r="V27" i="9"/>
  <c r="W27" i="9" s="1"/>
  <c r="V15" i="9"/>
  <c r="W15" i="9" s="1"/>
  <c r="V6" i="9"/>
  <c r="W6" i="9" s="1"/>
  <c r="X9" i="9" l="1"/>
  <c r="X30" i="9"/>
  <c r="X24" i="9"/>
  <c r="X3" i="9"/>
  <c r="X21" i="9"/>
  <c r="X27" i="9"/>
  <c r="X18" i="9"/>
  <c r="X6" i="9"/>
  <c r="X12" i="9"/>
  <c r="X15" i="9"/>
</calcChain>
</file>

<file path=xl/sharedStrings.xml><?xml version="1.0" encoding="utf-8"?>
<sst xmlns="http://schemas.openxmlformats.org/spreadsheetml/2006/main" count="2641" uniqueCount="140">
  <si>
    <t>dCT</t>
  </si>
  <si>
    <t>dCT avg</t>
  </si>
  <si>
    <t>ddCT</t>
  </si>
  <si>
    <t>Fold change</t>
  </si>
  <si>
    <t>Mean</t>
  </si>
  <si>
    <t>SD</t>
  </si>
  <si>
    <t>SYBR</t>
  </si>
  <si>
    <t>A01</t>
  </si>
  <si>
    <t>Unkn</t>
  </si>
  <si>
    <t>N/A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</si>
  <si>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</si>
  <si>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</si>
  <si>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</si>
  <si>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</si>
  <si>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</si>
  <si>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</si>
  <si>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</si>
  <si>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</si>
  <si>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</si>
  <si>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</si>
  <si>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</si>
  <si>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</si>
  <si>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</si>
  <si>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</si>
  <si>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</si>
  <si>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</si>
  <si>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</si>
  <si>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</si>
  <si>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</si>
  <si>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</si>
  <si>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</si>
  <si>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</si>
  <si>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</si>
  <si>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</si>
  <si>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</si>
  <si>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</si>
  <si>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</si>
  <si>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</si>
  <si>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</si>
  <si>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</si>
  <si>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</si>
  <si>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</si>
  <si>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</si>
  <si>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</si>
  <si>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</si>
  <si>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</si>
  <si>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</si>
  <si>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</si>
  <si>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</si>
  <si>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</si>
  <si>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</si>
  <si>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</si>
  <si>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</si>
  <si>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</si>
  <si>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</si>
  <si>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</si>
  <si>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</si>
  <si>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</si>
  <si>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</si>
  <si>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</si>
  <si>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</si>
  <si>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</si>
  <si>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</si>
  <si>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</si>
  <si>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</si>
  <si>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</si>
  <si>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</si>
  <si>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</si>
  <si>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</si>
  <si>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</si>
  <si>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</si>
  <si>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</si>
  <si>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</si>
  <si>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</si>
  <si>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</si>
  <si>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</si>
  <si>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</si>
  <si>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</si>
  <si>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</si>
  <si>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</si>
  <si>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</si>
  <si>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</si>
  <si>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</si>
  <si>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</si>
  <si>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</si>
  <si>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</si>
  <si>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</si>
  <si>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</si>
  <si>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</si>
  <si>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</si>
  <si>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</si>
  <si>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</si>
  <si>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</si>
  <si>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</si>
  <si>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</si>
  <si>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</si>
  <si>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</si>
  <si>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</si>
  <si>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</si>
  <si>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</si>
  <si>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</si>
  <si>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</si>
  <si>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</si>
  <si>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</si>
  <si>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</si>
  <si>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Fluor</t>
  </si>
  <si>
    <t>Well</t>
  </si>
  <si>
    <t>Type</t>
  </si>
  <si>
    <t>Ident.</t>
  </si>
  <si>
    <t>Rep</t>
  </si>
  <si>
    <t>Ct</t>
  </si>
  <si>
    <t>Log</t>
  </si>
  <si>
    <t>SQ</t>
  </si>
  <si>
    <t>Set</t>
  </si>
  <si>
    <t>-</t>
  </si>
  <si>
    <t>GAPDH</t>
  </si>
  <si>
    <t>Point</t>
  </si>
  <si>
    <t>Group</t>
  </si>
  <si>
    <t>ID</t>
  </si>
  <si>
    <t>CCL2</t>
  </si>
  <si>
    <t>IL-1B</t>
  </si>
  <si>
    <t>GM-CSF</t>
  </si>
  <si>
    <t>CCL11</t>
  </si>
  <si>
    <t>CCL24</t>
  </si>
  <si>
    <t>Fibroblasts Alone
No stim</t>
  </si>
  <si>
    <t>Fibroblasts Alone
LPS</t>
  </si>
  <si>
    <t>IL-6</t>
  </si>
  <si>
    <t>MHCII</t>
  </si>
  <si>
    <t>MMP9</t>
  </si>
  <si>
    <t>MMP12</t>
  </si>
  <si>
    <t>TIMP1</t>
  </si>
  <si>
    <t>aSMA</t>
  </si>
  <si>
    <t>Fibroblasts + BMDM
No Stim</t>
  </si>
  <si>
    <t>Fibroblasts + BMDM
LPS</t>
  </si>
  <si>
    <t>Fibroblasts + BMDM Transwell
No Stim</t>
  </si>
  <si>
    <t>Fibroblasts + BMDM
Transwell
LPS</t>
  </si>
  <si>
    <t>Fibroblasts + PM
No Stim</t>
  </si>
  <si>
    <t>Fibroblasts + PM
LPS</t>
  </si>
  <si>
    <t>Fibroblasts + PM
Transwell
No Stim</t>
  </si>
  <si>
    <t>Fibroblasts + PM
Transwell
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</si>
</sst>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11" fontId="1" fillId="0" borderId="0" xfId="0" applyNumberFormat="1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E2A2-68E4-4567-804E-66B3EE99F653}">
  <dimension ref="A1:BJ191"/>
  <sheetViews>
    <sheetView tabSelected="1" topLeftCell="Q125" zoomScaleNormal="100" workbookViewId="0">
      <selection activeCell="Y130" sqref="Y130:Y133"/>
    </sheetView>
  </sheetViews>
  <sheetFormatPr defaultRowHeight="14.5" x14ac:dyDescent="0.35"/>
  <cols>
    <col min="1" max="1" width="12" customWidth="1"/>
    <col min="9" max="9" width="11.36328125" bestFit="1" customWidth="1"/>
    <col min="14" max="14" width="10.81640625" customWidth="1"/>
    <col min="17" max="17" width="20.6328125" customWidth="1"/>
    <col min="23" max="23" width="7.6328125" customWidth="1"/>
    <col min="24" max="24" width="13.7265625" customWidth="1"/>
  </cols>
  <sheetData>
    <row r="1" spans="1:62" x14ac:dyDescent="0.35">
      <c r="A1" t="s">
        <v>117</v>
      </c>
      <c r="B1" t="s">
        <v>118</v>
      </c>
      <c r="C1" t="s">
        <v>122</v>
      </c>
      <c r="D1" t="s">
        <v>123</v>
      </c>
      <c r="E1" t="s">
        <v>119</v>
      </c>
      <c r="F1" t="s">
        <v>120</v>
      </c>
      <c r="G1" t="s">
        <v>121</v>
      </c>
      <c r="H1" t="s">
        <v>131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115</v>
      </c>
      <c r="Q1" s="2"/>
      <c r="R1" s="1" t="s">
        <v>122</v>
      </c>
      <c r="S1" s="1" t="s">
        <v>115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</row>
    <row r="2" spans="1:62" ht="14.5" customHeight="1" x14ac:dyDescent="0.35">
      <c r="A2" s="9" t="s">
        <v>124</v>
      </c>
      <c r="B2" s="5">
        <v>1</v>
      </c>
      <c r="C2" s="3">
        <v>30.99</v>
      </c>
      <c r="D2" s="3">
        <v>34.69</v>
      </c>
      <c r="E2" s="3">
        <v>23.53</v>
      </c>
      <c r="F2" s="3">
        <v>36.479999999999997</v>
      </c>
      <c r="G2" s="3">
        <v>37.53</v>
      </c>
      <c r="H2" s="3">
        <v>33.49</v>
      </c>
      <c r="I2" s="3">
        <v>25.85</v>
      </c>
      <c r="J2" s="3">
        <v>34.17</v>
      </c>
      <c r="K2" s="3">
        <v>31.88</v>
      </c>
      <c r="L2" s="3">
        <v>34.97</v>
      </c>
      <c r="M2" s="3">
        <v>26.98</v>
      </c>
      <c r="N2" s="3">
        <v>29.49</v>
      </c>
      <c r="O2" s="3"/>
      <c r="Q2" s="9" t="s">
        <v>124</v>
      </c>
      <c r="R2" s="3">
        <v>30.99</v>
      </c>
      <c r="S2" s="3">
        <v>29.49</v>
      </c>
      <c r="T2" s="1">
        <f>R2-S2</f>
        <v>1.5</v>
      </c>
      <c r="U2" s="1">
        <f>AVERAGE($R$2:$R$4)-AVERAGE($S$2:$S$4)</f>
        <v>1.3999999999999986</v>
      </c>
      <c r="V2" s="1">
        <f>T2-U2</f>
        <v>0.10000000000000142</v>
      </c>
      <c r="W2" s="1">
        <f>2^-V2</f>
        <v>0.93303299153680652</v>
      </c>
      <c r="X2" s="1"/>
      <c r="Y2" s="1"/>
      <c r="Z2">
        <v>0.93303299153680652</v>
      </c>
    </row>
    <row r="3" spans="1:62" x14ac:dyDescent="0.35">
      <c r="A3" s="9"/>
      <c r="B3" s="5">
        <v>2</v>
      </c>
      <c r="C3" s="3">
        <v>30.45</v>
      </c>
      <c r="D3" s="3">
        <v>33.6</v>
      </c>
      <c r="E3" s="3">
        <v>22.88</v>
      </c>
      <c r="F3" s="3">
        <v>34.090000000000003</v>
      </c>
      <c r="G3" s="3">
        <v>36.46</v>
      </c>
      <c r="H3" s="3">
        <v>32.880000000000003</v>
      </c>
      <c r="I3" s="3">
        <v>25.31</v>
      </c>
      <c r="J3" s="3">
        <v>29.86</v>
      </c>
      <c r="K3" s="3">
        <v>31.59</v>
      </c>
      <c r="L3" s="3">
        <v>33.56</v>
      </c>
      <c r="M3" s="3">
        <v>26.48</v>
      </c>
      <c r="N3" s="3">
        <v>28.89</v>
      </c>
      <c r="O3" s="3"/>
      <c r="Q3" s="9"/>
      <c r="R3" s="3">
        <v>30.45</v>
      </c>
      <c r="S3" s="3">
        <v>28.89</v>
      </c>
      <c r="T3" s="1">
        <f t="shared" ref="T3" si="0">R3-S3</f>
        <v>1.5599999999999987</v>
      </c>
      <c r="U3" s="1">
        <f t="shared" ref="U3:U31" si="1">AVERAGE($R$2:$R$4)-AVERAGE($S$2:$S$4)</f>
        <v>1.3999999999999986</v>
      </c>
      <c r="V3" s="1">
        <f t="shared" ref="V3:V28" si="2">T3-U3</f>
        <v>0.16000000000000014</v>
      </c>
      <c r="W3" s="1">
        <f t="shared" ref="W3:W28" si="3">2^-V3</f>
        <v>0.89502507092797234</v>
      </c>
      <c r="X3" s="1">
        <f>AVERAGE(W2:W4)</f>
        <v>1.0085122556945685</v>
      </c>
      <c r="Y3" s="1"/>
      <c r="Z3">
        <v>0.89502507092797234</v>
      </c>
    </row>
    <row r="4" spans="1:62" x14ac:dyDescent="0.35">
      <c r="A4" s="9"/>
      <c r="B4" s="5">
        <v>3</v>
      </c>
      <c r="C4" s="3">
        <v>30.45</v>
      </c>
      <c r="D4" s="3">
        <v>33.99</v>
      </c>
      <c r="E4" s="3">
        <v>22.46</v>
      </c>
      <c r="F4" s="3">
        <v>35.64</v>
      </c>
      <c r="G4" s="3" t="s">
        <v>9</v>
      </c>
      <c r="H4" s="3">
        <v>32.299999999999997</v>
      </c>
      <c r="I4" s="3">
        <v>24.73</v>
      </c>
      <c r="J4" s="3">
        <v>27.29</v>
      </c>
      <c r="K4" s="3">
        <v>32.450000000000003</v>
      </c>
      <c r="L4" s="3">
        <v>34.01</v>
      </c>
      <c r="M4" s="3">
        <v>26.62</v>
      </c>
      <c r="N4" s="3">
        <v>29.31</v>
      </c>
      <c r="O4" s="3"/>
      <c r="Q4" s="9"/>
      <c r="R4" s="3">
        <v>30.45</v>
      </c>
      <c r="S4" s="3">
        <v>29.31</v>
      </c>
      <c r="T4" s="1">
        <f>R4-S4</f>
        <v>1.1400000000000006</v>
      </c>
      <c r="U4" s="1">
        <f t="shared" si="1"/>
        <v>1.3999999999999986</v>
      </c>
      <c r="V4" s="1">
        <f t="shared" si="2"/>
        <v>-0.25999999999999801</v>
      </c>
      <c r="W4" s="1">
        <f t="shared" si="3"/>
        <v>1.197478704618927</v>
      </c>
      <c r="Z4">
        <v>1.197478704618927</v>
      </c>
    </row>
    <row r="5" spans="1:62" ht="16.5" customHeight="1" x14ac:dyDescent="0.35">
      <c r="A5" s="9" t="s">
        <v>125</v>
      </c>
      <c r="B5" s="5">
        <v>1</v>
      </c>
      <c r="C5" s="3">
        <v>26.88</v>
      </c>
      <c r="D5" s="3">
        <v>35.049999999999997</v>
      </c>
      <c r="E5" s="3">
        <v>20.16</v>
      </c>
      <c r="F5" s="3">
        <v>29.85</v>
      </c>
      <c r="G5" s="3">
        <v>33.82</v>
      </c>
      <c r="H5" s="3">
        <v>34.090000000000003</v>
      </c>
      <c r="I5" s="3">
        <v>21.81</v>
      </c>
      <c r="J5" s="3">
        <v>34.049999999999997</v>
      </c>
      <c r="K5" s="3">
        <v>27.88</v>
      </c>
      <c r="L5" s="3">
        <v>33.94</v>
      </c>
      <c r="M5" s="3">
        <v>26.24</v>
      </c>
      <c r="N5" s="3">
        <v>28.73</v>
      </c>
      <c r="O5" s="3"/>
      <c r="Q5" s="9" t="s">
        <v>125</v>
      </c>
      <c r="R5" s="3">
        <v>26.88</v>
      </c>
      <c r="S5" s="3">
        <v>28.73</v>
      </c>
      <c r="T5" s="1">
        <f t="shared" ref="T5:T28" si="4">R5-S5</f>
        <v>-1.8500000000000014</v>
      </c>
      <c r="U5" s="1">
        <f t="shared" si="1"/>
        <v>1.3999999999999986</v>
      </c>
      <c r="V5" s="1">
        <f t="shared" si="2"/>
        <v>-3.25</v>
      </c>
      <c r="W5" s="1">
        <f t="shared" si="3"/>
        <v>9.5136569200217664</v>
      </c>
      <c r="Z5">
        <v>9.5136569200217664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</row>
    <row r="6" spans="1:62" x14ac:dyDescent="0.35">
      <c r="A6" s="9"/>
      <c r="B6" s="5">
        <v>2</v>
      </c>
      <c r="C6" s="3">
        <v>28.57</v>
      </c>
      <c r="D6" s="3">
        <v>35.729999999999997</v>
      </c>
      <c r="E6" s="3">
        <v>20.68</v>
      </c>
      <c r="F6" s="3">
        <v>31.62</v>
      </c>
      <c r="G6" s="3">
        <v>34.700000000000003</v>
      </c>
      <c r="H6" s="3">
        <v>33.01</v>
      </c>
      <c r="I6" s="3">
        <v>23.08</v>
      </c>
      <c r="J6" s="3">
        <v>34.76</v>
      </c>
      <c r="K6" s="3">
        <v>27.68</v>
      </c>
      <c r="L6" s="3">
        <v>34.590000000000003</v>
      </c>
      <c r="M6" s="3">
        <v>26.58</v>
      </c>
      <c r="N6" s="3">
        <v>28.85</v>
      </c>
      <c r="O6" s="3"/>
      <c r="Q6" s="9"/>
      <c r="R6" s="3">
        <v>28.57</v>
      </c>
      <c r="S6" s="3">
        <v>28.85</v>
      </c>
      <c r="T6" s="1">
        <f t="shared" si="4"/>
        <v>-0.28000000000000114</v>
      </c>
      <c r="U6" s="1">
        <f t="shared" si="1"/>
        <v>1.3999999999999986</v>
      </c>
      <c r="V6" s="1">
        <f t="shared" si="2"/>
        <v>-1.6799999999999997</v>
      </c>
      <c r="W6" s="1">
        <f t="shared" si="3"/>
        <v>3.2042795103584876</v>
      </c>
      <c r="X6" s="1">
        <f>AVERAGE(W5:W7)</f>
        <v>5.1500056479630141</v>
      </c>
      <c r="Z6">
        <v>3.2042795103584876</v>
      </c>
      <c r="AX6" s="6"/>
    </row>
    <row r="7" spans="1:62" x14ac:dyDescent="0.35">
      <c r="A7" s="9"/>
      <c r="B7" s="5">
        <v>3</v>
      </c>
      <c r="C7" s="3">
        <v>28.74</v>
      </c>
      <c r="D7" s="3">
        <v>36.39</v>
      </c>
      <c r="E7" s="3">
        <v>20.65</v>
      </c>
      <c r="F7" s="3">
        <v>30.91</v>
      </c>
      <c r="G7" s="3">
        <v>35.08</v>
      </c>
      <c r="H7" s="3">
        <v>32.950000000000003</v>
      </c>
      <c r="I7" s="3">
        <v>23.52</v>
      </c>
      <c r="J7" s="3">
        <v>34.630000000000003</v>
      </c>
      <c r="K7" s="3">
        <v>27.17</v>
      </c>
      <c r="L7" s="3">
        <v>34.880000000000003</v>
      </c>
      <c r="M7" s="3">
        <v>26.67</v>
      </c>
      <c r="N7" s="3">
        <v>28.79</v>
      </c>
      <c r="O7" s="3"/>
      <c r="Q7" s="9"/>
      <c r="R7" s="3">
        <v>28.74</v>
      </c>
      <c r="S7" s="3">
        <v>28.79</v>
      </c>
      <c r="T7" s="1">
        <f t="shared" si="4"/>
        <v>-5.0000000000000711E-2</v>
      </c>
      <c r="U7" s="1">
        <f t="shared" si="1"/>
        <v>1.3999999999999986</v>
      </c>
      <c r="V7" s="1">
        <f t="shared" si="2"/>
        <v>-1.4499999999999993</v>
      </c>
      <c r="W7" s="1">
        <f t="shared" si="3"/>
        <v>2.7320805135087896</v>
      </c>
      <c r="Z7">
        <v>2.7320805135087896</v>
      </c>
    </row>
    <row r="8" spans="1:62" ht="14.5" customHeight="1" x14ac:dyDescent="0.35">
      <c r="A8" s="9" t="s">
        <v>132</v>
      </c>
      <c r="B8" s="5">
        <v>1</v>
      </c>
      <c r="C8" s="3">
        <v>30.26</v>
      </c>
      <c r="D8" s="3">
        <v>35.03</v>
      </c>
      <c r="E8" s="3">
        <v>20.93</v>
      </c>
      <c r="F8" s="3">
        <v>33.880000000000003</v>
      </c>
      <c r="G8" s="3">
        <v>38.130000000000003</v>
      </c>
      <c r="H8" s="3">
        <v>34.340000000000003</v>
      </c>
      <c r="I8" s="3">
        <v>25.1</v>
      </c>
      <c r="J8" s="3">
        <v>33.15</v>
      </c>
      <c r="K8" s="3">
        <v>31.3</v>
      </c>
      <c r="L8" s="3">
        <v>28.44</v>
      </c>
      <c r="M8" s="3">
        <v>27.72</v>
      </c>
      <c r="N8" s="3">
        <v>29.49</v>
      </c>
      <c r="O8" s="3"/>
      <c r="Q8" s="9" t="s">
        <v>132</v>
      </c>
      <c r="R8" s="3">
        <v>30.26</v>
      </c>
      <c r="S8" s="3">
        <v>29.49</v>
      </c>
      <c r="T8" s="1">
        <f>R8-S8</f>
        <v>0.77000000000000313</v>
      </c>
      <c r="U8" s="1">
        <f t="shared" si="1"/>
        <v>1.3999999999999986</v>
      </c>
      <c r="V8" s="1">
        <f t="shared" si="2"/>
        <v>-0.62999999999999545</v>
      </c>
      <c r="W8" s="1">
        <f t="shared" si="3"/>
        <v>1.547564993542385</v>
      </c>
      <c r="Z8">
        <v>1.547564993542385</v>
      </c>
    </row>
    <row r="9" spans="1:62" x14ac:dyDescent="0.35">
      <c r="A9" s="9"/>
      <c r="B9" s="5">
        <v>2</v>
      </c>
      <c r="C9" s="3">
        <v>30.27</v>
      </c>
      <c r="D9" s="3">
        <v>36.270000000000003</v>
      </c>
      <c r="E9" s="3">
        <v>21.14</v>
      </c>
      <c r="F9" s="3">
        <v>35.880000000000003</v>
      </c>
      <c r="G9" s="3" t="s">
        <v>9</v>
      </c>
      <c r="H9" s="3">
        <v>34.200000000000003</v>
      </c>
      <c r="I9" s="3">
        <v>25.09</v>
      </c>
      <c r="J9" s="3">
        <v>32.71</v>
      </c>
      <c r="K9" s="3">
        <v>32.26</v>
      </c>
      <c r="L9" s="3">
        <v>28.64</v>
      </c>
      <c r="M9" s="3">
        <v>27.83</v>
      </c>
      <c r="N9" s="3">
        <v>29.71</v>
      </c>
      <c r="O9" s="3"/>
      <c r="Q9" s="9"/>
      <c r="R9" s="3">
        <v>30.27</v>
      </c>
      <c r="S9" s="3">
        <v>29.71</v>
      </c>
      <c r="T9" s="1">
        <f t="shared" si="4"/>
        <v>0.55999999999999872</v>
      </c>
      <c r="U9" s="1">
        <f t="shared" si="1"/>
        <v>1.3999999999999986</v>
      </c>
      <c r="V9" s="1">
        <f t="shared" si="2"/>
        <v>-0.83999999999999986</v>
      </c>
      <c r="W9" s="1">
        <f t="shared" si="3"/>
        <v>1.7900501418559447</v>
      </c>
      <c r="X9" s="1">
        <f>AVERAGE(W8:W10)</f>
        <v>1.8320238694690609</v>
      </c>
      <c r="Z9">
        <v>1.7900501418559447</v>
      </c>
    </row>
    <row r="10" spans="1:62" x14ac:dyDescent="0.35">
      <c r="A10" s="9"/>
      <c r="B10" s="5">
        <v>3</v>
      </c>
      <c r="C10" s="3">
        <v>29.48</v>
      </c>
      <c r="D10" s="3">
        <v>33.479999999999997</v>
      </c>
      <c r="E10" s="3">
        <v>20.99</v>
      </c>
      <c r="F10" s="3">
        <v>33.1</v>
      </c>
      <c r="G10" s="3">
        <v>36.47</v>
      </c>
      <c r="H10" s="3">
        <v>34.01</v>
      </c>
      <c r="I10" s="3">
        <v>24.72</v>
      </c>
      <c r="J10" s="3">
        <v>32.049999999999997</v>
      </c>
      <c r="K10" s="3">
        <v>31.05</v>
      </c>
      <c r="L10" s="3">
        <v>27.99</v>
      </c>
      <c r="M10" s="3">
        <v>26.95</v>
      </c>
      <c r="N10" s="3">
        <v>29.19</v>
      </c>
      <c r="O10" s="3"/>
      <c r="Q10" s="9"/>
      <c r="R10" s="3">
        <v>29.48</v>
      </c>
      <c r="S10" s="3">
        <v>29.19</v>
      </c>
      <c r="T10" s="1">
        <f t="shared" si="4"/>
        <v>0.28999999999999915</v>
      </c>
      <c r="U10" s="1">
        <f t="shared" si="1"/>
        <v>1.3999999999999986</v>
      </c>
      <c r="V10" s="1">
        <f t="shared" si="2"/>
        <v>-1.1099999999999994</v>
      </c>
      <c r="W10" s="1">
        <f t="shared" si="3"/>
        <v>2.1584564730088536</v>
      </c>
      <c r="Z10">
        <v>2.1584564730088536</v>
      </c>
    </row>
    <row r="11" spans="1:62" ht="14.5" customHeight="1" x14ac:dyDescent="0.35">
      <c r="A11" s="9" t="s">
        <v>133</v>
      </c>
      <c r="B11" s="5">
        <v>1</v>
      </c>
      <c r="C11" s="3">
        <v>26.72</v>
      </c>
      <c r="D11" s="3">
        <v>34.61</v>
      </c>
      <c r="E11" s="3">
        <v>18.55</v>
      </c>
      <c r="F11" s="3">
        <v>21.75</v>
      </c>
      <c r="G11" s="3">
        <v>31.3</v>
      </c>
      <c r="H11" s="3">
        <v>34.83</v>
      </c>
      <c r="I11" s="3">
        <v>20.23</v>
      </c>
      <c r="J11" s="3">
        <v>31.37</v>
      </c>
      <c r="K11" s="3">
        <v>26.27</v>
      </c>
      <c r="L11" s="3">
        <v>27.42</v>
      </c>
      <c r="M11" s="3">
        <v>26.77</v>
      </c>
      <c r="N11" s="3">
        <v>29.11</v>
      </c>
      <c r="O11" s="3"/>
      <c r="Q11" s="9" t="s">
        <v>133</v>
      </c>
      <c r="R11" s="3">
        <v>26.72</v>
      </c>
      <c r="S11" s="3">
        <v>29.11</v>
      </c>
      <c r="T11" s="1">
        <f t="shared" si="4"/>
        <v>-2.3900000000000006</v>
      </c>
      <c r="U11" s="1">
        <f t="shared" si="1"/>
        <v>1.3999999999999986</v>
      </c>
      <c r="V11" s="1">
        <f t="shared" si="2"/>
        <v>-3.7899999999999991</v>
      </c>
      <c r="W11" s="1">
        <f t="shared" si="3"/>
        <v>13.832595700925832</v>
      </c>
      <c r="Z11">
        <v>13.832595700925832</v>
      </c>
    </row>
    <row r="12" spans="1:62" x14ac:dyDescent="0.35">
      <c r="A12" s="9"/>
      <c r="B12" s="5">
        <v>2</v>
      </c>
      <c r="C12" s="3">
        <v>26.26</v>
      </c>
      <c r="D12" s="3">
        <v>34.56</v>
      </c>
      <c r="E12" s="3">
        <v>18.3</v>
      </c>
      <c r="F12" s="3">
        <v>21.67</v>
      </c>
      <c r="G12" s="3">
        <v>31</v>
      </c>
      <c r="H12" s="3">
        <v>34.119999999999997</v>
      </c>
      <c r="I12" s="3">
        <v>20.010000000000002</v>
      </c>
      <c r="J12" s="3">
        <v>30.74</v>
      </c>
      <c r="K12" s="3">
        <v>26.33</v>
      </c>
      <c r="L12" s="3">
        <v>27.39</v>
      </c>
      <c r="M12" s="3">
        <v>26.58</v>
      </c>
      <c r="N12" s="3">
        <v>28.9</v>
      </c>
      <c r="O12" s="3"/>
      <c r="Q12" s="9"/>
      <c r="R12" s="3">
        <v>26.26</v>
      </c>
      <c r="S12" s="3">
        <v>28.9</v>
      </c>
      <c r="T12" s="1">
        <f t="shared" si="4"/>
        <v>-2.639999999999997</v>
      </c>
      <c r="U12" s="1">
        <f t="shared" si="1"/>
        <v>1.3999999999999986</v>
      </c>
      <c r="V12" s="1">
        <f t="shared" si="2"/>
        <v>-4.0399999999999956</v>
      </c>
      <c r="W12" s="1">
        <f t="shared" si="3"/>
        <v>16.449821226497015</v>
      </c>
      <c r="X12" s="1">
        <f>AVERAGE(W11:W13)</f>
        <v>15.577412717973298</v>
      </c>
      <c r="Z12">
        <v>16.449821226497015</v>
      </c>
    </row>
    <row r="13" spans="1:62" x14ac:dyDescent="0.35">
      <c r="A13" s="9"/>
      <c r="B13" s="5">
        <v>3</v>
      </c>
      <c r="C13" s="3">
        <v>26.8</v>
      </c>
      <c r="D13" s="3">
        <v>35.200000000000003</v>
      </c>
      <c r="E13" s="3">
        <v>18.850000000000001</v>
      </c>
      <c r="F13" s="3">
        <v>22.07</v>
      </c>
      <c r="G13" s="3">
        <v>31.38</v>
      </c>
      <c r="H13" s="3">
        <v>35.1</v>
      </c>
      <c r="I13" s="3">
        <v>20.47</v>
      </c>
      <c r="J13" s="3">
        <v>32.51</v>
      </c>
      <c r="K13" s="3">
        <v>26.44</v>
      </c>
      <c r="L13" s="3">
        <v>28.37</v>
      </c>
      <c r="M13" s="3">
        <v>26.87</v>
      </c>
      <c r="N13" s="3">
        <v>29.44</v>
      </c>
      <c r="O13" s="3"/>
      <c r="Q13" s="9"/>
      <c r="R13" s="3">
        <v>26.8</v>
      </c>
      <c r="S13" s="3">
        <v>29.44</v>
      </c>
      <c r="T13" s="1">
        <f t="shared" si="4"/>
        <v>-2.6400000000000006</v>
      </c>
      <c r="U13" s="1">
        <f t="shared" si="1"/>
        <v>1.3999999999999986</v>
      </c>
      <c r="V13" s="1">
        <f t="shared" si="2"/>
        <v>-4.0399999999999991</v>
      </c>
      <c r="W13" s="1">
        <f t="shared" si="3"/>
        <v>16.44982122649705</v>
      </c>
      <c r="Z13">
        <v>16.44982122649705</v>
      </c>
    </row>
    <row r="14" spans="1:62" ht="14.5" customHeight="1" x14ac:dyDescent="0.35">
      <c r="A14" s="9" t="s">
        <v>134</v>
      </c>
      <c r="B14" s="5">
        <v>1</v>
      </c>
      <c r="C14" s="3">
        <v>31.35</v>
      </c>
      <c r="D14" s="3">
        <v>34.68</v>
      </c>
      <c r="E14" s="3">
        <v>23.8</v>
      </c>
      <c r="F14" s="3">
        <v>30.03</v>
      </c>
      <c r="G14" s="3">
        <v>35.74</v>
      </c>
      <c r="H14" s="3">
        <v>34.6</v>
      </c>
      <c r="I14" s="3">
        <v>26.61</v>
      </c>
      <c r="J14" s="3">
        <v>32.42</v>
      </c>
      <c r="K14" s="3">
        <v>31.7</v>
      </c>
      <c r="L14" s="3">
        <v>30.15</v>
      </c>
      <c r="M14" s="3">
        <v>28.05</v>
      </c>
      <c r="N14" s="3">
        <v>30.18</v>
      </c>
      <c r="O14" s="3"/>
      <c r="Q14" s="9" t="s">
        <v>134</v>
      </c>
      <c r="R14" s="3">
        <v>31.35</v>
      </c>
      <c r="S14" s="3">
        <v>30.18</v>
      </c>
      <c r="T14" s="1">
        <f t="shared" si="4"/>
        <v>1.1700000000000017</v>
      </c>
      <c r="U14" s="1">
        <f t="shared" si="1"/>
        <v>1.3999999999999986</v>
      </c>
      <c r="V14" s="1">
        <f t="shared" si="2"/>
        <v>-0.22999999999999687</v>
      </c>
      <c r="W14" s="1">
        <f t="shared" si="3"/>
        <v>1.1728349492318761</v>
      </c>
      <c r="Z14">
        <v>1.1728349492318761</v>
      </c>
    </row>
    <row r="15" spans="1:62" x14ac:dyDescent="0.35">
      <c r="A15" s="9"/>
      <c r="B15" s="5">
        <v>2</v>
      </c>
      <c r="C15" s="3">
        <v>31.75</v>
      </c>
      <c r="D15" s="3">
        <v>34.33</v>
      </c>
      <c r="E15" s="3">
        <v>23.74</v>
      </c>
      <c r="F15" s="3">
        <v>35.14</v>
      </c>
      <c r="G15" s="3" t="s">
        <v>9</v>
      </c>
      <c r="H15" s="3">
        <v>33.78</v>
      </c>
      <c r="I15" s="3">
        <v>25.76</v>
      </c>
      <c r="J15" s="3">
        <v>31.33</v>
      </c>
      <c r="K15" s="3">
        <v>31.99</v>
      </c>
      <c r="L15" s="3">
        <v>29.84</v>
      </c>
      <c r="M15" s="3">
        <v>27.71</v>
      </c>
      <c r="N15" s="3">
        <v>30.19</v>
      </c>
      <c r="O15" s="3"/>
      <c r="Q15" s="9"/>
      <c r="R15" s="3">
        <v>31.75</v>
      </c>
      <c r="S15" s="3">
        <v>30.19</v>
      </c>
      <c r="T15" s="1">
        <f t="shared" si="4"/>
        <v>1.5599999999999987</v>
      </c>
      <c r="U15" s="1">
        <f t="shared" si="1"/>
        <v>1.3999999999999986</v>
      </c>
      <c r="V15" s="1">
        <f t="shared" si="2"/>
        <v>0.16000000000000014</v>
      </c>
      <c r="W15" s="1">
        <f t="shared" si="3"/>
        <v>0.89502507092797234</v>
      </c>
      <c r="X15" s="1">
        <f>AVERAGE(W14:W16)</f>
        <v>0.84265128182409521</v>
      </c>
      <c r="Z15">
        <v>0.89502507092797234</v>
      </c>
    </row>
    <row r="16" spans="1:62" ht="27.5" customHeight="1" x14ac:dyDescent="0.35">
      <c r="A16" s="9"/>
      <c r="B16" s="5">
        <v>3</v>
      </c>
      <c r="C16" s="3">
        <v>32.25</v>
      </c>
      <c r="D16" s="3">
        <v>33.880000000000003</v>
      </c>
      <c r="E16" s="3">
        <v>22.94</v>
      </c>
      <c r="F16" s="3">
        <v>31.88</v>
      </c>
      <c r="G16" s="3">
        <v>37.32</v>
      </c>
      <c r="H16" s="3">
        <v>33.29</v>
      </c>
      <c r="I16" s="3">
        <v>25.57</v>
      </c>
      <c r="J16" s="3">
        <v>32.06</v>
      </c>
      <c r="K16" s="3">
        <v>31.88</v>
      </c>
      <c r="L16" s="3">
        <v>29.79</v>
      </c>
      <c r="M16" s="3">
        <v>27.53</v>
      </c>
      <c r="N16" s="3">
        <v>29.73</v>
      </c>
      <c r="O16" s="3"/>
      <c r="Q16" s="9"/>
      <c r="R16" s="3">
        <v>32.25</v>
      </c>
      <c r="S16" s="3">
        <v>29.73</v>
      </c>
      <c r="T16" s="1">
        <f t="shared" si="4"/>
        <v>2.5199999999999996</v>
      </c>
      <c r="U16" s="1">
        <f t="shared" si="1"/>
        <v>1.3999999999999986</v>
      </c>
      <c r="V16" s="1">
        <f t="shared" si="2"/>
        <v>1.120000000000001</v>
      </c>
      <c r="W16" s="1">
        <f t="shared" si="3"/>
        <v>0.4600938253124372</v>
      </c>
      <c r="Z16">
        <v>0.4600938253124372</v>
      </c>
    </row>
    <row r="17" spans="1:26" ht="14.5" customHeight="1" x14ac:dyDescent="0.35">
      <c r="A17" s="9" t="s">
        <v>135</v>
      </c>
      <c r="B17" s="5">
        <v>1</v>
      </c>
      <c r="C17" s="3">
        <v>27.87</v>
      </c>
      <c r="D17" s="3">
        <v>35.79</v>
      </c>
      <c r="E17" s="3">
        <v>19.88</v>
      </c>
      <c r="F17" s="3">
        <v>27.61</v>
      </c>
      <c r="G17" s="3">
        <v>32.31</v>
      </c>
      <c r="H17" s="3">
        <v>33.04</v>
      </c>
      <c r="I17" s="3">
        <v>21.8</v>
      </c>
      <c r="J17" s="3">
        <v>33.340000000000003</v>
      </c>
      <c r="K17" s="3">
        <v>26.91</v>
      </c>
      <c r="L17" s="3">
        <v>31.95</v>
      </c>
      <c r="M17" s="3">
        <v>27.29</v>
      </c>
      <c r="N17" s="3">
        <v>29.62</v>
      </c>
      <c r="O17" s="3"/>
      <c r="Q17" s="9" t="s">
        <v>135</v>
      </c>
      <c r="R17" s="3">
        <v>27.87</v>
      </c>
      <c r="S17" s="3">
        <v>29.62</v>
      </c>
      <c r="T17" s="1">
        <f t="shared" si="4"/>
        <v>-1.75</v>
      </c>
      <c r="U17" s="1">
        <f t="shared" si="1"/>
        <v>1.3999999999999986</v>
      </c>
      <c r="V17" s="1">
        <f t="shared" si="2"/>
        <v>-3.1499999999999986</v>
      </c>
      <c r="W17" s="1">
        <f t="shared" si="3"/>
        <v>8.8765557765427499</v>
      </c>
      <c r="Z17">
        <v>8.8765557765427499</v>
      </c>
    </row>
    <row r="18" spans="1:26" x14ac:dyDescent="0.35">
      <c r="A18" s="9"/>
      <c r="B18" s="5">
        <v>2</v>
      </c>
      <c r="C18" s="3">
        <v>27.7</v>
      </c>
      <c r="D18" s="3">
        <v>34.83</v>
      </c>
      <c r="E18" s="3">
        <v>19.43</v>
      </c>
      <c r="F18" s="3">
        <v>24.59</v>
      </c>
      <c r="G18" s="3">
        <v>32.74</v>
      </c>
      <c r="H18" s="3">
        <v>33.67</v>
      </c>
      <c r="I18" s="3">
        <v>21.97</v>
      </c>
      <c r="J18" s="3">
        <v>30.57</v>
      </c>
      <c r="K18" s="3">
        <v>28.17</v>
      </c>
      <c r="L18" s="3">
        <v>31.37</v>
      </c>
      <c r="M18" s="3">
        <v>27.2</v>
      </c>
      <c r="N18" s="3">
        <v>30.11</v>
      </c>
      <c r="O18" s="3"/>
      <c r="Q18" s="9"/>
      <c r="R18" s="3">
        <v>27.7</v>
      </c>
      <c r="S18" s="3">
        <v>30.11</v>
      </c>
      <c r="T18" s="1">
        <f t="shared" si="4"/>
        <v>-2.41</v>
      </c>
      <c r="U18" s="1">
        <f t="shared" si="1"/>
        <v>1.3999999999999986</v>
      </c>
      <c r="V18" s="1">
        <f t="shared" si="2"/>
        <v>-3.8099999999999987</v>
      </c>
      <c r="W18" s="1">
        <f t="shared" si="3"/>
        <v>14.025691541056545</v>
      </c>
      <c r="X18" s="1">
        <f>AVERAGE(W17:W19)</f>
        <v>10.08791617419943</v>
      </c>
      <c r="Z18">
        <v>14.025691541056545</v>
      </c>
    </row>
    <row r="19" spans="1:26" ht="25.5" customHeight="1" x14ac:dyDescent="0.35">
      <c r="A19" s="9"/>
      <c r="B19" s="5">
        <v>3</v>
      </c>
      <c r="C19" s="3">
        <v>28.59</v>
      </c>
      <c r="D19" s="3">
        <v>36.75</v>
      </c>
      <c r="E19" s="3">
        <v>20.149999999999999</v>
      </c>
      <c r="F19" s="3">
        <v>25.02</v>
      </c>
      <c r="G19" s="3">
        <v>33.659999999999997</v>
      </c>
      <c r="H19" s="3">
        <v>34.25</v>
      </c>
      <c r="I19" s="3">
        <v>22.49</v>
      </c>
      <c r="J19" s="3">
        <v>30.61</v>
      </c>
      <c r="K19" s="3">
        <v>27.95</v>
      </c>
      <c r="L19" s="3">
        <v>31.06</v>
      </c>
      <c r="M19" s="3">
        <v>27.67</v>
      </c>
      <c r="N19" s="3">
        <v>30.07</v>
      </c>
      <c r="O19" s="3"/>
      <c r="Q19" s="9"/>
      <c r="R19" s="3">
        <v>28.59</v>
      </c>
      <c r="S19" s="3">
        <v>30.07</v>
      </c>
      <c r="T19" s="1">
        <f t="shared" si="4"/>
        <v>-1.4800000000000004</v>
      </c>
      <c r="U19" s="1">
        <f t="shared" si="1"/>
        <v>1.3999999999999986</v>
      </c>
      <c r="V19" s="1">
        <f t="shared" si="2"/>
        <v>-2.879999999999999</v>
      </c>
      <c r="W19" s="1">
        <f t="shared" si="3"/>
        <v>7.3615012049989952</v>
      </c>
      <c r="Z19">
        <v>7.3615012049989952</v>
      </c>
    </row>
    <row r="20" spans="1:26" ht="14.5" customHeight="1" x14ac:dyDescent="0.35">
      <c r="A20" s="9" t="s">
        <v>136</v>
      </c>
      <c r="B20" s="5">
        <v>1</v>
      </c>
      <c r="C20" s="3">
        <v>32.61</v>
      </c>
      <c r="D20" s="3">
        <v>34.85</v>
      </c>
      <c r="E20" s="3">
        <v>20.059999999999999</v>
      </c>
      <c r="F20" s="3">
        <v>29.8</v>
      </c>
      <c r="G20" s="3">
        <v>30.75</v>
      </c>
      <c r="H20" s="3">
        <v>35.71</v>
      </c>
      <c r="I20" s="3">
        <v>25.56</v>
      </c>
      <c r="J20" s="3">
        <v>30.82</v>
      </c>
      <c r="K20" s="3">
        <v>26.69</v>
      </c>
      <c r="L20" s="3">
        <v>30.89</v>
      </c>
      <c r="M20" s="3">
        <v>28.74</v>
      </c>
      <c r="N20" s="3">
        <v>28.94</v>
      </c>
      <c r="O20" s="3"/>
      <c r="Q20" s="9" t="s">
        <v>136</v>
      </c>
      <c r="R20" s="3">
        <v>32.61</v>
      </c>
      <c r="S20" s="3">
        <v>28.94</v>
      </c>
      <c r="T20" s="1">
        <f t="shared" si="4"/>
        <v>3.6699999999999982</v>
      </c>
      <c r="U20" s="1">
        <f t="shared" si="1"/>
        <v>1.3999999999999986</v>
      </c>
      <c r="V20" s="1">
        <f t="shared" si="2"/>
        <v>2.2699999999999996</v>
      </c>
      <c r="W20" s="1">
        <f t="shared" si="3"/>
        <v>0.2073298864536105</v>
      </c>
      <c r="Z20">
        <v>0.2073298864536105</v>
      </c>
    </row>
    <row r="21" spans="1:26" x14ac:dyDescent="0.35">
      <c r="A21" s="9"/>
      <c r="B21" s="5">
        <v>2</v>
      </c>
      <c r="C21" s="3">
        <v>29.8</v>
      </c>
      <c r="D21" s="3">
        <v>36.76</v>
      </c>
      <c r="E21" s="3">
        <v>19.82</v>
      </c>
      <c r="F21" s="3">
        <v>30.43</v>
      </c>
      <c r="G21" s="3">
        <v>29.2</v>
      </c>
      <c r="H21" s="3">
        <v>35.94</v>
      </c>
      <c r="I21" s="3">
        <v>23.72</v>
      </c>
      <c r="J21" s="3">
        <v>29.48</v>
      </c>
      <c r="K21" s="3">
        <v>27.34</v>
      </c>
      <c r="L21" s="3">
        <v>30.71</v>
      </c>
      <c r="M21" s="3">
        <v>28.46</v>
      </c>
      <c r="N21" s="3">
        <v>29.48</v>
      </c>
      <c r="O21" s="3"/>
      <c r="Q21" s="9"/>
      <c r="R21" s="3">
        <v>29.8</v>
      </c>
      <c r="S21" s="3">
        <v>29.48</v>
      </c>
      <c r="T21" s="1">
        <f t="shared" si="4"/>
        <v>0.32000000000000028</v>
      </c>
      <c r="U21" s="1">
        <f t="shared" si="1"/>
        <v>1.3999999999999986</v>
      </c>
      <c r="V21" s="1">
        <f t="shared" si="2"/>
        <v>-1.0799999999999983</v>
      </c>
      <c r="W21" s="1">
        <f t="shared" si="3"/>
        <v>2.1140360811227583</v>
      </c>
      <c r="X21" s="1">
        <f>AVERAGE(W20:W22)</f>
        <v>1.146217701882863</v>
      </c>
      <c r="Z21">
        <v>2.1140360811227583</v>
      </c>
    </row>
    <row r="22" spans="1:26" x14ac:dyDescent="0.35">
      <c r="A22" s="9"/>
      <c r="B22" s="5">
        <v>3</v>
      </c>
      <c r="C22" s="3">
        <v>30.77</v>
      </c>
      <c r="D22" s="3" t="s">
        <v>9</v>
      </c>
      <c r="E22" s="3">
        <v>20.059999999999999</v>
      </c>
      <c r="F22" s="3">
        <v>30.92</v>
      </c>
      <c r="G22" s="3">
        <v>29.76</v>
      </c>
      <c r="H22" s="3">
        <v>34.950000000000003</v>
      </c>
      <c r="I22" s="3">
        <v>24.01</v>
      </c>
      <c r="J22" s="3">
        <v>30.1</v>
      </c>
      <c r="K22" s="3">
        <v>27.13</v>
      </c>
      <c r="L22" s="3">
        <v>31.09</v>
      </c>
      <c r="M22" s="3">
        <v>28.53</v>
      </c>
      <c r="N22" s="3">
        <v>29.53</v>
      </c>
      <c r="O22" s="3"/>
      <c r="Q22" s="9"/>
      <c r="R22" s="3">
        <v>30.77</v>
      </c>
      <c r="S22" s="3">
        <v>29.53</v>
      </c>
      <c r="T22" s="1">
        <f t="shared" si="4"/>
        <v>1.2399999999999984</v>
      </c>
      <c r="U22" s="1">
        <f t="shared" si="1"/>
        <v>1.3999999999999986</v>
      </c>
      <c r="V22" s="1">
        <f t="shared" si="2"/>
        <v>-0.16000000000000014</v>
      </c>
      <c r="W22" s="1">
        <f t="shared" si="3"/>
        <v>1.11728713807222</v>
      </c>
      <c r="Z22">
        <v>1.11728713807222</v>
      </c>
    </row>
    <row r="23" spans="1:26" ht="14.5" customHeight="1" x14ac:dyDescent="0.35">
      <c r="A23" s="9" t="s">
        <v>137</v>
      </c>
      <c r="B23" s="5">
        <v>1</v>
      </c>
      <c r="C23" s="3">
        <v>30.51</v>
      </c>
      <c r="D23" s="3">
        <v>35.64</v>
      </c>
      <c r="E23" s="3">
        <v>19.62</v>
      </c>
      <c r="F23" s="3">
        <v>29.1</v>
      </c>
      <c r="G23" s="3">
        <v>29.16</v>
      </c>
      <c r="H23" s="3">
        <v>35.17</v>
      </c>
      <c r="I23" s="3">
        <v>23.86</v>
      </c>
      <c r="J23" s="3">
        <v>29.48</v>
      </c>
      <c r="K23" s="3">
        <v>25.89</v>
      </c>
      <c r="L23" s="3">
        <v>30.32</v>
      </c>
      <c r="M23" s="3">
        <v>27.65</v>
      </c>
      <c r="N23" s="3">
        <v>28.36</v>
      </c>
      <c r="O23" s="3"/>
      <c r="Q23" s="9" t="s">
        <v>137</v>
      </c>
      <c r="R23" s="3">
        <v>30.51</v>
      </c>
      <c r="S23" s="3">
        <v>28.36</v>
      </c>
      <c r="T23" s="1">
        <f t="shared" si="4"/>
        <v>2.1500000000000021</v>
      </c>
      <c r="U23" s="1">
        <f t="shared" si="1"/>
        <v>1.3999999999999986</v>
      </c>
      <c r="V23" s="1">
        <f t="shared" si="2"/>
        <v>0.75000000000000355</v>
      </c>
      <c r="W23" s="1">
        <f t="shared" si="3"/>
        <v>0.59460355750135907</v>
      </c>
      <c r="Z23">
        <v>0.59460355750135907</v>
      </c>
    </row>
    <row r="24" spans="1:26" x14ac:dyDescent="0.35">
      <c r="A24" s="9"/>
      <c r="B24" s="5">
        <v>2</v>
      </c>
      <c r="C24" s="3">
        <v>30.08</v>
      </c>
      <c r="D24" s="3">
        <v>35.18</v>
      </c>
      <c r="E24" s="3">
        <v>20.55</v>
      </c>
      <c r="F24" s="3">
        <v>29.92</v>
      </c>
      <c r="G24" s="3">
        <v>29.57</v>
      </c>
      <c r="H24" s="3">
        <v>36.159999999999997</v>
      </c>
      <c r="I24" s="3">
        <v>23.57</v>
      </c>
      <c r="J24" s="3">
        <v>28.91</v>
      </c>
      <c r="K24" s="3">
        <v>27.74</v>
      </c>
      <c r="L24" s="3">
        <v>31.98</v>
      </c>
      <c r="M24" s="3">
        <v>28.33</v>
      </c>
      <c r="N24" s="3">
        <v>30.43</v>
      </c>
      <c r="O24" s="3"/>
      <c r="Q24" s="9"/>
      <c r="R24" s="3">
        <v>30.08</v>
      </c>
      <c r="S24" s="3">
        <v>30.43</v>
      </c>
      <c r="T24" s="1">
        <f t="shared" si="4"/>
        <v>-0.35000000000000142</v>
      </c>
      <c r="U24" s="1">
        <f t="shared" si="1"/>
        <v>1.3999999999999986</v>
      </c>
      <c r="V24" s="1">
        <f t="shared" si="2"/>
        <v>-1.75</v>
      </c>
      <c r="W24" s="1">
        <f t="shared" si="3"/>
        <v>3.363585661014858</v>
      </c>
      <c r="X24" s="1">
        <f>AVERAGE(W23:W25)</f>
        <v>1.3775107256033392</v>
      </c>
      <c r="Z24">
        <v>3.363585661014858</v>
      </c>
    </row>
    <row r="25" spans="1:26" x14ac:dyDescent="0.35">
      <c r="A25" s="9"/>
      <c r="B25" s="5">
        <v>3</v>
      </c>
      <c r="C25" s="3">
        <v>32.81</v>
      </c>
      <c r="D25" s="3">
        <v>37.6</v>
      </c>
      <c r="E25" s="3">
        <v>20.399999999999999</v>
      </c>
      <c r="F25" s="3">
        <v>30.07</v>
      </c>
      <c r="G25" s="3">
        <v>29.51</v>
      </c>
      <c r="H25" s="3">
        <v>35.57</v>
      </c>
      <c r="I25" s="3">
        <v>24.29</v>
      </c>
      <c r="J25" s="3">
        <v>29.17</v>
      </c>
      <c r="K25" s="3">
        <v>26.63</v>
      </c>
      <c r="L25" s="3">
        <v>31.17</v>
      </c>
      <c r="M25" s="3">
        <v>28.07</v>
      </c>
      <c r="N25" s="3">
        <v>28.89</v>
      </c>
      <c r="O25" s="3"/>
      <c r="Q25" s="9"/>
      <c r="R25" s="3">
        <v>32.81</v>
      </c>
      <c r="S25" s="3">
        <v>28.89</v>
      </c>
      <c r="T25" s="1">
        <f t="shared" si="4"/>
        <v>3.9200000000000017</v>
      </c>
      <c r="U25" s="1">
        <f t="shared" si="1"/>
        <v>1.3999999999999986</v>
      </c>
      <c r="V25" s="1">
        <f t="shared" si="2"/>
        <v>2.5200000000000031</v>
      </c>
      <c r="W25" s="1">
        <f t="shared" si="3"/>
        <v>0.17434295829380031</v>
      </c>
      <c r="Z25">
        <v>0.17434295829380031</v>
      </c>
    </row>
    <row r="26" spans="1:26" ht="14.5" customHeight="1" x14ac:dyDescent="0.35">
      <c r="A26" s="9" t="s">
        <v>138</v>
      </c>
      <c r="B26" s="5">
        <v>1</v>
      </c>
      <c r="C26" s="3">
        <v>32.01</v>
      </c>
      <c r="D26" s="3" t="s">
        <v>9</v>
      </c>
      <c r="E26" s="3">
        <v>21.24</v>
      </c>
      <c r="F26" s="3">
        <v>30.99</v>
      </c>
      <c r="G26" s="3">
        <v>30.86</v>
      </c>
      <c r="H26" s="3">
        <v>37.340000000000003</v>
      </c>
      <c r="I26" s="3">
        <v>25.57</v>
      </c>
      <c r="J26" s="3">
        <v>34.04</v>
      </c>
      <c r="K26" s="3">
        <v>27.38</v>
      </c>
      <c r="L26" s="3">
        <v>31.99</v>
      </c>
      <c r="M26" s="3">
        <v>29.05</v>
      </c>
      <c r="N26" s="3">
        <v>30.14</v>
      </c>
      <c r="O26" s="3"/>
      <c r="Q26" s="9" t="s">
        <v>138</v>
      </c>
      <c r="R26" s="3">
        <v>32.01</v>
      </c>
      <c r="S26" s="3">
        <v>30.14</v>
      </c>
      <c r="T26" s="1">
        <f t="shared" si="4"/>
        <v>1.8699999999999974</v>
      </c>
      <c r="U26" s="1">
        <f t="shared" si="1"/>
        <v>1.3999999999999986</v>
      </c>
      <c r="V26" s="1">
        <f t="shared" si="2"/>
        <v>0.46999999999999886</v>
      </c>
      <c r="W26" s="1">
        <f t="shared" si="3"/>
        <v>0.72196459776124866</v>
      </c>
      <c r="Z26">
        <v>0.72196459776124866</v>
      </c>
    </row>
    <row r="27" spans="1:26" x14ac:dyDescent="0.35">
      <c r="A27" s="9"/>
      <c r="B27" s="5">
        <v>2</v>
      </c>
      <c r="C27" s="3">
        <v>31.87</v>
      </c>
      <c r="D27" s="3" t="s">
        <v>9</v>
      </c>
      <c r="E27" s="3">
        <v>20.74</v>
      </c>
      <c r="F27" s="3">
        <v>32.07</v>
      </c>
      <c r="G27" s="3">
        <v>30.02</v>
      </c>
      <c r="H27" s="3">
        <v>34.79</v>
      </c>
      <c r="I27" s="3">
        <v>25.23</v>
      </c>
      <c r="J27" s="3">
        <v>33.65</v>
      </c>
      <c r="K27" s="3">
        <v>27.47</v>
      </c>
      <c r="L27" s="3">
        <v>32.67</v>
      </c>
      <c r="M27" s="3">
        <v>28.69</v>
      </c>
      <c r="N27" s="3">
        <v>29.65</v>
      </c>
      <c r="O27" s="3"/>
      <c r="Q27" s="9"/>
      <c r="R27" s="3">
        <v>31.87</v>
      </c>
      <c r="S27" s="3">
        <v>29.65</v>
      </c>
      <c r="T27" s="1">
        <f t="shared" si="4"/>
        <v>2.2200000000000024</v>
      </c>
      <c r="U27" s="1">
        <f t="shared" si="1"/>
        <v>1.3999999999999986</v>
      </c>
      <c r="V27" s="1">
        <f t="shared" si="2"/>
        <v>0.82000000000000384</v>
      </c>
      <c r="W27" s="1">
        <f t="shared" si="3"/>
        <v>0.56644194264789782</v>
      </c>
      <c r="X27" s="1">
        <f>AVERAGE(W26:W28)</f>
        <v>0.5272050925723718</v>
      </c>
      <c r="Z27">
        <v>0.56644194264789782</v>
      </c>
    </row>
    <row r="28" spans="1:26" ht="28.5" customHeight="1" x14ac:dyDescent="0.35">
      <c r="A28" s="9"/>
      <c r="B28" s="5">
        <v>3</v>
      </c>
      <c r="C28" s="3">
        <v>31.87</v>
      </c>
      <c r="D28" s="3" t="s">
        <v>9</v>
      </c>
      <c r="E28" s="3">
        <v>19.72</v>
      </c>
      <c r="F28" s="3">
        <v>32.58</v>
      </c>
      <c r="G28" s="3">
        <v>29.03</v>
      </c>
      <c r="H28" s="3">
        <v>35.18</v>
      </c>
      <c r="I28" s="3">
        <v>24.29</v>
      </c>
      <c r="J28" s="3">
        <v>32.590000000000003</v>
      </c>
      <c r="K28" s="3">
        <v>27.44</v>
      </c>
      <c r="L28" s="3">
        <v>30.86</v>
      </c>
      <c r="M28" s="3">
        <v>27.96</v>
      </c>
      <c r="N28" s="3">
        <v>28.7</v>
      </c>
      <c r="O28" s="3"/>
      <c r="Q28" s="9"/>
      <c r="R28" s="3">
        <v>31.87</v>
      </c>
      <c r="S28" s="3">
        <v>28.7</v>
      </c>
      <c r="T28" s="1">
        <f t="shared" si="4"/>
        <v>3.1700000000000017</v>
      </c>
      <c r="U28" s="1">
        <f t="shared" si="1"/>
        <v>1.3999999999999986</v>
      </c>
      <c r="V28" s="1">
        <f t="shared" si="2"/>
        <v>1.7700000000000031</v>
      </c>
      <c r="W28" s="1">
        <f t="shared" si="3"/>
        <v>0.29320873730796909</v>
      </c>
      <c r="Z28">
        <v>0.29320873730796909</v>
      </c>
    </row>
    <row r="29" spans="1:26" s="6" customFormat="1" ht="14.5" customHeight="1" x14ac:dyDescent="0.35">
      <c r="A29" s="9" t="s">
        <v>139</v>
      </c>
      <c r="B29" s="6">
        <v>1</v>
      </c>
      <c r="C29" s="3">
        <v>31.44</v>
      </c>
      <c r="D29" s="3">
        <v>36.270000000000003</v>
      </c>
      <c r="E29" s="3">
        <v>19.95</v>
      </c>
      <c r="F29" s="3">
        <v>32.18</v>
      </c>
      <c r="G29" s="3">
        <v>29.1</v>
      </c>
      <c r="H29" s="3">
        <v>35.020000000000003</v>
      </c>
      <c r="I29" s="3">
        <v>24.52</v>
      </c>
      <c r="J29" s="3">
        <v>32.92</v>
      </c>
      <c r="K29" s="3">
        <v>27.07</v>
      </c>
      <c r="L29" s="3">
        <v>31.46</v>
      </c>
      <c r="M29" s="3">
        <v>28.37</v>
      </c>
      <c r="N29" s="3">
        <v>29</v>
      </c>
      <c r="O29" s="3"/>
      <c r="Q29" s="9" t="s">
        <v>139</v>
      </c>
      <c r="R29" s="3">
        <v>31.44</v>
      </c>
      <c r="S29" s="3">
        <v>29</v>
      </c>
      <c r="T29" s="1">
        <f t="shared" ref="T29:T31" si="5">R29-S29</f>
        <v>2.4400000000000013</v>
      </c>
      <c r="U29" s="1">
        <f t="shared" si="1"/>
        <v>1.3999999999999986</v>
      </c>
      <c r="V29" s="1">
        <f t="shared" ref="V29:V31" si="6">T29-U29</f>
        <v>1.0400000000000027</v>
      </c>
      <c r="W29" s="1">
        <f t="shared" ref="W29:W31" si="7">2^-V29</f>
        <v>0.48632747370614188</v>
      </c>
      <c r="X29"/>
      <c r="Z29" s="6">
        <v>0.48632747370614188</v>
      </c>
    </row>
    <row r="30" spans="1:26" x14ac:dyDescent="0.35">
      <c r="A30" s="9"/>
      <c r="B30" s="5">
        <v>2</v>
      </c>
      <c r="C30" s="3">
        <v>31.19</v>
      </c>
      <c r="D30" s="3">
        <v>35.39</v>
      </c>
      <c r="E30" s="3">
        <v>19.96</v>
      </c>
      <c r="F30" s="3">
        <v>31.2</v>
      </c>
      <c r="G30" s="3">
        <v>29.57</v>
      </c>
      <c r="H30" s="3">
        <v>35.92</v>
      </c>
      <c r="I30" s="3">
        <v>24.44</v>
      </c>
      <c r="J30" s="3">
        <v>31.69</v>
      </c>
      <c r="K30" s="3">
        <v>27.53</v>
      </c>
      <c r="L30" s="3">
        <v>32.22</v>
      </c>
      <c r="M30" s="3">
        <v>28.38</v>
      </c>
      <c r="N30" s="3">
        <v>29.19</v>
      </c>
      <c r="O30" s="3"/>
      <c r="Q30" s="9"/>
      <c r="R30" s="3">
        <v>31.19</v>
      </c>
      <c r="S30" s="3">
        <v>29.19</v>
      </c>
      <c r="T30" s="1">
        <f t="shared" si="5"/>
        <v>2</v>
      </c>
      <c r="U30" s="1">
        <f t="shared" si="1"/>
        <v>1.3999999999999986</v>
      </c>
      <c r="V30" s="1">
        <f t="shared" si="6"/>
        <v>0.60000000000000142</v>
      </c>
      <c r="W30" s="1">
        <f t="shared" si="7"/>
        <v>0.65975395538644654</v>
      </c>
      <c r="X30" s="1">
        <f>AVERAGE(W29:W31)</f>
        <v>0.93108782120924438</v>
      </c>
      <c r="Z30">
        <v>0.65975395538644654</v>
      </c>
    </row>
    <row r="31" spans="1:26" ht="26" customHeight="1" x14ac:dyDescent="0.35">
      <c r="A31" s="9"/>
      <c r="B31" s="5">
        <v>3</v>
      </c>
      <c r="C31" s="3">
        <v>29.08</v>
      </c>
      <c r="D31" s="7">
        <v>33.67</v>
      </c>
      <c r="E31" s="3">
        <v>18.739999999999998</v>
      </c>
      <c r="F31" s="3">
        <v>29.45</v>
      </c>
      <c r="G31" s="3">
        <v>28.85</v>
      </c>
      <c r="H31" s="3">
        <v>35.119999999999997</v>
      </c>
      <c r="I31" s="3">
        <v>22.75</v>
      </c>
      <c r="J31" s="3">
        <v>30.72</v>
      </c>
      <c r="K31" s="3">
        <v>25.33</v>
      </c>
      <c r="L31" s="3">
        <v>29.09</v>
      </c>
      <c r="M31" s="3">
        <v>27.8</v>
      </c>
      <c r="N31" s="3">
        <v>28.4</v>
      </c>
      <c r="O31" s="3"/>
      <c r="Q31" s="9"/>
      <c r="R31" s="3">
        <v>29.08</v>
      </c>
      <c r="S31" s="3">
        <v>28.4</v>
      </c>
      <c r="T31" s="1">
        <f t="shared" si="5"/>
        <v>0.67999999999999972</v>
      </c>
      <c r="U31" s="1">
        <f t="shared" si="1"/>
        <v>1.3999999999999986</v>
      </c>
      <c r="V31" s="1">
        <f t="shared" si="6"/>
        <v>-0.71999999999999886</v>
      </c>
      <c r="W31" s="1">
        <f t="shared" si="7"/>
        <v>1.6471820345351449</v>
      </c>
      <c r="Z31">
        <v>1.6471820345351449</v>
      </c>
    </row>
    <row r="33" spans="1:26" x14ac:dyDescent="0.35">
      <c r="A33" s="2"/>
      <c r="B33" s="1" t="s">
        <v>123</v>
      </c>
      <c r="C33" s="1" t="s">
        <v>115</v>
      </c>
      <c r="D33" s="1" t="s">
        <v>0</v>
      </c>
      <c r="E33" s="1" t="s">
        <v>1</v>
      </c>
      <c r="F33" s="1" t="s">
        <v>2</v>
      </c>
      <c r="G33" s="1" t="s">
        <v>3</v>
      </c>
      <c r="H33" s="1" t="s">
        <v>4</v>
      </c>
      <c r="I33" s="1" t="s">
        <v>5</v>
      </c>
      <c r="Q33" s="2"/>
      <c r="R33" s="1" t="s">
        <v>119</v>
      </c>
      <c r="S33" s="1" t="s">
        <v>115</v>
      </c>
      <c r="T33" s="1" t="s">
        <v>0</v>
      </c>
      <c r="U33" s="1" t="s">
        <v>1</v>
      </c>
      <c r="V33" s="1" t="s">
        <v>2</v>
      </c>
      <c r="W33" s="1" t="s">
        <v>3</v>
      </c>
      <c r="X33" s="1" t="s">
        <v>4</v>
      </c>
      <c r="Y33" s="1" t="s">
        <v>5</v>
      </c>
    </row>
    <row r="34" spans="1:26" x14ac:dyDescent="0.35">
      <c r="A34" s="9" t="s">
        <v>124</v>
      </c>
      <c r="B34" s="3">
        <v>34.69</v>
      </c>
      <c r="C34" s="3">
        <v>29.49</v>
      </c>
      <c r="D34" s="1">
        <f>B34-C34</f>
        <v>5.1999999999999993</v>
      </c>
      <c r="E34" s="1">
        <f>AVERAGE($B$34:$B$36)-AVERAGE($C$34:$C$36)</f>
        <v>4.8633333333333333</v>
      </c>
      <c r="F34" s="1">
        <f>D34-E34</f>
        <v>0.336666666666666</v>
      </c>
      <c r="G34" s="1">
        <f>2^-F34</f>
        <v>0.79186880527972003</v>
      </c>
      <c r="H34" s="1"/>
      <c r="I34" s="1"/>
      <c r="J34">
        <v>0.79186880527972003</v>
      </c>
      <c r="Q34" s="9" t="s">
        <v>124</v>
      </c>
      <c r="R34" s="3">
        <v>23.53</v>
      </c>
      <c r="S34" s="3">
        <v>29.49</v>
      </c>
      <c r="T34" s="1">
        <f>R34-S34</f>
        <v>-5.9599999999999973</v>
      </c>
      <c r="U34" s="1">
        <f>AVERAGE($R$34:$R$36)-AVERAGE($S$34:$S$36)</f>
        <v>-6.2733333333333334</v>
      </c>
      <c r="V34" s="1">
        <f>T34-U34</f>
        <v>0.31333333333333613</v>
      </c>
      <c r="W34" s="1">
        <f>2^-V34</f>
        <v>0.80478017243590871</v>
      </c>
      <c r="X34" s="1"/>
      <c r="Y34" s="1"/>
      <c r="Z34">
        <v>0.80478017243590871</v>
      </c>
    </row>
    <row r="35" spans="1:26" x14ac:dyDescent="0.35">
      <c r="A35" s="9"/>
      <c r="B35" s="3">
        <v>33.6</v>
      </c>
      <c r="C35" s="3">
        <v>28.89</v>
      </c>
      <c r="D35" s="1">
        <f t="shared" ref="D35" si="8">B35-C35</f>
        <v>4.7100000000000009</v>
      </c>
      <c r="E35" s="1">
        <f t="shared" ref="E35:E63" si="9">AVERAGE($B$34:$B$36)-AVERAGE($C$34:$C$36)</f>
        <v>4.8633333333333333</v>
      </c>
      <c r="F35" s="1">
        <f t="shared" ref="F35:F63" si="10">D35-E35</f>
        <v>-0.15333333333333243</v>
      </c>
      <c r="G35" s="1">
        <f t="shared" ref="G35:G63" si="11">2^-F35</f>
        <v>1.1121360858318716</v>
      </c>
      <c r="H35" s="1">
        <f>AVERAGE(G34:G36)</f>
        <v>1.0131697733941554</v>
      </c>
      <c r="I35" s="1"/>
      <c r="J35">
        <v>1.1121360858318716</v>
      </c>
      <c r="Q35" s="9"/>
      <c r="R35" s="3">
        <v>22.88</v>
      </c>
      <c r="S35" s="3">
        <v>28.89</v>
      </c>
      <c r="T35" s="1">
        <f t="shared" ref="T35" si="12">R35-S35</f>
        <v>-6.0100000000000016</v>
      </c>
      <c r="U35" s="1">
        <f t="shared" ref="U35:U63" si="13">AVERAGE($R$34:$R$36)-AVERAGE($S$34:$S$36)</f>
        <v>-6.2733333333333334</v>
      </c>
      <c r="V35" s="1">
        <f t="shared" ref="V35:V63" si="14">T35-U35</f>
        <v>0.26333333333333186</v>
      </c>
      <c r="W35" s="1">
        <f t="shared" ref="W35:W63" si="15">2^-V35</f>
        <v>0.83316068392591414</v>
      </c>
      <c r="X35" s="1">
        <f>AVERAGE(W34:W36)</f>
        <v>1.0431134189373992</v>
      </c>
      <c r="Y35" s="1"/>
      <c r="Z35">
        <v>0.83316068392591414</v>
      </c>
    </row>
    <row r="36" spans="1:26" x14ac:dyDescent="0.35">
      <c r="A36" s="9"/>
      <c r="B36" s="3">
        <v>33.99</v>
      </c>
      <c r="C36" s="3">
        <v>29.31</v>
      </c>
      <c r="D36" s="1">
        <f>B36-C36</f>
        <v>4.6800000000000033</v>
      </c>
      <c r="E36" s="1">
        <f t="shared" si="9"/>
        <v>4.8633333333333333</v>
      </c>
      <c r="F36" s="1">
        <f t="shared" si="10"/>
        <v>-0.18333333333333002</v>
      </c>
      <c r="G36" s="1">
        <f t="shared" si="11"/>
        <v>1.1355044290708747</v>
      </c>
      <c r="J36">
        <v>1.1355044290708747</v>
      </c>
      <c r="Q36" s="9"/>
      <c r="R36" s="3">
        <v>22.46</v>
      </c>
      <c r="S36" s="3">
        <v>29.31</v>
      </c>
      <c r="T36" s="1">
        <f>R36-S36</f>
        <v>-6.8499999999999979</v>
      </c>
      <c r="U36" s="1">
        <f t="shared" si="13"/>
        <v>-6.2733333333333334</v>
      </c>
      <c r="V36" s="1">
        <f t="shared" si="14"/>
        <v>-0.57666666666666444</v>
      </c>
      <c r="W36" s="1">
        <f t="shared" si="15"/>
        <v>1.4913994004503748</v>
      </c>
      <c r="Z36">
        <v>1.4913994004503748</v>
      </c>
    </row>
    <row r="37" spans="1:26" x14ac:dyDescent="0.35">
      <c r="A37" s="9" t="s">
        <v>125</v>
      </c>
      <c r="B37" s="3">
        <v>35.049999999999997</v>
      </c>
      <c r="C37" s="3">
        <v>28.73</v>
      </c>
      <c r="D37" s="1">
        <f t="shared" ref="D37:D60" si="16">B37-C37</f>
        <v>6.3199999999999967</v>
      </c>
      <c r="E37" s="1">
        <f t="shared" si="9"/>
        <v>4.8633333333333333</v>
      </c>
      <c r="F37" s="1">
        <f t="shared" si="10"/>
        <v>1.4566666666666634</v>
      </c>
      <c r="G37" s="1">
        <f t="shared" si="11"/>
        <v>0.36433394776673683</v>
      </c>
      <c r="J37">
        <v>0.36433394776673683</v>
      </c>
      <c r="Q37" s="9" t="s">
        <v>125</v>
      </c>
      <c r="R37" s="3">
        <v>20.16</v>
      </c>
      <c r="S37" s="3">
        <v>28.73</v>
      </c>
      <c r="T37" s="1">
        <f t="shared" ref="T37:T60" si="17">R37-S37</f>
        <v>-8.57</v>
      </c>
      <c r="U37" s="1">
        <f t="shared" si="13"/>
        <v>-6.2733333333333334</v>
      </c>
      <c r="V37" s="1">
        <f t="shared" si="14"/>
        <v>-2.2966666666666669</v>
      </c>
      <c r="W37" s="1">
        <f t="shared" si="15"/>
        <v>4.9132125974766998</v>
      </c>
      <c r="Z37">
        <v>4.9132125974766998</v>
      </c>
    </row>
    <row r="38" spans="1:26" x14ac:dyDescent="0.35">
      <c r="A38" s="9"/>
      <c r="B38" s="3">
        <v>35.729999999999997</v>
      </c>
      <c r="C38" s="3">
        <v>28.85</v>
      </c>
      <c r="D38" s="1">
        <f t="shared" si="16"/>
        <v>6.8799999999999955</v>
      </c>
      <c r="E38" s="1">
        <f t="shared" si="9"/>
        <v>4.8633333333333333</v>
      </c>
      <c r="F38" s="1">
        <f t="shared" si="10"/>
        <v>2.0166666666666622</v>
      </c>
      <c r="G38" s="1">
        <f t="shared" si="11"/>
        <v>0.24712850508822479</v>
      </c>
      <c r="H38" s="1">
        <f>AVERAGE(G37:G39)</f>
        <v>0.25383117872937327</v>
      </c>
      <c r="J38">
        <v>0.24712850508822479</v>
      </c>
      <c r="Q38" s="9"/>
      <c r="R38" s="3">
        <v>20.68</v>
      </c>
      <c r="S38" s="3">
        <v>28.85</v>
      </c>
      <c r="T38" s="1">
        <f t="shared" si="17"/>
        <v>-8.1700000000000017</v>
      </c>
      <c r="U38" s="1">
        <f t="shared" si="13"/>
        <v>-6.2733333333333334</v>
      </c>
      <c r="V38" s="1">
        <f t="shared" si="14"/>
        <v>-1.8966666666666683</v>
      </c>
      <c r="W38" s="1">
        <f t="shared" si="15"/>
        <v>3.7235188643915125</v>
      </c>
      <c r="X38" s="1">
        <f>AVERAGE(W37:W39)</f>
        <v>4.0945404720336933</v>
      </c>
      <c r="Z38">
        <v>3.7235188643915125</v>
      </c>
    </row>
    <row r="39" spans="1:26" x14ac:dyDescent="0.35">
      <c r="A39" s="9"/>
      <c r="B39" s="3">
        <v>36.39</v>
      </c>
      <c r="C39" s="3">
        <v>28.79</v>
      </c>
      <c r="D39" s="1">
        <f t="shared" si="16"/>
        <v>7.6000000000000014</v>
      </c>
      <c r="E39" s="1">
        <f t="shared" si="9"/>
        <v>4.8633333333333333</v>
      </c>
      <c r="F39" s="1">
        <f t="shared" si="10"/>
        <v>2.7366666666666681</v>
      </c>
      <c r="G39" s="1">
        <f t="shared" si="11"/>
        <v>0.15003108333315834</v>
      </c>
      <c r="J39">
        <v>0.15003108333315834</v>
      </c>
      <c r="Q39" s="9"/>
      <c r="R39" s="3">
        <v>20.65</v>
      </c>
      <c r="S39" s="3">
        <v>28.79</v>
      </c>
      <c r="T39" s="1">
        <f t="shared" si="17"/>
        <v>-8.14</v>
      </c>
      <c r="U39" s="1">
        <f t="shared" si="13"/>
        <v>-6.2733333333333334</v>
      </c>
      <c r="V39" s="1">
        <f t="shared" si="14"/>
        <v>-1.8666666666666671</v>
      </c>
      <c r="W39" s="1">
        <f t="shared" si="15"/>
        <v>3.6468899542328681</v>
      </c>
      <c r="Z39">
        <v>3.6468899542328681</v>
      </c>
    </row>
    <row r="40" spans="1:26" x14ac:dyDescent="0.35">
      <c r="A40" s="9" t="s">
        <v>132</v>
      </c>
      <c r="B40" s="3">
        <v>35.03</v>
      </c>
      <c r="C40" s="3">
        <v>29.49</v>
      </c>
      <c r="D40" s="1">
        <f>B40-C40</f>
        <v>5.5400000000000027</v>
      </c>
      <c r="E40" s="1">
        <f t="shared" si="9"/>
        <v>4.8633333333333333</v>
      </c>
      <c r="F40" s="1">
        <f t="shared" si="10"/>
        <v>0.67666666666666941</v>
      </c>
      <c r="G40" s="1">
        <f t="shared" si="11"/>
        <v>0.62560906974687369</v>
      </c>
      <c r="J40">
        <v>0.62560906974687369</v>
      </c>
      <c r="Q40" s="9" t="s">
        <v>132</v>
      </c>
      <c r="R40" s="3">
        <v>20.93</v>
      </c>
      <c r="S40" s="3">
        <v>29.49</v>
      </c>
      <c r="T40" s="1">
        <f>R40-S40</f>
        <v>-8.5599999999999987</v>
      </c>
      <c r="U40" s="1">
        <f t="shared" si="13"/>
        <v>-6.2733333333333334</v>
      </c>
      <c r="V40" s="1">
        <f t="shared" si="14"/>
        <v>-2.2866666666666653</v>
      </c>
      <c r="W40" s="1">
        <f t="shared" si="15"/>
        <v>4.8792745590408115</v>
      </c>
      <c r="Z40">
        <v>4.8792745590408115</v>
      </c>
    </row>
    <row r="41" spans="1:26" x14ac:dyDescent="0.35">
      <c r="A41" s="9"/>
      <c r="B41" s="3">
        <v>36.270000000000003</v>
      </c>
      <c r="C41" s="3">
        <v>29.71</v>
      </c>
      <c r="D41" s="1">
        <f t="shared" ref="D41:D63" si="18">B41-C41</f>
        <v>6.5600000000000023</v>
      </c>
      <c r="E41" s="1">
        <f t="shared" si="9"/>
        <v>4.8633333333333333</v>
      </c>
      <c r="F41" s="1">
        <f t="shared" si="10"/>
        <v>1.696666666666669</v>
      </c>
      <c r="G41" s="1">
        <f t="shared" si="11"/>
        <v>0.30849806240601702</v>
      </c>
      <c r="H41" s="1">
        <f>AVERAGE(G40:G42)</f>
        <v>0.80735488201977645</v>
      </c>
      <c r="J41">
        <v>0.30849806240601702</v>
      </c>
      <c r="Q41" s="9"/>
      <c r="R41" s="3">
        <v>21.14</v>
      </c>
      <c r="S41" s="3">
        <v>29.71</v>
      </c>
      <c r="T41" s="1">
        <f t="shared" ref="T41:T63" si="19">R41-S41</f>
        <v>-8.57</v>
      </c>
      <c r="U41" s="1">
        <f t="shared" si="13"/>
        <v>-6.2733333333333334</v>
      </c>
      <c r="V41" s="1">
        <f t="shared" si="14"/>
        <v>-2.2966666666666669</v>
      </c>
      <c r="W41" s="1">
        <f t="shared" si="15"/>
        <v>4.9132125974766998</v>
      </c>
      <c r="X41" s="1">
        <f>AVERAGE(W40:W42)</f>
        <v>4.5314150224535759</v>
      </c>
      <c r="Z41">
        <v>4.9132125974766998</v>
      </c>
    </row>
    <row r="42" spans="1:26" x14ac:dyDescent="0.35">
      <c r="A42" s="9"/>
      <c r="B42" s="3">
        <v>33.479999999999997</v>
      </c>
      <c r="C42" s="3">
        <v>29.19</v>
      </c>
      <c r="D42" s="1">
        <f t="shared" si="18"/>
        <v>4.2899999999999956</v>
      </c>
      <c r="E42" s="1">
        <f t="shared" si="9"/>
        <v>4.8633333333333333</v>
      </c>
      <c r="F42" s="1">
        <f t="shared" si="10"/>
        <v>-0.57333333333333769</v>
      </c>
      <c r="G42" s="1">
        <f t="shared" si="11"/>
        <v>1.4879575139064389</v>
      </c>
      <c r="J42">
        <v>1.4879575139064389</v>
      </c>
      <c r="Q42" s="9"/>
      <c r="R42" s="3">
        <v>20.99</v>
      </c>
      <c r="S42" s="3">
        <v>29.19</v>
      </c>
      <c r="T42" s="1">
        <f t="shared" si="19"/>
        <v>-8.2000000000000028</v>
      </c>
      <c r="U42" s="1">
        <f t="shared" si="13"/>
        <v>-6.2733333333333334</v>
      </c>
      <c r="V42" s="1">
        <f t="shared" si="14"/>
        <v>-1.9266666666666694</v>
      </c>
      <c r="W42" s="1">
        <f t="shared" si="15"/>
        <v>3.8017579108432153</v>
      </c>
      <c r="Z42">
        <v>3.8017579108432153</v>
      </c>
    </row>
    <row r="43" spans="1:26" x14ac:dyDescent="0.35">
      <c r="A43" s="9" t="s">
        <v>133</v>
      </c>
      <c r="B43" s="3">
        <v>34.61</v>
      </c>
      <c r="C43" s="3">
        <v>29.11</v>
      </c>
      <c r="D43" s="1">
        <f t="shared" si="18"/>
        <v>5.5</v>
      </c>
      <c r="E43" s="1">
        <f t="shared" si="9"/>
        <v>4.8633333333333333</v>
      </c>
      <c r="F43" s="1">
        <f t="shared" si="10"/>
        <v>0.63666666666666671</v>
      </c>
      <c r="G43" s="1">
        <f t="shared" si="11"/>
        <v>0.64319733468820151</v>
      </c>
      <c r="J43">
        <v>0.64319733468820151</v>
      </c>
      <c r="Q43" s="9" t="s">
        <v>133</v>
      </c>
      <c r="R43" s="3">
        <v>18.55</v>
      </c>
      <c r="S43" s="3">
        <v>29.11</v>
      </c>
      <c r="T43" s="1">
        <f t="shared" si="19"/>
        <v>-10.559999999999999</v>
      </c>
      <c r="U43" s="1">
        <f t="shared" si="13"/>
        <v>-6.2733333333333334</v>
      </c>
      <c r="V43" s="1">
        <f t="shared" si="14"/>
        <v>-4.2866666666666653</v>
      </c>
      <c r="W43" s="1">
        <f t="shared" si="15"/>
        <v>19.517098236163246</v>
      </c>
      <c r="Z43">
        <v>19.517098236163246</v>
      </c>
    </row>
    <row r="44" spans="1:26" x14ac:dyDescent="0.35">
      <c r="A44" s="9"/>
      <c r="B44" s="3">
        <v>34.56</v>
      </c>
      <c r="C44" s="3">
        <v>28.9</v>
      </c>
      <c r="D44" s="1">
        <f t="shared" si="18"/>
        <v>5.6600000000000037</v>
      </c>
      <c r="E44" s="1">
        <f t="shared" si="9"/>
        <v>4.8633333333333333</v>
      </c>
      <c r="F44" s="1">
        <f t="shared" si="10"/>
        <v>0.79666666666667041</v>
      </c>
      <c r="G44" s="1">
        <f t="shared" si="11"/>
        <v>0.57567774009998895</v>
      </c>
      <c r="H44" s="1">
        <f>AVERAGE(G43:G45)</f>
        <v>0.58533379959827758</v>
      </c>
      <c r="J44">
        <v>0.57567774009998895</v>
      </c>
      <c r="Q44" s="9"/>
      <c r="R44" s="3">
        <v>18.3</v>
      </c>
      <c r="S44" s="3">
        <v>28.9</v>
      </c>
      <c r="T44" s="1">
        <f t="shared" si="19"/>
        <v>-10.599999999999998</v>
      </c>
      <c r="U44" s="1">
        <f t="shared" si="13"/>
        <v>-6.2733333333333334</v>
      </c>
      <c r="V44" s="1">
        <f t="shared" si="14"/>
        <v>-4.3266666666666644</v>
      </c>
      <c r="W44" s="1">
        <f t="shared" si="15"/>
        <v>20.065798552804146</v>
      </c>
      <c r="X44" s="1">
        <f>AVERAGE(W43:W45)</f>
        <v>19.836696915569519</v>
      </c>
      <c r="Z44">
        <v>20.065798552804146</v>
      </c>
    </row>
    <row r="45" spans="1:26" x14ac:dyDescent="0.35">
      <c r="A45" s="9"/>
      <c r="B45" s="3">
        <v>35.200000000000003</v>
      </c>
      <c r="C45" s="3">
        <v>29.44</v>
      </c>
      <c r="D45" s="1">
        <f t="shared" si="18"/>
        <v>5.7600000000000016</v>
      </c>
      <c r="E45" s="1">
        <f t="shared" si="9"/>
        <v>4.8633333333333333</v>
      </c>
      <c r="F45" s="1">
        <f t="shared" si="10"/>
        <v>0.89666666666666828</v>
      </c>
      <c r="G45" s="1">
        <f t="shared" si="11"/>
        <v>0.53712632400664218</v>
      </c>
      <c r="J45">
        <v>0.53712632400664218</v>
      </c>
      <c r="Q45" s="9"/>
      <c r="R45" s="3">
        <v>18.850000000000001</v>
      </c>
      <c r="S45" s="3">
        <v>29.44</v>
      </c>
      <c r="T45" s="1">
        <f t="shared" si="19"/>
        <v>-10.59</v>
      </c>
      <c r="U45" s="1">
        <f t="shared" si="13"/>
        <v>-6.2733333333333334</v>
      </c>
      <c r="V45" s="1">
        <f t="shared" si="14"/>
        <v>-4.3166666666666664</v>
      </c>
      <c r="W45" s="1">
        <f t="shared" si="15"/>
        <v>19.927193957741164</v>
      </c>
      <c r="Z45">
        <v>19.927193957741164</v>
      </c>
    </row>
    <row r="46" spans="1:26" x14ac:dyDescent="0.35">
      <c r="A46" s="9" t="s">
        <v>134</v>
      </c>
      <c r="B46" s="3">
        <v>34.68</v>
      </c>
      <c r="C46" s="3">
        <v>30.18</v>
      </c>
      <c r="D46" s="1">
        <f t="shared" si="18"/>
        <v>4.5</v>
      </c>
      <c r="E46" s="1">
        <f t="shared" si="9"/>
        <v>4.8633333333333333</v>
      </c>
      <c r="F46" s="1">
        <f t="shared" si="10"/>
        <v>-0.36333333333333329</v>
      </c>
      <c r="G46" s="1">
        <f t="shared" si="11"/>
        <v>1.286394669376403</v>
      </c>
      <c r="J46">
        <v>1.286394669376403</v>
      </c>
      <c r="Q46" s="9" t="s">
        <v>134</v>
      </c>
      <c r="R46" s="3">
        <v>23.8</v>
      </c>
      <c r="S46" s="3">
        <v>30.18</v>
      </c>
      <c r="T46" s="1">
        <f t="shared" si="19"/>
        <v>-6.379999999999999</v>
      </c>
      <c r="U46" s="1">
        <f t="shared" si="13"/>
        <v>-6.2733333333333334</v>
      </c>
      <c r="V46" s="1">
        <f t="shared" si="14"/>
        <v>-0.10666666666666558</v>
      </c>
      <c r="W46" s="1">
        <f t="shared" si="15"/>
        <v>1.0767375682475222</v>
      </c>
      <c r="Z46">
        <v>1.0767375682475222</v>
      </c>
    </row>
    <row r="47" spans="1:26" x14ac:dyDescent="0.35">
      <c r="A47" s="9"/>
      <c r="B47" s="3">
        <v>34.33</v>
      </c>
      <c r="C47" s="3">
        <v>30.19</v>
      </c>
      <c r="D47" s="1">
        <f t="shared" si="18"/>
        <v>4.139999999999997</v>
      </c>
      <c r="E47" s="1">
        <f t="shared" si="9"/>
        <v>4.8633333333333333</v>
      </c>
      <c r="F47" s="1">
        <f t="shared" si="10"/>
        <v>-0.72333333333333627</v>
      </c>
      <c r="G47" s="1">
        <f t="shared" si="11"/>
        <v>1.650992233164549</v>
      </c>
      <c r="H47" s="1">
        <f>AVERAGE(G46:G48)</f>
        <v>1.5256582997738308</v>
      </c>
      <c r="J47">
        <v>1.650992233164549</v>
      </c>
      <c r="Q47" s="9"/>
      <c r="R47" s="3">
        <v>23.74</v>
      </c>
      <c r="S47" s="3">
        <v>30.19</v>
      </c>
      <c r="T47" s="1">
        <f t="shared" si="19"/>
        <v>-6.4500000000000028</v>
      </c>
      <c r="U47" s="1">
        <f t="shared" si="13"/>
        <v>-6.2733333333333334</v>
      </c>
      <c r="V47" s="1">
        <f t="shared" si="14"/>
        <v>-0.17666666666666941</v>
      </c>
      <c r="W47" s="1">
        <f t="shared" si="15"/>
        <v>1.1302693892731581</v>
      </c>
      <c r="X47" s="1">
        <f>AVERAGE(W46:W48)</f>
        <v>1.2125509633186458</v>
      </c>
      <c r="Z47">
        <v>1.1302693892731581</v>
      </c>
    </row>
    <row r="48" spans="1:26" x14ac:dyDescent="0.35">
      <c r="A48" s="9"/>
      <c r="B48" s="3">
        <v>33.880000000000003</v>
      </c>
      <c r="C48" s="3">
        <v>29.73</v>
      </c>
      <c r="D48" s="1">
        <f t="shared" si="18"/>
        <v>4.1500000000000021</v>
      </c>
      <c r="E48" s="1">
        <f t="shared" si="9"/>
        <v>4.8633333333333333</v>
      </c>
      <c r="F48" s="1">
        <f t="shared" si="10"/>
        <v>-0.71333333333333115</v>
      </c>
      <c r="G48" s="1">
        <f t="shared" si="11"/>
        <v>1.6395879967805407</v>
      </c>
      <c r="J48">
        <v>1.6395879967805407</v>
      </c>
      <c r="Q48" s="9"/>
      <c r="R48" s="3">
        <v>22.94</v>
      </c>
      <c r="S48" s="3">
        <v>29.73</v>
      </c>
      <c r="T48" s="1">
        <f t="shared" si="19"/>
        <v>-6.7899999999999991</v>
      </c>
      <c r="U48" s="1">
        <f t="shared" si="13"/>
        <v>-6.2733333333333334</v>
      </c>
      <c r="V48" s="1">
        <f t="shared" si="14"/>
        <v>-0.51666666666666572</v>
      </c>
      <c r="W48" s="1">
        <f t="shared" si="15"/>
        <v>1.4306459324352574</v>
      </c>
      <c r="Z48">
        <v>1.4306459324352574</v>
      </c>
    </row>
    <row r="49" spans="1:26" x14ac:dyDescent="0.35">
      <c r="A49" s="9" t="s">
        <v>135</v>
      </c>
      <c r="B49" s="3">
        <v>35.79</v>
      </c>
      <c r="C49" s="3">
        <v>29.62</v>
      </c>
      <c r="D49" s="1">
        <f t="shared" si="18"/>
        <v>6.1699999999999982</v>
      </c>
      <c r="E49" s="1">
        <f t="shared" si="9"/>
        <v>4.8633333333333333</v>
      </c>
      <c r="F49" s="1">
        <f t="shared" si="10"/>
        <v>1.3066666666666649</v>
      </c>
      <c r="G49" s="1">
        <f t="shared" si="11"/>
        <v>0.40425382607993154</v>
      </c>
      <c r="J49">
        <v>0.40425382607993154</v>
      </c>
      <c r="Q49" s="9" t="s">
        <v>135</v>
      </c>
      <c r="R49" s="3">
        <v>19.88</v>
      </c>
      <c r="S49" s="3">
        <v>29.62</v>
      </c>
      <c r="T49" s="1">
        <f t="shared" si="19"/>
        <v>-9.740000000000002</v>
      </c>
      <c r="U49" s="1">
        <f t="shared" si="13"/>
        <v>-6.2733333333333334</v>
      </c>
      <c r="V49" s="1">
        <f t="shared" si="14"/>
        <v>-3.4666666666666686</v>
      </c>
      <c r="W49" s="1">
        <f t="shared" si="15"/>
        <v>11.055303039742221</v>
      </c>
      <c r="Z49">
        <v>11.055303039742221</v>
      </c>
    </row>
    <row r="50" spans="1:26" x14ac:dyDescent="0.35">
      <c r="A50" s="9"/>
      <c r="B50" s="3">
        <v>34.83</v>
      </c>
      <c r="C50" s="3">
        <v>30.11</v>
      </c>
      <c r="D50" s="1">
        <f t="shared" si="18"/>
        <v>4.7199999999999989</v>
      </c>
      <c r="E50" s="1">
        <f t="shared" si="9"/>
        <v>4.8633333333333333</v>
      </c>
      <c r="F50" s="1">
        <f t="shared" si="10"/>
        <v>-0.14333333333333442</v>
      </c>
      <c r="G50" s="1">
        <f t="shared" si="11"/>
        <v>1.1044540007443524</v>
      </c>
      <c r="H50" s="1">
        <f>AVERAGE(G49:G51)</f>
        <v>0.59752797803066782</v>
      </c>
      <c r="J50">
        <v>1.1044540007443524</v>
      </c>
      <c r="Q50" s="9"/>
      <c r="R50" s="3">
        <v>19.43</v>
      </c>
      <c r="S50" s="3">
        <v>30.11</v>
      </c>
      <c r="T50" s="1">
        <f t="shared" si="19"/>
        <v>-10.68</v>
      </c>
      <c r="U50" s="1">
        <f t="shared" si="13"/>
        <v>-6.2733333333333334</v>
      </c>
      <c r="V50" s="1">
        <f t="shared" si="14"/>
        <v>-4.4066666666666663</v>
      </c>
      <c r="W50" s="1">
        <f t="shared" si="15"/>
        <v>21.209911068584447</v>
      </c>
      <c r="X50" s="1">
        <f>AVERAGE(W49:W51)</f>
        <v>14.929862923037428</v>
      </c>
      <c r="Z50">
        <v>21.209911068584447</v>
      </c>
    </row>
    <row r="51" spans="1:26" x14ac:dyDescent="0.35">
      <c r="A51" s="9"/>
      <c r="B51" s="3">
        <v>36.75</v>
      </c>
      <c r="C51" s="3">
        <v>30.07</v>
      </c>
      <c r="D51" s="1">
        <f t="shared" si="18"/>
        <v>6.68</v>
      </c>
      <c r="E51" s="1">
        <f t="shared" si="9"/>
        <v>4.8633333333333333</v>
      </c>
      <c r="F51" s="1">
        <f t="shared" si="10"/>
        <v>1.8166666666666664</v>
      </c>
      <c r="G51" s="1">
        <f t="shared" si="11"/>
        <v>0.28387610726771939</v>
      </c>
      <c r="J51">
        <v>0.28387610726771939</v>
      </c>
      <c r="Q51" s="9"/>
      <c r="R51" s="3">
        <v>20.149999999999999</v>
      </c>
      <c r="S51" s="3">
        <v>30.07</v>
      </c>
      <c r="T51" s="1">
        <f t="shared" si="19"/>
        <v>-9.9200000000000017</v>
      </c>
      <c r="U51" s="1">
        <f t="shared" si="13"/>
        <v>-6.2733333333333334</v>
      </c>
      <c r="V51" s="1">
        <f t="shared" si="14"/>
        <v>-3.6466666666666683</v>
      </c>
      <c r="W51" s="1">
        <f t="shared" si="15"/>
        <v>12.524374660785618</v>
      </c>
      <c r="Z51">
        <v>12.524374660785618</v>
      </c>
    </row>
    <row r="52" spans="1:26" x14ac:dyDescent="0.35">
      <c r="A52" s="9" t="s">
        <v>136</v>
      </c>
      <c r="B52" s="3">
        <v>34.85</v>
      </c>
      <c r="C52" s="3">
        <v>28.94</v>
      </c>
      <c r="D52" s="1">
        <f t="shared" si="18"/>
        <v>5.91</v>
      </c>
      <c r="E52" s="1">
        <f t="shared" si="9"/>
        <v>4.8633333333333333</v>
      </c>
      <c r="F52" s="1">
        <f t="shared" si="10"/>
        <v>1.0466666666666669</v>
      </c>
      <c r="G52" s="1">
        <f t="shared" si="11"/>
        <v>0.48408534799144148</v>
      </c>
      <c r="J52">
        <v>0.48408534799144148</v>
      </c>
      <c r="Q52" s="9" t="s">
        <v>136</v>
      </c>
      <c r="R52" s="3">
        <v>20.059999999999999</v>
      </c>
      <c r="S52" s="3">
        <v>28.94</v>
      </c>
      <c r="T52" s="1">
        <f t="shared" si="19"/>
        <v>-8.8800000000000026</v>
      </c>
      <c r="U52" s="1">
        <f t="shared" si="13"/>
        <v>-6.2733333333333334</v>
      </c>
      <c r="V52" s="1">
        <f t="shared" si="14"/>
        <v>-2.6066666666666691</v>
      </c>
      <c r="W52" s="1">
        <f t="shared" si="15"/>
        <v>6.0909474885291024</v>
      </c>
      <c r="Z52">
        <v>6.0909474885291024</v>
      </c>
    </row>
    <row r="53" spans="1:26" x14ac:dyDescent="0.35">
      <c r="A53" s="9"/>
      <c r="B53" s="3">
        <v>36.76</v>
      </c>
      <c r="C53" s="3">
        <v>29.48</v>
      </c>
      <c r="D53" s="1">
        <f t="shared" si="18"/>
        <v>7.2799999999999976</v>
      </c>
      <c r="E53" s="1">
        <f t="shared" si="9"/>
        <v>4.8633333333333333</v>
      </c>
      <c r="F53" s="1">
        <f t="shared" si="10"/>
        <v>2.4166666666666643</v>
      </c>
      <c r="G53" s="1">
        <f t="shared" si="11"/>
        <v>0.1872883846095855</v>
      </c>
      <c r="H53" s="1" t="e">
        <f>AVERAGE(G52:G54)</f>
        <v>#VALUE!</v>
      </c>
      <c r="J53">
        <v>0.1872883846095855</v>
      </c>
      <c r="Q53" s="9"/>
      <c r="R53" s="3">
        <v>19.82</v>
      </c>
      <c r="S53" s="3">
        <v>29.48</v>
      </c>
      <c r="T53" s="1">
        <f t="shared" si="19"/>
        <v>-9.66</v>
      </c>
      <c r="U53" s="1">
        <f t="shared" si="13"/>
        <v>-6.2733333333333334</v>
      </c>
      <c r="V53" s="1">
        <f t="shared" si="14"/>
        <v>-3.3866666666666667</v>
      </c>
      <c r="W53" s="1">
        <f t="shared" si="15"/>
        <v>10.458953977616838</v>
      </c>
      <c r="X53" s="1">
        <f>AVERAGE(W52:W54)</f>
        <v>8.5727601206353246</v>
      </c>
      <c r="Z53">
        <v>10.458953977616838</v>
      </c>
    </row>
    <row r="54" spans="1:26" x14ac:dyDescent="0.35">
      <c r="A54" s="9"/>
      <c r="B54" s="3" t="s">
        <v>9</v>
      </c>
      <c r="C54" s="3">
        <v>29.53</v>
      </c>
      <c r="D54" s="1" t="e">
        <f t="shared" si="18"/>
        <v>#VALUE!</v>
      </c>
      <c r="E54" s="1">
        <f t="shared" si="9"/>
        <v>4.8633333333333333</v>
      </c>
      <c r="F54" s="1" t="e">
        <f t="shared" si="10"/>
        <v>#VALUE!</v>
      </c>
      <c r="G54" s="1" t="e">
        <f t="shared" si="11"/>
        <v>#VALUE!</v>
      </c>
      <c r="J54" t="e">
        <v>#VALUE!</v>
      </c>
      <c r="Q54" s="9"/>
      <c r="R54" s="3">
        <v>20.059999999999999</v>
      </c>
      <c r="S54" s="3">
        <v>29.53</v>
      </c>
      <c r="T54" s="1">
        <f t="shared" si="19"/>
        <v>-9.4700000000000024</v>
      </c>
      <c r="U54" s="1">
        <f t="shared" si="13"/>
        <v>-6.2733333333333334</v>
      </c>
      <c r="V54" s="1">
        <f t="shared" si="14"/>
        <v>-3.196666666666669</v>
      </c>
      <c r="W54" s="1">
        <f t="shared" si="15"/>
        <v>9.1683788957600374</v>
      </c>
      <c r="Z54">
        <v>9.1683788957600374</v>
      </c>
    </row>
    <row r="55" spans="1:26" x14ac:dyDescent="0.35">
      <c r="A55" s="9" t="s">
        <v>137</v>
      </c>
      <c r="B55" s="3">
        <v>35.64</v>
      </c>
      <c r="C55" s="3">
        <v>28.36</v>
      </c>
      <c r="D55" s="1">
        <f t="shared" si="18"/>
        <v>7.2800000000000011</v>
      </c>
      <c r="E55" s="1">
        <f t="shared" si="9"/>
        <v>4.8633333333333333</v>
      </c>
      <c r="F55" s="1">
        <f t="shared" si="10"/>
        <v>2.4166666666666679</v>
      </c>
      <c r="G55" s="1">
        <f t="shared" si="11"/>
        <v>0.18728838460958505</v>
      </c>
      <c r="J55">
        <v>0.18728838460958505</v>
      </c>
      <c r="Q55" s="9" t="s">
        <v>137</v>
      </c>
      <c r="R55" s="3">
        <v>19.62</v>
      </c>
      <c r="S55" s="3">
        <v>28.36</v>
      </c>
      <c r="T55" s="1">
        <f t="shared" si="19"/>
        <v>-8.7399999999999984</v>
      </c>
      <c r="U55" s="1">
        <f t="shared" si="13"/>
        <v>-6.2733333333333334</v>
      </c>
      <c r="V55" s="1">
        <f t="shared" si="14"/>
        <v>-2.466666666666665</v>
      </c>
      <c r="W55" s="1">
        <f t="shared" si="15"/>
        <v>5.5276515198710969</v>
      </c>
      <c r="Z55">
        <v>5.5276515198710969</v>
      </c>
    </row>
    <row r="56" spans="1:26" x14ac:dyDescent="0.35">
      <c r="A56" s="9"/>
      <c r="B56" s="3">
        <v>35.18</v>
      </c>
      <c r="C56" s="3">
        <v>30.43</v>
      </c>
      <c r="D56" s="1">
        <f t="shared" si="18"/>
        <v>4.75</v>
      </c>
      <c r="E56" s="1">
        <f t="shared" si="9"/>
        <v>4.8633333333333333</v>
      </c>
      <c r="F56" s="1">
        <f t="shared" si="10"/>
        <v>-0.11333333333333329</v>
      </c>
      <c r="G56" s="1">
        <f t="shared" si="11"/>
        <v>1.0817246660801048</v>
      </c>
      <c r="H56" s="1">
        <f>AVERAGE(G55:G57)</f>
        <v>0.44617385201806053</v>
      </c>
      <c r="J56">
        <v>1.0817246660801048</v>
      </c>
      <c r="Q56" s="9"/>
      <c r="R56" s="3">
        <v>20.55</v>
      </c>
      <c r="S56" s="3">
        <v>30.43</v>
      </c>
      <c r="T56" s="1">
        <f t="shared" si="19"/>
        <v>-9.879999999999999</v>
      </c>
      <c r="U56" s="1">
        <f t="shared" si="13"/>
        <v>-6.2733333333333334</v>
      </c>
      <c r="V56" s="1">
        <f t="shared" si="14"/>
        <v>-3.6066666666666656</v>
      </c>
      <c r="W56" s="1">
        <f t="shared" si="15"/>
        <v>12.181894977058173</v>
      </c>
      <c r="X56" s="1">
        <f>AVERAGE(W55:W57)</f>
        <v>7.4525762815868788</v>
      </c>
      <c r="Z56">
        <v>12.181894977058173</v>
      </c>
    </row>
    <row r="57" spans="1:26" x14ac:dyDescent="0.35">
      <c r="A57" s="9"/>
      <c r="B57" s="3">
        <v>37.6</v>
      </c>
      <c r="C57" s="3">
        <v>28.89</v>
      </c>
      <c r="D57" s="1">
        <f t="shared" si="18"/>
        <v>8.7100000000000009</v>
      </c>
      <c r="E57" s="1">
        <f t="shared" si="9"/>
        <v>4.8633333333333333</v>
      </c>
      <c r="F57" s="1">
        <f t="shared" si="10"/>
        <v>3.8466666666666676</v>
      </c>
      <c r="G57" s="1">
        <f t="shared" si="11"/>
        <v>6.9508505364491976E-2</v>
      </c>
      <c r="J57">
        <v>6.9508505364491976E-2</v>
      </c>
      <c r="Q57" s="9"/>
      <c r="R57" s="3">
        <v>20.399999999999999</v>
      </c>
      <c r="S57" s="3">
        <v>28.89</v>
      </c>
      <c r="T57" s="1">
        <f t="shared" si="19"/>
        <v>-8.490000000000002</v>
      </c>
      <c r="U57" s="1">
        <f t="shared" si="13"/>
        <v>-6.2733333333333334</v>
      </c>
      <c r="V57" s="1">
        <f t="shared" si="14"/>
        <v>-2.2166666666666686</v>
      </c>
      <c r="W57" s="1">
        <f t="shared" si="15"/>
        <v>4.648182347831364</v>
      </c>
      <c r="Z57">
        <v>4.648182347831364</v>
      </c>
    </row>
    <row r="58" spans="1:26" x14ac:dyDescent="0.35">
      <c r="A58" s="9" t="s">
        <v>138</v>
      </c>
      <c r="B58" s="3" t="s">
        <v>9</v>
      </c>
      <c r="C58" s="3">
        <v>30.14</v>
      </c>
      <c r="D58" s="1" t="e">
        <f t="shared" si="18"/>
        <v>#VALUE!</v>
      </c>
      <c r="E58" s="1">
        <f t="shared" si="9"/>
        <v>4.8633333333333333</v>
      </c>
      <c r="F58" s="1" t="e">
        <f t="shared" si="10"/>
        <v>#VALUE!</v>
      </c>
      <c r="G58" s="1" t="e">
        <f t="shared" si="11"/>
        <v>#VALUE!</v>
      </c>
      <c r="J58" t="e">
        <v>#VALUE!</v>
      </c>
      <c r="Q58" s="9" t="s">
        <v>138</v>
      </c>
      <c r="R58" s="3">
        <v>21.24</v>
      </c>
      <c r="S58" s="3">
        <v>30.14</v>
      </c>
      <c r="T58" s="1">
        <f t="shared" si="19"/>
        <v>-8.9000000000000021</v>
      </c>
      <c r="U58" s="1">
        <f t="shared" si="13"/>
        <v>-6.2733333333333334</v>
      </c>
      <c r="V58" s="1">
        <f t="shared" si="14"/>
        <v>-2.6266666666666687</v>
      </c>
      <c r="W58" s="1">
        <f t="shared" si="15"/>
        <v>6.1759739468973525</v>
      </c>
      <c r="Z58">
        <v>6.1759739468973525</v>
      </c>
    </row>
    <row r="59" spans="1:26" x14ac:dyDescent="0.35">
      <c r="A59" s="9"/>
      <c r="B59" s="3" t="s">
        <v>9</v>
      </c>
      <c r="C59" s="3">
        <v>29.65</v>
      </c>
      <c r="D59" s="1" t="e">
        <f t="shared" si="18"/>
        <v>#VALUE!</v>
      </c>
      <c r="E59" s="1">
        <f t="shared" si="9"/>
        <v>4.8633333333333333</v>
      </c>
      <c r="F59" s="1" t="e">
        <f t="shared" si="10"/>
        <v>#VALUE!</v>
      </c>
      <c r="G59" s="1" t="e">
        <f t="shared" si="11"/>
        <v>#VALUE!</v>
      </c>
      <c r="H59" s="1" t="e">
        <f>AVERAGE(G58:G60)</f>
        <v>#VALUE!</v>
      </c>
      <c r="J59" t="e">
        <v>#VALUE!</v>
      </c>
      <c r="Q59" s="9"/>
      <c r="R59" s="3">
        <v>20.74</v>
      </c>
      <c r="S59" s="3">
        <v>29.65</v>
      </c>
      <c r="T59" s="1">
        <f t="shared" si="19"/>
        <v>-8.91</v>
      </c>
      <c r="U59" s="1">
        <f t="shared" si="13"/>
        <v>-6.2733333333333334</v>
      </c>
      <c r="V59" s="1">
        <f t="shared" si="14"/>
        <v>-2.6366666666666667</v>
      </c>
      <c r="W59" s="1">
        <f t="shared" si="15"/>
        <v>6.2189312428339782</v>
      </c>
      <c r="X59" s="1">
        <f>AVERAGE(W58:W60)</f>
        <v>6.307673689879632</v>
      </c>
      <c r="Z59">
        <v>6.2189312428339782</v>
      </c>
    </row>
    <row r="60" spans="1:26" x14ac:dyDescent="0.35">
      <c r="A60" s="9"/>
      <c r="B60" s="3" t="s">
        <v>9</v>
      </c>
      <c r="C60" s="3">
        <v>28.7</v>
      </c>
      <c r="D60" s="1" t="e">
        <f t="shared" si="18"/>
        <v>#VALUE!</v>
      </c>
      <c r="E60" s="1">
        <f t="shared" si="9"/>
        <v>4.8633333333333333</v>
      </c>
      <c r="F60" s="1" t="e">
        <f t="shared" si="10"/>
        <v>#VALUE!</v>
      </c>
      <c r="G60" s="1" t="e">
        <f t="shared" si="11"/>
        <v>#VALUE!</v>
      </c>
      <c r="J60" t="e">
        <v>#VALUE!</v>
      </c>
      <c r="Q60" s="9"/>
      <c r="R60" s="3">
        <v>19.72</v>
      </c>
      <c r="S60" s="3">
        <v>28.7</v>
      </c>
      <c r="T60" s="1">
        <f t="shared" si="19"/>
        <v>-8.98</v>
      </c>
      <c r="U60" s="1">
        <f t="shared" si="13"/>
        <v>-6.2733333333333334</v>
      </c>
      <c r="V60" s="1">
        <f t="shared" si="14"/>
        <v>-2.706666666666667</v>
      </c>
      <c r="W60" s="1">
        <f t="shared" si="15"/>
        <v>6.528115879907566</v>
      </c>
      <c r="Z60">
        <v>6.528115879907566</v>
      </c>
    </row>
    <row r="61" spans="1:26" x14ac:dyDescent="0.35">
      <c r="A61" s="9" t="s">
        <v>139</v>
      </c>
      <c r="B61" s="3">
        <v>36.270000000000003</v>
      </c>
      <c r="C61" s="3">
        <v>29</v>
      </c>
      <c r="D61" s="1">
        <f t="shared" si="18"/>
        <v>7.2700000000000031</v>
      </c>
      <c r="E61" s="1">
        <f t="shared" si="9"/>
        <v>4.8633333333333333</v>
      </c>
      <c r="F61" s="1">
        <f t="shared" si="10"/>
        <v>2.4066666666666698</v>
      </c>
      <c r="G61" s="1">
        <f t="shared" si="11"/>
        <v>0.18859107834377875</v>
      </c>
      <c r="I61" s="6"/>
      <c r="J61">
        <v>0.18859107834377875</v>
      </c>
      <c r="Q61" s="9" t="s">
        <v>139</v>
      </c>
      <c r="R61" s="3">
        <v>19.95</v>
      </c>
      <c r="S61" s="3">
        <v>29</v>
      </c>
      <c r="T61" s="1">
        <f t="shared" si="19"/>
        <v>-9.0500000000000007</v>
      </c>
      <c r="U61" s="1">
        <f t="shared" si="13"/>
        <v>-6.2733333333333334</v>
      </c>
      <c r="V61" s="1">
        <f t="shared" si="14"/>
        <v>-2.7766666666666673</v>
      </c>
      <c r="W61" s="1">
        <f t="shared" si="15"/>
        <v>6.8526721517636524</v>
      </c>
      <c r="Y61" s="6"/>
      <c r="Z61">
        <v>6.8526721517636524</v>
      </c>
    </row>
    <row r="62" spans="1:26" x14ac:dyDescent="0.35">
      <c r="A62" s="9"/>
      <c r="B62" s="3">
        <v>35.39</v>
      </c>
      <c r="C62" s="3">
        <v>29.19</v>
      </c>
      <c r="D62" s="1">
        <f t="shared" si="18"/>
        <v>6.1999999999999993</v>
      </c>
      <c r="E62" s="1">
        <f t="shared" si="9"/>
        <v>4.8633333333333333</v>
      </c>
      <c r="F62" s="1">
        <f t="shared" si="10"/>
        <v>1.336666666666666</v>
      </c>
      <c r="G62" s="1">
        <f t="shared" si="11"/>
        <v>0.39593440263986002</v>
      </c>
      <c r="H62" s="1">
        <f>AVERAGE(G61:G63)</f>
        <v>0.44629659811958461</v>
      </c>
      <c r="J62">
        <v>0.39593440263986002</v>
      </c>
      <c r="Q62" s="9"/>
      <c r="R62" s="3">
        <v>19.96</v>
      </c>
      <c r="S62" s="3">
        <v>29.19</v>
      </c>
      <c r="T62" s="1">
        <f t="shared" si="19"/>
        <v>-9.23</v>
      </c>
      <c r="U62" s="1">
        <f t="shared" si="13"/>
        <v>-6.2733333333333334</v>
      </c>
      <c r="V62" s="1">
        <f t="shared" si="14"/>
        <v>-2.956666666666667</v>
      </c>
      <c r="W62" s="1">
        <f t="shared" si="15"/>
        <v>7.7632818519483262</v>
      </c>
      <c r="X62" s="1">
        <f>AVERAGE(W61:W63)</f>
        <v>8.3583026604429396</v>
      </c>
      <c r="Z62">
        <v>7.7632818519483262</v>
      </c>
    </row>
    <row r="63" spans="1:26" x14ac:dyDescent="0.35">
      <c r="A63" s="9"/>
      <c r="B63" s="7">
        <v>33.67</v>
      </c>
      <c r="C63" s="3">
        <v>28.4</v>
      </c>
      <c r="D63" s="1">
        <f t="shared" si="18"/>
        <v>5.2700000000000031</v>
      </c>
      <c r="E63" s="1">
        <f t="shared" si="9"/>
        <v>4.8633333333333333</v>
      </c>
      <c r="F63" s="1">
        <f t="shared" si="10"/>
        <v>0.40666666666666984</v>
      </c>
      <c r="G63" s="1">
        <f t="shared" si="11"/>
        <v>0.754364313375115</v>
      </c>
      <c r="J63">
        <v>0.754364313375115</v>
      </c>
      <c r="Q63" s="9"/>
      <c r="R63" s="3">
        <v>18.739999999999998</v>
      </c>
      <c r="S63" s="3">
        <v>28.4</v>
      </c>
      <c r="T63" s="1">
        <f t="shared" si="19"/>
        <v>-9.66</v>
      </c>
      <c r="U63" s="1">
        <f t="shared" si="13"/>
        <v>-6.2733333333333334</v>
      </c>
      <c r="V63" s="1">
        <f t="shared" si="14"/>
        <v>-3.3866666666666667</v>
      </c>
      <c r="W63" s="1">
        <f t="shared" si="15"/>
        <v>10.458953977616838</v>
      </c>
      <c r="Z63">
        <v>10.458953977616838</v>
      </c>
    </row>
    <row r="65" spans="1:26" x14ac:dyDescent="0.35">
      <c r="A65" s="2"/>
      <c r="B65" s="1" t="s">
        <v>120</v>
      </c>
      <c r="C65" s="1" t="s">
        <v>115</v>
      </c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Q65" s="2"/>
      <c r="R65" s="1" t="s">
        <v>121</v>
      </c>
      <c r="S65" s="1" t="s">
        <v>115</v>
      </c>
      <c r="T65" s="1" t="s">
        <v>0</v>
      </c>
      <c r="U65" s="1" t="s">
        <v>1</v>
      </c>
      <c r="V65" s="1" t="s">
        <v>2</v>
      </c>
      <c r="W65" s="1" t="s">
        <v>3</v>
      </c>
      <c r="X65" s="1" t="s">
        <v>4</v>
      </c>
      <c r="Y65" s="1" t="s">
        <v>5</v>
      </c>
    </row>
    <row r="66" spans="1:26" ht="14.5" customHeight="1" x14ac:dyDescent="0.35">
      <c r="A66" s="9" t="s">
        <v>124</v>
      </c>
      <c r="B66" s="3">
        <v>36.479999999999997</v>
      </c>
      <c r="C66" s="3">
        <v>29.49</v>
      </c>
      <c r="D66" s="1">
        <f>B66-C66</f>
        <v>6.9899999999999984</v>
      </c>
      <c r="E66" s="1">
        <f>AVERAGE($B$66:$B$68)-AVERAGE($C$66:$C$68)</f>
        <v>6.1733333333333285</v>
      </c>
      <c r="F66" s="1">
        <f>D66-E66</f>
        <v>0.81666666666666998</v>
      </c>
      <c r="G66" s="1">
        <f>2^-F66</f>
        <v>0.56775221453543734</v>
      </c>
      <c r="H66" s="1"/>
      <c r="I66" s="1"/>
      <c r="J66">
        <v>0.56775221453543734</v>
      </c>
      <c r="Q66" s="9" t="s">
        <v>124</v>
      </c>
      <c r="R66" s="3">
        <v>37.53</v>
      </c>
      <c r="S66" s="3">
        <v>29.49</v>
      </c>
      <c r="T66" s="1">
        <f>R66-S66</f>
        <v>8.0400000000000027</v>
      </c>
      <c r="U66" s="1">
        <f>AVERAGE($R$66:$R$68)-AVERAGE($S$66:$S$68)</f>
        <v>7.7650000000000041</v>
      </c>
      <c r="V66" s="1">
        <f>T66-U66</f>
        <v>0.27499999999999858</v>
      </c>
      <c r="W66" s="1">
        <f>2^-V66</f>
        <v>0.82645031815421255</v>
      </c>
      <c r="X66" s="1"/>
      <c r="Y66" s="1"/>
      <c r="Z66">
        <v>0.82645031815421255</v>
      </c>
    </row>
    <row r="67" spans="1:26" x14ac:dyDescent="0.35">
      <c r="A67" s="9"/>
      <c r="B67" s="3">
        <v>34.090000000000003</v>
      </c>
      <c r="C67" s="3">
        <v>28.89</v>
      </c>
      <c r="D67" s="1">
        <f t="shared" ref="D67" si="20">B67-C67</f>
        <v>5.2000000000000028</v>
      </c>
      <c r="E67" s="1">
        <f t="shared" ref="E67:E95" si="21">AVERAGE($R$34:$R$36)-AVERAGE($S$34:$S$36)</f>
        <v>-6.2733333333333334</v>
      </c>
      <c r="F67" s="1">
        <f t="shared" ref="F67:F95" si="22">D67-E67</f>
        <v>11.473333333333336</v>
      </c>
      <c r="G67" s="1">
        <f t="shared" ref="G67:G95" si="23">2^-F67</f>
        <v>3.5170821822064219E-4</v>
      </c>
      <c r="H67" s="1">
        <f>AVERAGE(G66:G68)</f>
        <v>0.18942154125640501</v>
      </c>
      <c r="I67" s="1"/>
      <c r="J67">
        <v>3.5170821822064219E-4</v>
      </c>
      <c r="Q67" s="9"/>
      <c r="R67" s="3">
        <v>36.46</v>
      </c>
      <c r="S67" s="3">
        <v>28.89</v>
      </c>
      <c r="T67" s="1">
        <f t="shared" ref="T67" si="24">R67-S67</f>
        <v>7.57</v>
      </c>
      <c r="U67" s="1">
        <f t="shared" ref="U67:U95" si="25">AVERAGE($R$66:$R$68)-AVERAGE($S$66:$S$68)</f>
        <v>7.7650000000000041</v>
      </c>
      <c r="V67" s="1">
        <f t="shared" ref="V67:V95" si="26">T67-U67</f>
        <v>-0.19500000000000384</v>
      </c>
      <c r="W67" s="1">
        <f t="shared" ref="W67:W95" si="27">2^-V67</f>
        <v>1.1447241605986878</v>
      </c>
      <c r="X67" s="1" t="e">
        <f>AVERAGE(W66:W68)</f>
        <v>#VALUE!</v>
      </c>
      <c r="Y67" s="1"/>
      <c r="Z67">
        <v>1.1447241605986878</v>
      </c>
    </row>
    <row r="68" spans="1:26" x14ac:dyDescent="0.35">
      <c r="A68" s="9"/>
      <c r="B68" s="3">
        <v>35.64</v>
      </c>
      <c r="C68" s="3">
        <v>29.31</v>
      </c>
      <c r="D68" s="1">
        <f>B68-C68</f>
        <v>6.3300000000000018</v>
      </c>
      <c r="E68" s="1">
        <f t="shared" si="21"/>
        <v>-6.2733333333333334</v>
      </c>
      <c r="F68" s="1">
        <f t="shared" si="22"/>
        <v>12.603333333333335</v>
      </c>
      <c r="G68" s="1">
        <f t="shared" si="23"/>
        <v>1.607010155570841E-4</v>
      </c>
      <c r="J68">
        <v>1.607010155570841E-4</v>
      </c>
      <c r="Q68" s="9"/>
      <c r="R68" s="3" t="s">
        <v>9</v>
      </c>
      <c r="S68" s="3">
        <v>29.31</v>
      </c>
      <c r="T68" s="1" t="e">
        <f>R68-S68</f>
        <v>#VALUE!</v>
      </c>
      <c r="U68" s="1">
        <f t="shared" si="25"/>
        <v>7.7650000000000041</v>
      </c>
      <c r="V68" s="1" t="e">
        <f t="shared" si="26"/>
        <v>#VALUE!</v>
      </c>
      <c r="W68" s="1" t="e">
        <f t="shared" si="27"/>
        <v>#VALUE!</v>
      </c>
      <c r="Z68" t="e">
        <v>#VALUE!</v>
      </c>
    </row>
    <row r="69" spans="1:26" ht="14.5" customHeight="1" x14ac:dyDescent="0.35">
      <c r="A69" s="9" t="s">
        <v>125</v>
      </c>
      <c r="B69" s="3">
        <v>29.85</v>
      </c>
      <c r="C69" s="3">
        <v>28.73</v>
      </c>
      <c r="D69" s="1">
        <f t="shared" ref="D69:D92" si="28">B69-C69</f>
        <v>1.120000000000001</v>
      </c>
      <c r="E69" s="1">
        <f t="shared" si="21"/>
        <v>-6.2733333333333334</v>
      </c>
      <c r="F69" s="1">
        <f t="shared" si="22"/>
        <v>7.3933333333333344</v>
      </c>
      <c r="G69" s="1">
        <f t="shared" si="23"/>
        <v>5.9481909067666903E-3</v>
      </c>
      <c r="J69">
        <v>5.9481909067666903E-3</v>
      </c>
      <c r="Q69" s="9" t="s">
        <v>125</v>
      </c>
      <c r="R69" s="3">
        <v>33.82</v>
      </c>
      <c r="S69" s="3">
        <v>28.73</v>
      </c>
      <c r="T69" s="1">
        <f t="shared" ref="T69:T92" si="29">R69-S69</f>
        <v>5.09</v>
      </c>
      <c r="U69" s="1">
        <f t="shared" si="25"/>
        <v>7.7650000000000041</v>
      </c>
      <c r="V69" s="1">
        <f t="shared" si="26"/>
        <v>-2.6750000000000043</v>
      </c>
      <c r="W69" s="1">
        <f t="shared" si="27"/>
        <v>6.3863870908532174</v>
      </c>
      <c r="Z69">
        <v>6.3863870908532174</v>
      </c>
    </row>
    <row r="70" spans="1:26" x14ac:dyDescent="0.35">
      <c r="A70" s="9"/>
      <c r="B70" s="3">
        <v>31.62</v>
      </c>
      <c r="C70" s="3">
        <v>28.85</v>
      </c>
      <c r="D70" s="1">
        <f t="shared" si="28"/>
        <v>2.7699999999999996</v>
      </c>
      <c r="E70" s="1">
        <f t="shared" si="21"/>
        <v>-6.2733333333333334</v>
      </c>
      <c r="F70" s="1">
        <f t="shared" si="22"/>
        <v>9.043333333333333</v>
      </c>
      <c r="G70" s="1">
        <f t="shared" si="23"/>
        <v>1.8953324833858216E-3</v>
      </c>
      <c r="H70" s="1">
        <f>AVERAGE(G69:G71)</f>
        <v>3.6058729478452857E-3</v>
      </c>
      <c r="J70">
        <v>1.8953324833858216E-3</v>
      </c>
      <c r="Q70" s="9"/>
      <c r="R70" s="3">
        <v>34.700000000000003</v>
      </c>
      <c r="S70" s="3">
        <v>28.85</v>
      </c>
      <c r="T70" s="1">
        <f t="shared" si="29"/>
        <v>5.8500000000000014</v>
      </c>
      <c r="U70" s="1">
        <f t="shared" si="25"/>
        <v>7.7650000000000041</v>
      </c>
      <c r="V70" s="1">
        <f t="shared" si="26"/>
        <v>-1.9150000000000027</v>
      </c>
      <c r="W70" s="1">
        <f t="shared" si="27"/>
        <v>3.7711381436729652</v>
      </c>
      <c r="X70" s="1">
        <f>AVERAGE(W69:W71)</f>
        <v>4.3124538914036217</v>
      </c>
      <c r="Z70">
        <v>3.7711381436729652</v>
      </c>
    </row>
    <row r="71" spans="1:26" x14ac:dyDescent="0.35">
      <c r="A71" s="9"/>
      <c r="B71" s="3">
        <v>30.91</v>
      </c>
      <c r="C71" s="3">
        <v>28.79</v>
      </c>
      <c r="D71" s="1">
        <f t="shared" si="28"/>
        <v>2.120000000000001</v>
      </c>
      <c r="E71" s="1">
        <f t="shared" si="21"/>
        <v>-6.2733333333333334</v>
      </c>
      <c r="F71" s="1">
        <f t="shared" si="22"/>
        <v>8.3933333333333344</v>
      </c>
      <c r="G71" s="1">
        <f t="shared" si="23"/>
        <v>2.9740954533833451E-3</v>
      </c>
      <c r="J71">
        <v>2.9740954533833451E-3</v>
      </c>
      <c r="Q71" s="9"/>
      <c r="R71" s="3">
        <v>35.08</v>
      </c>
      <c r="S71" s="3">
        <v>28.79</v>
      </c>
      <c r="T71" s="1">
        <f t="shared" si="29"/>
        <v>6.2899999999999991</v>
      </c>
      <c r="U71" s="1">
        <f t="shared" si="25"/>
        <v>7.7650000000000041</v>
      </c>
      <c r="V71" s="1">
        <f t="shared" si="26"/>
        <v>-1.475000000000005</v>
      </c>
      <c r="W71" s="1">
        <f t="shared" si="27"/>
        <v>2.7798364396846837</v>
      </c>
      <c r="Z71">
        <v>2.7798364396846837</v>
      </c>
    </row>
    <row r="72" spans="1:26" ht="14.5" customHeight="1" x14ac:dyDescent="0.35">
      <c r="A72" s="9" t="s">
        <v>132</v>
      </c>
      <c r="B72" s="3">
        <v>33.880000000000003</v>
      </c>
      <c r="C72" s="3">
        <v>29.49</v>
      </c>
      <c r="D72" s="1">
        <f>B72-C72</f>
        <v>4.3900000000000041</v>
      </c>
      <c r="E72" s="1">
        <f t="shared" si="21"/>
        <v>-6.2733333333333334</v>
      </c>
      <c r="F72" s="1">
        <f t="shared" si="22"/>
        <v>10.663333333333338</v>
      </c>
      <c r="G72" s="1">
        <f t="shared" si="23"/>
        <v>6.1661887265216666E-4</v>
      </c>
      <c r="J72">
        <v>6.1661887265216666E-4</v>
      </c>
      <c r="Q72" s="9" t="s">
        <v>132</v>
      </c>
      <c r="R72" s="3">
        <v>38.130000000000003</v>
      </c>
      <c r="S72" s="3">
        <v>29.49</v>
      </c>
      <c r="T72" s="1">
        <f>R72-S72</f>
        <v>8.6400000000000041</v>
      </c>
      <c r="U72" s="1">
        <f t="shared" si="25"/>
        <v>7.7650000000000041</v>
      </c>
      <c r="V72" s="1">
        <f t="shared" si="26"/>
        <v>0.875</v>
      </c>
      <c r="W72" s="1">
        <f t="shared" si="27"/>
        <v>0.54525386633262884</v>
      </c>
      <c r="Z72">
        <v>0.54525386633262884</v>
      </c>
    </row>
    <row r="73" spans="1:26" x14ac:dyDescent="0.35">
      <c r="A73" s="9"/>
      <c r="B73" s="3">
        <v>35.880000000000003</v>
      </c>
      <c r="C73" s="3">
        <v>29.71</v>
      </c>
      <c r="D73" s="1">
        <f t="shared" ref="D73:D95" si="30">B73-C73</f>
        <v>6.1700000000000017</v>
      </c>
      <c r="E73" s="1">
        <f t="shared" si="21"/>
        <v>-6.2733333333333334</v>
      </c>
      <c r="F73" s="1">
        <f t="shared" si="22"/>
        <v>12.443333333333335</v>
      </c>
      <c r="G73" s="1">
        <f t="shared" si="23"/>
        <v>1.7954917775707394E-4</v>
      </c>
      <c r="H73" s="1">
        <f>AVERAGE(G72:G74)</f>
        <v>5.5206443919765969E-4</v>
      </c>
      <c r="J73">
        <v>1.7954917775707394E-4</v>
      </c>
      <c r="Q73" s="9"/>
      <c r="R73" s="3" t="s">
        <v>9</v>
      </c>
      <c r="S73" s="3">
        <v>29.71</v>
      </c>
      <c r="T73" s="1" t="e">
        <f t="shared" ref="T73:T95" si="31">R73-S73</f>
        <v>#VALUE!</v>
      </c>
      <c r="U73" s="1">
        <f t="shared" si="25"/>
        <v>7.7650000000000041</v>
      </c>
      <c r="V73" s="1" t="e">
        <f t="shared" si="26"/>
        <v>#VALUE!</v>
      </c>
      <c r="W73" s="1" t="e">
        <f t="shared" si="27"/>
        <v>#VALUE!</v>
      </c>
      <c r="X73" s="1" t="e">
        <f>AVERAGE(W72:W74)</f>
        <v>#VALUE!</v>
      </c>
      <c r="Z73" t="e">
        <v>#VALUE!</v>
      </c>
    </row>
    <row r="74" spans="1:26" x14ac:dyDescent="0.35">
      <c r="A74" s="9"/>
      <c r="B74" s="3">
        <v>33.1</v>
      </c>
      <c r="C74" s="3">
        <v>29.19</v>
      </c>
      <c r="D74" s="1">
        <f t="shared" si="30"/>
        <v>3.91</v>
      </c>
      <c r="E74" s="1">
        <f t="shared" si="21"/>
        <v>-6.2733333333333334</v>
      </c>
      <c r="F74" s="1">
        <f t="shared" si="22"/>
        <v>10.183333333333334</v>
      </c>
      <c r="G74" s="1">
        <f t="shared" si="23"/>
        <v>8.6002526718373861E-4</v>
      </c>
      <c r="J74">
        <v>8.6002526718373861E-4</v>
      </c>
      <c r="Q74" s="9"/>
      <c r="R74" s="3">
        <v>36.47</v>
      </c>
      <c r="S74" s="3">
        <v>29.19</v>
      </c>
      <c r="T74" s="1">
        <f t="shared" si="31"/>
        <v>7.2799999999999976</v>
      </c>
      <c r="U74" s="1">
        <f t="shared" si="25"/>
        <v>7.7650000000000041</v>
      </c>
      <c r="V74" s="1">
        <f t="shared" si="26"/>
        <v>-0.48500000000000654</v>
      </c>
      <c r="W74" s="1">
        <f t="shared" si="27"/>
        <v>1.3995858655952023</v>
      </c>
      <c r="Z74">
        <v>1.3995858655952023</v>
      </c>
    </row>
    <row r="75" spans="1:26" ht="14.5" customHeight="1" x14ac:dyDescent="0.35">
      <c r="A75" s="9" t="s">
        <v>133</v>
      </c>
      <c r="B75" s="3">
        <v>21.75</v>
      </c>
      <c r="C75" s="3">
        <v>29.11</v>
      </c>
      <c r="D75" s="1">
        <f t="shared" si="30"/>
        <v>-7.3599999999999994</v>
      </c>
      <c r="E75" s="1">
        <f t="shared" si="21"/>
        <v>-6.2733333333333334</v>
      </c>
      <c r="F75" s="1">
        <f t="shared" si="22"/>
        <v>-1.086666666666666</v>
      </c>
      <c r="G75" s="1">
        <f t="shared" si="23"/>
        <v>2.123827607924714</v>
      </c>
      <c r="J75">
        <v>2.123827607924714</v>
      </c>
      <c r="Q75" s="9" t="s">
        <v>133</v>
      </c>
      <c r="R75" s="3">
        <v>31.3</v>
      </c>
      <c r="S75" s="3">
        <v>29.11</v>
      </c>
      <c r="T75" s="1">
        <f t="shared" si="31"/>
        <v>2.1900000000000013</v>
      </c>
      <c r="U75" s="1">
        <f t="shared" si="25"/>
        <v>7.7650000000000041</v>
      </c>
      <c r="V75" s="1">
        <f t="shared" si="26"/>
        <v>-5.5750000000000028</v>
      </c>
      <c r="W75" s="1">
        <f t="shared" si="27"/>
        <v>47.669678819926574</v>
      </c>
      <c r="Z75">
        <v>47.669678819926574</v>
      </c>
    </row>
    <row r="76" spans="1:26" x14ac:dyDescent="0.35">
      <c r="A76" s="9"/>
      <c r="B76" s="3">
        <v>21.67</v>
      </c>
      <c r="C76" s="3">
        <v>28.9</v>
      </c>
      <c r="D76" s="1">
        <f t="shared" si="30"/>
        <v>-7.2299999999999969</v>
      </c>
      <c r="E76" s="1">
        <f t="shared" si="21"/>
        <v>-6.2733333333333334</v>
      </c>
      <c r="F76" s="1">
        <f t="shared" si="22"/>
        <v>-0.95666666666666345</v>
      </c>
      <c r="G76" s="1">
        <f t="shared" si="23"/>
        <v>1.9408204629870769</v>
      </c>
      <c r="H76" s="1">
        <f>AVERAGE(G75:G77)</f>
        <v>2.0677493560250899</v>
      </c>
      <c r="J76">
        <v>1.9408204629870769</v>
      </c>
      <c r="Q76" s="9"/>
      <c r="R76" s="3">
        <v>31</v>
      </c>
      <c r="S76" s="3">
        <v>28.9</v>
      </c>
      <c r="T76" s="1">
        <f t="shared" si="31"/>
        <v>2.1000000000000014</v>
      </c>
      <c r="U76" s="1">
        <f t="shared" si="25"/>
        <v>7.7650000000000041</v>
      </c>
      <c r="V76" s="1">
        <f t="shared" si="26"/>
        <v>-5.6650000000000027</v>
      </c>
      <c r="W76" s="1">
        <f t="shared" si="27"/>
        <v>50.738184743058298</v>
      </c>
      <c r="X76" s="1">
        <f>AVERAGE(W75:W77)</f>
        <v>51.698994928512064</v>
      </c>
      <c r="Z76">
        <v>50.738184743058298</v>
      </c>
    </row>
    <row r="77" spans="1:26" x14ac:dyDescent="0.35">
      <c r="A77" s="9"/>
      <c r="B77" s="3">
        <v>22.07</v>
      </c>
      <c r="C77" s="3">
        <v>29.44</v>
      </c>
      <c r="D77" s="1">
        <f t="shared" si="30"/>
        <v>-7.370000000000001</v>
      </c>
      <c r="E77" s="1">
        <f t="shared" si="21"/>
        <v>-6.2733333333333334</v>
      </c>
      <c r="F77" s="1">
        <f t="shared" si="22"/>
        <v>-1.0966666666666676</v>
      </c>
      <c r="G77" s="1">
        <f t="shared" si="23"/>
        <v>2.1385999971634782</v>
      </c>
      <c r="J77">
        <v>2.1385999971634782</v>
      </c>
      <c r="Q77" s="9"/>
      <c r="R77" s="3">
        <v>31.38</v>
      </c>
      <c r="S77" s="3">
        <v>29.44</v>
      </c>
      <c r="T77" s="1">
        <f t="shared" si="31"/>
        <v>1.9399999999999977</v>
      </c>
      <c r="U77" s="1">
        <f t="shared" si="25"/>
        <v>7.7650000000000041</v>
      </c>
      <c r="V77" s="1">
        <f t="shared" si="26"/>
        <v>-5.8250000000000064</v>
      </c>
      <c r="W77" s="1">
        <f t="shared" si="27"/>
        <v>56.689121222551321</v>
      </c>
      <c r="Z77">
        <v>56.689121222551321</v>
      </c>
    </row>
    <row r="78" spans="1:26" ht="14.5" customHeight="1" x14ac:dyDescent="0.35">
      <c r="A78" s="9" t="s">
        <v>134</v>
      </c>
      <c r="B78" s="3">
        <v>30.03</v>
      </c>
      <c r="C78" s="3">
        <v>30.18</v>
      </c>
      <c r="D78" s="1">
        <f t="shared" si="30"/>
        <v>-0.14999999999999858</v>
      </c>
      <c r="E78" s="1">
        <f t="shared" si="21"/>
        <v>-6.2733333333333334</v>
      </c>
      <c r="F78" s="1">
        <f t="shared" si="22"/>
        <v>6.1233333333333348</v>
      </c>
      <c r="G78" s="1">
        <f t="shared" si="23"/>
        <v>1.4344750311956546E-2</v>
      </c>
      <c r="J78">
        <v>1.4344750311956546E-2</v>
      </c>
      <c r="Q78" s="9" t="s">
        <v>134</v>
      </c>
      <c r="R78" s="3">
        <v>35.74</v>
      </c>
      <c r="S78" s="3">
        <v>30.18</v>
      </c>
      <c r="T78" s="1">
        <f t="shared" si="31"/>
        <v>5.5600000000000023</v>
      </c>
      <c r="U78" s="1">
        <f t="shared" si="25"/>
        <v>7.7650000000000041</v>
      </c>
      <c r="V78" s="1">
        <f t="shared" si="26"/>
        <v>-2.2050000000000018</v>
      </c>
      <c r="W78" s="1">
        <f t="shared" si="27"/>
        <v>4.6107453871954629</v>
      </c>
      <c r="Z78">
        <v>4.6107453871954629</v>
      </c>
    </row>
    <row r="79" spans="1:26" x14ac:dyDescent="0.35">
      <c r="A79" s="9"/>
      <c r="B79" s="3">
        <v>35.14</v>
      </c>
      <c r="C79" s="3">
        <v>30.19</v>
      </c>
      <c r="D79" s="1">
        <f t="shared" si="30"/>
        <v>4.9499999999999993</v>
      </c>
      <c r="E79" s="1">
        <f t="shared" si="21"/>
        <v>-6.2733333333333334</v>
      </c>
      <c r="F79" s="1">
        <f t="shared" si="22"/>
        <v>11.223333333333333</v>
      </c>
      <c r="G79" s="1">
        <f t="shared" si="23"/>
        <v>4.1825391551291829E-4</v>
      </c>
      <c r="H79" s="1">
        <f>AVERAGE(G78:G80)</f>
        <v>5.891964560491369E-3</v>
      </c>
      <c r="J79">
        <v>4.1825391551291829E-4</v>
      </c>
      <c r="Q79" s="9"/>
      <c r="R79" s="3" t="s">
        <v>9</v>
      </c>
      <c r="S79" s="3">
        <v>30.19</v>
      </c>
      <c r="T79" s="1" t="e">
        <f t="shared" si="31"/>
        <v>#VALUE!</v>
      </c>
      <c r="U79" s="1">
        <f t="shared" si="25"/>
        <v>7.7650000000000041</v>
      </c>
      <c r="V79" s="1" t="e">
        <f t="shared" si="26"/>
        <v>#VALUE!</v>
      </c>
      <c r="W79" s="1" t="e">
        <f t="shared" si="27"/>
        <v>#VALUE!</v>
      </c>
      <c r="X79" s="1" t="e">
        <f>AVERAGE(W78:W80)</f>
        <v>#VALUE!</v>
      </c>
      <c r="Z79" t="e">
        <v>#VALUE!</v>
      </c>
    </row>
    <row r="80" spans="1:26" x14ac:dyDescent="0.35">
      <c r="A80" s="9"/>
      <c r="B80" s="3">
        <v>31.88</v>
      </c>
      <c r="C80" s="3">
        <v>29.73</v>
      </c>
      <c r="D80" s="1">
        <f t="shared" si="30"/>
        <v>2.1499999999999986</v>
      </c>
      <c r="E80" s="1">
        <f t="shared" si="21"/>
        <v>-6.2733333333333334</v>
      </c>
      <c r="F80" s="1">
        <f t="shared" si="22"/>
        <v>8.423333333333332</v>
      </c>
      <c r="G80" s="1">
        <f t="shared" si="23"/>
        <v>2.9128894540046452E-3</v>
      </c>
      <c r="J80">
        <v>2.9128894540046452E-3</v>
      </c>
      <c r="Q80" s="9"/>
      <c r="R80" s="3">
        <v>37.32</v>
      </c>
      <c r="S80" s="3">
        <v>29.73</v>
      </c>
      <c r="T80" s="1">
        <f t="shared" si="31"/>
        <v>7.59</v>
      </c>
      <c r="U80" s="1">
        <f t="shared" si="25"/>
        <v>7.7650000000000041</v>
      </c>
      <c r="V80" s="1">
        <f t="shared" si="26"/>
        <v>-0.17500000000000426</v>
      </c>
      <c r="W80" s="1">
        <f t="shared" si="27"/>
        <v>1.1289644048061345</v>
      </c>
      <c r="Z80">
        <v>1.1289644048061345</v>
      </c>
    </row>
    <row r="81" spans="1:26" ht="14.5" customHeight="1" x14ac:dyDescent="0.35">
      <c r="A81" s="9" t="s">
        <v>135</v>
      </c>
      <c r="B81" s="3">
        <v>27.61</v>
      </c>
      <c r="C81" s="3">
        <v>29.62</v>
      </c>
      <c r="D81" s="1">
        <f t="shared" si="30"/>
        <v>-2.0100000000000016</v>
      </c>
      <c r="E81" s="1">
        <f t="shared" si="21"/>
        <v>-6.2733333333333334</v>
      </c>
      <c r="F81" s="1">
        <f t="shared" si="22"/>
        <v>4.2633333333333319</v>
      </c>
      <c r="G81" s="1">
        <f t="shared" si="23"/>
        <v>5.2072542745369627E-2</v>
      </c>
      <c r="J81">
        <v>5.2072542745369627E-2</v>
      </c>
      <c r="Q81" s="9" t="s">
        <v>135</v>
      </c>
      <c r="R81" s="3">
        <v>32.31</v>
      </c>
      <c r="S81" s="3">
        <v>29.62</v>
      </c>
      <c r="T81" s="1">
        <f t="shared" si="31"/>
        <v>2.6900000000000013</v>
      </c>
      <c r="U81" s="1">
        <f t="shared" si="25"/>
        <v>7.7650000000000041</v>
      </c>
      <c r="V81" s="1">
        <f t="shared" si="26"/>
        <v>-5.0750000000000028</v>
      </c>
      <c r="W81" s="1">
        <f t="shared" si="27"/>
        <v>33.707553150554816</v>
      </c>
      <c r="Z81">
        <v>33.707553150554816</v>
      </c>
    </row>
    <row r="82" spans="1:26" x14ac:dyDescent="0.35">
      <c r="A82" s="9"/>
      <c r="B82" s="3">
        <v>24.59</v>
      </c>
      <c r="C82" s="3">
        <v>30.11</v>
      </c>
      <c r="D82" s="1">
        <f t="shared" si="30"/>
        <v>-5.52</v>
      </c>
      <c r="E82" s="1">
        <f t="shared" si="21"/>
        <v>-6.2733333333333334</v>
      </c>
      <c r="F82" s="1">
        <f t="shared" si="22"/>
        <v>0.75333333333333385</v>
      </c>
      <c r="G82" s="1">
        <f t="shared" si="23"/>
        <v>0.59323131745424329</v>
      </c>
      <c r="H82" s="1">
        <f>AVERAGE(G81:G83)</f>
        <v>0.35786528989494709</v>
      </c>
      <c r="J82">
        <v>0.59323131745424329</v>
      </c>
      <c r="Q82" s="9"/>
      <c r="R82" s="3">
        <v>32.74</v>
      </c>
      <c r="S82" s="3">
        <v>30.11</v>
      </c>
      <c r="T82" s="1">
        <f t="shared" si="31"/>
        <v>2.6300000000000026</v>
      </c>
      <c r="U82" s="1">
        <f t="shared" si="25"/>
        <v>7.7650000000000041</v>
      </c>
      <c r="V82" s="1">
        <f t="shared" si="26"/>
        <v>-5.1350000000000016</v>
      </c>
      <c r="W82" s="1">
        <f t="shared" si="27"/>
        <v>35.13897004118563</v>
      </c>
      <c r="X82" s="1">
        <f>AVERAGE(W81:W83)</f>
        <v>28.969984556212882</v>
      </c>
      <c r="Z82">
        <v>35.13897004118563</v>
      </c>
    </row>
    <row r="83" spans="1:26" x14ac:dyDescent="0.35">
      <c r="A83" s="9"/>
      <c r="B83" s="3">
        <v>25.02</v>
      </c>
      <c r="C83" s="3">
        <v>30.07</v>
      </c>
      <c r="D83" s="1">
        <f t="shared" si="30"/>
        <v>-5.0500000000000007</v>
      </c>
      <c r="E83" s="1">
        <f t="shared" si="21"/>
        <v>-6.2733333333333334</v>
      </c>
      <c r="F83" s="1">
        <f t="shared" si="22"/>
        <v>1.2233333333333327</v>
      </c>
      <c r="G83" s="1">
        <f t="shared" si="23"/>
        <v>0.42829200948522833</v>
      </c>
      <c r="J83">
        <v>0.42829200948522833</v>
      </c>
      <c r="Q83" s="9"/>
      <c r="R83" s="3">
        <v>33.659999999999997</v>
      </c>
      <c r="S83" s="3">
        <v>30.07</v>
      </c>
      <c r="T83" s="1">
        <f t="shared" si="31"/>
        <v>3.5899999999999963</v>
      </c>
      <c r="U83" s="1">
        <f t="shared" si="25"/>
        <v>7.7650000000000041</v>
      </c>
      <c r="V83" s="1">
        <f t="shared" si="26"/>
        <v>-4.1750000000000078</v>
      </c>
      <c r="W83" s="1">
        <f t="shared" si="27"/>
        <v>18.063430476898198</v>
      </c>
      <c r="Z83">
        <v>18.063430476898198</v>
      </c>
    </row>
    <row r="84" spans="1:26" ht="14.5" customHeight="1" x14ac:dyDescent="0.35">
      <c r="A84" s="9" t="s">
        <v>136</v>
      </c>
      <c r="B84" s="3">
        <v>29.8</v>
      </c>
      <c r="C84" s="3">
        <v>28.94</v>
      </c>
      <c r="D84" s="1">
        <f t="shared" si="30"/>
        <v>0.85999999999999943</v>
      </c>
      <c r="E84" s="1">
        <f t="shared" si="21"/>
        <v>-6.2733333333333334</v>
      </c>
      <c r="F84" s="1">
        <f t="shared" si="22"/>
        <v>7.1333333333333329</v>
      </c>
      <c r="G84" s="1">
        <f t="shared" si="23"/>
        <v>7.1228319418610722E-3</v>
      </c>
      <c r="J84">
        <v>7.1228319418610722E-3</v>
      </c>
      <c r="Q84" s="9" t="s">
        <v>136</v>
      </c>
      <c r="R84" s="3">
        <v>30.75</v>
      </c>
      <c r="S84" s="3">
        <v>28.94</v>
      </c>
      <c r="T84" s="1">
        <f t="shared" si="31"/>
        <v>1.8099999999999987</v>
      </c>
      <c r="U84" s="1">
        <f t="shared" si="25"/>
        <v>7.7650000000000041</v>
      </c>
      <c r="V84" s="1">
        <f t="shared" si="26"/>
        <v>-5.9550000000000054</v>
      </c>
      <c r="W84" s="1">
        <f t="shared" si="27"/>
        <v>62.034548283844366</v>
      </c>
      <c r="Z84">
        <v>62.034548283844366</v>
      </c>
    </row>
    <row r="85" spans="1:26" x14ac:dyDescent="0.35">
      <c r="A85" s="9"/>
      <c r="B85" s="3">
        <v>30.43</v>
      </c>
      <c r="C85" s="3">
        <v>29.48</v>
      </c>
      <c r="D85" s="1">
        <f t="shared" si="30"/>
        <v>0.94999999999999929</v>
      </c>
      <c r="E85" s="1">
        <f t="shared" si="21"/>
        <v>-6.2733333333333334</v>
      </c>
      <c r="F85" s="1">
        <f t="shared" si="22"/>
        <v>7.2233333333333327</v>
      </c>
      <c r="G85" s="1">
        <f t="shared" si="23"/>
        <v>6.6920626482066953E-3</v>
      </c>
      <c r="H85" s="1">
        <f>AVERAGE(G84:G86)</f>
        <v>6.2492818570950362E-3</v>
      </c>
      <c r="J85">
        <v>6.6920626482066953E-3</v>
      </c>
      <c r="Q85" s="9"/>
      <c r="R85" s="3">
        <v>29.2</v>
      </c>
      <c r="S85" s="3">
        <v>29.48</v>
      </c>
      <c r="T85" s="1">
        <f t="shared" si="31"/>
        <v>-0.28000000000000114</v>
      </c>
      <c r="U85" s="1">
        <f t="shared" si="25"/>
        <v>7.7650000000000041</v>
      </c>
      <c r="V85" s="1">
        <f t="shared" si="26"/>
        <v>-8.0450000000000053</v>
      </c>
      <c r="W85" s="1">
        <f t="shared" si="27"/>
        <v>264.11089390114876</v>
      </c>
      <c r="X85" s="1">
        <f>AVERAGE(W84:W86)</f>
        <v>170.53667932267265</v>
      </c>
      <c r="Z85">
        <v>264.11089390114876</v>
      </c>
    </row>
    <row r="86" spans="1:26" x14ac:dyDescent="0.35">
      <c r="A86" s="9"/>
      <c r="B86" s="3">
        <v>30.92</v>
      </c>
      <c r="C86" s="3">
        <v>29.53</v>
      </c>
      <c r="D86" s="1">
        <f t="shared" si="30"/>
        <v>1.3900000000000006</v>
      </c>
      <c r="E86" s="1">
        <f t="shared" si="21"/>
        <v>-6.2733333333333334</v>
      </c>
      <c r="F86" s="1">
        <f t="shared" si="22"/>
        <v>7.663333333333334</v>
      </c>
      <c r="G86" s="1">
        <f t="shared" si="23"/>
        <v>4.9329509812173437E-3</v>
      </c>
      <c r="J86">
        <v>4.9329509812173437E-3</v>
      </c>
      <c r="Q86" s="9"/>
      <c r="R86" s="3">
        <v>29.76</v>
      </c>
      <c r="S86" s="3">
        <v>29.53</v>
      </c>
      <c r="T86" s="1">
        <f t="shared" si="31"/>
        <v>0.23000000000000043</v>
      </c>
      <c r="U86" s="1">
        <f t="shared" si="25"/>
        <v>7.7650000000000041</v>
      </c>
      <c r="V86" s="1">
        <f t="shared" si="26"/>
        <v>-7.5350000000000037</v>
      </c>
      <c r="W86" s="1">
        <f t="shared" si="27"/>
        <v>185.46459578302486</v>
      </c>
      <c r="Z86">
        <v>185.46459578302486</v>
      </c>
    </row>
    <row r="87" spans="1:26" ht="14.5" customHeight="1" x14ac:dyDescent="0.35">
      <c r="A87" s="9" t="s">
        <v>137</v>
      </c>
      <c r="B87" s="3">
        <v>29.1</v>
      </c>
      <c r="C87" s="3">
        <v>28.36</v>
      </c>
      <c r="D87" s="1">
        <f t="shared" si="30"/>
        <v>0.74000000000000199</v>
      </c>
      <c r="E87" s="1">
        <f t="shared" si="21"/>
        <v>-6.2733333333333334</v>
      </c>
      <c r="F87" s="1">
        <f t="shared" si="22"/>
        <v>7.0133333333333354</v>
      </c>
      <c r="G87" s="1">
        <f t="shared" si="23"/>
        <v>7.7406297911345916E-3</v>
      </c>
      <c r="J87">
        <v>7.7406297911345916E-3</v>
      </c>
      <c r="Q87" s="9" t="s">
        <v>137</v>
      </c>
      <c r="R87" s="3">
        <v>29.16</v>
      </c>
      <c r="S87" s="3">
        <v>28.36</v>
      </c>
      <c r="T87" s="1">
        <f t="shared" si="31"/>
        <v>0.80000000000000071</v>
      </c>
      <c r="U87" s="1">
        <f t="shared" si="25"/>
        <v>7.7650000000000041</v>
      </c>
      <c r="V87" s="1">
        <f t="shared" si="26"/>
        <v>-6.9650000000000034</v>
      </c>
      <c r="W87" s="1">
        <f t="shared" si="27"/>
        <v>124.93206537935698</v>
      </c>
      <c r="Z87">
        <v>124.93206537935698</v>
      </c>
    </row>
    <row r="88" spans="1:26" x14ac:dyDescent="0.35">
      <c r="A88" s="9"/>
      <c r="B88" s="3">
        <v>29.92</v>
      </c>
      <c r="C88" s="3">
        <v>30.43</v>
      </c>
      <c r="D88" s="1">
        <f t="shared" si="30"/>
        <v>-0.50999999999999801</v>
      </c>
      <c r="E88" s="1">
        <f t="shared" si="21"/>
        <v>-6.2733333333333334</v>
      </c>
      <c r="F88" s="1">
        <f t="shared" si="22"/>
        <v>5.7633333333333354</v>
      </c>
      <c r="G88" s="1">
        <f t="shared" si="23"/>
        <v>1.8410424044438569E-2</v>
      </c>
      <c r="H88" s="1">
        <f>AVERAGE(G87:G89)</f>
        <v>1.0618979982443752E-2</v>
      </c>
      <c r="J88">
        <v>1.8410424044438569E-2</v>
      </c>
      <c r="Q88" s="9"/>
      <c r="R88" s="3">
        <v>29.57</v>
      </c>
      <c r="S88" s="3">
        <v>30.43</v>
      </c>
      <c r="T88" s="1">
        <f t="shared" si="31"/>
        <v>-0.85999999999999943</v>
      </c>
      <c r="U88" s="1">
        <f t="shared" si="25"/>
        <v>7.7650000000000041</v>
      </c>
      <c r="V88" s="1">
        <f t="shared" si="26"/>
        <v>-8.6250000000000036</v>
      </c>
      <c r="W88" s="1">
        <f t="shared" si="27"/>
        <v>394.80597130443357</v>
      </c>
      <c r="X88" s="1">
        <f>AVERAGE(W87:W89)</f>
        <v>220.42385343626177</v>
      </c>
      <c r="Z88">
        <v>394.80597130443357</v>
      </c>
    </row>
    <row r="89" spans="1:26" x14ac:dyDescent="0.35">
      <c r="A89" s="9"/>
      <c r="B89" s="3">
        <v>30.07</v>
      </c>
      <c r="C89" s="3">
        <v>28.89</v>
      </c>
      <c r="D89" s="1">
        <f t="shared" si="30"/>
        <v>1.1799999999999997</v>
      </c>
      <c r="E89" s="1">
        <f t="shared" si="21"/>
        <v>-6.2733333333333334</v>
      </c>
      <c r="F89" s="1">
        <f t="shared" si="22"/>
        <v>7.4533333333333331</v>
      </c>
      <c r="G89" s="1">
        <f t="shared" si="23"/>
        <v>5.705886111758097E-3</v>
      </c>
      <c r="J89">
        <v>5.705886111758097E-3</v>
      </c>
      <c r="Q89" s="9"/>
      <c r="R89" s="3">
        <v>29.51</v>
      </c>
      <c r="S89" s="3">
        <v>28.89</v>
      </c>
      <c r="T89" s="1">
        <f t="shared" si="31"/>
        <v>0.62000000000000099</v>
      </c>
      <c r="U89" s="1">
        <f t="shared" si="25"/>
        <v>7.7650000000000041</v>
      </c>
      <c r="V89" s="1">
        <f t="shared" si="26"/>
        <v>-7.1450000000000031</v>
      </c>
      <c r="W89" s="1">
        <f t="shared" si="27"/>
        <v>141.53352362499473</v>
      </c>
      <c r="Z89">
        <v>141.53352362499473</v>
      </c>
    </row>
    <row r="90" spans="1:26" ht="14.5" customHeight="1" x14ac:dyDescent="0.35">
      <c r="A90" s="9" t="s">
        <v>138</v>
      </c>
      <c r="B90" s="3">
        <v>30.99</v>
      </c>
      <c r="C90" s="3">
        <v>30.14</v>
      </c>
      <c r="D90" s="1">
        <f t="shared" si="30"/>
        <v>0.84999999999999787</v>
      </c>
      <c r="E90" s="1">
        <f t="shared" si="21"/>
        <v>-6.2733333333333334</v>
      </c>
      <c r="F90" s="1">
        <f t="shared" si="22"/>
        <v>7.1233333333333313</v>
      </c>
      <c r="G90" s="1">
        <f t="shared" si="23"/>
        <v>7.172375155978291E-3</v>
      </c>
      <c r="J90">
        <v>7.172375155978291E-3</v>
      </c>
      <c r="Q90" s="9" t="s">
        <v>138</v>
      </c>
      <c r="R90" s="3">
        <v>30.86</v>
      </c>
      <c r="S90" s="3">
        <v>30.14</v>
      </c>
      <c r="T90" s="1">
        <f t="shared" si="31"/>
        <v>0.71999999999999886</v>
      </c>
      <c r="U90" s="1">
        <f t="shared" si="25"/>
        <v>7.7650000000000041</v>
      </c>
      <c r="V90" s="1">
        <f t="shared" si="26"/>
        <v>-7.0450000000000053</v>
      </c>
      <c r="W90" s="1">
        <f t="shared" si="27"/>
        <v>132.05544695057435</v>
      </c>
      <c r="Z90">
        <v>132.05544695057435</v>
      </c>
    </row>
    <row r="91" spans="1:26" x14ac:dyDescent="0.35">
      <c r="A91" s="9"/>
      <c r="B91" s="3">
        <v>32.07</v>
      </c>
      <c r="C91" s="3">
        <v>29.65</v>
      </c>
      <c r="D91" s="1">
        <f t="shared" si="30"/>
        <v>2.4200000000000017</v>
      </c>
      <c r="E91" s="1">
        <f t="shared" si="21"/>
        <v>-6.2733333333333334</v>
      </c>
      <c r="F91" s="1">
        <f t="shared" si="22"/>
        <v>8.6933333333333351</v>
      </c>
      <c r="G91" s="1">
        <f t="shared" si="23"/>
        <v>2.4157161590028045E-3</v>
      </c>
      <c r="H91" s="1">
        <f>AVERAGE(G90:G92)</f>
        <v>3.4887291803967538E-3</v>
      </c>
      <c r="J91">
        <v>2.4157161590028045E-3</v>
      </c>
      <c r="Q91" s="9"/>
      <c r="R91" s="3">
        <v>30.02</v>
      </c>
      <c r="S91" s="3">
        <v>29.65</v>
      </c>
      <c r="T91" s="1">
        <f t="shared" si="31"/>
        <v>0.37000000000000099</v>
      </c>
      <c r="U91" s="1">
        <f t="shared" si="25"/>
        <v>7.7650000000000041</v>
      </c>
      <c r="V91" s="1">
        <f t="shared" si="26"/>
        <v>-7.3950000000000031</v>
      </c>
      <c r="W91" s="1">
        <f t="shared" si="27"/>
        <v>168.31267330624937</v>
      </c>
      <c r="X91" s="1">
        <f>AVERAGE(W90:W92)</f>
        <v>157.80423562814133</v>
      </c>
      <c r="Z91">
        <v>168.31267330624937</v>
      </c>
    </row>
    <row r="92" spans="1:26" x14ac:dyDescent="0.35">
      <c r="A92" s="9"/>
      <c r="B92" s="3">
        <v>32.58</v>
      </c>
      <c r="C92" s="3">
        <v>28.7</v>
      </c>
      <c r="D92" s="1">
        <f t="shared" si="30"/>
        <v>3.879999999999999</v>
      </c>
      <c r="E92" s="1">
        <f t="shared" si="21"/>
        <v>-6.2733333333333334</v>
      </c>
      <c r="F92" s="1">
        <f t="shared" si="22"/>
        <v>10.153333333333332</v>
      </c>
      <c r="G92" s="1">
        <f t="shared" si="23"/>
        <v>8.780962262091665E-4</v>
      </c>
      <c r="J92">
        <v>8.780962262091665E-4</v>
      </c>
      <c r="Q92" s="9"/>
      <c r="R92" s="3">
        <v>29.03</v>
      </c>
      <c r="S92" s="3">
        <v>28.7</v>
      </c>
      <c r="T92" s="1">
        <f t="shared" si="31"/>
        <v>0.33000000000000185</v>
      </c>
      <c r="U92" s="1">
        <f t="shared" si="25"/>
        <v>7.7650000000000041</v>
      </c>
      <c r="V92" s="1">
        <f t="shared" si="26"/>
        <v>-7.4350000000000023</v>
      </c>
      <c r="W92" s="1">
        <f t="shared" si="27"/>
        <v>173.0445866276003</v>
      </c>
      <c r="Z92">
        <v>173.0445866276003</v>
      </c>
    </row>
    <row r="93" spans="1:26" ht="14.5" customHeight="1" x14ac:dyDescent="0.35">
      <c r="A93" s="9" t="s">
        <v>139</v>
      </c>
      <c r="B93" s="3">
        <v>32.18</v>
      </c>
      <c r="C93" s="3">
        <v>29</v>
      </c>
      <c r="D93" s="1">
        <f t="shared" si="30"/>
        <v>3.1799999999999997</v>
      </c>
      <c r="E93" s="1">
        <f t="shared" si="21"/>
        <v>-6.2733333333333334</v>
      </c>
      <c r="F93" s="1">
        <f t="shared" si="22"/>
        <v>9.4533333333333331</v>
      </c>
      <c r="G93" s="1">
        <f t="shared" si="23"/>
        <v>1.4264715279395251E-3</v>
      </c>
      <c r="I93" s="6"/>
      <c r="J93">
        <v>1.4264715279395251E-3</v>
      </c>
      <c r="Q93" s="9" t="s">
        <v>139</v>
      </c>
      <c r="R93" s="3">
        <v>29.1</v>
      </c>
      <c r="S93" s="3">
        <v>29</v>
      </c>
      <c r="T93" s="1">
        <f t="shared" si="31"/>
        <v>0.10000000000000142</v>
      </c>
      <c r="U93" s="1">
        <f t="shared" si="25"/>
        <v>7.7650000000000041</v>
      </c>
      <c r="V93" s="1">
        <f t="shared" si="26"/>
        <v>-7.6650000000000027</v>
      </c>
      <c r="W93" s="1">
        <f t="shared" si="27"/>
        <v>202.95273897223322</v>
      </c>
      <c r="Y93" s="6"/>
      <c r="Z93">
        <v>202.95273897223322</v>
      </c>
    </row>
    <row r="94" spans="1:26" x14ac:dyDescent="0.35">
      <c r="A94" s="9"/>
      <c r="B94" s="3">
        <v>31.2</v>
      </c>
      <c r="C94" s="3">
        <v>29.19</v>
      </c>
      <c r="D94" s="1">
        <f t="shared" si="30"/>
        <v>2.009999999999998</v>
      </c>
      <c r="E94" s="1">
        <f t="shared" si="21"/>
        <v>-6.2733333333333334</v>
      </c>
      <c r="F94" s="1">
        <f t="shared" si="22"/>
        <v>8.2833333333333314</v>
      </c>
      <c r="G94" s="1">
        <f t="shared" si="23"/>
        <v>3.2097277913507491E-3</v>
      </c>
      <c r="H94" s="1">
        <f>AVERAGE(G93:G95)</f>
        <v>3.6267048504994306E-3</v>
      </c>
      <c r="J94">
        <v>3.2097277913507491E-3</v>
      </c>
      <c r="Q94" s="9"/>
      <c r="R94" s="3">
        <v>29.57</v>
      </c>
      <c r="S94" s="3">
        <v>29.19</v>
      </c>
      <c r="T94" s="1">
        <f t="shared" si="31"/>
        <v>0.37999999999999901</v>
      </c>
      <c r="U94" s="1">
        <f t="shared" si="25"/>
        <v>7.7650000000000041</v>
      </c>
      <c r="V94" s="1">
        <f t="shared" si="26"/>
        <v>-7.3850000000000051</v>
      </c>
      <c r="W94" s="1">
        <f t="shared" si="27"/>
        <v>167.15005274738203</v>
      </c>
      <c r="X94" s="1">
        <f>AVERAGE(W93:W95)</f>
        <v>176.44542778060645</v>
      </c>
      <c r="Z94">
        <v>167.15005274738203</v>
      </c>
    </row>
    <row r="95" spans="1:26" x14ac:dyDescent="0.35">
      <c r="A95" s="9"/>
      <c r="B95" s="3">
        <v>29.45</v>
      </c>
      <c r="C95" s="3">
        <v>28.4</v>
      </c>
      <c r="D95" s="1">
        <f t="shared" si="30"/>
        <v>1.0500000000000007</v>
      </c>
      <c r="E95" s="1">
        <f t="shared" si="21"/>
        <v>-6.2733333333333334</v>
      </c>
      <c r="F95" s="1">
        <f t="shared" si="22"/>
        <v>7.3233333333333341</v>
      </c>
      <c r="G95" s="1">
        <f t="shared" si="23"/>
        <v>6.2439152322080168E-3</v>
      </c>
      <c r="J95">
        <v>6.2439152322080168E-3</v>
      </c>
      <c r="Q95" s="9"/>
      <c r="R95" s="3">
        <v>28.85</v>
      </c>
      <c r="S95" s="3">
        <v>28.4</v>
      </c>
      <c r="T95" s="1">
        <f t="shared" si="31"/>
        <v>0.45000000000000284</v>
      </c>
      <c r="U95" s="1">
        <f t="shared" si="25"/>
        <v>7.7650000000000041</v>
      </c>
      <c r="V95" s="1">
        <f t="shared" si="26"/>
        <v>-7.3150000000000013</v>
      </c>
      <c r="W95" s="1">
        <f t="shared" si="27"/>
        <v>159.2334916222041</v>
      </c>
      <c r="Z95">
        <v>159.2334916222041</v>
      </c>
    </row>
    <row r="97" spans="1:25" x14ac:dyDescent="0.35">
      <c r="A97" s="2"/>
      <c r="B97" s="1" t="s">
        <v>131</v>
      </c>
      <c r="C97" s="1" t="s">
        <v>115</v>
      </c>
      <c r="D97" s="1" t="s">
        <v>0</v>
      </c>
      <c r="E97" s="1" t="s">
        <v>1</v>
      </c>
      <c r="F97" s="1" t="s">
        <v>2</v>
      </c>
      <c r="G97" s="1" t="s">
        <v>3</v>
      </c>
      <c r="H97" s="1" t="s">
        <v>4</v>
      </c>
      <c r="Q97" s="2"/>
      <c r="R97" s="1" t="s">
        <v>126</v>
      </c>
      <c r="S97" s="1" t="s">
        <v>115</v>
      </c>
      <c r="T97" s="1" t="s">
        <v>0</v>
      </c>
      <c r="U97" s="1" t="s">
        <v>1</v>
      </c>
      <c r="V97" s="1" t="s">
        <v>2</v>
      </c>
      <c r="W97" s="1" t="s">
        <v>3</v>
      </c>
      <c r="X97" s="1" t="s">
        <v>4</v>
      </c>
    </row>
    <row r="98" spans="1:25" x14ac:dyDescent="0.35">
      <c r="A98" s="9" t="s">
        <v>124</v>
      </c>
      <c r="B98" s="3">
        <v>33.49</v>
      </c>
      <c r="C98" s="3">
        <v>29.49</v>
      </c>
      <c r="D98" s="1">
        <f>B98-C98</f>
        <v>4.0000000000000036</v>
      </c>
      <c r="E98" s="1">
        <f>AVERAGE($B$98:$B$100)-AVERAGE($C$98:$C$100)</f>
        <v>3.66</v>
      </c>
      <c r="F98" s="1">
        <f>D98-E98</f>
        <v>0.34000000000000341</v>
      </c>
      <c r="G98" s="1">
        <f>2^-F98</f>
        <v>0.79004131186337534</v>
      </c>
      <c r="H98" s="1"/>
      <c r="I98">
        <v>0.79004131186337534</v>
      </c>
      <c r="Q98" s="9" t="s">
        <v>124</v>
      </c>
      <c r="R98" s="3">
        <v>25.85</v>
      </c>
      <c r="S98" s="3">
        <v>29.49</v>
      </c>
      <c r="T98" s="1">
        <f>R98-S98</f>
        <v>-3.639999999999997</v>
      </c>
      <c r="U98" s="1">
        <f>AVERAGE($R$98:$R$100)-AVERAGE($S$98:$S$100)</f>
        <v>-3.9333333333333336</v>
      </c>
      <c r="V98" s="1">
        <f>T98-U98</f>
        <v>0.29333333333333655</v>
      </c>
      <c r="W98" s="1">
        <f>2^-V98</f>
        <v>0.81601448498844364</v>
      </c>
      <c r="X98" s="1"/>
      <c r="Y98">
        <v>0.81601448498844364</v>
      </c>
    </row>
    <row r="99" spans="1:25" x14ac:dyDescent="0.35">
      <c r="A99" s="9"/>
      <c r="B99" s="3">
        <v>32.880000000000003</v>
      </c>
      <c r="C99" s="3">
        <v>28.89</v>
      </c>
      <c r="D99" s="1">
        <f t="shared" ref="D99" si="32">B99-C99</f>
        <v>3.990000000000002</v>
      </c>
      <c r="E99" s="1">
        <f t="shared" ref="E99:E127" si="33">AVERAGE($B$98:$B$100)-AVERAGE($C$98:$C$100)</f>
        <v>3.66</v>
      </c>
      <c r="F99" s="1">
        <f t="shared" ref="F99:F127" si="34">D99-E99</f>
        <v>0.33000000000000185</v>
      </c>
      <c r="G99" s="1">
        <f t="shared" ref="G99:G127" si="35">2^-F99</f>
        <v>0.7955364837549177</v>
      </c>
      <c r="H99" s="1">
        <f>AVERAGE(G98:G100)</f>
        <v>1.0588835877093774</v>
      </c>
      <c r="I99">
        <v>0.7955364837549177</v>
      </c>
      <c r="Q99" s="9"/>
      <c r="R99" s="3">
        <v>25.31</v>
      </c>
      <c r="S99" s="3">
        <v>28.89</v>
      </c>
      <c r="T99" s="1">
        <f t="shared" ref="T99" si="36">R99-S99</f>
        <v>-3.5800000000000018</v>
      </c>
      <c r="U99" s="1">
        <f t="shared" ref="U99:U127" si="37">AVERAGE($R$98:$R$100)-AVERAGE($S$98:$S$100)</f>
        <v>-3.9333333333333336</v>
      </c>
      <c r="V99" s="1">
        <f t="shared" ref="V99:V127" si="38">T99-U99</f>
        <v>0.35333333333333172</v>
      </c>
      <c r="W99" s="1">
        <f t="shared" ref="W99:W127" si="39">2^-V99</f>
        <v>0.78277341629910135</v>
      </c>
      <c r="X99" s="1">
        <f>AVERAGE(W98:W100)</f>
        <v>1.0547782446285812</v>
      </c>
      <c r="Y99">
        <v>0.78277341629910135</v>
      </c>
    </row>
    <row r="100" spans="1:25" x14ac:dyDescent="0.35">
      <c r="A100" s="9"/>
      <c r="B100" s="3">
        <v>32.299999999999997</v>
      </c>
      <c r="C100" s="3">
        <v>29.31</v>
      </c>
      <c r="D100" s="1">
        <f>B100-C100</f>
        <v>2.9899999999999984</v>
      </c>
      <c r="E100" s="1">
        <f t="shared" si="33"/>
        <v>3.66</v>
      </c>
      <c r="F100" s="1">
        <f t="shared" si="34"/>
        <v>-0.67000000000000171</v>
      </c>
      <c r="G100" s="1">
        <f t="shared" si="35"/>
        <v>1.5910729675098392</v>
      </c>
      <c r="I100">
        <v>1.5910729675098392</v>
      </c>
      <c r="Q100" s="9"/>
      <c r="R100" s="3">
        <v>24.73</v>
      </c>
      <c r="S100" s="3">
        <v>29.31</v>
      </c>
      <c r="T100" s="1">
        <f>R100-S100</f>
        <v>-4.5799999999999983</v>
      </c>
      <c r="U100" s="1">
        <f t="shared" si="37"/>
        <v>-3.9333333333333336</v>
      </c>
      <c r="V100" s="1">
        <f t="shared" si="38"/>
        <v>-0.64666666666666472</v>
      </c>
      <c r="W100" s="1">
        <f t="shared" si="39"/>
        <v>1.5655468325981987</v>
      </c>
      <c r="Y100">
        <v>1.5655468325981987</v>
      </c>
    </row>
    <row r="101" spans="1:25" x14ac:dyDescent="0.35">
      <c r="A101" s="9" t="s">
        <v>125</v>
      </c>
      <c r="B101" s="3">
        <v>34.090000000000003</v>
      </c>
      <c r="C101" s="3">
        <v>28.73</v>
      </c>
      <c r="D101" s="1">
        <f t="shared" ref="D101:D124" si="40">B101-C101</f>
        <v>5.360000000000003</v>
      </c>
      <c r="E101" s="1">
        <f t="shared" si="33"/>
        <v>3.66</v>
      </c>
      <c r="F101" s="1">
        <f t="shared" si="34"/>
        <v>1.7000000000000028</v>
      </c>
      <c r="G101" s="1">
        <f t="shared" si="35"/>
        <v>0.30778610333622847</v>
      </c>
      <c r="I101">
        <v>0.30778610333622847</v>
      </c>
      <c r="Q101" s="9" t="s">
        <v>125</v>
      </c>
      <c r="R101" s="3">
        <v>21.81</v>
      </c>
      <c r="S101" s="3">
        <v>28.73</v>
      </c>
      <c r="T101" s="1">
        <f t="shared" ref="T101:T124" si="41">R101-S101</f>
        <v>-6.9200000000000017</v>
      </c>
      <c r="U101" s="1">
        <f t="shared" si="37"/>
        <v>-3.9333333333333336</v>
      </c>
      <c r="V101" s="1">
        <f t="shared" si="38"/>
        <v>-2.9866666666666681</v>
      </c>
      <c r="W101" s="1">
        <f t="shared" si="39"/>
        <v>7.9264049061218431</v>
      </c>
      <c r="Y101">
        <v>7.9264049061218431</v>
      </c>
    </row>
    <row r="102" spans="1:25" x14ac:dyDescent="0.35">
      <c r="A102" s="9"/>
      <c r="B102" s="3">
        <v>33.01</v>
      </c>
      <c r="C102" s="3">
        <v>28.85</v>
      </c>
      <c r="D102" s="1">
        <f t="shared" si="40"/>
        <v>4.1599999999999966</v>
      </c>
      <c r="E102" s="1">
        <f t="shared" si="33"/>
        <v>3.66</v>
      </c>
      <c r="F102" s="1">
        <f t="shared" si="34"/>
        <v>0.49999999999999645</v>
      </c>
      <c r="G102" s="1">
        <f t="shared" si="35"/>
        <v>0.70710678118654924</v>
      </c>
      <c r="H102" s="1">
        <f>AVERAGE(G101:G103)</f>
        <v>0.57399988856977446</v>
      </c>
      <c r="I102">
        <v>0.70710678118654924</v>
      </c>
      <c r="Q102" s="9"/>
      <c r="R102" s="3">
        <v>23.08</v>
      </c>
      <c r="S102" s="3">
        <v>28.85</v>
      </c>
      <c r="T102" s="1">
        <f t="shared" si="41"/>
        <v>-5.7700000000000031</v>
      </c>
      <c r="U102" s="1">
        <f t="shared" si="37"/>
        <v>-3.9333333333333336</v>
      </c>
      <c r="V102" s="1">
        <f t="shared" si="38"/>
        <v>-1.8366666666666696</v>
      </c>
      <c r="W102" s="1">
        <f t="shared" si="39"/>
        <v>3.5718380442415358</v>
      </c>
      <c r="X102" s="1">
        <f>AVERAGE(W101:W103)</f>
        <v>4.6746379509155522</v>
      </c>
      <c r="Y102">
        <v>3.5718380442415358</v>
      </c>
    </row>
    <row r="103" spans="1:25" x14ac:dyDescent="0.35">
      <c r="A103" s="9"/>
      <c r="B103" s="3">
        <v>32.950000000000003</v>
      </c>
      <c r="C103" s="3">
        <v>28.79</v>
      </c>
      <c r="D103" s="1">
        <f t="shared" si="40"/>
        <v>4.1600000000000037</v>
      </c>
      <c r="E103" s="1">
        <f t="shared" si="33"/>
        <v>3.66</v>
      </c>
      <c r="F103" s="1">
        <f t="shared" si="34"/>
        <v>0.50000000000000355</v>
      </c>
      <c r="G103" s="1">
        <f t="shared" si="35"/>
        <v>0.7071067811865458</v>
      </c>
      <c r="I103">
        <v>0.7071067811865458</v>
      </c>
      <c r="Q103" s="9"/>
      <c r="R103" s="3">
        <v>23.52</v>
      </c>
      <c r="S103" s="3">
        <v>28.79</v>
      </c>
      <c r="T103" s="1">
        <f t="shared" si="41"/>
        <v>-5.27</v>
      </c>
      <c r="U103" s="1">
        <f t="shared" si="37"/>
        <v>-3.9333333333333336</v>
      </c>
      <c r="V103" s="1">
        <f t="shared" si="38"/>
        <v>-1.336666666666666</v>
      </c>
      <c r="W103" s="1">
        <f t="shared" si="39"/>
        <v>2.5256709023832795</v>
      </c>
      <c r="Y103">
        <v>2.5256709023832795</v>
      </c>
    </row>
    <row r="104" spans="1:25" x14ac:dyDescent="0.35">
      <c r="A104" s="9" t="s">
        <v>132</v>
      </c>
      <c r="B104" s="3">
        <v>34.340000000000003</v>
      </c>
      <c r="C104" s="3">
        <v>29.49</v>
      </c>
      <c r="D104" s="1">
        <f>B104-C104</f>
        <v>4.850000000000005</v>
      </c>
      <c r="E104" s="1">
        <f t="shared" si="33"/>
        <v>3.66</v>
      </c>
      <c r="F104" s="1">
        <f t="shared" si="34"/>
        <v>1.1900000000000048</v>
      </c>
      <c r="G104" s="1">
        <f t="shared" si="35"/>
        <v>0.4383028606580161</v>
      </c>
      <c r="I104">
        <v>0.4383028606580161</v>
      </c>
      <c r="Q104" s="9" t="s">
        <v>132</v>
      </c>
      <c r="R104" s="3">
        <v>25.1</v>
      </c>
      <c r="S104" s="3">
        <v>29.49</v>
      </c>
      <c r="T104" s="1">
        <f>R104-S104</f>
        <v>-4.389999999999997</v>
      </c>
      <c r="U104" s="1">
        <f t="shared" si="37"/>
        <v>-3.9333333333333336</v>
      </c>
      <c r="V104" s="1">
        <f t="shared" si="38"/>
        <v>-0.45666666666666345</v>
      </c>
      <c r="W104" s="1">
        <f t="shared" si="39"/>
        <v>1.3723673104437768</v>
      </c>
      <c r="Y104">
        <v>1.3723673104437799</v>
      </c>
    </row>
    <row r="105" spans="1:25" x14ac:dyDescent="0.35">
      <c r="A105" s="9"/>
      <c r="B105" s="3">
        <v>34.200000000000003</v>
      </c>
      <c r="C105" s="3">
        <v>29.71</v>
      </c>
      <c r="D105" s="1">
        <f t="shared" ref="D105:D127" si="42">B105-C105</f>
        <v>4.490000000000002</v>
      </c>
      <c r="E105" s="1">
        <f t="shared" si="33"/>
        <v>3.66</v>
      </c>
      <c r="F105" s="1">
        <f t="shared" si="34"/>
        <v>0.83000000000000185</v>
      </c>
      <c r="G105" s="1">
        <f t="shared" si="35"/>
        <v>0.56252924234440393</v>
      </c>
      <c r="H105" s="1">
        <f>AVERAGE(G104:G106)</f>
        <v>0.48278154615546914</v>
      </c>
      <c r="I105">
        <v>0.56252924234440393</v>
      </c>
      <c r="Q105" s="9"/>
      <c r="R105" s="3">
        <v>25.09</v>
      </c>
      <c r="S105" s="3">
        <v>29.71</v>
      </c>
      <c r="T105" s="1">
        <f t="shared" ref="T105:T127" si="43">R105-S105</f>
        <v>-4.620000000000001</v>
      </c>
      <c r="U105" s="1">
        <f t="shared" si="37"/>
        <v>-3.9333333333333336</v>
      </c>
      <c r="V105" s="1">
        <f t="shared" si="38"/>
        <v>-0.68666666666666742</v>
      </c>
      <c r="W105" s="1">
        <f t="shared" si="39"/>
        <v>1.6095603448718214</v>
      </c>
      <c r="X105" s="1">
        <f>AVERAGE(W104:W106)</f>
        <v>1.4775148869104584</v>
      </c>
      <c r="Y105">
        <v>1.6095603448718214</v>
      </c>
    </row>
    <row r="106" spans="1:25" x14ac:dyDescent="0.35">
      <c r="A106" s="9"/>
      <c r="B106" s="3">
        <v>34.01</v>
      </c>
      <c r="C106" s="3">
        <v>29.19</v>
      </c>
      <c r="D106" s="1">
        <f t="shared" si="42"/>
        <v>4.8199999999999967</v>
      </c>
      <c r="E106" s="1">
        <f t="shared" si="33"/>
        <v>3.66</v>
      </c>
      <c r="F106" s="1">
        <f t="shared" si="34"/>
        <v>1.1599999999999966</v>
      </c>
      <c r="G106" s="1">
        <f t="shared" si="35"/>
        <v>0.44751253546398728</v>
      </c>
      <c r="I106">
        <v>0.44751253546398728</v>
      </c>
      <c r="Q106" s="9"/>
      <c r="R106" s="3">
        <v>24.72</v>
      </c>
      <c r="S106" s="3">
        <v>29.19</v>
      </c>
      <c r="T106" s="1">
        <f t="shared" si="43"/>
        <v>-4.4700000000000024</v>
      </c>
      <c r="U106" s="1">
        <f t="shared" si="37"/>
        <v>-3.9333333333333336</v>
      </c>
      <c r="V106" s="1">
        <f t="shared" si="38"/>
        <v>-0.53666666666666885</v>
      </c>
      <c r="W106" s="1">
        <f t="shared" si="39"/>
        <v>1.4506170054157779</v>
      </c>
      <c r="Y106">
        <v>1.4506170054157779</v>
      </c>
    </row>
    <row r="107" spans="1:25" x14ac:dyDescent="0.35">
      <c r="A107" s="9" t="s">
        <v>133</v>
      </c>
      <c r="B107" s="3">
        <v>34.83</v>
      </c>
      <c r="C107" s="3">
        <v>29.11</v>
      </c>
      <c r="D107" s="1">
        <f t="shared" si="42"/>
        <v>5.7199999999999989</v>
      </c>
      <c r="E107" s="1">
        <f t="shared" si="33"/>
        <v>3.66</v>
      </c>
      <c r="F107" s="1">
        <f t="shared" si="34"/>
        <v>2.0599999999999987</v>
      </c>
      <c r="G107" s="1">
        <f t="shared" si="35"/>
        <v>0.23981602983131631</v>
      </c>
      <c r="I107">
        <v>0.23981602983131631</v>
      </c>
      <c r="Q107" s="9" t="s">
        <v>133</v>
      </c>
      <c r="R107" s="3">
        <v>20.23</v>
      </c>
      <c r="S107" s="3">
        <v>29.11</v>
      </c>
      <c r="T107" s="1">
        <f t="shared" si="43"/>
        <v>-8.879999999999999</v>
      </c>
      <c r="U107" s="1">
        <f t="shared" si="37"/>
        <v>-3.9333333333333336</v>
      </c>
      <c r="V107" s="1">
        <f t="shared" si="38"/>
        <v>-4.9466666666666654</v>
      </c>
      <c r="W107" s="1">
        <f t="shared" si="39"/>
        <v>30.838627788529624</v>
      </c>
      <c r="Y107">
        <v>30.838627788529624</v>
      </c>
    </row>
    <row r="108" spans="1:25" x14ac:dyDescent="0.35">
      <c r="A108" s="9"/>
      <c r="B108" s="3">
        <v>34.119999999999997</v>
      </c>
      <c r="C108" s="3">
        <v>28.9</v>
      </c>
      <c r="D108" s="1">
        <f t="shared" si="42"/>
        <v>5.2199999999999989</v>
      </c>
      <c r="E108" s="1">
        <f t="shared" si="33"/>
        <v>3.66</v>
      </c>
      <c r="F108" s="1">
        <f t="shared" si="34"/>
        <v>1.5599999999999987</v>
      </c>
      <c r="G108" s="1">
        <f t="shared" si="35"/>
        <v>0.33915108186191828</v>
      </c>
      <c r="H108" s="1">
        <f>AVERAGE(G107:G109)</f>
        <v>0.2763223705644115</v>
      </c>
      <c r="I108">
        <v>0.33915108186191828</v>
      </c>
      <c r="Q108" s="9"/>
      <c r="R108" s="3">
        <v>20.010000000000002</v>
      </c>
      <c r="S108" s="3">
        <v>28.9</v>
      </c>
      <c r="T108" s="1">
        <f t="shared" si="43"/>
        <v>-8.889999999999997</v>
      </c>
      <c r="U108" s="1">
        <f t="shared" si="37"/>
        <v>-3.9333333333333336</v>
      </c>
      <c r="V108" s="1">
        <f t="shared" si="38"/>
        <v>-4.9566666666666634</v>
      </c>
      <c r="W108" s="1">
        <f t="shared" si="39"/>
        <v>31.05312740779323</v>
      </c>
      <c r="X108" s="1">
        <f>AVERAGE(W107:W109)</f>
        <v>31.571823694070488</v>
      </c>
      <c r="Y108">
        <v>31.05312740779323</v>
      </c>
    </row>
    <row r="109" spans="1:25" x14ac:dyDescent="0.35">
      <c r="A109" s="9"/>
      <c r="B109" s="3">
        <v>35.1</v>
      </c>
      <c r="C109" s="3">
        <v>29.44</v>
      </c>
      <c r="D109" s="1">
        <f t="shared" si="42"/>
        <v>5.66</v>
      </c>
      <c r="E109" s="1">
        <f t="shared" si="33"/>
        <v>3.66</v>
      </c>
      <c r="F109" s="1">
        <f t="shared" si="34"/>
        <v>2</v>
      </c>
      <c r="G109" s="1">
        <f t="shared" si="35"/>
        <v>0.25</v>
      </c>
      <c r="I109">
        <v>0.25</v>
      </c>
      <c r="Q109" s="9"/>
      <c r="R109" s="3">
        <v>20.47</v>
      </c>
      <c r="S109" s="3">
        <v>29.44</v>
      </c>
      <c r="T109" s="1">
        <f t="shared" si="43"/>
        <v>-8.9700000000000024</v>
      </c>
      <c r="U109" s="1">
        <f t="shared" si="37"/>
        <v>-3.9333333333333336</v>
      </c>
      <c r="V109" s="1">
        <f t="shared" si="38"/>
        <v>-5.0366666666666688</v>
      </c>
      <c r="W109" s="1">
        <f t="shared" si="39"/>
        <v>32.82371588588861</v>
      </c>
      <c r="Y109">
        <v>32.82371588588861</v>
      </c>
    </row>
    <row r="110" spans="1:25" x14ac:dyDescent="0.35">
      <c r="A110" s="9" t="s">
        <v>134</v>
      </c>
      <c r="B110" s="3">
        <v>34.6</v>
      </c>
      <c r="C110" s="3">
        <v>30.18</v>
      </c>
      <c r="D110" s="1">
        <f t="shared" si="42"/>
        <v>4.4200000000000017</v>
      </c>
      <c r="E110" s="1">
        <f t="shared" si="33"/>
        <v>3.66</v>
      </c>
      <c r="F110" s="1">
        <f t="shared" si="34"/>
        <v>0.76000000000000156</v>
      </c>
      <c r="G110" s="1">
        <f t="shared" si="35"/>
        <v>0.59049633071476448</v>
      </c>
      <c r="I110">
        <v>0.59049633071476448</v>
      </c>
      <c r="Q110" s="9" t="s">
        <v>134</v>
      </c>
      <c r="R110" s="3">
        <v>26.61</v>
      </c>
      <c r="S110" s="3">
        <v>30.18</v>
      </c>
      <c r="T110" s="1">
        <f t="shared" si="43"/>
        <v>-3.5700000000000003</v>
      </c>
      <c r="U110" s="1">
        <f t="shared" si="37"/>
        <v>-3.9333333333333336</v>
      </c>
      <c r="V110" s="1">
        <f t="shared" si="38"/>
        <v>0.36333333333333329</v>
      </c>
      <c r="W110" s="1">
        <f t="shared" si="39"/>
        <v>0.77736640535424739</v>
      </c>
      <c r="Y110">
        <v>0.77736640535424739</v>
      </c>
    </row>
    <row r="111" spans="1:25" x14ac:dyDescent="0.35">
      <c r="A111" s="9"/>
      <c r="B111" s="3">
        <v>33.78</v>
      </c>
      <c r="C111" s="3">
        <v>30.19</v>
      </c>
      <c r="D111" s="1">
        <f t="shared" si="42"/>
        <v>3.59</v>
      </c>
      <c r="E111" s="1">
        <f t="shared" si="33"/>
        <v>3.66</v>
      </c>
      <c r="F111" s="1">
        <f t="shared" si="34"/>
        <v>-7.0000000000000284E-2</v>
      </c>
      <c r="G111" s="1">
        <f t="shared" si="35"/>
        <v>1.0497166836230676</v>
      </c>
      <c r="H111" s="1">
        <f>AVERAGE(G110:G112)</f>
        <v>0.90399549229137544</v>
      </c>
      <c r="I111">
        <v>1.0497166836230676</v>
      </c>
      <c r="Q111" s="9"/>
      <c r="R111" s="3">
        <v>25.76</v>
      </c>
      <c r="S111" s="3">
        <v>30.19</v>
      </c>
      <c r="T111" s="1">
        <f t="shared" si="43"/>
        <v>-4.43</v>
      </c>
      <c r="U111" s="1">
        <f t="shared" si="37"/>
        <v>-3.9333333333333336</v>
      </c>
      <c r="V111" s="1">
        <f t="shared" si="38"/>
        <v>-0.49666666666666615</v>
      </c>
      <c r="W111" s="1">
        <f t="shared" si="39"/>
        <v>1.410949807118048</v>
      </c>
      <c r="X111" s="1">
        <f>AVERAGE(W110:W112)</f>
        <v>1.1194814885594697</v>
      </c>
      <c r="Y111">
        <v>1.410949807118048</v>
      </c>
    </row>
    <row r="112" spans="1:25" x14ac:dyDescent="0.35">
      <c r="A112" s="9"/>
      <c r="B112" s="3">
        <v>33.29</v>
      </c>
      <c r="C112" s="3">
        <v>29.73</v>
      </c>
      <c r="D112" s="1">
        <f t="shared" si="42"/>
        <v>3.5599999999999987</v>
      </c>
      <c r="E112" s="1">
        <f t="shared" si="33"/>
        <v>3.66</v>
      </c>
      <c r="F112" s="1">
        <f t="shared" si="34"/>
        <v>-0.10000000000000142</v>
      </c>
      <c r="G112" s="1">
        <f t="shared" si="35"/>
        <v>1.0717734625362942</v>
      </c>
      <c r="I112">
        <v>1.0717734625362942</v>
      </c>
      <c r="Q112" s="9"/>
      <c r="R112" s="3">
        <v>25.57</v>
      </c>
      <c r="S112" s="3">
        <v>29.73</v>
      </c>
      <c r="T112" s="1">
        <f t="shared" si="43"/>
        <v>-4.16</v>
      </c>
      <c r="U112" s="1">
        <f t="shared" si="37"/>
        <v>-3.9333333333333336</v>
      </c>
      <c r="V112" s="1">
        <f t="shared" si="38"/>
        <v>-0.22666666666666657</v>
      </c>
      <c r="W112" s="1">
        <f t="shared" si="39"/>
        <v>1.1701282532061139</v>
      </c>
      <c r="Y112">
        <v>1.1701282532061139</v>
      </c>
    </row>
    <row r="113" spans="1:25" x14ac:dyDescent="0.35">
      <c r="A113" s="9" t="s">
        <v>135</v>
      </c>
      <c r="B113" s="3">
        <v>33.04</v>
      </c>
      <c r="C113" s="3">
        <v>29.62</v>
      </c>
      <c r="D113" s="1">
        <f t="shared" si="42"/>
        <v>3.4199999999999982</v>
      </c>
      <c r="E113" s="1">
        <f t="shared" si="33"/>
        <v>3.66</v>
      </c>
      <c r="F113" s="1">
        <f t="shared" si="34"/>
        <v>-0.24000000000000199</v>
      </c>
      <c r="G113" s="1">
        <f t="shared" si="35"/>
        <v>1.1809926614295321</v>
      </c>
      <c r="I113">
        <v>1.1809926614295321</v>
      </c>
      <c r="Q113" s="9" t="s">
        <v>135</v>
      </c>
      <c r="R113" s="3">
        <v>21.8</v>
      </c>
      <c r="S113" s="3">
        <v>29.62</v>
      </c>
      <c r="T113" s="1">
        <f t="shared" si="43"/>
        <v>-7.82</v>
      </c>
      <c r="U113" s="1">
        <f t="shared" si="37"/>
        <v>-3.9333333333333336</v>
      </c>
      <c r="V113" s="1">
        <f t="shared" si="38"/>
        <v>-3.8866666666666667</v>
      </c>
      <c r="W113" s="1">
        <f t="shared" si="39"/>
        <v>14.791194563381763</v>
      </c>
      <c r="Y113">
        <v>14.791194563381763</v>
      </c>
    </row>
    <row r="114" spans="1:25" x14ac:dyDescent="0.35">
      <c r="A114" s="9"/>
      <c r="B114" s="3">
        <v>33.67</v>
      </c>
      <c r="C114" s="3">
        <v>30.11</v>
      </c>
      <c r="D114" s="1">
        <f t="shared" si="42"/>
        <v>3.5600000000000023</v>
      </c>
      <c r="E114" s="1">
        <f t="shared" si="33"/>
        <v>3.66</v>
      </c>
      <c r="F114" s="1">
        <f t="shared" si="34"/>
        <v>-9.9999999999997868E-2</v>
      </c>
      <c r="G114" s="1">
        <f t="shared" si="35"/>
        <v>1.0717734625362916</v>
      </c>
      <c r="H114" s="1">
        <f>AVERAGE(G113:G115)</f>
        <v>0.98337931904700893</v>
      </c>
      <c r="I114">
        <v>1.0717734625362916</v>
      </c>
      <c r="Q114" s="9"/>
      <c r="R114" s="3">
        <v>21.97</v>
      </c>
      <c r="S114" s="3">
        <v>30.11</v>
      </c>
      <c r="T114" s="1">
        <f t="shared" si="43"/>
        <v>-8.14</v>
      </c>
      <c r="U114" s="1">
        <f t="shared" si="37"/>
        <v>-3.9333333333333336</v>
      </c>
      <c r="V114" s="1">
        <f t="shared" si="38"/>
        <v>-4.206666666666667</v>
      </c>
      <c r="W114" s="1">
        <f t="shared" si="39"/>
        <v>18.464300028216897</v>
      </c>
      <c r="X114" s="1">
        <f>AVERAGE(W113:W115)</f>
        <v>15.259956417461426</v>
      </c>
      <c r="Y114">
        <v>18.464300028216897</v>
      </c>
    </row>
    <row r="115" spans="1:25" x14ac:dyDescent="0.35">
      <c r="A115" s="9"/>
      <c r="B115" s="3">
        <v>34.25</v>
      </c>
      <c r="C115" s="3">
        <v>30.07</v>
      </c>
      <c r="D115" s="1">
        <f t="shared" si="42"/>
        <v>4.18</v>
      </c>
      <c r="E115" s="1">
        <f t="shared" si="33"/>
        <v>3.66</v>
      </c>
      <c r="F115" s="1">
        <f t="shared" si="34"/>
        <v>0.51999999999999957</v>
      </c>
      <c r="G115" s="1">
        <f t="shared" si="35"/>
        <v>0.69737183317520302</v>
      </c>
      <c r="I115">
        <v>0.69737183317520302</v>
      </c>
      <c r="Q115" s="9"/>
      <c r="R115" s="3">
        <v>22.49</v>
      </c>
      <c r="S115" s="3">
        <v>30.07</v>
      </c>
      <c r="T115" s="1">
        <f t="shared" si="43"/>
        <v>-7.5800000000000018</v>
      </c>
      <c r="U115" s="1">
        <f t="shared" si="37"/>
        <v>-3.9333333333333336</v>
      </c>
      <c r="V115" s="1">
        <f t="shared" si="38"/>
        <v>-3.6466666666666683</v>
      </c>
      <c r="W115" s="1">
        <f t="shared" si="39"/>
        <v>12.524374660785618</v>
      </c>
      <c r="Y115">
        <v>12.524374660785618</v>
      </c>
    </row>
    <row r="116" spans="1:25" x14ac:dyDescent="0.35">
      <c r="A116" s="9" t="s">
        <v>136</v>
      </c>
      <c r="B116" s="3">
        <v>35.71</v>
      </c>
      <c r="C116" s="3">
        <v>28.94</v>
      </c>
      <c r="D116" s="1">
        <f t="shared" si="42"/>
        <v>6.77</v>
      </c>
      <c r="E116" s="1">
        <f t="shared" si="33"/>
        <v>3.66</v>
      </c>
      <c r="F116" s="1">
        <f t="shared" si="34"/>
        <v>3.1099999999999994</v>
      </c>
      <c r="G116" s="1">
        <f t="shared" si="35"/>
        <v>0.1158235077362964</v>
      </c>
      <c r="I116">
        <v>0.1158235077362964</v>
      </c>
      <c r="Q116" s="9" t="s">
        <v>136</v>
      </c>
      <c r="R116" s="3">
        <v>25.56</v>
      </c>
      <c r="S116" s="3">
        <v>28.94</v>
      </c>
      <c r="T116" s="1">
        <f t="shared" si="43"/>
        <v>-3.3800000000000026</v>
      </c>
      <c r="U116" s="1">
        <f t="shared" si="37"/>
        <v>-3.9333333333333336</v>
      </c>
      <c r="V116" s="1">
        <f t="shared" si="38"/>
        <v>0.55333333333333101</v>
      </c>
      <c r="W116" s="1">
        <f t="shared" si="39"/>
        <v>0.68144383849241441</v>
      </c>
      <c r="Y116">
        <v>0.68144383849241441</v>
      </c>
    </row>
    <row r="117" spans="1:25" x14ac:dyDescent="0.35">
      <c r="A117" s="9"/>
      <c r="B117" s="3">
        <v>35.94</v>
      </c>
      <c r="C117" s="3">
        <v>29.48</v>
      </c>
      <c r="D117" s="1">
        <f t="shared" si="42"/>
        <v>6.4599999999999973</v>
      </c>
      <c r="E117" s="1">
        <f t="shared" si="33"/>
        <v>3.66</v>
      </c>
      <c r="F117" s="1">
        <f t="shared" si="34"/>
        <v>2.7999999999999972</v>
      </c>
      <c r="G117" s="1">
        <f t="shared" si="35"/>
        <v>0.14358729437462966</v>
      </c>
      <c r="H117" s="1">
        <f>AVERAGE(G116:G118)</f>
        <v>0.18488632248943612</v>
      </c>
      <c r="I117">
        <v>0.14358729437462966</v>
      </c>
      <c r="Q117" s="9"/>
      <c r="R117" s="3">
        <v>23.72</v>
      </c>
      <c r="S117" s="3">
        <v>29.48</v>
      </c>
      <c r="T117" s="1">
        <f t="shared" si="43"/>
        <v>-5.7600000000000016</v>
      </c>
      <c r="U117" s="1">
        <f t="shared" si="37"/>
        <v>-3.9333333333333336</v>
      </c>
      <c r="V117" s="1">
        <f t="shared" si="38"/>
        <v>-1.826666666666668</v>
      </c>
      <c r="W117" s="1">
        <f t="shared" si="39"/>
        <v>3.5471655566527653</v>
      </c>
      <c r="X117" s="1">
        <f>AVERAGE(W116:W118)</f>
        <v>2.4107184008049063</v>
      </c>
      <c r="Y117">
        <v>3.5471655566527653</v>
      </c>
    </row>
    <row r="118" spans="1:25" x14ac:dyDescent="0.35">
      <c r="A118" s="9"/>
      <c r="B118" s="3">
        <v>34.950000000000003</v>
      </c>
      <c r="C118" s="3">
        <v>29.53</v>
      </c>
      <c r="D118" s="1">
        <f t="shared" si="42"/>
        <v>5.4200000000000017</v>
      </c>
      <c r="E118" s="1">
        <f t="shared" si="33"/>
        <v>3.66</v>
      </c>
      <c r="F118" s="1">
        <f t="shared" si="34"/>
        <v>1.7600000000000016</v>
      </c>
      <c r="G118" s="1">
        <f t="shared" si="35"/>
        <v>0.2952481653573823</v>
      </c>
      <c r="I118">
        <v>0.2952481653573823</v>
      </c>
      <c r="Q118" s="9"/>
      <c r="R118" s="3">
        <v>24.01</v>
      </c>
      <c r="S118" s="3">
        <v>29.53</v>
      </c>
      <c r="T118" s="1">
        <f t="shared" si="43"/>
        <v>-5.52</v>
      </c>
      <c r="U118" s="1">
        <f t="shared" si="37"/>
        <v>-3.9333333333333336</v>
      </c>
      <c r="V118" s="1">
        <f t="shared" si="38"/>
        <v>-1.586666666666666</v>
      </c>
      <c r="W118" s="1">
        <f t="shared" si="39"/>
        <v>3.0035458072695387</v>
      </c>
      <c r="Y118">
        <v>3.0035458072695387</v>
      </c>
    </row>
    <row r="119" spans="1:25" x14ac:dyDescent="0.35">
      <c r="A119" s="9" t="s">
        <v>137</v>
      </c>
      <c r="B119" s="3">
        <v>35.17</v>
      </c>
      <c r="C119" s="3">
        <v>28.36</v>
      </c>
      <c r="D119" s="1">
        <f t="shared" si="42"/>
        <v>6.8100000000000023</v>
      </c>
      <c r="E119" s="1">
        <f t="shared" si="33"/>
        <v>3.66</v>
      </c>
      <c r="F119" s="1">
        <f t="shared" si="34"/>
        <v>3.1500000000000021</v>
      </c>
      <c r="G119" s="1">
        <f t="shared" si="35"/>
        <v>0.11265630782635359</v>
      </c>
      <c r="I119">
        <v>0.11265630782635359</v>
      </c>
      <c r="Q119" s="9" t="s">
        <v>137</v>
      </c>
      <c r="R119" s="3">
        <v>23.86</v>
      </c>
      <c r="S119" s="3">
        <v>28.36</v>
      </c>
      <c r="T119" s="1">
        <f t="shared" si="43"/>
        <v>-4.5</v>
      </c>
      <c r="U119" s="1">
        <f t="shared" si="37"/>
        <v>-3.9333333333333336</v>
      </c>
      <c r="V119" s="1">
        <f t="shared" si="38"/>
        <v>-0.56666666666666643</v>
      </c>
      <c r="W119" s="1">
        <f t="shared" si="39"/>
        <v>1.4810975522865639</v>
      </c>
      <c r="Y119">
        <v>1.4810975522865639</v>
      </c>
    </row>
    <row r="120" spans="1:25" x14ac:dyDescent="0.35">
      <c r="A120" s="9"/>
      <c r="B120" s="3">
        <v>36.159999999999997</v>
      </c>
      <c r="C120" s="3">
        <v>30.43</v>
      </c>
      <c r="D120" s="1">
        <f t="shared" si="42"/>
        <v>5.7299999999999969</v>
      </c>
      <c r="E120" s="1">
        <f t="shared" si="33"/>
        <v>3.66</v>
      </c>
      <c r="F120" s="1">
        <f t="shared" si="34"/>
        <v>2.0699999999999967</v>
      </c>
      <c r="G120" s="1">
        <f t="shared" si="35"/>
        <v>0.23815949951098492</v>
      </c>
      <c r="H120" s="1">
        <f>AVERAGE(G119:G121)</f>
        <v>0.1580316317996695</v>
      </c>
      <c r="I120">
        <v>0.23815949951098492</v>
      </c>
      <c r="Q120" s="9"/>
      <c r="R120" s="3">
        <v>23.57</v>
      </c>
      <c r="S120" s="3">
        <v>30.43</v>
      </c>
      <c r="T120" s="1">
        <f t="shared" si="43"/>
        <v>-6.8599999999999994</v>
      </c>
      <c r="U120" s="1">
        <f t="shared" si="37"/>
        <v>-3.9333333333333336</v>
      </c>
      <c r="V120" s="1">
        <f t="shared" si="38"/>
        <v>-2.9266666666666659</v>
      </c>
      <c r="W120" s="1">
        <f t="shared" si="39"/>
        <v>7.6035158216864129</v>
      </c>
      <c r="X120" s="1">
        <f>AVERAGE(W119:W121)</f>
        <v>3.557338141980392</v>
      </c>
      <c r="Y120">
        <v>7.6035158216864129</v>
      </c>
    </row>
    <row r="121" spans="1:25" x14ac:dyDescent="0.35">
      <c r="A121" s="9"/>
      <c r="B121" s="3">
        <v>35.57</v>
      </c>
      <c r="C121" s="3">
        <v>28.89</v>
      </c>
      <c r="D121" s="1">
        <f t="shared" si="42"/>
        <v>6.68</v>
      </c>
      <c r="E121" s="1">
        <f t="shared" si="33"/>
        <v>3.66</v>
      </c>
      <c r="F121" s="1">
        <f t="shared" si="34"/>
        <v>3.0199999999999996</v>
      </c>
      <c r="G121" s="1">
        <f t="shared" si="35"/>
        <v>0.12327908806166996</v>
      </c>
      <c r="I121">
        <v>0.12327908806166996</v>
      </c>
      <c r="Q121" s="9"/>
      <c r="R121" s="3">
        <v>24.29</v>
      </c>
      <c r="S121" s="3">
        <v>28.89</v>
      </c>
      <c r="T121" s="1">
        <f t="shared" si="43"/>
        <v>-4.6000000000000014</v>
      </c>
      <c r="U121" s="1">
        <f t="shared" si="37"/>
        <v>-3.9333333333333336</v>
      </c>
      <c r="V121" s="1">
        <f t="shared" si="38"/>
        <v>-0.66666666666666785</v>
      </c>
      <c r="W121" s="1">
        <f t="shared" si="39"/>
        <v>1.5874010519682007</v>
      </c>
      <c r="Y121">
        <v>1.5874010519682007</v>
      </c>
    </row>
    <row r="122" spans="1:25" x14ac:dyDescent="0.35">
      <c r="A122" s="9" t="s">
        <v>138</v>
      </c>
      <c r="B122" s="3">
        <v>37.340000000000003</v>
      </c>
      <c r="C122" s="3">
        <v>30.14</v>
      </c>
      <c r="D122" s="1">
        <f t="shared" si="42"/>
        <v>7.2000000000000028</v>
      </c>
      <c r="E122" s="1">
        <f t="shared" si="33"/>
        <v>3.66</v>
      </c>
      <c r="F122" s="1">
        <f t="shared" si="34"/>
        <v>3.5400000000000027</v>
      </c>
      <c r="G122" s="1">
        <f t="shared" si="35"/>
        <v>8.5971363633733824E-2</v>
      </c>
      <c r="I122">
        <v>8.5971363633733824E-2</v>
      </c>
      <c r="Q122" s="9" t="s">
        <v>138</v>
      </c>
      <c r="R122" s="3">
        <v>25.57</v>
      </c>
      <c r="S122" s="3">
        <v>30.14</v>
      </c>
      <c r="T122" s="1">
        <f t="shared" si="43"/>
        <v>-4.57</v>
      </c>
      <c r="U122" s="1">
        <f t="shared" si="37"/>
        <v>-3.9333333333333336</v>
      </c>
      <c r="V122" s="1">
        <f t="shared" si="38"/>
        <v>-0.63666666666666671</v>
      </c>
      <c r="W122" s="1">
        <f t="shared" si="39"/>
        <v>1.5547328107084948</v>
      </c>
      <c r="Y122">
        <v>1.5547328107084948</v>
      </c>
    </row>
    <row r="123" spans="1:25" x14ac:dyDescent="0.35">
      <c r="A123" s="9"/>
      <c r="B123" s="3">
        <v>34.79</v>
      </c>
      <c r="C123" s="3">
        <v>29.65</v>
      </c>
      <c r="D123" s="1">
        <f t="shared" si="42"/>
        <v>5.1400000000000006</v>
      </c>
      <c r="E123" s="1">
        <f t="shared" si="33"/>
        <v>3.66</v>
      </c>
      <c r="F123" s="1">
        <f t="shared" si="34"/>
        <v>1.4800000000000004</v>
      </c>
      <c r="G123" s="1">
        <f t="shared" si="35"/>
        <v>0.35848881200395677</v>
      </c>
      <c r="H123" s="1">
        <f>AVERAGE(G122:G124)</f>
        <v>0.19535688709988844</v>
      </c>
      <c r="I123">
        <v>0.35848881200395677</v>
      </c>
      <c r="Q123" s="9"/>
      <c r="R123" s="3">
        <v>25.23</v>
      </c>
      <c r="S123" s="3">
        <v>29.65</v>
      </c>
      <c r="T123" s="1">
        <f t="shared" si="43"/>
        <v>-4.4199999999999982</v>
      </c>
      <c r="U123" s="1">
        <f t="shared" si="37"/>
        <v>-3.9333333333333336</v>
      </c>
      <c r="V123" s="1">
        <f t="shared" si="38"/>
        <v>-0.48666666666666458</v>
      </c>
      <c r="W123" s="1">
        <f t="shared" si="39"/>
        <v>1.4012036648872652</v>
      </c>
      <c r="X123" s="1">
        <f>AVERAGE(W122:W124)</f>
        <v>1.4491537732580586</v>
      </c>
      <c r="Y123">
        <v>1.4012036648872652</v>
      </c>
    </row>
    <row r="124" spans="1:25" x14ac:dyDescent="0.35">
      <c r="A124" s="9"/>
      <c r="B124" s="3">
        <v>35.18</v>
      </c>
      <c r="C124" s="3">
        <v>28.7</v>
      </c>
      <c r="D124" s="1">
        <f t="shared" si="42"/>
        <v>6.48</v>
      </c>
      <c r="E124" s="1">
        <f t="shared" si="33"/>
        <v>3.66</v>
      </c>
      <c r="F124" s="1">
        <f t="shared" si="34"/>
        <v>2.8200000000000003</v>
      </c>
      <c r="G124" s="1">
        <f t="shared" si="35"/>
        <v>0.14161048566197482</v>
      </c>
      <c r="I124">
        <v>0.14161048566197482</v>
      </c>
      <c r="Q124" s="9"/>
      <c r="R124" s="3">
        <v>24.29</v>
      </c>
      <c r="S124" s="3">
        <v>28.7</v>
      </c>
      <c r="T124" s="1">
        <f t="shared" si="43"/>
        <v>-4.41</v>
      </c>
      <c r="U124" s="1">
        <f t="shared" si="37"/>
        <v>-3.9333333333333336</v>
      </c>
      <c r="V124" s="1">
        <f t="shared" si="38"/>
        <v>-0.47666666666666657</v>
      </c>
      <c r="W124" s="1">
        <f t="shared" si="39"/>
        <v>1.3915248441784163</v>
      </c>
      <c r="Y124">
        <v>1.3915248441784163</v>
      </c>
    </row>
    <row r="125" spans="1:25" x14ac:dyDescent="0.35">
      <c r="A125" s="9" t="s">
        <v>139</v>
      </c>
      <c r="B125" s="3">
        <v>35.020000000000003</v>
      </c>
      <c r="C125" s="3">
        <v>29</v>
      </c>
      <c r="D125" s="1">
        <f t="shared" si="42"/>
        <v>6.0200000000000031</v>
      </c>
      <c r="E125" s="1">
        <f t="shared" si="33"/>
        <v>3.66</v>
      </c>
      <c r="F125" s="1">
        <f t="shared" si="34"/>
        <v>2.360000000000003</v>
      </c>
      <c r="G125" s="1">
        <f t="shared" si="35"/>
        <v>0.19479114491512459</v>
      </c>
      <c r="I125">
        <v>0.19479114491512459</v>
      </c>
      <c r="Q125" s="9" t="s">
        <v>139</v>
      </c>
      <c r="R125" s="3">
        <v>24.52</v>
      </c>
      <c r="S125" s="3">
        <v>29</v>
      </c>
      <c r="T125" s="1">
        <f t="shared" si="43"/>
        <v>-4.4800000000000004</v>
      </c>
      <c r="U125" s="1">
        <f t="shared" si="37"/>
        <v>-3.9333333333333336</v>
      </c>
      <c r="V125" s="1">
        <f t="shared" si="38"/>
        <v>-0.54666666666666686</v>
      </c>
      <c r="W125" s="1">
        <f t="shared" si="39"/>
        <v>1.4607068446100728</v>
      </c>
      <c r="Y125">
        <v>1.4607068446100728</v>
      </c>
    </row>
    <row r="126" spans="1:25" x14ac:dyDescent="0.35">
      <c r="A126" s="9"/>
      <c r="B126" s="3">
        <v>35.92</v>
      </c>
      <c r="C126" s="3">
        <v>29.19</v>
      </c>
      <c r="D126" s="1">
        <f t="shared" si="42"/>
        <v>6.73</v>
      </c>
      <c r="E126" s="1">
        <f t="shared" si="33"/>
        <v>3.66</v>
      </c>
      <c r="F126" s="1">
        <f t="shared" si="34"/>
        <v>3.0700000000000003</v>
      </c>
      <c r="G126" s="1">
        <f t="shared" si="35"/>
        <v>0.1190797497554922</v>
      </c>
      <c r="H126" s="1">
        <f>AVERAGE(G125:G127)</f>
        <v>0.14459296986209166</v>
      </c>
      <c r="I126">
        <v>0.1190797497554922</v>
      </c>
      <c r="Q126" s="9"/>
      <c r="R126" s="3">
        <v>24.44</v>
      </c>
      <c r="S126" s="3">
        <v>29.19</v>
      </c>
      <c r="T126" s="1">
        <f t="shared" si="43"/>
        <v>-4.75</v>
      </c>
      <c r="U126" s="1">
        <f t="shared" si="37"/>
        <v>-3.9333333333333336</v>
      </c>
      <c r="V126" s="1">
        <f t="shared" si="38"/>
        <v>-0.81666666666666643</v>
      </c>
      <c r="W126" s="1">
        <f t="shared" si="39"/>
        <v>1.7613317471922965</v>
      </c>
      <c r="X126" s="1">
        <f>AVERAGE(W125:W127)</f>
        <v>2.169599950048509</v>
      </c>
      <c r="Y126">
        <v>1.7613317471922965</v>
      </c>
    </row>
    <row r="127" spans="1:25" x14ac:dyDescent="0.35">
      <c r="A127" s="9"/>
      <c r="B127" s="3">
        <v>35.119999999999997</v>
      </c>
      <c r="C127" s="3">
        <v>28.4</v>
      </c>
      <c r="D127" s="1">
        <f t="shared" si="42"/>
        <v>6.7199999999999989</v>
      </c>
      <c r="E127" s="1">
        <f t="shared" si="33"/>
        <v>3.66</v>
      </c>
      <c r="F127" s="1">
        <f t="shared" si="34"/>
        <v>3.0599999999999987</v>
      </c>
      <c r="G127" s="1">
        <f t="shared" si="35"/>
        <v>0.11990801491565815</v>
      </c>
      <c r="I127">
        <v>0.11990801491565815</v>
      </c>
      <c r="Q127" s="9"/>
      <c r="R127" s="3">
        <v>22.75</v>
      </c>
      <c r="S127" s="3">
        <v>28.4</v>
      </c>
      <c r="T127" s="1">
        <f t="shared" si="43"/>
        <v>-5.6499999999999986</v>
      </c>
      <c r="U127" s="1">
        <f t="shared" si="37"/>
        <v>-3.9333333333333336</v>
      </c>
      <c r="V127" s="1">
        <f t="shared" si="38"/>
        <v>-1.716666666666665</v>
      </c>
      <c r="W127" s="1">
        <f t="shared" si="39"/>
        <v>3.2867612583431574</v>
      </c>
      <c r="Y127">
        <v>3.2867612583431574</v>
      </c>
    </row>
    <row r="129" spans="1:24" x14ac:dyDescent="0.35">
      <c r="A129" s="2"/>
      <c r="B129" s="1" t="s">
        <v>127</v>
      </c>
      <c r="C129" s="1" t="s">
        <v>115</v>
      </c>
      <c r="D129" s="1" t="s">
        <v>0</v>
      </c>
      <c r="E129" s="1" t="s">
        <v>1</v>
      </c>
      <c r="F129" s="1" t="s">
        <v>2</v>
      </c>
      <c r="G129" s="1" t="s">
        <v>3</v>
      </c>
      <c r="H129" s="1" t="s">
        <v>4</v>
      </c>
      <c r="Q129" s="2"/>
      <c r="R129" s="1" t="s">
        <v>128</v>
      </c>
      <c r="S129" s="1" t="s">
        <v>115</v>
      </c>
      <c r="T129" s="1" t="s">
        <v>0</v>
      </c>
      <c r="U129" s="1" t="s">
        <v>1</v>
      </c>
      <c r="V129" s="1" t="s">
        <v>2</v>
      </c>
      <c r="W129" s="1" t="s">
        <v>3</v>
      </c>
      <c r="X129" s="1" t="s">
        <v>4</v>
      </c>
    </row>
    <row r="130" spans="1:24" x14ac:dyDescent="0.35">
      <c r="A130" s="9" t="s">
        <v>124</v>
      </c>
      <c r="B130" s="3">
        <v>34.17</v>
      </c>
      <c r="C130" s="3">
        <v>29.49</v>
      </c>
      <c r="D130" s="1">
        <f>B130-C130</f>
        <v>4.6800000000000033</v>
      </c>
      <c r="E130" s="1">
        <f>AVERAGE($B$130:$B$132)-AVERAGE($C$130:$C$132)</f>
        <v>1.2099999999999973</v>
      </c>
      <c r="F130" s="1">
        <f>D130-E130</f>
        <v>3.470000000000006</v>
      </c>
      <c r="G130" s="1">
        <f>2^-F130</f>
        <v>9.0245574720155652E-2</v>
      </c>
      <c r="H130" s="1"/>
      <c r="I130">
        <v>9.0245574720155652E-2</v>
      </c>
      <c r="Q130" s="9" t="s">
        <v>124</v>
      </c>
      <c r="R130" s="3">
        <v>31.88</v>
      </c>
      <c r="S130" s="3">
        <v>29.49</v>
      </c>
      <c r="T130" s="1">
        <f>R130-S130</f>
        <v>2.3900000000000006</v>
      </c>
      <c r="U130" s="1">
        <f>AVERAGE($R$130:$R$132)-AVERAGE($S$130:$S$132)</f>
        <v>2.7433333333333323</v>
      </c>
      <c r="V130" s="1">
        <f>T130-U130</f>
        <v>-0.35333333333333172</v>
      </c>
      <c r="W130" s="1">
        <f>2^-V130</f>
        <v>1.2775088923279114</v>
      </c>
      <c r="X130" s="1"/>
    </row>
    <row r="131" spans="1:24" x14ac:dyDescent="0.35">
      <c r="A131" s="9"/>
      <c r="B131" s="3">
        <v>29.86</v>
      </c>
      <c r="C131" s="3">
        <v>28.89</v>
      </c>
      <c r="D131" s="1">
        <f t="shared" ref="D131" si="44">B131-C131</f>
        <v>0.96999999999999886</v>
      </c>
      <c r="E131" s="1">
        <f t="shared" ref="E131:E159" si="45">AVERAGE($B$130:$B$132)-AVERAGE($C$130:$C$132)</f>
        <v>1.2099999999999973</v>
      </c>
      <c r="F131" s="1">
        <f t="shared" ref="F131:F159" si="46">D131-E131</f>
        <v>-0.23999999999999844</v>
      </c>
      <c r="G131" s="1">
        <f t="shared" ref="G131:I159" si="47">2^-F131</f>
        <v>1.1809926614295292</v>
      </c>
      <c r="H131" s="1">
        <f>AVERAGE(G130:G132)</f>
        <v>3.5513059433348988</v>
      </c>
      <c r="I131">
        <v>1.1809926614295292</v>
      </c>
      <c r="Q131" s="9"/>
      <c r="R131" s="3">
        <v>31.59</v>
      </c>
      <c r="S131" s="3">
        <v>28.89</v>
      </c>
      <c r="T131" s="1">
        <f t="shared" ref="T131" si="48">R131-S131</f>
        <v>2.6999999999999993</v>
      </c>
      <c r="U131" s="1">
        <f t="shared" ref="U131:U159" si="49">AVERAGE($R$130:$R$132)-AVERAGE($S$130:$S$132)</f>
        <v>2.7433333333333323</v>
      </c>
      <c r="V131" s="1">
        <f t="shared" ref="V131:V159" si="50">T131-U131</f>
        <v>-4.3333333333333002E-2</v>
      </c>
      <c r="W131" s="1">
        <f t="shared" ref="W131:Y159" si="51">2^-V131</f>
        <v>1.0304920203292973</v>
      </c>
      <c r="X131" s="1">
        <f>AVERAGE(W130:W132)</f>
        <v>1.0225374149250019</v>
      </c>
    </row>
    <row r="132" spans="1:24" x14ac:dyDescent="0.35">
      <c r="A132" s="9"/>
      <c r="B132" s="3">
        <v>27.29</v>
      </c>
      <c r="C132" s="3">
        <v>29.31</v>
      </c>
      <c r="D132" s="1">
        <f>B132-C132</f>
        <v>-2.0199999999999996</v>
      </c>
      <c r="E132" s="1">
        <f t="shared" si="45"/>
        <v>1.2099999999999973</v>
      </c>
      <c r="F132" s="1">
        <f t="shared" si="46"/>
        <v>-3.2299999999999969</v>
      </c>
      <c r="G132" s="1">
        <f t="shared" si="47"/>
        <v>9.3826795938550109</v>
      </c>
      <c r="I132">
        <v>9.3826795938550109</v>
      </c>
      <c r="Q132" s="9"/>
      <c r="R132" s="3">
        <v>32.450000000000003</v>
      </c>
      <c r="S132" s="3">
        <v>29.31</v>
      </c>
      <c r="T132" s="1">
        <f>R132-S132</f>
        <v>3.1400000000000041</v>
      </c>
      <c r="U132" s="1">
        <f t="shared" si="49"/>
        <v>2.7433333333333323</v>
      </c>
      <c r="V132" s="1">
        <f t="shared" si="50"/>
        <v>0.39666666666667183</v>
      </c>
      <c r="W132" s="1">
        <f t="shared" si="51"/>
        <v>0.75961133211779686</v>
      </c>
    </row>
    <row r="133" spans="1:24" x14ac:dyDescent="0.35">
      <c r="A133" s="9" t="s">
        <v>125</v>
      </c>
      <c r="B133" s="3">
        <v>34.049999999999997</v>
      </c>
      <c r="C133" s="3">
        <v>28.73</v>
      </c>
      <c r="D133" s="1">
        <f t="shared" ref="D133:D156" si="52">B133-C133</f>
        <v>5.3199999999999967</v>
      </c>
      <c r="E133" s="1">
        <f t="shared" si="45"/>
        <v>1.2099999999999973</v>
      </c>
      <c r="F133" s="1">
        <f t="shared" si="46"/>
        <v>4.1099999999999994</v>
      </c>
      <c r="G133" s="1">
        <f t="shared" si="47"/>
        <v>5.7911753868148223E-2</v>
      </c>
      <c r="I133">
        <v>5.7911753868148223E-2</v>
      </c>
      <c r="Q133" s="9" t="s">
        <v>125</v>
      </c>
      <c r="R133" s="3">
        <v>27.88</v>
      </c>
      <c r="S133" s="3">
        <v>28.73</v>
      </c>
      <c r="T133" s="1">
        <f t="shared" ref="T133:T156" si="53">R133-S133</f>
        <v>-0.85000000000000142</v>
      </c>
      <c r="U133" s="1">
        <f t="shared" si="49"/>
        <v>2.7433333333333323</v>
      </c>
      <c r="V133" s="1">
        <f t="shared" si="50"/>
        <v>-3.5933333333333337</v>
      </c>
      <c r="W133" s="1">
        <f t="shared" si="51"/>
        <v>12.06982901400187</v>
      </c>
    </row>
    <row r="134" spans="1:24" x14ac:dyDescent="0.35">
      <c r="A134" s="9"/>
      <c r="B134" s="3">
        <v>34.76</v>
      </c>
      <c r="C134" s="3">
        <v>28.85</v>
      </c>
      <c r="D134" s="1">
        <f t="shared" si="52"/>
        <v>5.9099999999999966</v>
      </c>
      <c r="E134" s="1">
        <f t="shared" si="45"/>
        <v>1.2099999999999973</v>
      </c>
      <c r="F134" s="1">
        <f t="shared" si="46"/>
        <v>4.6999999999999993</v>
      </c>
      <c r="G134" s="1">
        <f t="shared" si="47"/>
        <v>3.8473262917028649E-2</v>
      </c>
      <c r="H134" s="1">
        <f>AVERAGE(G133:G135)</f>
        <v>4.5590347580866109E-2</v>
      </c>
      <c r="I134">
        <v>3.8473262917028649E-2</v>
      </c>
      <c r="Q134" s="9"/>
      <c r="R134" s="3">
        <v>27.68</v>
      </c>
      <c r="S134" s="3">
        <v>28.85</v>
      </c>
      <c r="T134" s="1">
        <f t="shared" si="53"/>
        <v>-1.1700000000000017</v>
      </c>
      <c r="U134" s="1">
        <f t="shared" si="49"/>
        <v>2.7433333333333323</v>
      </c>
      <c r="V134" s="1">
        <f t="shared" si="50"/>
        <v>-3.913333333333334</v>
      </c>
      <c r="W134" s="1">
        <f t="shared" si="51"/>
        <v>15.067136278197557</v>
      </c>
      <c r="X134" s="1">
        <f>AVERAGE(W133:W135)</f>
        <v>15.906426667407274</v>
      </c>
    </row>
    <row r="135" spans="1:24" x14ac:dyDescent="0.35">
      <c r="A135" s="9"/>
      <c r="B135" s="3">
        <v>34.630000000000003</v>
      </c>
      <c r="C135" s="3">
        <v>28.79</v>
      </c>
      <c r="D135" s="1">
        <f t="shared" si="52"/>
        <v>5.8400000000000034</v>
      </c>
      <c r="E135" s="1">
        <f t="shared" si="45"/>
        <v>1.2099999999999973</v>
      </c>
      <c r="F135" s="1">
        <f t="shared" si="46"/>
        <v>4.6300000000000061</v>
      </c>
      <c r="G135" s="1">
        <f t="shared" si="47"/>
        <v>4.0386025957421461E-2</v>
      </c>
      <c r="I135">
        <v>4.0386025957421461E-2</v>
      </c>
      <c r="Q135" s="9"/>
      <c r="R135" s="3">
        <v>27.17</v>
      </c>
      <c r="S135" s="3">
        <v>28.79</v>
      </c>
      <c r="T135" s="1">
        <f t="shared" si="53"/>
        <v>-1.6199999999999974</v>
      </c>
      <c r="U135" s="1">
        <f t="shared" si="49"/>
        <v>2.7433333333333323</v>
      </c>
      <c r="V135" s="1">
        <f t="shared" si="50"/>
        <v>-4.3633333333333297</v>
      </c>
      <c r="W135" s="1">
        <f t="shared" si="51"/>
        <v>20.582314710022395</v>
      </c>
    </row>
    <row r="136" spans="1:24" x14ac:dyDescent="0.35">
      <c r="A136" s="9" t="s">
        <v>132</v>
      </c>
      <c r="B136" s="3">
        <v>33.15</v>
      </c>
      <c r="C136" s="3">
        <v>29.49</v>
      </c>
      <c r="D136" s="1">
        <f>B136-C136</f>
        <v>3.66</v>
      </c>
      <c r="E136" s="1">
        <f t="shared" si="45"/>
        <v>1.2099999999999973</v>
      </c>
      <c r="F136" s="1">
        <f t="shared" si="46"/>
        <v>2.4500000000000028</v>
      </c>
      <c r="G136" s="1">
        <f t="shared" si="47"/>
        <v>0.18301071199320279</v>
      </c>
      <c r="I136">
        <v>0.18301071199320279</v>
      </c>
      <c r="Q136" s="9" t="s">
        <v>132</v>
      </c>
      <c r="R136" s="3">
        <v>31.3</v>
      </c>
      <c r="S136" s="3">
        <v>29.49</v>
      </c>
      <c r="T136" s="1">
        <f>R136-S136</f>
        <v>1.8100000000000023</v>
      </c>
      <c r="U136" s="1">
        <f t="shared" si="49"/>
        <v>2.7433333333333323</v>
      </c>
      <c r="V136" s="1">
        <f t="shared" si="50"/>
        <v>-0.93333333333333002</v>
      </c>
      <c r="W136" s="1">
        <f t="shared" si="51"/>
        <v>1.9096832078208286</v>
      </c>
    </row>
    <row r="137" spans="1:24" x14ac:dyDescent="0.35">
      <c r="A137" s="9"/>
      <c r="B137" s="3">
        <v>32.71</v>
      </c>
      <c r="C137" s="3">
        <v>29.71</v>
      </c>
      <c r="D137" s="1">
        <f t="shared" ref="D137:D159" si="54">B137-C137</f>
        <v>3</v>
      </c>
      <c r="E137" s="1">
        <f t="shared" si="45"/>
        <v>1.2099999999999973</v>
      </c>
      <c r="F137" s="1">
        <f t="shared" si="46"/>
        <v>1.7900000000000027</v>
      </c>
      <c r="G137" s="1">
        <f t="shared" si="47"/>
        <v>0.28917204597632129</v>
      </c>
      <c r="H137" s="1">
        <f>AVERAGE(G136:G138)</f>
        <v>0.26360763826644668</v>
      </c>
      <c r="I137">
        <v>0.28917204597632129</v>
      </c>
      <c r="Q137" s="9"/>
      <c r="R137" s="3">
        <v>32.26</v>
      </c>
      <c r="S137" s="3">
        <v>29.71</v>
      </c>
      <c r="T137" s="1">
        <f t="shared" ref="T137:T159" si="55">R137-S137</f>
        <v>2.5499999999999972</v>
      </c>
      <c r="U137" s="1">
        <f t="shared" si="49"/>
        <v>2.7433333333333323</v>
      </c>
      <c r="V137" s="1">
        <f t="shared" si="50"/>
        <v>-0.19333333333333513</v>
      </c>
      <c r="W137" s="1">
        <f t="shared" si="51"/>
        <v>1.1434024869669073</v>
      </c>
      <c r="X137" s="1">
        <f>AVERAGE(W136:W138)</f>
        <v>1.6325726939865379</v>
      </c>
    </row>
    <row r="138" spans="1:24" x14ac:dyDescent="0.35">
      <c r="A138" s="9"/>
      <c r="B138" s="3">
        <v>32.049999999999997</v>
      </c>
      <c r="C138" s="3">
        <v>29.19</v>
      </c>
      <c r="D138" s="1">
        <f t="shared" si="54"/>
        <v>2.8599999999999959</v>
      </c>
      <c r="E138" s="1">
        <f t="shared" si="45"/>
        <v>1.2099999999999973</v>
      </c>
      <c r="F138" s="1">
        <f t="shared" si="46"/>
        <v>1.6499999999999986</v>
      </c>
      <c r="G138" s="1">
        <f t="shared" si="47"/>
        <v>0.31864015682981583</v>
      </c>
      <c r="I138">
        <v>0.31864015682981583</v>
      </c>
      <c r="Q138" s="9"/>
      <c r="R138" s="3">
        <v>31.05</v>
      </c>
      <c r="S138" s="3">
        <v>29.19</v>
      </c>
      <c r="T138" s="1">
        <f t="shared" si="55"/>
        <v>1.8599999999999994</v>
      </c>
      <c r="U138" s="1">
        <f t="shared" si="49"/>
        <v>2.7433333333333323</v>
      </c>
      <c r="V138" s="1">
        <f t="shared" si="50"/>
        <v>-0.88333333333333286</v>
      </c>
      <c r="W138" s="1">
        <f t="shared" si="51"/>
        <v>1.8446323871718777</v>
      </c>
    </row>
    <row r="139" spans="1:24" x14ac:dyDescent="0.35">
      <c r="A139" s="9" t="s">
        <v>133</v>
      </c>
      <c r="B139" s="3">
        <v>31.37</v>
      </c>
      <c r="C139" s="3">
        <v>29.11</v>
      </c>
      <c r="D139" s="1">
        <f t="shared" si="54"/>
        <v>2.2600000000000016</v>
      </c>
      <c r="E139" s="1">
        <f t="shared" si="45"/>
        <v>1.2099999999999973</v>
      </c>
      <c r="F139" s="1">
        <f t="shared" si="46"/>
        <v>1.0500000000000043</v>
      </c>
      <c r="G139" s="1">
        <f t="shared" si="47"/>
        <v>0.4829681644624213</v>
      </c>
      <c r="I139">
        <v>0.4829681644624213</v>
      </c>
      <c r="Q139" s="9" t="s">
        <v>133</v>
      </c>
      <c r="R139" s="3">
        <v>26.27</v>
      </c>
      <c r="S139" s="3">
        <v>29.11</v>
      </c>
      <c r="T139" s="1">
        <f t="shared" si="55"/>
        <v>-2.84</v>
      </c>
      <c r="U139" s="1">
        <f t="shared" si="49"/>
        <v>2.7433333333333323</v>
      </c>
      <c r="V139" s="1">
        <f t="shared" si="50"/>
        <v>-5.5833333333333321</v>
      </c>
      <c r="W139" s="1">
        <f t="shared" si="51"/>
        <v>47.945826460053752</v>
      </c>
    </row>
    <row r="140" spans="1:24" x14ac:dyDescent="0.35">
      <c r="A140" s="9"/>
      <c r="B140" s="3">
        <v>30.74</v>
      </c>
      <c r="C140" s="3">
        <v>28.9</v>
      </c>
      <c r="D140" s="1">
        <f t="shared" si="54"/>
        <v>1.8399999999999999</v>
      </c>
      <c r="E140" s="1">
        <f t="shared" si="45"/>
        <v>1.2099999999999973</v>
      </c>
      <c r="F140" s="1">
        <f t="shared" si="46"/>
        <v>0.63000000000000256</v>
      </c>
      <c r="G140" s="1">
        <f t="shared" si="47"/>
        <v>0.64617641531874503</v>
      </c>
      <c r="H140" s="1">
        <f>AVERAGE(G139:G141)</f>
        <v>0.46820695291677311</v>
      </c>
      <c r="I140">
        <v>0.64617641531874503</v>
      </c>
      <c r="Q140" s="9"/>
      <c r="R140" s="3">
        <v>26.33</v>
      </c>
      <c r="S140" s="3">
        <v>28.9</v>
      </c>
      <c r="T140" s="1">
        <f t="shared" si="55"/>
        <v>-2.5700000000000003</v>
      </c>
      <c r="U140" s="1">
        <f t="shared" si="49"/>
        <v>2.7433333333333323</v>
      </c>
      <c r="V140" s="1">
        <f t="shared" si="50"/>
        <v>-5.3133333333333326</v>
      </c>
      <c r="W140" s="1">
        <f t="shared" si="51"/>
        <v>39.762411023549831</v>
      </c>
      <c r="X140" s="1">
        <f>AVERAGE(W139:W141)</f>
        <v>47.092497570554791</v>
      </c>
    </row>
    <row r="141" spans="1:24" x14ac:dyDescent="0.35">
      <c r="A141" s="9"/>
      <c r="B141" s="3">
        <v>32.51</v>
      </c>
      <c r="C141" s="3">
        <v>29.44</v>
      </c>
      <c r="D141" s="1">
        <f t="shared" si="54"/>
        <v>3.0699999999999967</v>
      </c>
      <c r="E141" s="1">
        <f t="shared" si="45"/>
        <v>1.2099999999999973</v>
      </c>
      <c r="F141" s="1">
        <f t="shared" si="46"/>
        <v>1.8599999999999994</v>
      </c>
      <c r="G141" s="1">
        <f t="shared" si="47"/>
        <v>0.27547627896915283</v>
      </c>
      <c r="I141">
        <v>0.27547627896915283</v>
      </c>
      <c r="Q141" s="9"/>
      <c r="R141" s="3">
        <v>26.44</v>
      </c>
      <c r="S141" s="3">
        <v>29.44</v>
      </c>
      <c r="T141" s="1">
        <f t="shared" si="55"/>
        <v>-3</v>
      </c>
      <c r="U141" s="1">
        <f t="shared" si="49"/>
        <v>2.7433333333333323</v>
      </c>
      <c r="V141" s="1">
        <f t="shared" si="50"/>
        <v>-5.7433333333333323</v>
      </c>
      <c r="W141" s="1">
        <f t="shared" si="51"/>
        <v>53.56925522806079</v>
      </c>
    </row>
    <row r="142" spans="1:24" x14ac:dyDescent="0.35">
      <c r="A142" s="9" t="s">
        <v>134</v>
      </c>
      <c r="B142" s="3">
        <v>32.42</v>
      </c>
      <c r="C142" s="3">
        <v>30.18</v>
      </c>
      <c r="D142" s="1">
        <f t="shared" si="54"/>
        <v>2.240000000000002</v>
      </c>
      <c r="E142" s="1">
        <f t="shared" si="45"/>
        <v>1.2099999999999973</v>
      </c>
      <c r="F142" s="1">
        <f t="shared" si="46"/>
        <v>1.0300000000000047</v>
      </c>
      <c r="G142" s="1">
        <f t="shared" si="47"/>
        <v>0.48971014879346192</v>
      </c>
      <c r="I142">
        <v>0.48971014879346192</v>
      </c>
      <c r="Q142" s="9" t="s">
        <v>134</v>
      </c>
      <c r="R142" s="3">
        <v>31.7</v>
      </c>
      <c r="S142" s="3">
        <v>30.18</v>
      </c>
      <c r="T142" s="1">
        <f t="shared" si="55"/>
        <v>1.5199999999999996</v>
      </c>
      <c r="U142" s="1">
        <f t="shared" si="49"/>
        <v>2.7433333333333323</v>
      </c>
      <c r="V142" s="1">
        <f t="shared" si="50"/>
        <v>-1.2233333333333327</v>
      </c>
      <c r="W142" s="1">
        <f t="shared" si="51"/>
        <v>2.3348556075139424</v>
      </c>
    </row>
    <row r="143" spans="1:24" x14ac:dyDescent="0.35">
      <c r="A143" s="9"/>
      <c r="B143" s="3">
        <v>31.33</v>
      </c>
      <c r="C143" s="3">
        <v>30.19</v>
      </c>
      <c r="D143" s="1">
        <f t="shared" si="54"/>
        <v>1.139999999999997</v>
      </c>
      <c r="E143" s="1">
        <f t="shared" si="45"/>
        <v>1.2099999999999973</v>
      </c>
      <c r="F143" s="1">
        <f t="shared" si="46"/>
        <v>-7.0000000000000284E-2</v>
      </c>
      <c r="G143" s="1">
        <f t="shared" si="47"/>
        <v>1.0497166836230676</v>
      </c>
      <c r="H143" s="1">
        <f>AVERAGE(G142:G144)</f>
        <v>0.66650688590965512</v>
      </c>
      <c r="I143">
        <v>1.0497166836230676</v>
      </c>
      <c r="Q143" s="9"/>
      <c r="R143" s="3">
        <v>31.99</v>
      </c>
      <c r="S143" s="3">
        <v>30.19</v>
      </c>
      <c r="T143" s="1">
        <f t="shared" si="55"/>
        <v>1.7999999999999972</v>
      </c>
      <c r="U143" s="1">
        <f t="shared" si="49"/>
        <v>2.7433333333333323</v>
      </c>
      <c r="V143" s="1">
        <f t="shared" si="50"/>
        <v>-0.94333333333333513</v>
      </c>
      <c r="W143" s="1">
        <f t="shared" si="51"/>
        <v>1.9229661049653086</v>
      </c>
      <c r="X143" s="1">
        <f>AVERAGE(W142:W144)</f>
        <v>1.922183446409828</v>
      </c>
    </row>
    <row r="144" spans="1:24" x14ac:dyDescent="0.35">
      <c r="A144" s="9"/>
      <c r="B144" s="3">
        <v>32.06</v>
      </c>
      <c r="C144" s="3">
        <v>29.73</v>
      </c>
      <c r="D144" s="1">
        <f t="shared" si="54"/>
        <v>2.3300000000000018</v>
      </c>
      <c r="E144" s="1">
        <f t="shared" si="45"/>
        <v>1.2099999999999973</v>
      </c>
      <c r="F144" s="1">
        <f t="shared" si="46"/>
        <v>1.1200000000000045</v>
      </c>
      <c r="G144" s="1">
        <f t="shared" si="47"/>
        <v>0.46009382531243609</v>
      </c>
      <c r="I144">
        <v>0.46009382531243609</v>
      </c>
      <c r="Q144" s="9"/>
      <c r="R144" s="3">
        <v>31.88</v>
      </c>
      <c r="S144" s="3">
        <v>29.73</v>
      </c>
      <c r="T144" s="1">
        <f t="shared" si="55"/>
        <v>2.1499999999999986</v>
      </c>
      <c r="U144" s="1">
        <f t="shared" si="49"/>
        <v>2.7433333333333323</v>
      </c>
      <c r="V144" s="1">
        <f t="shared" si="50"/>
        <v>-0.59333333333333371</v>
      </c>
      <c r="W144" s="1">
        <f t="shared" si="51"/>
        <v>1.5087286267502336</v>
      </c>
    </row>
    <row r="145" spans="1:24" x14ac:dyDescent="0.35">
      <c r="A145" s="9" t="s">
        <v>135</v>
      </c>
      <c r="B145" s="3">
        <v>33.340000000000003</v>
      </c>
      <c r="C145" s="3">
        <v>29.62</v>
      </c>
      <c r="D145" s="1">
        <f t="shared" si="54"/>
        <v>3.7200000000000024</v>
      </c>
      <c r="E145" s="1">
        <f t="shared" si="45"/>
        <v>1.2099999999999973</v>
      </c>
      <c r="F145" s="1">
        <f t="shared" si="46"/>
        <v>2.5100000000000051</v>
      </c>
      <c r="G145" s="1">
        <f t="shared" si="47"/>
        <v>0.17555560946724902</v>
      </c>
      <c r="I145">
        <v>0.17555560946724902</v>
      </c>
      <c r="Q145" s="9" t="s">
        <v>135</v>
      </c>
      <c r="R145" s="3">
        <v>26.91</v>
      </c>
      <c r="S145" s="3">
        <v>29.62</v>
      </c>
      <c r="T145" s="1">
        <f t="shared" si="55"/>
        <v>-2.7100000000000009</v>
      </c>
      <c r="U145" s="1">
        <f t="shared" si="49"/>
        <v>2.7433333333333323</v>
      </c>
      <c r="V145" s="1">
        <f t="shared" si="50"/>
        <v>-5.4533333333333331</v>
      </c>
      <c r="W145" s="1">
        <f t="shared" si="51"/>
        <v>43.814404126438127</v>
      </c>
    </row>
    <row r="146" spans="1:24" x14ac:dyDescent="0.35">
      <c r="A146" s="9"/>
      <c r="B146" s="3">
        <v>30.57</v>
      </c>
      <c r="C146" s="3">
        <v>30.11</v>
      </c>
      <c r="D146" s="1">
        <f t="shared" si="54"/>
        <v>0.46000000000000085</v>
      </c>
      <c r="E146" s="1">
        <f t="shared" si="45"/>
        <v>1.2099999999999973</v>
      </c>
      <c r="F146" s="1">
        <f t="shared" si="46"/>
        <v>-0.74999999999999645</v>
      </c>
      <c r="G146" s="1">
        <f t="shared" si="47"/>
        <v>1.681792830507425</v>
      </c>
      <c r="H146" s="1">
        <f>AVERAGE(G145:G147)</f>
        <v>1.1494738024948363</v>
      </c>
      <c r="I146">
        <v>1.681792830507425</v>
      </c>
      <c r="Q146" s="9"/>
      <c r="R146" s="3">
        <v>28.17</v>
      </c>
      <c r="S146" s="3">
        <v>30.11</v>
      </c>
      <c r="T146" s="1">
        <f t="shared" si="55"/>
        <v>-1.9399999999999977</v>
      </c>
      <c r="U146" s="1">
        <f t="shared" si="49"/>
        <v>2.7433333333333323</v>
      </c>
      <c r="V146" s="1">
        <f t="shared" si="50"/>
        <v>-4.68333333333333</v>
      </c>
      <c r="W146" s="1">
        <f t="shared" si="51"/>
        <v>25.693532219627983</v>
      </c>
      <c r="X146" s="1">
        <f>AVERAGE(W145:W147)</f>
        <v>32.871908318003712</v>
      </c>
    </row>
    <row r="147" spans="1:24" x14ac:dyDescent="0.35">
      <c r="A147" s="9"/>
      <c r="B147" s="3">
        <v>30.61</v>
      </c>
      <c r="C147" s="3">
        <v>30.07</v>
      </c>
      <c r="D147" s="1">
        <f t="shared" si="54"/>
        <v>0.53999999999999915</v>
      </c>
      <c r="E147" s="1">
        <f t="shared" si="45"/>
        <v>1.2099999999999973</v>
      </c>
      <c r="F147" s="1">
        <f t="shared" si="46"/>
        <v>-0.66999999999999815</v>
      </c>
      <c r="G147" s="1">
        <f t="shared" si="47"/>
        <v>1.5910729675098352</v>
      </c>
      <c r="I147">
        <v>1.5910729675098352</v>
      </c>
      <c r="Q147" s="9"/>
      <c r="R147" s="3">
        <v>27.95</v>
      </c>
      <c r="S147" s="3">
        <v>30.07</v>
      </c>
      <c r="T147" s="1">
        <f t="shared" si="55"/>
        <v>-2.120000000000001</v>
      </c>
      <c r="U147" s="1">
        <f t="shared" si="49"/>
        <v>2.7433333333333323</v>
      </c>
      <c r="V147" s="1">
        <f t="shared" si="50"/>
        <v>-4.8633333333333333</v>
      </c>
      <c r="W147" s="1">
        <f t="shared" si="51"/>
        <v>29.107788607945007</v>
      </c>
    </row>
    <row r="148" spans="1:24" x14ac:dyDescent="0.35">
      <c r="A148" s="9" t="s">
        <v>136</v>
      </c>
      <c r="B148" s="3">
        <v>30.82</v>
      </c>
      <c r="C148" s="3">
        <v>28.94</v>
      </c>
      <c r="D148" s="1">
        <f t="shared" si="54"/>
        <v>1.879999999999999</v>
      </c>
      <c r="E148" s="1">
        <f t="shared" si="45"/>
        <v>1.2099999999999973</v>
      </c>
      <c r="F148" s="1">
        <f t="shared" si="46"/>
        <v>0.67000000000000171</v>
      </c>
      <c r="G148" s="1">
        <f t="shared" si="47"/>
        <v>0.62850668726091341</v>
      </c>
      <c r="I148">
        <v>0.62850668726091341</v>
      </c>
      <c r="Q148" s="9" t="s">
        <v>136</v>
      </c>
      <c r="R148" s="3">
        <v>26.69</v>
      </c>
      <c r="S148" s="3">
        <v>28.94</v>
      </c>
      <c r="T148" s="1">
        <f t="shared" si="55"/>
        <v>-2.25</v>
      </c>
      <c r="U148" s="1">
        <f t="shared" si="49"/>
        <v>2.7433333333333323</v>
      </c>
      <c r="V148" s="1">
        <f t="shared" si="50"/>
        <v>-4.9933333333333323</v>
      </c>
      <c r="W148" s="1">
        <f t="shared" si="51"/>
        <v>31.852469731303302</v>
      </c>
    </row>
    <row r="149" spans="1:24" x14ac:dyDescent="0.35">
      <c r="A149" s="9"/>
      <c r="B149" s="3">
        <v>29.48</v>
      </c>
      <c r="C149" s="3">
        <v>29.48</v>
      </c>
      <c r="D149" s="1">
        <f t="shared" si="54"/>
        <v>0</v>
      </c>
      <c r="E149" s="1">
        <f t="shared" si="45"/>
        <v>1.2099999999999973</v>
      </c>
      <c r="F149" s="1">
        <f t="shared" si="46"/>
        <v>-1.2099999999999973</v>
      </c>
      <c r="G149" s="1">
        <f t="shared" si="47"/>
        <v>2.3133763678105708</v>
      </c>
      <c r="H149" s="1">
        <f>AVERAGE(G148:G150)</f>
        <v>1.5000707381308267</v>
      </c>
      <c r="I149">
        <v>2.3133763678105708</v>
      </c>
      <c r="Q149" s="9"/>
      <c r="R149" s="3">
        <v>27.34</v>
      </c>
      <c r="S149" s="3">
        <v>29.48</v>
      </c>
      <c r="T149" s="1">
        <f t="shared" si="55"/>
        <v>-2.1400000000000006</v>
      </c>
      <c r="U149" s="1">
        <f t="shared" si="49"/>
        <v>2.7433333333333323</v>
      </c>
      <c r="V149" s="1">
        <f t="shared" si="50"/>
        <v>-4.8833333333333329</v>
      </c>
      <c r="W149" s="1">
        <f t="shared" si="51"/>
        <v>29.514118194750047</v>
      </c>
      <c r="X149" s="1">
        <f>AVERAGE(W148:W150)</f>
        <v>32.236371983290873</v>
      </c>
    </row>
    <row r="150" spans="1:24" x14ac:dyDescent="0.35">
      <c r="A150" s="9"/>
      <c r="B150" s="3">
        <v>30.1</v>
      </c>
      <c r="C150" s="3">
        <v>29.53</v>
      </c>
      <c r="D150" s="1">
        <f t="shared" si="54"/>
        <v>0.57000000000000028</v>
      </c>
      <c r="E150" s="1">
        <f t="shared" si="45"/>
        <v>1.2099999999999973</v>
      </c>
      <c r="F150" s="1">
        <f t="shared" si="46"/>
        <v>-0.63999999999999702</v>
      </c>
      <c r="G150" s="1">
        <f t="shared" si="47"/>
        <v>1.5583291593209965</v>
      </c>
      <c r="I150">
        <v>1.5583291593209965</v>
      </c>
      <c r="Q150" s="9"/>
      <c r="R150" s="3">
        <v>27.13</v>
      </c>
      <c r="S150" s="3">
        <v>29.53</v>
      </c>
      <c r="T150" s="1">
        <f t="shared" si="55"/>
        <v>-2.4000000000000021</v>
      </c>
      <c r="U150" s="1">
        <f t="shared" si="49"/>
        <v>2.7433333333333323</v>
      </c>
      <c r="V150" s="1">
        <f t="shared" si="50"/>
        <v>-5.1433333333333344</v>
      </c>
      <c r="W150" s="1">
        <f t="shared" si="51"/>
        <v>35.342528023819263</v>
      </c>
    </row>
    <row r="151" spans="1:24" x14ac:dyDescent="0.35">
      <c r="A151" s="9" t="s">
        <v>137</v>
      </c>
      <c r="B151" s="3">
        <v>29.48</v>
      </c>
      <c r="C151" s="3">
        <v>28.36</v>
      </c>
      <c r="D151" s="1">
        <f t="shared" si="54"/>
        <v>1.120000000000001</v>
      </c>
      <c r="E151" s="1">
        <f t="shared" si="45"/>
        <v>1.2099999999999973</v>
      </c>
      <c r="F151" s="1">
        <f t="shared" si="46"/>
        <v>-8.9999999999996305E-2</v>
      </c>
      <c r="G151" s="1">
        <f t="shared" si="47"/>
        <v>1.0643701824533571</v>
      </c>
      <c r="I151">
        <v>1.0643701824533571</v>
      </c>
      <c r="Q151" s="9" t="s">
        <v>137</v>
      </c>
      <c r="R151" s="3">
        <v>25.89</v>
      </c>
      <c r="S151" s="3">
        <v>28.36</v>
      </c>
      <c r="T151" s="1">
        <f t="shared" si="55"/>
        <v>-2.4699999999999989</v>
      </c>
      <c r="U151" s="1">
        <f t="shared" si="49"/>
        <v>2.7433333333333323</v>
      </c>
      <c r="V151" s="1">
        <f t="shared" si="50"/>
        <v>-5.2133333333333312</v>
      </c>
      <c r="W151" s="1">
        <f t="shared" si="51"/>
        <v>37.099641308018796</v>
      </c>
    </row>
    <row r="152" spans="1:24" x14ac:dyDescent="0.35">
      <c r="A152" s="9"/>
      <c r="B152" s="3">
        <v>28.91</v>
      </c>
      <c r="C152" s="3">
        <v>30.43</v>
      </c>
      <c r="D152" s="1">
        <f t="shared" si="54"/>
        <v>-1.5199999999999996</v>
      </c>
      <c r="E152" s="1">
        <f t="shared" si="45"/>
        <v>1.2099999999999973</v>
      </c>
      <c r="F152" s="1">
        <f t="shared" si="46"/>
        <v>-2.7299999999999969</v>
      </c>
      <c r="G152" s="1">
        <f t="shared" si="47"/>
        <v>6.6345563665155183</v>
      </c>
      <c r="H152" s="1">
        <f>AVERAGE(G151:G153)</f>
        <v>3.2014008483522485</v>
      </c>
      <c r="I152">
        <v>6.6345563665155183</v>
      </c>
      <c r="Q152" s="9"/>
      <c r="R152" s="3">
        <v>27.74</v>
      </c>
      <c r="S152" s="3">
        <v>30.43</v>
      </c>
      <c r="T152" s="1">
        <f t="shared" si="55"/>
        <v>-2.6900000000000013</v>
      </c>
      <c r="U152" s="1">
        <f t="shared" si="49"/>
        <v>2.7433333333333323</v>
      </c>
      <c r="V152" s="1">
        <f t="shared" si="50"/>
        <v>-5.4333333333333336</v>
      </c>
      <c r="W152" s="1">
        <f t="shared" si="51"/>
        <v>43.211198277382088</v>
      </c>
      <c r="X152" s="1">
        <f>AVERAGE(W151:W153)</f>
        <v>37.461620254783476</v>
      </c>
    </row>
    <row r="153" spans="1:24" x14ac:dyDescent="0.35">
      <c r="A153" s="9"/>
      <c r="B153" s="3">
        <v>29.17</v>
      </c>
      <c r="C153" s="3">
        <v>28.89</v>
      </c>
      <c r="D153" s="1">
        <f t="shared" si="54"/>
        <v>0.28000000000000114</v>
      </c>
      <c r="E153" s="1">
        <f t="shared" si="45"/>
        <v>1.2099999999999973</v>
      </c>
      <c r="F153" s="1">
        <f t="shared" si="46"/>
        <v>-0.92999999999999616</v>
      </c>
      <c r="G153" s="1">
        <f t="shared" si="47"/>
        <v>1.9052759960878698</v>
      </c>
      <c r="I153">
        <v>1.9052759960878698</v>
      </c>
      <c r="Q153" s="9"/>
      <c r="R153" s="3">
        <v>26.63</v>
      </c>
      <c r="S153" s="3">
        <v>28.89</v>
      </c>
      <c r="T153" s="1">
        <f t="shared" si="55"/>
        <v>-2.2600000000000016</v>
      </c>
      <c r="U153" s="1">
        <f t="shared" si="49"/>
        <v>2.7433333333333323</v>
      </c>
      <c r="V153" s="1">
        <f t="shared" si="50"/>
        <v>-5.0033333333333339</v>
      </c>
      <c r="W153" s="1">
        <f t="shared" si="51"/>
        <v>32.074021178949536</v>
      </c>
    </row>
    <row r="154" spans="1:24" x14ac:dyDescent="0.35">
      <c r="A154" s="9" t="s">
        <v>138</v>
      </c>
      <c r="B154" s="3">
        <v>34.04</v>
      </c>
      <c r="C154" s="3">
        <v>30.14</v>
      </c>
      <c r="D154" s="1">
        <f t="shared" si="54"/>
        <v>3.8999999999999986</v>
      </c>
      <c r="E154" s="1">
        <f t="shared" si="45"/>
        <v>1.2099999999999973</v>
      </c>
      <c r="F154" s="1">
        <f t="shared" si="46"/>
        <v>2.6900000000000013</v>
      </c>
      <c r="G154" s="1">
        <f t="shared" si="47"/>
        <v>0.15496346249237319</v>
      </c>
      <c r="I154">
        <v>0.15496346249237319</v>
      </c>
      <c r="Q154" s="9" t="s">
        <v>138</v>
      </c>
      <c r="R154" s="3">
        <v>27.38</v>
      </c>
      <c r="S154" s="3">
        <v>30.14</v>
      </c>
      <c r="T154" s="1">
        <f t="shared" si="55"/>
        <v>-2.7600000000000016</v>
      </c>
      <c r="U154" s="1">
        <f t="shared" si="49"/>
        <v>2.7433333333333323</v>
      </c>
      <c r="V154" s="1">
        <f t="shared" si="50"/>
        <v>-5.5033333333333339</v>
      </c>
      <c r="W154" s="1">
        <f t="shared" si="51"/>
        <v>45.359515751112326</v>
      </c>
    </row>
    <row r="155" spans="1:24" x14ac:dyDescent="0.35">
      <c r="A155" s="9"/>
      <c r="B155" s="3">
        <v>33.65</v>
      </c>
      <c r="C155" s="3">
        <v>29.65</v>
      </c>
      <c r="D155" s="1">
        <f t="shared" si="54"/>
        <v>4</v>
      </c>
      <c r="E155" s="1">
        <f t="shared" si="45"/>
        <v>1.2099999999999973</v>
      </c>
      <c r="F155" s="1">
        <f t="shared" si="46"/>
        <v>2.7900000000000027</v>
      </c>
      <c r="G155" s="1">
        <f t="shared" si="47"/>
        <v>0.14458602298816067</v>
      </c>
      <c r="H155" s="1">
        <f>AVERAGE(G154:G156)</f>
        <v>0.15186360136441154</v>
      </c>
      <c r="I155">
        <v>0.14458602298816067</v>
      </c>
      <c r="Q155" s="9"/>
      <c r="R155" s="3">
        <v>27.47</v>
      </c>
      <c r="S155" s="3">
        <v>29.65</v>
      </c>
      <c r="T155" s="1">
        <f t="shared" si="55"/>
        <v>-2.1799999999999997</v>
      </c>
      <c r="U155" s="1">
        <f t="shared" si="49"/>
        <v>2.7433333333333323</v>
      </c>
      <c r="V155" s="1">
        <f t="shared" si="50"/>
        <v>-4.923333333333332</v>
      </c>
      <c r="W155" s="1">
        <f t="shared" si="51"/>
        <v>30.343872997583887</v>
      </c>
      <c r="X155" s="1">
        <f>AVERAGE(W154:W156)</f>
        <v>30.580133112723647</v>
      </c>
    </row>
    <row r="156" spans="1:24" x14ac:dyDescent="0.35">
      <c r="A156" s="9"/>
      <c r="B156" s="3">
        <v>32.590000000000003</v>
      </c>
      <c r="C156" s="3">
        <v>28.7</v>
      </c>
      <c r="D156" s="1">
        <f t="shared" si="54"/>
        <v>3.8900000000000041</v>
      </c>
      <c r="E156" s="1">
        <f t="shared" si="45"/>
        <v>1.2099999999999973</v>
      </c>
      <c r="F156" s="1">
        <f t="shared" si="46"/>
        <v>2.6800000000000068</v>
      </c>
      <c r="G156" s="1">
        <f t="shared" si="47"/>
        <v>0.15604131861270076</v>
      </c>
      <c r="I156">
        <v>0.15604131861270076</v>
      </c>
      <c r="Q156" s="9"/>
      <c r="R156" s="3">
        <v>27.44</v>
      </c>
      <c r="S156" s="3">
        <v>28.7</v>
      </c>
      <c r="T156" s="1">
        <f t="shared" si="55"/>
        <v>-1.259999999999998</v>
      </c>
      <c r="U156" s="1">
        <f t="shared" si="49"/>
        <v>2.7433333333333323</v>
      </c>
      <c r="V156" s="1">
        <f t="shared" si="50"/>
        <v>-4.0033333333333303</v>
      </c>
      <c r="W156" s="1">
        <f t="shared" si="51"/>
        <v>16.037010589474733</v>
      </c>
    </row>
    <row r="157" spans="1:24" x14ac:dyDescent="0.35">
      <c r="A157" s="9" t="s">
        <v>139</v>
      </c>
      <c r="B157" s="3">
        <v>32.92</v>
      </c>
      <c r="C157" s="3">
        <v>29</v>
      </c>
      <c r="D157" s="1">
        <f t="shared" si="54"/>
        <v>3.9200000000000017</v>
      </c>
      <c r="E157" s="1">
        <f t="shared" si="45"/>
        <v>1.2099999999999973</v>
      </c>
      <c r="F157" s="1">
        <f t="shared" si="46"/>
        <v>2.7100000000000044</v>
      </c>
      <c r="G157" s="1">
        <f t="shared" si="47"/>
        <v>0.15283003471150811</v>
      </c>
      <c r="I157">
        <v>0.15283003471150811</v>
      </c>
      <c r="Q157" s="9" t="s">
        <v>139</v>
      </c>
      <c r="R157" s="3">
        <v>27.07</v>
      </c>
      <c r="S157" s="3">
        <v>29</v>
      </c>
      <c r="T157" s="1">
        <f t="shared" si="55"/>
        <v>-1.9299999999999997</v>
      </c>
      <c r="U157" s="1">
        <f t="shared" si="49"/>
        <v>2.7433333333333323</v>
      </c>
      <c r="V157" s="1">
        <f t="shared" si="50"/>
        <v>-4.673333333333332</v>
      </c>
      <c r="W157" s="1">
        <f t="shared" si="51"/>
        <v>25.516054028582275</v>
      </c>
    </row>
    <row r="158" spans="1:24" x14ac:dyDescent="0.35">
      <c r="A158" s="9"/>
      <c r="B158" s="3">
        <v>31.69</v>
      </c>
      <c r="C158" s="3">
        <v>29.19</v>
      </c>
      <c r="D158" s="1">
        <f t="shared" si="54"/>
        <v>2.5</v>
      </c>
      <c r="E158" s="1">
        <f t="shared" si="45"/>
        <v>1.2099999999999973</v>
      </c>
      <c r="F158" s="1">
        <f t="shared" si="46"/>
        <v>1.2900000000000027</v>
      </c>
      <c r="G158" s="1">
        <f t="shared" si="47"/>
        <v>0.40895102927888977</v>
      </c>
      <c r="H158" s="1">
        <f>AVERAGE(G157:G159)</f>
        <v>0.34169169831186075</v>
      </c>
      <c r="I158">
        <v>0.40895102927888977</v>
      </c>
      <c r="Q158" s="9"/>
      <c r="R158" s="3">
        <v>27.53</v>
      </c>
      <c r="S158" s="3">
        <v>29.19</v>
      </c>
      <c r="T158" s="1">
        <f t="shared" si="55"/>
        <v>-1.6600000000000001</v>
      </c>
      <c r="U158" s="1">
        <f t="shared" si="49"/>
        <v>2.7433333333333323</v>
      </c>
      <c r="V158" s="1">
        <f t="shared" si="50"/>
        <v>-4.4033333333333324</v>
      </c>
      <c r="W158" s="1">
        <f t="shared" si="51"/>
        <v>21.160962337960616</v>
      </c>
      <c r="X158" s="1">
        <f>AVERAGE(W157:W159)</f>
        <v>34.303185769566852</v>
      </c>
    </row>
    <row r="159" spans="1:24" x14ac:dyDescent="0.35">
      <c r="A159" s="9"/>
      <c r="B159" s="3">
        <v>30.72</v>
      </c>
      <c r="C159" s="3">
        <v>28.4</v>
      </c>
      <c r="D159" s="1">
        <f t="shared" si="54"/>
        <v>2.3200000000000003</v>
      </c>
      <c r="E159" s="1">
        <f t="shared" si="45"/>
        <v>1.2099999999999973</v>
      </c>
      <c r="F159" s="1">
        <f t="shared" si="46"/>
        <v>1.110000000000003</v>
      </c>
      <c r="G159" s="1">
        <f t="shared" si="47"/>
        <v>0.46329403094518445</v>
      </c>
      <c r="I159">
        <v>0.46329403094518445</v>
      </c>
      <c r="Q159" s="9"/>
      <c r="R159" s="3">
        <v>25.33</v>
      </c>
      <c r="S159" s="3">
        <v>28.4</v>
      </c>
      <c r="T159" s="1">
        <f t="shared" si="55"/>
        <v>-3.0700000000000003</v>
      </c>
      <c r="U159" s="1">
        <f t="shared" si="49"/>
        <v>2.7433333333333323</v>
      </c>
      <c r="V159" s="1">
        <f t="shared" si="50"/>
        <v>-5.8133333333333326</v>
      </c>
      <c r="W159" s="1">
        <f t="shared" si="51"/>
        <v>56.232540942157662</v>
      </c>
    </row>
    <row r="161" spans="1:24" x14ac:dyDescent="0.35">
      <c r="A161" s="2"/>
      <c r="B161" s="1" t="s">
        <v>129</v>
      </c>
      <c r="C161" s="1" t="s">
        <v>115</v>
      </c>
      <c r="D161" s="1" t="s">
        <v>0</v>
      </c>
      <c r="E161" s="1" t="s">
        <v>1</v>
      </c>
      <c r="F161" s="1" t="s">
        <v>2</v>
      </c>
      <c r="G161" s="1" t="s">
        <v>3</v>
      </c>
      <c r="H161" s="1" t="s">
        <v>4</v>
      </c>
      <c r="Q161" s="2"/>
      <c r="R161" s="1" t="s">
        <v>130</v>
      </c>
      <c r="S161" s="1" t="s">
        <v>115</v>
      </c>
      <c r="T161" s="1" t="s">
        <v>0</v>
      </c>
      <c r="U161" s="1" t="s">
        <v>1</v>
      </c>
      <c r="V161" s="1" t="s">
        <v>2</v>
      </c>
      <c r="W161" s="1" t="s">
        <v>3</v>
      </c>
      <c r="X161" s="1" t="s">
        <v>4</v>
      </c>
    </row>
    <row r="162" spans="1:24" x14ac:dyDescent="0.35">
      <c r="A162" s="9" t="s">
        <v>124</v>
      </c>
      <c r="B162" s="3">
        <v>34.97</v>
      </c>
      <c r="C162" s="3">
        <v>29.49</v>
      </c>
      <c r="D162" s="1">
        <f>B162-C162</f>
        <v>5.48</v>
      </c>
      <c r="E162" s="1">
        <f>AVERAGE($B$162:$B$164)-AVERAGE($C$162:$C$164)</f>
        <v>4.9499999999999993</v>
      </c>
      <c r="F162" s="1">
        <f>D162-E162</f>
        <v>0.53000000000000114</v>
      </c>
      <c r="G162" s="1">
        <f>2^-F162</f>
        <v>0.69255473405546175</v>
      </c>
      <c r="H162" s="1"/>
      <c r="Q162" s="9" t="s">
        <v>124</v>
      </c>
      <c r="R162" s="3">
        <v>26.98</v>
      </c>
      <c r="S162" s="3">
        <v>29.49</v>
      </c>
      <c r="T162" s="1">
        <f>R162-S162</f>
        <v>-2.509999999999998</v>
      </c>
      <c r="U162" s="1">
        <f>AVERAGE($R$162:$R$164)-AVERAGE($S$162:$S$164)</f>
        <v>-2.5366666666666688</v>
      </c>
      <c r="V162" s="1">
        <f>T162-U162</f>
        <v>2.6666666666670835E-2</v>
      </c>
      <c r="W162" s="1">
        <f>2^-V162</f>
        <v>0.98168585524675167</v>
      </c>
      <c r="X162" s="1"/>
    </row>
    <row r="163" spans="1:24" x14ac:dyDescent="0.35">
      <c r="A163" s="9"/>
      <c r="B163" s="3">
        <v>33.56</v>
      </c>
      <c r="C163" s="3">
        <v>28.89</v>
      </c>
      <c r="D163" s="1">
        <f t="shared" ref="D163" si="56">B163-C163</f>
        <v>4.6700000000000017</v>
      </c>
      <c r="E163" s="1">
        <f t="shared" ref="E163:E191" si="57">AVERAGE($B$162:$B$164)-AVERAGE($C$162:$C$164)</f>
        <v>4.9499999999999993</v>
      </c>
      <c r="F163" s="1">
        <f t="shared" ref="F163:F191" si="58">D163-E163</f>
        <v>-0.27999999999999758</v>
      </c>
      <c r="G163" s="1">
        <f t="shared" ref="G163:G191" si="59">2^-F163</f>
        <v>1.2141948843950447</v>
      </c>
      <c r="H163" s="1">
        <f>AVERAGE(G162:G164)</f>
        <v>1.0319855778177425</v>
      </c>
      <c r="Q163" s="9"/>
      <c r="R163" s="3">
        <v>26.48</v>
      </c>
      <c r="S163" s="3">
        <v>28.89</v>
      </c>
      <c r="T163" s="1">
        <f t="shared" ref="T163" si="60">R163-S163</f>
        <v>-2.41</v>
      </c>
      <c r="U163" s="1">
        <f t="shared" ref="U163:U191" si="61">AVERAGE($R$162:$R$164)-AVERAGE($S$162:$S$164)</f>
        <v>-2.5366666666666688</v>
      </c>
      <c r="V163" s="1">
        <f t="shared" ref="V163:V191" si="62">T163-U163</f>
        <v>0.1266666666666687</v>
      </c>
      <c r="W163" s="1">
        <f t="shared" ref="W163:W191" si="63">2^-V163</f>
        <v>0.9159452902702474</v>
      </c>
      <c r="X163" s="1">
        <f>AVERAGE(W162:W164)</f>
        <v>1.0032557437829559</v>
      </c>
    </row>
    <row r="164" spans="1:24" x14ac:dyDescent="0.35">
      <c r="A164" s="9"/>
      <c r="B164" s="3">
        <v>34.01</v>
      </c>
      <c r="C164" s="3">
        <v>29.31</v>
      </c>
      <c r="D164" s="1">
        <f>B164-C164</f>
        <v>4.6999999999999993</v>
      </c>
      <c r="E164" s="1">
        <f t="shared" si="57"/>
        <v>4.9499999999999993</v>
      </c>
      <c r="F164" s="1">
        <f t="shared" si="58"/>
        <v>-0.25</v>
      </c>
      <c r="G164" s="1">
        <f t="shared" si="59"/>
        <v>1.189207115002721</v>
      </c>
      <c r="Q164" s="9"/>
      <c r="R164" s="3">
        <v>26.62</v>
      </c>
      <c r="S164" s="3">
        <v>29.31</v>
      </c>
      <c r="T164" s="1">
        <f>R164-S164</f>
        <v>-2.6899999999999977</v>
      </c>
      <c r="U164" s="1">
        <f t="shared" si="61"/>
        <v>-2.5366666666666688</v>
      </c>
      <c r="V164" s="1">
        <f t="shared" si="62"/>
        <v>-0.15333333333332888</v>
      </c>
      <c r="W164" s="1">
        <f t="shared" si="63"/>
        <v>1.1121360858318687</v>
      </c>
    </row>
    <row r="165" spans="1:24" x14ac:dyDescent="0.35">
      <c r="A165" s="9" t="s">
        <v>125</v>
      </c>
      <c r="B165" s="3">
        <v>33.94</v>
      </c>
      <c r="C165" s="3">
        <v>28.73</v>
      </c>
      <c r="D165" s="1">
        <f t="shared" ref="D165:D188" si="64">B165-C165</f>
        <v>5.2099999999999973</v>
      </c>
      <c r="E165" s="1">
        <f t="shared" si="57"/>
        <v>4.9499999999999993</v>
      </c>
      <c r="F165" s="1">
        <f t="shared" si="58"/>
        <v>0.25999999999999801</v>
      </c>
      <c r="G165" s="1">
        <f t="shared" si="59"/>
        <v>0.83508791942837046</v>
      </c>
      <c r="Q165" s="9" t="s">
        <v>125</v>
      </c>
      <c r="R165" s="3">
        <v>26.24</v>
      </c>
      <c r="S165" s="3">
        <v>28.73</v>
      </c>
      <c r="T165" s="1">
        <f t="shared" ref="T165:T188" si="65">R165-S165</f>
        <v>-2.490000000000002</v>
      </c>
      <c r="U165" s="1">
        <f t="shared" si="61"/>
        <v>-2.5366666666666688</v>
      </c>
      <c r="V165" s="1">
        <f t="shared" si="62"/>
        <v>4.6666666666666856E-2</v>
      </c>
      <c r="W165" s="1">
        <f t="shared" si="63"/>
        <v>0.96817069598288297</v>
      </c>
    </row>
    <row r="166" spans="1:24" x14ac:dyDescent="0.35">
      <c r="A166" s="9"/>
      <c r="B166" s="3">
        <v>34.590000000000003</v>
      </c>
      <c r="C166" s="3">
        <v>28.85</v>
      </c>
      <c r="D166" s="1">
        <f t="shared" si="64"/>
        <v>5.740000000000002</v>
      </c>
      <c r="E166" s="1">
        <f t="shared" si="57"/>
        <v>4.9499999999999993</v>
      </c>
      <c r="F166" s="1">
        <f t="shared" si="58"/>
        <v>0.7900000000000027</v>
      </c>
      <c r="G166" s="1">
        <f t="shared" si="59"/>
        <v>0.57834409195264269</v>
      </c>
      <c r="H166" s="1">
        <f>AVERAGE(G165:G167)</f>
        <v>0.62239719634653079</v>
      </c>
      <c r="Q166" s="9"/>
      <c r="R166" s="3">
        <v>26.58</v>
      </c>
      <c r="S166" s="3">
        <v>28.85</v>
      </c>
      <c r="T166" s="1">
        <f t="shared" si="65"/>
        <v>-2.2700000000000031</v>
      </c>
      <c r="U166" s="1">
        <f t="shared" si="61"/>
        <v>-2.5366666666666688</v>
      </c>
      <c r="V166" s="1">
        <f t="shared" si="62"/>
        <v>0.26666666666666572</v>
      </c>
      <c r="W166" s="1">
        <f t="shared" si="63"/>
        <v>0.8312378961427882</v>
      </c>
      <c r="X166" s="1">
        <f>AVERAGE(W165:W167)</f>
        <v>0.84952071018800313</v>
      </c>
    </row>
    <row r="167" spans="1:24" x14ac:dyDescent="0.35">
      <c r="A167" s="9"/>
      <c r="B167" s="3">
        <v>34.880000000000003</v>
      </c>
      <c r="C167" s="3">
        <v>28.79</v>
      </c>
      <c r="D167" s="1">
        <f t="shared" si="64"/>
        <v>6.0900000000000034</v>
      </c>
      <c r="E167" s="1">
        <f t="shared" si="57"/>
        <v>4.9499999999999993</v>
      </c>
      <c r="F167" s="1">
        <f t="shared" si="58"/>
        <v>1.1400000000000041</v>
      </c>
      <c r="G167" s="1">
        <f t="shared" si="59"/>
        <v>0.45375957765857916</v>
      </c>
      <c r="Q167" s="9"/>
      <c r="R167" s="3">
        <v>26.67</v>
      </c>
      <c r="S167" s="3">
        <v>28.79</v>
      </c>
      <c r="T167" s="1">
        <f t="shared" si="65"/>
        <v>-2.1199999999999974</v>
      </c>
      <c r="U167" s="1">
        <f t="shared" si="61"/>
        <v>-2.5366666666666688</v>
      </c>
      <c r="V167" s="1">
        <f t="shared" si="62"/>
        <v>0.4166666666666714</v>
      </c>
      <c r="W167" s="1">
        <f t="shared" si="63"/>
        <v>0.74915353843833821</v>
      </c>
    </row>
    <row r="168" spans="1:24" x14ac:dyDescent="0.35">
      <c r="A168" s="9" t="s">
        <v>132</v>
      </c>
      <c r="B168" s="3">
        <v>28.44</v>
      </c>
      <c r="C168" s="3">
        <v>29.49</v>
      </c>
      <c r="D168" s="1">
        <f>B168-C168</f>
        <v>-1.0499999999999972</v>
      </c>
      <c r="E168" s="1">
        <f t="shared" si="57"/>
        <v>4.9499999999999993</v>
      </c>
      <c r="F168" s="1">
        <f t="shared" si="58"/>
        <v>-5.9999999999999964</v>
      </c>
      <c r="G168" s="1">
        <f t="shared" si="59"/>
        <v>63.999999999999808</v>
      </c>
      <c r="Q168" s="9" t="s">
        <v>132</v>
      </c>
      <c r="R168" s="3">
        <v>27.72</v>
      </c>
      <c r="S168" s="3">
        <v>29.49</v>
      </c>
      <c r="T168" s="1">
        <f>R168-S168</f>
        <v>-1.7699999999999996</v>
      </c>
      <c r="U168" s="1">
        <f t="shared" si="61"/>
        <v>-2.5366666666666688</v>
      </c>
      <c r="V168" s="1">
        <f t="shared" si="62"/>
        <v>0.76666666666666927</v>
      </c>
      <c r="W168" s="1">
        <f t="shared" si="63"/>
        <v>0.58777395314180325</v>
      </c>
    </row>
    <row r="169" spans="1:24" x14ac:dyDescent="0.35">
      <c r="A169" s="9"/>
      <c r="B169" s="3">
        <v>28.64</v>
      </c>
      <c r="C169" s="3">
        <v>29.71</v>
      </c>
      <c r="D169" s="1">
        <f t="shared" ref="D169:D191" si="66">B169-C169</f>
        <v>-1.0700000000000003</v>
      </c>
      <c r="E169" s="1">
        <f t="shared" si="57"/>
        <v>4.9499999999999993</v>
      </c>
      <c r="F169" s="1">
        <f t="shared" si="58"/>
        <v>-6.02</v>
      </c>
      <c r="G169" s="1">
        <f t="shared" si="59"/>
        <v>64.893406706561819</v>
      </c>
      <c r="H169" s="1">
        <f>AVERAGE(G168:G170)</f>
        <v>66.635284306301259</v>
      </c>
      <c r="Q169" s="9"/>
      <c r="R169" s="3">
        <v>27.83</v>
      </c>
      <c r="S169" s="3">
        <v>29.71</v>
      </c>
      <c r="T169" s="1">
        <f t="shared" ref="T169:T191" si="67">R169-S169</f>
        <v>-1.8800000000000026</v>
      </c>
      <c r="U169" s="1">
        <f t="shared" si="61"/>
        <v>-2.5366666666666688</v>
      </c>
      <c r="V169" s="1">
        <f t="shared" si="62"/>
        <v>0.65666666666666629</v>
      </c>
      <c r="W169" s="1">
        <f t="shared" si="63"/>
        <v>0.63434224691246555</v>
      </c>
      <c r="X169" s="1">
        <f>AVERAGE(W168:W170)</f>
        <v>0.6787491558866563</v>
      </c>
    </row>
    <row r="170" spans="1:24" x14ac:dyDescent="0.35">
      <c r="A170" s="9"/>
      <c r="B170" s="3">
        <v>27.99</v>
      </c>
      <c r="C170" s="3">
        <v>29.19</v>
      </c>
      <c r="D170" s="1">
        <f t="shared" si="66"/>
        <v>-1.2000000000000028</v>
      </c>
      <c r="E170" s="1">
        <f t="shared" si="57"/>
        <v>4.9499999999999993</v>
      </c>
      <c r="F170" s="1">
        <f t="shared" si="58"/>
        <v>-6.1500000000000021</v>
      </c>
      <c r="G170" s="1">
        <f t="shared" si="59"/>
        <v>71.012446212342155</v>
      </c>
      <c r="Q170" s="9"/>
      <c r="R170" s="3">
        <v>26.95</v>
      </c>
      <c r="S170" s="3">
        <v>29.19</v>
      </c>
      <c r="T170" s="1">
        <f t="shared" si="67"/>
        <v>-2.240000000000002</v>
      </c>
      <c r="U170" s="1">
        <f t="shared" si="61"/>
        <v>-2.5366666666666688</v>
      </c>
      <c r="V170" s="1">
        <f t="shared" si="62"/>
        <v>0.29666666666666686</v>
      </c>
      <c r="W170" s="1">
        <f t="shared" si="63"/>
        <v>0.81413126760570009</v>
      </c>
    </row>
    <row r="171" spans="1:24" x14ac:dyDescent="0.35">
      <c r="A171" s="9" t="s">
        <v>133</v>
      </c>
      <c r="B171" s="3">
        <v>27.42</v>
      </c>
      <c r="C171" s="3">
        <v>29.11</v>
      </c>
      <c r="D171" s="1">
        <f t="shared" si="66"/>
        <v>-1.6899999999999977</v>
      </c>
      <c r="E171" s="1">
        <f t="shared" si="57"/>
        <v>4.9499999999999993</v>
      </c>
      <c r="F171" s="1">
        <f t="shared" si="58"/>
        <v>-6.639999999999997</v>
      </c>
      <c r="G171" s="1">
        <f t="shared" si="59"/>
        <v>99.733066196543788</v>
      </c>
      <c r="Q171" s="9" t="s">
        <v>133</v>
      </c>
      <c r="R171" s="3">
        <v>26.77</v>
      </c>
      <c r="S171" s="3">
        <v>29.11</v>
      </c>
      <c r="T171" s="1">
        <f t="shared" si="67"/>
        <v>-2.34</v>
      </c>
      <c r="U171" s="1">
        <f t="shared" si="61"/>
        <v>-2.5366666666666688</v>
      </c>
      <c r="V171" s="1">
        <f t="shared" si="62"/>
        <v>0.19666666666666899</v>
      </c>
      <c r="W171" s="1">
        <f t="shared" si="63"/>
        <v>0.8725642876408215</v>
      </c>
    </row>
    <row r="172" spans="1:24" x14ac:dyDescent="0.35">
      <c r="A172" s="9"/>
      <c r="B172" s="3">
        <v>27.39</v>
      </c>
      <c r="C172" s="3">
        <v>28.9</v>
      </c>
      <c r="D172" s="1">
        <f t="shared" si="66"/>
        <v>-1.509999999999998</v>
      </c>
      <c r="E172" s="1">
        <f t="shared" si="57"/>
        <v>4.9499999999999993</v>
      </c>
      <c r="F172" s="1">
        <f t="shared" si="58"/>
        <v>-6.4599999999999973</v>
      </c>
      <c r="G172" s="1">
        <f t="shared" si="59"/>
        <v>88.034676360943394</v>
      </c>
      <c r="H172" s="1">
        <f>AVERAGE(G171:G173)</f>
        <v>84.220383088016334</v>
      </c>
      <c r="Q172" s="9"/>
      <c r="R172" s="3">
        <v>26.58</v>
      </c>
      <c r="S172" s="3">
        <v>28.9</v>
      </c>
      <c r="T172" s="1">
        <f t="shared" si="67"/>
        <v>-2.3200000000000003</v>
      </c>
      <c r="U172" s="1">
        <f t="shared" si="61"/>
        <v>-2.5366666666666688</v>
      </c>
      <c r="V172" s="1">
        <f t="shared" si="62"/>
        <v>0.21666666666666856</v>
      </c>
      <c r="W172" s="1">
        <f t="shared" si="63"/>
        <v>0.86055143724432892</v>
      </c>
      <c r="X172" s="1">
        <f>AVERAGE(W171:W173)</f>
        <v>0.91882987229397461</v>
      </c>
    </row>
    <row r="173" spans="1:24" x14ac:dyDescent="0.35">
      <c r="A173" s="9"/>
      <c r="B173" s="3">
        <v>28.37</v>
      </c>
      <c r="C173" s="3">
        <v>29.44</v>
      </c>
      <c r="D173" s="1">
        <f t="shared" si="66"/>
        <v>-1.0700000000000003</v>
      </c>
      <c r="E173" s="1">
        <f t="shared" si="57"/>
        <v>4.9499999999999993</v>
      </c>
      <c r="F173" s="1">
        <f t="shared" si="58"/>
        <v>-6.02</v>
      </c>
      <c r="G173" s="1">
        <f t="shared" si="59"/>
        <v>64.893406706561819</v>
      </c>
      <c r="Q173" s="9"/>
      <c r="R173" s="3">
        <v>26.87</v>
      </c>
      <c r="S173" s="3">
        <v>29.44</v>
      </c>
      <c r="T173" s="1">
        <f t="shared" si="67"/>
        <v>-2.5700000000000003</v>
      </c>
      <c r="U173" s="1">
        <f t="shared" si="61"/>
        <v>-2.5366666666666688</v>
      </c>
      <c r="V173" s="1">
        <f t="shared" si="62"/>
        <v>-3.3333333333331439E-2</v>
      </c>
      <c r="W173" s="1">
        <f t="shared" si="63"/>
        <v>1.0233738919967736</v>
      </c>
    </row>
    <row r="174" spans="1:24" x14ac:dyDescent="0.35">
      <c r="A174" s="9" t="s">
        <v>134</v>
      </c>
      <c r="B174" s="3">
        <v>30.15</v>
      </c>
      <c r="C174" s="3">
        <v>30.18</v>
      </c>
      <c r="D174" s="1">
        <f t="shared" si="66"/>
        <v>-3.0000000000001137E-2</v>
      </c>
      <c r="E174" s="1">
        <f t="shared" si="57"/>
        <v>4.9499999999999993</v>
      </c>
      <c r="F174" s="1">
        <f t="shared" si="58"/>
        <v>-4.9800000000000004</v>
      </c>
      <c r="G174" s="1">
        <f t="shared" si="59"/>
        <v>31.559446543787505</v>
      </c>
      <c r="Q174" s="9" t="s">
        <v>134</v>
      </c>
      <c r="R174" s="3">
        <v>28.05</v>
      </c>
      <c r="S174" s="3">
        <v>30.18</v>
      </c>
      <c r="T174" s="1">
        <f t="shared" si="67"/>
        <v>-2.129999999999999</v>
      </c>
      <c r="U174" s="1">
        <f t="shared" si="61"/>
        <v>-2.5366666666666688</v>
      </c>
      <c r="V174" s="1">
        <f t="shared" si="62"/>
        <v>0.40666666666666984</v>
      </c>
      <c r="W174" s="1">
        <f t="shared" si="63"/>
        <v>0.754364313375115</v>
      </c>
    </row>
    <row r="175" spans="1:24" x14ac:dyDescent="0.35">
      <c r="A175" s="9"/>
      <c r="B175" s="3">
        <v>29.84</v>
      </c>
      <c r="C175" s="3">
        <v>30.19</v>
      </c>
      <c r="D175" s="1">
        <f t="shared" si="66"/>
        <v>-0.35000000000000142</v>
      </c>
      <c r="E175" s="1">
        <f t="shared" si="57"/>
        <v>4.9499999999999993</v>
      </c>
      <c r="F175" s="1">
        <f t="shared" si="58"/>
        <v>-5.3000000000000007</v>
      </c>
      <c r="G175" s="1">
        <f t="shared" si="59"/>
        <v>39.396621227037336</v>
      </c>
      <c r="H175" s="1">
        <f>AVERAGE(G174:G176)</f>
        <v>33.535628583772244</v>
      </c>
      <c r="Q175" s="9"/>
      <c r="R175" s="3">
        <v>27.71</v>
      </c>
      <c r="S175" s="3">
        <v>30.19</v>
      </c>
      <c r="T175" s="1">
        <f t="shared" si="67"/>
        <v>-2.4800000000000004</v>
      </c>
      <c r="U175" s="1">
        <f t="shared" si="61"/>
        <v>-2.5366666666666688</v>
      </c>
      <c r="V175" s="1">
        <f t="shared" si="62"/>
        <v>5.6666666666668419E-2</v>
      </c>
      <c r="W175" s="1">
        <f t="shared" si="63"/>
        <v>0.96148305248265187</v>
      </c>
      <c r="X175" s="1">
        <f>AVERAGE(W174:W176)</f>
        <v>0.83590539037916167</v>
      </c>
    </row>
    <row r="176" spans="1:24" x14ac:dyDescent="0.35">
      <c r="A176" s="9"/>
      <c r="B176" s="3">
        <v>29.79</v>
      </c>
      <c r="C176" s="3">
        <v>29.73</v>
      </c>
      <c r="D176" s="1">
        <f t="shared" si="66"/>
        <v>5.9999999999998721E-2</v>
      </c>
      <c r="E176" s="1">
        <f t="shared" si="57"/>
        <v>4.9499999999999993</v>
      </c>
      <c r="F176" s="1">
        <f t="shared" si="58"/>
        <v>-4.8900000000000006</v>
      </c>
      <c r="G176" s="1">
        <f t="shared" si="59"/>
        <v>29.650817980491873</v>
      </c>
      <c r="Q176" s="9"/>
      <c r="R176" s="3">
        <v>27.53</v>
      </c>
      <c r="S176" s="3">
        <v>29.73</v>
      </c>
      <c r="T176" s="1">
        <f t="shared" si="67"/>
        <v>-2.1999999999999993</v>
      </c>
      <c r="U176" s="1">
        <f t="shared" si="61"/>
        <v>-2.5366666666666688</v>
      </c>
      <c r="V176" s="1">
        <f t="shared" si="62"/>
        <v>0.33666666666666956</v>
      </c>
      <c r="W176" s="1">
        <f t="shared" si="63"/>
        <v>0.79186880527971815</v>
      </c>
    </row>
    <row r="177" spans="1:24" x14ac:dyDescent="0.35">
      <c r="A177" s="9" t="s">
        <v>135</v>
      </c>
      <c r="B177" s="3">
        <v>31.95</v>
      </c>
      <c r="C177" s="3">
        <v>29.62</v>
      </c>
      <c r="D177" s="1">
        <f t="shared" si="66"/>
        <v>2.3299999999999983</v>
      </c>
      <c r="E177" s="1">
        <f t="shared" si="57"/>
        <v>4.9499999999999993</v>
      </c>
      <c r="F177" s="1">
        <f t="shared" si="58"/>
        <v>-2.620000000000001</v>
      </c>
      <c r="G177" s="1">
        <f t="shared" si="59"/>
        <v>6.147500725152053</v>
      </c>
      <c r="Q177" s="9" t="s">
        <v>135</v>
      </c>
      <c r="R177" s="3">
        <v>27.29</v>
      </c>
      <c r="S177" s="3">
        <v>29.62</v>
      </c>
      <c r="T177" s="1">
        <f t="shared" si="67"/>
        <v>-2.3300000000000018</v>
      </c>
      <c r="U177" s="1">
        <f t="shared" si="61"/>
        <v>-2.5366666666666688</v>
      </c>
      <c r="V177" s="1">
        <f t="shared" si="62"/>
        <v>0.206666666666667</v>
      </c>
      <c r="W177" s="1">
        <f t="shared" si="63"/>
        <v>0.86653704584246416</v>
      </c>
    </row>
    <row r="178" spans="1:24" x14ac:dyDescent="0.35">
      <c r="A178" s="9"/>
      <c r="B178" s="3">
        <v>31.37</v>
      </c>
      <c r="C178" s="3">
        <v>30.11</v>
      </c>
      <c r="D178" s="1">
        <f t="shared" si="66"/>
        <v>1.2600000000000016</v>
      </c>
      <c r="E178" s="1">
        <f t="shared" si="57"/>
        <v>4.9499999999999993</v>
      </c>
      <c r="F178" s="1">
        <f t="shared" si="58"/>
        <v>-3.6899999999999977</v>
      </c>
      <c r="G178" s="1">
        <f t="shared" si="59"/>
        <v>12.906268147553998</v>
      </c>
      <c r="H178" s="1">
        <f>AVERAGE(G177:G179)</f>
        <v>11.538749343767543</v>
      </c>
      <c r="Q178" s="9"/>
      <c r="R178" s="3">
        <v>27.2</v>
      </c>
      <c r="S178" s="3">
        <v>30.11</v>
      </c>
      <c r="T178" s="1">
        <f t="shared" si="67"/>
        <v>-2.91</v>
      </c>
      <c r="U178" s="1">
        <f t="shared" si="61"/>
        <v>-2.5366666666666688</v>
      </c>
      <c r="V178" s="1">
        <f t="shared" si="62"/>
        <v>-0.3733333333333313</v>
      </c>
      <c r="W178" s="1">
        <f t="shared" si="63"/>
        <v>1.2953422518919451</v>
      </c>
      <c r="X178" s="1">
        <f>AVERAGE(W177:W179)</f>
        <v>1.0238325639108963</v>
      </c>
    </row>
    <row r="179" spans="1:24" x14ac:dyDescent="0.35">
      <c r="A179" s="9"/>
      <c r="B179" s="3">
        <v>31.06</v>
      </c>
      <c r="C179" s="3">
        <v>30.07</v>
      </c>
      <c r="D179" s="1">
        <f t="shared" si="66"/>
        <v>0.98999999999999844</v>
      </c>
      <c r="E179" s="1">
        <f t="shared" si="57"/>
        <v>4.9499999999999993</v>
      </c>
      <c r="F179" s="1">
        <f t="shared" si="58"/>
        <v>-3.9600000000000009</v>
      </c>
      <c r="G179" s="1">
        <f t="shared" si="59"/>
        <v>15.562479158596577</v>
      </c>
      <c r="Q179" s="9"/>
      <c r="R179" s="3">
        <v>27.67</v>
      </c>
      <c r="S179" s="3">
        <v>30.07</v>
      </c>
      <c r="T179" s="1">
        <f t="shared" si="67"/>
        <v>-2.3999999999999986</v>
      </c>
      <c r="U179" s="1">
        <f t="shared" si="61"/>
        <v>-2.5366666666666688</v>
      </c>
      <c r="V179" s="1">
        <f t="shared" si="62"/>
        <v>0.13666666666667027</v>
      </c>
      <c r="W179" s="1">
        <f t="shared" si="63"/>
        <v>0.90961839399827915</v>
      </c>
    </row>
    <row r="180" spans="1:24" x14ac:dyDescent="0.35">
      <c r="A180" s="9" t="s">
        <v>136</v>
      </c>
      <c r="B180" s="3">
        <v>30.89</v>
      </c>
      <c r="C180" s="3">
        <v>28.94</v>
      </c>
      <c r="D180" s="1">
        <f t="shared" si="66"/>
        <v>1.9499999999999993</v>
      </c>
      <c r="E180" s="1">
        <f t="shared" si="57"/>
        <v>4.9499999999999993</v>
      </c>
      <c r="F180" s="1">
        <f t="shared" si="58"/>
        <v>-3</v>
      </c>
      <c r="G180" s="1">
        <f t="shared" si="59"/>
        <v>8</v>
      </c>
      <c r="Q180" s="9" t="s">
        <v>136</v>
      </c>
      <c r="R180" s="3">
        <v>28.74</v>
      </c>
      <c r="S180" s="3">
        <v>28.94</v>
      </c>
      <c r="T180" s="1">
        <f t="shared" si="67"/>
        <v>-0.20000000000000284</v>
      </c>
      <c r="U180" s="1">
        <f t="shared" si="61"/>
        <v>-2.5366666666666688</v>
      </c>
      <c r="V180" s="1">
        <f t="shared" si="62"/>
        <v>2.336666666666666</v>
      </c>
      <c r="W180" s="1">
        <f t="shared" si="63"/>
        <v>0.19796720131993001</v>
      </c>
    </row>
    <row r="181" spans="1:24" x14ac:dyDescent="0.35">
      <c r="A181" s="9"/>
      <c r="B181" s="3">
        <v>30.71</v>
      </c>
      <c r="C181" s="3">
        <v>29.48</v>
      </c>
      <c r="D181" s="1">
        <f t="shared" si="66"/>
        <v>1.2300000000000004</v>
      </c>
      <c r="E181" s="1">
        <f t="shared" si="57"/>
        <v>4.9499999999999993</v>
      </c>
      <c r="F181" s="1">
        <f t="shared" si="58"/>
        <v>-3.7199999999999989</v>
      </c>
      <c r="G181" s="1">
        <f t="shared" si="59"/>
        <v>13.177456276281157</v>
      </c>
      <c r="H181" s="1">
        <f>AVERAGE(G180:G182)</f>
        <v>10.553534502382689</v>
      </c>
      <c r="Q181" s="9"/>
      <c r="R181" s="3">
        <v>28.46</v>
      </c>
      <c r="S181" s="3">
        <v>29.48</v>
      </c>
      <c r="T181" s="1">
        <f t="shared" si="67"/>
        <v>-1.0199999999999996</v>
      </c>
      <c r="U181" s="1">
        <f t="shared" si="61"/>
        <v>-2.5366666666666688</v>
      </c>
      <c r="V181" s="1">
        <f t="shared" si="62"/>
        <v>1.5166666666666693</v>
      </c>
      <c r="W181" s="1">
        <f t="shared" si="63"/>
        <v>0.34949248354475421</v>
      </c>
      <c r="X181" s="1">
        <f>AVERAGE(W180:W182)</f>
        <v>0.29738020070370935</v>
      </c>
    </row>
    <row r="182" spans="1:24" x14ac:dyDescent="0.35">
      <c r="A182" s="9"/>
      <c r="B182" s="3">
        <v>31.09</v>
      </c>
      <c r="C182" s="3">
        <v>29.53</v>
      </c>
      <c r="D182" s="1">
        <f t="shared" si="66"/>
        <v>1.5599999999999987</v>
      </c>
      <c r="E182" s="1">
        <f t="shared" si="57"/>
        <v>4.9499999999999993</v>
      </c>
      <c r="F182" s="1">
        <f t="shared" si="58"/>
        <v>-3.3900000000000006</v>
      </c>
      <c r="G182" s="1">
        <f t="shared" si="59"/>
        <v>10.48314723086691</v>
      </c>
      <c r="Q182" s="9"/>
      <c r="R182" s="3">
        <v>28.53</v>
      </c>
      <c r="S182" s="3">
        <v>29.53</v>
      </c>
      <c r="T182" s="1">
        <f t="shared" si="67"/>
        <v>-1</v>
      </c>
      <c r="U182" s="1">
        <f t="shared" si="61"/>
        <v>-2.5366666666666688</v>
      </c>
      <c r="V182" s="1">
        <f t="shared" si="62"/>
        <v>1.5366666666666688</v>
      </c>
      <c r="W182" s="1">
        <f t="shared" si="63"/>
        <v>0.3446809172464439</v>
      </c>
    </row>
    <row r="183" spans="1:24" x14ac:dyDescent="0.35">
      <c r="A183" s="9" t="s">
        <v>137</v>
      </c>
      <c r="B183" s="3">
        <v>30.32</v>
      </c>
      <c r="C183" s="3">
        <v>28.36</v>
      </c>
      <c r="D183" s="1">
        <f t="shared" si="66"/>
        <v>1.9600000000000009</v>
      </c>
      <c r="E183" s="1">
        <f t="shared" si="57"/>
        <v>4.9499999999999993</v>
      </c>
      <c r="F183" s="1">
        <f t="shared" si="58"/>
        <v>-2.9899999999999984</v>
      </c>
      <c r="G183" s="1">
        <f t="shared" si="59"/>
        <v>7.9447399634962768</v>
      </c>
      <c r="Q183" s="9" t="s">
        <v>137</v>
      </c>
      <c r="R183" s="3">
        <v>27.65</v>
      </c>
      <c r="S183" s="3">
        <v>28.36</v>
      </c>
      <c r="T183" s="1">
        <f t="shared" si="67"/>
        <v>-0.71000000000000085</v>
      </c>
      <c r="U183" s="1">
        <f t="shared" si="61"/>
        <v>-2.5366666666666688</v>
      </c>
      <c r="V183" s="1">
        <f t="shared" si="62"/>
        <v>1.826666666666668</v>
      </c>
      <c r="W183" s="1">
        <f t="shared" si="63"/>
        <v>0.28191523176145078</v>
      </c>
    </row>
    <row r="184" spans="1:24" x14ac:dyDescent="0.35">
      <c r="A184" s="9"/>
      <c r="B184" s="3">
        <v>31.98</v>
      </c>
      <c r="C184" s="3">
        <v>30.43</v>
      </c>
      <c r="D184" s="1">
        <f t="shared" si="66"/>
        <v>1.5500000000000007</v>
      </c>
      <c r="E184" s="1">
        <f t="shared" si="57"/>
        <v>4.9499999999999993</v>
      </c>
      <c r="F184" s="1">
        <f t="shared" si="58"/>
        <v>-3.3999999999999986</v>
      </c>
      <c r="G184" s="1">
        <f t="shared" si="59"/>
        <v>10.556063286183143</v>
      </c>
      <c r="H184" s="1">
        <f>AVERAGE(G183:G185)</f>
        <v>8.2883650399062532</v>
      </c>
      <c r="Q184" s="9"/>
      <c r="R184" s="3">
        <v>28.33</v>
      </c>
      <c r="S184" s="3">
        <v>30.43</v>
      </c>
      <c r="T184" s="1">
        <f t="shared" si="67"/>
        <v>-2.1000000000000014</v>
      </c>
      <c r="U184" s="1">
        <f t="shared" si="61"/>
        <v>-2.5366666666666688</v>
      </c>
      <c r="V184" s="1">
        <f t="shared" si="62"/>
        <v>0.43666666666666742</v>
      </c>
      <c r="W184" s="1">
        <f t="shared" si="63"/>
        <v>0.73883972029481415</v>
      </c>
      <c r="X184" s="1">
        <f>AVERAGE(W183:W185)</f>
        <v>0.44166861015797076</v>
      </c>
    </row>
    <row r="185" spans="1:24" x14ac:dyDescent="0.35">
      <c r="A185" s="9"/>
      <c r="B185" s="3">
        <v>31.17</v>
      </c>
      <c r="C185" s="3">
        <v>28.89</v>
      </c>
      <c r="D185" s="1">
        <f t="shared" si="66"/>
        <v>2.2800000000000011</v>
      </c>
      <c r="E185" s="1">
        <f t="shared" si="57"/>
        <v>4.9499999999999993</v>
      </c>
      <c r="F185" s="1">
        <f t="shared" si="58"/>
        <v>-2.6699999999999982</v>
      </c>
      <c r="G185" s="1">
        <f t="shared" si="59"/>
        <v>6.3642918700393398</v>
      </c>
      <c r="Q185" s="9"/>
      <c r="R185" s="3">
        <v>28.07</v>
      </c>
      <c r="S185" s="3">
        <v>28.89</v>
      </c>
      <c r="T185" s="1">
        <f t="shared" si="67"/>
        <v>-0.82000000000000028</v>
      </c>
      <c r="U185" s="1">
        <f t="shared" si="61"/>
        <v>-2.5366666666666688</v>
      </c>
      <c r="V185" s="1">
        <f t="shared" si="62"/>
        <v>1.7166666666666686</v>
      </c>
      <c r="W185" s="1">
        <f t="shared" si="63"/>
        <v>0.30425087841764736</v>
      </c>
    </row>
    <row r="186" spans="1:24" x14ac:dyDescent="0.35">
      <c r="A186" s="9" t="s">
        <v>138</v>
      </c>
      <c r="B186" s="3">
        <v>31.99</v>
      </c>
      <c r="C186" s="3">
        <v>30.14</v>
      </c>
      <c r="D186" s="1">
        <f t="shared" si="66"/>
        <v>1.8499999999999979</v>
      </c>
      <c r="E186" s="1">
        <f t="shared" si="57"/>
        <v>4.9499999999999993</v>
      </c>
      <c r="F186" s="1">
        <f t="shared" si="58"/>
        <v>-3.1000000000000014</v>
      </c>
      <c r="G186" s="1">
        <f t="shared" si="59"/>
        <v>8.5741877002903522</v>
      </c>
      <c r="Q186" s="9" t="s">
        <v>138</v>
      </c>
      <c r="R186" s="3">
        <v>29.05</v>
      </c>
      <c r="S186" s="3">
        <v>30.14</v>
      </c>
      <c r="T186" s="1">
        <f t="shared" si="67"/>
        <v>-1.0899999999999999</v>
      </c>
      <c r="U186" s="1">
        <f t="shared" si="61"/>
        <v>-2.5366666666666688</v>
      </c>
      <c r="V186" s="1">
        <f t="shared" si="62"/>
        <v>1.446666666666669</v>
      </c>
      <c r="W186" s="1">
        <f t="shared" si="63"/>
        <v>0.36686809077778887</v>
      </c>
    </row>
    <row r="187" spans="1:24" x14ac:dyDescent="0.35">
      <c r="A187" s="9"/>
      <c r="B187" s="3">
        <v>32.67</v>
      </c>
      <c r="C187" s="3">
        <v>29.65</v>
      </c>
      <c r="D187" s="1">
        <f t="shared" si="66"/>
        <v>3.0200000000000031</v>
      </c>
      <c r="E187" s="1">
        <f t="shared" si="57"/>
        <v>4.9499999999999993</v>
      </c>
      <c r="F187" s="1">
        <f t="shared" si="58"/>
        <v>-1.9299999999999962</v>
      </c>
      <c r="G187" s="1">
        <f t="shared" si="59"/>
        <v>3.8105519921757387</v>
      </c>
      <c r="H187" s="1">
        <f>AVERAGE(G186:G188)</f>
        <v>6.4336791809763367</v>
      </c>
      <c r="Q187" s="9"/>
      <c r="R187" s="3">
        <v>28.69</v>
      </c>
      <c r="S187" s="3">
        <v>29.65</v>
      </c>
      <c r="T187" s="1">
        <f t="shared" si="67"/>
        <v>-0.9599999999999973</v>
      </c>
      <c r="U187" s="1">
        <f t="shared" si="61"/>
        <v>-2.5366666666666688</v>
      </c>
      <c r="V187" s="1">
        <f t="shared" si="62"/>
        <v>1.5766666666666715</v>
      </c>
      <c r="W187" s="1">
        <f t="shared" si="63"/>
        <v>0.33525559943835759</v>
      </c>
      <c r="X187" s="1">
        <f>AVERAGE(W186:W188)</f>
        <v>0.32998752008871368</v>
      </c>
    </row>
    <row r="188" spans="1:24" x14ac:dyDescent="0.35">
      <c r="A188" s="9"/>
      <c r="B188" s="3">
        <v>30.86</v>
      </c>
      <c r="C188" s="3">
        <v>28.7</v>
      </c>
      <c r="D188" s="1">
        <f t="shared" si="66"/>
        <v>2.16</v>
      </c>
      <c r="E188" s="1">
        <f t="shared" si="57"/>
        <v>4.9499999999999993</v>
      </c>
      <c r="F188" s="1">
        <f t="shared" si="58"/>
        <v>-2.7899999999999991</v>
      </c>
      <c r="G188" s="1">
        <f t="shared" si="59"/>
        <v>6.9162978504629171</v>
      </c>
      <c r="Q188" s="9"/>
      <c r="R188" s="3">
        <v>27.96</v>
      </c>
      <c r="S188" s="3">
        <v>28.7</v>
      </c>
      <c r="T188" s="1">
        <f t="shared" si="67"/>
        <v>-0.73999999999999844</v>
      </c>
      <c r="U188" s="1">
        <f t="shared" si="61"/>
        <v>-2.5366666666666688</v>
      </c>
      <c r="V188" s="1">
        <f t="shared" si="62"/>
        <v>1.7966666666666704</v>
      </c>
      <c r="W188" s="1">
        <f t="shared" si="63"/>
        <v>0.28783887004999448</v>
      </c>
    </row>
    <row r="189" spans="1:24" x14ac:dyDescent="0.35">
      <c r="A189" s="9" t="s">
        <v>139</v>
      </c>
      <c r="B189" s="3">
        <v>31.46</v>
      </c>
      <c r="C189" s="3">
        <v>29</v>
      </c>
      <c r="D189" s="1">
        <f t="shared" si="66"/>
        <v>2.4600000000000009</v>
      </c>
      <c r="E189" s="1">
        <f t="shared" si="57"/>
        <v>4.9499999999999993</v>
      </c>
      <c r="F189" s="1">
        <f t="shared" si="58"/>
        <v>-2.4899999999999984</v>
      </c>
      <c r="G189" s="1">
        <f t="shared" si="59"/>
        <v>5.6177795029519819</v>
      </c>
      <c r="Q189" s="9" t="s">
        <v>139</v>
      </c>
      <c r="R189" s="3">
        <v>28.37</v>
      </c>
      <c r="S189" s="3">
        <v>29</v>
      </c>
      <c r="T189" s="1">
        <f t="shared" si="67"/>
        <v>-0.62999999999999901</v>
      </c>
      <c r="U189" s="1">
        <f t="shared" si="61"/>
        <v>-2.5366666666666688</v>
      </c>
      <c r="V189" s="1">
        <f t="shared" si="62"/>
        <v>1.9066666666666698</v>
      </c>
      <c r="W189" s="1">
        <f t="shared" si="63"/>
        <v>0.26670806073633879</v>
      </c>
    </row>
    <row r="190" spans="1:24" x14ac:dyDescent="0.35">
      <c r="A190" s="9"/>
      <c r="B190" s="3">
        <v>32.22</v>
      </c>
      <c r="C190" s="3">
        <v>29.19</v>
      </c>
      <c r="D190" s="1">
        <f t="shared" si="66"/>
        <v>3.0299999999999976</v>
      </c>
      <c r="E190" s="1">
        <f t="shared" si="57"/>
        <v>4.9499999999999993</v>
      </c>
      <c r="F190" s="1">
        <f t="shared" si="58"/>
        <v>-1.9200000000000017</v>
      </c>
      <c r="G190" s="1">
        <f t="shared" si="59"/>
        <v>3.784230586902388</v>
      </c>
      <c r="H190" s="1">
        <f>AVERAGE(G189:G191)</f>
        <v>9.5205564545857317</v>
      </c>
      <c r="Q190" s="9"/>
      <c r="R190" s="3">
        <v>28.38</v>
      </c>
      <c r="S190" s="3">
        <v>29.19</v>
      </c>
      <c r="T190" s="1">
        <f t="shared" si="67"/>
        <v>-0.81000000000000227</v>
      </c>
      <c r="U190" s="1">
        <f t="shared" si="61"/>
        <v>-2.5366666666666688</v>
      </c>
      <c r="V190" s="1">
        <f t="shared" si="62"/>
        <v>1.7266666666666666</v>
      </c>
      <c r="W190" s="1">
        <f t="shared" si="63"/>
        <v>0.30214926408669207</v>
      </c>
      <c r="X190" s="1">
        <f>AVERAGE(W189:W191)</f>
        <v>0.2766922043460826</v>
      </c>
    </row>
    <row r="191" spans="1:24" x14ac:dyDescent="0.35">
      <c r="A191" s="9"/>
      <c r="B191" s="3">
        <v>29.09</v>
      </c>
      <c r="C191" s="3">
        <v>28.4</v>
      </c>
      <c r="D191" s="1">
        <f t="shared" si="66"/>
        <v>0.69000000000000128</v>
      </c>
      <c r="E191" s="1">
        <f t="shared" si="57"/>
        <v>4.9499999999999993</v>
      </c>
      <c r="F191" s="1">
        <f t="shared" si="58"/>
        <v>-4.259999999999998</v>
      </c>
      <c r="G191" s="1">
        <f t="shared" si="59"/>
        <v>19.159659273902829</v>
      </c>
      <c r="Q191" s="9"/>
      <c r="R191" s="3">
        <v>27.8</v>
      </c>
      <c r="S191" s="3">
        <v>28.4</v>
      </c>
      <c r="T191" s="1">
        <f t="shared" si="67"/>
        <v>-0.59999999999999787</v>
      </c>
      <c r="U191" s="1">
        <f t="shared" si="61"/>
        <v>-2.5366666666666688</v>
      </c>
      <c r="V191" s="1">
        <f t="shared" si="62"/>
        <v>1.936666666666671</v>
      </c>
      <c r="W191" s="1">
        <f t="shared" si="63"/>
        <v>0.26121928821521689</v>
      </c>
    </row>
  </sheetData>
  <mergeCells count="132">
    <mergeCell ref="A145:A147"/>
    <mergeCell ref="A148:A150"/>
    <mergeCell ref="A151:A153"/>
    <mergeCell ref="A154:A156"/>
    <mergeCell ref="A157:A159"/>
    <mergeCell ref="Q130:Q132"/>
    <mergeCell ref="Q133:Q135"/>
    <mergeCell ref="Q136:Q138"/>
    <mergeCell ref="Q139:Q141"/>
    <mergeCell ref="Q142:Q144"/>
    <mergeCell ref="Q145:Q147"/>
    <mergeCell ref="Q148:Q150"/>
    <mergeCell ref="Q151:Q153"/>
    <mergeCell ref="Q154:Q156"/>
    <mergeCell ref="Q157:Q159"/>
    <mergeCell ref="Q98:Q100"/>
    <mergeCell ref="Q101:Q103"/>
    <mergeCell ref="Q104:Q106"/>
    <mergeCell ref="Q107:Q109"/>
    <mergeCell ref="Q110:Q112"/>
    <mergeCell ref="Q113:Q115"/>
    <mergeCell ref="Q116:Q118"/>
    <mergeCell ref="Q119:Q121"/>
    <mergeCell ref="Q122:Q124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Q69:Q71"/>
    <mergeCell ref="Q72:Q74"/>
    <mergeCell ref="Q75:Q77"/>
    <mergeCell ref="Q78:Q80"/>
    <mergeCell ref="Q81:Q83"/>
    <mergeCell ref="Q84:Q86"/>
    <mergeCell ref="Q87:Q89"/>
    <mergeCell ref="Q90:Q92"/>
    <mergeCell ref="Q93:Q95"/>
    <mergeCell ref="Q34:Q36"/>
    <mergeCell ref="Q37:Q39"/>
    <mergeCell ref="Q40:Q42"/>
    <mergeCell ref="Q43:Q45"/>
    <mergeCell ref="Q46:Q48"/>
    <mergeCell ref="Q49:Q51"/>
    <mergeCell ref="Q52:Q54"/>
    <mergeCell ref="Q55:Q57"/>
    <mergeCell ref="Q58:Q60"/>
    <mergeCell ref="A125:A127"/>
    <mergeCell ref="Q125:Q127"/>
    <mergeCell ref="A130:A132"/>
    <mergeCell ref="A133:A135"/>
    <mergeCell ref="A136:A138"/>
    <mergeCell ref="A139:A141"/>
    <mergeCell ref="A142:A144"/>
    <mergeCell ref="A78:A80"/>
    <mergeCell ref="A81:A83"/>
    <mergeCell ref="A84:A86"/>
    <mergeCell ref="A87:A89"/>
    <mergeCell ref="A90:A92"/>
    <mergeCell ref="A93:A95"/>
    <mergeCell ref="AD5:AF5"/>
    <mergeCell ref="AA5:AC5"/>
    <mergeCell ref="AY5:BA5"/>
    <mergeCell ref="BB5:BD5"/>
    <mergeCell ref="BE5:BG5"/>
    <mergeCell ref="BH5:BJ5"/>
    <mergeCell ref="AG5:AI5"/>
    <mergeCell ref="AJ5:AL5"/>
    <mergeCell ref="AM5:AO5"/>
    <mergeCell ref="AP5:AR5"/>
    <mergeCell ref="AS5:AU5"/>
    <mergeCell ref="AV5:AX5"/>
    <mergeCell ref="A49:A51"/>
    <mergeCell ref="A52:A54"/>
    <mergeCell ref="A55:A57"/>
    <mergeCell ref="A58:A60"/>
    <mergeCell ref="A61:A63"/>
    <mergeCell ref="Q61:Q63"/>
    <mergeCell ref="A66:A68"/>
    <mergeCell ref="Q66:Q68"/>
    <mergeCell ref="A29:A31"/>
    <mergeCell ref="Q29:Q31"/>
    <mergeCell ref="A23:A25"/>
    <mergeCell ref="A26:A28"/>
    <mergeCell ref="Q20:Q22"/>
    <mergeCell ref="Q23:Q25"/>
    <mergeCell ref="Q26:Q28"/>
    <mergeCell ref="A20:A22"/>
    <mergeCell ref="A2:A4"/>
    <mergeCell ref="Q2:Q4"/>
    <mergeCell ref="A5:A7"/>
    <mergeCell ref="Q5:Q7"/>
    <mergeCell ref="A8:A10"/>
    <mergeCell ref="A11:A13"/>
    <mergeCell ref="A14:A16"/>
    <mergeCell ref="A17:A19"/>
    <mergeCell ref="Q8:Q10"/>
    <mergeCell ref="Q11:Q13"/>
    <mergeCell ref="Q14:Q16"/>
    <mergeCell ref="Q17:Q19"/>
    <mergeCell ref="A34:A36"/>
    <mergeCell ref="A37:A39"/>
    <mergeCell ref="A40:A42"/>
    <mergeCell ref="A43:A45"/>
    <mergeCell ref="A46:A48"/>
    <mergeCell ref="A69:A71"/>
    <mergeCell ref="A72:A74"/>
    <mergeCell ref="A75:A77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Q162:Q164"/>
    <mergeCell ref="Q165:Q167"/>
    <mergeCell ref="Q168:Q170"/>
    <mergeCell ref="Q171:Q173"/>
    <mergeCell ref="Q174:Q176"/>
    <mergeCell ref="Q177:Q179"/>
    <mergeCell ref="Q180:Q182"/>
    <mergeCell ref="Q183:Q185"/>
    <mergeCell ref="Q186:Q188"/>
    <mergeCell ref="Q189:Q1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A774-1AAC-41F3-8F61-CE1D0C3B28DE}">
  <dimension ref="A1:M98"/>
  <sheetViews>
    <sheetView topLeftCell="A94" workbookViewId="0">
      <selection activeCell="F69" sqref="F69:F98"/>
    </sheetView>
  </sheetViews>
  <sheetFormatPr defaultRowHeight="14.5" x14ac:dyDescent="0.35"/>
  <sheetData>
    <row r="1" spans="1:13" x14ac:dyDescent="0.35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112</v>
      </c>
      <c r="J1" s="3" t="s">
        <v>112</v>
      </c>
      <c r="K1" s="3" t="s">
        <v>110</v>
      </c>
      <c r="L1" s="3" t="s">
        <v>110</v>
      </c>
      <c r="M1" s="3" t="s">
        <v>113</v>
      </c>
    </row>
    <row r="2" spans="1:13" x14ac:dyDescent="0.35">
      <c r="G2" s="3" t="s">
        <v>112</v>
      </c>
      <c r="I2" s="3" t="s">
        <v>4</v>
      </c>
      <c r="J2" s="3" t="s">
        <v>5</v>
      </c>
      <c r="K2" s="3" t="s">
        <v>4</v>
      </c>
      <c r="L2" s="3" t="s">
        <v>5</v>
      </c>
      <c r="M2" s="3" t="s">
        <v>116</v>
      </c>
    </row>
    <row r="3" spans="1:13" x14ac:dyDescent="0.35">
      <c r="A3" s="3" t="s">
        <v>6</v>
      </c>
      <c r="B3" s="3" t="s">
        <v>7</v>
      </c>
      <c r="C3" s="3" t="s">
        <v>8</v>
      </c>
      <c r="D3" s="3" t="s">
        <v>114</v>
      </c>
      <c r="E3" s="3">
        <v>1</v>
      </c>
      <c r="F3" s="3">
        <v>29.49</v>
      </c>
      <c r="G3" s="3" t="s">
        <v>9</v>
      </c>
      <c r="H3" s="4">
        <v>0</v>
      </c>
      <c r="I3" s="4">
        <v>0</v>
      </c>
      <c r="J3" s="4">
        <v>0</v>
      </c>
      <c r="K3" s="3">
        <v>29.16</v>
      </c>
      <c r="L3" s="3">
        <v>0.32800000000000001</v>
      </c>
      <c r="M3" s="3" t="s">
        <v>9</v>
      </c>
    </row>
    <row r="4" spans="1:13" x14ac:dyDescent="0.35">
      <c r="A4" s="3" t="s">
        <v>6</v>
      </c>
      <c r="B4" s="3" t="s">
        <v>10</v>
      </c>
      <c r="C4" s="3" t="s">
        <v>8</v>
      </c>
      <c r="D4" s="3" t="s">
        <v>114</v>
      </c>
      <c r="E4" s="3">
        <v>1</v>
      </c>
      <c r="F4" s="3">
        <v>28.89</v>
      </c>
      <c r="G4" s="3" t="s">
        <v>9</v>
      </c>
      <c r="H4" s="4">
        <v>0</v>
      </c>
      <c r="I4" s="4">
        <v>0</v>
      </c>
      <c r="J4" s="4">
        <v>0</v>
      </c>
      <c r="K4" s="3">
        <v>29.16</v>
      </c>
      <c r="L4" s="3">
        <v>0.32800000000000001</v>
      </c>
      <c r="M4" s="3" t="s">
        <v>9</v>
      </c>
    </row>
    <row r="5" spans="1:13" x14ac:dyDescent="0.35">
      <c r="A5" s="3" t="s">
        <v>6</v>
      </c>
      <c r="B5" s="3" t="s">
        <v>11</v>
      </c>
      <c r="C5" s="3" t="s">
        <v>8</v>
      </c>
      <c r="D5" s="3" t="s">
        <v>114</v>
      </c>
      <c r="E5" s="3">
        <v>1</v>
      </c>
      <c r="F5" s="3">
        <v>29.31</v>
      </c>
      <c r="G5" s="3" t="s">
        <v>9</v>
      </c>
      <c r="H5" s="4">
        <v>0</v>
      </c>
      <c r="I5" s="4">
        <v>0</v>
      </c>
      <c r="J5" s="4">
        <v>0</v>
      </c>
      <c r="K5" s="3">
        <v>29.16</v>
      </c>
      <c r="L5" s="3">
        <v>0.32800000000000001</v>
      </c>
      <c r="M5" s="3" t="s">
        <v>9</v>
      </c>
    </row>
    <row r="6" spans="1:13" x14ac:dyDescent="0.35">
      <c r="A6" s="3" t="s">
        <v>6</v>
      </c>
      <c r="B6" s="3" t="s">
        <v>12</v>
      </c>
      <c r="C6" s="3" t="s">
        <v>8</v>
      </c>
      <c r="D6" s="3" t="s">
        <v>114</v>
      </c>
      <c r="E6" s="3">
        <v>1</v>
      </c>
      <c r="F6" s="3">
        <v>28.73</v>
      </c>
      <c r="G6" s="3" t="s">
        <v>9</v>
      </c>
      <c r="H6" s="4">
        <v>0</v>
      </c>
      <c r="I6" s="4">
        <v>0</v>
      </c>
      <c r="J6" s="4">
        <v>0</v>
      </c>
      <c r="K6" s="3">
        <v>29.16</v>
      </c>
      <c r="L6" s="3">
        <v>0.32800000000000001</v>
      </c>
      <c r="M6" s="3" t="s">
        <v>9</v>
      </c>
    </row>
    <row r="7" spans="1:13" x14ac:dyDescent="0.35">
      <c r="A7" s="3" t="s">
        <v>6</v>
      </c>
      <c r="B7" s="3" t="s">
        <v>13</v>
      </c>
      <c r="C7" s="3" t="s">
        <v>8</v>
      </c>
      <c r="D7" s="3" t="s">
        <v>114</v>
      </c>
      <c r="E7" s="3">
        <v>1</v>
      </c>
      <c r="F7" s="3">
        <v>28.85</v>
      </c>
      <c r="G7" s="3" t="s">
        <v>9</v>
      </c>
      <c r="H7" s="4">
        <v>0</v>
      </c>
      <c r="I7" s="4">
        <v>0</v>
      </c>
      <c r="J7" s="4">
        <v>0</v>
      </c>
      <c r="K7" s="3">
        <v>29.16</v>
      </c>
      <c r="L7" s="3">
        <v>0.32800000000000001</v>
      </c>
      <c r="M7" s="3" t="s">
        <v>9</v>
      </c>
    </row>
    <row r="8" spans="1:13" x14ac:dyDescent="0.35">
      <c r="A8" s="3" t="s">
        <v>6</v>
      </c>
      <c r="B8" s="3" t="s">
        <v>14</v>
      </c>
      <c r="C8" s="3" t="s">
        <v>8</v>
      </c>
      <c r="D8" s="3" t="s">
        <v>114</v>
      </c>
      <c r="E8" s="3">
        <v>1</v>
      </c>
      <c r="F8" s="3">
        <v>28.79</v>
      </c>
      <c r="G8" s="3" t="s">
        <v>9</v>
      </c>
      <c r="H8" s="4">
        <v>0</v>
      </c>
      <c r="I8" s="4">
        <v>0</v>
      </c>
      <c r="J8" s="4">
        <v>0</v>
      </c>
      <c r="K8" s="3">
        <v>29.16</v>
      </c>
      <c r="L8" s="3">
        <v>0.32800000000000001</v>
      </c>
      <c r="M8" s="3" t="s">
        <v>9</v>
      </c>
    </row>
    <row r="9" spans="1:13" x14ac:dyDescent="0.35">
      <c r="A9" s="3" t="s">
        <v>6</v>
      </c>
      <c r="B9" s="3" t="s">
        <v>15</v>
      </c>
      <c r="C9" s="3" t="s">
        <v>8</v>
      </c>
      <c r="D9" s="3" t="s">
        <v>114</v>
      </c>
      <c r="E9" s="3">
        <v>1</v>
      </c>
      <c r="F9" s="3">
        <v>29.49</v>
      </c>
      <c r="G9" s="3" t="s">
        <v>9</v>
      </c>
      <c r="H9" s="4">
        <v>0</v>
      </c>
      <c r="I9" s="4">
        <v>0</v>
      </c>
      <c r="J9" s="4">
        <v>0</v>
      </c>
      <c r="K9" s="3">
        <v>29.16</v>
      </c>
      <c r="L9" s="3">
        <v>0.32800000000000001</v>
      </c>
      <c r="M9" s="3" t="s">
        <v>9</v>
      </c>
    </row>
    <row r="10" spans="1:13" x14ac:dyDescent="0.35">
      <c r="A10" s="3" t="s">
        <v>6</v>
      </c>
      <c r="B10" s="3" t="s">
        <v>16</v>
      </c>
      <c r="C10" s="3" t="s">
        <v>8</v>
      </c>
      <c r="D10" s="3" t="s">
        <v>114</v>
      </c>
      <c r="E10" s="3">
        <v>1</v>
      </c>
      <c r="F10" s="3">
        <v>29.71</v>
      </c>
      <c r="G10" s="3" t="s">
        <v>9</v>
      </c>
      <c r="H10" s="4">
        <v>0</v>
      </c>
      <c r="I10" s="4">
        <v>0</v>
      </c>
      <c r="J10" s="4">
        <v>0</v>
      </c>
      <c r="K10" s="3">
        <v>29.16</v>
      </c>
      <c r="L10" s="3">
        <v>0.32800000000000001</v>
      </c>
      <c r="M10" s="3" t="s">
        <v>9</v>
      </c>
    </row>
    <row r="11" spans="1:13" x14ac:dyDescent="0.35">
      <c r="A11" s="3" t="s">
        <v>6</v>
      </c>
      <c r="B11" s="3" t="s">
        <v>17</v>
      </c>
      <c r="C11" s="3" t="s">
        <v>8</v>
      </c>
      <c r="D11" s="3" t="s">
        <v>114</v>
      </c>
      <c r="E11" s="3">
        <v>1</v>
      </c>
      <c r="F11" s="3">
        <v>29.19</v>
      </c>
      <c r="G11" s="3" t="s">
        <v>9</v>
      </c>
      <c r="H11" s="4">
        <v>0</v>
      </c>
      <c r="I11" s="4">
        <v>0</v>
      </c>
      <c r="J11" s="4">
        <v>0</v>
      </c>
      <c r="K11" s="3">
        <v>29.16</v>
      </c>
      <c r="L11" s="3">
        <v>0.32800000000000001</v>
      </c>
      <c r="M11" s="3" t="s">
        <v>9</v>
      </c>
    </row>
    <row r="12" spans="1:13" x14ac:dyDescent="0.35">
      <c r="A12" s="3" t="s">
        <v>6</v>
      </c>
      <c r="B12" s="3" t="s">
        <v>18</v>
      </c>
      <c r="C12" s="3" t="s">
        <v>8</v>
      </c>
      <c r="D12" s="3" t="s">
        <v>114</v>
      </c>
      <c r="E12" s="3">
        <v>1</v>
      </c>
      <c r="F12" s="3">
        <v>29.11</v>
      </c>
      <c r="G12" s="3" t="s">
        <v>9</v>
      </c>
      <c r="H12" s="4">
        <v>0</v>
      </c>
      <c r="I12" s="4">
        <v>0</v>
      </c>
      <c r="J12" s="4">
        <v>0</v>
      </c>
      <c r="K12" s="3">
        <v>29.16</v>
      </c>
      <c r="L12" s="3">
        <v>0.32800000000000001</v>
      </c>
      <c r="M12" s="3" t="s">
        <v>9</v>
      </c>
    </row>
    <row r="13" spans="1:13" x14ac:dyDescent="0.35">
      <c r="A13" s="3" t="s">
        <v>6</v>
      </c>
      <c r="B13" s="3" t="s">
        <v>19</v>
      </c>
      <c r="C13" s="3" t="s">
        <v>8</v>
      </c>
      <c r="D13" s="3" t="s">
        <v>114</v>
      </c>
      <c r="E13" s="3">
        <v>1</v>
      </c>
      <c r="F13" s="3">
        <v>28.9</v>
      </c>
      <c r="G13" s="3" t="s">
        <v>9</v>
      </c>
      <c r="H13" s="4">
        <v>0</v>
      </c>
      <c r="I13" s="4">
        <v>0</v>
      </c>
      <c r="J13" s="4">
        <v>0</v>
      </c>
      <c r="K13" s="3">
        <v>29.16</v>
      </c>
      <c r="L13" s="3">
        <v>0.32800000000000001</v>
      </c>
      <c r="M13" s="3" t="s">
        <v>9</v>
      </c>
    </row>
    <row r="14" spans="1:13" x14ac:dyDescent="0.35">
      <c r="A14" s="3" t="s">
        <v>6</v>
      </c>
      <c r="B14" s="3" t="s">
        <v>20</v>
      </c>
      <c r="C14" s="3" t="s">
        <v>8</v>
      </c>
      <c r="D14" s="3" t="s">
        <v>114</v>
      </c>
      <c r="E14" s="3">
        <v>1</v>
      </c>
      <c r="F14" s="3">
        <v>29.44</v>
      </c>
      <c r="G14" s="3" t="s">
        <v>9</v>
      </c>
      <c r="H14" s="4">
        <v>0</v>
      </c>
      <c r="I14" s="4">
        <v>0</v>
      </c>
      <c r="J14" s="4">
        <v>0</v>
      </c>
      <c r="K14" s="3">
        <v>29.16</v>
      </c>
      <c r="L14" s="3">
        <v>0.32800000000000001</v>
      </c>
      <c r="M14" s="3" t="s">
        <v>9</v>
      </c>
    </row>
    <row r="15" spans="1:13" x14ac:dyDescent="0.35">
      <c r="A15" s="3" t="s">
        <v>6</v>
      </c>
      <c r="B15" s="3" t="s">
        <v>21</v>
      </c>
      <c r="C15" s="3" t="s">
        <v>8</v>
      </c>
      <c r="D15" s="3" t="s">
        <v>114</v>
      </c>
      <c r="E15" s="3">
        <v>2</v>
      </c>
      <c r="F15" s="3">
        <v>30.18</v>
      </c>
      <c r="G15" s="3" t="s">
        <v>9</v>
      </c>
      <c r="H15" s="4">
        <v>0</v>
      </c>
      <c r="I15" s="4">
        <v>0</v>
      </c>
      <c r="J15" s="4">
        <v>0</v>
      </c>
      <c r="K15" s="3">
        <v>29.63</v>
      </c>
      <c r="L15" s="3">
        <v>0.63</v>
      </c>
      <c r="M15" s="3" t="s">
        <v>9</v>
      </c>
    </row>
    <row r="16" spans="1:13" x14ac:dyDescent="0.35">
      <c r="A16" s="3" t="s">
        <v>6</v>
      </c>
      <c r="B16" s="3" t="s">
        <v>22</v>
      </c>
      <c r="C16" s="3" t="s">
        <v>8</v>
      </c>
      <c r="D16" s="3" t="s">
        <v>114</v>
      </c>
      <c r="E16" s="3">
        <v>2</v>
      </c>
      <c r="F16" s="3">
        <v>30.19</v>
      </c>
      <c r="G16" s="3" t="s">
        <v>9</v>
      </c>
      <c r="H16" s="4">
        <v>0</v>
      </c>
      <c r="I16" s="4">
        <v>0</v>
      </c>
      <c r="J16" s="4">
        <v>0</v>
      </c>
      <c r="K16" s="3">
        <v>29.63</v>
      </c>
      <c r="L16" s="3">
        <v>0.63</v>
      </c>
      <c r="M16" s="3" t="s">
        <v>9</v>
      </c>
    </row>
    <row r="17" spans="1:13" x14ac:dyDescent="0.35">
      <c r="A17" s="3" t="s">
        <v>6</v>
      </c>
      <c r="B17" s="3" t="s">
        <v>23</v>
      </c>
      <c r="C17" s="3" t="s">
        <v>8</v>
      </c>
      <c r="D17" s="3" t="s">
        <v>114</v>
      </c>
      <c r="E17" s="3">
        <v>2</v>
      </c>
      <c r="F17" s="3">
        <v>29.73</v>
      </c>
      <c r="G17" s="3" t="s">
        <v>9</v>
      </c>
      <c r="H17" s="4">
        <v>0</v>
      </c>
      <c r="I17" s="4">
        <v>0</v>
      </c>
      <c r="J17" s="4">
        <v>0</v>
      </c>
      <c r="K17" s="3">
        <v>29.63</v>
      </c>
      <c r="L17" s="3">
        <v>0.63</v>
      </c>
      <c r="M17" s="3" t="s">
        <v>9</v>
      </c>
    </row>
    <row r="18" spans="1:13" x14ac:dyDescent="0.35">
      <c r="A18" s="3" t="s">
        <v>6</v>
      </c>
      <c r="B18" s="3" t="s">
        <v>24</v>
      </c>
      <c r="C18" s="3" t="s">
        <v>8</v>
      </c>
      <c r="D18" s="3" t="s">
        <v>114</v>
      </c>
      <c r="E18" s="3">
        <v>2</v>
      </c>
      <c r="F18" s="3">
        <v>29.62</v>
      </c>
      <c r="G18" s="3" t="s">
        <v>9</v>
      </c>
      <c r="H18" s="4">
        <v>0</v>
      </c>
      <c r="I18" s="4">
        <v>0</v>
      </c>
      <c r="J18" s="4">
        <v>0</v>
      </c>
      <c r="K18" s="3">
        <v>29.63</v>
      </c>
      <c r="L18" s="3">
        <v>0.63</v>
      </c>
      <c r="M18" s="3" t="s">
        <v>9</v>
      </c>
    </row>
    <row r="19" spans="1:13" x14ac:dyDescent="0.35">
      <c r="A19" s="3" t="s">
        <v>6</v>
      </c>
      <c r="B19" s="3" t="s">
        <v>25</v>
      </c>
      <c r="C19" s="3" t="s">
        <v>8</v>
      </c>
      <c r="D19" s="3" t="s">
        <v>114</v>
      </c>
      <c r="E19" s="3">
        <v>2</v>
      </c>
      <c r="F19" s="3">
        <v>30.11</v>
      </c>
      <c r="G19" s="3" t="s">
        <v>9</v>
      </c>
      <c r="H19" s="4">
        <v>0</v>
      </c>
      <c r="I19" s="4">
        <v>0</v>
      </c>
      <c r="J19" s="4">
        <v>0</v>
      </c>
      <c r="K19" s="3">
        <v>29.63</v>
      </c>
      <c r="L19" s="3">
        <v>0.63</v>
      </c>
      <c r="M19" s="3" t="s">
        <v>9</v>
      </c>
    </row>
    <row r="20" spans="1:13" x14ac:dyDescent="0.35">
      <c r="A20" s="3" t="s">
        <v>6</v>
      </c>
      <c r="B20" s="3" t="s">
        <v>26</v>
      </c>
      <c r="C20" s="3" t="s">
        <v>8</v>
      </c>
      <c r="D20" s="3" t="s">
        <v>114</v>
      </c>
      <c r="E20" s="3">
        <v>2</v>
      </c>
      <c r="F20" s="3">
        <v>30.07</v>
      </c>
      <c r="G20" s="3" t="s">
        <v>9</v>
      </c>
      <c r="H20" s="4">
        <v>0</v>
      </c>
      <c r="I20" s="4">
        <v>0</v>
      </c>
      <c r="J20" s="4">
        <v>0</v>
      </c>
      <c r="K20" s="3">
        <v>29.63</v>
      </c>
      <c r="L20" s="3">
        <v>0.63</v>
      </c>
      <c r="M20" s="3" t="s">
        <v>9</v>
      </c>
    </row>
    <row r="21" spans="1:13" x14ac:dyDescent="0.35">
      <c r="A21" s="3" t="s">
        <v>6</v>
      </c>
      <c r="B21" s="3" t="s">
        <v>27</v>
      </c>
      <c r="C21" s="3" t="s">
        <v>8</v>
      </c>
      <c r="D21" s="3" t="s">
        <v>114</v>
      </c>
      <c r="E21" s="3">
        <v>2</v>
      </c>
      <c r="F21" s="3">
        <v>28.94</v>
      </c>
      <c r="G21" s="3" t="s">
        <v>9</v>
      </c>
      <c r="H21" s="4">
        <v>0</v>
      </c>
      <c r="I21" s="4">
        <v>0</v>
      </c>
      <c r="J21" s="4">
        <v>0</v>
      </c>
      <c r="K21" s="3">
        <v>29.63</v>
      </c>
      <c r="L21" s="3">
        <v>0.63</v>
      </c>
      <c r="M21" s="3" t="s">
        <v>9</v>
      </c>
    </row>
    <row r="22" spans="1:13" x14ac:dyDescent="0.35">
      <c r="A22" s="3" t="s">
        <v>6</v>
      </c>
      <c r="B22" s="3" t="s">
        <v>28</v>
      </c>
      <c r="C22" s="3" t="s">
        <v>8</v>
      </c>
      <c r="D22" s="3" t="s">
        <v>114</v>
      </c>
      <c r="E22" s="3">
        <v>2</v>
      </c>
      <c r="F22" s="3">
        <v>29.48</v>
      </c>
      <c r="G22" s="3" t="s">
        <v>9</v>
      </c>
      <c r="H22" s="4">
        <v>0</v>
      </c>
      <c r="I22" s="4">
        <v>0</v>
      </c>
      <c r="J22" s="4">
        <v>0</v>
      </c>
      <c r="K22" s="3">
        <v>29.63</v>
      </c>
      <c r="L22" s="3">
        <v>0.63</v>
      </c>
      <c r="M22" s="3" t="s">
        <v>9</v>
      </c>
    </row>
    <row r="23" spans="1:13" x14ac:dyDescent="0.35">
      <c r="A23" s="3" t="s">
        <v>6</v>
      </c>
      <c r="B23" s="3" t="s">
        <v>29</v>
      </c>
      <c r="C23" s="3" t="s">
        <v>8</v>
      </c>
      <c r="D23" s="3" t="s">
        <v>114</v>
      </c>
      <c r="E23" s="3">
        <v>2</v>
      </c>
      <c r="F23" s="3">
        <v>29.53</v>
      </c>
      <c r="G23" s="3" t="s">
        <v>9</v>
      </c>
      <c r="H23" s="4">
        <v>0</v>
      </c>
      <c r="I23" s="4">
        <v>0</v>
      </c>
      <c r="J23" s="4">
        <v>0</v>
      </c>
      <c r="K23" s="3">
        <v>29.63</v>
      </c>
      <c r="L23" s="3">
        <v>0.63</v>
      </c>
      <c r="M23" s="3" t="s">
        <v>9</v>
      </c>
    </row>
    <row r="24" spans="1:13" x14ac:dyDescent="0.35">
      <c r="A24" s="3" t="s">
        <v>6</v>
      </c>
      <c r="B24" s="3" t="s">
        <v>30</v>
      </c>
      <c r="C24" s="3" t="s">
        <v>8</v>
      </c>
      <c r="D24" s="3" t="s">
        <v>114</v>
      </c>
      <c r="E24" s="3">
        <v>2</v>
      </c>
      <c r="F24" s="3">
        <v>28.36</v>
      </c>
      <c r="G24" s="3" t="s">
        <v>9</v>
      </c>
      <c r="H24" s="4">
        <v>0</v>
      </c>
      <c r="I24" s="4">
        <v>0</v>
      </c>
      <c r="J24" s="4">
        <v>0</v>
      </c>
      <c r="K24" s="3">
        <v>29.63</v>
      </c>
      <c r="L24" s="3">
        <v>0.63</v>
      </c>
      <c r="M24" s="3" t="s">
        <v>9</v>
      </c>
    </row>
    <row r="25" spans="1:13" x14ac:dyDescent="0.35">
      <c r="A25" s="3" t="s">
        <v>6</v>
      </c>
      <c r="B25" s="3" t="s">
        <v>31</v>
      </c>
      <c r="C25" s="3" t="s">
        <v>8</v>
      </c>
      <c r="D25" s="3" t="s">
        <v>114</v>
      </c>
      <c r="E25" s="3">
        <v>2</v>
      </c>
      <c r="F25" s="3">
        <v>30.43</v>
      </c>
      <c r="G25" s="3" t="s">
        <v>9</v>
      </c>
      <c r="H25" s="4">
        <v>0</v>
      </c>
      <c r="I25" s="4">
        <v>0</v>
      </c>
      <c r="J25" s="4">
        <v>0</v>
      </c>
      <c r="K25" s="3">
        <v>29.63</v>
      </c>
      <c r="L25" s="3">
        <v>0.63</v>
      </c>
      <c r="M25" s="3" t="s">
        <v>9</v>
      </c>
    </row>
    <row r="26" spans="1:13" x14ac:dyDescent="0.35">
      <c r="A26" s="3" t="s">
        <v>6</v>
      </c>
      <c r="B26" s="3" t="s">
        <v>32</v>
      </c>
      <c r="C26" s="3" t="s">
        <v>8</v>
      </c>
      <c r="D26" s="3" t="s">
        <v>114</v>
      </c>
      <c r="E26" s="3">
        <v>2</v>
      </c>
      <c r="F26" s="3">
        <v>28.89</v>
      </c>
      <c r="G26" s="3" t="s">
        <v>9</v>
      </c>
      <c r="H26" s="4">
        <v>0</v>
      </c>
      <c r="I26" s="4">
        <v>0</v>
      </c>
      <c r="J26" s="4">
        <v>0</v>
      </c>
      <c r="K26" s="3">
        <v>29.63</v>
      </c>
      <c r="L26" s="3">
        <v>0.63</v>
      </c>
      <c r="M26" s="3" t="s">
        <v>9</v>
      </c>
    </row>
    <row r="27" spans="1:13" x14ac:dyDescent="0.35">
      <c r="A27" s="3" t="s">
        <v>6</v>
      </c>
      <c r="B27" s="3" t="s">
        <v>33</v>
      </c>
      <c r="C27" s="3" t="s">
        <v>8</v>
      </c>
      <c r="D27" s="3" t="s">
        <v>114</v>
      </c>
      <c r="E27" s="3">
        <v>3</v>
      </c>
      <c r="F27" s="3">
        <v>30.14</v>
      </c>
      <c r="G27" s="3" t="s">
        <v>9</v>
      </c>
      <c r="H27" s="4">
        <v>0</v>
      </c>
      <c r="I27" s="4">
        <v>0</v>
      </c>
      <c r="J27" s="4">
        <v>0</v>
      </c>
      <c r="K27" s="3">
        <v>29.18</v>
      </c>
      <c r="L27" s="3">
        <v>0.63300000000000001</v>
      </c>
      <c r="M27" s="3" t="s">
        <v>9</v>
      </c>
    </row>
    <row r="28" spans="1:13" x14ac:dyDescent="0.35">
      <c r="A28" s="3" t="s">
        <v>6</v>
      </c>
      <c r="B28" s="3" t="s">
        <v>34</v>
      </c>
      <c r="C28" s="3" t="s">
        <v>8</v>
      </c>
      <c r="D28" s="3" t="s">
        <v>114</v>
      </c>
      <c r="E28" s="3">
        <v>3</v>
      </c>
      <c r="F28" s="3">
        <v>29.65</v>
      </c>
      <c r="G28" s="3" t="s">
        <v>9</v>
      </c>
      <c r="H28" s="4">
        <v>0</v>
      </c>
      <c r="I28" s="4">
        <v>0</v>
      </c>
      <c r="J28" s="4">
        <v>0</v>
      </c>
      <c r="K28" s="3">
        <v>29.18</v>
      </c>
      <c r="L28" s="3">
        <v>0.63300000000000001</v>
      </c>
      <c r="M28" s="3" t="s">
        <v>9</v>
      </c>
    </row>
    <row r="29" spans="1:13" x14ac:dyDescent="0.35">
      <c r="A29" s="3" t="s">
        <v>6</v>
      </c>
      <c r="B29" s="3" t="s">
        <v>35</v>
      </c>
      <c r="C29" s="3" t="s">
        <v>8</v>
      </c>
      <c r="D29" s="3" t="s">
        <v>114</v>
      </c>
      <c r="E29" s="3">
        <v>3</v>
      </c>
      <c r="F29" s="3">
        <v>28.7</v>
      </c>
      <c r="G29" s="3" t="s">
        <v>9</v>
      </c>
      <c r="H29" s="4">
        <v>0</v>
      </c>
      <c r="I29" s="4">
        <v>0</v>
      </c>
      <c r="J29" s="4">
        <v>0</v>
      </c>
      <c r="K29" s="3">
        <v>29.18</v>
      </c>
      <c r="L29" s="3">
        <v>0.63300000000000001</v>
      </c>
      <c r="M29" s="3" t="s">
        <v>9</v>
      </c>
    </row>
    <row r="30" spans="1:13" x14ac:dyDescent="0.35">
      <c r="A30" s="3" t="s">
        <v>6</v>
      </c>
      <c r="B30" s="3" t="s">
        <v>36</v>
      </c>
      <c r="C30" s="3" t="s">
        <v>8</v>
      </c>
      <c r="D30" s="3" t="s">
        <v>114</v>
      </c>
      <c r="E30" s="3">
        <v>3</v>
      </c>
      <c r="F30" s="3">
        <v>29</v>
      </c>
      <c r="G30" s="3" t="s">
        <v>9</v>
      </c>
      <c r="H30" s="4">
        <v>0</v>
      </c>
      <c r="I30" s="4">
        <v>0</v>
      </c>
      <c r="J30" s="4">
        <v>0</v>
      </c>
      <c r="K30" s="3">
        <v>29.18</v>
      </c>
      <c r="L30" s="3">
        <v>0.63300000000000001</v>
      </c>
      <c r="M30" s="3" t="s">
        <v>9</v>
      </c>
    </row>
    <row r="31" spans="1:13" x14ac:dyDescent="0.35">
      <c r="A31" s="3" t="s">
        <v>6</v>
      </c>
      <c r="B31" s="3" t="s">
        <v>37</v>
      </c>
      <c r="C31" s="3" t="s">
        <v>8</v>
      </c>
      <c r="D31" s="3" t="s">
        <v>114</v>
      </c>
      <c r="E31" s="3">
        <v>3</v>
      </c>
      <c r="F31" s="3">
        <v>29.19</v>
      </c>
      <c r="G31" s="3" t="s">
        <v>9</v>
      </c>
      <c r="H31" s="4">
        <v>0</v>
      </c>
      <c r="I31" s="4">
        <v>0</v>
      </c>
      <c r="J31" s="4">
        <v>0</v>
      </c>
      <c r="K31" s="3">
        <v>29.18</v>
      </c>
      <c r="L31" s="3">
        <v>0.63300000000000001</v>
      </c>
      <c r="M31" s="3" t="s">
        <v>9</v>
      </c>
    </row>
    <row r="32" spans="1:13" x14ac:dyDescent="0.35">
      <c r="A32" s="3" t="s">
        <v>6</v>
      </c>
      <c r="B32" s="3" t="s">
        <v>38</v>
      </c>
      <c r="C32" s="3" t="s">
        <v>8</v>
      </c>
      <c r="D32" s="3" t="s">
        <v>114</v>
      </c>
      <c r="E32" s="3">
        <v>3</v>
      </c>
      <c r="F32" s="3">
        <v>28.4</v>
      </c>
      <c r="G32" s="3" t="s">
        <v>9</v>
      </c>
      <c r="H32" s="4">
        <v>0</v>
      </c>
      <c r="I32" s="4">
        <v>0</v>
      </c>
      <c r="J32" s="4">
        <v>0</v>
      </c>
      <c r="K32" s="3">
        <v>29.18</v>
      </c>
      <c r="L32" s="3">
        <v>0.63300000000000001</v>
      </c>
      <c r="M32" s="3" t="s">
        <v>9</v>
      </c>
    </row>
    <row r="33" spans="1:13" x14ac:dyDescent="0.35">
      <c r="A33" s="3" t="s">
        <v>6</v>
      </c>
      <c r="B33" s="3" t="s">
        <v>39</v>
      </c>
      <c r="C33" s="3" t="s">
        <v>8</v>
      </c>
      <c r="D33" s="3" t="s">
        <v>114</v>
      </c>
      <c r="E33" s="3">
        <v>3</v>
      </c>
      <c r="F33" s="3" t="s">
        <v>9</v>
      </c>
      <c r="G33" s="3" t="s">
        <v>9</v>
      </c>
      <c r="H33" s="4">
        <v>0</v>
      </c>
      <c r="I33" s="4">
        <v>0</v>
      </c>
      <c r="J33" s="4">
        <v>0</v>
      </c>
      <c r="K33" s="3">
        <v>0</v>
      </c>
      <c r="L33" s="3">
        <v>0</v>
      </c>
      <c r="M33" s="3" t="s">
        <v>9</v>
      </c>
    </row>
    <row r="34" spans="1:13" x14ac:dyDescent="0.35">
      <c r="A34" s="3" t="s">
        <v>6</v>
      </c>
      <c r="B34" s="3" t="s">
        <v>40</v>
      </c>
      <c r="C34" s="3" t="s">
        <v>8</v>
      </c>
      <c r="D34" s="3" t="s">
        <v>114</v>
      </c>
      <c r="E34" s="3">
        <v>3</v>
      </c>
      <c r="F34" s="3" t="s">
        <v>9</v>
      </c>
      <c r="G34" s="3" t="s">
        <v>9</v>
      </c>
      <c r="H34" s="4">
        <v>0</v>
      </c>
      <c r="I34" s="4">
        <v>0</v>
      </c>
      <c r="J34" s="4">
        <v>0</v>
      </c>
      <c r="K34" s="3">
        <v>0</v>
      </c>
      <c r="L34" s="3">
        <v>0</v>
      </c>
      <c r="M34" s="3" t="s">
        <v>9</v>
      </c>
    </row>
    <row r="35" spans="1:13" x14ac:dyDescent="0.35">
      <c r="A35" s="3" t="s">
        <v>6</v>
      </c>
      <c r="B35" s="3" t="s">
        <v>41</v>
      </c>
      <c r="C35" s="3" t="s">
        <v>8</v>
      </c>
      <c r="D35" s="3" t="s">
        <v>114</v>
      </c>
      <c r="E35" s="3">
        <v>3</v>
      </c>
      <c r="F35" s="3" t="s">
        <v>9</v>
      </c>
      <c r="G35" s="3" t="s">
        <v>9</v>
      </c>
      <c r="H35" s="4">
        <v>0</v>
      </c>
      <c r="I35" s="4">
        <v>0</v>
      </c>
      <c r="J35" s="4">
        <v>0</v>
      </c>
      <c r="K35" s="3">
        <v>0</v>
      </c>
      <c r="L35" s="3">
        <v>0</v>
      </c>
      <c r="M35" s="3" t="s">
        <v>9</v>
      </c>
    </row>
    <row r="36" spans="1:13" x14ac:dyDescent="0.35">
      <c r="A36" s="3" t="s">
        <v>6</v>
      </c>
      <c r="B36" s="3" t="s">
        <v>42</v>
      </c>
      <c r="C36" s="3" t="s">
        <v>8</v>
      </c>
      <c r="D36" s="3" t="s">
        <v>114</v>
      </c>
      <c r="E36" s="3">
        <v>3</v>
      </c>
      <c r="F36" s="3" t="s">
        <v>9</v>
      </c>
      <c r="G36" s="3" t="s">
        <v>9</v>
      </c>
      <c r="H36" s="4">
        <v>0</v>
      </c>
      <c r="I36" s="4">
        <v>0</v>
      </c>
      <c r="J36" s="4">
        <v>0</v>
      </c>
      <c r="K36" s="3">
        <v>0</v>
      </c>
      <c r="L36" s="3">
        <v>0</v>
      </c>
      <c r="M36" s="3" t="s">
        <v>9</v>
      </c>
    </row>
    <row r="37" spans="1:13" x14ac:dyDescent="0.35">
      <c r="A37" s="3" t="s">
        <v>6</v>
      </c>
      <c r="B37" s="3" t="s">
        <v>43</v>
      </c>
      <c r="C37" s="3" t="s">
        <v>8</v>
      </c>
      <c r="D37" s="3" t="s">
        <v>114</v>
      </c>
      <c r="E37" s="3">
        <v>3</v>
      </c>
      <c r="F37" s="3" t="s">
        <v>9</v>
      </c>
      <c r="G37" s="3" t="s">
        <v>9</v>
      </c>
      <c r="H37" s="4">
        <v>0</v>
      </c>
      <c r="I37" s="4">
        <v>0</v>
      </c>
      <c r="J37" s="4">
        <v>0</v>
      </c>
      <c r="K37" s="3">
        <v>0</v>
      </c>
      <c r="L37" s="3">
        <v>0</v>
      </c>
      <c r="M37" s="3" t="s">
        <v>9</v>
      </c>
    </row>
    <row r="38" spans="1:13" x14ac:dyDescent="0.35">
      <c r="A38" s="3" t="s">
        <v>6</v>
      </c>
      <c r="B38" s="3" t="s">
        <v>44</v>
      </c>
      <c r="C38" s="3" t="s">
        <v>8</v>
      </c>
      <c r="D38" s="3" t="s">
        <v>114</v>
      </c>
      <c r="E38" s="3">
        <v>3</v>
      </c>
      <c r="F38" s="3" t="s">
        <v>9</v>
      </c>
      <c r="G38" s="3" t="s">
        <v>9</v>
      </c>
      <c r="H38" s="4">
        <v>0</v>
      </c>
      <c r="I38" s="4">
        <v>0</v>
      </c>
      <c r="J38" s="4">
        <v>0</v>
      </c>
      <c r="K38" s="3">
        <v>0</v>
      </c>
      <c r="L38" s="3">
        <v>0</v>
      </c>
      <c r="M38" s="3" t="s">
        <v>9</v>
      </c>
    </row>
    <row r="39" spans="1:13" x14ac:dyDescent="0.35">
      <c r="A39" s="3" t="s">
        <v>6</v>
      </c>
      <c r="B39" s="3" t="s">
        <v>45</v>
      </c>
      <c r="C39" s="3" t="s">
        <v>8</v>
      </c>
      <c r="D39" s="3" t="s">
        <v>114</v>
      </c>
      <c r="E39" s="3">
        <v>4</v>
      </c>
      <c r="F39" s="3">
        <v>30.99</v>
      </c>
      <c r="G39" s="3" t="s">
        <v>9</v>
      </c>
      <c r="H39" s="4">
        <v>0</v>
      </c>
      <c r="I39" s="4">
        <v>0</v>
      </c>
      <c r="J39" s="4">
        <v>0</v>
      </c>
      <c r="K39" s="3">
        <v>28.82</v>
      </c>
      <c r="L39" s="3">
        <v>1.746</v>
      </c>
      <c r="M39" s="3" t="s">
        <v>9</v>
      </c>
    </row>
    <row r="40" spans="1:13" x14ac:dyDescent="0.35">
      <c r="A40" s="3" t="s">
        <v>6</v>
      </c>
      <c r="B40" s="3" t="s">
        <v>46</v>
      </c>
      <c r="C40" s="3" t="s">
        <v>8</v>
      </c>
      <c r="D40" s="3" t="s">
        <v>114</v>
      </c>
      <c r="E40" s="3">
        <v>4</v>
      </c>
      <c r="F40" s="3">
        <v>30.45</v>
      </c>
      <c r="G40" s="3" t="s">
        <v>9</v>
      </c>
      <c r="H40" s="4">
        <v>0</v>
      </c>
      <c r="I40" s="4">
        <v>0</v>
      </c>
      <c r="J40" s="4">
        <v>0</v>
      </c>
      <c r="K40" s="3">
        <v>28.82</v>
      </c>
      <c r="L40" s="3">
        <v>1.746</v>
      </c>
      <c r="M40" s="3" t="s">
        <v>9</v>
      </c>
    </row>
    <row r="41" spans="1:13" x14ac:dyDescent="0.35">
      <c r="A41" s="3" t="s">
        <v>6</v>
      </c>
      <c r="B41" s="3" t="s">
        <v>47</v>
      </c>
      <c r="C41" s="3" t="s">
        <v>8</v>
      </c>
      <c r="D41" s="3" t="s">
        <v>114</v>
      </c>
      <c r="E41" s="3">
        <v>4</v>
      </c>
      <c r="F41" s="3">
        <v>30.45</v>
      </c>
      <c r="G41" s="3" t="s">
        <v>9</v>
      </c>
      <c r="H41" s="4">
        <v>0</v>
      </c>
      <c r="I41" s="4">
        <v>0</v>
      </c>
      <c r="J41" s="4">
        <v>0</v>
      </c>
      <c r="K41" s="3">
        <v>28.82</v>
      </c>
      <c r="L41" s="3">
        <v>1.746</v>
      </c>
      <c r="M41" s="3" t="s">
        <v>9</v>
      </c>
    </row>
    <row r="42" spans="1:13" x14ac:dyDescent="0.35">
      <c r="A42" s="3" t="s">
        <v>6</v>
      </c>
      <c r="B42" s="3" t="s">
        <v>48</v>
      </c>
      <c r="C42" s="3" t="s">
        <v>8</v>
      </c>
      <c r="D42" s="3" t="s">
        <v>114</v>
      </c>
      <c r="E42" s="3">
        <v>4</v>
      </c>
      <c r="F42" s="3">
        <v>26.88</v>
      </c>
      <c r="G42" s="3" t="s">
        <v>9</v>
      </c>
      <c r="H42" s="4">
        <v>0</v>
      </c>
      <c r="I42" s="4">
        <v>0</v>
      </c>
      <c r="J42" s="4">
        <v>0</v>
      </c>
      <c r="K42" s="3">
        <v>28.82</v>
      </c>
      <c r="L42" s="3">
        <v>1.746</v>
      </c>
      <c r="M42" s="3" t="s">
        <v>9</v>
      </c>
    </row>
    <row r="43" spans="1:13" x14ac:dyDescent="0.35">
      <c r="A43" s="3" t="s">
        <v>6</v>
      </c>
      <c r="B43" s="3" t="s">
        <v>49</v>
      </c>
      <c r="C43" s="3" t="s">
        <v>8</v>
      </c>
      <c r="D43" s="3" t="s">
        <v>114</v>
      </c>
      <c r="E43" s="3">
        <v>4</v>
      </c>
      <c r="F43" s="3">
        <v>28.57</v>
      </c>
      <c r="G43" s="3" t="s">
        <v>9</v>
      </c>
      <c r="H43" s="4">
        <v>0</v>
      </c>
      <c r="I43" s="4">
        <v>0</v>
      </c>
      <c r="J43" s="4">
        <v>0</v>
      </c>
      <c r="K43" s="3">
        <v>28.82</v>
      </c>
      <c r="L43" s="3">
        <v>1.746</v>
      </c>
      <c r="M43" s="3" t="s">
        <v>9</v>
      </c>
    </row>
    <row r="44" spans="1:13" x14ac:dyDescent="0.35">
      <c r="A44" s="3" t="s">
        <v>6</v>
      </c>
      <c r="B44" s="3" t="s">
        <v>50</v>
      </c>
      <c r="C44" s="3" t="s">
        <v>8</v>
      </c>
      <c r="D44" s="3" t="s">
        <v>114</v>
      </c>
      <c r="E44" s="3">
        <v>4</v>
      </c>
      <c r="F44" s="3">
        <v>28.74</v>
      </c>
      <c r="G44" s="3" t="s">
        <v>9</v>
      </c>
      <c r="H44" s="4">
        <v>0</v>
      </c>
      <c r="I44" s="4">
        <v>0</v>
      </c>
      <c r="J44" s="4">
        <v>0</v>
      </c>
      <c r="K44" s="3">
        <v>28.82</v>
      </c>
      <c r="L44" s="3">
        <v>1.746</v>
      </c>
      <c r="M44" s="3" t="s">
        <v>9</v>
      </c>
    </row>
    <row r="45" spans="1:13" x14ac:dyDescent="0.35">
      <c r="A45" s="3" t="s">
        <v>6</v>
      </c>
      <c r="B45" s="3" t="s">
        <v>51</v>
      </c>
      <c r="C45" s="3" t="s">
        <v>8</v>
      </c>
      <c r="D45" s="3" t="s">
        <v>114</v>
      </c>
      <c r="E45" s="3">
        <v>4</v>
      </c>
      <c r="F45" s="3">
        <v>30.26</v>
      </c>
      <c r="G45" s="3" t="s">
        <v>9</v>
      </c>
      <c r="H45" s="4">
        <v>0</v>
      </c>
      <c r="I45" s="4">
        <v>0</v>
      </c>
      <c r="J45" s="4">
        <v>0</v>
      </c>
      <c r="K45" s="3">
        <v>28.82</v>
      </c>
      <c r="L45" s="3">
        <v>1.746</v>
      </c>
      <c r="M45" s="3" t="s">
        <v>9</v>
      </c>
    </row>
    <row r="46" spans="1:13" x14ac:dyDescent="0.35">
      <c r="A46" s="3" t="s">
        <v>6</v>
      </c>
      <c r="B46" s="3" t="s">
        <v>52</v>
      </c>
      <c r="C46" s="3" t="s">
        <v>8</v>
      </c>
      <c r="D46" s="3" t="s">
        <v>114</v>
      </c>
      <c r="E46" s="3">
        <v>4</v>
      </c>
      <c r="F46" s="3">
        <v>30.27</v>
      </c>
      <c r="G46" s="3" t="s">
        <v>9</v>
      </c>
      <c r="H46" s="4">
        <v>0</v>
      </c>
      <c r="I46" s="4">
        <v>0</v>
      </c>
      <c r="J46" s="4">
        <v>0</v>
      </c>
      <c r="K46" s="3">
        <v>28.82</v>
      </c>
      <c r="L46" s="3">
        <v>1.746</v>
      </c>
      <c r="M46" s="3" t="s">
        <v>9</v>
      </c>
    </row>
    <row r="47" spans="1:13" x14ac:dyDescent="0.35">
      <c r="A47" s="3" t="s">
        <v>6</v>
      </c>
      <c r="B47" s="3" t="s">
        <v>53</v>
      </c>
      <c r="C47" s="3" t="s">
        <v>8</v>
      </c>
      <c r="D47" s="3" t="s">
        <v>114</v>
      </c>
      <c r="E47" s="3">
        <v>4</v>
      </c>
      <c r="F47" s="3">
        <v>29.48</v>
      </c>
      <c r="G47" s="3" t="s">
        <v>9</v>
      </c>
      <c r="H47" s="4">
        <v>0</v>
      </c>
      <c r="I47" s="4">
        <v>0</v>
      </c>
      <c r="J47" s="4">
        <v>0</v>
      </c>
      <c r="K47" s="3">
        <v>28.82</v>
      </c>
      <c r="L47" s="3">
        <v>1.746</v>
      </c>
      <c r="M47" s="3" t="s">
        <v>9</v>
      </c>
    </row>
    <row r="48" spans="1:13" x14ac:dyDescent="0.35">
      <c r="A48" s="3" t="s">
        <v>6</v>
      </c>
      <c r="B48" s="3" t="s">
        <v>54</v>
      </c>
      <c r="C48" s="3" t="s">
        <v>8</v>
      </c>
      <c r="D48" s="3" t="s">
        <v>114</v>
      </c>
      <c r="E48" s="3">
        <v>4</v>
      </c>
      <c r="F48" s="3">
        <v>26.72</v>
      </c>
      <c r="G48" s="3" t="s">
        <v>9</v>
      </c>
      <c r="H48" s="4">
        <v>0</v>
      </c>
      <c r="I48" s="4">
        <v>0</v>
      </c>
      <c r="J48" s="4">
        <v>0</v>
      </c>
      <c r="K48" s="3">
        <v>28.82</v>
      </c>
      <c r="L48" s="3">
        <v>1.746</v>
      </c>
      <c r="M48" s="3" t="s">
        <v>9</v>
      </c>
    </row>
    <row r="49" spans="1:13" x14ac:dyDescent="0.35">
      <c r="A49" s="3" t="s">
        <v>6</v>
      </c>
      <c r="B49" s="3" t="s">
        <v>55</v>
      </c>
      <c r="C49" s="3" t="s">
        <v>8</v>
      </c>
      <c r="D49" s="3" t="s">
        <v>114</v>
      </c>
      <c r="E49" s="3">
        <v>4</v>
      </c>
      <c r="F49" s="3">
        <v>26.26</v>
      </c>
      <c r="G49" s="3" t="s">
        <v>9</v>
      </c>
      <c r="H49" s="4">
        <v>0</v>
      </c>
      <c r="I49" s="4">
        <v>0</v>
      </c>
      <c r="J49" s="4">
        <v>0</v>
      </c>
      <c r="K49" s="3">
        <v>28.82</v>
      </c>
      <c r="L49" s="3">
        <v>1.746</v>
      </c>
      <c r="M49" s="3" t="s">
        <v>9</v>
      </c>
    </row>
    <row r="50" spans="1:13" x14ac:dyDescent="0.35">
      <c r="A50" s="3" t="s">
        <v>6</v>
      </c>
      <c r="B50" s="3" t="s">
        <v>56</v>
      </c>
      <c r="C50" s="3" t="s">
        <v>8</v>
      </c>
      <c r="D50" s="3" t="s">
        <v>114</v>
      </c>
      <c r="E50" s="3">
        <v>4</v>
      </c>
      <c r="F50" s="3">
        <v>26.8</v>
      </c>
      <c r="G50" s="3" t="s">
        <v>9</v>
      </c>
      <c r="H50" s="4">
        <v>0</v>
      </c>
      <c r="I50" s="4">
        <v>0</v>
      </c>
      <c r="J50" s="4">
        <v>0</v>
      </c>
      <c r="K50" s="3">
        <v>28.82</v>
      </c>
      <c r="L50" s="3">
        <v>1.746</v>
      </c>
      <c r="M50" s="3" t="s">
        <v>9</v>
      </c>
    </row>
    <row r="51" spans="1:13" x14ac:dyDescent="0.35">
      <c r="A51" s="3" t="s">
        <v>6</v>
      </c>
      <c r="B51" s="3" t="s">
        <v>57</v>
      </c>
      <c r="C51" s="3" t="s">
        <v>8</v>
      </c>
      <c r="D51" s="3" t="s">
        <v>114</v>
      </c>
      <c r="E51" s="3">
        <v>5</v>
      </c>
      <c r="F51" s="3">
        <v>31.35</v>
      </c>
      <c r="G51" s="3" t="s">
        <v>9</v>
      </c>
      <c r="H51" s="4">
        <v>0</v>
      </c>
      <c r="I51" s="4">
        <v>0</v>
      </c>
      <c r="J51" s="4">
        <v>0</v>
      </c>
      <c r="K51" s="3">
        <v>30.51</v>
      </c>
      <c r="L51" s="3">
        <v>1.7649999999999999</v>
      </c>
      <c r="M51" s="3" t="s">
        <v>9</v>
      </c>
    </row>
    <row r="52" spans="1:13" x14ac:dyDescent="0.35">
      <c r="A52" s="3" t="s">
        <v>6</v>
      </c>
      <c r="B52" s="3" t="s">
        <v>58</v>
      </c>
      <c r="C52" s="3" t="s">
        <v>8</v>
      </c>
      <c r="D52" s="3" t="s">
        <v>114</v>
      </c>
      <c r="E52" s="3">
        <v>5</v>
      </c>
      <c r="F52" s="3">
        <v>31.75</v>
      </c>
      <c r="G52" s="3" t="s">
        <v>9</v>
      </c>
      <c r="H52" s="4">
        <v>0</v>
      </c>
      <c r="I52" s="4">
        <v>0</v>
      </c>
      <c r="J52" s="4">
        <v>0</v>
      </c>
      <c r="K52" s="3">
        <v>30.51</v>
      </c>
      <c r="L52" s="3">
        <v>1.7649999999999999</v>
      </c>
      <c r="M52" s="3" t="s">
        <v>9</v>
      </c>
    </row>
    <row r="53" spans="1:13" x14ac:dyDescent="0.35">
      <c r="A53" s="3" t="s">
        <v>6</v>
      </c>
      <c r="B53" s="3" t="s">
        <v>59</v>
      </c>
      <c r="C53" s="3" t="s">
        <v>8</v>
      </c>
      <c r="D53" s="3" t="s">
        <v>114</v>
      </c>
      <c r="E53" s="3">
        <v>5</v>
      </c>
      <c r="F53" s="3">
        <v>32.25</v>
      </c>
      <c r="G53" s="3" t="s">
        <v>9</v>
      </c>
      <c r="H53" s="4">
        <v>0</v>
      </c>
      <c r="I53" s="4">
        <v>0</v>
      </c>
      <c r="J53" s="4">
        <v>0</v>
      </c>
      <c r="K53" s="3">
        <v>30.51</v>
      </c>
      <c r="L53" s="3">
        <v>1.7649999999999999</v>
      </c>
      <c r="M53" s="3" t="s">
        <v>9</v>
      </c>
    </row>
    <row r="54" spans="1:13" x14ac:dyDescent="0.35">
      <c r="A54" s="3" t="s">
        <v>6</v>
      </c>
      <c r="B54" s="3" t="s">
        <v>60</v>
      </c>
      <c r="C54" s="3" t="s">
        <v>8</v>
      </c>
      <c r="D54" s="3" t="s">
        <v>114</v>
      </c>
      <c r="E54" s="3">
        <v>5</v>
      </c>
      <c r="F54" s="3">
        <v>27.87</v>
      </c>
      <c r="G54" s="3" t="s">
        <v>9</v>
      </c>
      <c r="H54" s="4">
        <v>0</v>
      </c>
      <c r="I54" s="4">
        <v>0</v>
      </c>
      <c r="J54" s="4">
        <v>0</v>
      </c>
      <c r="K54" s="3">
        <v>30.51</v>
      </c>
      <c r="L54" s="3">
        <v>1.7649999999999999</v>
      </c>
      <c r="M54" s="3" t="s">
        <v>9</v>
      </c>
    </row>
    <row r="55" spans="1:13" x14ac:dyDescent="0.35">
      <c r="A55" s="3" t="s">
        <v>6</v>
      </c>
      <c r="B55" s="3" t="s">
        <v>61</v>
      </c>
      <c r="C55" s="3" t="s">
        <v>8</v>
      </c>
      <c r="D55" s="3" t="s">
        <v>114</v>
      </c>
      <c r="E55" s="3">
        <v>5</v>
      </c>
      <c r="F55" s="3">
        <v>27.7</v>
      </c>
      <c r="G55" s="3" t="s">
        <v>9</v>
      </c>
      <c r="H55" s="4">
        <v>0</v>
      </c>
      <c r="I55" s="4">
        <v>0</v>
      </c>
      <c r="J55" s="4">
        <v>0</v>
      </c>
      <c r="K55" s="3">
        <v>30.51</v>
      </c>
      <c r="L55" s="3">
        <v>1.7649999999999999</v>
      </c>
      <c r="M55" s="3" t="s">
        <v>9</v>
      </c>
    </row>
    <row r="56" spans="1:13" x14ac:dyDescent="0.35">
      <c r="A56" s="3" t="s">
        <v>6</v>
      </c>
      <c r="B56" s="3" t="s">
        <v>62</v>
      </c>
      <c r="C56" s="3" t="s">
        <v>8</v>
      </c>
      <c r="D56" s="3" t="s">
        <v>114</v>
      </c>
      <c r="E56" s="3">
        <v>5</v>
      </c>
      <c r="F56" s="3">
        <v>28.59</v>
      </c>
      <c r="G56" s="3" t="s">
        <v>9</v>
      </c>
      <c r="H56" s="4">
        <v>0</v>
      </c>
      <c r="I56" s="4">
        <v>0</v>
      </c>
      <c r="J56" s="4">
        <v>0</v>
      </c>
      <c r="K56" s="3">
        <v>30.51</v>
      </c>
      <c r="L56" s="3">
        <v>1.7649999999999999</v>
      </c>
      <c r="M56" s="3" t="s">
        <v>9</v>
      </c>
    </row>
    <row r="57" spans="1:13" x14ac:dyDescent="0.35">
      <c r="A57" s="3" t="s">
        <v>6</v>
      </c>
      <c r="B57" s="3" t="s">
        <v>63</v>
      </c>
      <c r="C57" s="3" t="s">
        <v>8</v>
      </c>
      <c r="D57" s="3" t="s">
        <v>114</v>
      </c>
      <c r="E57" s="3">
        <v>5</v>
      </c>
      <c r="F57" s="3">
        <v>32.61</v>
      </c>
      <c r="G57" s="3" t="s">
        <v>9</v>
      </c>
      <c r="H57" s="4">
        <v>0</v>
      </c>
      <c r="I57" s="4">
        <v>0</v>
      </c>
      <c r="J57" s="4">
        <v>0</v>
      </c>
      <c r="K57" s="3">
        <v>30.51</v>
      </c>
      <c r="L57" s="3">
        <v>1.7649999999999999</v>
      </c>
      <c r="M57" s="3" t="s">
        <v>9</v>
      </c>
    </row>
    <row r="58" spans="1:13" x14ac:dyDescent="0.35">
      <c r="A58" s="3" t="s">
        <v>6</v>
      </c>
      <c r="B58" s="3" t="s">
        <v>64</v>
      </c>
      <c r="C58" s="3" t="s">
        <v>8</v>
      </c>
      <c r="D58" s="3" t="s">
        <v>114</v>
      </c>
      <c r="E58" s="3">
        <v>5</v>
      </c>
      <c r="F58" s="3">
        <v>29.8</v>
      </c>
      <c r="G58" s="3" t="s">
        <v>9</v>
      </c>
      <c r="H58" s="4">
        <v>0</v>
      </c>
      <c r="I58" s="4">
        <v>0</v>
      </c>
      <c r="J58" s="4">
        <v>0</v>
      </c>
      <c r="K58" s="3">
        <v>30.51</v>
      </c>
      <c r="L58" s="3">
        <v>1.7649999999999999</v>
      </c>
      <c r="M58" s="3" t="s">
        <v>9</v>
      </c>
    </row>
    <row r="59" spans="1:13" x14ac:dyDescent="0.35">
      <c r="A59" s="3" t="s">
        <v>6</v>
      </c>
      <c r="B59" s="3" t="s">
        <v>65</v>
      </c>
      <c r="C59" s="3" t="s">
        <v>8</v>
      </c>
      <c r="D59" s="3" t="s">
        <v>114</v>
      </c>
      <c r="E59" s="3">
        <v>5</v>
      </c>
      <c r="F59" s="3">
        <v>30.77</v>
      </c>
      <c r="G59" s="3" t="s">
        <v>9</v>
      </c>
      <c r="H59" s="4">
        <v>0</v>
      </c>
      <c r="I59" s="4">
        <v>0</v>
      </c>
      <c r="J59" s="4">
        <v>0</v>
      </c>
      <c r="K59" s="3">
        <v>30.51</v>
      </c>
      <c r="L59" s="3">
        <v>1.7649999999999999</v>
      </c>
      <c r="M59" s="3" t="s">
        <v>9</v>
      </c>
    </row>
    <row r="60" spans="1:13" x14ac:dyDescent="0.35">
      <c r="A60" s="3" t="s">
        <v>6</v>
      </c>
      <c r="B60" s="3" t="s">
        <v>66</v>
      </c>
      <c r="C60" s="3" t="s">
        <v>8</v>
      </c>
      <c r="D60" s="3" t="s">
        <v>114</v>
      </c>
      <c r="E60" s="3">
        <v>5</v>
      </c>
      <c r="F60" s="3">
        <v>30.51</v>
      </c>
      <c r="G60" s="3" t="s">
        <v>9</v>
      </c>
      <c r="H60" s="4">
        <v>0</v>
      </c>
      <c r="I60" s="4">
        <v>0</v>
      </c>
      <c r="J60" s="4">
        <v>0</v>
      </c>
      <c r="K60" s="3">
        <v>30.51</v>
      </c>
      <c r="L60" s="3">
        <v>1.7649999999999999</v>
      </c>
      <c r="M60" s="3" t="s">
        <v>9</v>
      </c>
    </row>
    <row r="61" spans="1:13" x14ac:dyDescent="0.35">
      <c r="A61" s="3" t="s">
        <v>6</v>
      </c>
      <c r="B61" s="3" t="s">
        <v>67</v>
      </c>
      <c r="C61" s="3" t="s">
        <v>8</v>
      </c>
      <c r="D61" s="3" t="s">
        <v>114</v>
      </c>
      <c r="E61" s="3">
        <v>5</v>
      </c>
      <c r="F61" s="3">
        <v>30.08</v>
      </c>
      <c r="G61" s="3" t="s">
        <v>9</v>
      </c>
      <c r="H61" s="4">
        <v>0</v>
      </c>
      <c r="I61" s="4">
        <v>0</v>
      </c>
      <c r="J61" s="4">
        <v>0</v>
      </c>
      <c r="K61" s="3">
        <v>30.51</v>
      </c>
      <c r="L61" s="3">
        <v>1.7649999999999999</v>
      </c>
      <c r="M61" s="3" t="s">
        <v>9</v>
      </c>
    </row>
    <row r="62" spans="1:13" x14ac:dyDescent="0.35">
      <c r="A62" s="3" t="s">
        <v>6</v>
      </c>
      <c r="B62" s="3" t="s">
        <v>68</v>
      </c>
      <c r="C62" s="3" t="s">
        <v>8</v>
      </c>
      <c r="D62" s="3" t="s">
        <v>114</v>
      </c>
      <c r="E62" s="3">
        <v>5</v>
      </c>
      <c r="F62" s="3">
        <v>32.81</v>
      </c>
      <c r="G62" s="3" t="s">
        <v>9</v>
      </c>
      <c r="H62" s="4">
        <v>0</v>
      </c>
      <c r="I62" s="4">
        <v>0</v>
      </c>
      <c r="J62" s="4">
        <v>0</v>
      </c>
      <c r="K62" s="3">
        <v>30.51</v>
      </c>
      <c r="L62" s="3">
        <v>1.7649999999999999</v>
      </c>
      <c r="M62" s="3" t="s">
        <v>9</v>
      </c>
    </row>
    <row r="63" spans="1:13" x14ac:dyDescent="0.35">
      <c r="A63" s="3" t="s">
        <v>6</v>
      </c>
      <c r="B63" s="3" t="s">
        <v>69</v>
      </c>
      <c r="C63" s="3" t="s">
        <v>8</v>
      </c>
      <c r="D63" s="3" t="s">
        <v>114</v>
      </c>
      <c r="E63" s="3">
        <v>6</v>
      </c>
      <c r="F63" s="3">
        <v>32.01</v>
      </c>
      <c r="G63" s="3" t="s">
        <v>9</v>
      </c>
      <c r="H63" s="4">
        <v>0</v>
      </c>
      <c r="I63" s="4">
        <v>0</v>
      </c>
      <c r="J63" s="4">
        <v>0</v>
      </c>
      <c r="K63" s="3">
        <v>33.08</v>
      </c>
      <c r="L63" s="3">
        <v>2.17</v>
      </c>
      <c r="M63" s="3" t="s">
        <v>9</v>
      </c>
    </row>
    <row r="64" spans="1:13" x14ac:dyDescent="0.35">
      <c r="A64" s="3" t="s">
        <v>6</v>
      </c>
      <c r="B64" s="3" t="s">
        <v>70</v>
      </c>
      <c r="C64" s="3" t="s">
        <v>8</v>
      </c>
      <c r="D64" s="3" t="s">
        <v>114</v>
      </c>
      <c r="E64" s="3">
        <v>6</v>
      </c>
      <c r="F64" s="3">
        <v>31.87</v>
      </c>
      <c r="G64" s="3" t="s">
        <v>9</v>
      </c>
      <c r="H64" s="4">
        <v>0</v>
      </c>
      <c r="I64" s="4">
        <v>0</v>
      </c>
      <c r="J64" s="4">
        <v>0</v>
      </c>
      <c r="K64" s="3">
        <v>33.08</v>
      </c>
      <c r="L64" s="3">
        <v>2.17</v>
      </c>
      <c r="M64" s="3" t="s">
        <v>9</v>
      </c>
    </row>
    <row r="65" spans="1:13" x14ac:dyDescent="0.35">
      <c r="A65" s="3" t="s">
        <v>6</v>
      </c>
      <c r="B65" s="3" t="s">
        <v>71</v>
      </c>
      <c r="C65" s="3" t="s">
        <v>8</v>
      </c>
      <c r="D65" s="3" t="s">
        <v>114</v>
      </c>
      <c r="E65" s="3">
        <v>6</v>
      </c>
      <c r="F65" s="3">
        <v>31.87</v>
      </c>
      <c r="G65" s="3" t="s">
        <v>9</v>
      </c>
      <c r="H65" s="4">
        <v>0</v>
      </c>
      <c r="I65" s="4">
        <v>0</v>
      </c>
      <c r="J65" s="4">
        <v>0</v>
      </c>
      <c r="K65" s="3">
        <v>33.08</v>
      </c>
      <c r="L65" s="3">
        <v>2.17</v>
      </c>
      <c r="M65" s="3" t="s">
        <v>9</v>
      </c>
    </row>
    <row r="66" spans="1:13" x14ac:dyDescent="0.35">
      <c r="A66" s="3" t="s">
        <v>6</v>
      </c>
      <c r="B66" s="3" t="s">
        <v>72</v>
      </c>
      <c r="C66" s="3" t="s">
        <v>8</v>
      </c>
      <c r="D66" s="3" t="s">
        <v>114</v>
      </c>
      <c r="E66" s="3">
        <v>6</v>
      </c>
      <c r="F66" s="3">
        <v>31.44</v>
      </c>
      <c r="G66" s="3" t="s">
        <v>9</v>
      </c>
      <c r="H66" s="4">
        <v>0</v>
      </c>
      <c r="I66" s="4">
        <v>0</v>
      </c>
      <c r="J66" s="4">
        <v>0</v>
      </c>
      <c r="K66" s="3">
        <v>33.08</v>
      </c>
      <c r="L66" s="3">
        <v>2.17</v>
      </c>
      <c r="M66" s="3" t="s">
        <v>9</v>
      </c>
    </row>
    <row r="67" spans="1:13" x14ac:dyDescent="0.35">
      <c r="A67" s="3" t="s">
        <v>6</v>
      </c>
      <c r="B67" s="3" t="s">
        <v>73</v>
      </c>
      <c r="C67" s="3" t="s">
        <v>8</v>
      </c>
      <c r="D67" s="3" t="s">
        <v>114</v>
      </c>
      <c r="E67" s="3">
        <v>6</v>
      </c>
      <c r="F67" s="3">
        <v>31.19</v>
      </c>
      <c r="G67" s="3" t="s">
        <v>9</v>
      </c>
      <c r="H67" s="4">
        <v>0</v>
      </c>
      <c r="I67" s="4">
        <v>0</v>
      </c>
      <c r="J67" s="4">
        <v>0</v>
      </c>
      <c r="K67" s="3">
        <v>33.08</v>
      </c>
      <c r="L67" s="3">
        <v>2.17</v>
      </c>
      <c r="M67" s="3" t="s">
        <v>9</v>
      </c>
    </row>
    <row r="68" spans="1:13" x14ac:dyDescent="0.35">
      <c r="A68" s="3" t="s">
        <v>6</v>
      </c>
      <c r="B68" s="3" t="s">
        <v>74</v>
      </c>
      <c r="C68" s="3" t="s">
        <v>8</v>
      </c>
      <c r="D68" s="3" t="s">
        <v>114</v>
      </c>
      <c r="E68" s="3">
        <v>6</v>
      </c>
      <c r="F68" s="3">
        <v>29.08</v>
      </c>
      <c r="G68" s="3" t="s">
        <v>9</v>
      </c>
      <c r="H68" s="4">
        <v>0</v>
      </c>
      <c r="I68" s="4">
        <v>0</v>
      </c>
      <c r="J68" s="4">
        <v>0</v>
      </c>
      <c r="K68" s="3">
        <v>33.08</v>
      </c>
      <c r="L68" s="3">
        <v>2.17</v>
      </c>
      <c r="M68" s="3" t="s">
        <v>9</v>
      </c>
    </row>
    <row r="69" spans="1:13" x14ac:dyDescent="0.35">
      <c r="A69" s="3" t="s">
        <v>6</v>
      </c>
      <c r="B69" s="3" t="s">
        <v>75</v>
      </c>
      <c r="C69" s="3" t="s">
        <v>8</v>
      </c>
      <c r="D69" s="3" t="s">
        <v>114</v>
      </c>
      <c r="E69" s="3">
        <v>6</v>
      </c>
      <c r="F69" s="3">
        <v>34.69</v>
      </c>
      <c r="G69" s="3" t="s">
        <v>9</v>
      </c>
      <c r="H69" s="4">
        <v>0</v>
      </c>
      <c r="I69" s="4">
        <v>0</v>
      </c>
      <c r="J69" s="4">
        <v>0</v>
      </c>
      <c r="K69" s="3">
        <v>33.08</v>
      </c>
      <c r="L69" s="3">
        <v>2.17</v>
      </c>
      <c r="M69" s="3" t="s">
        <v>9</v>
      </c>
    </row>
    <row r="70" spans="1:13" x14ac:dyDescent="0.35">
      <c r="A70" s="3" t="s">
        <v>6</v>
      </c>
      <c r="B70" s="3" t="s">
        <v>76</v>
      </c>
      <c r="C70" s="3" t="s">
        <v>8</v>
      </c>
      <c r="D70" s="3" t="s">
        <v>114</v>
      </c>
      <c r="E70" s="3">
        <v>6</v>
      </c>
      <c r="F70" s="3">
        <v>33.6</v>
      </c>
      <c r="G70" s="3" t="s">
        <v>9</v>
      </c>
      <c r="H70" s="4">
        <v>0</v>
      </c>
      <c r="I70" s="4">
        <v>0</v>
      </c>
      <c r="J70" s="4">
        <v>0</v>
      </c>
      <c r="K70" s="3">
        <v>33.08</v>
      </c>
      <c r="L70" s="3">
        <v>2.17</v>
      </c>
      <c r="M70" s="3" t="s">
        <v>9</v>
      </c>
    </row>
    <row r="71" spans="1:13" x14ac:dyDescent="0.35">
      <c r="A71" s="3" t="s">
        <v>6</v>
      </c>
      <c r="B71" s="3" t="s">
        <v>77</v>
      </c>
      <c r="C71" s="3" t="s">
        <v>8</v>
      </c>
      <c r="D71" s="3" t="s">
        <v>114</v>
      </c>
      <c r="E71" s="3">
        <v>6</v>
      </c>
      <c r="F71" s="3">
        <v>33.99</v>
      </c>
      <c r="G71" s="3" t="s">
        <v>9</v>
      </c>
      <c r="H71" s="4">
        <v>0</v>
      </c>
      <c r="I71" s="4">
        <v>0</v>
      </c>
      <c r="J71" s="4">
        <v>0</v>
      </c>
      <c r="K71" s="3">
        <v>33.08</v>
      </c>
      <c r="L71" s="3">
        <v>2.17</v>
      </c>
      <c r="M71" s="3" t="s">
        <v>9</v>
      </c>
    </row>
    <row r="72" spans="1:13" x14ac:dyDescent="0.35">
      <c r="A72" s="3" t="s">
        <v>6</v>
      </c>
      <c r="B72" s="3" t="s">
        <v>78</v>
      </c>
      <c r="C72" s="3" t="s">
        <v>8</v>
      </c>
      <c r="D72" s="3" t="s">
        <v>114</v>
      </c>
      <c r="E72" s="3">
        <v>6</v>
      </c>
      <c r="F72" s="3">
        <v>35.049999999999997</v>
      </c>
      <c r="G72" s="3" t="s">
        <v>9</v>
      </c>
      <c r="H72" s="4">
        <v>0</v>
      </c>
      <c r="I72" s="4">
        <v>0</v>
      </c>
      <c r="J72" s="4">
        <v>0</v>
      </c>
      <c r="K72" s="3">
        <v>33.08</v>
      </c>
      <c r="L72" s="3">
        <v>2.17</v>
      </c>
      <c r="M72" s="3" t="s">
        <v>9</v>
      </c>
    </row>
    <row r="73" spans="1:13" x14ac:dyDescent="0.35">
      <c r="A73" s="3" t="s">
        <v>6</v>
      </c>
      <c r="B73" s="3" t="s">
        <v>79</v>
      </c>
      <c r="C73" s="3" t="s">
        <v>8</v>
      </c>
      <c r="D73" s="3" t="s">
        <v>114</v>
      </c>
      <c r="E73" s="3">
        <v>6</v>
      </c>
      <c r="F73" s="3">
        <v>35.729999999999997</v>
      </c>
      <c r="G73" s="3" t="s">
        <v>9</v>
      </c>
      <c r="H73" s="4">
        <v>0</v>
      </c>
      <c r="I73" s="4">
        <v>0</v>
      </c>
      <c r="J73" s="4">
        <v>0</v>
      </c>
      <c r="K73" s="3">
        <v>33.08</v>
      </c>
      <c r="L73" s="3">
        <v>2.17</v>
      </c>
      <c r="M73" s="3" t="s">
        <v>9</v>
      </c>
    </row>
    <row r="74" spans="1:13" x14ac:dyDescent="0.35">
      <c r="A74" s="3" t="s">
        <v>6</v>
      </c>
      <c r="B74" s="3" t="s">
        <v>80</v>
      </c>
      <c r="C74" s="3" t="s">
        <v>8</v>
      </c>
      <c r="D74" s="3" t="s">
        <v>114</v>
      </c>
      <c r="E74" s="3">
        <v>6</v>
      </c>
      <c r="F74" s="3">
        <v>36.39</v>
      </c>
      <c r="G74" s="3" t="s">
        <v>9</v>
      </c>
      <c r="H74" s="4">
        <v>0</v>
      </c>
      <c r="I74" s="4">
        <v>0</v>
      </c>
      <c r="J74" s="4">
        <v>0</v>
      </c>
      <c r="K74" s="3">
        <v>33.08</v>
      </c>
      <c r="L74" s="3">
        <v>2.17</v>
      </c>
      <c r="M74" s="3" t="s">
        <v>9</v>
      </c>
    </row>
    <row r="75" spans="1:13" x14ac:dyDescent="0.35">
      <c r="A75" s="3" t="s">
        <v>6</v>
      </c>
      <c r="B75" s="3" t="s">
        <v>81</v>
      </c>
      <c r="C75" s="3" t="s">
        <v>8</v>
      </c>
      <c r="D75" s="3" t="s">
        <v>114</v>
      </c>
      <c r="E75" s="3">
        <v>7</v>
      </c>
      <c r="F75" s="3">
        <v>35.03</v>
      </c>
      <c r="G75" s="3" t="s">
        <v>9</v>
      </c>
      <c r="H75" s="4">
        <v>0</v>
      </c>
      <c r="I75" s="4">
        <v>0</v>
      </c>
      <c r="J75" s="4">
        <v>0</v>
      </c>
      <c r="K75" s="3">
        <v>34.950000000000003</v>
      </c>
      <c r="L75" s="3">
        <v>0.94399999999999995</v>
      </c>
      <c r="M75" s="3" t="s">
        <v>9</v>
      </c>
    </row>
    <row r="76" spans="1:13" x14ac:dyDescent="0.35">
      <c r="A76" s="3" t="s">
        <v>6</v>
      </c>
      <c r="B76" s="3" t="s">
        <v>82</v>
      </c>
      <c r="C76" s="3" t="s">
        <v>8</v>
      </c>
      <c r="D76" s="3" t="s">
        <v>114</v>
      </c>
      <c r="E76" s="3">
        <v>7</v>
      </c>
      <c r="F76" s="3">
        <v>36.270000000000003</v>
      </c>
      <c r="G76" s="3" t="s">
        <v>9</v>
      </c>
      <c r="H76" s="4">
        <v>0</v>
      </c>
      <c r="I76" s="4">
        <v>0</v>
      </c>
      <c r="J76" s="4">
        <v>0</v>
      </c>
      <c r="K76" s="3">
        <v>34.950000000000003</v>
      </c>
      <c r="L76" s="3">
        <v>0.94399999999999995</v>
      </c>
      <c r="M76" s="3" t="s">
        <v>9</v>
      </c>
    </row>
    <row r="77" spans="1:13" x14ac:dyDescent="0.35">
      <c r="A77" s="3" t="s">
        <v>6</v>
      </c>
      <c r="B77" s="3" t="s">
        <v>83</v>
      </c>
      <c r="C77" s="3" t="s">
        <v>8</v>
      </c>
      <c r="D77" s="3" t="s">
        <v>114</v>
      </c>
      <c r="E77" s="3">
        <v>7</v>
      </c>
      <c r="F77" s="3">
        <v>33.479999999999997</v>
      </c>
      <c r="G77" s="3" t="s">
        <v>9</v>
      </c>
      <c r="H77" s="4">
        <v>0</v>
      </c>
      <c r="I77" s="4">
        <v>0</v>
      </c>
      <c r="J77" s="4">
        <v>0</v>
      </c>
      <c r="K77" s="3">
        <v>34.950000000000003</v>
      </c>
      <c r="L77" s="3">
        <v>0.94399999999999995</v>
      </c>
      <c r="M77" s="3" t="s">
        <v>9</v>
      </c>
    </row>
    <row r="78" spans="1:13" x14ac:dyDescent="0.35">
      <c r="A78" s="3" t="s">
        <v>6</v>
      </c>
      <c r="B78" s="3" t="s">
        <v>84</v>
      </c>
      <c r="C78" s="3" t="s">
        <v>8</v>
      </c>
      <c r="D78" s="3" t="s">
        <v>114</v>
      </c>
      <c r="E78" s="3">
        <v>7</v>
      </c>
      <c r="F78" s="3">
        <v>34.61</v>
      </c>
      <c r="G78" s="3" t="s">
        <v>9</v>
      </c>
      <c r="H78" s="4">
        <v>0</v>
      </c>
      <c r="I78" s="4">
        <v>0</v>
      </c>
      <c r="J78" s="4">
        <v>0</v>
      </c>
      <c r="K78" s="3">
        <v>34.950000000000003</v>
      </c>
      <c r="L78" s="3">
        <v>0.94399999999999995</v>
      </c>
      <c r="M78" s="3" t="s">
        <v>9</v>
      </c>
    </row>
    <row r="79" spans="1:13" x14ac:dyDescent="0.35">
      <c r="A79" s="3" t="s">
        <v>6</v>
      </c>
      <c r="B79" s="3" t="s">
        <v>85</v>
      </c>
      <c r="C79" s="3" t="s">
        <v>8</v>
      </c>
      <c r="D79" s="3" t="s">
        <v>114</v>
      </c>
      <c r="E79" s="3">
        <v>7</v>
      </c>
      <c r="F79" s="3">
        <v>34.56</v>
      </c>
      <c r="G79" s="3" t="s">
        <v>9</v>
      </c>
      <c r="H79" s="4">
        <v>0</v>
      </c>
      <c r="I79" s="4">
        <v>0</v>
      </c>
      <c r="J79" s="4">
        <v>0</v>
      </c>
      <c r="K79" s="3">
        <v>34.950000000000003</v>
      </c>
      <c r="L79" s="3">
        <v>0.94399999999999995</v>
      </c>
      <c r="M79" s="3" t="s">
        <v>9</v>
      </c>
    </row>
    <row r="80" spans="1:13" x14ac:dyDescent="0.35">
      <c r="A80" s="3" t="s">
        <v>6</v>
      </c>
      <c r="B80" s="3" t="s">
        <v>86</v>
      </c>
      <c r="C80" s="3" t="s">
        <v>8</v>
      </c>
      <c r="D80" s="3" t="s">
        <v>114</v>
      </c>
      <c r="E80" s="3">
        <v>7</v>
      </c>
      <c r="F80" s="3">
        <v>35.200000000000003</v>
      </c>
      <c r="G80" s="3" t="s">
        <v>9</v>
      </c>
      <c r="H80" s="4">
        <v>0</v>
      </c>
      <c r="I80" s="4">
        <v>0</v>
      </c>
      <c r="J80" s="4">
        <v>0</v>
      </c>
      <c r="K80" s="3">
        <v>34.950000000000003</v>
      </c>
      <c r="L80" s="3">
        <v>0.94399999999999995</v>
      </c>
      <c r="M80" s="3" t="s">
        <v>9</v>
      </c>
    </row>
    <row r="81" spans="1:13" x14ac:dyDescent="0.35">
      <c r="A81" s="3" t="s">
        <v>6</v>
      </c>
      <c r="B81" s="3" t="s">
        <v>87</v>
      </c>
      <c r="C81" s="3" t="s">
        <v>8</v>
      </c>
      <c r="D81" s="3" t="s">
        <v>114</v>
      </c>
      <c r="E81" s="3">
        <v>7</v>
      </c>
      <c r="F81" s="3">
        <v>34.68</v>
      </c>
      <c r="G81" s="3" t="s">
        <v>9</v>
      </c>
      <c r="H81" s="4">
        <v>0</v>
      </c>
      <c r="I81" s="4">
        <v>0</v>
      </c>
      <c r="J81" s="4">
        <v>0</v>
      </c>
      <c r="K81" s="3">
        <v>34.950000000000003</v>
      </c>
      <c r="L81" s="3">
        <v>0.94399999999999995</v>
      </c>
      <c r="M81" s="3" t="s">
        <v>9</v>
      </c>
    </row>
    <row r="82" spans="1:13" x14ac:dyDescent="0.35">
      <c r="A82" s="3" t="s">
        <v>6</v>
      </c>
      <c r="B82" s="3" t="s">
        <v>88</v>
      </c>
      <c r="C82" s="3" t="s">
        <v>8</v>
      </c>
      <c r="D82" s="3" t="s">
        <v>114</v>
      </c>
      <c r="E82" s="3">
        <v>7</v>
      </c>
      <c r="F82" s="3">
        <v>34.33</v>
      </c>
      <c r="G82" s="3" t="s">
        <v>9</v>
      </c>
      <c r="H82" s="4">
        <v>0</v>
      </c>
      <c r="I82" s="4">
        <v>0</v>
      </c>
      <c r="J82" s="4">
        <v>0</v>
      </c>
      <c r="K82" s="3">
        <v>34.950000000000003</v>
      </c>
      <c r="L82" s="3">
        <v>0.94399999999999995</v>
      </c>
      <c r="M82" s="3" t="s">
        <v>9</v>
      </c>
    </row>
    <row r="83" spans="1:13" x14ac:dyDescent="0.35">
      <c r="A83" s="3" t="s">
        <v>6</v>
      </c>
      <c r="B83" s="3" t="s">
        <v>89</v>
      </c>
      <c r="C83" s="3" t="s">
        <v>8</v>
      </c>
      <c r="D83" s="3" t="s">
        <v>114</v>
      </c>
      <c r="E83" s="3">
        <v>7</v>
      </c>
      <c r="F83" s="3">
        <v>33.880000000000003</v>
      </c>
      <c r="G83" s="3" t="s">
        <v>9</v>
      </c>
      <c r="H83" s="4">
        <v>0</v>
      </c>
      <c r="I83" s="4">
        <v>0</v>
      </c>
      <c r="J83" s="4">
        <v>0</v>
      </c>
      <c r="K83" s="3">
        <v>34.950000000000003</v>
      </c>
      <c r="L83" s="3">
        <v>0.94399999999999995</v>
      </c>
      <c r="M83" s="3" t="s">
        <v>9</v>
      </c>
    </row>
    <row r="84" spans="1:13" x14ac:dyDescent="0.35">
      <c r="A84" s="3" t="s">
        <v>6</v>
      </c>
      <c r="B84" s="3" t="s">
        <v>90</v>
      </c>
      <c r="C84" s="3" t="s">
        <v>8</v>
      </c>
      <c r="D84" s="3" t="s">
        <v>114</v>
      </c>
      <c r="E84" s="3">
        <v>7</v>
      </c>
      <c r="F84" s="3">
        <v>35.79</v>
      </c>
      <c r="G84" s="3" t="s">
        <v>9</v>
      </c>
      <c r="H84" s="4">
        <v>0</v>
      </c>
      <c r="I84" s="4">
        <v>0</v>
      </c>
      <c r="J84" s="4">
        <v>0</v>
      </c>
      <c r="K84" s="3">
        <v>34.950000000000003</v>
      </c>
      <c r="L84" s="3">
        <v>0.94399999999999995</v>
      </c>
      <c r="M84" s="3" t="s">
        <v>9</v>
      </c>
    </row>
    <row r="85" spans="1:13" x14ac:dyDescent="0.35">
      <c r="A85" s="3" t="s">
        <v>6</v>
      </c>
      <c r="B85" s="3" t="s">
        <v>91</v>
      </c>
      <c r="C85" s="3" t="s">
        <v>8</v>
      </c>
      <c r="D85" s="3" t="s">
        <v>114</v>
      </c>
      <c r="E85" s="3">
        <v>7</v>
      </c>
      <c r="F85" s="3">
        <v>34.83</v>
      </c>
      <c r="G85" s="3" t="s">
        <v>9</v>
      </c>
      <c r="H85" s="4">
        <v>0</v>
      </c>
      <c r="I85" s="4">
        <v>0</v>
      </c>
      <c r="J85" s="4">
        <v>0</v>
      </c>
      <c r="K85" s="3">
        <v>34.950000000000003</v>
      </c>
      <c r="L85" s="3">
        <v>0.94399999999999995</v>
      </c>
      <c r="M85" s="3" t="s">
        <v>9</v>
      </c>
    </row>
    <row r="86" spans="1:13" x14ac:dyDescent="0.35">
      <c r="A86" s="3" t="s">
        <v>6</v>
      </c>
      <c r="B86" s="3" t="s">
        <v>92</v>
      </c>
      <c r="C86" s="3" t="s">
        <v>8</v>
      </c>
      <c r="D86" s="3" t="s">
        <v>114</v>
      </c>
      <c r="E86" s="3">
        <v>7</v>
      </c>
      <c r="F86" s="3">
        <v>36.75</v>
      </c>
      <c r="G86" s="3" t="s">
        <v>9</v>
      </c>
      <c r="H86" s="4">
        <v>0</v>
      </c>
      <c r="I86" s="4">
        <v>0</v>
      </c>
      <c r="J86" s="4">
        <v>0</v>
      </c>
      <c r="K86" s="3">
        <v>34.950000000000003</v>
      </c>
      <c r="L86" s="3">
        <v>0.94399999999999995</v>
      </c>
      <c r="M86" s="3" t="s">
        <v>9</v>
      </c>
    </row>
    <row r="87" spans="1:13" x14ac:dyDescent="0.35">
      <c r="A87" s="3" t="s">
        <v>6</v>
      </c>
      <c r="B87" s="3" t="s">
        <v>93</v>
      </c>
      <c r="C87" s="3" t="s">
        <v>8</v>
      </c>
      <c r="D87" s="3" t="s">
        <v>114</v>
      </c>
      <c r="E87" s="3">
        <v>8</v>
      </c>
      <c r="F87" s="3">
        <v>34.85</v>
      </c>
      <c r="G87" s="3" t="s">
        <v>9</v>
      </c>
      <c r="H87" s="4">
        <v>0</v>
      </c>
      <c r="I87" s="4">
        <v>0</v>
      </c>
      <c r="J87" s="4">
        <v>0</v>
      </c>
      <c r="K87" s="3">
        <v>35.67</v>
      </c>
      <c r="L87" s="3">
        <v>1.21</v>
      </c>
      <c r="M87" s="3" t="s">
        <v>9</v>
      </c>
    </row>
    <row r="88" spans="1:13" x14ac:dyDescent="0.35">
      <c r="A88" s="3" t="s">
        <v>6</v>
      </c>
      <c r="B88" s="3" t="s">
        <v>94</v>
      </c>
      <c r="C88" s="3" t="s">
        <v>8</v>
      </c>
      <c r="D88" s="3" t="s">
        <v>114</v>
      </c>
      <c r="E88" s="3">
        <v>8</v>
      </c>
      <c r="F88" s="3">
        <v>36.76</v>
      </c>
      <c r="G88" s="3" t="s">
        <v>9</v>
      </c>
      <c r="H88" s="4">
        <v>0</v>
      </c>
      <c r="I88" s="4">
        <v>0</v>
      </c>
      <c r="J88" s="4">
        <v>0</v>
      </c>
      <c r="K88" s="3">
        <v>35.67</v>
      </c>
      <c r="L88" s="3">
        <v>1.21</v>
      </c>
      <c r="M88" s="3" t="s">
        <v>9</v>
      </c>
    </row>
    <row r="89" spans="1:13" x14ac:dyDescent="0.35">
      <c r="A89" s="3" t="s">
        <v>6</v>
      </c>
      <c r="B89" s="3" t="s">
        <v>95</v>
      </c>
      <c r="C89" s="3" t="s">
        <v>8</v>
      </c>
      <c r="D89" s="3" t="s">
        <v>114</v>
      </c>
      <c r="E89" s="3">
        <v>8</v>
      </c>
      <c r="F89" s="3" t="s">
        <v>9</v>
      </c>
      <c r="G89" s="3" t="s">
        <v>9</v>
      </c>
      <c r="H89" s="4">
        <v>0</v>
      </c>
      <c r="I89" s="4">
        <v>0</v>
      </c>
      <c r="J89" s="4">
        <v>0</v>
      </c>
      <c r="K89" s="3">
        <v>0</v>
      </c>
      <c r="L89" s="3">
        <v>0</v>
      </c>
      <c r="M89" s="3" t="s">
        <v>9</v>
      </c>
    </row>
    <row r="90" spans="1:13" x14ac:dyDescent="0.35">
      <c r="A90" s="3" t="s">
        <v>6</v>
      </c>
      <c r="B90" s="3" t="s">
        <v>96</v>
      </c>
      <c r="C90" s="3" t="s">
        <v>8</v>
      </c>
      <c r="D90" s="3" t="s">
        <v>114</v>
      </c>
      <c r="E90" s="3">
        <v>8</v>
      </c>
      <c r="F90" s="3">
        <v>35.64</v>
      </c>
      <c r="G90" s="3" t="s">
        <v>9</v>
      </c>
      <c r="H90" s="4">
        <v>0</v>
      </c>
      <c r="I90" s="4">
        <v>0</v>
      </c>
      <c r="J90" s="4">
        <v>0</v>
      </c>
      <c r="K90" s="3">
        <v>35.67</v>
      </c>
      <c r="L90" s="3">
        <v>1.21</v>
      </c>
      <c r="M90" s="3" t="s">
        <v>9</v>
      </c>
    </row>
    <row r="91" spans="1:13" x14ac:dyDescent="0.35">
      <c r="A91" s="3" t="s">
        <v>6</v>
      </c>
      <c r="B91" s="3" t="s">
        <v>97</v>
      </c>
      <c r="C91" s="3" t="s">
        <v>8</v>
      </c>
      <c r="D91" s="3" t="s">
        <v>114</v>
      </c>
      <c r="E91" s="3">
        <v>8</v>
      </c>
      <c r="F91" s="3">
        <v>35.18</v>
      </c>
      <c r="G91" s="3" t="s">
        <v>9</v>
      </c>
      <c r="H91" s="4">
        <v>0</v>
      </c>
      <c r="I91" s="4">
        <v>0</v>
      </c>
      <c r="J91" s="4">
        <v>0</v>
      </c>
      <c r="K91" s="3">
        <v>35.67</v>
      </c>
      <c r="L91" s="3">
        <v>1.21</v>
      </c>
      <c r="M91" s="3" t="s">
        <v>9</v>
      </c>
    </row>
    <row r="92" spans="1:13" x14ac:dyDescent="0.35">
      <c r="A92" s="3" t="s">
        <v>6</v>
      </c>
      <c r="B92" s="3" t="s">
        <v>98</v>
      </c>
      <c r="C92" s="3" t="s">
        <v>8</v>
      </c>
      <c r="D92" s="3" t="s">
        <v>114</v>
      </c>
      <c r="E92" s="3">
        <v>8</v>
      </c>
      <c r="F92" s="3">
        <v>37.6</v>
      </c>
      <c r="G92" s="3" t="s">
        <v>9</v>
      </c>
      <c r="H92" s="4">
        <v>0</v>
      </c>
      <c r="I92" s="4">
        <v>0</v>
      </c>
      <c r="J92" s="4">
        <v>0</v>
      </c>
      <c r="K92" s="3">
        <v>35.67</v>
      </c>
      <c r="L92" s="3">
        <v>1.21</v>
      </c>
      <c r="M92" s="3" t="s">
        <v>9</v>
      </c>
    </row>
    <row r="93" spans="1:13" x14ac:dyDescent="0.35">
      <c r="A93" s="3" t="s">
        <v>6</v>
      </c>
      <c r="B93" s="3" t="s">
        <v>99</v>
      </c>
      <c r="C93" s="3" t="s">
        <v>8</v>
      </c>
      <c r="D93" s="3" t="s">
        <v>114</v>
      </c>
      <c r="E93" s="3">
        <v>8</v>
      </c>
      <c r="F93" s="3" t="s">
        <v>9</v>
      </c>
      <c r="G93" s="3" t="s">
        <v>9</v>
      </c>
      <c r="H93" s="4">
        <v>0</v>
      </c>
      <c r="I93" s="4">
        <v>0</v>
      </c>
      <c r="J93" s="4">
        <v>0</v>
      </c>
      <c r="K93" s="3">
        <v>0</v>
      </c>
      <c r="L93" s="3">
        <v>0</v>
      </c>
      <c r="M93" s="3" t="s">
        <v>9</v>
      </c>
    </row>
    <row r="94" spans="1:13" x14ac:dyDescent="0.35">
      <c r="A94" s="3" t="s">
        <v>6</v>
      </c>
      <c r="B94" s="3" t="s">
        <v>100</v>
      </c>
      <c r="C94" s="3" t="s">
        <v>8</v>
      </c>
      <c r="D94" s="3" t="s">
        <v>114</v>
      </c>
      <c r="E94" s="3">
        <v>8</v>
      </c>
      <c r="F94" s="3" t="s">
        <v>9</v>
      </c>
      <c r="G94" s="3" t="s">
        <v>9</v>
      </c>
      <c r="H94" s="4">
        <v>0</v>
      </c>
      <c r="I94" s="4">
        <v>0</v>
      </c>
      <c r="J94" s="4">
        <v>0</v>
      </c>
      <c r="K94" s="3">
        <v>0</v>
      </c>
      <c r="L94" s="3">
        <v>0</v>
      </c>
      <c r="M94" s="3" t="s">
        <v>9</v>
      </c>
    </row>
    <row r="95" spans="1:13" x14ac:dyDescent="0.35">
      <c r="A95" s="3" t="s">
        <v>6</v>
      </c>
      <c r="B95" s="3" t="s">
        <v>101</v>
      </c>
      <c r="C95" s="3" t="s">
        <v>8</v>
      </c>
      <c r="D95" s="3" t="s">
        <v>114</v>
      </c>
      <c r="E95" s="3">
        <v>8</v>
      </c>
      <c r="F95" s="3" t="s">
        <v>9</v>
      </c>
      <c r="G95" s="3" t="s">
        <v>9</v>
      </c>
      <c r="H95" s="4">
        <v>0</v>
      </c>
      <c r="I95" s="4">
        <v>0</v>
      </c>
      <c r="J95" s="4">
        <v>0</v>
      </c>
      <c r="K95" s="3">
        <v>0</v>
      </c>
      <c r="L95" s="3">
        <v>0</v>
      </c>
      <c r="M95" s="3" t="s">
        <v>9</v>
      </c>
    </row>
    <row r="96" spans="1:13" x14ac:dyDescent="0.35">
      <c r="A96" s="3" t="s">
        <v>6</v>
      </c>
      <c r="B96" s="3" t="s">
        <v>102</v>
      </c>
      <c r="C96" s="3" t="s">
        <v>8</v>
      </c>
      <c r="D96" s="3" t="s">
        <v>114</v>
      </c>
      <c r="E96" s="3">
        <v>8</v>
      </c>
      <c r="F96" s="3">
        <v>36.270000000000003</v>
      </c>
      <c r="G96" s="3" t="s">
        <v>9</v>
      </c>
      <c r="H96" s="4">
        <v>0</v>
      </c>
      <c r="I96" s="4">
        <v>0</v>
      </c>
      <c r="J96" s="4">
        <v>0</v>
      </c>
      <c r="K96" s="3">
        <v>35.67</v>
      </c>
      <c r="L96" s="3">
        <v>1.21</v>
      </c>
      <c r="M96" s="3" t="s">
        <v>9</v>
      </c>
    </row>
    <row r="97" spans="1:13" x14ac:dyDescent="0.35">
      <c r="A97" s="3" t="s">
        <v>6</v>
      </c>
      <c r="B97" s="3" t="s">
        <v>103</v>
      </c>
      <c r="C97" s="3" t="s">
        <v>8</v>
      </c>
      <c r="D97" s="3" t="s">
        <v>114</v>
      </c>
      <c r="E97" s="3">
        <v>8</v>
      </c>
      <c r="F97" s="3">
        <v>35.39</v>
      </c>
      <c r="G97" s="3" t="s">
        <v>9</v>
      </c>
      <c r="H97" s="4">
        <v>0</v>
      </c>
      <c r="I97" s="4">
        <v>0</v>
      </c>
      <c r="J97" s="4">
        <v>0</v>
      </c>
      <c r="K97" s="3">
        <v>35.67</v>
      </c>
      <c r="L97" s="3">
        <v>1.21</v>
      </c>
      <c r="M97" s="3" t="s">
        <v>9</v>
      </c>
    </row>
    <row r="98" spans="1:13" x14ac:dyDescent="0.35">
      <c r="A98" s="7" t="s">
        <v>6</v>
      </c>
      <c r="B98" s="7" t="s">
        <v>104</v>
      </c>
      <c r="C98" s="7" t="s">
        <v>8</v>
      </c>
      <c r="D98" s="7" t="s">
        <v>114</v>
      </c>
      <c r="E98" s="7">
        <v>8</v>
      </c>
      <c r="F98" s="7">
        <v>33.67</v>
      </c>
      <c r="G98" s="7" t="s">
        <v>9</v>
      </c>
      <c r="H98" s="8">
        <v>0</v>
      </c>
      <c r="I98" s="8">
        <v>0</v>
      </c>
      <c r="J98" s="8">
        <v>0</v>
      </c>
      <c r="K98" s="7">
        <v>35.67</v>
      </c>
      <c r="L98" s="7">
        <v>1.21</v>
      </c>
      <c r="M98" s="7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5B7A-8FCD-4770-A2E4-4909547C0217}">
  <dimension ref="A1:M99"/>
  <sheetViews>
    <sheetView topLeftCell="A69" workbookViewId="0">
      <selection activeCell="F69" sqref="F69:F98"/>
    </sheetView>
  </sheetViews>
  <sheetFormatPr defaultRowHeight="14.5" x14ac:dyDescent="0.35"/>
  <sheetData>
    <row r="1" spans="1:13" x14ac:dyDescent="0.35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112</v>
      </c>
      <c r="J1" s="3" t="s">
        <v>112</v>
      </c>
      <c r="K1" s="3" t="s">
        <v>110</v>
      </c>
      <c r="L1" s="3" t="s">
        <v>110</v>
      </c>
      <c r="M1" s="3" t="s">
        <v>113</v>
      </c>
    </row>
    <row r="2" spans="1:13" x14ac:dyDescent="0.35">
      <c r="G2" s="3" t="s">
        <v>112</v>
      </c>
      <c r="I2" s="3" t="s">
        <v>4</v>
      </c>
      <c r="J2" s="3" t="s">
        <v>5</v>
      </c>
      <c r="K2" s="3" t="s">
        <v>4</v>
      </c>
      <c r="L2" s="3" t="s">
        <v>5</v>
      </c>
      <c r="M2" s="3" t="s">
        <v>116</v>
      </c>
    </row>
    <row r="3" spans="1:13" x14ac:dyDescent="0.35">
      <c r="A3" s="3" t="s">
        <v>6</v>
      </c>
      <c r="B3" s="3" t="s">
        <v>7</v>
      </c>
      <c r="C3" s="3" t="s">
        <v>8</v>
      </c>
      <c r="D3" s="3" t="s">
        <v>114</v>
      </c>
      <c r="E3" s="3">
        <v>1</v>
      </c>
      <c r="F3" s="3">
        <v>23.53</v>
      </c>
      <c r="G3" s="3" t="s">
        <v>9</v>
      </c>
      <c r="H3" s="4">
        <v>0</v>
      </c>
      <c r="I3" s="4">
        <v>0</v>
      </c>
      <c r="J3" s="4">
        <v>0</v>
      </c>
      <c r="K3" s="3">
        <v>20.76</v>
      </c>
      <c r="L3" s="3">
        <v>1.657</v>
      </c>
      <c r="M3" s="3" t="s">
        <v>9</v>
      </c>
    </row>
    <row r="4" spans="1:13" x14ac:dyDescent="0.35">
      <c r="A4" s="3" t="s">
        <v>6</v>
      </c>
      <c r="B4" s="3" t="s">
        <v>10</v>
      </c>
      <c r="C4" s="3" t="s">
        <v>8</v>
      </c>
      <c r="D4" s="3" t="s">
        <v>114</v>
      </c>
      <c r="E4" s="3">
        <v>1</v>
      </c>
      <c r="F4" s="3">
        <v>22.88</v>
      </c>
      <c r="G4" s="3" t="s">
        <v>9</v>
      </c>
      <c r="H4" s="4">
        <v>0</v>
      </c>
      <c r="I4" s="4">
        <v>0</v>
      </c>
      <c r="J4" s="4">
        <v>0</v>
      </c>
      <c r="K4" s="3">
        <v>20.76</v>
      </c>
      <c r="L4" s="3">
        <v>1.657</v>
      </c>
      <c r="M4" s="3" t="s">
        <v>9</v>
      </c>
    </row>
    <row r="5" spans="1:13" x14ac:dyDescent="0.35">
      <c r="A5" s="3" t="s">
        <v>6</v>
      </c>
      <c r="B5" s="3" t="s">
        <v>11</v>
      </c>
      <c r="C5" s="3" t="s">
        <v>8</v>
      </c>
      <c r="D5" s="3" t="s">
        <v>114</v>
      </c>
      <c r="E5" s="3">
        <v>1</v>
      </c>
      <c r="F5" s="3">
        <v>22.46</v>
      </c>
      <c r="G5" s="3" t="s">
        <v>9</v>
      </c>
      <c r="H5" s="4">
        <v>0</v>
      </c>
      <c r="I5" s="4">
        <v>0</v>
      </c>
      <c r="J5" s="4">
        <v>0</v>
      </c>
      <c r="K5" s="3">
        <v>20.76</v>
      </c>
      <c r="L5" s="3">
        <v>1.657</v>
      </c>
      <c r="M5" s="3" t="s">
        <v>9</v>
      </c>
    </row>
    <row r="6" spans="1:13" x14ac:dyDescent="0.35">
      <c r="A6" s="3" t="s">
        <v>6</v>
      </c>
      <c r="B6" s="3" t="s">
        <v>12</v>
      </c>
      <c r="C6" s="3" t="s">
        <v>8</v>
      </c>
      <c r="D6" s="3" t="s">
        <v>114</v>
      </c>
      <c r="E6" s="3">
        <v>1</v>
      </c>
      <c r="F6" s="3">
        <v>20.16</v>
      </c>
      <c r="G6" s="3" t="s">
        <v>9</v>
      </c>
      <c r="H6" s="4">
        <v>0</v>
      </c>
      <c r="I6" s="4">
        <v>0</v>
      </c>
      <c r="J6" s="4">
        <v>0</v>
      </c>
      <c r="K6" s="3">
        <v>20.76</v>
      </c>
      <c r="L6" s="3">
        <v>1.657</v>
      </c>
      <c r="M6" s="3" t="s">
        <v>9</v>
      </c>
    </row>
    <row r="7" spans="1:13" x14ac:dyDescent="0.35">
      <c r="A7" s="3" t="s">
        <v>6</v>
      </c>
      <c r="B7" s="3" t="s">
        <v>13</v>
      </c>
      <c r="C7" s="3" t="s">
        <v>8</v>
      </c>
      <c r="D7" s="3" t="s">
        <v>114</v>
      </c>
      <c r="E7" s="3">
        <v>1</v>
      </c>
      <c r="F7" s="3">
        <v>20.68</v>
      </c>
      <c r="G7" s="3" t="s">
        <v>9</v>
      </c>
      <c r="H7" s="4">
        <v>0</v>
      </c>
      <c r="I7" s="4">
        <v>0</v>
      </c>
      <c r="J7" s="4">
        <v>0</v>
      </c>
      <c r="K7" s="3">
        <v>20.76</v>
      </c>
      <c r="L7" s="3">
        <v>1.657</v>
      </c>
      <c r="M7" s="3" t="s">
        <v>9</v>
      </c>
    </row>
    <row r="8" spans="1:13" x14ac:dyDescent="0.35">
      <c r="A8" s="3" t="s">
        <v>6</v>
      </c>
      <c r="B8" s="3" t="s">
        <v>14</v>
      </c>
      <c r="C8" s="3" t="s">
        <v>8</v>
      </c>
      <c r="D8" s="3" t="s">
        <v>114</v>
      </c>
      <c r="E8" s="3">
        <v>1</v>
      </c>
      <c r="F8" s="3">
        <v>20.65</v>
      </c>
      <c r="G8" s="3" t="s">
        <v>9</v>
      </c>
      <c r="H8" s="4">
        <v>0</v>
      </c>
      <c r="I8" s="4">
        <v>0</v>
      </c>
      <c r="J8" s="4">
        <v>0</v>
      </c>
      <c r="K8" s="3">
        <v>20.76</v>
      </c>
      <c r="L8" s="3">
        <v>1.657</v>
      </c>
      <c r="M8" s="3" t="s">
        <v>9</v>
      </c>
    </row>
    <row r="9" spans="1:13" x14ac:dyDescent="0.35">
      <c r="A9" s="3" t="s">
        <v>6</v>
      </c>
      <c r="B9" s="3" t="s">
        <v>15</v>
      </c>
      <c r="C9" s="3" t="s">
        <v>8</v>
      </c>
      <c r="D9" s="3" t="s">
        <v>114</v>
      </c>
      <c r="E9" s="3">
        <v>1</v>
      </c>
      <c r="F9" s="3">
        <v>20.93</v>
      </c>
      <c r="G9" s="3" t="s">
        <v>9</v>
      </c>
      <c r="H9" s="4">
        <v>0</v>
      </c>
      <c r="I9" s="4">
        <v>0</v>
      </c>
      <c r="J9" s="4">
        <v>0</v>
      </c>
      <c r="K9" s="3">
        <v>20.76</v>
      </c>
      <c r="L9" s="3">
        <v>1.657</v>
      </c>
      <c r="M9" s="3" t="s">
        <v>9</v>
      </c>
    </row>
    <row r="10" spans="1:13" x14ac:dyDescent="0.35">
      <c r="A10" s="3" t="s">
        <v>6</v>
      </c>
      <c r="B10" s="3" t="s">
        <v>16</v>
      </c>
      <c r="C10" s="3" t="s">
        <v>8</v>
      </c>
      <c r="D10" s="3" t="s">
        <v>114</v>
      </c>
      <c r="E10" s="3">
        <v>1</v>
      </c>
      <c r="F10" s="3">
        <v>21.14</v>
      </c>
      <c r="G10" s="3" t="s">
        <v>9</v>
      </c>
      <c r="H10" s="4">
        <v>0</v>
      </c>
      <c r="I10" s="4">
        <v>0</v>
      </c>
      <c r="J10" s="4">
        <v>0</v>
      </c>
      <c r="K10" s="3">
        <v>20.76</v>
      </c>
      <c r="L10" s="3">
        <v>1.657</v>
      </c>
      <c r="M10" s="3" t="s">
        <v>9</v>
      </c>
    </row>
    <row r="11" spans="1:13" x14ac:dyDescent="0.35">
      <c r="A11" s="3" t="s">
        <v>6</v>
      </c>
      <c r="B11" s="3" t="s">
        <v>17</v>
      </c>
      <c r="C11" s="3" t="s">
        <v>8</v>
      </c>
      <c r="D11" s="3" t="s">
        <v>114</v>
      </c>
      <c r="E11" s="3">
        <v>1</v>
      </c>
      <c r="F11" s="3">
        <v>20.99</v>
      </c>
      <c r="G11" s="3" t="s">
        <v>9</v>
      </c>
      <c r="H11" s="4">
        <v>0</v>
      </c>
      <c r="I11" s="4">
        <v>0</v>
      </c>
      <c r="J11" s="4">
        <v>0</v>
      </c>
      <c r="K11" s="3">
        <v>20.76</v>
      </c>
      <c r="L11" s="3">
        <v>1.657</v>
      </c>
      <c r="M11" s="3" t="s">
        <v>9</v>
      </c>
    </row>
    <row r="12" spans="1:13" x14ac:dyDescent="0.35">
      <c r="A12" s="3" t="s">
        <v>6</v>
      </c>
      <c r="B12" s="3" t="s">
        <v>18</v>
      </c>
      <c r="C12" s="3" t="s">
        <v>8</v>
      </c>
      <c r="D12" s="3" t="s">
        <v>114</v>
      </c>
      <c r="E12" s="3">
        <v>1</v>
      </c>
      <c r="F12" s="3">
        <v>18.55</v>
      </c>
      <c r="G12" s="3" t="s">
        <v>9</v>
      </c>
      <c r="H12" s="4">
        <v>0</v>
      </c>
      <c r="I12" s="4">
        <v>0</v>
      </c>
      <c r="J12" s="4">
        <v>0</v>
      </c>
      <c r="K12" s="3">
        <v>20.76</v>
      </c>
      <c r="L12" s="3">
        <v>1.657</v>
      </c>
      <c r="M12" s="3" t="s">
        <v>9</v>
      </c>
    </row>
    <row r="13" spans="1:13" x14ac:dyDescent="0.35">
      <c r="A13" s="3" t="s">
        <v>6</v>
      </c>
      <c r="B13" s="3" t="s">
        <v>19</v>
      </c>
      <c r="C13" s="3" t="s">
        <v>8</v>
      </c>
      <c r="D13" s="3" t="s">
        <v>114</v>
      </c>
      <c r="E13" s="3">
        <v>1</v>
      </c>
      <c r="F13" s="3">
        <v>18.3</v>
      </c>
      <c r="G13" s="3" t="s">
        <v>9</v>
      </c>
      <c r="H13" s="4">
        <v>0</v>
      </c>
      <c r="I13" s="4">
        <v>0</v>
      </c>
      <c r="J13" s="4">
        <v>0</v>
      </c>
      <c r="K13" s="3">
        <v>20.76</v>
      </c>
      <c r="L13" s="3">
        <v>1.657</v>
      </c>
      <c r="M13" s="3" t="s">
        <v>9</v>
      </c>
    </row>
    <row r="14" spans="1:13" x14ac:dyDescent="0.35">
      <c r="A14" s="3" t="s">
        <v>6</v>
      </c>
      <c r="B14" s="3" t="s">
        <v>20</v>
      </c>
      <c r="C14" s="3" t="s">
        <v>8</v>
      </c>
      <c r="D14" s="3" t="s">
        <v>114</v>
      </c>
      <c r="E14" s="3">
        <v>1</v>
      </c>
      <c r="F14" s="3">
        <v>18.850000000000001</v>
      </c>
      <c r="G14" s="3" t="s">
        <v>9</v>
      </c>
      <c r="H14" s="4">
        <v>0</v>
      </c>
      <c r="I14" s="4">
        <v>0</v>
      </c>
      <c r="J14" s="4">
        <v>0</v>
      </c>
      <c r="K14" s="3">
        <v>20.76</v>
      </c>
      <c r="L14" s="3">
        <v>1.657</v>
      </c>
      <c r="M14" s="3" t="s">
        <v>9</v>
      </c>
    </row>
    <row r="15" spans="1:13" x14ac:dyDescent="0.35">
      <c r="A15" s="3" t="s">
        <v>6</v>
      </c>
      <c r="B15" s="3" t="s">
        <v>21</v>
      </c>
      <c r="C15" s="3" t="s">
        <v>8</v>
      </c>
      <c r="D15" s="3" t="s">
        <v>114</v>
      </c>
      <c r="E15" s="3">
        <v>2</v>
      </c>
      <c r="F15" s="3">
        <v>23.8</v>
      </c>
      <c r="G15" s="3" t="s">
        <v>9</v>
      </c>
      <c r="H15" s="4">
        <v>0</v>
      </c>
      <c r="I15" s="4">
        <v>0</v>
      </c>
      <c r="J15" s="4">
        <v>0</v>
      </c>
      <c r="K15" s="3">
        <v>20.87</v>
      </c>
      <c r="L15" s="3">
        <v>1.623</v>
      </c>
      <c r="M15" s="3" t="s">
        <v>9</v>
      </c>
    </row>
    <row r="16" spans="1:13" x14ac:dyDescent="0.35">
      <c r="A16" s="3" t="s">
        <v>6</v>
      </c>
      <c r="B16" s="3" t="s">
        <v>22</v>
      </c>
      <c r="C16" s="3" t="s">
        <v>8</v>
      </c>
      <c r="D16" s="3" t="s">
        <v>114</v>
      </c>
      <c r="E16" s="3">
        <v>2</v>
      </c>
      <c r="F16" s="3">
        <v>23.74</v>
      </c>
      <c r="G16" s="3" t="s">
        <v>9</v>
      </c>
      <c r="H16" s="4">
        <v>0</v>
      </c>
      <c r="I16" s="4">
        <v>0</v>
      </c>
      <c r="J16" s="4">
        <v>0</v>
      </c>
      <c r="K16" s="3">
        <v>20.87</v>
      </c>
      <c r="L16" s="3">
        <v>1.623</v>
      </c>
      <c r="M16" s="3" t="s">
        <v>9</v>
      </c>
    </row>
    <row r="17" spans="1:13" x14ac:dyDescent="0.35">
      <c r="A17" s="3" t="s">
        <v>6</v>
      </c>
      <c r="B17" s="3" t="s">
        <v>23</v>
      </c>
      <c r="C17" s="3" t="s">
        <v>8</v>
      </c>
      <c r="D17" s="3" t="s">
        <v>114</v>
      </c>
      <c r="E17" s="3">
        <v>2</v>
      </c>
      <c r="F17" s="3">
        <v>22.94</v>
      </c>
      <c r="G17" s="3" t="s">
        <v>9</v>
      </c>
      <c r="H17" s="4">
        <v>0</v>
      </c>
      <c r="I17" s="4">
        <v>0</v>
      </c>
      <c r="J17" s="4">
        <v>0</v>
      </c>
      <c r="K17" s="3">
        <v>20.87</v>
      </c>
      <c r="L17" s="3">
        <v>1.623</v>
      </c>
      <c r="M17" s="3" t="s">
        <v>9</v>
      </c>
    </row>
    <row r="18" spans="1:13" x14ac:dyDescent="0.35">
      <c r="A18" s="3" t="s">
        <v>6</v>
      </c>
      <c r="B18" s="3" t="s">
        <v>24</v>
      </c>
      <c r="C18" s="3" t="s">
        <v>8</v>
      </c>
      <c r="D18" s="3" t="s">
        <v>114</v>
      </c>
      <c r="E18" s="3">
        <v>2</v>
      </c>
      <c r="F18" s="3">
        <v>19.88</v>
      </c>
      <c r="G18" s="3" t="s">
        <v>9</v>
      </c>
      <c r="H18" s="4">
        <v>0</v>
      </c>
      <c r="I18" s="4">
        <v>0</v>
      </c>
      <c r="J18" s="4">
        <v>0</v>
      </c>
      <c r="K18" s="3">
        <v>20.87</v>
      </c>
      <c r="L18" s="3">
        <v>1.623</v>
      </c>
      <c r="M18" s="3" t="s">
        <v>9</v>
      </c>
    </row>
    <row r="19" spans="1:13" x14ac:dyDescent="0.35">
      <c r="A19" s="3" t="s">
        <v>6</v>
      </c>
      <c r="B19" s="3" t="s">
        <v>25</v>
      </c>
      <c r="C19" s="3" t="s">
        <v>8</v>
      </c>
      <c r="D19" s="3" t="s">
        <v>114</v>
      </c>
      <c r="E19" s="3">
        <v>2</v>
      </c>
      <c r="F19" s="3">
        <v>19.43</v>
      </c>
      <c r="G19" s="3" t="s">
        <v>9</v>
      </c>
      <c r="H19" s="4">
        <v>0</v>
      </c>
      <c r="I19" s="4">
        <v>0</v>
      </c>
      <c r="J19" s="4">
        <v>0</v>
      </c>
      <c r="K19" s="3">
        <v>20.87</v>
      </c>
      <c r="L19" s="3">
        <v>1.623</v>
      </c>
      <c r="M19" s="3" t="s">
        <v>9</v>
      </c>
    </row>
    <row r="20" spans="1:13" x14ac:dyDescent="0.35">
      <c r="A20" s="3" t="s">
        <v>6</v>
      </c>
      <c r="B20" s="3" t="s">
        <v>26</v>
      </c>
      <c r="C20" s="3" t="s">
        <v>8</v>
      </c>
      <c r="D20" s="3" t="s">
        <v>114</v>
      </c>
      <c r="E20" s="3">
        <v>2</v>
      </c>
      <c r="F20" s="3">
        <v>20.149999999999999</v>
      </c>
      <c r="G20" s="3" t="s">
        <v>9</v>
      </c>
      <c r="H20" s="4">
        <v>0</v>
      </c>
      <c r="I20" s="4">
        <v>0</v>
      </c>
      <c r="J20" s="4">
        <v>0</v>
      </c>
      <c r="K20" s="3">
        <v>20.87</v>
      </c>
      <c r="L20" s="3">
        <v>1.623</v>
      </c>
      <c r="M20" s="3" t="s">
        <v>9</v>
      </c>
    </row>
    <row r="21" spans="1:13" x14ac:dyDescent="0.35">
      <c r="A21" s="3" t="s">
        <v>6</v>
      </c>
      <c r="B21" s="3" t="s">
        <v>27</v>
      </c>
      <c r="C21" s="3" t="s">
        <v>8</v>
      </c>
      <c r="D21" s="3" t="s">
        <v>114</v>
      </c>
      <c r="E21" s="3">
        <v>2</v>
      </c>
      <c r="F21" s="3">
        <v>20.059999999999999</v>
      </c>
      <c r="G21" s="3" t="s">
        <v>9</v>
      </c>
      <c r="H21" s="4">
        <v>0</v>
      </c>
      <c r="I21" s="4">
        <v>0</v>
      </c>
      <c r="J21" s="4">
        <v>0</v>
      </c>
      <c r="K21" s="3">
        <v>20.87</v>
      </c>
      <c r="L21" s="3">
        <v>1.623</v>
      </c>
      <c r="M21" s="3" t="s">
        <v>9</v>
      </c>
    </row>
    <row r="22" spans="1:13" x14ac:dyDescent="0.35">
      <c r="A22" s="3" t="s">
        <v>6</v>
      </c>
      <c r="B22" s="3" t="s">
        <v>28</v>
      </c>
      <c r="C22" s="3" t="s">
        <v>8</v>
      </c>
      <c r="D22" s="3" t="s">
        <v>114</v>
      </c>
      <c r="E22" s="3">
        <v>2</v>
      </c>
      <c r="F22" s="3">
        <v>19.82</v>
      </c>
      <c r="G22" s="3" t="s">
        <v>9</v>
      </c>
      <c r="H22" s="4">
        <v>0</v>
      </c>
      <c r="I22" s="4">
        <v>0</v>
      </c>
      <c r="J22" s="4">
        <v>0</v>
      </c>
      <c r="K22" s="3">
        <v>20.87</v>
      </c>
      <c r="L22" s="3">
        <v>1.623</v>
      </c>
      <c r="M22" s="3" t="s">
        <v>9</v>
      </c>
    </row>
    <row r="23" spans="1:13" x14ac:dyDescent="0.35">
      <c r="A23" s="3" t="s">
        <v>6</v>
      </c>
      <c r="B23" s="3" t="s">
        <v>29</v>
      </c>
      <c r="C23" s="3" t="s">
        <v>8</v>
      </c>
      <c r="D23" s="3" t="s">
        <v>114</v>
      </c>
      <c r="E23" s="3">
        <v>2</v>
      </c>
      <c r="F23" s="3">
        <v>20.059999999999999</v>
      </c>
      <c r="G23" s="3" t="s">
        <v>9</v>
      </c>
      <c r="H23" s="4">
        <v>0</v>
      </c>
      <c r="I23" s="4">
        <v>0</v>
      </c>
      <c r="J23" s="4">
        <v>0</v>
      </c>
      <c r="K23" s="3">
        <v>20.87</v>
      </c>
      <c r="L23" s="3">
        <v>1.623</v>
      </c>
      <c r="M23" s="3" t="s">
        <v>9</v>
      </c>
    </row>
    <row r="24" spans="1:13" x14ac:dyDescent="0.35">
      <c r="A24" s="3" t="s">
        <v>6</v>
      </c>
      <c r="B24" s="3" t="s">
        <v>30</v>
      </c>
      <c r="C24" s="3" t="s">
        <v>8</v>
      </c>
      <c r="D24" s="3" t="s">
        <v>114</v>
      </c>
      <c r="E24" s="3">
        <v>2</v>
      </c>
      <c r="F24" s="3">
        <v>19.62</v>
      </c>
      <c r="G24" s="3" t="s">
        <v>9</v>
      </c>
      <c r="H24" s="4">
        <v>0</v>
      </c>
      <c r="I24" s="4">
        <v>0</v>
      </c>
      <c r="J24" s="4">
        <v>0</v>
      </c>
      <c r="K24" s="3">
        <v>20.87</v>
      </c>
      <c r="L24" s="3">
        <v>1.623</v>
      </c>
      <c r="M24" s="3" t="s">
        <v>9</v>
      </c>
    </row>
    <row r="25" spans="1:13" x14ac:dyDescent="0.35">
      <c r="A25" s="3" t="s">
        <v>6</v>
      </c>
      <c r="B25" s="3" t="s">
        <v>31</v>
      </c>
      <c r="C25" s="3" t="s">
        <v>8</v>
      </c>
      <c r="D25" s="3" t="s">
        <v>114</v>
      </c>
      <c r="E25" s="3">
        <v>2</v>
      </c>
      <c r="F25" s="3">
        <v>20.55</v>
      </c>
      <c r="G25" s="3" t="s">
        <v>9</v>
      </c>
      <c r="H25" s="4">
        <v>0</v>
      </c>
      <c r="I25" s="4">
        <v>0</v>
      </c>
      <c r="J25" s="4">
        <v>0</v>
      </c>
      <c r="K25" s="3">
        <v>20.87</v>
      </c>
      <c r="L25" s="3">
        <v>1.623</v>
      </c>
      <c r="M25" s="3" t="s">
        <v>9</v>
      </c>
    </row>
    <row r="26" spans="1:13" x14ac:dyDescent="0.35">
      <c r="A26" s="3" t="s">
        <v>6</v>
      </c>
      <c r="B26" s="3" t="s">
        <v>32</v>
      </c>
      <c r="C26" s="3" t="s">
        <v>8</v>
      </c>
      <c r="D26" s="3" t="s">
        <v>114</v>
      </c>
      <c r="E26" s="3">
        <v>2</v>
      </c>
      <c r="F26" s="3">
        <v>20.399999999999999</v>
      </c>
      <c r="G26" s="3" t="s">
        <v>9</v>
      </c>
      <c r="H26" s="4">
        <v>0</v>
      </c>
      <c r="I26" s="4">
        <v>0</v>
      </c>
      <c r="J26" s="4">
        <v>0</v>
      </c>
      <c r="K26" s="3">
        <v>20.87</v>
      </c>
      <c r="L26" s="3">
        <v>1.623</v>
      </c>
      <c r="M26" s="3" t="s">
        <v>9</v>
      </c>
    </row>
    <row r="27" spans="1:13" x14ac:dyDescent="0.35">
      <c r="A27" s="3" t="s">
        <v>6</v>
      </c>
      <c r="B27" s="3" t="s">
        <v>33</v>
      </c>
      <c r="C27" s="3" t="s">
        <v>8</v>
      </c>
      <c r="D27" s="3" t="s">
        <v>114</v>
      </c>
      <c r="E27" s="3">
        <v>3</v>
      </c>
      <c r="F27" s="3">
        <v>21.24</v>
      </c>
      <c r="G27" s="3" t="s">
        <v>9</v>
      </c>
      <c r="H27" s="4">
        <v>0</v>
      </c>
      <c r="I27" s="4">
        <v>0</v>
      </c>
      <c r="J27" s="4">
        <v>0</v>
      </c>
      <c r="K27" s="3">
        <v>20.059999999999999</v>
      </c>
      <c r="L27" s="3">
        <v>0.86299999999999999</v>
      </c>
      <c r="M27" s="3" t="s">
        <v>9</v>
      </c>
    </row>
    <row r="28" spans="1:13" x14ac:dyDescent="0.35">
      <c r="A28" s="3" t="s">
        <v>6</v>
      </c>
      <c r="B28" s="3" t="s">
        <v>34</v>
      </c>
      <c r="C28" s="3" t="s">
        <v>8</v>
      </c>
      <c r="D28" s="3" t="s">
        <v>114</v>
      </c>
      <c r="E28" s="3">
        <v>3</v>
      </c>
      <c r="F28" s="3">
        <v>20.74</v>
      </c>
      <c r="G28" s="3" t="s">
        <v>9</v>
      </c>
      <c r="H28" s="4">
        <v>0</v>
      </c>
      <c r="I28" s="4">
        <v>0</v>
      </c>
      <c r="J28" s="4">
        <v>0</v>
      </c>
      <c r="K28" s="3">
        <v>20.059999999999999</v>
      </c>
      <c r="L28" s="3">
        <v>0.86299999999999999</v>
      </c>
      <c r="M28" s="3" t="s">
        <v>9</v>
      </c>
    </row>
    <row r="29" spans="1:13" x14ac:dyDescent="0.35">
      <c r="A29" s="3" t="s">
        <v>6</v>
      </c>
      <c r="B29" s="3" t="s">
        <v>35</v>
      </c>
      <c r="C29" s="3" t="s">
        <v>8</v>
      </c>
      <c r="D29" s="3" t="s">
        <v>114</v>
      </c>
      <c r="E29" s="3">
        <v>3</v>
      </c>
      <c r="F29" s="3">
        <v>19.72</v>
      </c>
      <c r="G29" s="3" t="s">
        <v>9</v>
      </c>
      <c r="H29" s="4">
        <v>0</v>
      </c>
      <c r="I29" s="4">
        <v>0</v>
      </c>
      <c r="J29" s="4">
        <v>0</v>
      </c>
      <c r="K29" s="3">
        <v>20.059999999999999</v>
      </c>
      <c r="L29" s="3">
        <v>0.86299999999999999</v>
      </c>
      <c r="M29" s="3" t="s">
        <v>9</v>
      </c>
    </row>
    <row r="30" spans="1:13" x14ac:dyDescent="0.35">
      <c r="A30" s="3" t="s">
        <v>6</v>
      </c>
      <c r="B30" s="3" t="s">
        <v>36</v>
      </c>
      <c r="C30" s="3" t="s">
        <v>8</v>
      </c>
      <c r="D30" s="3" t="s">
        <v>114</v>
      </c>
      <c r="E30" s="3">
        <v>3</v>
      </c>
      <c r="F30" s="3">
        <v>19.95</v>
      </c>
      <c r="G30" s="3" t="s">
        <v>9</v>
      </c>
      <c r="H30" s="4">
        <v>0</v>
      </c>
      <c r="I30" s="4">
        <v>0</v>
      </c>
      <c r="J30" s="4">
        <v>0</v>
      </c>
      <c r="K30" s="3">
        <v>20.059999999999999</v>
      </c>
      <c r="L30" s="3">
        <v>0.86299999999999999</v>
      </c>
      <c r="M30" s="3" t="s">
        <v>9</v>
      </c>
    </row>
    <row r="31" spans="1:13" x14ac:dyDescent="0.35">
      <c r="A31" s="3" t="s">
        <v>6</v>
      </c>
      <c r="B31" s="3" t="s">
        <v>37</v>
      </c>
      <c r="C31" s="3" t="s">
        <v>8</v>
      </c>
      <c r="D31" s="3" t="s">
        <v>114</v>
      </c>
      <c r="E31" s="3">
        <v>3</v>
      </c>
      <c r="F31" s="3">
        <v>19.96</v>
      </c>
      <c r="G31" s="3" t="s">
        <v>9</v>
      </c>
      <c r="H31" s="4">
        <v>0</v>
      </c>
      <c r="I31" s="4">
        <v>0</v>
      </c>
      <c r="J31" s="4">
        <v>0</v>
      </c>
      <c r="K31" s="3">
        <v>20.059999999999999</v>
      </c>
      <c r="L31" s="3">
        <v>0.86299999999999999</v>
      </c>
      <c r="M31" s="3" t="s">
        <v>9</v>
      </c>
    </row>
    <row r="32" spans="1:13" x14ac:dyDescent="0.35">
      <c r="A32" s="3" t="s">
        <v>6</v>
      </c>
      <c r="B32" s="3" t="s">
        <v>38</v>
      </c>
      <c r="C32" s="3" t="s">
        <v>8</v>
      </c>
      <c r="D32" s="3" t="s">
        <v>114</v>
      </c>
      <c r="E32" s="3">
        <v>3</v>
      </c>
      <c r="F32" s="3">
        <v>18.739999999999998</v>
      </c>
      <c r="G32" s="3" t="s">
        <v>9</v>
      </c>
      <c r="H32" s="4">
        <v>0</v>
      </c>
      <c r="I32" s="4">
        <v>0</v>
      </c>
      <c r="J32" s="4">
        <v>0</v>
      </c>
      <c r="K32" s="3">
        <v>20.059999999999999</v>
      </c>
      <c r="L32" s="3">
        <v>0.86299999999999999</v>
      </c>
      <c r="M32" s="3" t="s">
        <v>9</v>
      </c>
    </row>
    <row r="33" spans="1:13" x14ac:dyDescent="0.35">
      <c r="A33" s="3" t="s">
        <v>6</v>
      </c>
      <c r="B33" s="3" t="s">
        <v>39</v>
      </c>
      <c r="C33" s="3" t="s">
        <v>8</v>
      </c>
      <c r="D33" s="3" t="s">
        <v>114</v>
      </c>
      <c r="E33" s="3">
        <v>3</v>
      </c>
      <c r="F33" s="3" t="s">
        <v>9</v>
      </c>
      <c r="G33" s="3" t="s">
        <v>9</v>
      </c>
      <c r="H33" s="4">
        <v>0</v>
      </c>
      <c r="I33" s="4">
        <v>0</v>
      </c>
      <c r="J33" s="4">
        <v>0</v>
      </c>
      <c r="K33" s="3">
        <v>0</v>
      </c>
      <c r="L33" s="3">
        <v>0</v>
      </c>
      <c r="M33" s="3" t="s">
        <v>9</v>
      </c>
    </row>
    <row r="34" spans="1:13" x14ac:dyDescent="0.35">
      <c r="A34" s="3" t="s">
        <v>6</v>
      </c>
      <c r="B34" s="3" t="s">
        <v>40</v>
      </c>
      <c r="C34" s="3" t="s">
        <v>8</v>
      </c>
      <c r="D34" s="3" t="s">
        <v>114</v>
      </c>
      <c r="E34" s="3">
        <v>3</v>
      </c>
      <c r="F34" s="3" t="s">
        <v>9</v>
      </c>
      <c r="G34" s="3" t="s">
        <v>9</v>
      </c>
      <c r="H34" s="4">
        <v>0</v>
      </c>
      <c r="I34" s="4">
        <v>0</v>
      </c>
      <c r="J34" s="4">
        <v>0</v>
      </c>
      <c r="K34" s="3">
        <v>0</v>
      </c>
      <c r="L34" s="3">
        <v>0</v>
      </c>
      <c r="M34" s="3" t="s">
        <v>9</v>
      </c>
    </row>
    <row r="35" spans="1:13" x14ac:dyDescent="0.35">
      <c r="A35" s="3" t="s">
        <v>6</v>
      </c>
      <c r="B35" s="3" t="s">
        <v>41</v>
      </c>
      <c r="C35" s="3" t="s">
        <v>8</v>
      </c>
      <c r="D35" s="3" t="s">
        <v>114</v>
      </c>
      <c r="E35" s="3">
        <v>3</v>
      </c>
      <c r="F35" s="3" t="s">
        <v>9</v>
      </c>
      <c r="G35" s="3" t="s">
        <v>9</v>
      </c>
      <c r="H35" s="4">
        <v>0</v>
      </c>
      <c r="I35" s="4">
        <v>0</v>
      </c>
      <c r="J35" s="4">
        <v>0</v>
      </c>
      <c r="K35" s="3">
        <v>0</v>
      </c>
      <c r="L35" s="3">
        <v>0</v>
      </c>
      <c r="M35" s="3" t="s">
        <v>9</v>
      </c>
    </row>
    <row r="36" spans="1:13" x14ac:dyDescent="0.35">
      <c r="A36" s="3" t="s">
        <v>6</v>
      </c>
      <c r="B36" s="3" t="s">
        <v>42</v>
      </c>
      <c r="C36" s="3" t="s">
        <v>8</v>
      </c>
      <c r="D36" s="3" t="s">
        <v>114</v>
      </c>
      <c r="E36" s="3">
        <v>3</v>
      </c>
      <c r="F36" s="3" t="s">
        <v>9</v>
      </c>
      <c r="G36" s="3" t="s">
        <v>9</v>
      </c>
      <c r="H36" s="4">
        <v>0</v>
      </c>
      <c r="I36" s="4">
        <v>0</v>
      </c>
      <c r="J36" s="4">
        <v>0</v>
      </c>
      <c r="K36" s="3">
        <v>0</v>
      </c>
      <c r="L36" s="3">
        <v>0</v>
      </c>
      <c r="M36" s="3" t="s">
        <v>9</v>
      </c>
    </row>
    <row r="37" spans="1:13" x14ac:dyDescent="0.35">
      <c r="A37" s="3" t="s">
        <v>6</v>
      </c>
      <c r="B37" s="3" t="s">
        <v>43</v>
      </c>
      <c r="C37" s="3" t="s">
        <v>8</v>
      </c>
      <c r="D37" s="3" t="s">
        <v>114</v>
      </c>
      <c r="E37" s="3">
        <v>3</v>
      </c>
      <c r="F37" s="3" t="s">
        <v>9</v>
      </c>
      <c r="G37" s="3" t="s">
        <v>9</v>
      </c>
      <c r="H37" s="4">
        <v>0</v>
      </c>
      <c r="I37" s="4">
        <v>0</v>
      </c>
      <c r="J37" s="4">
        <v>0</v>
      </c>
      <c r="K37" s="3">
        <v>0</v>
      </c>
      <c r="L37" s="3">
        <v>0</v>
      </c>
      <c r="M37" s="3" t="s">
        <v>9</v>
      </c>
    </row>
    <row r="38" spans="1:13" x14ac:dyDescent="0.35">
      <c r="A38" s="3" t="s">
        <v>6</v>
      </c>
      <c r="B38" s="3" t="s">
        <v>44</v>
      </c>
      <c r="C38" s="3" t="s">
        <v>8</v>
      </c>
      <c r="D38" s="3" t="s">
        <v>114</v>
      </c>
      <c r="E38" s="3">
        <v>3</v>
      </c>
      <c r="F38" s="3" t="s">
        <v>9</v>
      </c>
      <c r="G38" s="3" t="s">
        <v>9</v>
      </c>
      <c r="H38" s="4">
        <v>0</v>
      </c>
      <c r="I38" s="4">
        <v>0</v>
      </c>
      <c r="J38" s="4">
        <v>0</v>
      </c>
      <c r="K38" s="3">
        <v>0</v>
      </c>
      <c r="L38" s="3">
        <v>0</v>
      </c>
      <c r="M38" s="3" t="s">
        <v>9</v>
      </c>
    </row>
    <row r="39" spans="1:13" x14ac:dyDescent="0.35">
      <c r="A39" s="3" t="s">
        <v>6</v>
      </c>
      <c r="B39" s="3" t="s">
        <v>45</v>
      </c>
      <c r="C39" s="3" t="s">
        <v>8</v>
      </c>
      <c r="D39" s="3" t="s">
        <v>114</v>
      </c>
      <c r="E39" s="3">
        <v>4</v>
      </c>
      <c r="F39" s="3">
        <v>36.479999999999997</v>
      </c>
      <c r="G39" s="3" t="s">
        <v>9</v>
      </c>
      <c r="H39" s="4">
        <v>0</v>
      </c>
      <c r="I39" s="4">
        <v>0</v>
      </c>
      <c r="J39" s="4">
        <v>0</v>
      </c>
      <c r="K39" s="3">
        <v>30.58</v>
      </c>
      <c r="L39" s="3">
        <v>5.6349999999999998</v>
      </c>
      <c r="M39" s="3" t="s">
        <v>9</v>
      </c>
    </row>
    <row r="40" spans="1:13" x14ac:dyDescent="0.35">
      <c r="A40" s="3" t="s">
        <v>6</v>
      </c>
      <c r="B40" s="3" t="s">
        <v>46</v>
      </c>
      <c r="C40" s="3" t="s">
        <v>8</v>
      </c>
      <c r="D40" s="3" t="s">
        <v>114</v>
      </c>
      <c r="E40" s="3">
        <v>4</v>
      </c>
      <c r="F40" s="3">
        <v>34.090000000000003</v>
      </c>
      <c r="G40" s="3" t="s">
        <v>9</v>
      </c>
      <c r="H40" s="4">
        <v>0</v>
      </c>
      <c r="I40" s="4">
        <v>0</v>
      </c>
      <c r="J40" s="4">
        <v>0</v>
      </c>
      <c r="K40" s="3">
        <v>30.58</v>
      </c>
      <c r="L40" s="3">
        <v>5.6349999999999998</v>
      </c>
      <c r="M40" s="3" t="s">
        <v>9</v>
      </c>
    </row>
    <row r="41" spans="1:13" x14ac:dyDescent="0.35">
      <c r="A41" s="3" t="s">
        <v>6</v>
      </c>
      <c r="B41" s="3" t="s">
        <v>47</v>
      </c>
      <c r="C41" s="3" t="s">
        <v>8</v>
      </c>
      <c r="D41" s="3" t="s">
        <v>114</v>
      </c>
      <c r="E41" s="3">
        <v>4</v>
      </c>
      <c r="F41" s="3">
        <v>35.64</v>
      </c>
      <c r="G41" s="3" t="s">
        <v>9</v>
      </c>
      <c r="H41" s="4">
        <v>0</v>
      </c>
      <c r="I41" s="4">
        <v>0</v>
      </c>
      <c r="J41" s="4">
        <v>0</v>
      </c>
      <c r="K41" s="3">
        <v>30.58</v>
      </c>
      <c r="L41" s="3">
        <v>5.6349999999999998</v>
      </c>
      <c r="M41" s="3" t="s">
        <v>9</v>
      </c>
    </row>
    <row r="42" spans="1:13" x14ac:dyDescent="0.35">
      <c r="A42" s="3" t="s">
        <v>6</v>
      </c>
      <c r="B42" s="3" t="s">
        <v>48</v>
      </c>
      <c r="C42" s="3" t="s">
        <v>8</v>
      </c>
      <c r="D42" s="3" t="s">
        <v>114</v>
      </c>
      <c r="E42" s="3">
        <v>4</v>
      </c>
      <c r="F42" s="3">
        <v>29.85</v>
      </c>
      <c r="G42" s="3" t="s">
        <v>9</v>
      </c>
      <c r="H42" s="4">
        <v>0</v>
      </c>
      <c r="I42" s="4">
        <v>0</v>
      </c>
      <c r="J42" s="4">
        <v>0</v>
      </c>
      <c r="K42" s="3">
        <v>30.58</v>
      </c>
      <c r="L42" s="3">
        <v>5.6349999999999998</v>
      </c>
      <c r="M42" s="3" t="s">
        <v>9</v>
      </c>
    </row>
    <row r="43" spans="1:13" x14ac:dyDescent="0.35">
      <c r="A43" s="3" t="s">
        <v>6</v>
      </c>
      <c r="B43" s="3" t="s">
        <v>49</v>
      </c>
      <c r="C43" s="3" t="s">
        <v>8</v>
      </c>
      <c r="D43" s="3" t="s">
        <v>114</v>
      </c>
      <c r="E43" s="3">
        <v>4</v>
      </c>
      <c r="F43" s="3">
        <v>31.62</v>
      </c>
      <c r="G43" s="3" t="s">
        <v>9</v>
      </c>
      <c r="H43" s="4">
        <v>0</v>
      </c>
      <c r="I43" s="4">
        <v>0</v>
      </c>
      <c r="J43" s="4">
        <v>0</v>
      </c>
      <c r="K43" s="3">
        <v>30.58</v>
      </c>
      <c r="L43" s="3">
        <v>5.6349999999999998</v>
      </c>
      <c r="M43" s="3" t="s">
        <v>9</v>
      </c>
    </row>
    <row r="44" spans="1:13" x14ac:dyDescent="0.35">
      <c r="A44" s="3" t="s">
        <v>6</v>
      </c>
      <c r="B44" s="3" t="s">
        <v>50</v>
      </c>
      <c r="C44" s="3" t="s">
        <v>8</v>
      </c>
      <c r="D44" s="3" t="s">
        <v>114</v>
      </c>
      <c r="E44" s="3">
        <v>4</v>
      </c>
      <c r="F44" s="3">
        <v>30.91</v>
      </c>
      <c r="G44" s="3" t="s">
        <v>9</v>
      </c>
      <c r="H44" s="4">
        <v>0</v>
      </c>
      <c r="I44" s="4">
        <v>0</v>
      </c>
      <c r="J44" s="4">
        <v>0</v>
      </c>
      <c r="K44" s="3">
        <v>30.58</v>
      </c>
      <c r="L44" s="3">
        <v>5.6349999999999998</v>
      </c>
      <c r="M44" s="3" t="s">
        <v>9</v>
      </c>
    </row>
    <row r="45" spans="1:13" x14ac:dyDescent="0.35">
      <c r="A45" s="3" t="s">
        <v>6</v>
      </c>
      <c r="B45" s="3" t="s">
        <v>51</v>
      </c>
      <c r="C45" s="3" t="s">
        <v>8</v>
      </c>
      <c r="D45" s="3" t="s">
        <v>114</v>
      </c>
      <c r="E45" s="3">
        <v>4</v>
      </c>
      <c r="F45" s="3">
        <v>33.880000000000003</v>
      </c>
      <c r="G45" s="3" t="s">
        <v>9</v>
      </c>
      <c r="H45" s="4">
        <v>0</v>
      </c>
      <c r="I45" s="4">
        <v>0</v>
      </c>
      <c r="J45" s="4">
        <v>0</v>
      </c>
      <c r="K45" s="3">
        <v>30.58</v>
      </c>
      <c r="L45" s="3">
        <v>5.6349999999999998</v>
      </c>
      <c r="M45" s="3" t="s">
        <v>9</v>
      </c>
    </row>
    <row r="46" spans="1:13" x14ac:dyDescent="0.35">
      <c r="A46" s="3" t="s">
        <v>6</v>
      </c>
      <c r="B46" s="3" t="s">
        <v>52</v>
      </c>
      <c r="C46" s="3" t="s">
        <v>8</v>
      </c>
      <c r="D46" s="3" t="s">
        <v>114</v>
      </c>
      <c r="E46" s="3">
        <v>4</v>
      </c>
      <c r="F46" s="3">
        <v>35.880000000000003</v>
      </c>
      <c r="G46" s="3" t="s">
        <v>9</v>
      </c>
      <c r="H46" s="4">
        <v>0</v>
      </c>
      <c r="I46" s="4">
        <v>0</v>
      </c>
      <c r="J46" s="4">
        <v>0</v>
      </c>
      <c r="K46" s="3">
        <v>30.58</v>
      </c>
      <c r="L46" s="3">
        <v>5.6349999999999998</v>
      </c>
      <c r="M46" s="3" t="s">
        <v>9</v>
      </c>
    </row>
    <row r="47" spans="1:13" x14ac:dyDescent="0.35">
      <c r="A47" s="3" t="s">
        <v>6</v>
      </c>
      <c r="B47" s="3" t="s">
        <v>53</v>
      </c>
      <c r="C47" s="3" t="s">
        <v>8</v>
      </c>
      <c r="D47" s="3" t="s">
        <v>114</v>
      </c>
      <c r="E47" s="3">
        <v>4</v>
      </c>
      <c r="F47" s="3">
        <v>33.1</v>
      </c>
      <c r="G47" s="3" t="s">
        <v>9</v>
      </c>
      <c r="H47" s="4">
        <v>0</v>
      </c>
      <c r="I47" s="4">
        <v>0</v>
      </c>
      <c r="J47" s="4">
        <v>0</v>
      </c>
      <c r="K47" s="3">
        <v>30.58</v>
      </c>
      <c r="L47" s="3">
        <v>5.6349999999999998</v>
      </c>
      <c r="M47" s="3" t="s">
        <v>9</v>
      </c>
    </row>
    <row r="48" spans="1:13" x14ac:dyDescent="0.35">
      <c r="A48" s="3" t="s">
        <v>6</v>
      </c>
      <c r="B48" s="3" t="s">
        <v>54</v>
      </c>
      <c r="C48" s="3" t="s">
        <v>8</v>
      </c>
      <c r="D48" s="3" t="s">
        <v>114</v>
      </c>
      <c r="E48" s="3">
        <v>4</v>
      </c>
      <c r="F48" s="3">
        <v>21.75</v>
      </c>
      <c r="G48" s="3" t="s">
        <v>9</v>
      </c>
      <c r="H48" s="4">
        <v>0</v>
      </c>
      <c r="I48" s="4">
        <v>0</v>
      </c>
      <c r="J48" s="4">
        <v>0</v>
      </c>
      <c r="K48" s="3">
        <v>30.58</v>
      </c>
      <c r="L48" s="3">
        <v>5.6349999999999998</v>
      </c>
      <c r="M48" s="3" t="s">
        <v>9</v>
      </c>
    </row>
    <row r="49" spans="1:13" x14ac:dyDescent="0.35">
      <c r="A49" s="3" t="s">
        <v>6</v>
      </c>
      <c r="B49" s="3" t="s">
        <v>55</v>
      </c>
      <c r="C49" s="3" t="s">
        <v>8</v>
      </c>
      <c r="D49" s="3" t="s">
        <v>114</v>
      </c>
      <c r="E49" s="3">
        <v>4</v>
      </c>
      <c r="F49" s="3">
        <v>21.67</v>
      </c>
      <c r="G49" s="3" t="s">
        <v>9</v>
      </c>
      <c r="H49" s="4">
        <v>0</v>
      </c>
      <c r="I49" s="4">
        <v>0</v>
      </c>
      <c r="J49" s="4">
        <v>0</v>
      </c>
      <c r="K49" s="3">
        <v>30.58</v>
      </c>
      <c r="L49" s="3">
        <v>5.6349999999999998</v>
      </c>
      <c r="M49" s="3" t="s">
        <v>9</v>
      </c>
    </row>
    <row r="50" spans="1:13" x14ac:dyDescent="0.35">
      <c r="A50" s="3" t="s">
        <v>6</v>
      </c>
      <c r="B50" s="3" t="s">
        <v>56</v>
      </c>
      <c r="C50" s="3" t="s">
        <v>8</v>
      </c>
      <c r="D50" s="3" t="s">
        <v>114</v>
      </c>
      <c r="E50" s="3">
        <v>4</v>
      </c>
      <c r="F50" s="3">
        <v>22.07</v>
      </c>
      <c r="G50" s="3" t="s">
        <v>9</v>
      </c>
      <c r="H50" s="4">
        <v>0</v>
      </c>
      <c r="I50" s="4">
        <v>0</v>
      </c>
      <c r="J50" s="4">
        <v>0</v>
      </c>
      <c r="K50" s="3">
        <v>30.58</v>
      </c>
      <c r="L50" s="3">
        <v>5.6349999999999998</v>
      </c>
      <c r="M50" s="3" t="s">
        <v>9</v>
      </c>
    </row>
    <row r="51" spans="1:13" x14ac:dyDescent="0.35">
      <c r="A51" s="3" t="s">
        <v>6</v>
      </c>
      <c r="B51" s="3" t="s">
        <v>57</v>
      </c>
      <c r="C51" s="3" t="s">
        <v>8</v>
      </c>
      <c r="D51" s="3" t="s">
        <v>114</v>
      </c>
      <c r="E51" s="3">
        <v>5</v>
      </c>
      <c r="F51" s="3">
        <v>30.03</v>
      </c>
      <c r="G51" s="3" t="s">
        <v>9</v>
      </c>
      <c r="H51" s="4">
        <v>0</v>
      </c>
      <c r="I51" s="4">
        <v>0</v>
      </c>
      <c r="J51" s="4">
        <v>0</v>
      </c>
      <c r="K51" s="3">
        <v>29.54</v>
      </c>
      <c r="L51" s="3">
        <v>2.847</v>
      </c>
      <c r="M51" s="3" t="s">
        <v>9</v>
      </c>
    </row>
    <row r="52" spans="1:13" x14ac:dyDescent="0.35">
      <c r="A52" s="3" t="s">
        <v>6</v>
      </c>
      <c r="B52" s="3" t="s">
        <v>58</v>
      </c>
      <c r="C52" s="3" t="s">
        <v>8</v>
      </c>
      <c r="D52" s="3" t="s">
        <v>114</v>
      </c>
      <c r="E52" s="3">
        <v>5</v>
      </c>
      <c r="F52" s="3">
        <v>35.14</v>
      </c>
      <c r="G52" s="3" t="s">
        <v>9</v>
      </c>
      <c r="H52" s="4">
        <v>0</v>
      </c>
      <c r="I52" s="4">
        <v>0</v>
      </c>
      <c r="J52" s="4">
        <v>0</v>
      </c>
      <c r="K52" s="3">
        <v>29.54</v>
      </c>
      <c r="L52" s="3">
        <v>2.847</v>
      </c>
      <c r="M52" s="3" t="s">
        <v>9</v>
      </c>
    </row>
    <row r="53" spans="1:13" x14ac:dyDescent="0.35">
      <c r="A53" s="3" t="s">
        <v>6</v>
      </c>
      <c r="B53" s="3" t="s">
        <v>59</v>
      </c>
      <c r="C53" s="3" t="s">
        <v>8</v>
      </c>
      <c r="D53" s="3" t="s">
        <v>114</v>
      </c>
      <c r="E53" s="3">
        <v>5</v>
      </c>
      <c r="F53" s="3">
        <v>31.88</v>
      </c>
      <c r="G53" s="3" t="s">
        <v>9</v>
      </c>
      <c r="H53" s="4">
        <v>0</v>
      </c>
      <c r="I53" s="4">
        <v>0</v>
      </c>
      <c r="J53" s="4">
        <v>0</v>
      </c>
      <c r="K53" s="3">
        <v>29.54</v>
      </c>
      <c r="L53" s="3">
        <v>2.847</v>
      </c>
      <c r="M53" s="3" t="s">
        <v>9</v>
      </c>
    </row>
    <row r="54" spans="1:13" x14ac:dyDescent="0.35">
      <c r="A54" s="3" t="s">
        <v>6</v>
      </c>
      <c r="B54" s="3" t="s">
        <v>60</v>
      </c>
      <c r="C54" s="3" t="s">
        <v>8</v>
      </c>
      <c r="D54" s="3" t="s">
        <v>114</v>
      </c>
      <c r="E54" s="3">
        <v>5</v>
      </c>
      <c r="F54" s="3">
        <v>27.61</v>
      </c>
      <c r="G54" s="3" t="s">
        <v>9</v>
      </c>
      <c r="H54" s="4">
        <v>0</v>
      </c>
      <c r="I54" s="4">
        <v>0</v>
      </c>
      <c r="J54" s="4">
        <v>0</v>
      </c>
      <c r="K54" s="3">
        <v>29.54</v>
      </c>
      <c r="L54" s="3">
        <v>2.847</v>
      </c>
      <c r="M54" s="3" t="s">
        <v>9</v>
      </c>
    </row>
    <row r="55" spans="1:13" x14ac:dyDescent="0.35">
      <c r="A55" s="3" t="s">
        <v>6</v>
      </c>
      <c r="B55" s="3" t="s">
        <v>61</v>
      </c>
      <c r="C55" s="3" t="s">
        <v>8</v>
      </c>
      <c r="D55" s="3" t="s">
        <v>114</v>
      </c>
      <c r="E55" s="3">
        <v>5</v>
      </c>
      <c r="F55" s="3">
        <v>24.59</v>
      </c>
      <c r="G55" s="3" t="s">
        <v>9</v>
      </c>
      <c r="H55" s="4">
        <v>0</v>
      </c>
      <c r="I55" s="4">
        <v>0</v>
      </c>
      <c r="J55" s="4">
        <v>0</v>
      </c>
      <c r="K55" s="3">
        <v>29.54</v>
      </c>
      <c r="L55" s="3">
        <v>2.847</v>
      </c>
      <c r="M55" s="3" t="s">
        <v>9</v>
      </c>
    </row>
    <row r="56" spans="1:13" x14ac:dyDescent="0.35">
      <c r="A56" s="3" t="s">
        <v>6</v>
      </c>
      <c r="B56" s="3" t="s">
        <v>62</v>
      </c>
      <c r="C56" s="3" t="s">
        <v>8</v>
      </c>
      <c r="D56" s="3" t="s">
        <v>114</v>
      </c>
      <c r="E56" s="3">
        <v>5</v>
      </c>
      <c r="F56" s="3">
        <v>25.02</v>
      </c>
      <c r="G56" s="3" t="s">
        <v>9</v>
      </c>
      <c r="H56" s="4">
        <v>0</v>
      </c>
      <c r="I56" s="4">
        <v>0</v>
      </c>
      <c r="J56" s="4">
        <v>0</v>
      </c>
      <c r="K56" s="3">
        <v>29.54</v>
      </c>
      <c r="L56" s="3">
        <v>2.847</v>
      </c>
      <c r="M56" s="3" t="s">
        <v>9</v>
      </c>
    </row>
    <row r="57" spans="1:13" x14ac:dyDescent="0.35">
      <c r="A57" s="3" t="s">
        <v>6</v>
      </c>
      <c r="B57" s="3" t="s">
        <v>63</v>
      </c>
      <c r="C57" s="3" t="s">
        <v>8</v>
      </c>
      <c r="D57" s="3" t="s">
        <v>114</v>
      </c>
      <c r="E57" s="3">
        <v>5</v>
      </c>
      <c r="F57" s="3">
        <v>29.8</v>
      </c>
      <c r="G57" s="3" t="s">
        <v>9</v>
      </c>
      <c r="H57" s="4">
        <v>0</v>
      </c>
      <c r="I57" s="4">
        <v>0</v>
      </c>
      <c r="J57" s="4">
        <v>0</v>
      </c>
      <c r="K57" s="3">
        <v>29.54</v>
      </c>
      <c r="L57" s="3">
        <v>2.847</v>
      </c>
      <c r="M57" s="3" t="s">
        <v>9</v>
      </c>
    </row>
    <row r="58" spans="1:13" x14ac:dyDescent="0.35">
      <c r="A58" s="3" t="s">
        <v>6</v>
      </c>
      <c r="B58" s="3" t="s">
        <v>64</v>
      </c>
      <c r="C58" s="3" t="s">
        <v>8</v>
      </c>
      <c r="D58" s="3" t="s">
        <v>114</v>
      </c>
      <c r="E58" s="3">
        <v>5</v>
      </c>
      <c r="F58" s="3">
        <v>30.43</v>
      </c>
      <c r="G58" s="3" t="s">
        <v>9</v>
      </c>
      <c r="H58" s="4">
        <v>0</v>
      </c>
      <c r="I58" s="4">
        <v>0</v>
      </c>
      <c r="J58" s="4">
        <v>0</v>
      </c>
      <c r="K58" s="3">
        <v>29.54</v>
      </c>
      <c r="L58" s="3">
        <v>2.847</v>
      </c>
      <c r="M58" s="3" t="s">
        <v>9</v>
      </c>
    </row>
    <row r="59" spans="1:13" x14ac:dyDescent="0.35">
      <c r="A59" s="3" t="s">
        <v>6</v>
      </c>
      <c r="B59" s="3" t="s">
        <v>65</v>
      </c>
      <c r="C59" s="3" t="s">
        <v>8</v>
      </c>
      <c r="D59" s="3" t="s">
        <v>114</v>
      </c>
      <c r="E59" s="3">
        <v>5</v>
      </c>
      <c r="F59" s="3">
        <v>30.92</v>
      </c>
      <c r="G59" s="3" t="s">
        <v>9</v>
      </c>
      <c r="H59" s="4">
        <v>0</v>
      </c>
      <c r="I59" s="4">
        <v>0</v>
      </c>
      <c r="J59" s="4">
        <v>0</v>
      </c>
      <c r="K59" s="3">
        <v>29.54</v>
      </c>
      <c r="L59" s="3">
        <v>2.847</v>
      </c>
      <c r="M59" s="3" t="s">
        <v>9</v>
      </c>
    </row>
    <row r="60" spans="1:13" x14ac:dyDescent="0.35">
      <c r="A60" s="3" t="s">
        <v>6</v>
      </c>
      <c r="B60" s="3" t="s">
        <v>66</v>
      </c>
      <c r="C60" s="3" t="s">
        <v>8</v>
      </c>
      <c r="D60" s="3" t="s">
        <v>114</v>
      </c>
      <c r="E60" s="3">
        <v>5</v>
      </c>
      <c r="F60" s="3">
        <v>29.1</v>
      </c>
      <c r="G60" s="3" t="s">
        <v>9</v>
      </c>
      <c r="H60" s="4">
        <v>0</v>
      </c>
      <c r="I60" s="4">
        <v>0</v>
      </c>
      <c r="J60" s="4">
        <v>0</v>
      </c>
      <c r="K60" s="3">
        <v>29.54</v>
      </c>
      <c r="L60" s="3">
        <v>2.847</v>
      </c>
      <c r="M60" s="3" t="s">
        <v>9</v>
      </c>
    </row>
    <row r="61" spans="1:13" x14ac:dyDescent="0.35">
      <c r="A61" s="3" t="s">
        <v>6</v>
      </c>
      <c r="B61" s="3" t="s">
        <v>67</v>
      </c>
      <c r="C61" s="3" t="s">
        <v>8</v>
      </c>
      <c r="D61" s="3" t="s">
        <v>114</v>
      </c>
      <c r="E61" s="3">
        <v>5</v>
      </c>
      <c r="F61" s="3">
        <v>29.92</v>
      </c>
      <c r="G61" s="3" t="s">
        <v>9</v>
      </c>
      <c r="H61" s="4">
        <v>0</v>
      </c>
      <c r="I61" s="4">
        <v>0</v>
      </c>
      <c r="J61" s="4">
        <v>0</v>
      </c>
      <c r="K61" s="3">
        <v>29.54</v>
      </c>
      <c r="L61" s="3">
        <v>2.847</v>
      </c>
      <c r="M61" s="3" t="s">
        <v>9</v>
      </c>
    </row>
    <row r="62" spans="1:13" x14ac:dyDescent="0.35">
      <c r="A62" s="3" t="s">
        <v>6</v>
      </c>
      <c r="B62" s="3" t="s">
        <v>68</v>
      </c>
      <c r="C62" s="3" t="s">
        <v>8</v>
      </c>
      <c r="D62" s="3" t="s">
        <v>114</v>
      </c>
      <c r="E62" s="3">
        <v>5</v>
      </c>
      <c r="F62" s="3">
        <v>30.07</v>
      </c>
      <c r="G62" s="3" t="s">
        <v>9</v>
      </c>
      <c r="H62" s="4">
        <v>0</v>
      </c>
      <c r="I62" s="4">
        <v>0</v>
      </c>
      <c r="J62" s="4">
        <v>0</v>
      </c>
      <c r="K62" s="3">
        <v>29.54</v>
      </c>
      <c r="L62" s="3">
        <v>2.847</v>
      </c>
      <c r="M62" s="3" t="s">
        <v>9</v>
      </c>
    </row>
    <row r="63" spans="1:13" x14ac:dyDescent="0.35">
      <c r="A63" s="3" t="s">
        <v>6</v>
      </c>
      <c r="B63" s="3" t="s">
        <v>69</v>
      </c>
      <c r="C63" s="3" t="s">
        <v>8</v>
      </c>
      <c r="D63" s="3" t="s">
        <v>114</v>
      </c>
      <c r="E63" s="3">
        <v>6</v>
      </c>
      <c r="F63" s="3">
        <v>30.99</v>
      </c>
      <c r="G63" s="3" t="s">
        <v>9</v>
      </c>
      <c r="H63" s="4">
        <v>0</v>
      </c>
      <c r="I63" s="4">
        <v>0</v>
      </c>
      <c r="J63" s="4">
        <v>0</v>
      </c>
      <c r="K63" s="3">
        <v>33.28</v>
      </c>
      <c r="L63" s="3">
        <v>2.472</v>
      </c>
      <c r="M63" s="3" t="s">
        <v>9</v>
      </c>
    </row>
    <row r="64" spans="1:13" x14ac:dyDescent="0.35">
      <c r="A64" s="3" t="s">
        <v>6</v>
      </c>
      <c r="B64" s="3" t="s">
        <v>70</v>
      </c>
      <c r="C64" s="3" t="s">
        <v>8</v>
      </c>
      <c r="D64" s="3" t="s">
        <v>114</v>
      </c>
      <c r="E64" s="3">
        <v>6</v>
      </c>
      <c r="F64" s="3">
        <v>32.07</v>
      </c>
      <c r="G64" s="3" t="s">
        <v>9</v>
      </c>
      <c r="H64" s="4">
        <v>0</v>
      </c>
      <c r="I64" s="4">
        <v>0</v>
      </c>
      <c r="J64" s="4">
        <v>0</v>
      </c>
      <c r="K64" s="3">
        <v>33.28</v>
      </c>
      <c r="L64" s="3">
        <v>2.472</v>
      </c>
      <c r="M64" s="3" t="s">
        <v>9</v>
      </c>
    </row>
    <row r="65" spans="1:13" x14ac:dyDescent="0.35">
      <c r="A65" s="3" t="s">
        <v>6</v>
      </c>
      <c r="B65" s="3" t="s">
        <v>71</v>
      </c>
      <c r="C65" s="3" t="s">
        <v>8</v>
      </c>
      <c r="D65" s="3" t="s">
        <v>114</v>
      </c>
      <c r="E65" s="3">
        <v>6</v>
      </c>
      <c r="F65" s="3">
        <v>32.58</v>
      </c>
      <c r="G65" s="3" t="s">
        <v>9</v>
      </c>
      <c r="H65" s="4">
        <v>0</v>
      </c>
      <c r="I65" s="4">
        <v>0</v>
      </c>
      <c r="J65" s="4">
        <v>0</v>
      </c>
      <c r="K65" s="3">
        <v>33.28</v>
      </c>
      <c r="L65" s="3">
        <v>2.472</v>
      </c>
      <c r="M65" s="3" t="s">
        <v>9</v>
      </c>
    </row>
    <row r="66" spans="1:13" x14ac:dyDescent="0.35">
      <c r="A66" s="3" t="s">
        <v>6</v>
      </c>
      <c r="B66" s="3" t="s">
        <v>72</v>
      </c>
      <c r="C66" s="3" t="s">
        <v>8</v>
      </c>
      <c r="D66" s="3" t="s">
        <v>114</v>
      </c>
      <c r="E66" s="3">
        <v>6</v>
      </c>
      <c r="F66" s="3">
        <v>32.18</v>
      </c>
      <c r="G66" s="3" t="s">
        <v>9</v>
      </c>
      <c r="H66" s="4">
        <v>0</v>
      </c>
      <c r="I66" s="4">
        <v>0</v>
      </c>
      <c r="J66" s="4">
        <v>0</v>
      </c>
      <c r="K66" s="3">
        <v>33.28</v>
      </c>
      <c r="L66" s="3">
        <v>2.472</v>
      </c>
      <c r="M66" s="3" t="s">
        <v>9</v>
      </c>
    </row>
    <row r="67" spans="1:13" x14ac:dyDescent="0.35">
      <c r="A67" s="3" t="s">
        <v>6</v>
      </c>
      <c r="B67" s="3" t="s">
        <v>73</v>
      </c>
      <c r="C67" s="3" t="s">
        <v>8</v>
      </c>
      <c r="D67" s="3" t="s">
        <v>114</v>
      </c>
      <c r="E67" s="3">
        <v>6</v>
      </c>
      <c r="F67" s="3">
        <v>31.2</v>
      </c>
      <c r="G67" s="3" t="s">
        <v>9</v>
      </c>
      <c r="H67" s="4">
        <v>0</v>
      </c>
      <c r="I67" s="4">
        <v>0</v>
      </c>
      <c r="J67" s="4">
        <v>0</v>
      </c>
      <c r="K67" s="3">
        <v>33.28</v>
      </c>
      <c r="L67" s="3">
        <v>2.472</v>
      </c>
      <c r="M67" s="3" t="s">
        <v>9</v>
      </c>
    </row>
    <row r="68" spans="1:13" x14ac:dyDescent="0.35">
      <c r="A68" s="3" t="s">
        <v>6</v>
      </c>
      <c r="B68" s="3" t="s">
        <v>74</v>
      </c>
      <c r="C68" s="3" t="s">
        <v>8</v>
      </c>
      <c r="D68" s="3" t="s">
        <v>114</v>
      </c>
      <c r="E68" s="3">
        <v>6</v>
      </c>
      <c r="F68" s="3">
        <v>29.45</v>
      </c>
      <c r="G68" s="3" t="s">
        <v>9</v>
      </c>
      <c r="H68" s="4">
        <v>0</v>
      </c>
      <c r="I68" s="4">
        <v>0</v>
      </c>
      <c r="J68" s="4">
        <v>0</v>
      </c>
      <c r="K68" s="3">
        <v>33.28</v>
      </c>
      <c r="L68" s="3">
        <v>2.472</v>
      </c>
      <c r="M68" s="3" t="s">
        <v>9</v>
      </c>
    </row>
    <row r="69" spans="1:13" x14ac:dyDescent="0.35">
      <c r="A69" s="3" t="s">
        <v>6</v>
      </c>
      <c r="B69" s="3" t="s">
        <v>75</v>
      </c>
      <c r="C69" s="3" t="s">
        <v>8</v>
      </c>
      <c r="D69" s="3" t="s">
        <v>114</v>
      </c>
      <c r="E69" s="3">
        <v>6</v>
      </c>
      <c r="F69" s="3">
        <v>37.53</v>
      </c>
      <c r="G69" s="3" t="s">
        <v>9</v>
      </c>
      <c r="H69" s="4">
        <v>0</v>
      </c>
      <c r="I69" s="4">
        <v>0</v>
      </c>
      <c r="J69" s="4">
        <v>0</v>
      </c>
      <c r="K69" s="3">
        <v>33.28</v>
      </c>
      <c r="L69" s="3">
        <v>2.472</v>
      </c>
      <c r="M69" s="3" t="s">
        <v>9</v>
      </c>
    </row>
    <row r="70" spans="1:13" x14ac:dyDescent="0.35">
      <c r="A70" s="3" t="s">
        <v>6</v>
      </c>
      <c r="B70" s="3" t="s">
        <v>76</v>
      </c>
      <c r="C70" s="3" t="s">
        <v>8</v>
      </c>
      <c r="D70" s="3" t="s">
        <v>114</v>
      </c>
      <c r="E70" s="3">
        <v>6</v>
      </c>
      <c r="F70" s="3">
        <v>36.46</v>
      </c>
      <c r="G70" s="3" t="s">
        <v>9</v>
      </c>
      <c r="H70" s="4">
        <v>0</v>
      </c>
      <c r="I70" s="4">
        <v>0</v>
      </c>
      <c r="J70" s="4">
        <v>0</v>
      </c>
      <c r="K70" s="3">
        <v>33.28</v>
      </c>
      <c r="L70" s="3">
        <v>2.472</v>
      </c>
      <c r="M70" s="3" t="s">
        <v>9</v>
      </c>
    </row>
    <row r="71" spans="1:13" x14ac:dyDescent="0.35">
      <c r="A71" s="3" t="s">
        <v>6</v>
      </c>
      <c r="B71" s="3" t="s">
        <v>77</v>
      </c>
      <c r="C71" s="3" t="s">
        <v>8</v>
      </c>
      <c r="D71" s="3" t="s">
        <v>114</v>
      </c>
      <c r="E71" s="3">
        <v>6</v>
      </c>
      <c r="F71" s="3" t="s">
        <v>9</v>
      </c>
      <c r="G71" s="3" t="s">
        <v>9</v>
      </c>
      <c r="H71" s="4">
        <v>0</v>
      </c>
      <c r="I71" s="4">
        <v>0</v>
      </c>
      <c r="J71" s="4">
        <v>0</v>
      </c>
      <c r="K71" s="3">
        <v>0</v>
      </c>
      <c r="L71" s="3">
        <v>0</v>
      </c>
      <c r="M71" s="3" t="s">
        <v>9</v>
      </c>
    </row>
    <row r="72" spans="1:13" x14ac:dyDescent="0.35">
      <c r="A72" s="3" t="s">
        <v>6</v>
      </c>
      <c r="B72" s="3" t="s">
        <v>78</v>
      </c>
      <c r="C72" s="3" t="s">
        <v>8</v>
      </c>
      <c r="D72" s="3" t="s">
        <v>114</v>
      </c>
      <c r="E72" s="3">
        <v>6</v>
      </c>
      <c r="F72" s="3">
        <v>33.82</v>
      </c>
      <c r="G72" s="3" t="s">
        <v>9</v>
      </c>
      <c r="H72" s="4">
        <v>0</v>
      </c>
      <c r="I72" s="4">
        <v>0</v>
      </c>
      <c r="J72" s="4">
        <v>0</v>
      </c>
      <c r="K72" s="3">
        <v>33.28</v>
      </c>
      <c r="L72" s="3">
        <v>2.472</v>
      </c>
      <c r="M72" s="3" t="s">
        <v>9</v>
      </c>
    </row>
    <row r="73" spans="1:13" x14ac:dyDescent="0.35">
      <c r="A73" s="3" t="s">
        <v>6</v>
      </c>
      <c r="B73" s="3" t="s">
        <v>79</v>
      </c>
      <c r="C73" s="3" t="s">
        <v>8</v>
      </c>
      <c r="D73" s="3" t="s">
        <v>114</v>
      </c>
      <c r="E73" s="3">
        <v>6</v>
      </c>
      <c r="F73" s="3">
        <v>34.700000000000003</v>
      </c>
      <c r="G73" s="3" t="s">
        <v>9</v>
      </c>
      <c r="H73" s="4">
        <v>0</v>
      </c>
      <c r="I73" s="4">
        <v>0</v>
      </c>
      <c r="J73" s="4">
        <v>0</v>
      </c>
      <c r="K73" s="3">
        <v>33.28</v>
      </c>
      <c r="L73" s="3">
        <v>2.472</v>
      </c>
      <c r="M73" s="3" t="s">
        <v>9</v>
      </c>
    </row>
    <row r="74" spans="1:13" x14ac:dyDescent="0.35">
      <c r="A74" s="3" t="s">
        <v>6</v>
      </c>
      <c r="B74" s="3" t="s">
        <v>80</v>
      </c>
      <c r="C74" s="3" t="s">
        <v>8</v>
      </c>
      <c r="D74" s="3" t="s">
        <v>114</v>
      </c>
      <c r="E74" s="3">
        <v>6</v>
      </c>
      <c r="F74" s="3">
        <v>35.08</v>
      </c>
      <c r="G74" s="3" t="s">
        <v>9</v>
      </c>
      <c r="H74" s="4">
        <v>0</v>
      </c>
      <c r="I74" s="4">
        <v>0</v>
      </c>
      <c r="J74" s="4">
        <v>0</v>
      </c>
      <c r="K74" s="3">
        <v>33.28</v>
      </c>
      <c r="L74" s="3">
        <v>2.472</v>
      </c>
      <c r="M74" s="3" t="s">
        <v>9</v>
      </c>
    </row>
    <row r="75" spans="1:13" x14ac:dyDescent="0.35">
      <c r="A75" s="3" t="s">
        <v>6</v>
      </c>
      <c r="B75" s="3" t="s">
        <v>81</v>
      </c>
      <c r="C75" s="3" t="s">
        <v>8</v>
      </c>
      <c r="D75" s="3" t="s">
        <v>114</v>
      </c>
      <c r="E75" s="3">
        <v>7</v>
      </c>
      <c r="F75" s="3">
        <v>38.130000000000003</v>
      </c>
      <c r="G75" s="3" t="s">
        <v>9</v>
      </c>
      <c r="H75" s="4">
        <v>0</v>
      </c>
      <c r="I75" s="4">
        <v>0</v>
      </c>
      <c r="J75" s="4">
        <v>0</v>
      </c>
      <c r="K75" s="3">
        <v>34</v>
      </c>
      <c r="L75" s="3">
        <v>2.6859999999999999</v>
      </c>
      <c r="M75" s="3" t="s">
        <v>9</v>
      </c>
    </row>
    <row r="76" spans="1:13" x14ac:dyDescent="0.35">
      <c r="A76" s="3" t="s">
        <v>6</v>
      </c>
      <c r="B76" s="3" t="s">
        <v>82</v>
      </c>
      <c r="C76" s="3" t="s">
        <v>8</v>
      </c>
      <c r="D76" s="3" t="s">
        <v>114</v>
      </c>
      <c r="E76" s="3">
        <v>7</v>
      </c>
      <c r="F76" s="3" t="s">
        <v>9</v>
      </c>
      <c r="G76" s="3" t="s">
        <v>9</v>
      </c>
      <c r="H76" s="4">
        <v>0</v>
      </c>
      <c r="I76" s="4">
        <v>0</v>
      </c>
      <c r="J76" s="4">
        <v>0</v>
      </c>
      <c r="K76" s="3">
        <v>0</v>
      </c>
      <c r="L76" s="3">
        <v>0</v>
      </c>
      <c r="M76" s="3" t="s">
        <v>9</v>
      </c>
    </row>
    <row r="77" spans="1:13" x14ac:dyDescent="0.35">
      <c r="A77" s="3" t="s">
        <v>6</v>
      </c>
      <c r="B77" s="3" t="s">
        <v>83</v>
      </c>
      <c r="C77" s="3" t="s">
        <v>8</v>
      </c>
      <c r="D77" s="3" t="s">
        <v>114</v>
      </c>
      <c r="E77" s="3">
        <v>7</v>
      </c>
      <c r="F77" s="3">
        <v>36.47</v>
      </c>
      <c r="G77" s="3" t="s">
        <v>9</v>
      </c>
      <c r="H77" s="4">
        <v>0</v>
      </c>
      <c r="I77" s="4">
        <v>0</v>
      </c>
      <c r="J77" s="4">
        <v>0</v>
      </c>
      <c r="K77" s="3">
        <v>34</v>
      </c>
      <c r="L77" s="3">
        <v>2.6859999999999999</v>
      </c>
      <c r="M77" s="3" t="s">
        <v>9</v>
      </c>
    </row>
    <row r="78" spans="1:13" x14ac:dyDescent="0.35">
      <c r="A78" s="3" t="s">
        <v>6</v>
      </c>
      <c r="B78" s="3" t="s">
        <v>84</v>
      </c>
      <c r="C78" s="3" t="s">
        <v>8</v>
      </c>
      <c r="D78" s="3" t="s">
        <v>114</v>
      </c>
      <c r="E78" s="3">
        <v>7</v>
      </c>
      <c r="F78" s="3">
        <v>31.3</v>
      </c>
      <c r="G78" s="3" t="s">
        <v>9</v>
      </c>
      <c r="H78" s="4">
        <v>0</v>
      </c>
      <c r="I78" s="4">
        <v>0</v>
      </c>
      <c r="J78" s="4">
        <v>0</v>
      </c>
      <c r="K78" s="3">
        <v>34</v>
      </c>
      <c r="L78" s="3">
        <v>2.6859999999999999</v>
      </c>
      <c r="M78" s="3" t="s">
        <v>9</v>
      </c>
    </row>
    <row r="79" spans="1:13" x14ac:dyDescent="0.35">
      <c r="A79" s="3" t="s">
        <v>6</v>
      </c>
      <c r="B79" s="3" t="s">
        <v>85</v>
      </c>
      <c r="C79" s="3" t="s">
        <v>8</v>
      </c>
      <c r="D79" s="3" t="s">
        <v>114</v>
      </c>
      <c r="E79" s="3">
        <v>7</v>
      </c>
      <c r="F79" s="3">
        <v>31</v>
      </c>
      <c r="G79" s="3" t="s">
        <v>9</v>
      </c>
      <c r="H79" s="4">
        <v>0</v>
      </c>
      <c r="I79" s="4">
        <v>0</v>
      </c>
      <c r="J79" s="4">
        <v>0</v>
      </c>
      <c r="K79" s="3">
        <v>34</v>
      </c>
      <c r="L79" s="3">
        <v>2.6859999999999999</v>
      </c>
      <c r="M79" s="3" t="s">
        <v>9</v>
      </c>
    </row>
    <row r="80" spans="1:13" x14ac:dyDescent="0.35">
      <c r="A80" s="3" t="s">
        <v>6</v>
      </c>
      <c r="B80" s="3" t="s">
        <v>86</v>
      </c>
      <c r="C80" s="3" t="s">
        <v>8</v>
      </c>
      <c r="D80" s="3" t="s">
        <v>114</v>
      </c>
      <c r="E80" s="3">
        <v>7</v>
      </c>
      <c r="F80" s="3">
        <v>31.38</v>
      </c>
      <c r="G80" s="3" t="s">
        <v>9</v>
      </c>
      <c r="H80" s="4">
        <v>0</v>
      </c>
      <c r="I80" s="4">
        <v>0</v>
      </c>
      <c r="J80" s="4">
        <v>0</v>
      </c>
      <c r="K80" s="3">
        <v>34</v>
      </c>
      <c r="L80" s="3">
        <v>2.6859999999999999</v>
      </c>
      <c r="M80" s="3" t="s">
        <v>9</v>
      </c>
    </row>
    <row r="81" spans="1:13" x14ac:dyDescent="0.35">
      <c r="A81" s="3" t="s">
        <v>6</v>
      </c>
      <c r="B81" s="3" t="s">
        <v>87</v>
      </c>
      <c r="C81" s="3" t="s">
        <v>8</v>
      </c>
      <c r="D81" s="3" t="s">
        <v>114</v>
      </c>
      <c r="E81" s="3">
        <v>7</v>
      </c>
      <c r="F81" s="3">
        <v>35.74</v>
      </c>
      <c r="G81" s="3" t="s">
        <v>9</v>
      </c>
      <c r="H81" s="4">
        <v>0</v>
      </c>
      <c r="I81" s="4">
        <v>0</v>
      </c>
      <c r="J81" s="4">
        <v>0</v>
      </c>
      <c r="K81" s="3">
        <v>34</v>
      </c>
      <c r="L81" s="3">
        <v>2.6859999999999999</v>
      </c>
      <c r="M81" s="3" t="s">
        <v>9</v>
      </c>
    </row>
    <row r="82" spans="1:13" x14ac:dyDescent="0.35">
      <c r="A82" s="3" t="s">
        <v>6</v>
      </c>
      <c r="B82" s="3" t="s">
        <v>88</v>
      </c>
      <c r="C82" s="3" t="s">
        <v>8</v>
      </c>
      <c r="D82" s="3" t="s">
        <v>114</v>
      </c>
      <c r="E82" s="3">
        <v>7</v>
      </c>
      <c r="F82" s="3" t="s">
        <v>9</v>
      </c>
      <c r="G82" s="3" t="s">
        <v>9</v>
      </c>
      <c r="H82" s="4">
        <v>0</v>
      </c>
      <c r="I82" s="4">
        <v>0</v>
      </c>
      <c r="J82" s="4">
        <v>0</v>
      </c>
      <c r="K82" s="3">
        <v>0</v>
      </c>
      <c r="L82" s="3">
        <v>0</v>
      </c>
      <c r="M82" s="3" t="s">
        <v>9</v>
      </c>
    </row>
    <row r="83" spans="1:13" x14ac:dyDescent="0.35">
      <c r="A83" s="3" t="s">
        <v>6</v>
      </c>
      <c r="B83" s="3" t="s">
        <v>89</v>
      </c>
      <c r="C83" s="3" t="s">
        <v>8</v>
      </c>
      <c r="D83" s="3" t="s">
        <v>114</v>
      </c>
      <c r="E83" s="3">
        <v>7</v>
      </c>
      <c r="F83" s="3">
        <v>37.32</v>
      </c>
      <c r="G83" s="3" t="s">
        <v>9</v>
      </c>
      <c r="H83" s="4">
        <v>0</v>
      </c>
      <c r="I83" s="4">
        <v>0</v>
      </c>
      <c r="J83" s="4">
        <v>0</v>
      </c>
      <c r="K83" s="3">
        <v>34</v>
      </c>
      <c r="L83" s="3">
        <v>2.6859999999999999</v>
      </c>
      <c r="M83" s="3" t="s">
        <v>9</v>
      </c>
    </row>
    <row r="84" spans="1:13" x14ac:dyDescent="0.35">
      <c r="A84" s="3" t="s">
        <v>6</v>
      </c>
      <c r="B84" s="3" t="s">
        <v>90</v>
      </c>
      <c r="C84" s="3" t="s">
        <v>8</v>
      </c>
      <c r="D84" s="3" t="s">
        <v>114</v>
      </c>
      <c r="E84" s="3">
        <v>7</v>
      </c>
      <c r="F84" s="3">
        <v>32.31</v>
      </c>
      <c r="G84" s="3" t="s">
        <v>9</v>
      </c>
      <c r="H84" s="4">
        <v>0</v>
      </c>
      <c r="I84" s="4">
        <v>0</v>
      </c>
      <c r="J84" s="4">
        <v>0</v>
      </c>
      <c r="K84" s="3">
        <v>34</v>
      </c>
      <c r="L84" s="3">
        <v>2.6859999999999999</v>
      </c>
      <c r="M84" s="3" t="s">
        <v>9</v>
      </c>
    </row>
    <row r="85" spans="1:13" x14ac:dyDescent="0.35">
      <c r="A85" s="3" t="s">
        <v>6</v>
      </c>
      <c r="B85" s="3" t="s">
        <v>91</v>
      </c>
      <c r="C85" s="3" t="s">
        <v>8</v>
      </c>
      <c r="D85" s="3" t="s">
        <v>114</v>
      </c>
      <c r="E85" s="3">
        <v>7</v>
      </c>
      <c r="F85" s="3">
        <v>32.74</v>
      </c>
      <c r="G85" s="3" t="s">
        <v>9</v>
      </c>
      <c r="H85" s="4">
        <v>0</v>
      </c>
      <c r="I85" s="4">
        <v>0</v>
      </c>
      <c r="J85" s="4">
        <v>0</v>
      </c>
      <c r="K85" s="3">
        <v>34</v>
      </c>
      <c r="L85" s="3">
        <v>2.6859999999999999</v>
      </c>
      <c r="M85" s="3" t="s">
        <v>9</v>
      </c>
    </row>
    <row r="86" spans="1:13" x14ac:dyDescent="0.35">
      <c r="A86" s="3" t="s">
        <v>6</v>
      </c>
      <c r="B86" s="3" t="s">
        <v>92</v>
      </c>
      <c r="C86" s="3" t="s">
        <v>8</v>
      </c>
      <c r="D86" s="3" t="s">
        <v>114</v>
      </c>
      <c r="E86" s="3">
        <v>7</v>
      </c>
      <c r="F86" s="3">
        <v>33.659999999999997</v>
      </c>
      <c r="G86" s="3" t="s">
        <v>9</v>
      </c>
      <c r="H86" s="4">
        <v>0</v>
      </c>
      <c r="I86" s="4">
        <v>0</v>
      </c>
      <c r="J86" s="4">
        <v>0</v>
      </c>
      <c r="K86" s="3">
        <v>34</v>
      </c>
      <c r="L86" s="3">
        <v>2.6859999999999999</v>
      </c>
      <c r="M86" s="3" t="s">
        <v>9</v>
      </c>
    </row>
    <row r="87" spans="1:13" x14ac:dyDescent="0.35">
      <c r="A87" s="3" t="s">
        <v>6</v>
      </c>
      <c r="B87" s="3" t="s">
        <v>93</v>
      </c>
      <c r="C87" s="3" t="s">
        <v>8</v>
      </c>
      <c r="D87" s="3" t="s">
        <v>114</v>
      </c>
      <c r="E87" s="3">
        <v>8</v>
      </c>
      <c r="F87" s="3">
        <v>30.75</v>
      </c>
      <c r="G87" s="3" t="s">
        <v>9</v>
      </c>
      <c r="H87" s="4">
        <v>0</v>
      </c>
      <c r="I87" s="4">
        <v>0</v>
      </c>
      <c r="J87" s="4">
        <v>0</v>
      </c>
      <c r="K87" s="3">
        <v>29.61</v>
      </c>
      <c r="L87" s="3">
        <v>0.64700000000000002</v>
      </c>
      <c r="M87" s="3" t="s">
        <v>9</v>
      </c>
    </row>
    <row r="88" spans="1:13" x14ac:dyDescent="0.35">
      <c r="A88" s="3" t="s">
        <v>6</v>
      </c>
      <c r="B88" s="3" t="s">
        <v>94</v>
      </c>
      <c r="C88" s="3" t="s">
        <v>8</v>
      </c>
      <c r="D88" s="3" t="s">
        <v>114</v>
      </c>
      <c r="E88" s="3">
        <v>8</v>
      </c>
      <c r="F88" s="3">
        <v>29.2</v>
      </c>
      <c r="G88" s="3" t="s">
        <v>9</v>
      </c>
      <c r="H88" s="4">
        <v>0</v>
      </c>
      <c r="I88" s="4">
        <v>0</v>
      </c>
      <c r="J88" s="4">
        <v>0</v>
      </c>
      <c r="K88" s="3">
        <v>29.61</v>
      </c>
      <c r="L88" s="3">
        <v>0.64700000000000002</v>
      </c>
      <c r="M88" s="3" t="s">
        <v>9</v>
      </c>
    </row>
    <row r="89" spans="1:13" x14ac:dyDescent="0.35">
      <c r="A89" s="3" t="s">
        <v>6</v>
      </c>
      <c r="B89" s="3" t="s">
        <v>95</v>
      </c>
      <c r="C89" s="3" t="s">
        <v>8</v>
      </c>
      <c r="D89" s="3" t="s">
        <v>114</v>
      </c>
      <c r="E89" s="3">
        <v>8</v>
      </c>
      <c r="F89" s="3">
        <v>29.76</v>
      </c>
      <c r="G89" s="3" t="s">
        <v>9</v>
      </c>
      <c r="H89" s="4">
        <v>0</v>
      </c>
      <c r="I89" s="4">
        <v>0</v>
      </c>
      <c r="J89" s="4">
        <v>0</v>
      </c>
      <c r="K89" s="3">
        <v>29.61</v>
      </c>
      <c r="L89" s="3">
        <v>0.64700000000000002</v>
      </c>
      <c r="M89" s="3" t="s">
        <v>9</v>
      </c>
    </row>
    <row r="90" spans="1:13" x14ac:dyDescent="0.35">
      <c r="A90" s="3" t="s">
        <v>6</v>
      </c>
      <c r="B90" s="3" t="s">
        <v>96</v>
      </c>
      <c r="C90" s="3" t="s">
        <v>8</v>
      </c>
      <c r="D90" s="3" t="s">
        <v>114</v>
      </c>
      <c r="E90" s="3">
        <v>8</v>
      </c>
      <c r="F90" s="3">
        <v>29.16</v>
      </c>
      <c r="G90" s="3" t="s">
        <v>9</v>
      </c>
      <c r="H90" s="4">
        <v>0</v>
      </c>
      <c r="I90" s="4">
        <v>0</v>
      </c>
      <c r="J90" s="4">
        <v>0</v>
      </c>
      <c r="K90" s="3">
        <v>29.61</v>
      </c>
      <c r="L90" s="3">
        <v>0.64700000000000002</v>
      </c>
      <c r="M90" s="3" t="s">
        <v>9</v>
      </c>
    </row>
    <row r="91" spans="1:13" x14ac:dyDescent="0.35">
      <c r="A91" s="3" t="s">
        <v>6</v>
      </c>
      <c r="B91" s="3" t="s">
        <v>97</v>
      </c>
      <c r="C91" s="3" t="s">
        <v>8</v>
      </c>
      <c r="D91" s="3" t="s">
        <v>114</v>
      </c>
      <c r="E91" s="3">
        <v>8</v>
      </c>
      <c r="F91" s="3">
        <v>29.57</v>
      </c>
      <c r="G91" s="3" t="s">
        <v>9</v>
      </c>
      <c r="H91" s="4">
        <v>0</v>
      </c>
      <c r="I91" s="4">
        <v>0</v>
      </c>
      <c r="J91" s="4">
        <v>0</v>
      </c>
      <c r="K91" s="3">
        <v>29.61</v>
      </c>
      <c r="L91" s="3">
        <v>0.64700000000000002</v>
      </c>
      <c r="M91" s="3" t="s">
        <v>9</v>
      </c>
    </row>
    <row r="92" spans="1:13" x14ac:dyDescent="0.35">
      <c r="A92" s="3" t="s">
        <v>6</v>
      </c>
      <c r="B92" s="3" t="s">
        <v>98</v>
      </c>
      <c r="C92" s="3" t="s">
        <v>8</v>
      </c>
      <c r="D92" s="3" t="s">
        <v>114</v>
      </c>
      <c r="E92" s="3">
        <v>8</v>
      </c>
      <c r="F92" s="3">
        <v>29.51</v>
      </c>
      <c r="G92" s="3" t="s">
        <v>9</v>
      </c>
      <c r="H92" s="4">
        <v>0</v>
      </c>
      <c r="I92" s="4">
        <v>0</v>
      </c>
      <c r="J92" s="4">
        <v>0</v>
      </c>
      <c r="K92" s="3">
        <v>29.61</v>
      </c>
      <c r="L92" s="3">
        <v>0.64700000000000002</v>
      </c>
      <c r="M92" s="3" t="s">
        <v>9</v>
      </c>
    </row>
    <row r="93" spans="1:13" x14ac:dyDescent="0.35">
      <c r="A93" s="3" t="s">
        <v>6</v>
      </c>
      <c r="B93" s="3" t="s">
        <v>99</v>
      </c>
      <c r="C93" s="3" t="s">
        <v>8</v>
      </c>
      <c r="D93" s="3" t="s">
        <v>114</v>
      </c>
      <c r="E93" s="3">
        <v>8</v>
      </c>
      <c r="F93" s="3">
        <v>30.86</v>
      </c>
      <c r="G93" s="3" t="s">
        <v>9</v>
      </c>
      <c r="H93" s="4">
        <v>0</v>
      </c>
      <c r="I93" s="4">
        <v>0</v>
      </c>
      <c r="J93" s="4">
        <v>0</v>
      </c>
      <c r="K93" s="3">
        <v>29.61</v>
      </c>
      <c r="L93" s="3">
        <v>0.64700000000000002</v>
      </c>
      <c r="M93" s="3" t="s">
        <v>9</v>
      </c>
    </row>
    <row r="94" spans="1:13" x14ac:dyDescent="0.35">
      <c r="A94" s="3" t="s">
        <v>6</v>
      </c>
      <c r="B94" s="3" t="s">
        <v>100</v>
      </c>
      <c r="C94" s="3" t="s">
        <v>8</v>
      </c>
      <c r="D94" s="3" t="s">
        <v>114</v>
      </c>
      <c r="E94" s="3">
        <v>8</v>
      </c>
      <c r="F94" s="3">
        <v>30.02</v>
      </c>
      <c r="G94" s="3" t="s">
        <v>9</v>
      </c>
      <c r="H94" s="4">
        <v>0</v>
      </c>
      <c r="I94" s="4">
        <v>0</v>
      </c>
      <c r="J94" s="4">
        <v>0</v>
      </c>
      <c r="K94" s="3">
        <v>29.61</v>
      </c>
      <c r="L94" s="3">
        <v>0.64700000000000002</v>
      </c>
      <c r="M94" s="3" t="s">
        <v>9</v>
      </c>
    </row>
    <row r="95" spans="1:13" x14ac:dyDescent="0.35">
      <c r="A95" s="3" t="s">
        <v>6</v>
      </c>
      <c r="B95" s="3" t="s">
        <v>101</v>
      </c>
      <c r="C95" s="3" t="s">
        <v>8</v>
      </c>
      <c r="D95" s="3" t="s">
        <v>114</v>
      </c>
      <c r="E95" s="3">
        <v>8</v>
      </c>
      <c r="F95" s="3">
        <v>29.03</v>
      </c>
      <c r="G95" s="3" t="s">
        <v>9</v>
      </c>
      <c r="H95" s="4">
        <v>0</v>
      </c>
      <c r="I95" s="4">
        <v>0</v>
      </c>
      <c r="J95" s="4">
        <v>0</v>
      </c>
      <c r="K95" s="3">
        <v>29.61</v>
      </c>
      <c r="L95" s="3">
        <v>0.64700000000000002</v>
      </c>
      <c r="M95" s="3" t="s">
        <v>9</v>
      </c>
    </row>
    <row r="96" spans="1:13" x14ac:dyDescent="0.35">
      <c r="A96" s="3" t="s">
        <v>6</v>
      </c>
      <c r="B96" s="3" t="s">
        <v>102</v>
      </c>
      <c r="C96" s="3" t="s">
        <v>8</v>
      </c>
      <c r="D96" s="3" t="s">
        <v>114</v>
      </c>
      <c r="E96" s="3">
        <v>8</v>
      </c>
      <c r="F96" s="3">
        <v>29.1</v>
      </c>
      <c r="G96" s="3" t="s">
        <v>9</v>
      </c>
      <c r="H96" s="4">
        <v>0</v>
      </c>
      <c r="I96" s="4">
        <v>0</v>
      </c>
      <c r="J96" s="4">
        <v>0</v>
      </c>
      <c r="K96" s="3">
        <v>29.61</v>
      </c>
      <c r="L96" s="3">
        <v>0.64700000000000002</v>
      </c>
      <c r="M96" s="3" t="s">
        <v>9</v>
      </c>
    </row>
    <row r="97" spans="1:13" x14ac:dyDescent="0.35">
      <c r="A97" s="3" t="s">
        <v>6</v>
      </c>
      <c r="B97" s="3" t="s">
        <v>103</v>
      </c>
      <c r="C97" s="3" t="s">
        <v>8</v>
      </c>
      <c r="D97" s="3" t="s">
        <v>114</v>
      </c>
      <c r="E97" s="3">
        <v>8</v>
      </c>
      <c r="F97" s="3">
        <v>29.57</v>
      </c>
      <c r="G97" s="3" t="s">
        <v>9</v>
      </c>
      <c r="H97" s="4">
        <v>0</v>
      </c>
      <c r="I97" s="4">
        <v>0</v>
      </c>
      <c r="J97" s="4">
        <v>0</v>
      </c>
      <c r="K97" s="3">
        <v>29.61</v>
      </c>
      <c r="L97" s="3">
        <v>0.64700000000000002</v>
      </c>
      <c r="M97" s="3" t="s">
        <v>9</v>
      </c>
    </row>
    <row r="98" spans="1:13" x14ac:dyDescent="0.35">
      <c r="A98" s="3" t="s">
        <v>6</v>
      </c>
      <c r="B98" s="3" t="s">
        <v>104</v>
      </c>
      <c r="C98" s="3" t="s">
        <v>8</v>
      </c>
      <c r="D98" s="3" t="s">
        <v>114</v>
      </c>
      <c r="E98" s="3">
        <v>8</v>
      </c>
      <c r="F98" s="3">
        <v>28.85</v>
      </c>
      <c r="G98" s="3" t="s">
        <v>9</v>
      </c>
      <c r="H98" s="4">
        <v>0</v>
      </c>
      <c r="I98" s="4">
        <v>0</v>
      </c>
      <c r="J98" s="4">
        <v>0</v>
      </c>
      <c r="K98" s="3">
        <v>29.61</v>
      </c>
      <c r="L98" s="3">
        <v>0.64700000000000002</v>
      </c>
      <c r="M98" s="3" t="s">
        <v>9</v>
      </c>
    </row>
    <row r="99" spans="1:13" x14ac:dyDescent="0.35">
      <c r="A9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3154-FB29-463D-891F-E63C1CA4BC0D}">
  <dimension ref="A1:M98"/>
  <sheetViews>
    <sheetView topLeftCell="A69" workbookViewId="0">
      <selection activeCell="F69" sqref="F69:F98"/>
    </sheetView>
  </sheetViews>
  <sheetFormatPr defaultRowHeight="14.5" x14ac:dyDescent="0.35"/>
  <sheetData>
    <row r="1" spans="1:13" x14ac:dyDescent="0.35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112</v>
      </c>
      <c r="J1" s="3" t="s">
        <v>112</v>
      </c>
      <c r="K1" s="3" t="s">
        <v>110</v>
      </c>
      <c r="L1" s="3" t="s">
        <v>110</v>
      </c>
      <c r="M1" s="3" t="s">
        <v>113</v>
      </c>
    </row>
    <row r="2" spans="1:13" x14ac:dyDescent="0.35">
      <c r="G2" s="3" t="s">
        <v>112</v>
      </c>
      <c r="I2" s="3" t="s">
        <v>4</v>
      </c>
      <c r="J2" s="3" t="s">
        <v>5</v>
      </c>
      <c r="K2" s="3" t="s">
        <v>4</v>
      </c>
      <c r="L2" s="3" t="s">
        <v>5</v>
      </c>
      <c r="M2" s="3" t="s">
        <v>116</v>
      </c>
    </row>
    <row r="3" spans="1:13" x14ac:dyDescent="0.35">
      <c r="A3" s="3" t="s">
        <v>6</v>
      </c>
      <c r="B3" s="3" t="s">
        <v>7</v>
      </c>
      <c r="C3" s="3" t="s">
        <v>8</v>
      </c>
      <c r="D3" s="3" t="s">
        <v>114</v>
      </c>
      <c r="E3" s="3">
        <v>1</v>
      </c>
      <c r="F3" s="3">
        <v>33.49</v>
      </c>
      <c r="G3" s="3" t="s">
        <v>9</v>
      </c>
      <c r="H3" s="4">
        <v>0</v>
      </c>
      <c r="I3" s="4">
        <v>0</v>
      </c>
      <c r="J3" s="4">
        <v>0</v>
      </c>
      <c r="K3" s="3">
        <v>33.78</v>
      </c>
      <c r="L3" s="3">
        <v>0.85</v>
      </c>
      <c r="M3" s="3" t="s">
        <v>9</v>
      </c>
    </row>
    <row r="4" spans="1:13" x14ac:dyDescent="0.35">
      <c r="A4" s="3" t="s">
        <v>6</v>
      </c>
      <c r="B4" s="3" t="s">
        <v>10</v>
      </c>
      <c r="C4" s="3" t="s">
        <v>8</v>
      </c>
      <c r="D4" s="3" t="s">
        <v>114</v>
      </c>
      <c r="E4" s="3">
        <v>1</v>
      </c>
      <c r="F4" s="3">
        <v>32.880000000000003</v>
      </c>
      <c r="G4" s="3" t="s">
        <v>9</v>
      </c>
      <c r="H4" s="4">
        <v>0</v>
      </c>
      <c r="I4" s="4">
        <v>0</v>
      </c>
      <c r="J4" s="4">
        <v>0</v>
      </c>
      <c r="K4" s="3">
        <v>33.78</v>
      </c>
      <c r="L4" s="3">
        <v>0.85</v>
      </c>
      <c r="M4" s="3" t="s">
        <v>9</v>
      </c>
    </row>
    <row r="5" spans="1:13" x14ac:dyDescent="0.35">
      <c r="A5" s="3" t="s">
        <v>6</v>
      </c>
      <c r="B5" s="3" t="s">
        <v>11</v>
      </c>
      <c r="C5" s="3" t="s">
        <v>8</v>
      </c>
      <c r="D5" s="3" t="s">
        <v>114</v>
      </c>
      <c r="E5" s="3">
        <v>1</v>
      </c>
      <c r="F5" s="3">
        <v>32.299999999999997</v>
      </c>
      <c r="G5" s="3" t="s">
        <v>9</v>
      </c>
      <c r="H5" s="4">
        <v>0</v>
      </c>
      <c r="I5" s="4">
        <v>0</v>
      </c>
      <c r="J5" s="4">
        <v>0</v>
      </c>
      <c r="K5" s="3">
        <v>33.78</v>
      </c>
      <c r="L5" s="3">
        <v>0.85</v>
      </c>
      <c r="M5" s="3" t="s">
        <v>9</v>
      </c>
    </row>
    <row r="6" spans="1:13" x14ac:dyDescent="0.35">
      <c r="A6" s="3" t="s">
        <v>6</v>
      </c>
      <c r="B6" s="3" t="s">
        <v>12</v>
      </c>
      <c r="C6" s="3" t="s">
        <v>8</v>
      </c>
      <c r="D6" s="3" t="s">
        <v>114</v>
      </c>
      <c r="E6" s="3">
        <v>1</v>
      </c>
      <c r="F6" s="3">
        <v>34.090000000000003</v>
      </c>
      <c r="G6" s="3" t="s">
        <v>9</v>
      </c>
      <c r="H6" s="4">
        <v>0</v>
      </c>
      <c r="I6" s="4">
        <v>0</v>
      </c>
      <c r="J6" s="4">
        <v>0</v>
      </c>
      <c r="K6" s="3">
        <v>33.78</v>
      </c>
      <c r="L6" s="3">
        <v>0.85</v>
      </c>
      <c r="M6" s="3" t="s">
        <v>9</v>
      </c>
    </row>
    <row r="7" spans="1:13" x14ac:dyDescent="0.35">
      <c r="A7" s="3" t="s">
        <v>6</v>
      </c>
      <c r="B7" s="3" t="s">
        <v>13</v>
      </c>
      <c r="C7" s="3" t="s">
        <v>8</v>
      </c>
      <c r="D7" s="3" t="s">
        <v>114</v>
      </c>
      <c r="E7" s="3">
        <v>1</v>
      </c>
      <c r="F7" s="3">
        <v>33.01</v>
      </c>
      <c r="G7" s="3" t="s">
        <v>9</v>
      </c>
      <c r="H7" s="4">
        <v>0</v>
      </c>
      <c r="I7" s="4">
        <v>0</v>
      </c>
      <c r="J7" s="4">
        <v>0</v>
      </c>
      <c r="K7" s="3">
        <v>33.78</v>
      </c>
      <c r="L7" s="3">
        <v>0.85</v>
      </c>
      <c r="M7" s="3" t="s">
        <v>9</v>
      </c>
    </row>
    <row r="8" spans="1:13" x14ac:dyDescent="0.35">
      <c r="A8" s="3" t="s">
        <v>6</v>
      </c>
      <c r="B8" s="3" t="s">
        <v>14</v>
      </c>
      <c r="C8" s="3" t="s">
        <v>8</v>
      </c>
      <c r="D8" s="3" t="s">
        <v>114</v>
      </c>
      <c r="E8" s="3">
        <v>1</v>
      </c>
      <c r="F8" s="3">
        <v>32.950000000000003</v>
      </c>
      <c r="G8" s="3" t="s">
        <v>9</v>
      </c>
      <c r="H8" s="4">
        <v>0</v>
      </c>
      <c r="I8" s="4">
        <v>0</v>
      </c>
      <c r="J8" s="4">
        <v>0</v>
      </c>
      <c r="K8" s="3">
        <v>33.78</v>
      </c>
      <c r="L8" s="3">
        <v>0.85</v>
      </c>
      <c r="M8" s="3" t="s">
        <v>9</v>
      </c>
    </row>
    <row r="9" spans="1:13" x14ac:dyDescent="0.35">
      <c r="A9" s="3" t="s">
        <v>6</v>
      </c>
      <c r="B9" s="3" t="s">
        <v>15</v>
      </c>
      <c r="C9" s="3" t="s">
        <v>8</v>
      </c>
      <c r="D9" s="3" t="s">
        <v>114</v>
      </c>
      <c r="E9" s="3">
        <v>1</v>
      </c>
      <c r="F9" s="3">
        <v>34.340000000000003</v>
      </c>
      <c r="G9" s="3" t="s">
        <v>9</v>
      </c>
      <c r="H9" s="4">
        <v>0</v>
      </c>
      <c r="I9" s="4">
        <v>0</v>
      </c>
      <c r="J9" s="4">
        <v>0</v>
      </c>
      <c r="K9" s="3">
        <v>33.78</v>
      </c>
      <c r="L9" s="3">
        <v>0.85</v>
      </c>
      <c r="M9" s="3" t="s">
        <v>9</v>
      </c>
    </row>
    <row r="10" spans="1:13" x14ac:dyDescent="0.35">
      <c r="A10" s="3" t="s">
        <v>6</v>
      </c>
      <c r="B10" s="3" t="s">
        <v>16</v>
      </c>
      <c r="C10" s="3" t="s">
        <v>8</v>
      </c>
      <c r="D10" s="3" t="s">
        <v>114</v>
      </c>
      <c r="E10" s="3">
        <v>1</v>
      </c>
      <c r="F10" s="3">
        <v>34.200000000000003</v>
      </c>
      <c r="G10" s="3" t="s">
        <v>9</v>
      </c>
      <c r="H10" s="4">
        <v>0</v>
      </c>
      <c r="I10" s="4">
        <v>0</v>
      </c>
      <c r="J10" s="4">
        <v>0</v>
      </c>
      <c r="K10" s="3">
        <v>33.78</v>
      </c>
      <c r="L10" s="3">
        <v>0.85</v>
      </c>
      <c r="M10" s="3" t="s">
        <v>9</v>
      </c>
    </row>
    <row r="11" spans="1:13" x14ac:dyDescent="0.35">
      <c r="A11" s="3" t="s">
        <v>6</v>
      </c>
      <c r="B11" s="3" t="s">
        <v>17</v>
      </c>
      <c r="C11" s="3" t="s">
        <v>8</v>
      </c>
      <c r="D11" s="3" t="s">
        <v>114</v>
      </c>
      <c r="E11" s="3">
        <v>1</v>
      </c>
      <c r="F11" s="3">
        <v>34.01</v>
      </c>
      <c r="G11" s="3" t="s">
        <v>9</v>
      </c>
      <c r="H11" s="4">
        <v>0</v>
      </c>
      <c r="I11" s="4">
        <v>0</v>
      </c>
      <c r="J11" s="4">
        <v>0</v>
      </c>
      <c r="K11" s="3">
        <v>33.78</v>
      </c>
      <c r="L11" s="3">
        <v>0.85</v>
      </c>
      <c r="M11" s="3" t="s">
        <v>9</v>
      </c>
    </row>
    <row r="12" spans="1:13" x14ac:dyDescent="0.35">
      <c r="A12" s="3" t="s">
        <v>6</v>
      </c>
      <c r="B12" s="3" t="s">
        <v>18</v>
      </c>
      <c r="C12" s="3" t="s">
        <v>8</v>
      </c>
      <c r="D12" s="3" t="s">
        <v>114</v>
      </c>
      <c r="E12" s="3">
        <v>1</v>
      </c>
      <c r="F12" s="3">
        <v>34.83</v>
      </c>
      <c r="G12" s="3" t="s">
        <v>9</v>
      </c>
      <c r="H12" s="4">
        <v>0</v>
      </c>
      <c r="I12" s="4">
        <v>0</v>
      </c>
      <c r="J12" s="4">
        <v>0</v>
      </c>
      <c r="K12" s="3">
        <v>33.78</v>
      </c>
      <c r="L12" s="3">
        <v>0.85</v>
      </c>
      <c r="M12" s="3" t="s">
        <v>9</v>
      </c>
    </row>
    <row r="13" spans="1:13" x14ac:dyDescent="0.35">
      <c r="A13" s="3" t="s">
        <v>6</v>
      </c>
      <c r="B13" s="3" t="s">
        <v>19</v>
      </c>
      <c r="C13" s="3" t="s">
        <v>8</v>
      </c>
      <c r="D13" s="3" t="s">
        <v>114</v>
      </c>
      <c r="E13" s="3">
        <v>1</v>
      </c>
      <c r="F13" s="3">
        <v>34.119999999999997</v>
      </c>
      <c r="G13" s="3" t="s">
        <v>9</v>
      </c>
      <c r="H13" s="4">
        <v>0</v>
      </c>
      <c r="I13" s="4">
        <v>0</v>
      </c>
      <c r="J13" s="4">
        <v>0</v>
      </c>
      <c r="K13" s="3">
        <v>33.78</v>
      </c>
      <c r="L13" s="3">
        <v>0.85</v>
      </c>
      <c r="M13" s="3" t="s">
        <v>9</v>
      </c>
    </row>
    <row r="14" spans="1:13" x14ac:dyDescent="0.35">
      <c r="A14" s="3" t="s">
        <v>6</v>
      </c>
      <c r="B14" s="3" t="s">
        <v>20</v>
      </c>
      <c r="C14" s="3" t="s">
        <v>8</v>
      </c>
      <c r="D14" s="3" t="s">
        <v>114</v>
      </c>
      <c r="E14" s="3">
        <v>1</v>
      </c>
      <c r="F14" s="3">
        <v>35.1</v>
      </c>
      <c r="G14" s="3" t="s">
        <v>9</v>
      </c>
      <c r="H14" s="4">
        <v>0</v>
      </c>
      <c r="I14" s="4">
        <v>0</v>
      </c>
      <c r="J14" s="4">
        <v>0</v>
      </c>
      <c r="K14" s="3">
        <v>33.78</v>
      </c>
      <c r="L14" s="3">
        <v>0.85</v>
      </c>
      <c r="M14" s="3" t="s">
        <v>9</v>
      </c>
    </row>
    <row r="15" spans="1:13" x14ac:dyDescent="0.35">
      <c r="A15" s="3" t="s">
        <v>6</v>
      </c>
      <c r="B15" s="3" t="s">
        <v>21</v>
      </c>
      <c r="C15" s="3" t="s">
        <v>8</v>
      </c>
      <c r="D15" s="3" t="s">
        <v>114</v>
      </c>
      <c r="E15" s="3">
        <v>2</v>
      </c>
      <c r="F15" s="3">
        <v>34.6</v>
      </c>
      <c r="G15" s="3" t="s">
        <v>9</v>
      </c>
      <c r="H15" s="4">
        <v>0</v>
      </c>
      <c r="I15" s="4">
        <v>0</v>
      </c>
      <c r="J15" s="4">
        <v>0</v>
      </c>
      <c r="K15" s="3">
        <v>34.68</v>
      </c>
      <c r="L15" s="3">
        <v>1.069</v>
      </c>
      <c r="M15" s="3" t="s">
        <v>9</v>
      </c>
    </row>
    <row r="16" spans="1:13" x14ac:dyDescent="0.35">
      <c r="A16" s="3" t="s">
        <v>6</v>
      </c>
      <c r="B16" s="3" t="s">
        <v>22</v>
      </c>
      <c r="C16" s="3" t="s">
        <v>8</v>
      </c>
      <c r="D16" s="3" t="s">
        <v>114</v>
      </c>
      <c r="E16" s="3">
        <v>2</v>
      </c>
      <c r="F16" s="3">
        <v>33.78</v>
      </c>
      <c r="G16" s="3" t="s">
        <v>9</v>
      </c>
      <c r="H16" s="4">
        <v>0</v>
      </c>
      <c r="I16" s="4">
        <v>0</v>
      </c>
      <c r="J16" s="4">
        <v>0</v>
      </c>
      <c r="K16" s="3">
        <v>34.68</v>
      </c>
      <c r="L16" s="3">
        <v>1.069</v>
      </c>
      <c r="M16" s="3" t="s">
        <v>9</v>
      </c>
    </row>
    <row r="17" spans="1:13" x14ac:dyDescent="0.35">
      <c r="A17" s="3" t="s">
        <v>6</v>
      </c>
      <c r="B17" s="3" t="s">
        <v>23</v>
      </c>
      <c r="C17" s="3" t="s">
        <v>8</v>
      </c>
      <c r="D17" s="3" t="s">
        <v>114</v>
      </c>
      <c r="E17" s="3">
        <v>2</v>
      </c>
      <c r="F17" s="3">
        <v>33.29</v>
      </c>
      <c r="G17" s="3" t="s">
        <v>9</v>
      </c>
      <c r="H17" s="4">
        <v>0</v>
      </c>
      <c r="I17" s="4">
        <v>0</v>
      </c>
      <c r="J17" s="4">
        <v>0</v>
      </c>
      <c r="K17" s="3">
        <v>34.68</v>
      </c>
      <c r="L17" s="3">
        <v>1.069</v>
      </c>
      <c r="M17" s="3" t="s">
        <v>9</v>
      </c>
    </row>
    <row r="18" spans="1:13" x14ac:dyDescent="0.35">
      <c r="A18" s="3" t="s">
        <v>6</v>
      </c>
      <c r="B18" s="3" t="s">
        <v>24</v>
      </c>
      <c r="C18" s="3" t="s">
        <v>8</v>
      </c>
      <c r="D18" s="3" t="s">
        <v>114</v>
      </c>
      <c r="E18" s="3">
        <v>2</v>
      </c>
      <c r="F18" s="3">
        <v>33.04</v>
      </c>
      <c r="G18" s="3" t="s">
        <v>9</v>
      </c>
      <c r="H18" s="4">
        <v>0</v>
      </c>
      <c r="I18" s="4">
        <v>0</v>
      </c>
      <c r="J18" s="4">
        <v>0</v>
      </c>
      <c r="K18" s="3">
        <v>34.68</v>
      </c>
      <c r="L18" s="3">
        <v>1.069</v>
      </c>
      <c r="M18" s="3" t="s">
        <v>9</v>
      </c>
    </row>
    <row r="19" spans="1:13" x14ac:dyDescent="0.35">
      <c r="A19" s="3" t="s">
        <v>6</v>
      </c>
      <c r="B19" s="3" t="s">
        <v>25</v>
      </c>
      <c r="C19" s="3" t="s">
        <v>8</v>
      </c>
      <c r="D19" s="3" t="s">
        <v>114</v>
      </c>
      <c r="E19" s="3">
        <v>2</v>
      </c>
      <c r="F19" s="3">
        <v>33.67</v>
      </c>
      <c r="G19" s="3" t="s">
        <v>9</v>
      </c>
      <c r="H19" s="4">
        <v>0</v>
      </c>
      <c r="I19" s="4">
        <v>0</v>
      </c>
      <c r="J19" s="4">
        <v>0</v>
      </c>
      <c r="K19" s="3">
        <v>34.68</v>
      </c>
      <c r="L19" s="3">
        <v>1.069</v>
      </c>
      <c r="M19" s="3" t="s">
        <v>9</v>
      </c>
    </row>
    <row r="20" spans="1:13" x14ac:dyDescent="0.35">
      <c r="A20" s="3" t="s">
        <v>6</v>
      </c>
      <c r="B20" s="3" t="s">
        <v>26</v>
      </c>
      <c r="C20" s="3" t="s">
        <v>8</v>
      </c>
      <c r="D20" s="3" t="s">
        <v>114</v>
      </c>
      <c r="E20" s="3">
        <v>2</v>
      </c>
      <c r="F20" s="3">
        <v>34.25</v>
      </c>
      <c r="G20" s="3" t="s">
        <v>9</v>
      </c>
      <c r="H20" s="4">
        <v>0</v>
      </c>
      <c r="I20" s="4">
        <v>0</v>
      </c>
      <c r="J20" s="4">
        <v>0</v>
      </c>
      <c r="K20" s="3">
        <v>34.68</v>
      </c>
      <c r="L20" s="3">
        <v>1.069</v>
      </c>
      <c r="M20" s="3" t="s">
        <v>9</v>
      </c>
    </row>
    <row r="21" spans="1:13" x14ac:dyDescent="0.35">
      <c r="A21" s="3" t="s">
        <v>6</v>
      </c>
      <c r="B21" s="3" t="s">
        <v>27</v>
      </c>
      <c r="C21" s="3" t="s">
        <v>8</v>
      </c>
      <c r="D21" s="3" t="s">
        <v>114</v>
      </c>
      <c r="E21" s="3">
        <v>2</v>
      </c>
      <c r="F21" s="3">
        <v>35.71</v>
      </c>
      <c r="G21" s="3" t="s">
        <v>9</v>
      </c>
      <c r="H21" s="4">
        <v>0</v>
      </c>
      <c r="I21" s="4">
        <v>0</v>
      </c>
      <c r="J21" s="4">
        <v>0</v>
      </c>
      <c r="K21" s="3">
        <v>34.68</v>
      </c>
      <c r="L21" s="3">
        <v>1.069</v>
      </c>
      <c r="M21" s="3" t="s">
        <v>9</v>
      </c>
    </row>
    <row r="22" spans="1:13" x14ac:dyDescent="0.35">
      <c r="A22" s="3" t="s">
        <v>6</v>
      </c>
      <c r="B22" s="3" t="s">
        <v>28</v>
      </c>
      <c r="C22" s="3" t="s">
        <v>8</v>
      </c>
      <c r="D22" s="3" t="s">
        <v>114</v>
      </c>
      <c r="E22" s="3">
        <v>2</v>
      </c>
      <c r="F22" s="3">
        <v>35.94</v>
      </c>
      <c r="G22" s="3" t="s">
        <v>9</v>
      </c>
      <c r="H22" s="4">
        <v>0</v>
      </c>
      <c r="I22" s="4">
        <v>0</v>
      </c>
      <c r="J22" s="4">
        <v>0</v>
      </c>
      <c r="K22" s="3">
        <v>34.68</v>
      </c>
      <c r="L22" s="3">
        <v>1.069</v>
      </c>
      <c r="M22" s="3" t="s">
        <v>9</v>
      </c>
    </row>
    <row r="23" spans="1:13" x14ac:dyDescent="0.35">
      <c r="A23" s="3" t="s">
        <v>6</v>
      </c>
      <c r="B23" s="3" t="s">
        <v>29</v>
      </c>
      <c r="C23" s="3" t="s">
        <v>8</v>
      </c>
      <c r="D23" s="3" t="s">
        <v>114</v>
      </c>
      <c r="E23" s="3">
        <v>2</v>
      </c>
      <c r="F23" s="3">
        <v>34.950000000000003</v>
      </c>
      <c r="G23" s="3" t="s">
        <v>9</v>
      </c>
      <c r="H23" s="4">
        <v>0</v>
      </c>
      <c r="I23" s="4">
        <v>0</v>
      </c>
      <c r="J23" s="4">
        <v>0</v>
      </c>
      <c r="K23" s="3">
        <v>34.68</v>
      </c>
      <c r="L23" s="3">
        <v>1.069</v>
      </c>
      <c r="M23" s="3" t="s">
        <v>9</v>
      </c>
    </row>
    <row r="24" spans="1:13" x14ac:dyDescent="0.35">
      <c r="A24" s="3" t="s">
        <v>6</v>
      </c>
      <c r="B24" s="3" t="s">
        <v>30</v>
      </c>
      <c r="C24" s="3" t="s">
        <v>8</v>
      </c>
      <c r="D24" s="3" t="s">
        <v>114</v>
      </c>
      <c r="E24" s="3">
        <v>2</v>
      </c>
      <c r="F24" s="3">
        <v>35.17</v>
      </c>
      <c r="G24" s="3" t="s">
        <v>9</v>
      </c>
      <c r="H24" s="4">
        <v>0</v>
      </c>
      <c r="I24" s="4">
        <v>0</v>
      </c>
      <c r="J24" s="4">
        <v>0</v>
      </c>
      <c r="K24" s="3">
        <v>34.68</v>
      </c>
      <c r="L24" s="3">
        <v>1.069</v>
      </c>
      <c r="M24" s="3" t="s">
        <v>9</v>
      </c>
    </row>
    <row r="25" spans="1:13" x14ac:dyDescent="0.35">
      <c r="A25" s="3" t="s">
        <v>6</v>
      </c>
      <c r="B25" s="3" t="s">
        <v>31</v>
      </c>
      <c r="C25" s="3" t="s">
        <v>8</v>
      </c>
      <c r="D25" s="3" t="s">
        <v>114</v>
      </c>
      <c r="E25" s="3">
        <v>2</v>
      </c>
      <c r="F25" s="3">
        <v>36.159999999999997</v>
      </c>
      <c r="G25" s="3" t="s">
        <v>9</v>
      </c>
      <c r="H25" s="4">
        <v>0</v>
      </c>
      <c r="I25" s="4">
        <v>0</v>
      </c>
      <c r="J25" s="4">
        <v>0</v>
      </c>
      <c r="K25" s="3">
        <v>34.68</v>
      </c>
      <c r="L25" s="3">
        <v>1.069</v>
      </c>
      <c r="M25" s="3" t="s">
        <v>9</v>
      </c>
    </row>
    <row r="26" spans="1:13" x14ac:dyDescent="0.35">
      <c r="A26" s="3" t="s">
        <v>6</v>
      </c>
      <c r="B26" s="3" t="s">
        <v>32</v>
      </c>
      <c r="C26" s="3" t="s">
        <v>8</v>
      </c>
      <c r="D26" s="3" t="s">
        <v>114</v>
      </c>
      <c r="E26" s="3">
        <v>2</v>
      </c>
      <c r="F26" s="3">
        <v>35.57</v>
      </c>
      <c r="G26" s="3" t="s">
        <v>9</v>
      </c>
      <c r="H26" s="4">
        <v>0</v>
      </c>
      <c r="I26" s="4">
        <v>0</v>
      </c>
      <c r="J26" s="4">
        <v>0</v>
      </c>
      <c r="K26" s="3">
        <v>34.68</v>
      </c>
      <c r="L26" s="3">
        <v>1.069</v>
      </c>
      <c r="M26" s="3" t="s">
        <v>9</v>
      </c>
    </row>
    <row r="27" spans="1:13" x14ac:dyDescent="0.35">
      <c r="A27" s="3" t="s">
        <v>6</v>
      </c>
      <c r="B27" s="3" t="s">
        <v>33</v>
      </c>
      <c r="C27" s="3" t="s">
        <v>8</v>
      </c>
      <c r="D27" s="3" t="s">
        <v>114</v>
      </c>
      <c r="E27" s="3">
        <v>3</v>
      </c>
      <c r="F27" s="3">
        <v>37.340000000000003</v>
      </c>
      <c r="G27" s="3" t="s">
        <v>9</v>
      </c>
      <c r="H27" s="4">
        <v>0</v>
      </c>
      <c r="I27" s="4">
        <v>0</v>
      </c>
      <c r="J27" s="4">
        <v>0</v>
      </c>
      <c r="K27" s="3">
        <v>35.56</v>
      </c>
      <c r="L27" s="3">
        <v>0.95</v>
      </c>
      <c r="M27" s="3" t="s">
        <v>9</v>
      </c>
    </row>
    <row r="28" spans="1:13" x14ac:dyDescent="0.35">
      <c r="A28" s="3" t="s">
        <v>6</v>
      </c>
      <c r="B28" s="3" t="s">
        <v>34</v>
      </c>
      <c r="C28" s="3" t="s">
        <v>8</v>
      </c>
      <c r="D28" s="3" t="s">
        <v>114</v>
      </c>
      <c r="E28" s="3">
        <v>3</v>
      </c>
      <c r="F28" s="3">
        <v>34.79</v>
      </c>
      <c r="G28" s="3" t="s">
        <v>9</v>
      </c>
      <c r="H28" s="4">
        <v>0</v>
      </c>
      <c r="I28" s="4">
        <v>0</v>
      </c>
      <c r="J28" s="4">
        <v>0</v>
      </c>
      <c r="K28" s="3">
        <v>35.56</v>
      </c>
      <c r="L28" s="3">
        <v>0.95</v>
      </c>
      <c r="M28" s="3" t="s">
        <v>9</v>
      </c>
    </row>
    <row r="29" spans="1:13" x14ac:dyDescent="0.35">
      <c r="A29" s="3" t="s">
        <v>6</v>
      </c>
      <c r="B29" s="3" t="s">
        <v>35</v>
      </c>
      <c r="C29" s="3" t="s">
        <v>8</v>
      </c>
      <c r="D29" s="3" t="s">
        <v>114</v>
      </c>
      <c r="E29" s="3">
        <v>3</v>
      </c>
      <c r="F29" s="3">
        <v>35.18</v>
      </c>
      <c r="G29" s="3" t="s">
        <v>9</v>
      </c>
      <c r="H29" s="4">
        <v>0</v>
      </c>
      <c r="I29" s="4">
        <v>0</v>
      </c>
      <c r="J29" s="4">
        <v>0</v>
      </c>
      <c r="K29" s="3">
        <v>35.56</v>
      </c>
      <c r="L29" s="3">
        <v>0.95</v>
      </c>
      <c r="M29" s="3" t="s">
        <v>9</v>
      </c>
    </row>
    <row r="30" spans="1:13" x14ac:dyDescent="0.35">
      <c r="A30" s="3" t="s">
        <v>6</v>
      </c>
      <c r="B30" s="3" t="s">
        <v>36</v>
      </c>
      <c r="C30" s="3" t="s">
        <v>8</v>
      </c>
      <c r="D30" s="3" t="s">
        <v>114</v>
      </c>
      <c r="E30" s="3">
        <v>3</v>
      </c>
      <c r="F30" s="3">
        <v>35.020000000000003</v>
      </c>
      <c r="G30" s="3" t="s">
        <v>9</v>
      </c>
      <c r="H30" s="4">
        <v>0</v>
      </c>
      <c r="I30" s="4">
        <v>0</v>
      </c>
      <c r="J30" s="4">
        <v>0</v>
      </c>
      <c r="K30" s="3">
        <v>35.56</v>
      </c>
      <c r="L30" s="3">
        <v>0.95</v>
      </c>
      <c r="M30" s="3" t="s">
        <v>9</v>
      </c>
    </row>
    <row r="31" spans="1:13" x14ac:dyDescent="0.35">
      <c r="A31" s="3" t="s">
        <v>6</v>
      </c>
      <c r="B31" s="3" t="s">
        <v>37</v>
      </c>
      <c r="C31" s="3" t="s">
        <v>8</v>
      </c>
      <c r="D31" s="3" t="s">
        <v>114</v>
      </c>
      <c r="E31" s="3">
        <v>3</v>
      </c>
      <c r="F31" s="3">
        <v>35.92</v>
      </c>
      <c r="G31" s="3" t="s">
        <v>9</v>
      </c>
      <c r="H31" s="4">
        <v>0</v>
      </c>
      <c r="I31" s="4">
        <v>0</v>
      </c>
      <c r="J31" s="4">
        <v>0</v>
      </c>
      <c r="K31" s="3">
        <v>35.56</v>
      </c>
      <c r="L31" s="3">
        <v>0.95</v>
      </c>
      <c r="M31" s="3" t="s">
        <v>9</v>
      </c>
    </row>
    <row r="32" spans="1:13" x14ac:dyDescent="0.35">
      <c r="A32" s="3" t="s">
        <v>6</v>
      </c>
      <c r="B32" s="3" t="s">
        <v>38</v>
      </c>
      <c r="C32" s="3" t="s">
        <v>8</v>
      </c>
      <c r="D32" s="3" t="s">
        <v>114</v>
      </c>
      <c r="E32" s="3">
        <v>3</v>
      </c>
      <c r="F32" s="3">
        <v>35.119999999999997</v>
      </c>
      <c r="G32" s="3" t="s">
        <v>9</v>
      </c>
      <c r="H32" s="4">
        <v>0</v>
      </c>
      <c r="I32" s="4">
        <v>0</v>
      </c>
      <c r="J32" s="4">
        <v>0</v>
      </c>
      <c r="K32" s="3">
        <v>35.56</v>
      </c>
      <c r="L32" s="3">
        <v>0.95</v>
      </c>
      <c r="M32" s="3" t="s">
        <v>9</v>
      </c>
    </row>
    <row r="33" spans="1:13" x14ac:dyDescent="0.35">
      <c r="A33" s="3" t="s">
        <v>6</v>
      </c>
      <c r="B33" s="3" t="s">
        <v>39</v>
      </c>
      <c r="C33" s="3" t="s">
        <v>8</v>
      </c>
      <c r="D33" s="3" t="s">
        <v>114</v>
      </c>
      <c r="E33" s="3">
        <v>3</v>
      </c>
      <c r="F33" s="3" t="s">
        <v>9</v>
      </c>
      <c r="G33" s="3" t="s">
        <v>9</v>
      </c>
      <c r="H33" s="4">
        <v>0</v>
      </c>
      <c r="I33" s="4">
        <v>0</v>
      </c>
      <c r="J33" s="4">
        <v>0</v>
      </c>
      <c r="K33" s="3">
        <v>0</v>
      </c>
      <c r="L33" s="3">
        <v>0</v>
      </c>
      <c r="M33" s="3" t="s">
        <v>9</v>
      </c>
    </row>
    <row r="34" spans="1:13" x14ac:dyDescent="0.35">
      <c r="A34" s="3" t="s">
        <v>6</v>
      </c>
      <c r="B34" s="3" t="s">
        <v>40</v>
      </c>
      <c r="C34" s="3" t="s">
        <v>8</v>
      </c>
      <c r="D34" s="3" t="s">
        <v>114</v>
      </c>
      <c r="E34" s="3">
        <v>3</v>
      </c>
      <c r="F34" s="3" t="s">
        <v>9</v>
      </c>
      <c r="G34" s="3" t="s">
        <v>9</v>
      </c>
      <c r="H34" s="4">
        <v>0</v>
      </c>
      <c r="I34" s="4">
        <v>0</v>
      </c>
      <c r="J34" s="4">
        <v>0</v>
      </c>
      <c r="K34" s="3">
        <v>0</v>
      </c>
      <c r="L34" s="3">
        <v>0</v>
      </c>
      <c r="M34" s="3" t="s">
        <v>9</v>
      </c>
    </row>
    <row r="35" spans="1:13" x14ac:dyDescent="0.35">
      <c r="A35" s="3" t="s">
        <v>6</v>
      </c>
      <c r="B35" s="3" t="s">
        <v>41</v>
      </c>
      <c r="C35" s="3" t="s">
        <v>8</v>
      </c>
      <c r="D35" s="3" t="s">
        <v>114</v>
      </c>
      <c r="E35" s="3">
        <v>3</v>
      </c>
      <c r="F35" s="3" t="s">
        <v>9</v>
      </c>
      <c r="G35" s="3" t="s">
        <v>9</v>
      </c>
      <c r="H35" s="4">
        <v>0</v>
      </c>
      <c r="I35" s="4">
        <v>0</v>
      </c>
      <c r="J35" s="4">
        <v>0</v>
      </c>
      <c r="K35" s="3">
        <v>0</v>
      </c>
      <c r="L35" s="3">
        <v>0</v>
      </c>
      <c r="M35" s="3" t="s">
        <v>9</v>
      </c>
    </row>
    <row r="36" spans="1:13" x14ac:dyDescent="0.35">
      <c r="A36" s="3" t="s">
        <v>6</v>
      </c>
      <c r="B36" s="3" t="s">
        <v>42</v>
      </c>
      <c r="C36" s="3" t="s">
        <v>8</v>
      </c>
      <c r="D36" s="3" t="s">
        <v>114</v>
      </c>
      <c r="E36" s="3">
        <v>3</v>
      </c>
      <c r="F36" s="3" t="s">
        <v>9</v>
      </c>
      <c r="G36" s="3" t="s">
        <v>9</v>
      </c>
      <c r="H36" s="4">
        <v>0</v>
      </c>
      <c r="I36" s="4">
        <v>0</v>
      </c>
      <c r="J36" s="4">
        <v>0</v>
      </c>
      <c r="K36" s="3">
        <v>0</v>
      </c>
      <c r="L36" s="3">
        <v>0</v>
      </c>
      <c r="M36" s="3" t="s">
        <v>9</v>
      </c>
    </row>
    <row r="37" spans="1:13" x14ac:dyDescent="0.35">
      <c r="A37" s="3" t="s">
        <v>6</v>
      </c>
      <c r="B37" s="3" t="s">
        <v>43</v>
      </c>
      <c r="C37" s="3" t="s">
        <v>8</v>
      </c>
      <c r="D37" s="3" t="s">
        <v>114</v>
      </c>
      <c r="E37" s="3">
        <v>3</v>
      </c>
      <c r="F37" s="3" t="s">
        <v>9</v>
      </c>
      <c r="G37" s="3" t="s">
        <v>9</v>
      </c>
      <c r="H37" s="4">
        <v>0</v>
      </c>
      <c r="I37" s="4">
        <v>0</v>
      </c>
      <c r="J37" s="4">
        <v>0</v>
      </c>
      <c r="K37" s="3">
        <v>0</v>
      </c>
      <c r="L37" s="3">
        <v>0</v>
      </c>
      <c r="M37" s="3" t="s">
        <v>9</v>
      </c>
    </row>
    <row r="38" spans="1:13" x14ac:dyDescent="0.35">
      <c r="A38" s="3" t="s">
        <v>6</v>
      </c>
      <c r="B38" s="3" t="s">
        <v>44</v>
      </c>
      <c r="C38" s="3" t="s">
        <v>8</v>
      </c>
      <c r="D38" s="3" t="s">
        <v>114</v>
      </c>
      <c r="E38" s="3">
        <v>3</v>
      </c>
      <c r="F38" s="3" t="s">
        <v>9</v>
      </c>
      <c r="G38" s="3" t="s">
        <v>9</v>
      </c>
      <c r="H38" s="4">
        <v>0</v>
      </c>
      <c r="I38" s="4">
        <v>0</v>
      </c>
      <c r="J38" s="4">
        <v>0</v>
      </c>
      <c r="K38" s="3">
        <v>0</v>
      </c>
      <c r="L38" s="3">
        <v>0</v>
      </c>
      <c r="M38" s="3" t="s">
        <v>9</v>
      </c>
    </row>
    <row r="39" spans="1:13" x14ac:dyDescent="0.35">
      <c r="A39" s="3" t="s">
        <v>6</v>
      </c>
      <c r="B39" s="3" t="s">
        <v>45</v>
      </c>
      <c r="C39" s="3" t="s">
        <v>8</v>
      </c>
      <c r="D39" s="3" t="s">
        <v>114</v>
      </c>
      <c r="E39" s="3">
        <v>4</v>
      </c>
      <c r="F39" s="3">
        <v>25.85</v>
      </c>
      <c r="G39" s="3" t="s">
        <v>9</v>
      </c>
      <c r="H39" s="4">
        <v>0</v>
      </c>
      <c r="I39" s="4">
        <v>0</v>
      </c>
      <c r="J39" s="4">
        <v>0</v>
      </c>
      <c r="K39" s="3">
        <v>23.33</v>
      </c>
      <c r="L39" s="3">
        <v>2.1669999999999998</v>
      </c>
      <c r="M39" s="3" t="s">
        <v>9</v>
      </c>
    </row>
    <row r="40" spans="1:13" x14ac:dyDescent="0.35">
      <c r="A40" s="3" t="s">
        <v>6</v>
      </c>
      <c r="B40" s="3" t="s">
        <v>46</v>
      </c>
      <c r="C40" s="3" t="s">
        <v>8</v>
      </c>
      <c r="D40" s="3" t="s">
        <v>114</v>
      </c>
      <c r="E40" s="3">
        <v>4</v>
      </c>
      <c r="F40" s="3">
        <v>25.31</v>
      </c>
      <c r="G40" s="3" t="s">
        <v>9</v>
      </c>
      <c r="H40" s="4">
        <v>0</v>
      </c>
      <c r="I40" s="4">
        <v>0</v>
      </c>
      <c r="J40" s="4">
        <v>0</v>
      </c>
      <c r="K40" s="3">
        <v>23.33</v>
      </c>
      <c r="L40" s="3">
        <v>2.1669999999999998</v>
      </c>
      <c r="M40" s="3" t="s">
        <v>9</v>
      </c>
    </row>
    <row r="41" spans="1:13" x14ac:dyDescent="0.35">
      <c r="A41" s="3" t="s">
        <v>6</v>
      </c>
      <c r="B41" s="3" t="s">
        <v>47</v>
      </c>
      <c r="C41" s="3" t="s">
        <v>8</v>
      </c>
      <c r="D41" s="3" t="s">
        <v>114</v>
      </c>
      <c r="E41" s="3">
        <v>4</v>
      </c>
      <c r="F41" s="3">
        <v>24.73</v>
      </c>
      <c r="G41" s="3" t="s">
        <v>9</v>
      </c>
      <c r="H41" s="4">
        <v>0</v>
      </c>
      <c r="I41" s="4">
        <v>0</v>
      </c>
      <c r="J41" s="4">
        <v>0</v>
      </c>
      <c r="K41" s="3">
        <v>23.33</v>
      </c>
      <c r="L41" s="3">
        <v>2.1669999999999998</v>
      </c>
      <c r="M41" s="3" t="s">
        <v>9</v>
      </c>
    </row>
    <row r="42" spans="1:13" x14ac:dyDescent="0.35">
      <c r="A42" s="3" t="s">
        <v>6</v>
      </c>
      <c r="B42" s="3" t="s">
        <v>48</v>
      </c>
      <c r="C42" s="3" t="s">
        <v>8</v>
      </c>
      <c r="D42" s="3" t="s">
        <v>114</v>
      </c>
      <c r="E42" s="3">
        <v>4</v>
      </c>
      <c r="F42" s="3">
        <v>21.81</v>
      </c>
      <c r="G42" s="3" t="s">
        <v>9</v>
      </c>
      <c r="H42" s="4">
        <v>0</v>
      </c>
      <c r="I42" s="4">
        <v>0</v>
      </c>
      <c r="J42" s="4">
        <v>0</v>
      </c>
      <c r="K42" s="3">
        <v>23.33</v>
      </c>
      <c r="L42" s="3">
        <v>2.1669999999999998</v>
      </c>
      <c r="M42" s="3" t="s">
        <v>9</v>
      </c>
    </row>
    <row r="43" spans="1:13" x14ac:dyDescent="0.35">
      <c r="A43" s="3" t="s">
        <v>6</v>
      </c>
      <c r="B43" s="3" t="s">
        <v>49</v>
      </c>
      <c r="C43" s="3" t="s">
        <v>8</v>
      </c>
      <c r="D43" s="3" t="s">
        <v>114</v>
      </c>
      <c r="E43" s="3">
        <v>4</v>
      </c>
      <c r="F43" s="3">
        <v>23.08</v>
      </c>
      <c r="G43" s="3" t="s">
        <v>9</v>
      </c>
      <c r="H43" s="4">
        <v>0</v>
      </c>
      <c r="I43" s="4">
        <v>0</v>
      </c>
      <c r="J43" s="4">
        <v>0</v>
      </c>
      <c r="K43" s="3">
        <v>23.33</v>
      </c>
      <c r="L43" s="3">
        <v>2.1669999999999998</v>
      </c>
      <c r="M43" s="3" t="s">
        <v>9</v>
      </c>
    </row>
    <row r="44" spans="1:13" x14ac:dyDescent="0.35">
      <c r="A44" s="3" t="s">
        <v>6</v>
      </c>
      <c r="B44" s="3" t="s">
        <v>50</v>
      </c>
      <c r="C44" s="3" t="s">
        <v>8</v>
      </c>
      <c r="D44" s="3" t="s">
        <v>114</v>
      </c>
      <c r="E44" s="3">
        <v>4</v>
      </c>
      <c r="F44" s="3">
        <v>23.52</v>
      </c>
      <c r="G44" s="3" t="s">
        <v>9</v>
      </c>
      <c r="H44" s="4">
        <v>0</v>
      </c>
      <c r="I44" s="4">
        <v>0</v>
      </c>
      <c r="J44" s="4">
        <v>0</v>
      </c>
      <c r="K44" s="3">
        <v>23.33</v>
      </c>
      <c r="L44" s="3">
        <v>2.1669999999999998</v>
      </c>
      <c r="M44" s="3" t="s">
        <v>9</v>
      </c>
    </row>
    <row r="45" spans="1:13" x14ac:dyDescent="0.35">
      <c r="A45" s="3" t="s">
        <v>6</v>
      </c>
      <c r="B45" s="3" t="s">
        <v>51</v>
      </c>
      <c r="C45" s="3" t="s">
        <v>8</v>
      </c>
      <c r="D45" s="3" t="s">
        <v>114</v>
      </c>
      <c r="E45" s="3">
        <v>4</v>
      </c>
      <c r="F45" s="3">
        <v>25.1</v>
      </c>
      <c r="G45" s="3" t="s">
        <v>9</v>
      </c>
      <c r="H45" s="4">
        <v>0</v>
      </c>
      <c r="I45" s="4">
        <v>0</v>
      </c>
      <c r="J45" s="4">
        <v>0</v>
      </c>
      <c r="K45" s="3">
        <v>23.33</v>
      </c>
      <c r="L45" s="3">
        <v>2.1669999999999998</v>
      </c>
      <c r="M45" s="3" t="s">
        <v>9</v>
      </c>
    </row>
    <row r="46" spans="1:13" x14ac:dyDescent="0.35">
      <c r="A46" s="3" t="s">
        <v>6</v>
      </c>
      <c r="B46" s="3" t="s">
        <v>52</v>
      </c>
      <c r="C46" s="3" t="s">
        <v>8</v>
      </c>
      <c r="D46" s="3" t="s">
        <v>114</v>
      </c>
      <c r="E46" s="3">
        <v>4</v>
      </c>
      <c r="F46" s="3">
        <v>25.09</v>
      </c>
      <c r="G46" s="3" t="s">
        <v>9</v>
      </c>
      <c r="H46" s="4">
        <v>0</v>
      </c>
      <c r="I46" s="4">
        <v>0</v>
      </c>
      <c r="J46" s="4">
        <v>0</v>
      </c>
      <c r="K46" s="3">
        <v>23.33</v>
      </c>
      <c r="L46" s="3">
        <v>2.1669999999999998</v>
      </c>
      <c r="M46" s="3" t="s">
        <v>9</v>
      </c>
    </row>
    <row r="47" spans="1:13" x14ac:dyDescent="0.35">
      <c r="A47" s="3" t="s">
        <v>6</v>
      </c>
      <c r="B47" s="3" t="s">
        <v>53</v>
      </c>
      <c r="C47" s="3" t="s">
        <v>8</v>
      </c>
      <c r="D47" s="3" t="s">
        <v>114</v>
      </c>
      <c r="E47" s="3">
        <v>4</v>
      </c>
      <c r="F47" s="3">
        <v>24.72</v>
      </c>
      <c r="G47" s="3" t="s">
        <v>9</v>
      </c>
      <c r="H47" s="4">
        <v>0</v>
      </c>
      <c r="I47" s="4">
        <v>0</v>
      </c>
      <c r="J47" s="4">
        <v>0</v>
      </c>
      <c r="K47" s="3">
        <v>23.33</v>
      </c>
      <c r="L47" s="3">
        <v>2.1669999999999998</v>
      </c>
      <c r="M47" s="3" t="s">
        <v>9</v>
      </c>
    </row>
    <row r="48" spans="1:13" x14ac:dyDescent="0.35">
      <c r="A48" s="3" t="s">
        <v>6</v>
      </c>
      <c r="B48" s="3" t="s">
        <v>54</v>
      </c>
      <c r="C48" s="3" t="s">
        <v>8</v>
      </c>
      <c r="D48" s="3" t="s">
        <v>114</v>
      </c>
      <c r="E48" s="3">
        <v>4</v>
      </c>
      <c r="F48" s="3">
        <v>20.23</v>
      </c>
      <c r="G48" s="3" t="s">
        <v>9</v>
      </c>
      <c r="H48" s="4">
        <v>0</v>
      </c>
      <c r="I48" s="4">
        <v>0</v>
      </c>
      <c r="J48" s="4">
        <v>0</v>
      </c>
      <c r="K48" s="3">
        <v>23.33</v>
      </c>
      <c r="L48" s="3">
        <v>2.1669999999999998</v>
      </c>
      <c r="M48" s="3" t="s">
        <v>9</v>
      </c>
    </row>
    <row r="49" spans="1:13" x14ac:dyDescent="0.35">
      <c r="A49" s="3" t="s">
        <v>6</v>
      </c>
      <c r="B49" s="3" t="s">
        <v>55</v>
      </c>
      <c r="C49" s="3" t="s">
        <v>8</v>
      </c>
      <c r="D49" s="3" t="s">
        <v>114</v>
      </c>
      <c r="E49" s="3">
        <v>4</v>
      </c>
      <c r="F49" s="3">
        <v>20.010000000000002</v>
      </c>
      <c r="G49" s="3" t="s">
        <v>9</v>
      </c>
      <c r="H49" s="4">
        <v>0</v>
      </c>
      <c r="I49" s="4">
        <v>0</v>
      </c>
      <c r="J49" s="4">
        <v>0</v>
      </c>
      <c r="K49" s="3">
        <v>23.33</v>
      </c>
      <c r="L49" s="3">
        <v>2.1669999999999998</v>
      </c>
      <c r="M49" s="3" t="s">
        <v>9</v>
      </c>
    </row>
    <row r="50" spans="1:13" x14ac:dyDescent="0.35">
      <c r="A50" s="3" t="s">
        <v>6</v>
      </c>
      <c r="B50" s="3" t="s">
        <v>56</v>
      </c>
      <c r="C50" s="3" t="s">
        <v>8</v>
      </c>
      <c r="D50" s="3" t="s">
        <v>114</v>
      </c>
      <c r="E50" s="3">
        <v>4</v>
      </c>
      <c r="F50" s="3">
        <v>20.47</v>
      </c>
      <c r="G50" s="3" t="s">
        <v>9</v>
      </c>
      <c r="H50" s="4">
        <v>0</v>
      </c>
      <c r="I50" s="4">
        <v>0</v>
      </c>
      <c r="J50" s="4">
        <v>0</v>
      </c>
      <c r="K50" s="3">
        <v>23.33</v>
      </c>
      <c r="L50" s="3">
        <v>2.1669999999999998</v>
      </c>
      <c r="M50" s="3" t="s">
        <v>9</v>
      </c>
    </row>
    <row r="51" spans="1:13" x14ac:dyDescent="0.35">
      <c r="A51" s="3" t="s">
        <v>6</v>
      </c>
      <c r="B51" s="3" t="s">
        <v>57</v>
      </c>
      <c r="C51" s="3" t="s">
        <v>8</v>
      </c>
      <c r="D51" s="3" t="s">
        <v>114</v>
      </c>
      <c r="E51" s="3">
        <v>5</v>
      </c>
      <c r="F51" s="3">
        <v>26.61</v>
      </c>
      <c r="G51" s="3" t="s">
        <v>9</v>
      </c>
      <c r="H51" s="4">
        <v>0</v>
      </c>
      <c r="I51" s="4">
        <v>0</v>
      </c>
      <c r="J51" s="4">
        <v>0</v>
      </c>
      <c r="K51" s="3">
        <v>24.1</v>
      </c>
      <c r="L51" s="3">
        <v>1.5469999999999999</v>
      </c>
      <c r="M51" s="3" t="s">
        <v>9</v>
      </c>
    </row>
    <row r="52" spans="1:13" x14ac:dyDescent="0.35">
      <c r="A52" s="3" t="s">
        <v>6</v>
      </c>
      <c r="B52" s="3" t="s">
        <v>58</v>
      </c>
      <c r="C52" s="3" t="s">
        <v>8</v>
      </c>
      <c r="D52" s="3" t="s">
        <v>114</v>
      </c>
      <c r="E52" s="3">
        <v>5</v>
      </c>
      <c r="F52" s="3">
        <v>25.76</v>
      </c>
      <c r="G52" s="3" t="s">
        <v>9</v>
      </c>
      <c r="H52" s="4">
        <v>0</v>
      </c>
      <c r="I52" s="4">
        <v>0</v>
      </c>
      <c r="J52" s="4">
        <v>0</v>
      </c>
      <c r="K52" s="3">
        <v>24.1</v>
      </c>
      <c r="L52" s="3">
        <v>1.5469999999999999</v>
      </c>
      <c r="M52" s="3" t="s">
        <v>9</v>
      </c>
    </row>
    <row r="53" spans="1:13" x14ac:dyDescent="0.35">
      <c r="A53" s="3" t="s">
        <v>6</v>
      </c>
      <c r="B53" s="3" t="s">
        <v>59</v>
      </c>
      <c r="C53" s="3" t="s">
        <v>8</v>
      </c>
      <c r="D53" s="3" t="s">
        <v>114</v>
      </c>
      <c r="E53" s="3">
        <v>5</v>
      </c>
      <c r="F53" s="3">
        <v>25.57</v>
      </c>
      <c r="G53" s="3" t="s">
        <v>9</v>
      </c>
      <c r="H53" s="4">
        <v>0</v>
      </c>
      <c r="I53" s="4">
        <v>0</v>
      </c>
      <c r="J53" s="4">
        <v>0</v>
      </c>
      <c r="K53" s="3">
        <v>24.1</v>
      </c>
      <c r="L53" s="3">
        <v>1.5469999999999999</v>
      </c>
      <c r="M53" s="3" t="s">
        <v>9</v>
      </c>
    </row>
    <row r="54" spans="1:13" x14ac:dyDescent="0.35">
      <c r="A54" s="3" t="s">
        <v>6</v>
      </c>
      <c r="B54" s="3" t="s">
        <v>60</v>
      </c>
      <c r="C54" s="3" t="s">
        <v>8</v>
      </c>
      <c r="D54" s="3" t="s">
        <v>114</v>
      </c>
      <c r="E54" s="3">
        <v>5</v>
      </c>
      <c r="F54" s="3">
        <v>21.8</v>
      </c>
      <c r="G54" s="3" t="s">
        <v>9</v>
      </c>
      <c r="H54" s="4">
        <v>0</v>
      </c>
      <c r="I54" s="4">
        <v>0</v>
      </c>
      <c r="J54" s="4">
        <v>0</v>
      </c>
      <c r="K54" s="3">
        <v>24.1</v>
      </c>
      <c r="L54" s="3">
        <v>1.5469999999999999</v>
      </c>
      <c r="M54" s="3" t="s">
        <v>9</v>
      </c>
    </row>
    <row r="55" spans="1:13" x14ac:dyDescent="0.35">
      <c r="A55" s="3" t="s">
        <v>6</v>
      </c>
      <c r="B55" s="3" t="s">
        <v>61</v>
      </c>
      <c r="C55" s="3" t="s">
        <v>8</v>
      </c>
      <c r="D55" s="3" t="s">
        <v>114</v>
      </c>
      <c r="E55" s="3">
        <v>5</v>
      </c>
      <c r="F55" s="3">
        <v>21.97</v>
      </c>
      <c r="G55" s="3" t="s">
        <v>9</v>
      </c>
      <c r="H55" s="4">
        <v>0</v>
      </c>
      <c r="I55" s="4">
        <v>0</v>
      </c>
      <c r="J55" s="4">
        <v>0</v>
      </c>
      <c r="K55" s="3">
        <v>24.1</v>
      </c>
      <c r="L55" s="3">
        <v>1.5469999999999999</v>
      </c>
      <c r="M55" s="3" t="s">
        <v>9</v>
      </c>
    </row>
    <row r="56" spans="1:13" x14ac:dyDescent="0.35">
      <c r="A56" s="3" t="s">
        <v>6</v>
      </c>
      <c r="B56" s="3" t="s">
        <v>62</v>
      </c>
      <c r="C56" s="3" t="s">
        <v>8</v>
      </c>
      <c r="D56" s="3" t="s">
        <v>114</v>
      </c>
      <c r="E56" s="3">
        <v>5</v>
      </c>
      <c r="F56" s="3">
        <v>22.49</v>
      </c>
      <c r="G56" s="3" t="s">
        <v>9</v>
      </c>
      <c r="H56" s="4">
        <v>0</v>
      </c>
      <c r="I56" s="4">
        <v>0</v>
      </c>
      <c r="J56" s="4">
        <v>0</v>
      </c>
      <c r="K56" s="3">
        <v>24.1</v>
      </c>
      <c r="L56" s="3">
        <v>1.5469999999999999</v>
      </c>
      <c r="M56" s="3" t="s">
        <v>9</v>
      </c>
    </row>
    <row r="57" spans="1:13" x14ac:dyDescent="0.35">
      <c r="A57" s="3" t="s">
        <v>6</v>
      </c>
      <c r="B57" s="3" t="s">
        <v>63</v>
      </c>
      <c r="C57" s="3" t="s">
        <v>8</v>
      </c>
      <c r="D57" s="3" t="s">
        <v>114</v>
      </c>
      <c r="E57" s="3">
        <v>5</v>
      </c>
      <c r="F57" s="3">
        <v>25.56</v>
      </c>
      <c r="G57" s="3" t="s">
        <v>9</v>
      </c>
      <c r="H57" s="4">
        <v>0</v>
      </c>
      <c r="I57" s="4">
        <v>0</v>
      </c>
      <c r="J57" s="4">
        <v>0</v>
      </c>
      <c r="K57" s="3">
        <v>24.1</v>
      </c>
      <c r="L57" s="3">
        <v>1.5469999999999999</v>
      </c>
      <c r="M57" s="3" t="s">
        <v>9</v>
      </c>
    </row>
    <row r="58" spans="1:13" x14ac:dyDescent="0.35">
      <c r="A58" s="3" t="s">
        <v>6</v>
      </c>
      <c r="B58" s="3" t="s">
        <v>64</v>
      </c>
      <c r="C58" s="3" t="s">
        <v>8</v>
      </c>
      <c r="D58" s="3" t="s">
        <v>114</v>
      </c>
      <c r="E58" s="3">
        <v>5</v>
      </c>
      <c r="F58" s="3">
        <v>23.72</v>
      </c>
      <c r="G58" s="3" t="s">
        <v>9</v>
      </c>
      <c r="H58" s="4">
        <v>0</v>
      </c>
      <c r="I58" s="4">
        <v>0</v>
      </c>
      <c r="J58" s="4">
        <v>0</v>
      </c>
      <c r="K58" s="3">
        <v>24.1</v>
      </c>
      <c r="L58" s="3">
        <v>1.5469999999999999</v>
      </c>
      <c r="M58" s="3" t="s">
        <v>9</v>
      </c>
    </row>
    <row r="59" spans="1:13" x14ac:dyDescent="0.35">
      <c r="A59" s="3" t="s">
        <v>6</v>
      </c>
      <c r="B59" s="3" t="s">
        <v>65</v>
      </c>
      <c r="C59" s="3" t="s">
        <v>8</v>
      </c>
      <c r="D59" s="3" t="s">
        <v>114</v>
      </c>
      <c r="E59" s="3">
        <v>5</v>
      </c>
      <c r="F59" s="3">
        <v>24.01</v>
      </c>
      <c r="G59" s="3" t="s">
        <v>9</v>
      </c>
      <c r="H59" s="4">
        <v>0</v>
      </c>
      <c r="I59" s="4">
        <v>0</v>
      </c>
      <c r="J59" s="4">
        <v>0</v>
      </c>
      <c r="K59" s="3">
        <v>24.1</v>
      </c>
      <c r="L59" s="3">
        <v>1.5469999999999999</v>
      </c>
      <c r="M59" s="3" t="s">
        <v>9</v>
      </c>
    </row>
    <row r="60" spans="1:13" x14ac:dyDescent="0.35">
      <c r="A60" s="3" t="s">
        <v>6</v>
      </c>
      <c r="B60" s="3" t="s">
        <v>66</v>
      </c>
      <c r="C60" s="3" t="s">
        <v>8</v>
      </c>
      <c r="D60" s="3" t="s">
        <v>114</v>
      </c>
      <c r="E60" s="3">
        <v>5</v>
      </c>
      <c r="F60" s="3">
        <v>23.86</v>
      </c>
      <c r="G60" s="3" t="s">
        <v>9</v>
      </c>
      <c r="H60" s="4">
        <v>0</v>
      </c>
      <c r="I60" s="4">
        <v>0</v>
      </c>
      <c r="J60" s="4">
        <v>0</v>
      </c>
      <c r="K60" s="3">
        <v>24.1</v>
      </c>
      <c r="L60" s="3">
        <v>1.5469999999999999</v>
      </c>
      <c r="M60" s="3" t="s">
        <v>9</v>
      </c>
    </row>
    <row r="61" spans="1:13" x14ac:dyDescent="0.35">
      <c r="A61" s="3" t="s">
        <v>6</v>
      </c>
      <c r="B61" s="3" t="s">
        <v>67</v>
      </c>
      <c r="C61" s="3" t="s">
        <v>8</v>
      </c>
      <c r="D61" s="3" t="s">
        <v>114</v>
      </c>
      <c r="E61" s="3">
        <v>5</v>
      </c>
      <c r="F61" s="3">
        <v>23.57</v>
      </c>
      <c r="G61" s="3" t="s">
        <v>9</v>
      </c>
      <c r="H61" s="4">
        <v>0</v>
      </c>
      <c r="I61" s="4">
        <v>0</v>
      </c>
      <c r="J61" s="4">
        <v>0</v>
      </c>
      <c r="K61" s="3">
        <v>24.1</v>
      </c>
      <c r="L61" s="3">
        <v>1.5469999999999999</v>
      </c>
      <c r="M61" s="3" t="s">
        <v>9</v>
      </c>
    </row>
    <row r="62" spans="1:13" x14ac:dyDescent="0.35">
      <c r="A62" s="3" t="s">
        <v>6</v>
      </c>
      <c r="B62" s="3" t="s">
        <v>68</v>
      </c>
      <c r="C62" s="3" t="s">
        <v>8</v>
      </c>
      <c r="D62" s="3" t="s">
        <v>114</v>
      </c>
      <c r="E62" s="3">
        <v>5</v>
      </c>
      <c r="F62" s="3">
        <v>24.29</v>
      </c>
      <c r="G62" s="3" t="s">
        <v>9</v>
      </c>
      <c r="H62" s="4">
        <v>0</v>
      </c>
      <c r="I62" s="4">
        <v>0</v>
      </c>
      <c r="J62" s="4">
        <v>0</v>
      </c>
      <c r="K62" s="3">
        <v>24.1</v>
      </c>
      <c r="L62" s="3">
        <v>1.5469999999999999</v>
      </c>
      <c r="M62" s="3" t="s">
        <v>9</v>
      </c>
    </row>
    <row r="63" spans="1:13" x14ac:dyDescent="0.35">
      <c r="A63" s="3" t="s">
        <v>6</v>
      </c>
      <c r="B63" s="3" t="s">
        <v>69</v>
      </c>
      <c r="C63" s="3" t="s">
        <v>8</v>
      </c>
      <c r="D63" s="3" t="s">
        <v>114</v>
      </c>
      <c r="E63" s="3">
        <v>6</v>
      </c>
      <c r="F63" s="3">
        <v>25.57</v>
      </c>
      <c r="G63" s="3" t="s">
        <v>9</v>
      </c>
      <c r="H63" s="4">
        <v>0</v>
      </c>
      <c r="I63" s="4">
        <v>0</v>
      </c>
      <c r="J63" s="4">
        <v>0</v>
      </c>
      <c r="K63" s="3">
        <v>28.46</v>
      </c>
      <c r="L63" s="3">
        <v>4.7220000000000004</v>
      </c>
      <c r="M63" s="3" t="s">
        <v>9</v>
      </c>
    </row>
    <row r="64" spans="1:13" x14ac:dyDescent="0.35">
      <c r="A64" s="3" t="s">
        <v>6</v>
      </c>
      <c r="B64" s="3" t="s">
        <v>70</v>
      </c>
      <c r="C64" s="3" t="s">
        <v>8</v>
      </c>
      <c r="D64" s="3" t="s">
        <v>114</v>
      </c>
      <c r="E64" s="3">
        <v>6</v>
      </c>
      <c r="F64" s="3">
        <v>25.23</v>
      </c>
      <c r="G64" s="3" t="s">
        <v>9</v>
      </c>
      <c r="H64" s="4">
        <v>0</v>
      </c>
      <c r="I64" s="4">
        <v>0</v>
      </c>
      <c r="J64" s="4">
        <v>0</v>
      </c>
      <c r="K64" s="3">
        <v>28.46</v>
      </c>
      <c r="L64" s="3">
        <v>4.7220000000000004</v>
      </c>
      <c r="M64" s="3" t="s">
        <v>9</v>
      </c>
    </row>
    <row r="65" spans="1:13" x14ac:dyDescent="0.35">
      <c r="A65" s="3" t="s">
        <v>6</v>
      </c>
      <c r="B65" s="3" t="s">
        <v>71</v>
      </c>
      <c r="C65" s="3" t="s">
        <v>8</v>
      </c>
      <c r="D65" s="3" t="s">
        <v>114</v>
      </c>
      <c r="E65" s="3">
        <v>6</v>
      </c>
      <c r="F65" s="3">
        <v>24.29</v>
      </c>
      <c r="G65" s="3" t="s">
        <v>9</v>
      </c>
      <c r="H65" s="4">
        <v>0</v>
      </c>
      <c r="I65" s="4">
        <v>0</v>
      </c>
      <c r="J65" s="4">
        <v>0</v>
      </c>
      <c r="K65" s="3">
        <v>28.46</v>
      </c>
      <c r="L65" s="3">
        <v>4.7220000000000004</v>
      </c>
      <c r="M65" s="3" t="s">
        <v>9</v>
      </c>
    </row>
    <row r="66" spans="1:13" x14ac:dyDescent="0.35">
      <c r="A66" s="3" t="s">
        <v>6</v>
      </c>
      <c r="B66" s="3" t="s">
        <v>72</v>
      </c>
      <c r="C66" s="3" t="s">
        <v>8</v>
      </c>
      <c r="D66" s="3" t="s">
        <v>114</v>
      </c>
      <c r="E66" s="3">
        <v>6</v>
      </c>
      <c r="F66" s="3">
        <v>24.52</v>
      </c>
      <c r="G66" s="3" t="s">
        <v>9</v>
      </c>
      <c r="H66" s="4">
        <v>0</v>
      </c>
      <c r="I66" s="4">
        <v>0</v>
      </c>
      <c r="J66" s="4">
        <v>0</v>
      </c>
      <c r="K66" s="3">
        <v>28.46</v>
      </c>
      <c r="L66" s="3">
        <v>4.7220000000000004</v>
      </c>
      <c r="M66" s="3" t="s">
        <v>9</v>
      </c>
    </row>
    <row r="67" spans="1:13" x14ac:dyDescent="0.35">
      <c r="A67" s="3" t="s">
        <v>6</v>
      </c>
      <c r="B67" s="3" t="s">
        <v>73</v>
      </c>
      <c r="C67" s="3" t="s">
        <v>8</v>
      </c>
      <c r="D67" s="3" t="s">
        <v>114</v>
      </c>
      <c r="E67" s="3">
        <v>6</v>
      </c>
      <c r="F67" s="3">
        <v>24.44</v>
      </c>
      <c r="G67" s="3" t="s">
        <v>9</v>
      </c>
      <c r="H67" s="4">
        <v>0</v>
      </c>
      <c r="I67" s="4">
        <v>0</v>
      </c>
      <c r="J67" s="4">
        <v>0</v>
      </c>
      <c r="K67" s="3">
        <v>28.46</v>
      </c>
      <c r="L67" s="3">
        <v>4.7220000000000004</v>
      </c>
      <c r="M67" s="3" t="s">
        <v>9</v>
      </c>
    </row>
    <row r="68" spans="1:13" x14ac:dyDescent="0.35">
      <c r="A68" s="3" t="s">
        <v>6</v>
      </c>
      <c r="B68" s="3" t="s">
        <v>74</v>
      </c>
      <c r="C68" s="3" t="s">
        <v>8</v>
      </c>
      <c r="D68" s="3" t="s">
        <v>114</v>
      </c>
      <c r="E68" s="3">
        <v>6</v>
      </c>
      <c r="F68" s="3">
        <v>22.75</v>
      </c>
      <c r="G68" s="3" t="s">
        <v>9</v>
      </c>
      <c r="H68" s="4">
        <v>0</v>
      </c>
      <c r="I68" s="4">
        <v>0</v>
      </c>
      <c r="J68" s="4">
        <v>0</v>
      </c>
      <c r="K68" s="3">
        <v>28.46</v>
      </c>
      <c r="L68" s="3">
        <v>4.7220000000000004</v>
      </c>
      <c r="M68" s="3" t="s">
        <v>9</v>
      </c>
    </row>
    <row r="69" spans="1:13" x14ac:dyDescent="0.35">
      <c r="A69" s="3" t="s">
        <v>6</v>
      </c>
      <c r="B69" s="3" t="s">
        <v>75</v>
      </c>
      <c r="C69" s="3" t="s">
        <v>8</v>
      </c>
      <c r="D69" s="3" t="s">
        <v>114</v>
      </c>
      <c r="E69" s="3">
        <v>6</v>
      </c>
      <c r="F69" s="3">
        <v>34.17</v>
      </c>
      <c r="G69" s="3" t="s">
        <v>9</v>
      </c>
      <c r="H69" s="4">
        <v>0</v>
      </c>
      <c r="I69" s="4">
        <v>0</v>
      </c>
      <c r="J69" s="4">
        <v>0</v>
      </c>
      <c r="K69" s="3">
        <v>28.46</v>
      </c>
      <c r="L69" s="3">
        <v>4.7220000000000004</v>
      </c>
      <c r="M69" s="3" t="s">
        <v>9</v>
      </c>
    </row>
    <row r="70" spans="1:13" x14ac:dyDescent="0.35">
      <c r="A70" s="3" t="s">
        <v>6</v>
      </c>
      <c r="B70" s="3" t="s">
        <v>76</v>
      </c>
      <c r="C70" s="3" t="s">
        <v>8</v>
      </c>
      <c r="D70" s="3" t="s">
        <v>114</v>
      </c>
      <c r="E70" s="3">
        <v>6</v>
      </c>
      <c r="F70" s="3">
        <v>29.86</v>
      </c>
      <c r="G70" s="3" t="s">
        <v>9</v>
      </c>
      <c r="H70" s="4">
        <v>0</v>
      </c>
      <c r="I70" s="4">
        <v>0</v>
      </c>
      <c r="J70" s="4">
        <v>0</v>
      </c>
      <c r="K70" s="3">
        <v>28.46</v>
      </c>
      <c r="L70" s="3">
        <v>4.7220000000000004</v>
      </c>
      <c r="M70" s="3" t="s">
        <v>9</v>
      </c>
    </row>
    <row r="71" spans="1:13" x14ac:dyDescent="0.35">
      <c r="A71" s="3" t="s">
        <v>6</v>
      </c>
      <c r="B71" s="3" t="s">
        <v>77</v>
      </c>
      <c r="C71" s="3" t="s">
        <v>8</v>
      </c>
      <c r="D71" s="3" t="s">
        <v>114</v>
      </c>
      <c r="E71" s="3">
        <v>6</v>
      </c>
      <c r="F71" s="3">
        <v>27.29</v>
      </c>
      <c r="G71" s="3" t="s">
        <v>9</v>
      </c>
      <c r="H71" s="4">
        <v>0</v>
      </c>
      <c r="I71" s="4">
        <v>0</v>
      </c>
      <c r="J71" s="4">
        <v>0</v>
      </c>
      <c r="K71" s="3">
        <v>28.46</v>
      </c>
      <c r="L71" s="3">
        <v>4.7220000000000004</v>
      </c>
      <c r="M71" s="3" t="s">
        <v>9</v>
      </c>
    </row>
    <row r="72" spans="1:13" x14ac:dyDescent="0.35">
      <c r="A72" s="3" t="s">
        <v>6</v>
      </c>
      <c r="B72" s="3" t="s">
        <v>78</v>
      </c>
      <c r="C72" s="3" t="s">
        <v>8</v>
      </c>
      <c r="D72" s="3" t="s">
        <v>114</v>
      </c>
      <c r="E72" s="3">
        <v>6</v>
      </c>
      <c r="F72" s="3">
        <v>34.049999999999997</v>
      </c>
      <c r="G72" s="3" t="s">
        <v>9</v>
      </c>
      <c r="H72" s="4">
        <v>0</v>
      </c>
      <c r="I72" s="4">
        <v>0</v>
      </c>
      <c r="J72" s="4">
        <v>0</v>
      </c>
      <c r="K72" s="3">
        <v>28.46</v>
      </c>
      <c r="L72" s="3">
        <v>4.7220000000000004</v>
      </c>
      <c r="M72" s="3" t="s">
        <v>9</v>
      </c>
    </row>
    <row r="73" spans="1:13" x14ac:dyDescent="0.35">
      <c r="A73" s="3" t="s">
        <v>6</v>
      </c>
      <c r="B73" s="3" t="s">
        <v>79</v>
      </c>
      <c r="C73" s="3" t="s">
        <v>8</v>
      </c>
      <c r="D73" s="3" t="s">
        <v>114</v>
      </c>
      <c r="E73" s="3">
        <v>6</v>
      </c>
      <c r="F73" s="3">
        <v>34.76</v>
      </c>
      <c r="G73" s="3" t="s">
        <v>9</v>
      </c>
      <c r="H73" s="4">
        <v>0</v>
      </c>
      <c r="I73" s="4">
        <v>0</v>
      </c>
      <c r="J73" s="4">
        <v>0</v>
      </c>
      <c r="K73" s="3">
        <v>28.46</v>
      </c>
      <c r="L73" s="3">
        <v>4.7220000000000004</v>
      </c>
      <c r="M73" s="3" t="s">
        <v>9</v>
      </c>
    </row>
    <row r="74" spans="1:13" x14ac:dyDescent="0.35">
      <c r="A74" s="3" t="s">
        <v>6</v>
      </c>
      <c r="B74" s="3" t="s">
        <v>80</v>
      </c>
      <c r="C74" s="3" t="s">
        <v>8</v>
      </c>
      <c r="D74" s="3" t="s">
        <v>114</v>
      </c>
      <c r="E74" s="3">
        <v>6</v>
      </c>
      <c r="F74" s="3">
        <v>34.630000000000003</v>
      </c>
      <c r="G74" s="3" t="s">
        <v>9</v>
      </c>
      <c r="H74" s="4">
        <v>0</v>
      </c>
      <c r="I74" s="4">
        <v>0</v>
      </c>
      <c r="J74" s="4">
        <v>0</v>
      </c>
      <c r="K74" s="3">
        <v>28.46</v>
      </c>
      <c r="L74" s="3">
        <v>4.7220000000000004</v>
      </c>
      <c r="M74" s="3" t="s">
        <v>9</v>
      </c>
    </row>
    <row r="75" spans="1:13" x14ac:dyDescent="0.35">
      <c r="A75" s="3" t="s">
        <v>6</v>
      </c>
      <c r="B75" s="3" t="s">
        <v>81</v>
      </c>
      <c r="C75" s="3" t="s">
        <v>8</v>
      </c>
      <c r="D75" s="3" t="s">
        <v>114</v>
      </c>
      <c r="E75" s="3">
        <v>7</v>
      </c>
      <c r="F75" s="3">
        <v>33.15</v>
      </c>
      <c r="G75" s="3" t="s">
        <v>9</v>
      </c>
      <c r="H75" s="4">
        <v>0</v>
      </c>
      <c r="I75" s="4">
        <v>0</v>
      </c>
      <c r="J75" s="4">
        <v>0</v>
      </c>
      <c r="K75" s="3">
        <v>31.91</v>
      </c>
      <c r="L75" s="3">
        <v>0.97</v>
      </c>
      <c r="M75" s="3" t="s">
        <v>9</v>
      </c>
    </row>
    <row r="76" spans="1:13" x14ac:dyDescent="0.35">
      <c r="A76" s="3" t="s">
        <v>6</v>
      </c>
      <c r="B76" s="3" t="s">
        <v>82</v>
      </c>
      <c r="C76" s="3" t="s">
        <v>8</v>
      </c>
      <c r="D76" s="3" t="s">
        <v>114</v>
      </c>
      <c r="E76" s="3">
        <v>7</v>
      </c>
      <c r="F76" s="3">
        <v>32.71</v>
      </c>
      <c r="G76" s="3" t="s">
        <v>9</v>
      </c>
      <c r="H76" s="4">
        <v>0</v>
      </c>
      <c r="I76" s="4">
        <v>0</v>
      </c>
      <c r="J76" s="4">
        <v>0</v>
      </c>
      <c r="K76" s="3">
        <v>31.91</v>
      </c>
      <c r="L76" s="3">
        <v>0.97</v>
      </c>
      <c r="M76" s="3" t="s">
        <v>9</v>
      </c>
    </row>
    <row r="77" spans="1:13" x14ac:dyDescent="0.35">
      <c r="A77" s="3" t="s">
        <v>6</v>
      </c>
      <c r="B77" s="3" t="s">
        <v>83</v>
      </c>
      <c r="C77" s="3" t="s">
        <v>8</v>
      </c>
      <c r="D77" s="3" t="s">
        <v>114</v>
      </c>
      <c r="E77" s="3">
        <v>7</v>
      </c>
      <c r="F77" s="3">
        <v>32.049999999999997</v>
      </c>
      <c r="G77" s="3" t="s">
        <v>9</v>
      </c>
      <c r="H77" s="4">
        <v>0</v>
      </c>
      <c r="I77" s="4">
        <v>0</v>
      </c>
      <c r="J77" s="4">
        <v>0</v>
      </c>
      <c r="K77" s="3">
        <v>31.91</v>
      </c>
      <c r="L77" s="3">
        <v>0.97</v>
      </c>
      <c r="M77" s="3" t="s">
        <v>9</v>
      </c>
    </row>
    <row r="78" spans="1:13" x14ac:dyDescent="0.35">
      <c r="A78" s="3" t="s">
        <v>6</v>
      </c>
      <c r="B78" s="3" t="s">
        <v>84</v>
      </c>
      <c r="C78" s="3" t="s">
        <v>8</v>
      </c>
      <c r="D78" s="3" t="s">
        <v>114</v>
      </c>
      <c r="E78" s="3">
        <v>7</v>
      </c>
      <c r="F78" s="3">
        <v>31.37</v>
      </c>
      <c r="G78" s="3" t="s">
        <v>9</v>
      </c>
      <c r="H78" s="4">
        <v>0</v>
      </c>
      <c r="I78" s="4">
        <v>0</v>
      </c>
      <c r="J78" s="4">
        <v>0</v>
      </c>
      <c r="K78" s="3">
        <v>31.91</v>
      </c>
      <c r="L78" s="3">
        <v>0.97</v>
      </c>
      <c r="M78" s="3" t="s">
        <v>9</v>
      </c>
    </row>
    <row r="79" spans="1:13" x14ac:dyDescent="0.35">
      <c r="A79" s="3" t="s">
        <v>6</v>
      </c>
      <c r="B79" s="3" t="s">
        <v>85</v>
      </c>
      <c r="C79" s="3" t="s">
        <v>8</v>
      </c>
      <c r="D79" s="3" t="s">
        <v>114</v>
      </c>
      <c r="E79" s="3">
        <v>7</v>
      </c>
      <c r="F79" s="3">
        <v>30.74</v>
      </c>
      <c r="G79" s="3" t="s">
        <v>9</v>
      </c>
      <c r="H79" s="4">
        <v>0</v>
      </c>
      <c r="I79" s="4">
        <v>0</v>
      </c>
      <c r="J79" s="4">
        <v>0</v>
      </c>
      <c r="K79" s="3">
        <v>31.91</v>
      </c>
      <c r="L79" s="3">
        <v>0.97</v>
      </c>
      <c r="M79" s="3" t="s">
        <v>9</v>
      </c>
    </row>
    <row r="80" spans="1:13" x14ac:dyDescent="0.35">
      <c r="A80" s="3" t="s">
        <v>6</v>
      </c>
      <c r="B80" s="3" t="s">
        <v>86</v>
      </c>
      <c r="C80" s="3" t="s">
        <v>8</v>
      </c>
      <c r="D80" s="3" t="s">
        <v>114</v>
      </c>
      <c r="E80" s="3">
        <v>7</v>
      </c>
      <c r="F80" s="3">
        <v>32.51</v>
      </c>
      <c r="G80" s="3" t="s">
        <v>9</v>
      </c>
      <c r="H80" s="4">
        <v>0</v>
      </c>
      <c r="I80" s="4">
        <v>0</v>
      </c>
      <c r="J80" s="4">
        <v>0</v>
      </c>
      <c r="K80" s="3">
        <v>31.91</v>
      </c>
      <c r="L80" s="3">
        <v>0.97</v>
      </c>
      <c r="M80" s="3" t="s">
        <v>9</v>
      </c>
    </row>
    <row r="81" spans="1:13" x14ac:dyDescent="0.35">
      <c r="A81" s="3" t="s">
        <v>6</v>
      </c>
      <c r="B81" s="3" t="s">
        <v>87</v>
      </c>
      <c r="C81" s="3" t="s">
        <v>8</v>
      </c>
      <c r="D81" s="3" t="s">
        <v>114</v>
      </c>
      <c r="E81" s="3">
        <v>7</v>
      </c>
      <c r="F81" s="3">
        <v>32.42</v>
      </c>
      <c r="G81" s="3" t="s">
        <v>9</v>
      </c>
      <c r="H81" s="4">
        <v>0</v>
      </c>
      <c r="I81" s="4">
        <v>0</v>
      </c>
      <c r="J81" s="4">
        <v>0</v>
      </c>
      <c r="K81" s="3">
        <v>31.91</v>
      </c>
      <c r="L81" s="3">
        <v>0.97</v>
      </c>
      <c r="M81" s="3" t="s">
        <v>9</v>
      </c>
    </row>
    <row r="82" spans="1:13" x14ac:dyDescent="0.35">
      <c r="A82" s="3" t="s">
        <v>6</v>
      </c>
      <c r="B82" s="3" t="s">
        <v>88</v>
      </c>
      <c r="C82" s="3" t="s">
        <v>8</v>
      </c>
      <c r="D82" s="3" t="s">
        <v>114</v>
      </c>
      <c r="E82" s="3">
        <v>7</v>
      </c>
      <c r="F82" s="3">
        <v>31.33</v>
      </c>
      <c r="G82" s="3" t="s">
        <v>9</v>
      </c>
      <c r="H82" s="4">
        <v>0</v>
      </c>
      <c r="I82" s="4">
        <v>0</v>
      </c>
      <c r="J82" s="4">
        <v>0</v>
      </c>
      <c r="K82" s="3">
        <v>31.91</v>
      </c>
      <c r="L82" s="3">
        <v>0.97</v>
      </c>
      <c r="M82" s="3" t="s">
        <v>9</v>
      </c>
    </row>
    <row r="83" spans="1:13" x14ac:dyDescent="0.35">
      <c r="A83" s="3" t="s">
        <v>6</v>
      </c>
      <c r="B83" s="3" t="s">
        <v>89</v>
      </c>
      <c r="C83" s="3" t="s">
        <v>8</v>
      </c>
      <c r="D83" s="3" t="s">
        <v>114</v>
      </c>
      <c r="E83" s="3">
        <v>7</v>
      </c>
      <c r="F83" s="3">
        <v>32.06</v>
      </c>
      <c r="G83" s="3" t="s">
        <v>9</v>
      </c>
      <c r="H83" s="4">
        <v>0</v>
      </c>
      <c r="I83" s="4">
        <v>0</v>
      </c>
      <c r="J83" s="4">
        <v>0</v>
      </c>
      <c r="K83" s="3">
        <v>31.91</v>
      </c>
      <c r="L83" s="3">
        <v>0.97</v>
      </c>
      <c r="M83" s="3" t="s">
        <v>9</v>
      </c>
    </row>
    <row r="84" spans="1:13" x14ac:dyDescent="0.35">
      <c r="A84" s="3" t="s">
        <v>6</v>
      </c>
      <c r="B84" s="3" t="s">
        <v>90</v>
      </c>
      <c r="C84" s="3" t="s">
        <v>8</v>
      </c>
      <c r="D84" s="3" t="s">
        <v>114</v>
      </c>
      <c r="E84" s="3">
        <v>7</v>
      </c>
      <c r="F84" s="3">
        <v>33.340000000000003</v>
      </c>
      <c r="G84" s="3" t="s">
        <v>9</v>
      </c>
      <c r="H84" s="4">
        <v>0</v>
      </c>
      <c r="I84" s="4">
        <v>0</v>
      </c>
      <c r="J84" s="4">
        <v>0</v>
      </c>
      <c r="K84" s="3">
        <v>31.91</v>
      </c>
      <c r="L84" s="3">
        <v>0.97</v>
      </c>
      <c r="M84" s="3" t="s">
        <v>9</v>
      </c>
    </row>
    <row r="85" spans="1:13" x14ac:dyDescent="0.35">
      <c r="A85" s="3" t="s">
        <v>6</v>
      </c>
      <c r="B85" s="3" t="s">
        <v>91</v>
      </c>
      <c r="C85" s="3" t="s">
        <v>8</v>
      </c>
      <c r="D85" s="3" t="s">
        <v>114</v>
      </c>
      <c r="E85" s="3">
        <v>7</v>
      </c>
      <c r="F85" s="3">
        <v>30.57</v>
      </c>
      <c r="G85" s="3" t="s">
        <v>9</v>
      </c>
      <c r="H85" s="4">
        <v>0</v>
      </c>
      <c r="I85" s="4">
        <v>0</v>
      </c>
      <c r="J85" s="4">
        <v>0</v>
      </c>
      <c r="K85" s="3">
        <v>31.91</v>
      </c>
      <c r="L85" s="3">
        <v>0.97</v>
      </c>
      <c r="M85" s="3" t="s">
        <v>9</v>
      </c>
    </row>
    <row r="86" spans="1:13" x14ac:dyDescent="0.35">
      <c r="A86" s="3" t="s">
        <v>6</v>
      </c>
      <c r="B86" s="3" t="s">
        <v>92</v>
      </c>
      <c r="C86" s="3" t="s">
        <v>8</v>
      </c>
      <c r="D86" s="3" t="s">
        <v>114</v>
      </c>
      <c r="E86" s="3">
        <v>7</v>
      </c>
      <c r="F86" s="3">
        <v>30.61</v>
      </c>
      <c r="G86" s="3" t="s">
        <v>9</v>
      </c>
      <c r="H86" s="4">
        <v>0</v>
      </c>
      <c r="I86" s="4">
        <v>0</v>
      </c>
      <c r="J86" s="4">
        <v>0</v>
      </c>
      <c r="K86" s="3">
        <v>31.91</v>
      </c>
      <c r="L86" s="3">
        <v>0.97</v>
      </c>
      <c r="M86" s="3" t="s">
        <v>9</v>
      </c>
    </row>
    <row r="87" spans="1:13" x14ac:dyDescent="0.35">
      <c r="A87" s="3" t="s">
        <v>6</v>
      </c>
      <c r="B87" s="3" t="s">
        <v>93</v>
      </c>
      <c r="C87" s="3" t="s">
        <v>8</v>
      </c>
      <c r="D87" s="3" t="s">
        <v>114</v>
      </c>
      <c r="E87" s="3">
        <v>8</v>
      </c>
      <c r="F87" s="3">
        <v>30.82</v>
      </c>
      <c r="G87" s="3" t="s">
        <v>9</v>
      </c>
      <c r="H87" s="4">
        <v>0</v>
      </c>
      <c r="I87" s="4">
        <v>0</v>
      </c>
      <c r="J87" s="4">
        <v>0</v>
      </c>
      <c r="K87" s="3">
        <v>31.13</v>
      </c>
      <c r="L87" s="3">
        <v>1.8109999999999999</v>
      </c>
      <c r="M87" s="3" t="s">
        <v>9</v>
      </c>
    </row>
    <row r="88" spans="1:13" x14ac:dyDescent="0.35">
      <c r="A88" s="3" t="s">
        <v>6</v>
      </c>
      <c r="B88" s="3" t="s">
        <v>94</v>
      </c>
      <c r="C88" s="3" t="s">
        <v>8</v>
      </c>
      <c r="D88" s="3" t="s">
        <v>114</v>
      </c>
      <c r="E88" s="3">
        <v>8</v>
      </c>
      <c r="F88" s="3">
        <v>29.48</v>
      </c>
      <c r="G88" s="3" t="s">
        <v>9</v>
      </c>
      <c r="H88" s="4">
        <v>0</v>
      </c>
      <c r="I88" s="4">
        <v>0</v>
      </c>
      <c r="J88" s="4">
        <v>0</v>
      </c>
      <c r="K88" s="3">
        <v>31.13</v>
      </c>
      <c r="L88" s="3">
        <v>1.8109999999999999</v>
      </c>
      <c r="M88" s="3" t="s">
        <v>9</v>
      </c>
    </row>
    <row r="89" spans="1:13" x14ac:dyDescent="0.35">
      <c r="A89" s="3" t="s">
        <v>6</v>
      </c>
      <c r="B89" s="3" t="s">
        <v>95</v>
      </c>
      <c r="C89" s="3" t="s">
        <v>8</v>
      </c>
      <c r="D89" s="3" t="s">
        <v>114</v>
      </c>
      <c r="E89" s="3">
        <v>8</v>
      </c>
      <c r="F89" s="3">
        <v>30.1</v>
      </c>
      <c r="G89" s="3" t="s">
        <v>9</v>
      </c>
      <c r="H89" s="4">
        <v>0</v>
      </c>
      <c r="I89" s="4">
        <v>0</v>
      </c>
      <c r="J89" s="4">
        <v>0</v>
      </c>
      <c r="K89" s="3">
        <v>31.13</v>
      </c>
      <c r="L89" s="3">
        <v>1.8109999999999999</v>
      </c>
      <c r="M89" s="3" t="s">
        <v>9</v>
      </c>
    </row>
    <row r="90" spans="1:13" x14ac:dyDescent="0.35">
      <c r="A90" s="3" t="s">
        <v>6</v>
      </c>
      <c r="B90" s="3" t="s">
        <v>96</v>
      </c>
      <c r="C90" s="3" t="s">
        <v>8</v>
      </c>
      <c r="D90" s="3" t="s">
        <v>114</v>
      </c>
      <c r="E90" s="3">
        <v>8</v>
      </c>
      <c r="F90" s="3">
        <v>29.48</v>
      </c>
      <c r="G90" s="3" t="s">
        <v>9</v>
      </c>
      <c r="H90" s="4">
        <v>0</v>
      </c>
      <c r="I90" s="4">
        <v>0</v>
      </c>
      <c r="J90" s="4">
        <v>0</v>
      </c>
      <c r="K90" s="3">
        <v>31.13</v>
      </c>
      <c r="L90" s="3">
        <v>1.8109999999999999</v>
      </c>
      <c r="M90" s="3" t="s">
        <v>9</v>
      </c>
    </row>
    <row r="91" spans="1:13" x14ac:dyDescent="0.35">
      <c r="A91" s="3" t="s">
        <v>6</v>
      </c>
      <c r="B91" s="3" t="s">
        <v>97</v>
      </c>
      <c r="C91" s="3" t="s">
        <v>8</v>
      </c>
      <c r="D91" s="3" t="s">
        <v>114</v>
      </c>
      <c r="E91" s="3">
        <v>8</v>
      </c>
      <c r="F91" s="3">
        <v>28.91</v>
      </c>
      <c r="G91" s="3" t="s">
        <v>9</v>
      </c>
      <c r="H91" s="4">
        <v>0</v>
      </c>
      <c r="I91" s="4">
        <v>0</v>
      </c>
      <c r="J91" s="4">
        <v>0</v>
      </c>
      <c r="K91" s="3">
        <v>31.13</v>
      </c>
      <c r="L91" s="3">
        <v>1.8109999999999999</v>
      </c>
      <c r="M91" s="3" t="s">
        <v>9</v>
      </c>
    </row>
    <row r="92" spans="1:13" x14ac:dyDescent="0.35">
      <c r="A92" s="3" t="s">
        <v>6</v>
      </c>
      <c r="B92" s="3" t="s">
        <v>98</v>
      </c>
      <c r="C92" s="3" t="s">
        <v>8</v>
      </c>
      <c r="D92" s="3" t="s">
        <v>114</v>
      </c>
      <c r="E92" s="3">
        <v>8</v>
      </c>
      <c r="F92" s="3">
        <v>29.17</v>
      </c>
      <c r="G92" s="3" t="s">
        <v>9</v>
      </c>
      <c r="H92" s="4">
        <v>0</v>
      </c>
      <c r="I92" s="4">
        <v>0</v>
      </c>
      <c r="J92" s="4">
        <v>0</v>
      </c>
      <c r="K92" s="3">
        <v>31.13</v>
      </c>
      <c r="L92" s="3">
        <v>1.8109999999999999</v>
      </c>
      <c r="M92" s="3" t="s">
        <v>9</v>
      </c>
    </row>
    <row r="93" spans="1:13" x14ac:dyDescent="0.35">
      <c r="A93" s="3" t="s">
        <v>6</v>
      </c>
      <c r="B93" s="3" t="s">
        <v>99</v>
      </c>
      <c r="C93" s="3" t="s">
        <v>8</v>
      </c>
      <c r="D93" s="3" t="s">
        <v>114</v>
      </c>
      <c r="E93" s="3">
        <v>8</v>
      </c>
      <c r="F93" s="3">
        <v>34.04</v>
      </c>
      <c r="G93" s="3" t="s">
        <v>9</v>
      </c>
      <c r="H93" s="4">
        <v>0</v>
      </c>
      <c r="I93" s="4">
        <v>0</v>
      </c>
      <c r="J93" s="4">
        <v>0</v>
      </c>
      <c r="K93" s="3">
        <v>31.13</v>
      </c>
      <c r="L93" s="3">
        <v>1.8109999999999999</v>
      </c>
      <c r="M93" s="3" t="s">
        <v>9</v>
      </c>
    </row>
    <row r="94" spans="1:13" x14ac:dyDescent="0.35">
      <c r="A94" s="3" t="s">
        <v>6</v>
      </c>
      <c r="B94" s="3" t="s">
        <v>100</v>
      </c>
      <c r="C94" s="3" t="s">
        <v>8</v>
      </c>
      <c r="D94" s="3" t="s">
        <v>114</v>
      </c>
      <c r="E94" s="3">
        <v>8</v>
      </c>
      <c r="F94" s="3">
        <v>33.65</v>
      </c>
      <c r="G94" s="3" t="s">
        <v>9</v>
      </c>
      <c r="H94" s="4">
        <v>0</v>
      </c>
      <c r="I94" s="4">
        <v>0</v>
      </c>
      <c r="J94" s="4">
        <v>0</v>
      </c>
      <c r="K94" s="3">
        <v>31.13</v>
      </c>
      <c r="L94" s="3">
        <v>1.8109999999999999</v>
      </c>
      <c r="M94" s="3" t="s">
        <v>9</v>
      </c>
    </row>
    <row r="95" spans="1:13" x14ac:dyDescent="0.35">
      <c r="A95" s="3" t="s">
        <v>6</v>
      </c>
      <c r="B95" s="3" t="s">
        <v>101</v>
      </c>
      <c r="C95" s="3" t="s">
        <v>8</v>
      </c>
      <c r="D95" s="3" t="s">
        <v>114</v>
      </c>
      <c r="E95" s="3">
        <v>8</v>
      </c>
      <c r="F95" s="3">
        <v>32.590000000000003</v>
      </c>
      <c r="G95" s="3" t="s">
        <v>9</v>
      </c>
      <c r="H95" s="4">
        <v>0</v>
      </c>
      <c r="I95" s="4">
        <v>0</v>
      </c>
      <c r="J95" s="4">
        <v>0</v>
      </c>
      <c r="K95" s="3">
        <v>31.13</v>
      </c>
      <c r="L95" s="3">
        <v>1.8109999999999999</v>
      </c>
      <c r="M95" s="3" t="s">
        <v>9</v>
      </c>
    </row>
    <row r="96" spans="1:13" x14ac:dyDescent="0.35">
      <c r="A96" s="3" t="s">
        <v>6</v>
      </c>
      <c r="B96" s="3" t="s">
        <v>102</v>
      </c>
      <c r="C96" s="3" t="s">
        <v>8</v>
      </c>
      <c r="D96" s="3" t="s">
        <v>114</v>
      </c>
      <c r="E96" s="3">
        <v>8</v>
      </c>
      <c r="F96" s="3">
        <v>32.92</v>
      </c>
      <c r="G96" s="3" t="s">
        <v>9</v>
      </c>
      <c r="H96" s="4">
        <v>0</v>
      </c>
      <c r="I96" s="4">
        <v>0</v>
      </c>
      <c r="J96" s="4">
        <v>0</v>
      </c>
      <c r="K96" s="3">
        <v>31.13</v>
      </c>
      <c r="L96" s="3">
        <v>1.8109999999999999</v>
      </c>
      <c r="M96" s="3" t="s">
        <v>9</v>
      </c>
    </row>
    <row r="97" spans="1:13" x14ac:dyDescent="0.35">
      <c r="A97" s="3" t="s">
        <v>6</v>
      </c>
      <c r="B97" s="3" t="s">
        <v>103</v>
      </c>
      <c r="C97" s="3" t="s">
        <v>8</v>
      </c>
      <c r="D97" s="3" t="s">
        <v>114</v>
      </c>
      <c r="E97" s="3">
        <v>8</v>
      </c>
      <c r="F97" s="3">
        <v>31.69</v>
      </c>
      <c r="G97" s="3" t="s">
        <v>9</v>
      </c>
      <c r="H97" s="4">
        <v>0</v>
      </c>
      <c r="I97" s="4">
        <v>0</v>
      </c>
      <c r="J97" s="4">
        <v>0</v>
      </c>
      <c r="K97" s="3">
        <v>31.13</v>
      </c>
      <c r="L97" s="3">
        <v>1.8109999999999999</v>
      </c>
      <c r="M97" s="3" t="s">
        <v>9</v>
      </c>
    </row>
    <row r="98" spans="1:13" x14ac:dyDescent="0.35">
      <c r="A98" s="3" t="s">
        <v>6</v>
      </c>
      <c r="B98" s="3" t="s">
        <v>104</v>
      </c>
      <c r="C98" s="3" t="s">
        <v>8</v>
      </c>
      <c r="D98" s="3" t="s">
        <v>114</v>
      </c>
      <c r="E98" s="3">
        <v>8</v>
      </c>
      <c r="F98" s="3">
        <v>30.72</v>
      </c>
      <c r="G98" s="3" t="s">
        <v>9</v>
      </c>
      <c r="H98" s="4">
        <v>0</v>
      </c>
      <c r="I98" s="4">
        <v>0</v>
      </c>
      <c r="J98" s="4">
        <v>0</v>
      </c>
      <c r="K98" s="3">
        <v>31.13</v>
      </c>
      <c r="L98" s="3">
        <v>1.8109999999999999</v>
      </c>
      <c r="M98" s="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B63C-19DE-4DE2-A342-32A636F6E792}">
  <dimension ref="A1:M98"/>
  <sheetViews>
    <sheetView topLeftCell="A70" workbookViewId="0">
      <selection activeCell="F69" sqref="F69:F98"/>
    </sheetView>
  </sheetViews>
  <sheetFormatPr defaultRowHeight="14.5" x14ac:dyDescent="0.35"/>
  <sheetData>
    <row r="1" spans="1:13" x14ac:dyDescent="0.35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112</v>
      </c>
      <c r="J1" s="3" t="s">
        <v>112</v>
      </c>
      <c r="K1" s="3" t="s">
        <v>110</v>
      </c>
      <c r="L1" s="3" t="s">
        <v>110</v>
      </c>
      <c r="M1" s="3" t="s">
        <v>113</v>
      </c>
    </row>
    <row r="2" spans="1:13" x14ac:dyDescent="0.35">
      <c r="G2" s="3" t="s">
        <v>112</v>
      </c>
      <c r="I2" s="3" t="s">
        <v>4</v>
      </c>
      <c r="J2" s="3" t="s">
        <v>5</v>
      </c>
      <c r="K2" s="3" t="s">
        <v>4</v>
      </c>
      <c r="L2" s="3" t="s">
        <v>5</v>
      </c>
      <c r="M2" s="3" t="s">
        <v>116</v>
      </c>
    </row>
    <row r="3" spans="1:13" x14ac:dyDescent="0.35">
      <c r="A3" s="3" t="s">
        <v>6</v>
      </c>
      <c r="B3" s="3" t="s">
        <v>7</v>
      </c>
      <c r="C3" s="3" t="s">
        <v>8</v>
      </c>
      <c r="D3" s="3" t="s">
        <v>114</v>
      </c>
      <c r="E3" s="3">
        <v>1</v>
      </c>
      <c r="F3" s="3">
        <v>31.88</v>
      </c>
      <c r="G3" s="3" t="s">
        <v>9</v>
      </c>
      <c r="H3" s="4">
        <v>0</v>
      </c>
      <c r="I3" s="4">
        <v>0</v>
      </c>
      <c r="J3" s="4">
        <v>0</v>
      </c>
      <c r="K3" s="3">
        <v>29.36</v>
      </c>
      <c r="L3" s="3">
        <v>2.577</v>
      </c>
      <c r="M3" s="3" t="s">
        <v>9</v>
      </c>
    </row>
    <row r="4" spans="1:13" x14ac:dyDescent="0.35">
      <c r="A4" s="3" t="s">
        <v>6</v>
      </c>
      <c r="B4" s="3" t="s">
        <v>10</v>
      </c>
      <c r="C4" s="3" t="s">
        <v>8</v>
      </c>
      <c r="D4" s="3" t="s">
        <v>114</v>
      </c>
      <c r="E4" s="3">
        <v>1</v>
      </c>
      <c r="F4" s="3">
        <v>31.59</v>
      </c>
      <c r="G4" s="3" t="s">
        <v>9</v>
      </c>
      <c r="H4" s="4">
        <v>0</v>
      </c>
      <c r="I4" s="4">
        <v>0</v>
      </c>
      <c r="J4" s="4">
        <v>0</v>
      </c>
      <c r="K4" s="3">
        <v>29.36</v>
      </c>
      <c r="L4" s="3">
        <v>2.577</v>
      </c>
      <c r="M4" s="3" t="s">
        <v>9</v>
      </c>
    </row>
    <row r="5" spans="1:13" x14ac:dyDescent="0.35">
      <c r="A5" s="3" t="s">
        <v>6</v>
      </c>
      <c r="B5" s="3" t="s">
        <v>11</v>
      </c>
      <c r="C5" s="3" t="s">
        <v>8</v>
      </c>
      <c r="D5" s="3" t="s">
        <v>114</v>
      </c>
      <c r="E5" s="3">
        <v>1</v>
      </c>
      <c r="F5" s="3">
        <v>32.450000000000003</v>
      </c>
      <c r="G5" s="3" t="s">
        <v>9</v>
      </c>
      <c r="H5" s="4">
        <v>0</v>
      </c>
      <c r="I5" s="4">
        <v>0</v>
      </c>
      <c r="J5" s="4">
        <v>0</v>
      </c>
      <c r="K5" s="3">
        <v>29.36</v>
      </c>
      <c r="L5" s="3">
        <v>2.577</v>
      </c>
      <c r="M5" s="3" t="s">
        <v>9</v>
      </c>
    </row>
    <row r="6" spans="1:13" x14ac:dyDescent="0.35">
      <c r="A6" s="3" t="s">
        <v>6</v>
      </c>
      <c r="B6" s="3" t="s">
        <v>12</v>
      </c>
      <c r="C6" s="3" t="s">
        <v>8</v>
      </c>
      <c r="D6" s="3" t="s">
        <v>114</v>
      </c>
      <c r="E6" s="3">
        <v>1</v>
      </c>
      <c r="F6" s="3">
        <v>27.88</v>
      </c>
      <c r="G6" s="3" t="s">
        <v>9</v>
      </c>
      <c r="H6" s="4">
        <v>0</v>
      </c>
      <c r="I6" s="4">
        <v>0</v>
      </c>
      <c r="J6" s="4">
        <v>0</v>
      </c>
      <c r="K6" s="3">
        <v>29.36</v>
      </c>
      <c r="L6" s="3">
        <v>2.577</v>
      </c>
      <c r="M6" s="3" t="s">
        <v>9</v>
      </c>
    </row>
    <row r="7" spans="1:13" x14ac:dyDescent="0.35">
      <c r="A7" s="3" t="s">
        <v>6</v>
      </c>
      <c r="B7" s="3" t="s">
        <v>13</v>
      </c>
      <c r="C7" s="3" t="s">
        <v>8</v>
      </c>
      <c r="D7" s="3" t="s">
        <v>114</v>
      </c>
      <c r="E7" s="3">
        <v>1</v>
      </c>
      <c r="F7" s="3">
        <v>27.68</v>
      </c>
      <c r="G7" s="3" t="s">
        <v>9</v>
      </c>
      <c r="H7" s="4">
        <v>0</v>
      </c>
      <c r="I7" s="4">
        <v>0</v>
      </c>
      <c r="J7" s="4">
        <v>0</v>
      </c>
      <c r="K7" s="3">
        <v>29.36</v>
      </c>
      <c r="L7" s="3">
        <v>2.577</v>
      </c>
      <c r="M7" s="3" t="s">
        <v>9</v>
      </c>
    </row>
    <row r="8" spans="1:13" x14ac:dyDescent="0.35">
      <c r="A8" s="3" t="s">
        <v>6</v>
      </c>
      <c r="B8" s="3" t="s">
        <v>14</v>
      </c>
      <c r="C8" s="3" t="s">
        <v>8</v>
      </c>
      <c r="D8" s="3" t="s">
        <v>114</v>
      </c>
      <c r="E8" s="3">
        <v>1</v>
      </c>
      <c r="F8" s="3">
        <v>27.17</v>
      </c>
      <c r="G8" s="3" t="s">
        <v>9</v>
      </c>
      <c r="H8" s="4">
        <v>0</v>
      </c>
      <c r="I8" s="4">
        <v>0</v>
      </c>
      <c r="J8" s="4">
        <v>0</v>
      </c>
      <c r="K8" s="3">
        <v>29.36</v>
      </c>
      <c r="L8" s="3">
        <v>2.577</v>
      </c>
      <c r="M8" s="3" t="s">
        <v>9</v>
      </c>
    </row>
    <row r="9" spans="1:13" x14ac:dyDescent="0.35">
      <c r="A9" s="3" t="s">
        <v>6</v>
      </c>
      <c r="B9" s="3" t="s">
        <v>15</v>
      </c>
      <c r="C9" s="3" t="s">
        <v>8</v>
      </c>
      <c r="D9" s="3" t="s">
        <v>114</v>
      </c>
      <c r="E9" s="3">
        <v>1</v>
      </c>
      <c r="F9" s="3">
        <v>31.3</v>
      </c>
      <c r="G9" s="3" t="s">
        <v>9</v>
      </c>
      <c r="H9" s="4">
        <v>0</v>
      </c>
      <c r="I9" s="4">
        <v>0</v>
      </c>
      <c r="J9" s="4">
        <v>0</v>
      </c>
      <c r="K9" s="3">
        <v>29.36</v>
      </c>
      <c r="L9" s="3">
        <v>2.577</v>
      </c>
      <c r="M9" s="3" t="s">
        <v>9</v>
      </c>
    </row>
    <row r="10" spans="1:13" x14ac:dyDescent="0.35">
      <c r="A10" s="3" t="s">
        <v>6</v>
      </c>
      <c r="B10" s="3" t="s">
        <v>16</v>
      </c>
      <c r="C10" s="3" t="s">
        <v>8</v>
      </c>
      <c r="D10" s="3" t="s">
        <v>114</v>
      </c>
      <c r="E10" s="3">
        <v>1</v>
      </c>
      <c r="F10" s="3">
        <v>32.26</v>
      </c>
      <c r="G10" s="3" t="s">
        <v>9</v>
      </c>
      <c r="H10" s="4">
        <v>0</v>
      </c>
      <c r="I10" s="4">
        <v>0</v>
      </c>
      <c r="J10" s="4">
        <v>0</v>
      </c>
      <c r="K10" s="3">
        <v>29.36</v>
      </c>
      <c r="L10" s="3">
        <v>2.577</v>
      </c>
      <c r="M10" s="3" t="s">
        <v>9</v>
      </c>
    </row>
    <row r="11" spans="1:13" x14ac:dyDescent="0.35">
      <c r="A11" s="3" t="s">
        <v>6</v>
      </c>
      <c r="B11" s="3" t="s">
        <v>17</v>
      </c>
      <c r="C11" s="3" t="s">
        <v>8</v>
      </c>
      <c r="D11" s="3" t="s">
        <v>114</v>
      </c>
      <c r="E11" s="3">
        <v>1</v>
      </c>
      <c r="F11" s="3">
        <v>31.05</v>
      </c>
      <c r="G11" s="3" t="s">
        <v>9</v>
      </c>
      <c r="H11" s="4">
        <v>0</v>
      </c>
      <c r="I11" s="4">
        <v>0</v>
      </c>
      <c r="J11" s="4">
        <v>0</v>
      </c>
      <c r="K11" s="3">
        <v>29.36</v>
      </c>
      <c r="L11" s="3">
        <v>2.577</v>
      </c>
      <c r="M11" s="3" t="s">
        <v>9</v>
      </c>
    </row>
    <row r="12" spans="1:13" x14ac:dyDescent="0.35">
      <c r="A12" s="3" t="s">
        <v>6</v>
      </c>
      <c r="B12" s="3" t="s">
        <v>18</v>
      </c>
      <c r="C12" s="3" t="s">
        <v>8</v>
      </c>
      <c r="D12" s="3" t="s">
        <v>114</v>
      </c>
      <c r="E12" s="3">
        <v>1</v>
      </c>
      <c r="F12" s="3">
        <v>26.27</v>
      </c>
      <c r="G12" s="3" t="s">
        <v>9</v>
      </c>
      <c r="H12" s="4">
        <v>0</v>
      </c>
      <c r="I12" s="4">
        <v>0</v>
      </c>
      <c r="J12" s="4">
        <v>0</v>
      </c>
      <c r="K12" s="3">
        <v>29.36</v>
      </c>
      <c r="L12" s="3">
        <v>2.577</v>
      </c>
      <c r="M12" s="3" t="s">
        <v>9</v>
      </c>
    </row>
    <row r="13" spans="1:13" x14ac:dyDescent="0.35">
      <c r="A13" s="3" t="s">
        <v>6</v>
      </c>
      <c r="B13" s="3" t="s">
        <v>19</v>
      </c>
      <c r="C13" s="3" t="s">
        <v>8</v>
      </c>
      <c r="D13" s="3" t="s">
        <v>114</v>
      </c>
      <c r="E13" s="3">
        <v>1</v>
      </c>
      <c r="F13" s="3">
        <v>26.33</v>
      </c>
      <c r="G13" s="3" t="s">
        <v>9</v>
      </c>
      <c r="H13" s="4">
        <v>0</v>
      </c>
      <c r="I13" s="4">
        <v>0</v>
      </c>
      <c r="J13" s="4">
        <v>0</v>
      </c>
      <c r="K13" s="3">
        <v>29.36</v>
      </c>
      <c r="L13" s="3">
        <v>2.577</v>
      </c>
      <c r="M13" s="3" t="s">
        <v>9</v>
      </c>
    </row>
    <row r="14" spans="1:13" x14ac:dyDescent="0.35">
      <c r="A14" s="3" t="s">
        <v>6</v>
      </c>
      <c r="B14" s="3" t="s">
        <v>20</v>
      </c>
      <c r="C14" s="3" t="s">
        <v>8</v>
      </c>
      <c r="D14" s="3" t="s">
        <v>114</v>
      </c>
      <c r="E14" s="3">
        <v>1</v>
      </c>
      <c r="F14" s="3">
        <v>26.44</v>
      </c>
      <c r="G14" s="3" t="s">
        <v>9</v>
      </c>
      <c r="H14" s="4">
        <v>0</v>
      </c>
      <c r="I14" s="4">
        <v>0</v>
      </c>
      <c r="J14" s="4">
        <v>0</v>
      </c>
      <c r="K14" s="3">
        <v>29.36</v>
      </c>
      <c r="L14" s="3">
        <v>2.577</v>
      </c>
      <c r="M14" s="3" t="s">
        <v>9</v>
      </c>
    </row>
    <row r="15" spans="1:13" x14ac:dyDescent="0.35">
      <c r="A15" s="3" t="s">
        <v>6</v>
      </c>
      <c r="B15" s="3" t="s">
        <v>21</v>
      </c>
      <c r="C15" s="3" t="s">
        <v>8</v>
      </c>
      <c r="D15" s="3" t="s">
        <v>114</v>
      </c>
      <c r="E15" s="3">
        <v>2</v>
      </c>
      <c r="F15" s="3">
        <v>31.7</v>
      </c>
      <c r="G15" s="3" t="s">
        <v>9</v>
      </c>
      <c r="H15" s="4">
        <v>0</v>
      </c>
      <c r="I15" s="4">
        <v>0</v>
      </c>
      <c r="J15" s="4">
        <v>0</v>
      </c>
      <c r="K15" s="3">
        <v>28.33</v>
      </c>
      <c r="L15" s="3">
        <v>2.2130000000000001</v>
      </c>
      <c r="M15" s="3" t="s">
        <v>9</v>
      </c>
    </row>
    <row r="16" spans="1:13" x14ac:dyDescent="0.35">
      <c r="A16" s="3" t="s">
        <v>6</v>
      </c>
      <c r="B16" s="3" t="s">
        <v>22</v>
      </c>
      <c r="C16" s="3" t="s">
        <v>8</v>
      </c>
      <c r="D16" s="3" t="s">
        <v>114</v>
      </c>
      <c r="E16" s="3">
        <v>2</v>
      </c>
      <c r="F16" s="3">
        <v>31.99</v>
      </c>
      <c r="G16" s="3" t="s">
        <v>9</v>
      </c>
      <c r="H16" s="4">
        <v>0</v>
      </c>
      <c r="I16" s="4">
        <v>0</v>
      </c>
      <c r="J16" s="4">
        <v>0</v>
      </c>
      <c r="K16" s="3">
        <v>28.33</v>
      </c>
      <c r="L16" s="3">
        <v>2.2130000000000001</v>
      </c>
      <c r="M16" s="3" t="s">
        <v>9</v>
      </c>
    </row>
    <row r="17" spans="1:13" x14ac:dyDescent="0.35">
      <c r="A17" s="3" t="s">
        <v>6</v>
      </c>
      <c r="B17" s="3" t="s">
        <v>23</v>
      </c>
      <c r="C17" s="3" t="s">
        <v>8</v>
      </c>
      <c r="D17" s="3" t="s">
        <v>114</v>
      </c>
      <c r="E17" s="3">
        <v>2</v>
      </c>
      <c r="F17" s="3">
        <v>31.88</v>
      </c>
      <c r="G17" s="3" t="s">
        <v>9</v>
      </c>
      <c r="H17" s="4">
        <v>0</v>
      </c>
      <c r="I17" s="4">
        <v>0</v>
      </c>
      <c r="J17" s="4">
        <v>0</v>
      </c>
      <c r="K17" s="3">
        <v>28.33</v>
      </c>
      <c r="L17" s="3">
        <v>2.2130000000000001</v>
      </c>
      <c r="M17" s="3" t="s">
        <v>9</v>
      </c>
    </row>
    <row r="18" spans="1:13" x14ac:dyDescent="0.35">
      <c r="A18" s="3" t="s">
        <v>6</v>
      </c>
      <c r="B18" s="3" t="s">
        <v>24</v>
      </c>
      <c r="C18" s="3" t="s">
        <v>8</v>
      </c>
      <c r="D18" s="3" t="s">
        <v>114</v>
      </c>
      <c r="E18" s="3">
        <v>2</v>
      </c>
      <c r="F18" s="3">
        <v>26.91</v>
      </c>
      <c r="G18" s="3" t="s">
        <v>9</v>
      </c>
      <c r="H18" s="4">
        <v>0</v>
      </c>
      <c r="I18" s="4">
        <v>0</v>
      </c>
      <c r="J18" s="4">
        <v>0</v>
      </c>
      <c r="K18" s="3">
        <v>28.33</v>
      </c>
      <c r="L18" s="3">
        <v>2.2130000000000001</v>
      </c>
      <c r="M18" s="3" t="s">
        <v>9</v>
      </c>
    </row>
    <row r="19" spans="1:13" x14ac:dyDescent="0.35">
      <c r="A19" s="3" t="s">
        <v>6</v>
      </c>
      <c r="B19" s="3" t="s">
        <v>25</v>
      </c>
      <c r="C19" s="3" t="s">
        <v>8</v>
      </c>
      <c r="D19" s="3" t="s">
        <v>114</v>
      </c>
      <c r="E19" s="3">
        <v>2</v>
      </c>
      <c r="F19" s="3">
        <v>28.17</v>
      </c>
      <c r="G19" s="3" t="s">
        <v>9</v>
      </c>
      <c r="H19" s="4">
        <v>0</v>
      </c>
      <c r="I19" s="4">
        <v>0</v>
      </c>
      <c r="J19" s="4">
        <v>0</v>
      </c>
      <c r="K19" s="3">
        <v>28.33</v>
      </c>
      <c r="L19" s="3">
        <v>2.2130000000000001</v>
      </c>
      <c r="M19" s="3" t="s">
        <v>9</v>
      </c>
    </row>
    <row r="20" spans="1:13" x14ac:dyDescent="0.35">
      <c r="A20" s="3" t="s">
        <v>6</v>
      </c>
      <c r="B20" s="3" t="s">
        <v>26</v>
      </c>
      <c r="C20" s="3" t="s">
        <v>8</v>
      </c>
      <c r="D20" s="3" t="s">
        <v>114</v>
      </c>
      <c r="E20" s="3">
        <v>2</v>
      </c>
      <c r="F20" s="3">
        <v>27.95</v>
      </c>
      <c r="G20" s="3" t="s">
        <v>9</v>
      </c>
      <c r="H20" s="4">
        <v>0</v>
      </c>
      <c r="I20" s="4">
        <v>0</v>
      </c>
      <c r="J20" s="4">
        <v>0</v>
      </c>
      <c r="K20" s="3">
        <v>28.33</v>
      </c>
      <c r="L20" s="3">
        <v>2.2130000000000001</v>
      </c>
      <c r="M20" s="3" t="s">
        <v>9</v>
      </c>
    </row>
    <row r="21" spans="1:13" x14ac:dyDescent="0.35">
      <c r="A21" s="3" t="s">
        <v>6</v>
      </c>
      <c r="B21" s="3" t="s">
        <v>27</v>
      </c>
      <c r="C21" s="3" t="s">
        <v>8</v>
      </c>
      <c r="D21" s="3" t="s">
        <v>114</v>
      </c>
      <c r="E21" s="3">
        <v>2</v>
      </c>
      <c r="F21" s="3">
        <v>26.69</v>
      </c>
      <c r="G21" s="3" t="s">
        <v>9</v>
      </c>
      <c r="H21" s="4">
        <v>0</v>
      </c>
      <c r="I21" s="4">
        <v>0</v>
      </c>
      <c r="J21" s="4">
        <v>0</v>
      </c>
      <c r="K21" s="3">
        <v>28.33</v>
      </c>
      <c r="L21" s="3">
        <v>2.2130000000000001</v>
      </c>
      <c r="M21" s="3" t="s">
        <v>9</v>
      </c>
    </row>
    <row r="22" spans="1:13" x14ac:dyDescent="0.35">
      <c r="A22" s="3" t="s">
        <v>6</v>
      </c>
      <c r="B22" s="3" t="s">
        <v>28</v>
      </c>
      <c r="C22" s="3" t="s">
        <v>8</v>
      </c>
      <c r="D22" s="3" t="s">
        <v>114</v>
      </c>
      <c r="E22" s="3">
        <v>2</v>
      </c>
      <c r="F22" s="3">
        <v>27.34</v>
      </c>
      <c r="G22" s="3" t="s">
        <v>9</v>
      </c>
      <c r="H22" s="4">
        <v>0</v>
      </c>
      <c r="I22" s="4">
        <v>0</v>
      </c>
      <c r="J22" s="4">
        <v>0</v>
      </c>
      <c r="K22" s="3">
        <v>28.33</v>
      </c>
      <c r="L22" s="3">
        <v>2.2130000000000001</v>
      </c>
      <c r="M22" s="3" t="s">
        <v>9</v>
      </c>
    </row>
    <row r="23" spans="1:13" x14ac:dyDescent="0.35">
      <c r="A23" s="3" t="s">
        <v>6</v>
      </c>
      <c r="B23" s="3" t="s">
        <v>29</v>
      </c>
      <c r="C23" s="3" t="s">
        <v>8</v>
      </c>
      <c r="D23" s="3" t="s">
        <v>114</v>
      </c>
      <c r="E23" s="3">
        <v>2</v>
      </c>
      <c r="F23" s="3">
        <v>27.13</v>
      </c>
      <c r="G23" s="3" t="s">
        <v>9</v>
      </c>
      <c r="H23" s="4">
        <v>0</v>
      </c>
      <c r="I23" s="4">
        <v>0</v>
      </c>
      <c r="J23" s="4">
        <v>0</v>
      </c>
      <c r="K23" s="3">
        <v>28.33</v>
      </c>
      <c r="L23" s="3">
        <v>2.2130000000000001</v>
      </c>
      <c r="M23" s="3" t="s">
        <v>9</v>
      </c>
    </row>
    <row r="24" spans="1:13" x14ac:dyDescent="0.35">
      <c r="A24" s="3" t="s">
        <v>6</v>
      </c>
      <c r="B24" s="3" t="s">
        <v>30</v>
      </c>
      <c r="C24" s="3" t="s">
        <v>8</v>
      </c>
      <c r="D24" s="3" t="s">
        <v>114</v>
      </c>
      <c r="E24" s="3">
        <v>2</v>
      </c>
      <c r="F24" s="3">
        <v>25.89</v>
      </c>
      <c r="G24" s="3" t="s">
        <v>9</v>
      </c>
      <c r="H24" s="4">
        <v>0</v>
      </c>
      <c r="I24" s="4">
        <v>0</v>
      </c>
      <c r="J24" s="4">
        <v>0</v>
      </c>
      <c r="K24" s="3">
        <v>28.33</v>
      </c>
      <c r="L24" s="3">
        <v>2.2130000000000001</v>
      </c>
      <c r="M24" s="3" t="s">
        <v>9</v>
      </c>
    </row>
    <row r="25" spans="1:13" x14ac:dyDescent="0.35">
      <c r="A25" s="3" t="s">
        <v>6</v>
      </c>
      <c r="B25" s="3" t="s">
        <v>31</v>
      </c>
      <c r="C25" s="3" t="s">
        <v>8</v>
      </c>
      <c r="D25" s="3" t="s">
        <v>114</v>
      </c>
      <c r="E25" s="3">
        <v>2</v>
      </c>
      <c r="F25" s="3">
        <v>27.74</v>
      </c>
      <c r="G25" s="3" t="s">
        <v>9</v>
      </c>
      <c r="H25" s="4">
        <v>0</v>
      </c>
      <c r="I25" s="4">
        <v>0</v>
      </c>
      <c r="J25" s="4">
        <v>0</v>
      </c>
      <c r="K25" s="3">
        <v>28.33</v>
      </c>
      <c r="L25" s="3">
        <v>2.2130000000000001</v>
      </c>
      <c r="M25" s="3" t="s">
        <v>9</v>
      </c>
    </row>
    <row r="26" spans="1:13" x14ac:dyDescent="0.35">
      <c r="A26" s="3" t="s">
        <v>6</v>
      </c>
      <c r="B26" s="3" t="s">
        <v>32</v>
      </c>
      <c r="C26" s="3" t="s">
        <v>8</v>
      </c>
      <c r="D26" s="3" t="s">
        <v>114</v>
      </c>
      <c r="E26" s="3">
        <v>2</v>
      </c>
      <c r="F26" s="3">
        <v>26.63</v>
      </c>
      <c r="G26" s="3" t="s">
        <v>9</v>
      </c>
      <c r="H26" s="4">
        <v>0</v>
      </c>
      <c r="I26" s="4">
        <v>0</v>
      </c>
      <c r="J26" s="4">
        <v>0</v>
      </c>
      <c r="K26" s="3">
        <v>28.33</v>
      </c>
      <c r="L26" s="3">
        <v>2.2130000000000001</v>
      </c>
      <c r="M26" s="3" t="s">
        <v>9</v>
      </c>
    </row>
    <row r="27" spans="1:13" x14ac:dyDescent="0.35">
      <c r="A27" s="3" t="s">
        <v>6</v>
      </c>
      <c r="B27" s="3" t="s">
        <v>33</v>
      </c>
      <c r="C27" s="3" t="s">
        <v>8</v>
      </c>
      <c r="D27" s="3" t="s">
        <v>114</v>
      </c>
      <c r="E27" s="3">
        <v>3</v>
      </c>
      <c r="F27" s="3">
        <v>27.38</v>
      </c>
      <c r="G27" s="3" t="s">
        <v>9</v>
      </c>
      <c r="H27" s="4">
        <v>0</v>
      </c>
      <c r="I27" s="4">
        <v>0</v>
      </c>
      <c r="J27" s="4">
        <v>0</v>
      </c>
      <c r="K27" s="3">
        <v>27.04</v>
      </c>
      <c r="L27" s="3">
        <v>0.85299999999999998</v>
      </c>
      <c r="M27" s="3" t="s">
        <v>9</v>
      </c>
    </row>
    <row r="28" spans="1:13" x14ac:dyDescent="0.35">
      <c r="A28" s="3" t="s">
        <v>6</v>
      </c>
      <c r="B28" s="3" t="s">
        <v>34</v>
      </c>
      <c r="C28" s="3" t="s">
        <v>8</v>
      </c>
      <c r="D28" s="3" t="s">
        <v>114</v>
      </c>
      <c r="E28" s="3">
        <v>3</v>
      </c>
      <c r="F28" s="3">
        <v>27.47</v>
      </c>
      <c r="G28" s="3" t="s">
        <v>9</v>
      </c>
      <c r="H28" s="4">
        <v>0</v>
      </c>
      <c r="I28" s="4">
        <v>0</v>
      </c>
      <c r="J28" s="4">
        <v>0</v>
      </c>
      <c r="K28" s="3">
        <v>27.04</v>
      </c>
      <c r="L28" s="3">
        <v>0.85299999999999998</v>
      </c>
      <c r="M28" s="3" t="s">
        <v>9</v>
      </c>
    </row>
    <row r="29" spans="1:13" x14ac:dyDescent="0.35">
      <c r="A29" s="3" t="s">
        <v>6</v>
      </c>
      <c r="B29" s="3" t="s">
        <v>35</v>
      </c>
      <c r="C29" s="3" t="s">
        <v>8</v>
      </c>
      <c r="D29" s="3" t="s">
        <v>114</v>
      </c>
      <c r="E29" s="3">
        <v>3</v>
      </c>
      <c r="F29" s="3">
        <v>27.44</v>
      </c>
      <c r="G29" s="3" t="s">
        <v>9</v>
      </c>
      <c r="H29" s="4">
        <v>0</v>
      </c>
      <c r="I29" s="4">
        <v>0</v>
      </c>
      <c r="J29" s="4">
        <v>0</v>
      </c>
      <c r="K29" s="3">
        <v>27.04</v>
      </c>
      <c r="L29" s="3">
        <v>0.85299999999999998</v>
      </c>
      <c r="M29" s="3" t="s">
        <v>9</v>
      </c>
    </row>
    <row r="30" spans="1:13" x14ac:dyDescent="0.35">
      <c r="A30" s="3" t="s">
        <v>6</v>
      </c>
      <c r="B30" s="3" t="s">
        <v>36</v>
      </c>
      <c r="C30" s="3" t="s">
        <v>8</v>
      </c>
      <c r="D30" s="3" t="s">
        <v>114</v>
      </c>
      <c r="E30" s="3">
        <v>3</v>
      </c>
      <c r="F30" s="3">
        <v>27.07</v>
      </c>
      <c r="G30" s="3" t="s">
        <v>9</v>
      </c>
      <c r="H30" s="4">
        <v>0</v>
      </c>
      <c r="I30" s="4">
        <v>0</v>
      </c>
      <c r="J30" s="4">
        <v>0</v>
      </c>
      <c r="K30" s="3">
        <v>27.04</v>
      </c>
      <c r="L30" s="3">
        <v>0.85299999999999998</v>
      </c>
      <c r="M30" s="3" t="s">
        <v>9</v>
      </c>
    </row>
    <row r="31" spans="1:13" x14ac:dyDescent="0.35">
      <c r="A31" s="3" t="s">
        <v>6</v>
      </c>
      <c r="B31" s="3" t="s">
        <v>37</v>
      </c>
      <c r="C31" s="3" t="s">
        <v>8</v>
      </c>
      <c r="D31" s="3" t="s">
        <v>114</v>
      </c>
      <c r="E31" s="3">
        <v>3</v>
      </c>
      <c r="F31" s="3">
        <v>27.53</v>
      </c>
      <c r="G31" s="3" t="s">
        <v>9</v>
      </c>
      <c r="H31" s="4">
        <v>0</v>
      </c>
      <c r="I31" s="4">
        <v>0</v>
      </c>
      <c r="J31" s="4">
        <v>0</v>
      </c>
      <c r="K31" s="3">
        <v>27.04</v>
      </c>
      <c r="L31" s="3">
        <v>0.85299999999999998</v>
      </c>
      <c r="M31" s="3" t="s">
        <v>9</v>
      </c>
    </row>
    <row r="32" spans="1:13" x14ac:dyDescent="0.35">
      <c r="A32" s="3" t="s">
        <v>6</v>
      </c>
      <c r="B32" s="3" t="s">
        <v>38</v>
      </c>
      <c r="C32" s="3" t="s">
        <v>8</v>
      </c>
      <c r="D32" s="3" t="s">
        <v>114</v>
      </c>
      <c r="E32" s="3">
        <v>3</v>
      </c>
      <c r="F32" s="3">
        <v>25.33</v>
      </c>
      <c r="G32" s="3" t="s">
        <v>9</v>
      </c>
      <c r="H32" s="4">
        <v>0</v>
      </c>
      <c r="I32" s="4">
        <v>0</v>
      </c>
      <c r="J32" s="4">
        <v>0</v>
      </c>
      <c r="K32" s="3">
        <v>27.04</v>
      </c>
      <c r="L32" s="3">
        <v>0.85299999999999998</v>
      </c>
      <c r="M32" s="3" t="s">
        <v>9</v>
      </c>
    </row>
    <row r="33" spans="1:13" x14ac:dyDescent="0.35">
      <c r="A33" s="3" t="s">
        <v>6</v>
      </c>
      <c r="B33" s="3" t="s">
        <v>39</v>
      </c>
      <c r="C33" s="3" t="s">
        <v>8</v>
      </c>
      <c r="D33" s="3" t="s">
        <v>114</v>
      </c>
      <c r="E33" s="3">
        <v>3</v>
      </c>
      <c r="F33" s="3" t="s">
        <v>9</v>
      </c>
      <c r="G33" s="3" t="s">
        <v>9</v>
      </c>
      <c r="H33" s="4">
        <v>0</v>
      </c>
      <c r="I33" s="4">
        <v>0</v>
      </c>
      <c r="J33" s="4">
        <v>0</v>
      </c>
      <c r="K33" s="3">
        <v>0</v>
      </c>
      <c r="L33" s="3">
        <v>0</v>
      </c>
      <c r="M33" s="3" t="s">
        <v>9</v>
      </c>
    </row>
    <row r="34" spans="1:13" x14ac:dyDescent="0.35">
      <c r="A34" s="3" t="s">
        <v>6</v>
      </c>
      <c r="B34" s="3" t="s">
        <v>40</v>
      </c>
      <c r="C34" s="3" t="s">
        <v>8</v>
      </c>
      <c r="D34" s="3" t="s">
        <v>114</v>
      </c>
      <c r="E34" s="3">
        <v>3</v>
      </c>
      <c r="F34" s="3" t="s">
        <v>9</v>
      </c>
      <c r="G34" s="3" t="s">
        <v>9</v>
      </c>
      <c r="H34" s="4">
        <v>0</v>
      </c>
      <c r="I34" s="4">
        <v>0</v>
      </c>
      <c r="J34" s="4">
        <v>0</v>
      </c>
      <c r="K34" s="3">
        <v>0</v>
      </c>
      <c r="L34" s="3">
        <v>0</v>
      </c>
      <c r="M34" s="3" t="s">
        <v>9</v>
      </c>
    </row>
    <row r="35" spans="1:13" x14ac:dyDescent="0.35">
      <c r="A35" s="3" t="s">
        <v>6</v>
      </c>
      <c r="B35" s="3" t="s">
        <v>41</v>
      </c>
      <c r="C35" s="3" t="s">
        <v>8</v>
      </c>
      <c r="D35" s="3" t="s">
        <v>114</v>
      </c>
      <c r="E35" s="3">
        <v>3</v>
      </c>
      <c r="F35" s="3" t="s">
        <v>9</v>
      </c>
      <c r="G35" s="3" t="s">
        <v>9</v>
      </c>
      <c r="H35" s="4">
        <v>0</v>
      </c>
      <c r="I35" s="4">
        <v>0</v>
      </c>
      <c r="J35" s="4">
        <v>0</v>
      </c>
      <c r="K35" s="3">
        <v>0</v>
      </c>
      <c r="L35" s="3">
        <v>0</v>
      </c>
      <c r="M35" s="3" t="s">
        <v>9</v>
      </c>
    </row>
    <row r="36" spans="1:13" x14ac:dyDescent="0.35">
      <c r="A36" s="3" t="s">
        <v>6</v>
      </c>
      <c r="B36" s="3" t="s">
        <v>42</v>
      </c>
      <c r="C36" s="3" t="s">
        <v>8</v>
      </c>
      <c r="D36" s="3" t="s">
        <v>114</v>
      </c>
      <c r="E36" s="3">
        <v>3</v>
      </c>
      <c r="F36" s="3" t="s">
        <v>9</v>
      </c>
      <c r="G36" s="3" t="s">
        <v>9</v>
      </c>
      <c r="H36" s="4">
        <v>0</v>
      </c>
      <c r="I36" s="4">
        <v>0</v>
      </c>
      <c r="J36" s="4">
        <v>0</v>
      </c>
      <c r="K36" s="3">
        <v>0</v>
      </c>
      <c r="L36" s="3">
        <v>0</v>
      </c>
      <c r="M36" s="3" t="s">
        <v>9</v>
      </c>
    </row>
    <row r="37" spans="1:13" x14ac:dyDescent="0.35">
      <c r="A37" s="3" t="s">
        <v>6</v>
      </c>
      <c r="B37" s="3" t="s">
        <v>43</v>
      </c>
      <c r="C37" s="3" t="s">
        <v>8</v>
      </c>
      <c r="D37" s="3" t="s">
        <v>114</v>
      </c>
      <c r="E37" s="3">
        <v>3</v>
      </c>
      <c r="F37" s="3" t="s">
        <v>9</v>
      </c>
      <c r="G37" s="3" t="s">
        <v>9</v>
      </c>
      <c r="H37" s="4">
        <v>0</v>
      </c>
      <c r="I37" s="4">
        <v>0</v>
      </c>
      <c r="J37" s="4">
        <v>0</v>
      </c>
      <c r="K37" s="3">
        <v>0</v>
      </c>
      <c r="L37" s="3">
        <v>0</v>
      </c>
      <c r="M37" s="3" t="s">
        <v>9</v>
      </c>
    </row>
    <row r="38" spans="1:13" x14ac:dyDescent="0.35">
      <c r="A38" s="3" t="s">
        <v>6</v>
      </c>
      <c r="B38" s="3" t="s">
        <v>44</v>
      </c>
      <c r="C38" s="3" t="s">
        <v>8</v>
      </c>
      <c r="D38" s="3" t="s">
        <v>114</v>
      </c>
      <c r="E38" s="3">
        <v>3</v>
      </c>
      <c r="F38" s="3" t="s">
        <v>9</v>
      </c>
      <c r="G38" s="3" t="s">
        <v>9</v>
      </c>
      <c r="H38" s="4">
        <v>0</v>
      </c>
      <c r="I38" s="4">
        <v>0</v>
      </c>
      <c r="J38" s="4">
        <v>0</v>
      </c>
      <c r="K38" s="3">
        <v>0</v>
      </c>
      <c r="L38" s="3">
        <v>0</v>
      </c>
      <c r="M38" s="3" t="s">
        <v>9</v>
      </c>
    </row>
    <row r="39" spans="1:13" x14ac:dyDescent="0.35">
      <c r="A39" s="3" t="s">
        <v>6</v>
      </c>
      <c r="B39" s="3" t="s">
        <v>45</v>
      </c>
      <c r="C39" s="3" t="s">
        <v>8</v>
      </c>
      <c r="D39" s="3" t="s">
        <v>114</v>
      </c>
      <c r="E39" s="3">
        <v>4</v>
      </c>
      <c r="F39" s="3">
        <v>34.97</v>
      </c>
      <c r="G39" s="3" t="s">
        <v>9</v>
      </c>
      <c r="H39" s="4">
        <v>0</v>
      </c>
      <c r="I39" s="4">
        <v>0</v>
      </c>
      <c r="J39" s="4">
        <v>0</v>
      </c>
      <c r="K39" s="3">
        <v>31.18</v>
      </c>
      <c r="L39" s="3">
        <v>3.323</v>
      </c>
      <c r="M39" s="3" t="s">
        <v>9</v>
      </c>
    </row>
    <row r="40" spans="1:13" x14ac:dyDescent="0.35">
      <c r="A40" s="3" t="s">
        <v>6</v>
      </c>
      <c r="B40" s="3" t="s">
        <v>46</v>
      </c>
      <c r="C40" s="3" t="s">
        <v>8</v>
      </c>
      <c r="D40" s="3" t="s">
        <v>114</v>
      </c>
      <c r="E40" s="3">
        <v>4</v>
      </c>
      <c r="F40" s="3">
        <v>33.56</v>
      </c>
      <c r="G40" s="3" t="s">
        <v>9</v>
      </c>
      <c r="H40" s="4">
        <v>0</v>
      </c>
      <c r="I40" s="4">
        <v>0</v>
      </c>
      <c r="J40" s="4">
        <v>0</v>
      </c>
      <c r="K40" s="3">
        <v>31.18</v>
      </c>
      <c r="L40" s="3">
        <v>3.323</v>
      </c>
      <c r="M40" s="3" t="s">
        <v>9</v>
      </c>
    </row>
    <row r="41" spans="1:13" x14ac:dyDescent="0.35">
      <c r="A41" s="3" t="s">
        <v>6</v>
      </c>
      <c r="B41" s="3" t="s">
        <v>47</v>
      </c>
      <c r="C41" s="3" t="s">
        <v>8</v>
      </c>
      <c r="D41" s="3" t="s">
        <v>114</v>
      </c>
      <c r="E41" s="3">
        <v>4</v>
      </c>
      <c r="F41" s="3">
        <v>34.01</v>
      </c>
      <c r="G41" s="3" t="s">
        <v>9</v>
      </c>
      <c r="H41" s="4">
        <v>0</v>
      </c>
      <c r="I41" s="4">
        <v>0</v>
      </c>
      <c r="J41" s="4">
        <v>0</v>
      </c>
      <c r="K41" s="3">
        <v>31.18</v>
      </c>
      <c r="L41" s="3">
        <v>3.323</v>
      </c>
      <c r="M41" s="3" t="s">
        <v>9</v>
      </c>
    </row>
    <row r="42" spans="1:13" x14ac:dyDescent="0.35">
      <c r="A42" s="3" t="s">
        <v>6</v>
      </c>
      <c r="B42" s="3" t="s">
        <v>48</v>
      </c>
      <c r="C42" s="3" t="s">
        <v>8</v>
      </c>
      <c r="D42" s="3" t="s">
        <v>114</v>
      </c>
      <c r="E42" s="3">
        <v>4</v>
      </c>
      <c r="F42" s="3">
        <v>33.94</v>
      </c>
      <c r="G42" s="3" t="s">
        <v>9</v>
      </c>
      <c r="H42" s="4">
        <v>0</v>
      </c>
      <c r="I42" s="4">
        <v>0</v>
      </c>
      <c r="J42" s="4">
        <v>0</v>
      </c>
      <c r="K42" s="3">
        <v>31.18</v>
      </c>
      <c r="L42" s="3">
        <v>3.323</v>
      </c>
      <c r="M42" s="3" t="s">
        <v>9</v>
      </c>
    </row>
    <row r="43" spans="1:13" x14ac:dyDescent="0.35">
      <c r="A43" s="3" t="s">
        <v>6</v>
      </c>
      <c r="B43" s="3" t="s">
        <v>49</v>
      </c>
      <c r="C43" s="3" t="s">
        <v>8</v>
      </c>
      <c r="D43" s="3" t="s">
        <v>114</v>
      </c>
      <c r="E43" s="3">
        <v>4</v>
      </c>
      <c r="F43" s="3">
        <v>34.590000000000003</v>
      </c>
      <c r="G43" s="3" t="s">
        <v>9</v>
      </c>
      <c r="H43" s="4">
        <v>0</v>
      </c>
      <c r="I43" s="4">
        <v>0</v>
      </c>
      <c r="J43" s="4">
        <v>0</v>
      </c>
      <c r="K43" s="3">
        <v>31.18</v>
      </c>
      <c r="L43" s="3">
        <v>3.323</v>
      </c>
      <c r="M43" s="3" t="s">
        <v>9</v>
      </c>
    </row>
    <row r="44" spans="1:13" x14ac:dyDescent="0.35">
      <c r="A44" s="3" t="s">
        <v>6</v>
      </c>
      <c r="B44" s="3" t="s">
        <v>50</v>
      </c>
      <c r="C44" s="3" t="s">
        <v>8</v>
      </c>
      <c r="D44" s="3" t="s">
        <v>114</v>
      </c>
      <c r="E44" s="3">
        <v>4</v>
      </c>
      <c r="F44" s="3">
        <v>34.880000000000003</v>
      </c>
      <c r="G44" s="3" t="s">
        <v>9</v>
      </c>
      <c r="H44" s="4">
        <v>0</v>
      </c>
      <c r="I44" s="4">
        <v>0</v>
      </c>
      <c r="J44" s="4">
        <v>0</v>
      </c>
      <c r="K44" s="3">
        <v>31.18</v>
      </c>
      <c r="L44" s="3">
        <v>3.323</v>
      </c>
      <c r="M44" s="3" t="s">
        <v>9</v>
      </c>
    </row>
    <row r="45" spans="1:13" x14ac:dyDescent="0.35">
      <c r="A45" s="3" t="s">
        <v>6</v>
      </c>
      <c r="B45" s="3" t="s">
        <v>51</v>
      </c>
      <c r="C45" s="3" t="s">
        <v>8</v>
      </c>
      <c r="D45" s="3" t="s">
        <v>114</v>
      </c>
      <c r="E45" s="3">
        <v>4</v>
      </c>
      <c r="F45" s="3">
        <v>28.44</v>
      </c>
      <c r="G45" s="3" t="s">
        <v>9</v>
      </c>
      <c r="H45" s="4">
        <v>0</v>
      </c>
      <c r="I45" s="4">
        <v>0</v>
      </c>
      <c r="J45" s="4">
        <v>0</v>
      </c>
      <c r="K45" s="3">
        <v>31.18</v>
      </c>
      <c r="L45" s="3">
        <v>3.323</v>
      </c>
      <c r="M45" s="3" t="s">
        <v>9</v>
      </c>
    </row>
    <row r="46" spans="1:13" x14ac:dyDescent="0.35">
      <c r="A46" s="3" t="s">
        <v>6</v>
      </c>
      <c r="B46" s="3" t="s">
        <v>52</v>
      </c>
      <c r="C46" s="3" t="s">
        <v>8</v>
      </c>
      <c r="D46" s="3" t="s">
        <v>114</v>
      </c>
      <c r="E46" s="3">
        <v>4</v>
      </c>
      <c r="F46" s="3">
        <v>28.64</v>
      </c>
      <c r="G46" s="3" t="s">
        <v>9</v>
      </c>
      <c r="H46" s="4">
        <v>0</v>
      </c>
      <c r="I46" s="4">
        <v>0</v>
      </c>
      <c r="J46" s="4">
        <v>0</v>
      </c>
      <c r="K46" s="3">
        <v>31.18</v>
      </c>
      <c r="L46" s="3">
        <v>3.323</v>
      </c>
      <c r="M46" s="3" t="s">
        <v>9</v>
      </c>
    </row>
    <row r="47" spans="1:13" x14ac:dyDescent="0.35">
      <c r="A47" s="3" t="s">
        <v>6</v>
      </c>
      <c r="B47" s="3" t="s">
        <v>53</v>
      </c>
      <c r="C47" s="3" t="s">
        <v>8</v>
      </c>
      <c r="D47" s="3" t="s">
        <v>114</v>
      </c>
      <c r="E47" s="3">
        <v>4</v>
      </c>
      <c r="F47" s="3">
        <v>27.99</v>
      </c>
      <c r="G47" s="3" t="s">
        <v>9</v>
      </c>
      <c r="H47" s="4">
        <v>0</v>
      </c>
      <c r="I47" s="4">
        <v>0</v>
      </c>
      <c r="J47" s="4">
        <v>0</v>
      </c>
      <c r="K47" s="3">
        <v>31.18</v>
      </c>
      <c r="L47" s="3">
        <v>3.323</v>
      </c>
      <c r="M47" s="3" t="s">
        <v>9</v>
      </c>
    </row>
    <row r="48" spans="1:13" x14ac:dyDescent="0.35">
      <c r="A48" s="3" t="s">
        <v>6</v>
      </c>
      <c r="B48" s="3" t="s">
        <v>54</v>
      </c>
      <c r="C48" s="3" t="s">
        <v>8</v>
      </c>
      <c r="D48" s="3" t="s">
        <v>114</v>
      </c>
      <c r="E48" s="3">
        <v>4</v>
      </c>
      <c r="F48" s="3">
        <v>27.42</v>
      </c>
      <c r="G48" s="3" t="s">
        <v>9</v>
      </c>
      <c r="H48" s="4">
        <v>0</v>
      </c>
      <c r="I48" s="4">
        <v>0</v>
      </c>
      <c r="J48" s="4">
        <v>0</v>
      </c>
      <c r="K48" s="3">
        <v>31.18</v>
      </c>
      <c r="L48" s="3">
        <v>3.323</v>
      </c>
      <c r="M48" s="3" t="s">
        <v>9</v>
      </c>
    </row>
    <row r="49" spans="1:13" x14ac:dyDescent="0.35">
      <c r="A49" s="3" t="s">
        <v>6</v>
      </c>
      <c r="B49" s="3" t="s">
        <v>55</v>
      </c>
      <c r="C49" s="3" t="s">
        <v>8</v>
      </c>
      <c r="D49" s="3" t="s">
        <v>114</v>
      </c>
      <c r="E49" s="3">
        <v>4</v>
      </c>
      <c r="F49" s="3">
        <v>27.39</v>
      </c>
      <c r="G49" s="3" t="s">
        <v>9</v>
      </c>
      <c r="H49" s="4">
        <v>0</v>
      </c>
      <c r="I49" s="4">
        <v>0</v>
      </c>
      <c r="J49" s="4">
        <v>0</v>
      </c>
      <c r="K49" s="3">
        <v>31.18</v>
      </c>
      <c r="L49" s="3">
        <v>3.323</v>
      </c>
      <c r="M49" s="3" t="s">
        <v>9</v>
      </c>
    </row>
    <row r="50" spans="1:13" x14ac:dyDescent="0.35">
      <c r="A50" s="3" t="s">
        <v>6</v>
      </c>
      <c r="B50" s="3" t="s">
        <v>56</v>
      </c>
      <c r="C50" s="3" t="s">
        <v>8</v>
      </c>
      <c r="D50" s="3" t="s">
        <v>114</v>
      </c>
      <c r="E50" s="3">
        <v>4</v>
      </c>
      <c r="F50" s="3">
        <v>28.37</v>
      </c>
      <c r="G50" s="3" t="s">
        <v>9</v>
      </c>
      <c r="H50" s="4">
        <v>0</v>
      </c>
      <c r="I50" s="4">
        <v>0</v>
      </c>
      <c r="J50" s="4">
        <v>0</v>
      </c>
      <c r="K50" s="3">
        <v>31.18</v>
      </c>
      <c r="L50" s="3">
        <v>3.323</v>
      </c>
      <c r="M50" s="3" t="s">
        <v>9</v>
      </c>
    </row>
    <row r="51" spans="1:13" x14ac:dyDescent="0.35">
      <c r="A51" s="3" t="s">
        <v>6</v>
      </c>
      <c r="B51" s="3" t="s">
        <v>57</v>
      </c>
      <c r="C51" s="3" t="s">
        <v>8</v>
      </c>
      <c r="D51" s="3" t="s">
        <v>114</v>
      </c>
      <c r="E51" s="3">
        <v>5</v>
      </c>
      <c r="F51" s="3">
        <v>30.15</v>
      </c>
      <c r="G51" s="3" t="s">
        <v>9</v>
      </c>
      <c r="H51" s="4">
        <v>0</v>
      </c>
      <c r="I51" s="4">
        <v>0</v>
      </c>
      <c r="J51" s="4">
        <v>0</v>
      </c>
      <c r="K51" s="3">
        <v>30.86</v>
      </c>
      <c r="L51" s="3">
        <v>0.73199999999999998</v>
      </c>
      <c r="M51" s="3" t="s">
        <v>9</v>
      </c>
    </row>
    <row r="52" spans="1:13" x14ac:dyDescent="0.35">
      <c r="A52" s="3" t="s">
        <v>6</v>
      </c>
      <c r="B52" s="3" t="s">
        <v>58</v>
      </c>
      <c r="C52" s="3" t="s">
        <v>8</v>
      </c>
      <c r="D52" s="3" t="s">
        <v>114</v>
      </c>
      <c r="E52" s="3">
        <v>5</v>
      </c>
      <c r="F52" s="3">
        <v>29.84</v>
      </c>
      <c r="G52" s="3" t="s">
        <v>9</v>
      </c>
      <c r="H52" s="4">
        <v>0</v>
      </c>
      <c r="I52" s="4">
        <v>0</v>
      </c>
      <c r="J52" s="4">
        <v>0</v>
      </c>
      <c r="K52" s="3">
        <v>30.86</v>
      </c>
      <c r="L52" s="3">
        <v>0.73199999999999998</v>
      </c>
      <c r="M52" s="3" t="s">
        <v>9</v>
      </c>
    </row>
    <row r="53" spans="1:13" x14ac:dyDescent="0.35">
      <c r="A53" s="3" t="s">
        <v>6</v>
      </c>
      <c r="B53" s="3" t="s">
        <v>59</v>
      </c>
      <c r="C53" s="3" t="s">
        <v>8</v>
      </c>
      <c r="D53" s="3" t="s">
        <v>114</v>
      </c>
      <c r="E53" s="3">
        <v>5</v>
      </c>
      <c r="F53" s="3">
        <v>29.79</v>
      </c>
      <c r="G53" s="3" t="s">
        <v>9</v>
      </c>
      <c r="H53" s="4">
        <v>0</v>
      </c>
      <c r="I53" s="4">
        <v>0</v>
      </c>
      <c r="J53" s="4">
        <v>0</v>
      </c>
      <c r="K53" s="3">
        <v>30.86</v>
      </c>
      <c r="L53" s="3">
        <v>0.73199999999999998</v>
      </c>
      <c r="M53" s="3" t="s">
        <v>9</v>
      </c>
    </row>
    <row r="54" spans="1:13" x14ac:dyDescent="0.35">
      <c r="A54" s="3" t="s">
        <v>6</v>
      </c>
      <c r="B54" s="3" t="s">
        <v>60</v>
      </c>
      <c r="C54" s="3" t="s">
        <v>8</v>
      </c>
      <c r="D54" s="3" t="s">
        <v>114</v>
      </c>
      <c r="E54" s="3">
        <v>5</v>
      </c>
      <c r="F54" s="3">
        <v>31.95</v>
      </c>
      <c r="G54" s="3" t="s">
        <v>9</v>
      </c>
      <c r="H54" s="4">
        <v>0</v>
      </c>
      <c r="I54" s="4">
        <v>0</v>
      </c>
      <c r="J54" s="4">
        <v>0</v>
      </c>
      <c r="K54" s="3">
        <v>30.86</v>
      </c>
      <c r="L54" s="3">
        <v>0.73199999999999998</v>
      </c>
      <c r="M54" s="3" t="s">
        <v>9</v>
      </c>
    </row>
    <row r="55" spans="1:13" x14ac:dyDescent="0.35">
      <c r="A55" s="3" t="s">
        <v>6</v>
      </c>
      <c r="B55" s="3" t="s">
        <v>61</v>
      </c>
      <c r="C55" s="3" t="s">
        <v>8</v>
      </c>
      <c r="D55" s="3" t="s">
        <v>114</v>
      </c>
      <c r="E55" s="3">
        <v>5</v>
      </c>
      <c r="F55" s="3">
        <v>31.37</v>
      </c>
      <c r="G55" s="3" t="s">
        <v>9</v>
      </c>
      <c r="H55" s="4">
        <v>0</v>
      </c>
      <c r="I55" s="4">
        <v>0</v>
      </c>
      <c r="J55" s="4">
        <v>0</v>
      </c>
      <c r="K55" s="3">
        <v>30.86</v>
      </c>
      <c r="L55" s="3">
        <v>0.73199999999999998</v>
      </c>
      <c r="M55" s="3" t="s">
        <v>9</v>
      </c>
    </row>
    <row r="56" spans="1:13" x14ac:dyDescent="0.35">
      <c r="A56" s="3" t="s">
        <v>6</v>
      </c>
      <c r="B56" s="3" t="s">
        <v>62</v>
      </c>
      <c r="C56" s="3" t="s">
        <v>8</v>
      </c>
      <c r="D56" s="3" t="s">
        <v>114</v>
      </c>
      <c r="E56" s="3">
        <v>5</v>
      </c>
      <c r="F56" s="3">
        <v>31.06</v>
      </c>
      <c r="G56" s="3" t="s">
        <v>9</v>
      </c>
      <c r="H56" s="4">
        <v>0</v>
      </c>
      <c r="I56" s="4">
        <v>0</v>
      </c>
      <c r="J56" s="4">
        <v>0</v>
      </c>
      <c r="K56" s="3">
        <v>30.86</v>
      </c>
      <c r="L56" s="3">
        <v>0.73199999999999998</v>
      </c>
      <c r="M56" s="3" t="s">
        <v>9</v>
      </c>
    </row>
    <row r="57" spans="1:13" x14ac:dyDescent="0.35">
      <c r="A57" s="3" t="s">
        <v>6</v>
      </c>
      <c r="B57" s="3" t="s">
        <v>63</v>
      </c>
      <c r="C57" s="3" t="s">
        <v>8</v>
      </c>
      <c r="D57" s="3" t="s">
        <v>114</v>
      </c>
      <c r="E57" s="3">
        <v>5</v>
      </c>
      <c r="F57" s="3">
        <v>30.89</v>
      </c>
      <c r="G57" s="3" t="s">
        <v>9</v>
      </c>
      <c r="H57" s="4">
        <v>0</v>
      </c>
      <c r="I57" s="4">
        <v>0</v>
      </c>
      <c r="J57" s="4">
        <v>0</v>
      </c>
      <c r="K57" s="3">
        <v>30.86</v>
      </c>
      <c r="L57" s="3">
        <v>0.73199999999999998</v>
      </c>
      <c r="M57" s="3" t="s">
        <v>9</v>
      </c>
    </row>
    <row r="58" spans="1:13" x14ac:dyDescent="0.35">
      <c r="A58" s="3" t="s">
        <v>6</v>
      </c>
      <c r="B58" s="3" t="s">
        <v>64</v>
      </c>
      <c r="C58" s="3" t="s">
        <v>8</v>
      </c>
      <c r="D58" s="3" t="s">
        <v>114</v>
      </c>
      <c r="E58" s="3">
        <v>5</v>
      </c>
      <c r="F58" s="3">
        <v>30.71</v>
      </c>
      <c r="G58" s="3" t="s">
        <v>9</v>
      </c>
      <c r="H58" s="4">
        <v>0</v>
      </c>
      <c r="I58" s="4">
        <v>0</v>
      </c>
      <c r="J58" s="4">
        <v>0</v>
      </c>
      <c r="K58" s="3">
        <v>30.86</v>
      </c>
      <c r="L58" s="3">
        <v>0.73199999999999998</v>
      </c>
      <c r="M58" s="3" t="s">
        <v>9</v>
      </c>
    </row>
    <row r="59" spans="1:13" x14ac:dyDescent="0.35">
      <c r="A59" s="3" t="s">
        <v>6</v>
      </c>
      <c r="B59" s="3" t="s">
        <v>65</v>
      </c>
      <c r="C59" s="3" t="s">
        <v>8</v>
      </c>
      <c r="D59" s="3" t="s">
        <v>114</v>
      </c>
      <c r="E59" s="3">
        <v>5</v>
      </c>
      <c r="F59" s="3">
        <v>31.09</v>
      </c>
      <c r="G59" s="3" t="s">
        <v>9</v>
      </c>
      <c r="H59" s="4">
        <v>0</v>
      </c>
      <c r="I59" s="4">
        <v>0</v>
      </c>
      <c r="J59" s="4">
        <v>0</v>
      </c>
      <c r="K59" s="3">
        <v>30.86</v>
      </c>
      <c r="L59" s="3">
        <v>0.73199999999999998</v>
      </c>
      <c r="M59" s="3" t="s">
        <v>9</v>
      </c>
    </row>
    <row r="60" spans="1:13" x14ac:dyDescent="0.35">
      <c r="A60" s="3" t="s">
        <v>6</v>
      </c>
      <c r="B60" s="3" t="s">
        <v>66</v>
      </c>
      <c r="C60" s="3" t="s">
        <v>8</v>
      </c>
      <c r="D60" s="3" t="s">
        <v>114</v>
      </c>
      <c r="E60" s="3">
        <v>5</v>
      </c>
      <c r="F60" s="3">
        <v>30.32</v>
      </c>
      <c r="G60" s="3" t="s">
        <v>9</v>
      </c>
      <c r="H60" s="4">
        <v>0</v>
      </c>
      <c r="I60" s="4">
        <v>0</v>
      </c>
      <c r="J60" s="4">
        <v>0</v>
      </c>
      <c r="K60" s="3">
        <v>30.86</v>
      </c>
      <c r="L60" s="3">
        <v>0.73199999999999998</v>
      </c>
      <c r="M60" s="3" t="s">
        <v>9</v>
      </c>
    </row>
    <row r="61" spans="1:13" x14ac:dyDescent="0.35">
      <c r="A61" s="3" t="s">
        <v>6</v>
      </c>
      <c r="B61" s="3" t="s">
        <v>67</v>
      </c>
      <c r="C61" s="3" t="s">
        <v>8</v>
      </c>
      <c r="D61" s="3" t="s">
        <v>114</v>
      </c>
      <c r="E61" s="3">
        <v>5</v>
      </c>
      <c r="F61" s="3">
        <v>31.98</v>
      </c>
      <c r="G61" s="3" t="s">
        <v>9</v>
      </c>
      <c r="H61" s="4">
        <v>0</v>
      </c>
      <c r="I61" s="4">
        <v>0</v>
      </c>
      <c r="J61" s="4">
        <v>0</v>
      </c>
      <c r="K61" s="3">
        <v>30.86</v>
      </c>
      <c r="L61" s="3">
        <v>0.73199999999999998</v>
      </c>
      <c r="M61" s="3" t="s">
        <v>9</v>
      </c>
    </row>
    <row r="62" spans="1:13" x14ac:dyDescent="0.35">
      <c r="A62" s="3" t="s">
        <v>6</v>
      </c>
      <c r="B62" s="3" t="s">
        <v>68</v>
      </c>
      <c r="C62" s="3" t="s">
        <v>8</v>
      </c>
      <c r="D62" s="3" t="s">
        <v>114</v>
      </c>
      <c r="E62" s="3">
        <v>5</v>
      </c>
      <c r="F62" s="3">
        <v>31.17</v>
      </c>
      <c r="G62" s="3" t="s">
        <v>9</v>
      </c>
      <c r="H62" s="4">
        <v>0</v>
      </c>
      <c r="I62" s="4">
        <v>0</v>
      </c>
      <c r="J62" s="4">
        <v>0</v>
      </c>
      <c r="K62" s="3">
        <v>30.86</v>
      </c>
      <c r="L62" s="3">
        <v>0.73199999999999998</v>
      </c>
      <c r="M62" s="3" t="s">
        <v>9</v>
      </c>
    </row>
    <row r="63" spans="1:13" x14ac:dyDescent="0.35">
      <c r="A63" s="3" t="s">
        <v>6</v>
      </c>
      <c r="B63" s="3" t="s">
        <v>69</v>
      </c>
      <c r="C63" s="3" t="s">
        <v>8</v>
      </c>
      <c r="D63" s="3" t="s">
        <v>114</v>
      </c>
      <c r="E63" s="3">
        <v>6</v>
      </c>
      <c r="F63" s="3">
        <v>31.99</v>
      </c>
      <c r="G63" s="3" t="s">
        <v>9</v>
      </c>
      <c r="H63" s="4">
        <v>0</v>
      </c>
      <c r="I63" s="4">
        <v>0</v>
      </c>
      <c r="J63" s="4">
        <v>0</v>
      </c>
      <c r="K63" s="3">
        <v>28.99</v>
      </c>
      <c r="L63" s="3">
        <v>2.65</v>
      </c>
      <c r="M63" s="3" t="s">
        <v>9</v>
      </c>
    </row>
    <row r="64" spans="1:13" x14ac:dyDescent="0.35">
      <c r="A64" s="3" t="s">
        <v>6</v>
      </c>
      <c r="B64" s="3" t="s">
        <v>70</v>
      </c>
      <c r="C64" s="3" t="s">
        <v>8</v>
      </c>
      <c r="D64" s="3" t="s">
        <v>114</v>
      </c>
      <c r="E64" s="3">
        <v>6</v>
      </c>
      <c r="F64" s="3">
        <v>32.67</v>
      </c>
      <c r="G64" s="3" t="s">
        <v>9</v>
      </c>
      <c r="H64" s="4">
        <v>0</v>
      </c>
      <c r="I64" s="4">
        <v>0</v>
      </c>
      <c r="J64" s="4">
        <v>0</v>
      </c>
      <c r="K64" s="3">
        <v>28.99</v>
      </c>
      <c r="L64" s="3">
        <v>2.65</v>
      </c>
      <c r="M64" s="3" t="s">
        <v>9</v>
      </c>
    </row>
    <row r="65" spans="1:13" x14ac:dyDescent="0.35">
      <c r="A65" s="3" t="s">
        <v>6</v>
      </c>
      <c r="B65" s="3" t="s">
        <v>71</v>
      </c>
      <c r="C65" s="3" t="s">
        <v>8</v>
      </c>
      <c r="D65" s="3" t="s">
        <v>114</v>
      </c>
      <c r="E65" s="3">
        <v>6</v>
      </c>
      <c r="F65" s="3">
        <v>30.86</v>
      </c>
      <c r="G65" s="3" t="s">
        <v>9</v>
      </c>
      <c r="H65" s="4">
        <v>0</v>
      </c>
      <c r="I65" s="4">
        <v>0</v>
      </c>
      <c r="J65" s="4">
        <v>0</v>
      </c>
      <c r="K65" s="3">
        <v>28.99</v>
      </c>
      <c r="L65" s="3">
        <v>2.65</v>
      </c>
      <c r="M65" s="3" t="s">
        <v>9</v>
      </c>
    </row>
    <row r="66" spans="1:13" x14ac:dyDescent="0.35">
      <c r="A66" s="3" t="s">
        <v>6</v>
      </c>
      <c r="B66" s="3" t="s">
        <v>72</v>
      </c>
      <c r="C66" s="3" t="s">
        <v>8</v>
      </c>
      <c r="D66" s="3" t="s">
        <v>114</v>
      </c>
      <c r="E66" s="3">
        <v>6</v>
      </c>
      <c r="F66" s="3">
        <v>31.46</v>
      </c>
      <c r="G66" s="3" t="s">
        <v>9</v>
      </c>
      <c r="H66" s="4">
        <v>0</v>
      </c>
      <c r="I66" s="4">
        <v>0</v>
      </c>
      <c r="J66" s="4">
        <v>0</v>
      </c>
      <c r="K66" s="3">
        <v>28.99</v>
      </c>
      <c r="L66" s="3">
        <v>2.65</v>
      </c>
      <c r="M66" s="3" t="s">
        <v>9</v>
      </c>
    </row>
    <row r="67" spans="1:13" x14ac:dyDescent="0.35">
      <c r="A67" s="3" t="s">
        <v>6</v>
      </c>
      <c r="B67" s="3" t="s">
        <v>73</v>
      </c>
      <c r="C67" s="3" t="s">
        <v>8</v>
      </c>
      <c r="D67" s="3" t="s">
        <v>114</v>
      </c>
      <c r="E67" s="3">
        <v>6</v>
      </c>
      <c r="F67" s="3">
        <v>32.22</v>
      </c>
      <c r="G67" s="3" t="s">
        <v>9</v>
      </c>
      <c r="H67" s="4">
        <v>0</v>
      </c>
      <c r="I67" s="4">
        <v>0</v>
      </c>
      <c r="J67" s="4">
        <v>0</v>
      </c>
      <c r="K67" s="3">
        <v>28.99</v>
      </c>
      <c r="L67" s="3">
        <v>2.65</v>
      </c>
      <c r="M67" s="3" t="s">
        <v>9</v>
      </c>
    </row>
    <row r="68" spans="1:13" x14ac:dyDescent="0.35">
      <c r="A68" s="3" t="s">
        <v>6</v>
      </c>
      <c r="B68" s="3" t="s">
        <v>74</v>
      </c>
      <c r="C68" s="3" t="s">
        <v>8</v>
      </c>
      <c r="D68" s="3" t="s">
        <v>114</v>
      </c>
      <c r="E68" s="3">
        <v>6</v>
      </c>
      <c r="F68" s="3">
        <v>29.09</v>
      </c>
      <c r="G68" s="3" t="s">
        <v>9</v>
      </c>
      <c r="H68" s="4">
        <v>0</v>
      </c>
      <c r="I68" s="4">
        <v>0</v>
      </c>
      <c r="J68" s="4">
        <v>0</v>
      </c>
      <c r="K68" s="3">
        <v>28.99</v>
      </c>
      <c r="L68" s="3">
        <v>2.65</v>
      </c>
      <c r="M68" s="3" t="s">
        <v>9</v>
      </c>
    </row>
    <row r="69" spans="1:13" x14ac:dyDescent="0.35">
      <c r="A69" s="3" t="s">
        <v>6</v>
      </c>
      <c r="B69" s="3" t="s">
        <v>75</v>
      </c>
      <c r="C69" s="3" t="s">
        <v>8</v>
      </c>
      <c r="D69" s="3" t="s">
        <v>114</v>
      </c>
      <c r="E69" s="3">
        <v>6</v>
      </c>
      <c r="F69" s="3">
        <v>26.98</v>
      </c>
      <c r="G69" s="3" t="s">
        <v>9</v>
      </c>
      <c r="H69" s="4">
        <v>0</v>
      </c>
      <c r="I69" s="4">
        <v>0</v>
      </c>
      <c r="J69" s="4">
        <v>0</v>
      </c>
      <c r="K69" s="3">
        <v>28.99</v>
      </c>
      <c r="L69" s="3">
        <v>2.65</v>
      </c>
      <c r="M69" s="3" t="s">
        <v>9</v>
      </c>
    </row>
    <row r="70" spans="1:13" x14ac:dyDescent="0.35">
      <c r="A70" s="3" t="s">
        <v>6</v>
      </c>
      <c r="B70" s="3" t="s">
        <v>76</v>
      </c>
      <c r="C70" s="3" t="s">
        <v>8</v>
      </c>
      <c r="D70" s="3" t="s">
        <v>114</v>
      </c>
      <c r="E70" s="3">
        <v>6</v>
      </c>
      <c r="F70" s="3">
        <v>26.48</v>
      </c>
      <c r="G70" s="3" t="s">
        <v>9</v>
      </c>
      <c r="H70" s="4">
        <v>0</v>
      </c>
      <c r="I70" s="4">
        <v>0</v>
      </c>
      <c r="J70" s="4">
        <v>0</v>
      </c>
      <c r="K70" s="3">
        <v>28.99</v>
      </c>
      <c r="L70" s="3">
        <v>2.65</v>
      </c>
      <c r="M70" s="3" t="s">
        <v>9</v>
      </c>
    </row>
    <row r="71" spans="1:13" x14ac:dyDescent="0.35">
      <c r="A71" s="3" t="s">
        <v>6</v>
      </c>
      <c r="B71" s="3" t="s">
        <v>77</v>
      </c>
      <c r="C71" s="3" t="s">
        <v>8</v>
      </c>
      <c r="D71" s="3" t="s">
        <v>114</v>
      </c>
      <c r="E71" s="3">
        <v>6</v>
      </c>
      <c r="F71" s="3">
        <v>26.62</v>
      </c>
      <c r="G71" s="3" t="s">
        <v>9</v>
      </c>
      <c r="H71" s="4">
        <v>0</v>
      </c>
      <c r="I71" s="4">
        <v>0</v>
      </c>
      <c r="J71" s="4">
        <v>0</v>
      </c>
      <c r="K71" s="3">
        <v>28.99</v>
      </c>
      <c r="L71" s="3">
        <v>2.65</v>
      </c>
      <c r="M71" s="3" t="s">
        <v>9</v>
      </c>
    </row>
    <row r="72" spans="1:13" x14ac:dyDescent="0.35">
      <c r="A72" s="3" t="s">
        <v>6</v>
      </c>
      <c r="B72" s="3" t="s">
        <v>78</v>
      </c>
      <c r="C72" s="3" t="s">
        <v>8</v>
      </c>
      <c r="D72" s="3" t="s">
        <v>114</v>
      </c>
      <c r="E72" s="3">
        <v>6</v>
      </c>
      <c r="F72" s="3">
        <v>26.24</v>
      </c>
      <c r="G72" s="3" t="s">
        <v>9</v>
      </c>
      <c r="H72" s="4">
        <v>0</v>
      </c>
      <c r="I72" s="4">
        <v>0</v>
      </c>
      <c r="J72" s="4">
        <v>0</v>
      </c>
      <c r="K72" s="3">
        <v>28.99</v>
      </c>
      <c r="L72" s="3">
        <v>2.65</v>
      </c>
      <c r="M72" s="3" t="s">
        <v>9</v>
      </c>
    </row>
    <row r="73" spans="1:13" x14ac:dyDescent="0.35">
      <c r="A73" s="3" t="s">
        <v>6</v>
      </c>
      <c r="B73" s="3" t="s">
        <v>79</v>
      </c>
      <c r="C73" s="3" t="s">
        <v>8</v>
      </c>
      <c r="D73" s="3" t="s">
        <v>114</v>
      </c>
      <c r="E73" s="3">
        <v>6</v>
      </c>
      <c r="F73" s="3">
        <v>26.58</v>
      </c>
      <c r="G73" s="3" t="s">
        <v>9</v>
      </c>
      <c r="H73" s="4">
        <v>0</v>
      </c>
      <c r="I73" s="4">
        <v>0</v>
      </c>
      <c r="J73" s="4">
        <v>0</v>
      </c>
      <c r="K73" s="3">
        <v>28.99</v>
      </c>
      <c r="L73" s="3">
        <v>2.65</v>
      </c>
      <c r="M73" s="3" t="s">
        <v>9</v>
      </c>
    </row>
    <row r="74" spans="1:13" x14ac:dyDescent="0.35">
      <c r="A74" s="3" t="s">
        <v>6</v>
      </c>
      <c r="B74" s="3" t="s">
        <v>80</v>
      </c>
      <c r="C74" s="3" t="s">
        <v>8</v>
      </c>
      <c r="D74" s="3" t="s">
        <v>114</v>
      </c>
      <c r="E74" s="3">
        <v>6</v>
      </c>
      <c r="F74" s="3">
        <v>26.67</v>
      </c>
      <c r="G74" s="3" t="s">
        <v>9</v>
      </c>
      <c r="H74" s="4">
        <v>0</v>
      </c>
      <c r="I74" s="4">
        <v>0</v>
      </c>
      <c r="J74" s="4">
        <v>0</v>
      </c>
      <c r="K74" s="3">
        <v>28.99</v>
      </c>
      <c r="L74" s="3">
        <v>2.65</v>
      </c>
      <c r="M74" s="3" t="s">
        <v>9</v>
      </c>
    </row>
    <row r="75" spans="1:13" x14ac:dyDescent="0.35">
      <c r="A75" s="3" t="s">
        <v>6</v>
      </c>
      <c r="B75" s="3" t="s">
        <v>81</v>
      </c>
      <c r="C75" s="3" t="s">
        <v>8</v>
      </c>
      <c r="D75" s="3" t="s">
        <v>114</v>
      </c>
      <c r="E75" s="3">
        <v>7</v>
      </c>
      <c r="F75" s="3">
        <v>27.72</v>
      </c>
      <c r="G75" s="3" t="s">
        <v>9</v>
      </c>
      <c r="H75" s="4">
        <v>0</v>
      </c>
      <c r="I75" s="4">
        <v>0</v>
      </c>
      <c r="J75" s="4">
        <v>0</v>
      </c>
      <c r="K75" s="3">
        <v>27.35</v>
      </c>
      <c r="L75" s="3">
        <v>0.47299999999999998</v>
      </c>
      <c r="M75" s="3" t="s">
        <v>9</v>
      </c>
    </row>
    <row r="76" spans="1:13" x14ac:dyDescent="0.35">
      <c r="A76" s="3" t="s">
        <v>6</v>
      </c>
      <c r="B76" s="3" t="s">
        <v>82</v>
      </c>
      <c r="C76" s="3" t="s">
        <v>8</v>
      </c>
      <c r="D76" s="3" t="s">
        <v>114</v>
      </c>
      <c r="E76" s="3">
        <v>7</v>
      </c>
      <c r="F76" s="3">
        <v>27.83</v>
      </c>
      <c r="G76" s="3" t="s">
        <v>9</v>
      </c>
      <c r="H76" s="4">
        <v>0</v>
      </c>
      <c r="I76" s="4">
        <v>0</v>
      </c>
      <c r="J76" s="4">
        <v>0</v>
      </c>
      <c r="K76" s="3">
        <v>27.35</v>
      </c>
      <c r="L76" s="3">
        <v>0.47299999999999998</v>
      </c>
      <c r="M76" s="3" t="s">
        <v>9</v>
      </c>
    </row>
    <row r="77" spans="1:13" x14ac:dyDescent="0.35">
      <c r="A77" s="3" t="s">
        <v>6</v>
      </c>
      <c r="B77" s="3" t="s">
        <v>83</v>
      </c>
      <c r="C77" s="3" t="s">
        <v>8</v>
      </c>
      <c r="D77" s="3" t="s">
        <v>114</v>
      </c>
      <c r="E77" s="3">
        <v>7</v>
      </c>
      <c r="F77" s="3">
        <v>26.95</v>
      </c>
      <c r="G77" s="3" t="s">
        <v>9</v>
      </c>
      <c r="H77" s="4">
        <v>0</v>
      </c>
      <c r="I77" s="4">
        <v>0</v>
      </c>
      <c r="J77" s="4">
        <v>0</v>
      </c>
      <c r="K77" s="3">
        <v>27.35</v>
      </c>
      <c r="L77" s="3">
        <v>0.47299999999999998</v>
      </c>
      <c r="M77" s="3" t="s">
        <v>9</v>
      </c>
    </row>
    <row r="78" spans="1:13" x14ac:dyDescent="0.35">
      <c r="A78" s="3" t="s">
        <v>6</v>
      </c>
      <c r="B78" s="3" t="s">
        <v>84</v>
      </c>
      <c r="C78" s="3" t="s">
        <v>8</v>
      </c>
      <c r="D78" s="3" t="s">
        <v>114</v>
      </c>
      <c r="E78" s="3">
        <v>7</v>
      </c>
      <c r="F78" s="3">
        <v>26.77</v>
      </c>
      <c r="G78" s="3" t="s">
        <v>9</v>
      </c>
      <c r="H78" s="4">
        <v>0</v>
      </c>
      <c r="I78" s="4">
        <v>0</v>
      </c>
      <c r="J78" s="4">
        <v>0</v>
      </c>
      <c r="K78" s="3">
        <v>27.35</v>
      </c>
      <c r="L78" s="3">
        <v>0.47299999999999998</v>
      </c>
      <c r="M78" s="3" t="s">
        <v>9</v>
      </c>
    </row>
    <row r="79" spans="1:13" x14ac:dyDescent="0.35">
      <c r="A79" s="3" t="s">
        <v>6</v>
      </c>
      <c r="B79" s="3" t="s">
        <v>85</v>
      </c>
      <c r="C79" s="3" t="s">
        <v>8</v>
      </c>
      <c r="D79" s="3" t="s">
        <v>114</v>
      </c>
      <c r="E79" s="3">
        <v>7</v>
      </c>
      <c r="F79" s="3">
        <v>26.58</v>
      </c>
      <c r="G79" s="3" t="s">
        <v>9</v>
      </c>
      <c r="H79" s="4">
        <v>0</v>
      </c>
      <c r="I79" s="4">
        <v>0</v>
      </c>
      <c r="J79" s="4">
        <v>0</v>
      </c>
      <c r="K79" s="3">
        <v>27.35</v>
      </c>
      <c r="L79" s="3">
        <v>0.47299999999999998</v>
      </c>
      <c r="M79" s="3" t="s">
        <v>9</v>
      </c>
    </row>
    <row r="80" spans="1:13" x14ac:dyDescent="0.35">
      <c r="A80" s="3" t="s">
        <v>6</v>
      </c>
      <c r="B80" s="3" t="s">
        <v>86</v>
      </c>
      <c r="C80" s="3" t="s">
        <v>8</v>
      </c>
      <c r="D80" s="3" t="s">
        <v>114</v>
      </c>
      <c r="E80" s="3">
        <v>7</v>
      </c>
      <c r="F80" s="3">
        <v>26.87</v>
      </c>
      <c r="G80" s="3" t="s">
        <v>9</v>
      </c>
      <c r="H80" s="4">
        <v>0</v>
      </c>
      <c r="I80" s="4">
        <v>0</v>
      </c>
      <c r="J80" s="4">
        <v>0</v>
      </c>
      <c r="K80" s="3">
        <v>27.35</v>
      </c>
      <c r="L80" s="3">
        <v>0.47299999999999998</v>
      </c>
      <c r="M80" s="3" t="s">
        <v>9</v>
      </c>
    </row>
    <row r="81" spans="1:13" x14ac:dyDescent="0.35">
      <c r="A81" s="3" t="s">
        <v>6</v>
      </c>
      <c r="B81" s="3" t="s">
        <v>87</v>
      </c>
      <c r="C81" s="3" t="s">
        <v>8</v>
      </c>
      <c r="D81" s="3" t="s">
        <v>114</v>
      </c>
      <c r="E81" s="3">
        <v>7</v>
      </c>
      <c r="F81" s="3">
        <v>28.05</v>
      </c>
      <c r="G81" s="3" t="s">
        <v>9</v>
      </c>
      <c r="H81" s="4">
        <v>0</v>
      </c>
      <c r="I81" s="4">
        <v>0</v>
      </c>
      <c r="J81" s="4">
        <v>0</v>
      </c>
      <c r="K81" s="3">
        <v>27.35</v>
      </c>
      <c r="L81" s="3">
        <v>0.47299999999999998</v>
      </c>
      <c r="M81" s="3" t="s">
        <v>9</v>
      </c>
    </row>
    <row r="82" spans="1:13" x14ac:dyDescent="0.35">
      <c r="A82" s="3" t="s">
        <v>6</v>
      </c>
      <c r="B82" s="3" t="s">
        <v>88</v>
      </c>
      <c r="C82" s="3" t="s">
        <v>8</v>
      </c>
      <c r="D82" s="3" t="s">
        <v>114</v>
      </c>
      <c r="E82" s="3">
        <v>7</v>
      </c>
      <c r="F82" s="3">
        <v>27.71</v>
      </c>
      <c r="G82" s="3" t="s">
        <v>9</v>
      </c>
      <c r="H82" s="4">
        <v>0</v>
      </c>
      <c r="I82" s="4">
        <v>0</v>
      </c>
      <c r="J82" s="4">
        <v>0</v>
      </c>
      <c r="K82" s="3">
        <v>27.35</v>
      </c>
      <c r="L82" s="3">
        <v>0.47299999999999998</v>
      </c>
      <c r="M82" s="3" t="s">
        <v>9</v>
      </c>
    </row>
    <row r="83" spans="1:13" x14ac:dyDescent="0.35">
      <c r="A83" s="3" t="s">
        <v>6</v>
      </c>
      <c r="B83" s="3" t="s">
        <v>89</v>
      </c>
      <c r="C83" s="3" t="s">
        <v>8</v>
      </c>
      <c r="D83" s="3" t="s">
        <v>114</v>
      </c>
      <c r="E83" s="3">
        <v>7</v>
      </c>
      <c r="F83" s="3">
        <v>27.53</v>
      </c>
      <c r="G83" s="3" t="s">
        <v>9</v>
      </c>
      <c r="H83" s="4">
        <v>0</v>
      </c>
      <c r="I83" s="4">
        <v>0</v>
      </c>
      <c r="J83" s="4">
        <v>0</v>
      </c>
      <c r="K83" s="3">
        <v>27.35</v>
      </c>
      <c r="L83" s="3">
        <v>0.47299999999999998</v>
      </c>
      <c r="M83" s="3" t="s">
        <v>9</v>
      </c>
    </row>
    <row r="84" spans="1:13" x14ac:dyDescent="0.35">
      <c r="A84" s="3" t="s">
        <v>6</v>
      </c>
      <c r="B84" s="3" t="s">
        <v>90</v>
      </c>
      <c r="C84" s="3" t="s">
        <v>8</v>
      </c>
      <c r="D84" s="3" t="s">
        <v>114</v>
      </c>
      <c r="E84" s="3">
        <v>7</v>
      </c>
      <c r="F84" s="3">
        <v>27.29</v>
      </c>
      <c r="G84" s="3" t="s">
        <v>9</v>
      </c>
      <c r="H84" s="4">
        <v>0</v>
      </c>
      <c r="I84" s="4">
        <v>0</v>
      </c>
      <c r="J84" s="4">
        <v>0</v>
      </c>
      <c r="K84" s="3">
        <v>27.35</v>
      </c>
      <c r="L84" s="3">
        <v>0.47299999999999998</v>
      </c>
      <c r="M84" s="3" t="s">
        <v>9</v>
      </c>
    </row>
    <row r="85" spans="1:13" x14ac:dyDescent="0.35">
      <c r="A85" s="3" t="s">
        <v>6</v>
      </c>
      <c r="B85" s="3" t="s">
        <v>91</v>
      </c>
      <c r="C85" s="3" t="s">
        <v>8</v>
      </c>
      <c r="D85" s="3" t="s">
        <v>114</v>
      </c>
      <c r="E85" s="3">
        <v>7</v>
      </c>
      <c r="F85" s="3">
        <v>27.2</v>
      </c>
      <c r="G85" s="3" t="s">
        <v>9</v>
      </c>
      <c r="H85" s="4">
        <v>0</v>
      </c>
      <c r="I85" s="4">
        <v>0</v>
      </c>
      <c r="J85" s="4">
        <v>0</v>
      </c>
      <c r="K85" s="3">
        <v>27.35</v>
      </c>
      <c r="L85" s="3">
        <v>0.47299999999999998</v>
      </c>
      <c r="M85" s="3" t="s">
        <v>9</v>
      </c>
    </row>
    <row r="86" spans="1:13" x14ac:dyDescent="0.35">
      <c r="A86" s="3" t="s">
        <v>6</v>
      </c>
      <c r="B86" s="3" t="s">
        <v>92</v>
      </c>
      <c r="C86" s="3" t="s">
        <v>8</v>
      </c>
      <c r="D86" s="3" t="s">
        <v>114</v>
      </c>
      <c r="E86" s="3">
        <v>7</v>
      </c>
      <c r="F86" s="3">
        <v>27.67</v>
      </c>
      <c r="G86" s="3" t="s">
        <v>9</v>
      </c>
      <c r="H86" s="4">
        <v>0</v>
      </c>
      <c r="I86" s="4">
        <v>0</v>
      </c>
      <c r="J86" s="4">
        <v>0</v>
      </c>
      <c r="K86" s="3">
        <v>27.35</v>
      </c>
      <c r="L86" s="3">
        <v>0.47299999999999998</v>
      </c>
      <c r="M86" s="3" t="s">
        <v>9</v>
      </c>
    </row>
    <row r="87" spans="1:13" x14ac:dyDescent="0.35">
      <c r="A87" s="3" t="s">
        <v>6</v>
      </c>
      <c r="B87" s="3" t="s">
        <v>93</v>
      </c>
      <c r="C87" s="3" t="s">
        <v>8</v>
      </c>
      <c r="D87" s="3" t="s">
        <v>114</v>
      </c>
      <c r="E87" s="3">
        <v>8</v>
      </c>
      <c r="F87" s="3">
        <v>28.74</v>
      </c>
      <c r="G87" s="3" t="s">
        <v>9</v>
      </c>
      <c r="H87" s="4">
        <v>0</v>
      </c>
      <c r="I87" s="4">
        <v>0</v>
      </c>
      <c r="J87" s="4">
        <v>0</v>
      </c>
      <c r="K87" s="3">
        <v>28.34</v>
      </c>
      <c r="L87" s="3">
        <v>0.40699999999999997</v>
      </c>
      <c r="M87" s="3" t="s">
        <v>9</v>
      </c>
    </row>
    <row r="88" spans="1:13" x14ac:dyDescent="0.35">
      <c r="A88" s="3" t="s">
        <v>6</v>
      </c>
      <c r="B88" s="3" t="s">
        <v>94</v>
      </c>
      <c r="C88" s="3" t="s">
        <v>8</v>
      </c>
      <c r="D88" s="3" t="s">
        <v>114</v>
      </c>
      <c r="E88" s="3">
        <v>8</v>
      </c>
      <c r="F88" s="3">
        <v>28.46</v>
      </c>
      <c r="G88" s="3" t="s">
        <v>9</v>
      </c>
      <c r="H88" s="4">
        <v>0</v>
      </c>
      <c r="I88" s="4">
        <v>0</v>
      </c>
      <c r="J88" s="4">
        <v>0</v>
      </c>
      <c r="K88" s="3">
        <v>28.34</v>
      </c>
      <c r="L88" s="3">
        <v>0.40699999999999997</v>
      </c>
      <c r="M88" s="3" t="s">
        <v>9</v>
      </c>
    </row>
    <row r="89" spans="1:13" x14ac:dyDescent="0.35">
      <c r="A89" s="3" t="s">
        <v>6</v>
      </c>
      <c r="B89" s="3" t="s">
        <v>95</v>
      </c>
      <c r="C89" s="3" t="s">
        <v>8</v>
      </c>
      <c r="D89" s="3" t="s">
        <v>114</v>
      </c>
      <c r="E89" s="3">
        <v>8</v>
      </c>
      <c r="F89" s="3">
        <v>28.53</v>
      </c>
      <c r="G89" s="3" t="s">
        <v>9</v>
      </c>
      <c r="H89" s="4">
        <v>0</v>
      </c>
      <c r="I89" s="4">
        <v>0</v>
      </c>
      <c r="J89" s="4">
        <v>0</v>
      </c>
      <c r="K89" s="3">
        <v>28.34</v>
      </c>
      <c r="L89" s="3">
        <v>0.40699999999999997</v>
      </c>
      <c r="M89" s="3" t="s">
        <v>9</v>
      </c>
    </row>
    <row r="90" spans="1:13" x14ac:dyDescent="0.35">
      <c r="A90" s="3" t="s">
        <v>6</v>
      </c>
      <c r="B90" s="3" t="s">
        <v>96</v>
      </c>
      <c r="C90" s="3" t="s">
        <v>8</v>
      </c>
      <c r="D90" s="3" t="s">
        <v>114</v>
      </c>
      <c r="E90" s="3">
        <v>8</v>
      </c>
      <c r="F90" s="3">
        <v>27.65</v>
      </c>
      <c r="G90" s="3" t="s">
        <v>9</v>
      </c>
      <c r="H90" s="4">
        <v>0</v>
      </c>
      <c r="I90" s="4">
        <v>0</v>
      </c>
      <c r="J90" s="4">
        <v>0</v>
      </c>
      <c r="K90" s="3">
        <v>28.34</v>
      </c>
      <c r="L90" s="3">
        <v>0.40699999999999997</v>
      </c>
      <c r="M90" s="3" t="s">
        <v>9</v>
      </c>
    </row>
    <row r="91" spans="1:13" x14ac:dyDescent="0.35">
      <c r="A91" s="3" t="s">
        <v>6</v>
      </c>
      <c r="B91" s="3" t="s">
        <v>97</v>
      </c>
      <c r="C91" s="3" t="s">
        <v>8</v>
      </c>
      <c r="D91" s="3" t="s">
        <v>114</v>
      </c>
      <c r="E91" s="3">
        <v>8</v>
      </c>
      <c r="F91" s="3">
        <v>28.33</v>
      </c>
      <c r="G91" s="3" t="s">
        <v>9</v>
      </c>
      <c r="H91" s="4">
        <v>0</v>
      </c>
      <c r="I91" s="4">
        <v>0</v>
      </c>
      <c r="J91" s="4">
        <v>0</v>
      </c>
      <c r="K91" s="3">
        <v>28.34</v>
      </c>
      <c r="L91" s="3">
        <v>0.40699999999999997</v>
      </c>
      <c r="M91" s="3" t="s">
        <v>9</v>
      </c>
    </row>
    <row r="92" spans="1:13" x14ac:dyDescent="0.35">
      <c r="A92" s="3" t="s">
        <v>6</v>
      </c>
      <c r="B92" s="3" t="s">
        <v>98</v>
      </c>
      <c r="C92" s="3" t="s">
        <v>8</v>
      </c>
      <c r="D92" s="3" t="s">
        <v>114</v>
      </c>
      <c r="E92" s="3">
        <v>8</v>
      </c>
      <c r="F92" s="3">
        <v>28.07</v>
      </c>
      <c r="G92" s="3" t="s">
        <v>9</v>
      </c>
      <c r="H92" s="4">
        <v>0</v>
      </c>
      <c r="I92" s="4">
        <v>0</v>
      </c>
      <c r="J92" s="4">
        <v>0</v>
      </c>
      <c r="K92" s="3">
        <v>28.34</v>
      </c>
      <c r="L92" s="3">
        <v>0.40699999999999997</v>
      </c>
      <c r="M92" s="3" t="s">
        <v>9</v>
      </c>
    </row>
    <row r="93" spans="1:13" x14ac:dyDescent="0.35">
      <c r="A93" s="3" t="s">
        <v>6</v>
      </c>
      <c r="B93" s="3" t="s">
        <v>99</v>
      </c>
      <c r="C93" s="3" t="s">
        <v>8</v>
      </c>
      <c r="D93" s="3" t="s">
        <v>114</v>
      </c>
      <c r="E93" s="3">
        <v>8</v>
      </c>
      <c r="F93" s="3">
        <v>29.05</v>
      </c>
      <c r="G93" s="3" t="s">
        <v>9</v>
      </c>
      <c r="H93" s="4">
        <v>0</v>
      </c>
      <c r="I93" s="4">
        <v>0</v>
      </c>
      <c r="J93" s="4">
        <v>0</v>
      </c>
      <c r="K93" s="3">
        <v>28.34</v>
      </c>
      <c r="L93" s="3">
        <v>0.40699999999999997</v>
      </c>
      <c r="M93" s="3" t="s">
        <v>9</v>
      </c>
    </row>
    <row r="94" spans="1:13" x14ac:dyDescent="0.35">
      <c r="A94" s="3" t="s">
        <v>6</v>
      </c>
      <c r="B94" s="3" t="s">
        <v>100</v>
      </c>
      <c r="C94" s="3" t="s">
        <v>8</v>
      </c>
      <c r="D94" s="3" t="s">
        <v>114</v>
      </c>
      <c r="E94" s="3">
        <v>8</v>
      </c>
      <c r="F94" s="3">
        <v>28.69</v>
      </c>
      <c r="G94" s="3" t="s">
        <v>9</v>
      </c>
      <c r="H94" s="4">
        <v>0</v>
      </c>
      <c r="I94" s="4">
        <v>0</v>
      </c>
      <c r="J94" s="4">
        <v>0</v>
      </c>
      <c r="K94" s="3">
        <v>28.34</v>
      </c>
      <c r="L94" s="3">
        <v>0.40699999999999997</v>
      </c>
      <c r="M94" s="3" t="s">
        <v>9</v>
      </c>
    </row>
    <row r="95" spans="1:13" x14ac:dyDescent="0.35">
      <c r="A95" s="3" t="s">
        <v>6</v>
      </c>
      <c r="B95" s="3" t="s">
        <v>101</v>
      </c>
      <c r="C95" s="3" t="s">
        <v>8</v>
      </c>
      <c r="D95" s="3" t="s">
        <v>114</v>
      </c>
      <c r="E95" s="3">
        <v>8</v>
      </c>
      <c r="F95" s="3">
        <v>27.96</v>
      </c>
      <c r="G95" s="3" t="s">
        <v>9</v>
      </c>
      <c r="H95" s="4">
        <v>0</v>
      </c>
      <c r="I95" s="4">
        <v>0</v>
      </c>
      <c r="J95" s="4">
        <v>0</v>
      </c>
      <c r="K95" s="3">
        <v>28.34</v>
      </c>
      <c r="L95" s="3">
        <v>0.40699999999999997</v>
      </c>
      <c r="M95" s="3" t="s">
        <v>9</v>
      </c>
    </row>
    <row r="96" spans="1:13" x14ac:dyDescent="0.35">
      <c r="A96" s="3" t="s">
        <v>6</v>
      </c>
      <c r="B96" s="3" t="s">
        <v>102</v>
      </c>
      <c r="C96" s="3" t="s">
        <v>8</v>
      </c>
      <c r="D96" s="3" t="s">
        <v>114</v>
      </c>
      <c r="E96" s="3">
        <v>8</v>
      </c>
      <c r="F96" s="3">
        <v>28.37</v>
      </c>
      <c r="G96" s="3" t="s">
        <v>9</v>
      </c>
      <c r="H96" s="4">
        <v>0</v>
      </c>
      <c r="I96" s="4">
        <v>0</v>
      </c>
      <c r="J96" s="4">
        <v>0</v>
      </c>
      <c r="K96" s="3">
        <v>28.34</v>
      </c>
      <c r="L96" s="3">
        <v>0.40699999999999997</v>
      </c>
      <c r="M96" s="3" t="s">
        <v>9</v>
      </c>
    </row>
    <row r="97" spans="1:13" x14ac:dyDescent="0.35">
      <c r="A97" s="3" t="s">
        <v>6</v>
      </c>
      <c r="B97" s="3" t="s">
        <v>103</v>
      </c>
      <c r="C97" s="3" t="s">
        <v>8</v>
      </c>
      <c r="D97" s="3" t="s">
        <v>114</v>
      </c>
      <c r="E97" s="3">
        <v>8</v>
      </c>
      <c r="F97" s="3">
        <v>28.38</v>
      </c>
      <c r="G97" s="3" t="s">
        <v>9</v>
      </c>
      <c r="H97" s="4">
        <v>0</v>
      </c>
      <c r="I97" s="4">
        <v>0</v>
      </c>
      <c r="J97" s="4">
        <v>0</v>
      </c>
      <c r="K97" s="3">
        <v>28.34</v>
      </c>
      <c r="L97" s="3">
        <v>0.40699999999999997</v>
      </c>
      <c r="M97" s="3" t="s">
        <v>9</v>
      </c>
    </row>
    <row r="98" spans="1:13" x14ac:dyDescent="0.35">
      <c r="A98" s="3" t="s">
        <v>6</v>
      </c>
      <c r="B98" s="3" t="s">
        <v>104</v>
      </c>
      <c r="C98" s="3" t="s">
        <v>8</v>
      </c>
      <c r="D98" s="3" t="s">
        <v>114</v>
      </c>
      <c r="E98" s="3">
        <v>8</v>
      </c>
      <c r="F98" s="3">
        <v>27.8</v>
      </c>
      <c r="G98" s="3" t="s">
        <v>9</v>
      </c>
      <c r="H98" s="4">
        <v>0</v>
      </c>
      <c r="I98" s="4">
        <v>0</v>
      </c>
      <c r="J98" s="4">
        <v>0</v>
      </c>
      <c r="K98" s="3">
        <v>28.34</v>
      </c>
      <c r="L98" s="3">
        <v>0.40699999999999997</v>
      </c>
      <c r="M9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Fibroblasts</vt:lpstr>
      <vt:lpstr>F Plate 1</vt:lpstr>
      <vt:lpstr>F Plate 2</vt:lpstr>
      <vt:lpstr>F Plate 3</vt:lpstr>
      <vt:lpstr>F Plate 4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Taejoon Won</dc:creator>
  <cp:lastModifiedBy>David Hughes</cp:lastModifiedBy>
  <dcterms:created xsi:type="dcterms:W3CDTF">2017-07-21T16:21:24Z</dcterms:created>
  <dcterms:modified xsi:type="dcterms:W3CDTF">2022-04-28T02:07:37Z</dcterms:modified>
</cp:coreProperties>
</file>