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cuments\Research 2022\PMACS\PMACS-95\"/>
    </mc:Choice>
  </mc:AlternateContent>
  <xr:revisionPtr revIDLastSave="0" documentId="13_ncr:1_{8C81FF2A-DC4C-4397-B0BC-9731D63DFDEC}" xr6:coauthVersionLast="47" xr6:coauthVersionMax="47" xr10:uidLastSave="{00000000-0000-0000-0000-000000000000}"/>
  <bookViews>
    <workbookView xWindow="1860" yWindow="1860" windowWidth="19200" windowHeight="10060" firstSheet="2" activeTab="2" xr2:uid="{AF0DA83F-9B0B-4FFB-A22F-D962867D1E61}"/>
  </bookViews>
  <sheets>
    <sheet name="Sheet1" sheetId="1" r:id="rId1"/>
    <sheet name="Fibroblast co-cultures" sheetId="6" r:id="rId2"/>
    <sheet name="Peritoneal alone" sheetId="8" r:id="rId3"/>
    <sheet name="MACS alone" sheetId="7" r:id="rId4"/>
    <sheet name="MACS Plate 1" sheetId="2" r:id="rId5"/>
    <sheet name="MACS Plate 2" sheetId="3" r:id="rId6"/>
    <sheet name="MACS Plate 3" sheetId="4" r:id="rId7"/>
    <sheet name="MACS Plate 4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8" l="1"/>
  <c r="E60" i="8"/>
  <c r="E61" i="8"/>
  <c r="E62" i="8"/>
  <c r="E63" i="8"/>
  <c r="E58" i="8"/>
  <c r="F58" i="8" s="1"/>
  <c r="G58" i="8" s="1"/>
  <c r="H59" i="8" s="1"/>
  <c r="D63" i="8"/>
  <c r="F63" i="8" s="1"/>
  <c r="G63" i="8" s="1"/>
  <c r="F62" i="8"/>
  <c r="G62" i="8" s="1"/>
  <c r="D62" i="8"/>
  <c r="D61" i="8"/>
  <c r="F61" i="8" s="1"/>
  <c r="G61" i="8" s="1"/>
  <c r="F60" i="8"/>
  <c r="G60" i="8" s="1"/>
  <c r="D60" i="8"/>
  <c r="D59" i="8"/>
  <c r="F59" i="8" s="1"/>
  <c r="G59" i="8" s="1"/>
  <c r="D58" i="8"/>
  <c r="O51" i="8"/>
  <c r="O52" i="8"/>
  <c r="O53" i="8"/>
  <c r="O54" i="8"/>
  <c r="O55" i="8"/>
  <c r="O50" i="8"/>
  <c r="P50" i="8" s="1"/>
  <c r="Q50" i="8" s="1"/>
  <c r="E51" i="8"/>
  <c r="E52" i="8"/>
  <c r="E53" i="8"/>
  <c r="E54" i="8"/>
  <c r="F54" i="8" s="1"/>
  <c r="E55" i="8"/>
  <c r="F55" i="8" s="1"/>
  <c r="G55" i="8" s="1"/>
  <c r="F51" i="8"/>
  <c r="F52" i="8"/>
  <c r="F53" i="8"/>
  <c r="G53" i="8" s="1"/>
  <c r="E50" i="8"/>
  <c r="P55" i="8"/>
  <c r="Q55" i="8" s="1"/>
  <c r="N55" i="8"/>
  <c r="D55" i="8"/>
  <c r="P54" i="8"/>
  <c r="Q54" i="8" s="1"/>
  <c r="N54" i="8"/>
  <c r="D54" i="8"/>
  <c r="N53" i="8"/>
  <c r="D53" i="8"/>
  <c r="N52" i="8"/>
  <c r="P52" i="8" s="1"/>
  <c r="Q52" i="8" s="1"/>
  <c r="D52" i="8"/>
  <c r="N51" i="8"/>
  <c r="P51" i="8" s="1"/>
  <c r="Q51" i="8" s="1"/>
  <c r="D51" i="8"/>
  <c r="N50" i="8"/>
  <c r="D50" i="8"/>
  <c r="O43" i="8"/>
  <c r="O44" i="8"/>
  <c r="O45" i="8"/>
  <c r="O46" i="8"/>
  <c r="O47" i="8"/>
  <c r="O42" i="8"/>
  <c r="E43" i="8"/>
  <c r="E44" i="8"/>
  <c r="E45" i="8"/>
  <c r="E46" i="8"/>
  <c r="E47" i="8"/>
  <c r="E42" i="8"/>
  <c r="N47" i="8"/>
  <c r="P47" i="8" s="1"/>
  <c r="Q47" i="8" s="1"/>
  <c r="D47" i="8"/>
  <c r="F47" i="8" s="1"/>
  <c r="G47" i="8" s="1"/>
  <c r="P46" i="8"/>
  <c r="Q46" i="8" s="1"/>
  <c r="N46" i="8"/>
  <c r="F46" i="8"/>
  <c r="G46" i="8" s="1"/>
  <c r="D46" i="8"/>
  <c r="N45" i="8"/>
  <c r="P45" i="8" s="1"/>
  <c r="Q45" i="8" s="1"/>
  <c r="R46" i="8" s="1"/>
  <c r="F45" i="8"/>
  <c r="G45" i="8" s="1"/>
  <c r="H46" i="8" s="1"/>
  <c r="D45" i="8"/>
  <c r="P44" i="8"/>
  <c r="Q44" i="8" s="1"/>
  <c r="N44" i="8"/>
  <c r="F44" i="8"/>
  <c r="G44" i="8" s="1"/>
  <c r="D44" i="8"/>
  <c r="N43" i="8"/>
  <c r="P43" i="8" s="1"/>
  <c r="Q43" i="8" s="1"/>
  <c r="D43" i="8"/>
  <c r="F43" i="8" s="1"/>
  <c r="G43" i="8" s="1"/>
  <c r="N42" i="8"/>
  <c r="D42" i="8"/>
  <c r="O35" i="8"/>
  <c r="O36" i="8"/>
  <c r="O37" i="8"/>
  <c r="O38" i="8"/>
  <c r="O39" i="8"/>
  <c r="O34" i="8"/>
  <c r="E35" i="8"/>
  <c r="E36" i="8"/>
  <c r="E37" i="8"/>
  <c r="E38" i="8"/>
  <c r="E39" i="8"/>
  <c r="E34" i="8"/>
  <c r="P39" i="8"/>
  <c r="Q39" i="8" s="1"/>
  <c r="N39" i="8"/>
  <c r="D39" i="8"/>
  <c r="F39" i="8" s="1"/>
  <c r="G39" i="8" s="1"/>
  <c r="P38" i="8"/>
  <c r="Q38" i="8" s="1"/>
  <c r="N38" i="8"/>
  <c r="F38" i="8"/>
  <c r="G38" i="8" s="1"/>
  <c r="D38" i="8"/>
  <c r="N37" i="8"/>
  <c r="P37" i="8" s="1"/>
  <c r="Q37" i="8" s="1"/>
  <c r="F37" i="8"/>
  <c r="G37" i="8" s="1"/>
  <c r="H38" i="8" s="1"/>
  <c r="D37" i="8"/>
  <c r="N36" i="8"/>
  <c r="P36" i="8" s="1"/>
  <c r="Q36" i="8" s="1"/>
  <c r="F36" i="8"/>
  <c r="G36" i="8" s="1"/>
  <c r="D36" i="8"/>
  <c r="N35" i="8"/>
  <c r="P35" i="8" s="1"/>
  <c r="Q35" i="8" s="1"/>
  <c r="F35" i="8"/>
  <c r="G35" i="8" s="1"/>
  <c r="D35" i="8"/>
  <c r="N34" i="8"/>
  <c r="F34" i="8"/>
  <c r="G34" i="8" s="1"/>
  <c r="D34" i="8"/>
  <c r="O27" i="8"/>
  <c r="O28" i="8"/>
  <c r="O29" i="8"/>
  <c r="P29" i="8" s="1"/>
  <c r="Q29" i="8" s="1"/>
  <c r="O30" i="8"/>
  <c r="O31" i="8"/>
  <c r="O26" i="8"/>
  <c r="E27" i="8"/>
  <c r="E28" i="8"/>
  <c r="E29" i="8"/>
  <c r="E30" i="8"/>
  <c r="E31" i="8"/>
  <c r="E26" i="8"/>
  <c r="N31" i="8"/>
  <c r="D31" i="8"/>
  <c r="F31" i="8" s="1"/>
  <c r="G31" i="8" s="1"/>
  <c r="P30" i="8"/>
  <c r="Q30" i="8" s="1"/>
  <c r="N30" i="8"/>
  <c r="F30" i="8"/>
  <c r="G30" i="8" s="1"/>
  <c r="D30" i="8"/>
  <c r="N29" i="8"/>
  <c r="F29" i="8"/>
  <c r="G29" i="8" s="1"/>
  <c r="H30" i="8" s="1"/>
  <c r="D29" i="8"/>
  <c r="Q28" i="8"/>
  <c r="P28" i="8"/>
  <c r="N28" i="8"/>
  <c r="F28" i="8"/>
  <c r="G28" i="8" s="1"/>
  <c r="D28" i="8"/>
  <c r="N27" i="8"/>
  <c r="P27" i="8" s="1"/>
  <c r="Q27" i="8" s="1"/>
  <c r="D27" i="8"/>
  <c r="F27" i="8" s="1"/>
  <c r="G27" i="8" s="1"/>
  <c r="N26" i="8"/>
  <c r="D26" i="8"/>
  <c r="F26" i="8" s="1"/>
  <c r="G26" i="8" s="1"/>
  <c r="H27" i="8" s="1"/>
  <c r="O19" i="8"/>
  <c r="O20" i="8"/>
  <c r="O21" i="8"/>
  <c r="O22" i="8"/>
  <c r="O23" i="8"/>
  <c r="O18" i="8"/>
  <c r="E19" i="8"/>
  <c r="E20" i="8"/>
  <c r="E21" i="8"/>
  <c r="E22" i="8"/>
  <c r="E23" i="8"/>
  <c r="F23" i="8" s="1"/>
  <c r="G23" i="8" s="1"/>
  <c r="E18" i="8"/>
  <c r="N23" i="8"/>
  <c r="P23" i="8" s="1"/>
  <c r="Q23" i="8" s="1"/>
  <c r="D23" i="8"/>
  <c r="P22" i="8"/>
  <c r="Q22" i="8" s="1"/>
  <c r="N22" i="8"/>
  <c r="F22" i="8"/>
  <c r="G22" i="8" s="1"/>
  <c r="D22" i="8"/>
  <c r="N21" i="8"/>
  <c r="P21" i="8" s="1"/>
  <c r="Q21" i="8" s="1"/>
  <c r="R22" i="8" s="1"/>
  <c r="F21" i="8"/>
  <c r="G21" i="8" s="1"/>
  <c r="D21" i="8"/>
  <c r="N20" i="8"/>
  <c r="F20" i="8"/>
  <c r="G20" i="8" s="1"/>
  <c r="D20" i="8"/>
  <c r="N19" i="8"/>
  <c r="P19" i="8" s="1"/>
  <c r="Q19" i="8" s="1"/>
  <c r="D19" i="8"/>
  <c r="F19" i="8" s="1"/>
  <c r="G19" i="8" s="1"/>
  <c r="N18" i="8"/>
  <c r="P18" i="8" s="1"/>
  <c r="Q18" i="8" s="1"/>
  <c r="D18" i="8"/>
  <c r="O11" i="8"/>
  <c r="P11" i="8" s="1"/>
  <c r="Q11" i="8" s="1"/>
  <c r="O12" i="8"/>
  <c r="O13" i="8"/>
  <c r="O14" i="8"/>
  <c r="O15" i="8"/>
  <c r="O10" i="8"/>
  <c r="P10" i="8" s="1"/>
  <c r="Q10" i="8" s="1"/>
  <c r="E11" i="8"/>
  <c r="E12" i="8"/>
  <c r="E13" i="8"/>
  <c r="E14" i="8"/>
  <c r="E15" i="8"/>
  <c r="E10" i="8"/>
  <c r="P15" i="8"/>
  <c r="Q15" i="8" s="1"/>
  <c r="N15" i="8"/>
  <c r="F15" i="8"/>
  <c r="G15" i="8" s="1"/>
  <c r="D15" i="8"/>
  <c r="P14" i="8"/>
  <c r="Q14" i="8" s="1"/>
  <c r="N14" i="8"/>
  <c r="D14" i="8"/>
  <c r="F14" i="8" s="1"/>
  <c r="G14" i="8" s="1"/>
  <c r="N13" i="8"/>
  <c r="P13" i="8" s="1"/>
  <c r="Q13" i="8" s="1"/>
  <c r="D13" i="8"/>
  <c r="F13" i="8" s="1"/>
  <c r="G13" i="8" s="1"/>
  <c r="H14" i="8" s="1"/>
  <c r="N12" i="8"/>
  <c r="P12" i="8" s="1"/>
  <c r="Q12" i="8" s="1"/>
  <c r="D12" i="8"/>
  <c r="F12" i="8" s="1"/>
  <c r="G12" i="8" s="1"/>
  <c r="N11" i="8"/>
  <c r="F11" i="8"/>
  <c r="G11" i="8" s="1"/>
  <c r="D11" i="8"/>
  <c r="N10" i="8"/>
  <c r="F10" i="8"/>
  <c r="G10" i="8" s="1"/>
  <c r="D10" i="8"/>
  <c r="E109" i="6"/>
  <c r="E110" i="6"/>
  <c r="E111" i="6"/>
  <c r="E112" i="6"/>
  <c r="E113" i="6"/>
  <c r="E114" i="6"/>
  <c r="E115" i="6"/>
  <c r="E116" i="6"/>
  <c r="E117" i="6"/>
  <c r="F117" i="6" s="1"/>
  <c r="G117" i="6" s="1"/>
  <c r="E118" i="6"/>
  <c r="E119" i="6"/>
  <c r="E108" i="6"/>
  <c r="F108" i="6" s="1"/>
  <c r="G108" i="6" s="1"/>
  <c r="D119" i="6"/>
  <c r="D118" i="6"/>
  <c r="F118" i="6" s="1"/>
  <c r="G118" i="6" s="1"/>
  <c r="D117" i="6"/>
  <c r="D116" i="6"/>
  <c r="D115" i="6"/>
  <c r="D114" i="6"/>
  <c r="F113" i="6"/>
  <c r="G113" i="6" s="1"/>
  <c r="D113" i="6"/>
  <c r="F112" i="6"/>
  <c r="G112" i="6" s="1"/>
  <c r="D112" i="6"/>
  <c r="D111" i="6"/>
  <c r="F111" i="6" s="1"/>
  <c r="G111" i="6" s="1"/>
  <c r="D110" i="6"/>
  <c r="D109" i="6"/>
  <c r="D108" i="6"/>
  <c r="O94" i="6"/>
  <c r="O95" i="6"/>
  <c r="O96" i="6"/>
  <c r="O97" i="6"/>
  <c r="O98" i="6"/>
  <c r="O99" i="6"/>
  <c r="O100" i="6"/>
  <c r="O101" i="6"/>
  <c r="P101" i="6" s="1"/>
  <c r="Q101" i="6" s="1"/>
  <c r="O102" i="6"/>
  <c r="O103" i="6"/>
  <c r="O104" i="6"/>
  <c r="O93" i="6"/>
  <c r="N104" i="6"/>
  <c r="N103" i="6"/>
  <c r="P102" i="6"/>
  <c r="Q102" i="6" s="1"/>
  <c r="N102" i="6"/>
  <c r="N101" i="6"/>
  <c r="N100" i="6"/>
  <c r="N99" i="6"/>
  <c r="P99" i="6" s="1"/>
  <c r="Q99" i="6" s="1"/>
  <c r="N98" i="6"/>
  <c r="N97" i="6"/>
  <c r="N96" i="6"/>
  <c r="P96" i="6" s="1"/>
  <c r="Q96" i="6" s="1"/>
  <c r="N95" i="6"/>
  <c r="P95" i="6" s="1"/>
  <c r="Q95" i="6" s="1"/>
  <c r="N94" i="6"/>
  <c r="P94" i="6" s="1"/>
  <c r="Q94" i="6" s="1"/>
  <c r="P93" i="6"/>
  <c r="Q93" i="6" s="1"/>
  <c r="N93" i="6"/>
  <c r="E94" i="6"/>
  <c r="E95" i="6"/>
  <c r="E96" i="6"/>
  <c r="E97" i="6"/>
  <c r="E98" i="6"/>
  <c r="E99" i="6"/>
  <c r="E100" i="6"/>
  <c r="E101" i="6"/>
  <c r="F101" i="6" s="1"/>
  <c r="G101" i="6" s="1"/>
  <c r="E102" i="6"/>
  <c r="E103" i="6"/>
  <c r="E104" i="6"/>
  <c r="E93" i="6"/>
  <c r="D104" i="6"/>
  <c r="F104" i="6" s="1"/>
  <c r="G104" i="6" s="1"/>
  <c r="F103" i="6"/>
  <c r="G103" i="6" s="1"/>
  <c r="D103" i="6"/>
  <c r="D102" i="6"/>
  <c r="F102" i="6" s="1"/>
  <c r="G102" i="6" s="1"/>
  <c r="H103" i="6" s="1"/>
  <c r="D101" i="6"/>
  <c r="D100" i="6"/>
  <c r="D99" i="6"/>
  <c r="D98" i="6"/>
  <c r="F98" i="6" s="1"/>
  <c r="G98" i="6" s="1"/>
  <c r="D97" i="6"/>
  <c r="F97" i="6" s="1"/>
  <c r="G97" i="6" s="1"/>
  <c r="D96" i="6"/>
  <c r="F96" i="6" s="1"/>
  <c r="G96" i="6" s="1"/>
  <c r="D95" i="6"/>
  <c r="F95" i="6" s="1"/>
  <c r="G95" i="6" s="1"/>
  <c r="D94" i="6"/>
  <c r="F94" i="6" s="1"/>
  <c r="G94" i="6" s="1"/>
  <c r="D93" i="6"/>
  <c r="F93" i="6" s="1"/>
  <c r="G93" i="6" s="1"/>
  <c r="O79" i="6"/>
  <c r="O80" i="6"/>
  <c r="O81" i="6"/>
  <c r="O82" i="6"/>
  <c r="O83" i="6"/>
  <c r="O84" i="6"/>
  <c r="O85" i="6"/>
  <c r="O86" i="6"/>
  <c r="O87" i="6"/>
  <c r="O88" i="6"/>
  <c r="O89" i="6"/>
  <c r="O78" i="6"/>
  <c r="N89" i="6"/>
  <c r="N88" i="6"/>
  <c r="P88" i="6" s="1"/>
  <c r="Q88" i="6" s="1"/>
  <c r="N87" i="6"/>
  <c r="N86" i="6"/>
  <c r="P86" i="6" s="1"/>
  <c r="Q86" i="6" s="1"/>
  <c r="N85" i="6"/>
  <c r="P85" i="6" s="1"/>
  <c r="Q85" i="6" s="1"/>
  <c r="N84" i="6"/>
  <c r="N83" i="6"/>
  <c r="P83" i="6" s="1"/>
  <c r="Q83" i="6" s="1"/>
  <c r="N82" i="6"/>
  <c r="P82" i="6" s="1"/>
  <c r="Q82" i="6" s="1"/>
  <c r="N81" i="6"/>
  <c r="N80" i="6"/>
  <c r="P80" i="6" s="1"/>
  <c r="Q80" i="6" s="1"/>
  <c r="N79" i="6"/>
  <c r="N78" i="6"/>
  <c r="E79" i="6"/>
  <c r="E80" i="6"/>
  <c r="E81" i="6"/>
  <c r="E82" i="6"/>
  <c r="E83" i="6"/>
  <c r="E84" i="6"/>
  <c r="E85" i="6"/>
  <c r="E86" i="6"/>
  <c r="E87" i="6"/>
  <c r="E88" i="6"/>
  <c r="E89" i="6"/>
  <c r="E78" i="6"/>
  <c r="D89" i="6"/>
  <c r="D88" i="6"/>
  <c r="D87" i="6"/>
  <c r="F87" i="6" s="1"/>
  <c r="G87" i="6" s="1"/>
  <c r="D86" i="6"/>
  <c r="D85" i="6"/>
  <c r="D84" i="6"/>
  <c r="D83" i="6"/>
  <c r="F83" i="6" s="1"/>
  <c r="G83" i="6" s="1"/>
  <c r="D82" i="6"/>
  <c r="F82" i="6" s="1"/>
  <c r="G82" i="6" s="1"/>
  <c r="D81" i="6"/>
  <c r="D80" i="6"/>
  <c r="F80" i="6" s="1"/>
  <c r="G80" i="6" s="1"/>
  <c r="D79" i="6"/>
  <c r="F79" i="6" s="1"/>
  <c r="G79" i="6" s="1"/>
  <c r="D78" i="6"/>
  <c r="F78" i="6" s="1"/>
  <c r="G78" i="6" s="1"/>
  <c r="O64" i="6"/>
  <c r="O65" i="6"/>
  <c r="O66" i="6"/>
  <c r="O67" i="6"/>
  <c r="O68" i="6"/>
  <c r="O69" i="6"/>
  <c r="O70" i="6"/>
  <c r="O71" i="6"/>
  <c r="P71" i="6" s="1"/>
  <c r="Q71" i="6" s="1"/>
  <c r="O72" i="6"/>
  <c r="O73" i="6"/>
  <c r="O74" i="6"/>
  <c r="P74" i="6" s="1"/>
  <c r="Q74" i="6" s="1"/>
  <c r="O63" i="6"/>
  <c r="N74" i="6"/>
  <c r="P73" i="6"/>
  <c r="Q73" i="6" s="1"/>
  <c r="N73" i="6"/>
  <c r="N72" i="6"/>
  <c r="P72" i="6" s="1"/>
  <c r="Q72" i="6" s="1"/>
  <c r="N71" i="6"/>
  <c r="N70" i="6"/>
  <c r="N69" i="6"/>
  <c r="N68" i="6"/>
  <c r="N67" i="6"/>
  <c r="P67" i="6" s="1"/>
  <c r="Q67" i="6" s="1"/>
  <c r="P66" i="6"/>
  <c r="Q66" i="6" s="1"/>
  <c r="N66" i="6"/>
  <c r="N65" i="6"/>
  <c r="P65" i="6" s="1"/>
  <c r="Q65" i="6" s="1"/>
  <c r="N64" i="6"/>
  <c r="P64" i="6" s="1"/>
  <c r="Q64" i="6" s="1"/>
  <c r="N63" i="6"/>
  <c r="E64" i="6"/>
  <c r="E65" i="6"/>
  <c r="E66" i="6"/>
  <c r="E67" i="6"/>
  <c r="E68" i="6"/>
  <c r="E69" i="6"/>
  <c r="E70" i="6"/>
  <c r="E71" i="6"/>
  <c r="E72" i="6"/>
  <c r="E73" i="6"/>
  <c r="E74" i="6"/>
  <c r="E63" i="6"/>
  <c r="F74" i="6"/>
  <c r="G74" i="6" s="1"/>
  <c r="D74" i="6"/>
  <c r="D73" i="6"/>
  <c r="F73" i="6" s="1"/>
  <c r="G73" i="6" s="1"/>
  <c r="D72" i="6"/>
  <c r="F72" i="6" s="1"/>
  <c r="G72" i="6" s="1"/>
  <c r="D71" i="6"/>
  <c r="D70" i="6"/>
  <c r="D69" i="6"/>
  <c r="D68" i="6"/>
  <c r="D67" i="6"/>
  <c r="F67" i="6" s="1"/>
  <c r="G67" i="6" s="1"/>
  <c r="D66" i="6"/>
  <c r="F65" i="6"/>
  <c r="G65" i="6" s="1"/>
  <c r="D65" i="6"/>
  <c r="D64" i="6"/>
  <c r="F64" i="6" s="1"/>
  <c r="G64" i="6" s="1"/>
  <c r="D63" i="6"/>
  <c r="O49" i="6"/>
  <c r="O50" i="6"/>
  <c r="O51" i="6"/>
  <c r="O52" i="6"/>
  <c r="O53" i="6"/>
  <c r="O54" i="6"/>
  <c r="O55" i="6"/>
  <c r="O56" i="6"/>
  <c r="O57" i="6"/>
  <c r="O58" i="6"/>
  <c r="O59" i="6"/>
  <c r="O48" i="6"/>
  <c r="N59" i="6"/>
  <c r="N58" i="6"/>
  <c r="P58" i="6" s="1"/>
  <c r="Q58" i="6" s="1"/>
  <c r="N57" i="6"/>
  <c r="N56" i="6"/>
  <c r="P56" i="6" s="1"/>
  <c r="Q56" i="6" s="1"/>
  <c r="N55" i="6"/>
  <c r="P55" i="6" s="1"/>
  <c r="Q55" i="6" s="1"/>
  <c r="N54" i="6"/>
  <c r="N53" i="6"/>
  <c r="N52" i="6"/>
  <c r="P52" i="6" s="1"/>
  <c r="Q52" i="6" s="1"/>
  <c r="P51" i="6"/>
  <c r="Q51" i="6" s="1"/>
  <c r="N51" i="6"/>
  <c r="N50" i="6"/>
  <c r="P50" i="6" s="1"/>
  <c r="Q50" i="6" s="1"/>
  <c r="N49" i="6"/>
  <c r="P49" i="6" s="1"/>
  <c r="Q49" i="6" s="1"/>
  <c r="N48" i="6"/>
  <c r="E48" i="6"/>
  <c r="E49" i="6"/>
  <c r="E50" i="6"/>
  <c r="E51" i="6"/>
  <c r="E52" i="6"/>
  <c r="E53" i="6"/>
  <c r="E54" i="6"/>
  <c r="E55" i="6"/>
  <c r="E56" i="6"/>
  <c r="E57" i="6"/>
  <c r="E58" i="6"/>
  <c r="E59" i="6"/>
  <c r="D59" i="6"/>
  <c r="D58" i="6"/>
  <c r="F58" i="6" s="1"/>
  <c r="G58" i="6" s="1"/>
  <c r="D57" i="6"/>
  <c r="F57" i="6" s="1"/>
  <c r="G57" i="6" s="1"/>
  <c r="D56" i="6"/>
  <c r="D55" i="6"/>
  <c r="D54" i="6"/>
  <c r="D53" i="6"/>
  <c r="F53" i="6" s="1"/>
  <c r="G53" i="6" s="1"/>
  <c r="F52" i="6"/>
  <c r="G52" i="6" s="1"/>
  <c r="D52" i="6"/>
  <c r="D51" i="6"/>
  <c r="F50" i="6"/>
  <c r="G50" i="6" s="1"/>
  <c r="D50" i="6"/>
  <c r="D49" i="6"/>
  <c r="F49" i="6" s="1"/>
  <c r="G49" i="6" s="1"/>
  <c r="D48" i="6"/>
  <c r="O34" i="6"/>
  <c r="O35" i="6"/>
  <c r="O36" i="6"/>
  <c r="O37" i="6"/>
  <c r="O38" i="6"/>
  <c r="O39" i="6"/>
  <c r="P39" i="6" s="1"/>
  <c r="Q39" i="6" s="1"/>
  <c r="O40" i="6"/>
  <c r="O41" i="6"/>
  <c r="O42" i="6"/>
  <c r="O43" i="6"/>
  <c r="O44" i="6"/>
  <c r="O33" i="6"/>
  <c r="N44" i="6"/>
  <c r="P43" i="6"/>
  <c r="Q43" i="6" s="1"/>
  <c r="N43" i="6"/>
  <c r="N42" i="6"/>
  <c r="P42" i="6" s="1"/>
  <c r="Q42" i="6" s="1"/>
  <c r="N41" i="6"/>
  <c r="N40" i="6"/>
  <c r="N39" i="6"/>
  <c r="N38" i="6"/>
  <c r="P38" i="6" s="1"/>
  <c r="Q38" i="6" s="1"/>
  <c r="N37" i="6"/>
  <c r="P37" i="6" s="1"/>
  <c r="Q37" i="6" s="1"/>
  <c r="N36" i="6"/>
  <c r="N35" i="6"/>
  <c r="P35" i="6" s="1"/>
  <c r="Q35" i="6" s="1"/>
  <c r="P34" i="6"/>
  <c r="Q34" i="6" s="1"/>
  <c r="N34" i="6"/>
  <c r="N33" i="6"/>
  <c r="E34" i="6"/>
  <c r="E35" i="6"/>
  <c r="E36" i="6"/>
  <c r="E37" i="6"/>
  <c r="E38" i="6"/>
  <c r="E39" i="6"/>
  <c r="E40" i="6"/>
  <c r="E41" i="6"/>
  <c r="F41" i="6" s="1"/>
  <c r="G41" i="6" s="1"/>
  <c r="E42" i="6"/>
  <c r="E43" i="6"/>
  <c r="E44" i="6"/>
  <c r="E33" i="6"/>
  <c r="D44" i="6"/>
  <c r="F43" i="6"/>
  <c r="G43" i="6" s="1"/>
  <c r="D43" i="6"/>
  <c r="D42" i="6"/>
  <c r="F42" i="6" s="1"/>
  <c r="G42" i="6" s="1"/>
  <c r="D41" i="6"/>
  <c r="D40" i="6"/>
  <c r="D39" i="6"/>
  <c r="D38" i="6"/>
  <c r="G37" i="6"/>
  <c r="F37" i="6"/>
  <c r="D37" i="6"/>
  <c r="D36" i="6"/>
  <c r="F36" i="6" s="1"/>
  <c r="G36" i="6" s="1"/>
  <c r="F35" i="6"/>
  <c r="G35" i="6" s="1"/>
  <c r="D35" i="6"/>
  <c r="D34" i="6"/>
  <c r="D33" i="6"/>
  <c r="O19" i="6"/>
  <c r="O20" i="6"/>
  <c r="O21" i="6"/>
  <c r="O22" i="6"/>
  <c r="O23" i="6"/>
  <c r="O24" i="6"/>
  <c r="O25" i="6"/>
  <c r="O26" i="6"/>
  <c r="O27" i="6"/>
  <c r="O28" i="6"/>
  <c r="O29" i="6"/>
  <c r="O18" i="6"/>
  <c r="N29" i="6"/>
  <c r="P29" i="6" s="1"/>
  <c r="Q29" i="6" s="1"/>
  <c r="P28" i="6"/>
  <c r="Q28" i="6" s="1"/>
  <c r="N28" i="6"/>
  <c r="N27" i="6"/>
  <c r="P27" i="6" s="1"/>
  <c r="Q27" i="6" s="1"/>
  <c r="N26" i="6"/>
  <c r="N25" i="6"/>
  <c r="N24" i="6"/>
  <c r="N23" i="6"/>
  <c r="N22" i="6"/>
  <c r="P22" i="6" s="1"/>
  <c r="Q22" i="6" s="1"/>
  <c r="N21" i="6"/>
  <c r="P21" i="6" s="1"/>
  <c r="Q21" i="6" s="1"/>
  <c r="N20" i="6"/>
  <c r="P20" i="6" s="1"/>
  <c r="Q20" i="6" s="1"/>
  <c r="N19" i="6"/>
  <c r="P19" i="6" s="1"/>
  <c r="Q19" i="6" s="1"/>
  <c r="N18" i="6"/>
  <c r="E19" i="6"/>
  <c r="E20" i="6"/>
  <c r="E21" i="6"/>
  <c r="E22" i="6"/>
  <c r="E23" i="6"/>
  <c r="E24" i="6"/>
  <c r="E25" i="6"/>
  <c r="E26" i="6"/>
  <c r="E27" i="6"/>
  <c r="E28" i="6"/>
  <c r="E29" i="6"/>
  <c r="E18" i="6"/>
  <c r="D29" i="6"/>
  <c r="D28" i="6"/>
  <c r="D27" i="6"/>
  <c r="D26" i="6"/>
  <c r="D25" i="6"/>
  <c r="D24" i="6"/>
  <c r="F24" i="6" s="1"/>
  <c r="G24" i="6" s="1"/>
  <c r="D23" i="6"/>
  <c r="F23" i="6" s="1"/>
  <c r="G23" i="6" s="1"/>
  <c r="D22" i="6"/>
  <c r="D21" i="6"/>
  <c r="D20" i="6"/>
  <c r="D19" i="6"/>
  <c r="D18" i="6"/>
  <c r="E57" i="1"/>
  <c r="D57" i="1"/>
  <c r="F57" i="1" s="1"/>
  <c r="G57" i="1" s="1"/>
  <c r="F56" i="1"/>
  <c r="G56" i="1" s="1"/>
  <c r="E56" i="1"/>
  <c r="D56" i="1"/>
  <c r="F55" i="1"/>
  <c r="G55" i="1" s="1"/>
  <c r="H56" i="1" s="1"/>
  <c r="E55" i="1"/>
  <c r="D55" i="1"/>
  <c r="E54" i="1"/>
  <c r="D54" i="1"/>
  <c r="F54" i="1" s="1"/>
  <c r="G54" i="1" s="1"/>
  <c r="E53" i="1"/>
  <c r="D53" i="1"/>
  <c r="F53" i="1" s="1"/>
  <c r="G53" i="1" s="1"/>
  <c r="E52" i="1"/>
  <c r="D52" i="1"/>
  <c r="F52" i="1" s="1"/>
  <c r="G52" i="1" s="1"/>
  <c r="H53" i="1" s="1"/>
  <c r="E51" i="1"/>
  <c r="D51" i="1"/>
  <c r="F51" i="1" s="1"/>
  <c r="G51" i="1" s="1"/>
  <c r="E50" i="1"/>
  <c r="F50" i="1" s="1"/>
  <c r="G50" i="1" s="1"/>
  <c r="D50" i="1"/>
  <c r="E49" i="1"/>
  <c r="D49" i="1"/>
  <c r="F49" i="1" s="1"/>
  <c r="G49" i="1" s="1"/>
  <c r="E48" i="1"/>
  <c r="D48" i="1"/>
  <c r="F48" i="1" s="1"/>
  <c r="G48" i="1" s="1"/>
  <c r="E47" i="1"/>
  <c r="F47" i="1" s="1"/>
  <c r="G47" i="1" s="1"/>
  <c r="D47" i="1"/>
  <c r="E46" i="1"/>
  <c r="F46" i="1" s="1"/>
  <c r="G46" i="1" s="1"/>
  <c r="D46" i="1"/>
  <c r="E45" i="1"/>
  <c r="F45" i="1" s="1"/>
  <c r="G45" i="1" s="1"/>
  <c r="D45" i="1"/>
  <c r="F44" i="1"/>
  <c r="G44" i="1" s="1"/>
  <c r="E44" i="1"/>
  <c r="D44" i="1"/>
  <c r="E43" i="1"/>
  <c r="D43" i="1"/>
  <c r="F43" i="1" s="1"/>
  <c r="G43" i="1" s="1"/>
  <c r="H44" i="1" s="1"/>
  <c r="F42" i="1"/>
  <c r="G42" i="1" s="1"/>
  <c r="E42" i="1"/>
  <c r="D42" i="1"/>
  <c r="E41" i="1"/>
  <c r="D41" i="1"/>
  <c r="F41" i="1" s="1"/>
  <c r="G41" i="1" s="1"/>
  <c r="E40" i="1"/>
  <c r="D40" i="1"/>
  <c r="F40" i="1" s="1"/>
  <c r="G40" i="1" s="1"/>
  <c r="H41" i="1" s="1"/>
  <c r="E39" i="1"/>
  <c r="D39" i="1"/>
  <c r="F39" i="1" s="1"/>
  <c r="G39" i="1" s="1"/>
  <c r="E38" i="1"/>
  <c r="D38" i="1"/>
  <c r="F38" i="1" s="1"/>
  <c r="G38" i="1" s="1"/>
  <c r="E37" i="1"/>
  <c r="D37" i="1"/>
  <c r="F37" i="1" s="1"/>
  <c r="G37" i="1" s="1"/>
  <c r="H38" i="1" s="1"/>
  <c r="E36" i="1"/>
  <c r="D36" i="1"/>
  <c r="F36" i="1" s="1"/>
  <c r="G36" i="1" s="1"/>
  <c r="E35" i="1"/>
  <c r="F35" i="1" s="1"/>
  <c r="G35" i="1" s="1"/>
  <c r="D35" i="1"/>
  <c r="E34" i="1"/>
  <c r="F34" i="1" s="1"/>
  <c r="G34" i="1" s="1"/>
  <c r="D34" i="1"/>
  <c r="E33" i="1"/>
  <c r="F33" i="1" s="1"/>
  <c r="G33" i="1" s="1"/>
  <c r="D33" i="1"/>
  <c r="E32" i="1"/>
  <c r="D32" i="1"/>
  <c r="F32" i="1" s="1"/>
  <c r="G32" i="1" s="1"/>
  <c r="F31" i="1"/>
  <c r="G31" i="1" s="1"/>
  <c r="E31" i="1"/>
  <c r="D31" i="1"/>
  <c r="E30" i="1"/>
  <c r="D30" i="1"/>
  <c r="F30" i="1" s="1"/>
  <c r="G30" i="1" s="1"/>
  <c r="E29" i="1"/>
  <c r="D29" i="1"/>
  <c r="F29" i="1" s="1"/>
  <c r="G29" i="1" s="1"/>
  <c r="E28" i="1"/>
  <c r="D28" i="1"/>
  <c r="F28" i="1" s="1"/>
  <c r="G28" i="1" s="1"/>
  <c r="H29" i="1" s="1"/>
  <c r="H62" i="8" l="1"/>
  <c r="P53" i="8"/>
  <c r="Q53" i="8" s="1"/>
  <c r="R54" i="8" s="1"/>
  <c r="R51" i="8"/>
  <c r="H54" i="8"/>
  <c r="G54" i="8"/>
  <c r="G52" i="8"/>
  <c r="G51" i="8"/>
  <c r="F50" i="8"/>
  <c r="G50" i="8" s="1"/>
  <c r="P42" i="8"/>
  <c r="Q42" i="8" s="1"/>
  <c r="R43" i="8" s="1"/>
  <c r="F42" i="8"/>
  <c r="G42" i="8" s="1"/>
  <c r="H43" i="8" s="1"/>
  <c r="R38" i="8"/>
  <c r="P34" i="8"/>
  <c r="Q34" i="8" s="1"/>
  <c r="R35" i="8" s="1"/>
  <c r="H35" i="8"/>
  <c r="P31" i="8"/>
  <c r="Q31" i="8" s="1"/>
  <c r="R30" i="8" s="1"/>
  <c r="P26" i="8"/>
  <c r="Q26" i="8" s="1"/>
  <c r="R27" i="8" s="1"/>
  <c r="P20" i="8"/>
  <c r="Q20" i="8" s="1"/>
  <c r="R19" i="8" s="1"/>
  <c r="H22" i="8"/>
  <c r="F18" i="8"/>
  <c r="G18" i="8" s="1"/>
  <c r="H19" i="8" s="1"/>
  <c r="R11" i="8"/>
  <c r="R14" i="8"/>
  <c r="H11" i="8"/>
  <c r="F119" i="6"/>
  <c r="G119" i="6" s="1"/>
  <c r="H118" i="6" s="1"/>
  <c r="F114" i="6"/>
  <c r="G114" i="6" s="1"/>
  <c r="F109" i="6"/>
  <c r="G109" i="6" s="1"/>
  <c r="F115" i="6"/>
  <c r="G115" i="6" s="1"/>
  <c r="F116" i="6"/>
  <c r="G116" i="6" s="1"/>
  <c r="F110" i="6"/>
  <c r="G110" i="6" s="1"/>
  <c r="H109" i="6"/>
  <c r="H112" i="6"/>
  <c r="H115" i="6"/>
  <c r="P97" i="6"/>
  <c r="Q97" i="6" s="1"/>
  <c r="P98" i="6"/>
  <c r="Q98" i="6" s="1"/>
  <c r="R97" i="6" s="1"/>
  <c r="P103" i="6"/>
  <c r="Q103" i="6" s="1"/>
  <c r="R94" i="6"/>
  <c r="P100" i="6"/>
  <c r="Q100" i="6" s="1"/>
  <c r="P104" i="6"/>
  <c r="Q104" i="6" s="1"/>
  <c r="R100" i="6"/>
  <c r="F99" i="6"/>
  <c r="G99" i="6" s="1"/>
  <c r="H100" i="6" s="1"/>
  <c r="F100" i="6"/>
  <c r="G100" i="6" s="1"/>
  <c r="H97" i="6"/>
  <c r="H94" i="6"/>
  <c r="P79" i="6"/>
  <c r="Q79" i="6" s="1"/>
  <c r="P87" i="6"/>
  <c r="Q87" i="6" s="1"/>
  <c r="P84" i="6"/>
  <c r="Q84" i="6" s="1"/>
  <c r="P81" i="6"/>
  <c r="Q81" i="6" s="1"/>
  <c r="R82" i="6" s="1"/>
  <c r="P78" i="6"/>
  <c r="Q78" i="6" s="1"/>
  <c r="P89" i="6"/>
  <c r="Q89" i="6" s="1"/>
  <c r="R88" i="6" s="1"/>
  <c r="R85" i="6"/>
  <c r="F81" i="6"/>
  <c r="G81" i="6" s="1"/>
  <c r="H82" i="6" s="1"/>
  <c r="F89" i="6"/>
  <c r="G89" i="6" s="1"/>
  <c r="F84" i="6"/>
  <c r="G84" i="6" s="1"/>
  <c r="F85" i="6"/>
  <c r="G85" i="6" s="1"/>
  <c r="F86" i="6"/>
  <c r="G86" i="6" s="1"/>
  <c r="H85" i="6" s="1"/>
  <c r="F88" i="6"/>
  <c r="G88" i="6" s="1"/>
  <c r="H88" i="6" s="1"/>
  <c r="H79" i="6"/>
  <c r="P69" i="6"/>
  <c r="Q69" i="6" s="1"/>
  <c r="R73" i="6"/>
  <c r="P68" i="6"/>
  <c r="Q68" i="6" s="1"/>
  <c r="R67" i="6" s="1"/>
  <c r="P63" i="6"/>
  <c r="Q63" i="6" s="1"/>
  <c r="R64" i="6" s="1"/>
  <c r="P70" i="6"/>
  <c r="Q70" i="6" s="1"/>
  <c r="R70" i="6" s="1"/>
  <c r="H73" i="6"/>
  <c r="F68" i="6"/>
  <c r="G68" i="6" s="1"/>
  <c r="F69" i="6"/>
  <c r="G69" i="6" s="1"/>
  <c r="F70" i="6"/>
  <c r="G70" i="6" s="1"/>
  <c r="F71" i="6"/>
  <c r="G71" i="6" s="1"/>
  <c r="F63" i="6"/>
  <c r="G63" i="6" s="1"/>
  <c r="H64" i="6" s="1"/>
  <c r="F66" i="6"/>
  <c r="G66" i="6" s="1"/>
  <c r="H67" i="6" s="1"/>
  <c r="P57" i="6"/>
  <c r="Q57" i="6" s="1"/>
  <c r="R58" i="6" s="1"/>
  <c r="P53" i="6"/>
  <c r="Q53" i="6" s="1"/>
  <c r="R52" i="6" s="1"/>
  <c r="P54" i="6"/>
  <c r="Q54" i="6" s="1"/>
  <c r="P48" i="6"/>
  <c r="Q48" i="6" s="1"/>
  <c r="R49" i="6" s="1"/>
  <c r="P59" i="6"/>
  <c r="Q59" i="6" s="1"/>
  <c r="R55" i="6"/>
  <c r="F56" i="6"/>
  <c r="G56" i="6" s="1"/>
  <c r="F59" i="6"/>
  <c r="G59" i="6" s="1"/>
  <c r="H58" i="6" s="1"/>
  <c r="F54" i="6"/>
  <c r="G54" i="6" s="1"/>
  <c r="F55" i="6"/>
  <c r="G55" i="6" s="1"/>
  <c r="F48" i="6"/>
  <c r="G48" i="6" s="1"/>
  <c r="H49" i="6" s="1"/>
  <c r="F51" i="6"/>
  <c r="G51" i="6" s="1"/>
  <c r="H52" i="6"/>
  <c r="R40" i="6"/>
  <c r="P44" i="6"/>
  <c r="Q44" i="6" s="1"/>
  <c r="P40" i="6"/>
  <c r="Q40" i="6" s="1"/>
  <c r="P41" i="6"/>
  <c r="Q41" i="6" s="1"/>
  <c r="P33" i="6"/>
  <c r="Q33" i="6" s="1"/>
  <c r="R34" i="6" s="1"/>
  <c r="R43" i="6"/>
  <c r="P36" i="6"/>
  <c r="Q36" i="6" s="1"/>
  <c r="R37" i="6"/>
  <c r="F44" i="6"/>
  <c r="G44" i="6" s="1"/>
  <c r="H43" i="6" s="1"/>
  <c r="F34" i="6"/>
  <c r="G34" i="6" s="1"/>
  <c r="F39" i="6"/>
  <c r="G39" i="6" s="1"/>
  <c r="H40" i="6" s="1"/>
  <c r="F38" i="6"/>
  <c r="G38" i="6" s="1"/>
  <c r="H37" i="6" s="1"/>
  <c r="F33" i="6"/>
  <c r="G33" i="6" s="1"/>
  <c r="H34" i="6" s="1"/>
  <c r="F40" i="6"/>
  <c r="G40" i="6" s="1"/>
  <c r="P23" i="6"/>
  <c r="Q23" i="6" s="1"/>
  <c r="P24" i="6"/>
  <c r="Q24" i="6" s="1"/>
  <c r="P25" i="6"/>
  <c r="Q25" i="6" s="1"/>
  <c r="P26" i="6"/>
  <c r="Q26" i="6" s="1"/>
  <c r="R25" i="6" s="1"/>
  <c r="P18" i="6"/>
  <c r="Q18" i="6" s="1"/>
  <c r="R19" i="6" s="1"/>
  <c r="R28" i="6"/>
  <c r="R22" i="6"/>
  <c r="F19" i="6"/>
  <c r="G19" i="6" s="1"/>
  <c r="H25" i="6"/>
  <c r="F22" i="6"/>
  <c r="G22" i="6" s="1"/>
  <c r="F26" i="6"/>
  <c r="G26" i="6" s="1"/>
  <c r="F27" i="6"/>
  <c r="G27" i="6" s="1"/>
  <c r="F20" i="6"/>
  <c r="G20" i="6" s="1"/>
  <c r="F21" i="6"/>
  <c r="G21" i="6" s="1"/>
  <c r="F28" i="6"/>
  <c r="G28" i="6" s="1"/>
  <c r="F25" i="6"/>
  <c r="G25" i="6" s="1"/>
  <c r="F29" i="6"/>
  <c r="G29" i="6" s="1"/>
  <c r="F18" i="6"/>
  <c r="G18" i="6" s="1"/>
  <c r="H19" i="6" s="1"/>
  <c r="H50" i="1"/>
  <c r="H35" i="1"/>
  <c r="H32" i="1"/>
  <c r="H47" i="1"/>
  <c r="H51" i="8" l="1"/>
  <c r="R103" i="6"/>
  <c r="R79" i="6"/>
  <c r="H70" i="6"/>
  <c r="H55" i="6"/>
  <c r="H22" i="6"/>
  <c r="H28" i="6"/>
</calcChain>
</file>

<file path=xl/sharedStrings.xml><?xml version="1.0" encoding="utf-8"?>
<sst xmlns="http://schemas.openxmlformats.org/spreadsheetml/2006/main" count="1709" uniqueCount="150">
  <si>
    <t>Well</t>
  </si>
  <si>
    <t>Fluor</t>
  </si>
  <si>
    <t>Target</t>
  </si>
  <si>
    <t>Content</t>
  </si>
  <si>
    <t>Sample</t>
  </si>
  <si>
    <t>Cq</t>
  </si>
  <si>
    <t>Cq Mean</t>
  </si>
  <si>
    <t>Cq Std. Dev</t>
  </si>
  <si>
    <t>A01</t>
  </si>
  <si>
    <t>SYBR</t>
  </si>
  <si>
    <t>Unkn</t>
  </si>
  <si>
    <t>N/A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</si>
  <si>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</si>
  <si>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</si>
  <si>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</si>
  <si>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</si>
  <si>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</si>
  <si>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</si>
  <si>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</si>
  <si>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</si>
  <si>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</si>
  <si>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</si>
  <si>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</si>
  <si>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</si>
  <si>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</si>
  <si>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</si>
  <si>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</si>
  <si>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</si>
  <si>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</si>
  <si>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</si>
  <si>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</si>
  <si>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</si>
  <si>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</si>
  <si>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</si>
  <si>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</si>
  <si>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</si>
  <si>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</si>
  <si>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</si>
  <si>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</si>
  <si>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</si>
  <si>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</si>
  <si>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</si>
  <si>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</si>
  <si>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</si>
  <si>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</si>
  <si>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</si>
  <si>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</si>
  <si>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</si>
  <si>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</si>
  <si>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</si>
  <si>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</si>
  <si>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</si>
  <si>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</si>
  <si>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</si>
  <si>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</si>
  <si>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</si>
  <si>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</si>
  <si>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</si>
  <si>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</si>
  <si>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</si>
  <si>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</si>
  <si>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</si>
  <si>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</si>
  <si>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</si>
  <si>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</si>
  <si>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</si>
  <si>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</si>
  <si>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</si>
  <si>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</si>
  <si>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</si>
  <si>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</si>
  <si>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</si>
  <si>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</si>
  <si>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</si>
  <si>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</si>
  <si>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</si>
  <si>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</si>
  <si>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</si>
  <si>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</si>
  <si>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</si>
  <si>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</si>
  <si>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</si>
  <si>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</si>
  <si>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</si>
  <si>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</si>
  <si>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</si>
  <si>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</si>
  <si>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</si>
  <si>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</si>
  <si>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</si>
  <si>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</si>
  <si>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</si>
  <si>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</si>
  <si>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</si>
  <si>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</si>
  <si>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</si>
  <si>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</si>
  <si>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</si>
  <si>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</si>
  <si>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</si>
  <si>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</si>
  <si>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</si>
  <si>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</si>
  <si>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</si>
  <si>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</si>
  <si>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</si>
  <si>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</si>
  <si>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Group</t>
  </si>
  <si>
    <t>ID</t>
  </si>
  <si>
    <t>Fibroblasts Alone
No stim</t>
  </si>
  <si>
    <t>Fibroblasts Alone
LPS</t>
  </si>
  <si>
    <t>Fibroblasts + BMDM
No Stim</t>
  </si>
  <si>
    <t>Fibroblasts + BMDM
LPS</t>
  </si>
  <si>
    <t>Fibroblasts + BMDM Transwell
No Stim</t>
  </si>
  <si>
    <t>Fibroblasts + BMDM
Transwell
LPS</t>
  </si>
  <si>
    <t>Fibroblasts + PM
No Stim</t>
  </si>
  <si>
    <t>Fibroblasts + PM
LPS</t>
  </si>
  <si>
    <t>Fibroblasts + PM
Transwell
No Stim</t>
  </si>
  <si>
    <t>Fibroblasts + PM
Transwell
LPS</t>
  </si>
  <si>
    <t>PM Alone
No stim</t>
  </si>
  <si>
    <t>PM Alone
LPS</t>
  </si>
  <si>
    <t>BMDM Alone</t>
  </si>
  <si>
    <t>BMDM LPS</t>
  </si>
  <si>
    <t>PM + F LPS</t>
  </si>
  <si>
    <t>PM +F 
No Stim</t>
  </si>
  <si>
    <t>BMDM + F
No Stim</t>
  </si>
  <si>
    <t>BMDM + F
LPS</t>
  </si>
  <si>
    <t>GAPDH</t>
  </si>
  <si>
    <t>CCL2</t>
  </si>
  <si>
    <t>CCL11</t>
  </si>
  <si>
    <t>GM-CSF</t>
  </si>
  <si>
    <t>IL-6</t>
  </si>
  <si>
    <t>IL-10</t>
  </si>
  <si>
    <t>IL-17a</t>
  </si>
  <si>
    <t>GAPDH2</t>
  </si>
  <si>
    <t>MHCII</t>
  </si>
  <si>
    <t>IL-1B</t>
  </si>
  <si>
    <t>CxCl9</t>
  </si>
  <si>
    <t>IL-7</t>
  </si>
  <si>
    <t>MMP12</t>
  </si>
  <si>
    <t>TIMP2</t>
  </si>
  <si>
    <t>MMP9</t>
  </si>
  <si>
    <t>TIMP1</t>
  </si>
  <si>
    <t>CCL24</t>
  </si>
  <si>
    <t>dCT</t>
  </si>
  <si>
    <t>dCT avg</t>
  </si>
  <si>
    <t>ddCT</t>
  </si>
  <si>
    <t>Fold change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</si>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</sst>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E0BA-349E-4076-A0BA-8802F13DCB23}">
  <dimension ref="A1:R57"/>
  <sheetViews>
    <sheetView topLeftCell="A19" workbookViewId="0">
      <selection activeCell="A27" sqref="A27:I39"/>
    </sheetView>
  </sheetViews>
  <sheetFormatPr defaultRowHeight="14.5" x14ac:dyDescent="0.35"/>
  <sheetData>
    <row r="1" spans="1:18" x14ac:dyDescent="0.35">
      <c r="A1" t="s">
        <v>107</v>
      </c>
      <c r="B1" t="s">
        <v>108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</row>
    <row r="2" spans="1:18" x14ac:dyDescent="0.35">
      <c r="A2" s="1" t="s">
        <v>119</v>
      </c>
      <c r="B2" s="2">
        <v>1</v>
      </c>
      <c r="C2" t="s">
        <v>11</v>
      </c>
      <c r="D2">
        <v>27.87</v>
      </c>
      <c r="E2">
        <v>37.64</v>
      </c>
      <c r="F2">
        <v>37.19</v>
      </c>
      <c r="G2">
        <v>32.299999999999997</v>
      </c>
      <c r="H2">
        <v>36.65</v>
      </c>
      <c r="I2" t="s">
        <v>11</v>
      </c>
      <c r="J2" t="s">
        <v>11</v>
      </c>
      <c r="K2">
        <v>33.4</v>
      </c>
      <c r="L2">
        <v>30.02</v>
      </c>
      <c r="M2">
        <v>38.74</v>
      </c>
      <c r="N2" t="s">
        <v>11</v>
      </c>
      <c r="O2">
        <v>32.75</v>
      </c>
      <c r="P2">
        <v>36.35</v>
      </c>
      <c r="Q2" t="s">
        <v>11</v>
      </c>
      <c r="R2">
        <v>39.31</v>
      </c>
    </row>
    <row r="3" spans="1:18" x14ac:dyDescent="0.35">
      <c r="A3" s="1"/>
      <c r="B3" s="2">
        <v>2</v>
      </c>
      <c r="C3" t="s">
        <v>11</v>
      </c>
      <c r="D3">
        <v>28.38</v>
      </c>
      <c r="E3" t="s">
        <v>11</v>
      </c>
      <c r="F3">
        <v>36.14</v>
      </c>
      <c r="G3">
        <v>32.869999999999997</v>
      </c>
      <c r="H3">
        <v>39.01</v>
      </c>
      <c r="I3">
        <v>39.950000000000003</v>
      </c>
      <c r="J3" t="s">
        <v>11</v>
      </c>
      <c r="K3">
        <v>34.07</v>
      </c>
      <c r="L3">
        <v>30.02</v>
      </c>
      <c r="M3">
        <v>38.549999999999997</v>
      </c>
      <c r="N3" t="s">
        <v>11</v>
      </c>
      <c r="O3">
        <v>32.369999999999997</v>
      </c>
      <c r="P3">
        <v>35.950000000000003</v>
      </c>
      <c r="Q3" t="s">
        <v>11</v>
      </c>
      <c r="R3">
        <v>38.159999999999997</v>
      </c>
    </row>
    <row r="4" spans="1:18" x14ac:dyDescent="0.35">
      <c r="A4" s="1"/>
      <c r="B4" s="2">
        <v>3</v>
      </c>
      <c r="C4">
        <v>38.35</v>
      </c>
      <c r="D4">
        <v>27.57</v>
      </c>
      <c r="E4" t="s">
        <v>11</v>
      </c>
      <c r="F4">
        <v>35.479999999999997</v>
      </c>
      <c r="G4">
        <v>32.44</v>
      </c>
      <c r="H4">
        <v>36.54</v>
      </c>
      <c r="I4" t="s">
        <v>11</v>
      </c>
      <c r="J4">
        <v>37.369999999999997</v>
      </c>
      <c r="K4">
        <v>33.369999999999997</v>
      </c>
      <c r="L4">
        <v>29.81</v>
      </c>
      <c r="M4">
        <v>37.409999999999997</v>
      </c>
      <c r="N4" t="s">
        <v>11</v>
      </c>
      <c r="O4">
        <v>32.15</v>
      </c>
      <c r="P4">
        <v>37.630000000000003</v>
      </c>
      <c r="Q4" t="s">
        <v>11</v>
      </c>
      <c r="R4" t="s">
        <v>11</v>
      </c>
    </row>
    <row r="5" spans="1:18" x14ac:dyDescent="0.35">
      <c r="A5" s="1" t="s">
        <v>120</v>
      </c>
      <c r="B5" s="2">
        <v>1</v>
      </c>
      <c r="C5" t="s">
        <v>11</v>
      </c>
      <c r="D5">
        <v>27.17</v>
      </c>
      <c r="E5">
        <v>36.520000000000003</v>
      </c>
      <c r="F5">
        <v>35.93</v>
      </c>
      <c r="G5">
        <v>31.77</v>
      </c>
      <c r="H5">
        <v>37.1</v>
      </c>
      <c r="I5" t="s">
        <v>11</v>
      </c>
      <c r="J5" t="s">
        <v>11</v>
      </c>
      <c r="K5">
        <v>32.909999999999997</v>
      </c>
      <c r="L5">
        <v>30</v>
      </c>
      <c r="M5">
        <v>38.4</v>
      </c>
      <c r="N5" t="s">
        <v>11</v>
      </c>
      <c r="O5">
        <v>32.549999999999997</v>
      </c>
      <c r="P5">
        <v>36.07</v>
      </c>
      <c r="Q5" t="s">
        <v>11</v>
      </c>
      <c r="R5">
        <v>39.04</v>
      </c>
    </row>
    <row r="6" spans="1:18" x14ac:dyDescent="0.35">
      <c r="A6" s="1"/>
      <c r="B6" s="2">
        <v>2</v>
      </c>
      <c r="C6">
        <v>35.56</v>
      </c>
      <c r="D6">
        <v>25.62</v>
      </c>
      <c r="E6">
        <v>35.69</v>
      </c>
      <c r="F6">
        <v>35.380000000000003</v>
      </c>
      <c r="G6">
        <v>29.64</v>
      </c>
      <c r="H6">
        <v>35.18</v>
      </c>
      <c r="I6">
        <v>39.200000000000003</v>
      </c>
      <c r="J6">
        <v>36.729999999999997</v>
      </c>
      <c r="K6">
        <v>33.229999999999997</v>
      </c>
      <c r="L6">
        <v>29.07</v>
      </c>
      <c r="M6">
        <v>37.47</v>
      </c>
      <c r="N6">
        <v>37.229999999999997</v>
      </c>
      <c r="O6">
        <v>31.54</v>
      </c>
      <c r="P6">
        <v>29.59</v>
      </c>
      <c r="Q6">
        <v>37.46</v>
      </c>
      <c r="R6">
        <v>35.79</v>
      </c>
    </row>
    <row r="7" spans="1:18" x14ac:dyDescent="0.35">
      <c r="A7" s="1"/>
      <c r="B7" s="2">
        <v>3</v>
      </c>
      <c r="C7" t="s">
        <v>11</v>
      </c>
      <c r="D7">
        <v>26.68</v>
      </c>
      <c r="E7" t="s">
        <v>11</v>
      </c>
      <c r="F7">
        <v>35.380000000000003</v>
      </c>
      <c r="G7">
        <v>31.01</v>
      </c>
      <c r="H7">
        <v>35.97</v>
      </c>
      <c r="I7">
        <v>39.72</v>
      </c>
      <c r="J7">
        <v>38.15</v>
      </c>
      <c r="K7">
        <v>32.950000000000003</v>
      </c>
      <c r="L7">
        <v>28.69</v>
      </c>
      <c r="M7" t="s">
        <v>11</v>
      </c>
      <c r="N7">
        <v>39.28</v>
      </c>
      <c r="O7">
        <v>31.15</v>
      </c>
      <c r="P7">
        <v>32.81</v>
      </c>
      <c r="Q7">
        <v>38.32</v>
      </c>
      <c r="R7">
        <v>37.94</v>
      </c>
    </row>
    <row r="8" spans="1:18" x14ac:dyDescent="0.35">
      <c r="A8" s="1" t="s">
        <v>121</v>
      </c>
      <c r="B8" s="2">
        <v>1</v>
      </c>
      <c r="C8">
        <v>35.06</v>
      </c>
      <c r="D8">
        <v>34.520000000000003</v>
      </c>
      <c r="E8">
        <v>34.22</v>
      </c>
      <c r="F8" t="s">
        <v>11</v>
      </c>
      <c r="G8">
        <v>33.340000000000003</v>
      </c>
      <c r="H8">
        <v>33.56</v>
      </c>
      <c r="I8" t="s">
        <v>11</v>
      </c>
      <c r="J8">
        <v>36.18</v>
      </c>
      <c r="K8">
        <v>30.24</v>
      </c>
      <c r="L8">
        <v>33.04</v>
      </c>
      <c r="M8">
        <v>33.840000000000003</v>
      </c>
      <c r="N8">
        <v>37.15</v>
      </c>
      <c r="O8">
        <v>31.32</v>
      </c>
      <c r="P8">
        <v>28.36</v>
      </c>
      <c r="Q8">
        <v>35.85</v>
      </c>
      <c r="R8">
        <v>35.33</v>
      </c>
    </row>
    <row r="9" spans="1:18" x14ac:dyDescent="0.35">
      <c r="A9" s="1"/>
      <c r="B9" s="2">
        <v>2</v>
      </c>
      <c r="C9">
        <v>33.94</v>
      </c>
      <c r="D9">
        <v>35.01</v>
      </c>
      <c r="E9">
        <v>31.05</v>
      </c>
      <c r="F9" t="s">
        <v>11</v>
      </c>
      <c r="G9">
        <v>31.64</v>
      </c>
      <c r="H9">
        <v>31.65</v>
      </c>
      <c r="I9">
        <v>35.68</v>
      </c>
      <c r="J9">
        <v>34.979999999999997</v>
      </c>
      <c r="K9">
        <v>29.06</v>
      </c>
      <c r="L9">
        <v>31.4</v>
      </c>
      <c r="M9">
        <v>32.03</v>
      </c>
      <c r="N9">
        <v>36.5</v>
      </c>
      <c r="O9">
        <v>30.43</v>
      </c>
      <c r="P9">
        <v>27.38</v>
      </c>
      <c r="Q9">
        <v>32.69</v>
      </c>
      <c r="R9">
        <v>33.549999999999997</v>
      </c>
    </row>
    <row r="10" spans="1:18" x14ac:dyDescent="0.35">
      <c r="A10" s="1"/>
      <c r="B10" s="2">
        <v>3</v>
      </c>
      <c r="C10">
        <v>35.03</v>
      </c>
      <c r="D10">
        <v>31.06</v>
      </c>
      <c r="E10">
        <v>32.78</v>
      </c>
      <c r="F10" t="s">
        <v>11</v>
      </c>
      <c r="G10">
        <v>32.64</v>
      </c>
      <c r="H10">
        <v>33.35</v>
      </c>
      <c r="I10" t="s">
        <v>11</v>
      </c>
      <c r="J10">
        <v>34.93</v>
      </c>
      <c r="K10">
        <v>29.36</v>
      </c>
      <c r="L10">
        <v>32.58</v>
      </c>
      <c r="M10">
        <v>33.28</v>
      </c>
      <c r="N10">
        <v>36.85</v>
      </c>
      <c r="O10">
        <v>31</v>
      </c>
      <c r="P10">
        <v>27.41</v>
      </c>
      <c r="Q10">
        <v>35.26</v>
      </c>
      <c r="R10">
        <v>35.06</v>
      </c>
    </row>
    <row r="11" spans="1:18" x14ac:dyDescent="0.35">
      <c r="A11" s="1" t="s">
        <v>122</v>
      </c>
      <c r="B11" s="2">
        <v>1</v>
      </c>
      <c r="C11">
        <v>32.75</v>
      </c>
      <c r="D11">
        <v>24.29</v>
      </c>
      <c r="E11">
        <v>35.69</v>
      </c>
      <c r="F11">
        <v>34.18</v>
      </c>
      <c r="G11">
        <v>26.57</v>
      </c>
      <c r="H11">
        <v>29.9</v>
      </c>
      <c r="I11" t="s">
        <v>11</v>
      </c>
      <c r="J11">
        <v>33.869999999999997</v>
      </c>
      <c r="K11">
        <v>26.87</v>
      </c>
      <c r="L11">
        <v>24.24</v>
      </c>
      <c r="M11">
        <v>26.24</v>
      </c>
      <c r="N11">
        <v>34.71</v>
      </c>
      <c r="O11">
        <v>29.98</v>
      </c>
      <c r="P11">
        <v>29.11</v>
      </c>
      <c r="Q11">
        <v>31.41</v>
      </c>
      <c r="R11">
        <v>35.72</v>
      </c>
    </row>
    <row r="12" spans="1:18" x14ac:dyDescent="0.35">
      <c r="A12" s="1"/>
      <c r="B12" s="2">
        <v>2</v>
      </c>
      <c r="C12">
        <v>33.43</v>
      </c>
      <c r="D12">
        <v>24.26</v>
      </c>
      <c r="E12">
        <v>35.86</v>
      </c>
      <c r="F12">
        <v>34.5</v>
      </c>
      <c r="G12">
        <v>26.85</v>
      </c>
      <c r="H12">
        <v>30.11</v>
      </c>
      <c r="I12" t="s">
        <v>11</v>
      </c>
      <c r="J12">
        <v>34.39</v>
      </c>
      <c r="K12">
        <v>27.04</v>
      </c>
      <c r="L12">
        <v>24.89</v>
      </c>
      <c r="M12">
        <v>26.18</v>
      </c>
      <c r="N12">
        <v>34.729999999999997</v>
      </c>
      <c r="O12">
        <v>30.55</v>
      </c>
      <c r="P12">
        <v>30.01</v>
      </c>
      <c r="Q12">
        <v>34.01</v>
      </c>
      <c r="R12">
        <v>35.83</v>
      </c>
    </row>
    <row r="13" spans="1:18" x14ac:dyDescent="0.35">
      <c r="A13" s="1"/>
      <c r="B13" s="2">
        <v>3</v>
      </c>
      <c r="C13">
        <v>35.020000000000003</v>
      </c>
      <c r="D13">
        <v>25.86</v>
      </c>
      <c r="E13">
        <v>35.340000000000003</v>
      </c>
      <c r="F13">
        <v>35.4</v>
      </c>
      <c r="G13">
        <v>27.87</v>
      </c>
      <c r="H13">
        <v>31.53</v>
      </c>
      <c r="I13">
        <v>38.83</v>
      </c>
      <c r="J13">
        <v>35.200000000000003</v>
      </c>
      <c r="K13">
        <v>28.28</v>
      </c>
      <c r="L13">
        <v>25.39</v>
      </c>
      <c r="M13">
        <v>27.53</v>
      </c>
      <c r="N13">
        <v>34.69</v>
      </c>
      <c r="O13">
        <v>31.6</v>
      </c>
      <c r="P13">
        <v>30.69</v>
      </c>
      <c r="Q13">
        <v>32.64</v>
      </c>
      <c r="R13">
        <v>36.54</v>
      </c>
    </row>
    <row r="14" spans="1:18" x14ac:dyDescent="0.35">
      <c r="A14" s="1" t="s">
        <v>124</v>
      </c>
      <c r="B14" s="2">
        <v>1</v>
      </c>
      <c r="C14">
        <v>34.53</v>
      </c>
      <c r="D14">
        <v>25.98</v>
      </c>
      <c r="E14">
        <v>36.35</v>
      </c>
      <c r="F14">
        <v>35.57</v>
      </c>
      <c r="G14">
        <v>30.85</v>
      </c>
      <c r="H14">
        <v>38.21</v>
      </c>
      <c r="I14" t="s">
        <v>11</v>
      </c>
      <c r="J14">
        <v>35.36</v>
      </c>
      <c r="K14">
        <v>35.78</v>
      </c>
      <c r="L14">
        <v>34.71</v>
      </c>
      <c r="M14">
        <v>37.69</v>
      </c>
      <c r="N14">
        <v>37.11</v>
      </c>
      <c r="O14">
        <v>35.42</v>
      </c>
      <c r="P14">
        <v>28.7</v>
      </c>
      <c r="Q14">
        <v>33.47</v>
      </c>
      <c r="R14">
        <v>35.200000000000003</v>
      </c>
    </row>
    <row r="15" spans="1:18" x14ac:dyDescent="0.35">
      <c r="A15" s="1"/>
      <c r="B15" s="2">
        <v>2</v>
      </c>
      <c r="C15">
        <v>33.11</v>
      </c>
      <c r="D15">
        <v>23.71</v>
      </c>
      <c r="E15">
        <v>35.76</v>
      </c>
      <c r="F15">
        <v>33.450000000000003</v>
      </c>
      <c r="G15">
        <v>28.16</v>
      </c>
      <c r="H15">
        <v>36.53</v>
      </c>
      <c r="I15" t="s">
        <v>11</v>
      </c>
      <c r="J15">
        <v>33.32</v>
      </c>
      <c r="K15">
        <v>34.33</v>
      </c>
      <c r="L15">
        <v>32.72</v>
      </c>
      <c r="M15">
        <v>32.53</v>
      </c>
      <c r="N15">
        <v>36.630000000000003</v>
      </c>
      <c r="O15">
        <v>34.85</v>
      </c>
      <c r="P15">
        <v>27.07</v>
      </c>
      <c r="Q15">
        <v>31.36</v>
      </c>
      <c r="R15">
        <v>32.67</v>
      </c>
    </row>
    <row r="16" spans="1:18" x14ac:dyDescent="0.35">
      <c r="A16" s="1"/>
      <c r="B16" s="2">
        <v>3</v>
      </c>
      <c r="C16">
        <v>33.56</v>
      </c>
      <c r="D16">
        <v>24.31</v>
      </c>
      <c r="E16">
        <v>34.25</v>
      </c>
      <c r="F16">
        <v>34.15</v>
      </c>
      <c r="G16">
        <v>28.49</v>
      </c>
      <c r="H16">
        <v>36.729999999999997</v>
      </c>
      <c r="I16">
        <v>37.97</v>
      </c>
      <c r="J16">
        <v>34.57</v>
      </c>
      <c r="K16">
        <v>36.1</v>
      </c>
      <c r="L16">
        <v>33.78</v>
      </c>
      <c r="M16">
        <v>36.36</v>
      </c>
      <c r="N16">
        <v>36.6</v>
      </c>
      <c r="O16">
        <v>34.5</v>
      </c>
      <c r="P16">
        <v>27.44</v>
      </c>
      <c r="Q16">
        <v>31.19</v>
      </c>
      <c r="R16">
        <v>33.81</v>
      </c>
    </row>
    <row r="17" spans="1:18" x14ac:dyDescent="0.35">
      <c r="A17" s="1" t="s">
        <v>123</v>
      </c>
      <c r="B17" s="2">
        <v>1</v>
      </c>
      <c r="C17">
        <v>33.15</v>
      </c>
      <c r="D17">
        <v>24.54</v>
      </c>
      <c r="E17">
        <v>34.299999999999997</v>
      </c>
      <c r="F17">
        <v>34.549999999999997</v>
      </c>
      <c r="G17">
        <v>28.73</v>
      </c>
      <c r="H17">
        <v>36.53</v>
      </c>
      <c r="I17">
        <v>36.86</v>
      </c>
      <c r="J17">
        <v>35.17</v>
      </c>
      <c r="K17">
        <v>34.53</v>
      </c>
      <c r="L17">
        <v>32.630000000000003</v>
      </c>
      <c r="M17">
        <v>35.07</v>
      </c>
      <c r="N17">
        <v>36.18</v>
      </c>
      <c r="O17">
        <v>33.97</v>
      </c>
      <c r="P17">
        <v>27.56</v>
      </c>
      <c r="Q17">
        <v>31.62</v>
      </c>
      <c r="R17">
        <v>33.83</v>
      </c>
    </row>
    <row r="18" spans="1:18" x14ac:dyDescent="0.35">
      <c r="A18" s="1"/>
      <c r="B18" s="2">
        <v>2</v>
      </c>
      <c r="C18">
        <v>33.06</v>
      </c>
      <c r="D18">
        <v>24.14</v>
      </c>
      <c r="E18">
        <v>35.979999999999997</v>
      </c>
      <c r="F18">
        <v>33.69</v>
      </c>
      <c r="G18">
        <v>28.31</v>
      </c>
      <c r="H18">
        <v>37</v>
      </c>
      <c r="I18" t="s">
        <v>11</v>
      </c>
      <c r="J18">
        <v>34.18</v>
      </c>
      <c r="K18">
        <v>33.67</v>
      </c>
      <c r="L18">
        <v>32.08</v>
      </c>
      <c r="M18">
        <v>36.75</v>
      </c>
      <c r="N18">
        <v>36.44</v>
      </c>
      <c r="O18">
        <v>33.770000000000003</v>
      </c>
      <c r="P18">
        <v>27.18</v>
      </c>
      <c r="Q18">
        <v>30.75</v>
      </c>
      <c r="R18">
        <v>33.71</v>
      </c>
    </row>
    <row r="19" spans="1:18" x14ac:dyDescent="0.35">
      <c r="A19" s="1"/>
      <c r="B19" s="2">
        <v>3</v>
      </c>
      <c r="C19">
        <v>32.58</v>
      </c>
      <c r="D19">
        <v>24.36</v>
      </c>
      <c r="E19">
        <v>36.29</v>
      </c>
      <c r="F19">
        <v>34.229999999999997</v>
      </c>
      <c r="G19">
        <v>28.6</v>
      </c>
      <c r="H19">
        <v>37.07</v>
      </c>
      <c r="I19" t="s">
        <v>11</v>
      </c>
      <c r="J19">
        <v>33.51</v>
      </c>
      <c r="K19">
        <v>33.880000000000003</v>
      </c>
      <c r="L19">
        <v>31.7</v>
      </c>
      <c r="M19">
        <v>36.6</v>
      </c>
      <c r="N19">
        <v>35.29</v>
      </c>
      <c r="O19">
        <v>34.090000000000003</v>
      </c>
      <c r="P19">
        <v>27.09</v>
      </c>
      <c r="Q19">
        <v>31.7</v>
      </c>
      <c r="R19">
        <v>33.31</v>
      </c>
    </row>
    <row r="20" spans="1:18" x14ac:dyDescent="0.35">
      <c r="A20" s="1" t="s">
        <v>125</v>
      </c>
      <c r="B20" s="2">
        <v>1</v>
      </c>
      <c r="C20">
        <v>33.44</v>
      </c>
      <c r="D20">
        <v>24.67</v>
      </c>
      <c r="E20">
        <v>34.130000000000003</v>
      </c>
      <c r="F20" t="s">
        <v>11</v>
      </c>
      <c r="G20">
        <v>29.04</v>
      </c>
      <c r="H20">
        <v>34.93</v>
      </c>
      <c r="I20">
        <v>37.15</v>
      </c>
      <c r="J20">
        <v>33.72</v>
      </c>
      <c r="K20">
        <v>36.520000000000003</v>
      </c>
      <c r="L20">
        <v>36.15</v>
      </c>
      <c r="M20">
        <v>35.659999999999997</v>
      </c>
      <c r="N20">
        <v>33.520000000000003</v>
      </c>
      <c r="O20">
        <v>32.549999999999997</v>
      </c>
      <c r="P20">
        <v>24.89</v>
      </c>
      <c r="Q20">
        <v>34.729999999999997</v>
      </c>
      <c r="R20">
        <v>31.91</v>
      </c>
    </row>
    <row r="21" spans="1:18" x14ac:dyDescent="0.35">
      <c r="A21" s="1"/>
      <c r="B21" s="2">
        <v>2</v>
      </c>
      <c r="C21">
        <v>32.6</v>
      </c>
      <c r="D21">
        <v>24.09</v>
      </c>
      <c r="E21">
        <v>32.590000000000003</v>
      </c>
      <c r="F21">
        <v>38.25</v>
      </c>
      <c r="G21">
        <v>28.79</v>
      </c>
      <c r="H21">
        <v>35.46</v>
      </c>
      <c r="I21" t="s">
        <v>11</v>
      </c>
      <c r="J21">
        <v>34.119999999999997</v>
      </c>
      <c r="K21">
        <v>35.94</v>
      </c>
      <c r="L21">
        <v>37.4</v>
      </c>
      <c r="M21">
        <v>35.9</v>
      </c>
      <c r="N21">
        <v>33.47</v>
      </c>
      <c r="O21">
        <v>32.35</v>
      </c>
      <c r="P21">
        <v>25.03</v>
      </c>
      <c r="Q21">
        <v>35.700000000000003</v>
      </c>
      <c r="R21">
        <v>32.119999999999997</v>
      </c>
    </row>
    <row r="22" spans="1:18" x14ac:dyDescent="0.35">
      <c r="A22" s="1"/>
      <c r="B22" s="2">
        <v>3</v>
      </c>
      <c r="C22">
        <v>32.28</v>
      </c>
      <c r="D22">
        <v>23.49</v>
      </c>
      <c r="E22">
        <v>32.130000000000003</v>
      </c>
      <c r="F22" t="s">
        <v>11</v>
      </c>
      <c r="G22">
        <v>27.71</v>
      </c>
      <c r="H22">
        <v>34.409999999999997</v>
      </c>
      <c r="I22" t="s">
        <v>11</v>
      </c>
      <c r="J22">
        <v>32.770000000000003</v>
      </c>
      <c r="K22">
        <v>36.21</v>
      </c>
      <c r="L22">
        <v>36.9</v>
      </c>
      <c r="M22">
        <v>37.25</v>
      </c>
      <c r="N22">
        <v>32.659999999999997</v>
      </c>
      <c r="O22">
        <v>31.51</v>
      </c>
      <c r="P22">
        <v>23.54</v>
      </c>
      <c r="Q22">
        <v>35.549999999999997</v>
      </c>
      <c r="R22">
        <v>30.89</v>
      </c>
    </row>
    <row r="23" spans="1:18" x14ac:dyDescent="0.35">
      <c r="A23" s="1" t="s">
        <v>126</v>
      </c>
      <c r="B23" s="2">
        <v>1</v>
      </c>
      <c r="C23">
        <v>32.450000000000003</v>
      </c>
      <c r="D23">
        <v>21</v>
      </c>
      <c r="E23">
        <v>28.54</v>
      </c>
      <c r="F23">
        <v>34.119999999999997</v>
      </c>
      <c r="G23">
        <v>23.44</v>
      </c>
      <c r="H23">
        <v>33.090000000000003</v>
      </c>
      <c r="I23" t="s">
        <v>11</v>
      </c>
      <c r="J23">
        <v>33.020000000000003</v>
      </c>
      <c r="K23">
        <v>34.020000000000003</v>
      </c>
      <c r="L23">
        <v>24.36</v>
      </c>
      <c r="M23">
        <v>26.36</v>
      </c>
      <c r="N23">
        <v>33.06</v>
      </c>
      <c r="O23">
        <v>30.97</v>
      </c>
      <c r="P23">
        <v>24.63</v>
      </c>
      <c r="Q23">
        <v>30.85</v>
      </c>
      <c r="R23">
        <v>30.96</v>
      </c>
    </row>
    <row r="24" spans="1:18" x14ac:dyDescent="0.35">
      <c r="A24" s="1"/>
      <c r="B24" s="2">
        <v>2</v>
      </c>
      <c r="C24">
        <v>32.119999999999997</v>
      </c>
      <c r="D24">
        <v>21.12</v>
      </c>
      <c r="E24">
        <v>29.4</v>
      </c>
      <c r="F24">
        <v>36.14</v>
      </c>
      <c r="G24">
        <v>23.92</v>
      </c>
      <c r="H24">
        <v>32.24</v>
      </c>
      <c r="I24" t="s">
        <v>11</v>
      </c>
      <c r="J24">
        <v>32.92</v>
      </c>
      <c r="K24">
        <v>33.619999999999997</v>
      </c>
      <c r="L24">
        <v>23.84</v>
      </c>
      <c r="M24">
        <v>27.42</v>
      </c>
      <c r="N24">
        <v>33.07</v>
      </c>
      <c r="O24">
        <v>30.18</v>
      </c>
      <c r="P24">
        <v>24.6</v>
      </c>
      <c r="Q24">
        <v>30.19</v>
      </c>
      <c r="R24">
        <v>30.98</v>
      </c>
    </row>
    <row r="25" spans="1:18" x14ac:dyDescent="0.35">
      <c r="A25" s="1"/>
      <c r="B25" s="2">
        <v>3</v>
      </c>
      <c r="C25">
        <v>32.25</v>
      </c>
      <c r="D25">
        <v>20.78</v>
      </c>
      <c r="E25">
        <v>29.59</v>
      </c>
      <c r="F25">
        <v>35.47</v>
      </c>
      <c r="G25">
        <v>23.76</v>
      </c>
      <c r="H25">
        <v>32.5</v>
      </c>
      <c r="I25" t="s">
        <v>11</v>
      </c>
      <c r="J25">
        <v>33</v>
      </c>
      <c r="K25">
        <v>35.270000000000003</v>
      </c>
      <c r="L25">
        <v>23.86</v>
      </c>
      <c r="M25">
        <v>27.29</v>
      </c>
      <c r="N25">
        <v>33.31</v>
      </c>
      <c r="O25">
        <v>30.55</v>
      </c>
      <c r="P25">
        <v>24.93</v>
      </c>
      <c r="Q25">
        <v>30.15</v>
      </c>
      <c r="R25">
        <v>31.07</v>
      </c>
    </row>
    <row r="27" spans="1:18" x14ac:dyDescent="0.35">
      <c r="A27" s="4"/>
      <c r="B27" s="5" t="s">
        <v>143</v>
      </c>
      <c r="C27" s="5" t="s">
        <v>127</v>
      </c>
      <c r="D27" s="5" t="s">
        <v>144</v>
      </c>
      <c r="E27" s="5" t="s">
        <v>145</v>
      </c>
      <c r="F27" s="5" t="s">
        <v>146</v>
      </c>
      <c r="G27" s="5" t="s">
        <v>147</v>
      </c>
      <c r="H27" s="5" t="s">
        <v>148</v>
      </c>
      <c r="I27" s="5" t="s">
        <v>149</v>
      </c>
    </row>
    <row r="28" spans="1:18" x14ac:dyDescent="0.35">
      <c r="A28" s="1" t="s">
        <v>109</v>
      </c>
      <c r="B28" s="6">
        <v>34.69</v>
      </c>
      <c r="C28" s="6">
        <v>29.49</v>
      </c>
      <c r="D28" s="5">
        <f>B28-C28</f>
        <v>5.1999999999999993</v>
      </c>
      <c r="E28" s="5">
        <f>AVERAGE($B$34:$B$36)-AVERAGE($C$34:$C$36)</f>
        <v>5.4633333333333347</v>
      </c>
      <c r="F28" s="5">
        <f>D28-E28</f>
        <v>-0.26333333333333542</v>
      </c>
      <c r="G28" s="5">
        <f>2^-F28</f>
        <v>1.2002486666652694</v>
      </c>
      <c r="H28" s="5"/>
      <c r="I28" s="5"/>
    </row>
    <row r="29" spans="1:18" x14ac:dyDescent="0.35">
      <c r="A29" s="1"/>
      <c r="B29" s="6">
        <v>33.6</v>
      </c>
      <c r="C29" s="6">
        <v>28.89</v>
      </c>
      <c r="D29" s="5">
        <f t="shared" ref="D29" si="0">B29-C29</f>
        <v>4.7100000000000009</v>
      </c>
      <c r="E29" s="5">
        <f t="shared" ref="E29:E57" si="1">AVERAGE($B$34:$B$36)-AVERAGE($C$34:$C$36)</f>
        <v>5.4633333333333347</v>
      </c>
      <c r="F29" s="5">
        <f t="shared" ref="F29:F57" si="2">D29-E29</f>
        <v>-0.75333333333333385</v>
      </c>
      <c r="G29" s="5">
        <f t="shared" ref="G29:G57" si="3">2^-F29</f>
        <v>1.6856830895093993</v>
      </c>
      <c r="H29" s="5">
        <f>AVERAGE(G28:G30)</f>
        <v>1.5356782102211088</v>
      </c>
      <c r="I29" s="5"/>
    </row>
    <row r="30" spans="1:18" x14ac:dyDescent="0.35">
      <c r="A30" s="1"/>
      <c r="B30" s="6">
        <v>33.99</v>
      </c>
      <c r="C30" s="6">
        <v>29.31</v>
      </c>
      <c r="D30" s="5">
        <f>B30-C30</f>
        <v>4.6800000000000033</v>
      </c>
      <c r="E30" s="5">
        <f t="shared" si="1"/>
        <v>5.4633333333333347</v>
      </c>
      <c r="F30" s="5">
        <f t="shared" si="2"/>
        <v>-0.78333333333333144</v>
      </c>
      <c r="G30" s="5">
        <f t="shared" si="3"/>
        <v>1.7211028744886578</v>
      </c>
    </row>
    <row r="31" spans="1:18" x14ac:dyDescent="0.35">
      <c r="A31" s="1" t="s">
        <v>110</v>
      </c>
      <c r="B31" s="6">
        <v>35.049999999999997</v>
      </c>
      <c r="C31" s="6">
        <v>28.73</v>
      </c>
      <c r="D31" s="5">
        <f t="shared" ref="D31:D33" si="4">B31-C31</f>
        <v>6.3199999999999967</v>
      </c>
      <c r="E31" s="5">
        <f t="shared" si="1"/>
        <v>5.4633333333333347</v>
      </c>
      <c r="F31" s="5">
        <f t="shared" si="2"/>
        <v>0.85666666666666202</v>
      </c>
      <c r="G31" s="5">
        <f t="shared" si="3"/>
        <v>0.55222700037217753</v>
      </c>
    </row>
    <row r="32" spans="1:18" x14ac:dyDescent="0.35">
      <c r="A32" s="1"/>
      <c r="B32" s="6">
        <v>35.729999999999997</v>
      </c>
      <c r="C32" s="6">
        <v>28.85</v>
      </c>
      <c r="D32" s="5">
        <f t="shared" si="4"/>
        <v>6.8799999999999955</v>
      </c>
      <c r="E32" s="5">
        <f t="shared" si="1"/>
        <v>5.4633333333333347</v>
      </c>
      <c r="F32" s="5">
        <f t="shared" si="2"/>
        <v>1.4166666666666607</v>
      </c>
      <c r="G32" s="5">
        <f t="shared" si="3"/>
        <v>0.37457676921917193</v>
      </c>
      <c r="H32" s="5">
        <f>AVERAGE(G31:G33)</f>
        <v>0.38473612269697327</v>
      </c>
    </row>
    <row r="33" spans="1:8" x14ac:dyDescent="0.35">
      <c r="A33" s="1"/>
      <c r="B33" s="6">
        <v>36.39</v>
      </c>
      <c r="C33" s="6">
        <v>28.79</v>
      </c>
      <c r="D33" s="5">
        <f t="shared" si="4"/>
        <v>7.6000000000000014</v>
      </c>
      <c r="E33" s="5">
        <f t="shared" si="1"/>
        <v>5.4633333333333347</v>
      </c>
      <c r="F33" s="5">
        <f t="shared" si="2"/>
        <v>2.1366666666666667</v>
      </c>
      <c r="G33" s="5">
        <f t="shared" si="3"/>
        <v>0.2274045984995704</v>
      </c>
    </row>
    <row r="34" spans="1:8" x14ac:dyDescent="0.35">
      <c r="A34" s="1" t="s">
        <v>111</v>
      </c>
      <c r="B34" s="6">
        <v>35.03</v>
      </c>
      <c r="C34" s="6">
        <v>29.49</v>
      </c>
      <c r="D34" s="5">
        <f>B34-C34</f>
        <v>5.5400000000000027</v>
      </c>
      <c r="E34" s="5">
        <f t="shared" si="1"/>
        <v>5.4633333333333347</v>
      </c>
      <c r="F34" s="5">
        <f t="shared" si="2"/>
        <v>7.6666666666667993E-2</v>
      </c>
      <c r="G34" s="5">
        <f t="shared" si="3"/>
        <v>0.94824603117449646</v>
      </c>
    </row>
    <row r="35" spans="1:8" x14ac:dyDescent="0.35">
      <c r="A35" s="1"/>
      <c r="B35" s="6">
        <v>36.270000000000003</v>
      </c>
      <c r="C35" s="6">
        <v>29.71</v>
      </c>
      <c r="D35" s="5">
        <f t="shared" ref="D35:D57" si="5">B35-C35</f>
        <v>6.5600000000000023</v>
      </c>
      <c r="E35" s="5">
        <f t="shared" si="1"/>
        <v>5.4633333333333347</v>
      </c>
      <c r="F35" s="5">
        <f t="shared" si="2"/>
        <v>1.0966666666666676</v>
      </c>
      <c r="G35" s="5">
        <f t="shared" si="3"/>
        <v>0.46759562392515908</v>
      </c>
      <c r="H35" s="5">
        <f>AVERAGE(G34:G36)</f>
        <v>1.2237211697304244</v>
      </c>
    </row>
    <row r="36" spans="1:8" x14ac:dyDescent="0.35">
      <c r="A36" s="1"/>
      <c r="B36" s="6">
        <v>33.479999999999997</v>
      </c>
      <c r="C36" s="6">
        <v>29.19</v>
      </c>
      <c r="D36" s="5">
        <f t="shared" si="5"/>
        <v>4.2899999999999956</v>
      </c>
      <c r="E36" s="5">
        <f t="shared" si="1"/>
        <v>5.4633333333333347</v>
      </c>
      <c r="F36" s="5">
        <f t="shared" si="2"/>
        <v>-1.1733333333333391</v>
      </c>
      <c r="G36" s="5">
        <f t="shared" si="3"/>
        <v>2.2553218540916178</v>
      </c>
    </row>
    <row r="37" spans="1:8" x14ac:dyDescent="0.35">
      <c r="A37" s="1" t="s">
        <v>112</v>
      </c>
      <c r="B37" s="6">
        <v>34.61</v>
      </c>
      <c r="C37" s="6">
        <v>29.11</v>
      </c>
      <c r="D37" s="5">
        <f t="shared" si="5"/>
        <v>5.5</v>
      </c>
      <c r="E37" s="5">
        <f t="shared" si="1"/>
        <v>5.4633333333333347</v>
      </c>
      <c r="F37" s="5">
        <f t="shared" si="2"/>
        <v>3.6666666666665293E-2</v>
      </c>
      <c r="G37" s="5">
        <f t="shared" si="3"/>
        <v>0.97490485572224106</v>
      </c>
    </row>
    <row r="38" spans="1:8" x14ac:dyDescent="0.35">
      <c r="A38" s="1"/>
      <c r="B38" s="6">
        <v>34.56</v>
      </c>
      <c r="C38" s="6">
        <v>28.9</v>
      </c>
      <c r="D38" s="5">
        <f t="shared" si="5"/>
        <v>5.6600000000000037</v>
      </c>
      <c r="E38" s="5">
        <f t="shared" si="1"/>
        <v>5.4633333333333347</v>
      </c>
      <c r="F38" s="5">
        <f t="shared" si="2"/>
        <v>0.19666666666666899</v>
      </c>
      <c r="G38" s="5">
        <f t="shared" si="3"/>
        <v>0.8725642876408215</v>
      </c>
      <c r="H38" s="5">
        <f>AVERAGE(G37:G39)</f>
        <v>0.88720013698958755</v>
      </c>
    </row>
    <row r="39" spans="1:8" x14ac:dyDescent="0.35">
      <c r="A39" s="1"/>
      <c r="B39" s="6">
        <v>35.200000000000003</v>
      </c>
      <c r="C39" s="6">
        <v>29.44</v>
      </c>
      <c r="D39" s="5">
        <f t="shared" si="5"/>
        <v>5.7600000000000016</v>
      </c>
      <c r="E39" s="5">
        <f t="shared" si="1"/>
        <v>5.4633333333333347</v>
      </c>
      <c r="F39" s="5">
        <f t="shared" si="2"/>
        <v>0.29666666666666686</v>
      </c>
      <c r="G39" s="5">
        <f t="shared" si="3"/>
        <v>0.81413126760570009</v>
      </c>
    </row>
    <row r="40" spans="1:8" x14ac:dyDescent="0.35">
      <c r="A40" s="1" t="s">
        <v>113</v>
      </c>
      <c r="B40" s="6">
        <v>34.68</v>
      </c>
      <c r="C40" s="6">
        <v>30.18</v>
      </c>
      <c r="D40" s="5">
        <f t="shared" si="5"/>
        <v>4.5</v>
      </c>
      <c r="E40" s="5">
        <f t="shared" si="1"/>
        <v>5.4633333333333347</v>
      </c>
      <c r="F40" s="5">
        <f t="shared" si="2"/>
        <v>-0.96333333333333471</v>
      </c>
      <c r="G40" s="5">
        <f t="shared" si="3"/>
        <v>1.9498097114444823</v>
      </c>
    </row>
    <row r="41" spans="1:8" x14ac:dyDescent="0.35">
      <c r="A41" s="1"/>
      <c r="B41" s="6">
        <v>34.33</v>
      </c>
      <c r="C41" s="6">
        <v>30.19</v>
      </c>
      <c r="D41" s="5">
        <f t="shared" si="5"/>
        <v>4.139999999999997</v>
      </c>
      <c r="E41" s="5">
        <f t="shared" si="1"/>
        <v>5.4633333333333347</v>
      </c>
      <c r="F41" s="5">
        <f t="shared" si="2"/>
        <v>-1.3233333333333377</v>
      </c>
      <c r="G41" s="5">
        <f t="shared" si="3"/>
        <v>2.5024362789875072</v>
      </c>
      <c r="H41" s="5">
        <f>AVERAGE(G40:G42)</f>
        <v>2.3124655598012844</v>
      </c>
    </row>
    <row r="42" spans="1:8" x14ac:dyDescent="0.35">
      <c r="A42" s="1"/>
      <c r="B42" s="6">
        <v>33.880000000000003</v>
      </c>
      <c r="C42" s="6">
        <v>29.73</v>
      </c>
      <c r="D42" s="5">
        <f t="shared" si="5"/>
        <v>4.1500000000000021</v>
      </c>
      <c r="E42" s="5">
        <f t="shared" si="1"/>
        <v>5.4633333333333347</v>
      </c>
      <c r="F42" s="5">
        <f t="shared" si="2"/>
        <v>-1.3133333333333326</v>
      </c>
      <c r="G42" s="5">
        <f t="shared" si="3"/>
        <v>2.4851506889718649</v>
      </c>
    </row>
    <row r="43" spans="1:8" x14ac:dyDescent="0.35">
      <c r="A43" s="1" t="s">
        <v>114</v>
      </c>
      <c r="B43" s="6">
        <v>35.79</v>
      </c>
      <c r="C43" s="6">
        <v>29.62</v>
      </c>
      <c r="D43" s="5">
        <f t="shared" si="5"/>
        <v>6.1699999999999982</v>
      </c>
      <c r="E43" s="5">
        <f t="shared" si="1"/>
        <v>5.4633333333333347</v>
      </c>
      <c r="F43" s="5">
        <f t="shared" si="2"/>
        <v>0.70666666666666345</v>
      </c>
      <c r="G43" s="5">
        <f t="shared" si="3"/>
        <v>0.612734221264566</v>
      </c>
    </row>
    <row r="44" spans="1:8" x14ac:dyDescent="0.35">
      <c r="A44" s="1"/>
      <c r="B44" s="6">
        <v>34.83</v>
      </c>
      <c r="C44" s="6">
        <v>30.11</v>
      </c>
      <c r="D44" s="5">
        <f t="shared" si="5"/>
        <v>4.7199999999999989</v>
      </c>
      <c r="E44" s="5">
        <f t="shared" si="1"/>
        <v>5.4633333333333347</v>
      </c>
      <c r="F44" s="5">
        <f t="shared" si="2"/>
        <v>-0.74333333333333584</v>
      </c>
      <c r="G44" s="5">
        <f t="shared" si="3"/>
        <v>1.6740392258769039</v>
      </c>
      <c r="H44" s="5">
        <f>AVERAGE(G43:G45)</f>
        <v>0.90568305525454507</v>
      </c>
    </row>
    <row r="45" spans="1:8" x14ac:dyDescent="0.35">
      <c r="A45" s="1"/>
      <c r="B45" s="6">
        <v>36.75</v>
      </c>
      <c r="C45" s="6">
        <v>30.07</v>
      </c>
      <c r="D45" s="5">
        <f t="shared" si="5"/>
        <v>6.68</v>
      </c>
      <c r="E45" s="5">
        <f t="shared" si="1"/>
        <v>5.4633333333333347</v>
      </c>
      <c r="F45" s="5">
        <f t="shared" si="2"/>
        <v>1.216666666666665</v>
      </c>
      <c r="G45" s="5">
        <f t="shared" si="3"/>
        <v>0.43027571862216552</v>
      </c>
    </row>
    <row r="46" spans="1:8" x14ac:dyDescent="0.35">
      <c r="A46" s="1" t="s">
        <v>115</v>
      </c>
      <c r="B46" s="6">
        <v>34.85</v>
      </c>
      <c r="C46" s="6">
        <v>28.94</v>
      </c>
      <c r="D46" s="5">
        <f t="shared" si="5"/>
        <v>5.91</v>
      </c>
      <c r="E46" s="5">
        <f t="shared" si="1"/>
        <v>5.4633333333333347</v>
      </c>
      <c r="F46" s="5">
        <f t="shared" si="2"/>
        <v>0.44666666666666544</v>
      </c>
      <c r="G46" s="5">
        <f t="shared" si="3"/>
        <v>0.73373618155557963</v>
      </c>
    </row>
    <row r="47" spans="1:8" x14ac:dyDescent="0.35">
      <c r="A47" s="1"/>
      <c r="B47" s="6">
        <v>36.76</v>
      </c>
      <c r="C47" s="6">
        <v>29.48</v>
      </c>
      <c r="D47" s="5">
        <f t="shared" si="5"/>
        <v>7.2799999999999976</v>
      </c>
      <c r="E47" s="5">
        <f t="shared" si="1"/>
        <v>5.4633333333333347</v>
      </c>
      <c r="F47" s="5">
        <f t="shared" si="2"/>
        <v>1.8166666666666629</v>
      </c>
      <c r="G47" s="5">
        <f t="shared" si="3"/>
        <v>0.28387610726772011</v>
      </c>
      <c r="H47" s="5" t="e">
        <f>AVERAGE(G46:G48)</f>
        <v>#VALUE!</v>
      </c>
    </row>
    <row r="48" spans="1:8" x14ac:dyDescent="0.35">
      <c r="A48" s="1"/>
      <c r="B48" s="6" t="s">
        <v>11</v>
      </c>
      <c r="C48" s="6">
        <v>29.53</v>
      </c>
      <c r="D48" s="5" t="e">
        <f t="shared" si="5"/>
        <v>#VALUE!</v>
      </c>
      <c r="E48" s="5">
        <f t="shared" si="1"/>
        <v>5.4633333333333347</v>
      </c>
      <c r="F48" s="5" t="e">
        <f t="shared" si="2"/>
        <v>#VALUE!</v>
      </c>
      <c r="G48" s="5" t="e">
        <f t="shared" si="3"/>
        <v>#VALUE!</v>
      </c>
    </row>
    <row r="49" spans="1:9" x14ac:dyDescent="0.35">
      <c r="A49" s="1" t="s">
        <v>116</v>
      </c>
      <c r="B49" s="6">
        <v>35.64</v>
      </c>
      <c r="C49" s="6">
        <v>28.36</v>
      </c>
      <c r="D49" s="5">
        <f t="shared" si="5"/>
        <v>7.2800000000000011</v>
      </c>
      <c r="E49" s="5">
        <f t="shared" si="1"/>
        <v>5.4633333333333347</v>
      </c>
      <c r="F49" s="5">
        <f t="shared" si="2"/>
        <v>1.8166666666666664</v>
      </c>
      <c r="G49" s="5">
        <f t="shared" si="3"/>
        <v>0.28387610726771939</v>
      </c>
    </row>
    <row r="50" spans="1:9" x14ac:dyDescent="0.35">
      <c r="A50" s="1"/>
      <c r="B50" s="6">
        <v>35.18</v>
      </c>
      <c r="C50" s="6">
        <v>30.43</v>
      </c>
      <c r="D50" s="5">
        <f t="shared" si="5"/>
        <v>4.75</v>
      </c>
      <c r="E50" s="5">
        <f t="shared" si="1"/>
        <v>5.4633333333333347</v>
      </c>
      <c r="F50" s="5">
        <f t="shared" si="2"/>
        <v>-0.71333333333333471</v>
      </c>
      <c r="G50" s="5">
        <f t="shared" si="3"/>
        <v>1.6395879967805447</v>
      </c>
      <c r="H50" s="5">
        <f>AVERAGE(G49:G51)</f>
        <v>0.67627309904753385</v>
      </c>
    </row>
    <row r="51" spans="1:9" x14ac:dyDescent="0.35">
      <c r="A51" s="1"/>
      <c r="B51" s="6">
        <v>37.6</v>
      </c>
      <c r="C51" s="6">
        <v>28.89</v>
      </c>
      <c r="D51" s="5">
        <f t="shared" si="5"/>
        <v>8.7100000000000009</v>
      </c>
      <c r="E51" s="5">
        <f t="shared" si="1"/>
        <v>5.4633333333333347</v>
      </c>
      <c r="F51" s="5">
        <f t="shared" si="2"/>
        <v>3.2466666666666661</v>
      </c>
      <c r="G51" s="5">
        <f t="shared" si="3"/>
        <v>0.10535519309433747</v>
      </c>
    </row>
    <row r="52" spans="1:9" x14ac:dyDescent="0.35">
      <c r="A52" s="1" t="s">
        <v>117</v>
      </c>
      <c r="B52" s="6" t="s">
        <v>11</v>
      </c>
      <c r="C52" s="6">
        <v>30.14</v>
      </c>
      <c r="D52" s="5" t="e">
        <f t="shared" si="5"/>
        <v>#VALUE!</v>
      </c>
      <c r="E52" s="5">
        <f t="shared" si="1"/>
        <v>5.4633333333333347</v>
      </c>
      <c r="F52" s="5" t="e">
        <f t="shared" si="2"/>
        <v>#VALUE!</v>
      </c>
      <c r="G52" s="5" t="e">
        <f t="shared" si="3"/>
        <v>#VALUE!</v>
      </c>
    </row>
    <row r="53" spans="1:9" x14ac:dyDescent="0.35">
      <c r="A53" s="1"/>
      <c r="B53" s="6" t="s">
        <v>11</v>
      </c>
      <c r="C53" s="6">
        <v>29.65</v>
      </c>
      <c r="D53" s="5" t="e">
        <f t="shared" si="5"/>
        <v>#VALUE!</v>
      </c>
      <c r="E53" s="5">
        <f t="shared" si="1"/>
        <v>5.4633333333333347</v>
      </c>
      <c r="F53" s="5" t="e">
        <f t="shared" si="2"/>
        <v>#VALUE!</v>
      </c>
      <c r="G53" s="5" t="e">
        <f t="shared" si="3"/>
        <v>#VALUE!</v>
      </c>
      <c r="H53" s="5" t="e">
        <f>AVERAGE(G52:G54)</f>
        <v>#VALUE!</v>
      </c>
    </row>
    <row r="54" spans="1:9" x14ac:dyDescent="0.35">
      <c r="A54" s="1"/>
      <c r="B54" s="6" t="s">
        <v>11</v>
      </c>
      <c r="C54" s="6">
        <v>28.7</v>
      </c>
      <c r="D54" s="5" t="e">
        <f t="shared" si="5"/>
        <v>#VALUE!</v>
      </c>
      <c r="E54" s="5">
        <f t="shared" si="1"/>
        <v>5.4633333333333347</v>
      </c>
      <c r="F54" s="5" t="e">
        <f t="shared" si="2"/>
        <v>#VALUE!</v>
      </c>
      <c r="G54" s="5" t="e">
        <f t="shared" si="3"/>
        <v>#VALUE!</v>
      </c>
    </row>
    <row r="55" spans="1:9" x14ac:dyDescent="0.35">
      <c r="A55" s="1" t="s">
        <v>118</v>
      </c>
      <c r="B55" s="6">
        <v>36.270000000000003</v>
      </c>
      <c r="C55" s="6">
        <v>29</v>
      </c>
      <c r="D55" s="5">
        <f t="shared" si="5"/>
        <v>7.2700000000000031</v>
      </c>
      <c r="E55" s="5">
        <f t="shared" si="1"/>
        <v>5.4633333333333347</v>
      </c>
      <c r="F55" s="5">
        <f t="shared" si="2"/>
        <v>1.8066666666666684</v>
      </c>
      <c r="G55" s="5">
        <f t="shared" si="3"/>
        <v>0.28585062174172615</v>
      </c>
      <c r="I55" s="3"/>
    </row>
    <row r="56" spans="1:9" x14ac:dyDescent="0.35">
      <c r="A56" s="1"/>
      <c r="B56" s="6">
        <v>35.39</v>
      </c>
      <c r="C56" s="6">
        <v>29.19</v>
      </c>
      <c r="D56" s="5">
        <f t="shared" si="5"/>
        <v>6.1999999999999993</v>
      </c>
      <c r="E56" s="5">
        <f t="shared" si="1"/>
        <v>5.4633333333333347</v>
      </c>
      <c r="F56" s="5">
        <f t="shared" si="2"/>
        <v>0.73666666666666458</v>
      </c>
      <c r="G56" s="5">
        <f t="shared" si="3"/>
        <v>0.60012433333263471</v>
      </c>
      <c r="H56" s="5">
        <f>AVERAGE(G55:G57)</f>
        <v>0.67645914734708834</v>
      </c>
    </row>
    <row r="57" spans="1:9" x14ac:dyDescent="0.35">
      <c r="A57" s="1"/>
      <c r="B57" s="7">
        <v>33.67</v>
      </c>
      <c r="C57" s="6">
        <v>28.4</v>
      </c>
      <c r="D57" s="5">
        <f t="shared" si="5"/>
        <v>5.2700000000000031</v>
      </c>
      <c r="E57" s="5">
        <f t="shared" si="1"/>
        <v>5.4633333333333347</v>
      </c>
      <c r="F57" s="5">
        <f t="shared" si="2"/>
        <v>-0.19333333333333158</v>
      </c>
      <c r="G57" s="5">
        <f t="shared" si="3"/>
        <v>1.1434024869669044</v>
      </c>
    </row>
  </sheetData>
  <mergeCells count="18">
    <mergeCell ref="A52:A54"/>
    <mergeCell ref="A55:A57"/>
    <mergeCell ref="A34:A36"/>
    <mergeCell ref="A37:A39"/>
    <mergeCell ref="A40:A42"/>
    <mergeCell ref="A43:A45"/>
    <mergeCell ref="A46:A48"/>
    <mergeCell ref="A49:A51"/>
    <mergeCell ref="A20:A22"/>
    <mergeCell ref="A23:A25"/>
    <mergeCell ref="A28:A30"/>
    <mergeCell ref="A31:A33"/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8704-A246-4ACB-B4DB-9A33B956D8BB}">
  <dimension ref="A2:S119"/>
  <sheetViews>
    <sheetView topLeftCell="A97" workbookViewId="0">
      <selection activeCell="A107" sqref="A107:J113"/>
    </sheetView>
  </sheetViews>
  <sheetFormatPr defaultRowHeight="14.5" x14ac:dyDescent="0.35"/>
  <sheetData>
    <row r="2" spans="1:17" x14ac:dyDescent="0.35">
      <c r="A2" t="s">
        <v>107</v>
      </c>
      <c r="B2" t="s">
        <v>108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 t="s">
        <v>132</v>
      </c>
      <c r="I2" t="s">
        <v>133</v>
      </c>
      <c r="J2" t="s">
        <v>135</v>
      </c>
      <c r="K2" t="s">
        <v>136</v>
      </c>
      <c r="L2" t="s">
        <v>137</v>
      </c>
      <c r="M2" t="s">
        <v>138</v>
      </c>
      <c r="N2" t="s">
        <v>139</v>
      </c>
      <c r="O2" t="s">
        <v>140</v>
      </c>
      <c r="P2" t="s">
        <v>141</v>
      </c>
      <c r="Q2" t="s">
        <v>142</v>
      </c>
    </row>
    <row r="3" spans="1:17" x14ac:dyDescent="0.35">
      <c r="A3" s="1" t="s">
        <v>124</v>
      </c>
      <c r="B3" s="2">
        <v>1</v>
      </c>
      <c r="C3">
        <v>34.53</v>
      </c>
      <c r="D3">
        <v>25.98</v>
      </c>
      <c r="E3">
        <v>36.35</v>
      </c>
      <c r="F3">
        <v>35.57</v>
      </c>
      <c r="G3">
        <v>30.85</v>
      </c>
      <c r="H3">
        <v>38.21</v>
      </c>
      <c r="I3" t="s">
        <v>11</v>
      </c>
      <c r="J3">
        <v>35.78</v>
      </c>
      <c r="K3">
        <v>34.71</v>
      </c>
      <c r="L3">
        <v>37.69</v>
      </c>
      <c r="M3">
        <v>37.11</v>
      </c>
      <c r="N3">
        <v>35.42</v>
      </c>
      <c r="O3">
        <v>28.7</v>
      </c>
      <c r="P3">
        <v>33.47</v>
      </c>
      <c r="Q3">
        <v>35.200000000000003</v>
      </c>
    </row>
    <row r="4" spans="1:17" x14ac:dyDescent="0.35">
      <c r="A4" s="1"/>
      <c r="B4" s="2">
        <v>2</v>
      </c>
      <c r="C4">
        <v>33.11</v>
      </c>
      <c r="D4">
        <v>23.71</v>
      </c>
      <c r="E4">
        <v>35.76</v>
      </c>
      <c r="F4">
        <v>33.450000000000003</v>
      </c>
      <c r="G4">
        <v>28.16</v>
      </c>
      <c r="H4">
        <v>36.53</v>
      </c>
      <c r="I4" t="s">
        <v>11</v>
      </c>
      <c r="J4">
        <v>34.33</v>
      </c>
      <c r="K4">
        <v>32.72</v>
      </c>
      <c r="L4">
        <v>32.53</v>
      </c>
      <c r="M4">
        <v>36.630000000000003</v>
      </c>
      <c r="N4">
        <v>34.85</v>
      </c>
      <c r="O4">
        <v>27.07</v>
      </c>
      <c r="P4">
        <v>31.36</v>
      </c>
      <c r="Q4">
        <v>32.67</v>
      </c>
    </row>
    <row r="5" spans="1:17" x14ac:dyDescent="0.35">
      <c r="A5" s="1"/>
      <c r="B5" s="2">
        <v>3</v>
      </c>
      <c r="C5">
        <v>33.56</v>
      </c>
      <c r="D5">
        <v>24.31</v>
      </c>
      <c r="E5">
        <v>34.25</v>
      </c>
      <c r="F5">
        <v>34.15</v>
      </c>
      <c r="G5">
        <v>28.49</v>
      </c>
      <c r="H5">
        <v>36.729999999999997</v>
      </c>
      <c r="I5">
        <v>37.97</v>
      </c>
      <c r="J5">
        <v>36.1</v>
      </c>
      <c r="K5">
        <v>33.78</v>
      </c>
      <c r="L5">
        <v>36.36</v>
      </c>
      <c r="M5">
        <v>36.6</v>
      </c>
      <c r="N5">
        <v>34.5</v>
      </c>
      <c r="O5">
        <v>27.44</v>
      </c>
      <c r="P5">
        <v>31.19</v>
      </c>
      <c r="Q5">
        <v>33.81</v>
      </c>
    </row>
    <row r="6" spans="1:17" x14ac:dyDescent="0.35">
      <c r="A6" s="1" t="s">
        <v>123</v>
      </c>
      <c r="B6" s="2">
        <v>1</v>
      </c>
      <c r="C6">
        <v>33.15</v>
      </c>
      <c r="D6">
        <v>24.54</v>
      </c>
      <c r="E6">
        <v>34.299999999999997</v>
      </c>
      <c r="F6">
        <v>34.549999999999997</v>
      </c>
      <c r="G6">
        <v>28.73</v>
      </c>
      <c r="H6">
        <v>36.53</v>
      </c>
      <c r="I6">
        <v>36.86</v>
      </c>
      <c r="J6">
        <v>34.53</v>
      </c>
      <c r="K6">
        <v>32.630000000000003</v>
      </c>
      <c r="L6">
        <v>35.07</v>
      </c>
      <c r="M6">
        <v>36.18</v>
      </c>
      <c r="N6">
        <v>33.97</v>
      </c>
      <c r="O6">
        <v>27.56</v>
      </c>
      <c r="P6">
        <v>31.62</v>
      </c>
      <c r="Q6">
        <v>33.83</v>
      </c>
    </row>
    <row r="7" spans="1:17" x14ac:dyDescent="0.35">
      <c r="A7" s="1"/>
      <c r="B7" s="2">
        <v>2</v>
      </c>
      <c r="C7">
        <v>33.06</v>
      </c>
      <c r="D7">
        <v>24.14</v>
      </c>
      <c r="E7">
        <v>35.979999999999997</v>
      </c>
      <c r="F7">
        <v>33.69</v>
      </c>
      <c r="G7">
        <v>28.31</v>
      </c>
      <c r="H7">
        <v>37</v>
      </c>
      <c r="I7" t="s">
        <v>11</v>
      </c>
      <c r="J7">
        <v>33.67</v>
      </c>
      <c r="K7">
        <v>32.08</v>
      </c>
      <c r="L7">
        <v>36.75</v>
      </c>
      <c r="M7">
        <v>36.44</v>
      </c>
      <c r="N7">
        <v>33.770000000000003</v>
      </c>
      <c r="O7">
        <v>27.18</v>
      </c>
      <c r="P7">
        <v>30.75</v>
      </c>
      <c r="Q7">
        <v>33.71</v>
      </c>
    </row>
    <row r="8" spans="1:17" x14ac:dyDescent="0.35">
      <c r="A8" s="1"/>
      <c r="B8" s="2">
        <v>3</v>
      </c>
      <c r="C8">
        <v>32.58</v>
      </c>
      <c r="D8">
        <v>24.36</v>
      </c>
      <c r="E8">
        <v>36.29</v>
      </c>
      <c r="F8">
        <v>34.229999999999997</v>
      </c>
      <c r="G8">
        <v>28.6</v>
      </c>
      <c r="H8">
        <v>37.07</v>
      </c>
      <c r="I8" t="s">
        <v>11</v>
      </c>
      <c r="J8">
        <v>33.880000000000003</v>
      </c>
      <c r="K8">
        <v>31.7</v>
      </c>
      <c r="L8">
        <v>36.6</v>
      </c>
      <c r="M8">
        <v>35.29</v>
      </c>
      <c r="N8">
        <v>34.090000000000003</v>
      </c>
      <c r="O8">
        <v>27.09</v>
      </c>
      <c r="P8">
        <v>31.7</v>
      </c>
      <c r="Q8">
        <v>33.31</v>
      </c>
    </row>
    <row r="9" spans="1:17" x14ac:dyDescent="0.35">
      <c r="A9" s="1" t="s">
        <v>125</v>
      </c>
      <c r="B9" s="2">
        <v>1</v>
      </c>
      <c r="C9">
        <v>33.44</v>
      </c>
      <c r="D9">
        <v>24.67</v>
      </c>
      <c r="E9">
        <v>34.130000000000003</v>
      </c>
      <c r="F9" t="s">
        <v>11</v>
      </c>
      <c r="G9">
        <v>29.04</v>
      </c>
      <c r="H9">
        <v>34.93</v>
      </c>
      <c r="I9">
        <v>37.15</v>
      </c>
      <c r="J9">
        <v>36.520000000000003</v>
      </c>
      <c r="K9">
        <v>36.15</v>
      </c>
      <c r="L9">
        <v>35.659999999999997</v>
      </c>
      <c r="M9">
        <v>33.520000000000003</v>
      </c>
      <c r="N9">
        <v>32.549999999999997</v>
      </c>
      <c r="O9">
        <v>24.89</v>
      </c>
      <c r="P9">
        <v>34.729999999999997</v>
      </c>
      <c r="Q9">
        <v>31.91</v>
      </c>
    </row>
    <row r="10" spans="1:17" x14ac:dyDescent="0.35">
      <c r="A10" s="1"/>
      <c r="B10" s="2">
        <v>2</v>
      </c>
      <c r="C10">
        <v>32.6</v>
      </c>
      <c r="D10">
        <v>24.09</v>
      </c>
      <c r="E10">
        <v>32.590000000000003</v>
      </c>
      <c r="F10">
        <v>38.25</v>
      </c>
      <c r="G10">
        <v>28.79</v>
      </c>
      <c r="H10">
        <v>35.46</v>
      </c>
      <c r="I10" t="s">
        <v>11</v>
      </c>
      <c r="J10">
        <v>35.94</v>
      </c>
      <c r="K10">
        <v>37.4</v>
      </c>
      <c r="L10">
        <v>35.9</v>
      </c>
      <c r="M10">
        <v>33.47</v>
      </c>
      <c r="N10">
        <v>32.35</v>
      </c>
      <c r="O10">
        <v>25.03</v>
      </c>
      <c r="P10">
        <v>35.700000000000003</v>
      </c>
      <c r="Q10">
        <v>32.119999999999997</v>
      </c>
    </row>
    <row r="11" spans="1:17" x14ac:dyDescent="0.35">
      <c r="A11" s="1"/>
      <c r="B11" s="2">
        <v>3</v>
      </c>
      <c r="C11">
        <v>32.28</v>
      </c>
      <c r="D11">
        <v>23.49</v>
      </c>
      <c r="E11">
        <v>32.130000000000003</v>
      </c>
      <c r="F11" t="s">
        <v>11</v>
      </c>
      <c r="G11">
        <v>27.71</v>
      </c>
      <c r="H11">
        <v>34.409999999999997</v>
      </c>
      <c r="I11" t="s">
        <v>11</v>
      </c>
      <c r="J11">
        <v>36.21</v>
      </c>
      <c r="K11">
        <v>36.9</v>
      </c>
      <c r="L11">
        <v>37.25</v>
      </c>
      <c r="M11">
        <v>32.659999999999997</v>
      </c>
      <c r="N11">
        <v>31.51</v>
      </c>
      <c r="O11">
        <v>23.54</v>
      </c>
      <c r="P11">
        <v>35.549999999999997</v>
      </c>
      <c r="Q11">
        <v>30.89</v>
      </c>
    </row>
    <row r="12" spans="1:17" x14ac:dyDescent="0.35">
      <c r="A12" s="1" t="s">
        <v>126</v>
      </c>
      <c r="B12" s="2">
        <v>1</v>
      </c>
      <c r="C12">
        <v>32.450000000000003</v>
      </c>
      <c r="D12">
        <v>21</v>
      </c>
      <c r="E12">
        <v>28.54</v>
      </c>
      <c r="F12">
        <v>34.119999999999997</v>
      </c>
      <c r="G12">
        <v>23.44</v>
      </c>
      <c r="H12">
        <v>33.090000000000003</v>
      </c>
      <c r="I12" t="s">
        <v>11</v>
      </c>
      <c r="J12">
        <v>34.020000000000003</v>
      </c>
      <c r="K12">
        <v>24.36</v>
      </c>
      <c r="L12">
        <v>26.36</v>
      </c>
      <c r="M12">
        <v>33.06</v>
      </c>
      <c r="N12">
        <v>30.97</v>
      </c>
      <c r="O12">
        <v>24.63</v>
      </c>
      <c r="P12">
        <v>30.85</v>
      </c>
      <c r="Q12">
        <v>30.96</v>
      </c>
    </row>
    <row r="13" spans="1:17" x14ac:dyDescent="0.35">
      <c r="A13" s="1"/>
      <c r="B13" s="2">
        <v>2</v>
      </c>
      <c r="C13">
        <v>32.119999999999997</v>
      </c>
      <c r="D13">
        <v>21.12</v>
      </c>
      <c r="E13">
        <v>29.4</v>
      </c>
      <c r="F13">
        <v>36.14</v>
      </c>
      <c r="G13">
        <v>23.92</v>
      </c>
      <c r="H13">
        <v>32.24</v>
      </c>
      <c r="I13" t="s">
        <v>11</v>
      </c>
      <c r="J13">
        <v>33.619999999999997</v>
      </c>
      <c r="K13">
        <v>23.84</v>
      </c>
      <c r="L13">
        <v>27.42</v>
      </c>
      <c r="M13">
        <v>33.07</v>
      </c>
      <c r="N13">
        <v>30.18</v>
      </c>
      <c r="O13">
        <v>24.6</v>
      </c>
      <c r="P13">
        <v>30.19</v>
      </c>
      <c r="Q13">
        <v>30.98</v>
      </c>
    </row>
    <row r="14" spans="1:17" x14ac:dyDescent="0.35">
      <c r="A14" s="1"/>
      <c r="B14" s="2">
        <v>3</v>
      </c>
      <c r="C14">
        <v>32.25</v>
      </c>
      <c r="D14">
        <v>20.78</v>
      </c>
      <c r="E14">
        <v>29.59</v>
      </c>
      <c r="F14">
        <v>35.47</v>
      </c>
      <c r="G14">
        <v>23.76</v>
      </c>
      <c r="H14">
        <v>32.5</v>
      </c>
      <c r="I14" t="s">
        <v>11</v>
      </c>
      <c r="J14">
        <v>35.270000000000003</v>
      </c>
      <c r="K14">
        <v>23.86</v>
      </c>
      <c r="L14">
        <v>27.29</v>
      </c>
      <c r="M14">
        <v>33.31</v>
      </c>
      <c r="N14">
        <v>30.55</v>
      </c>
      <c r="O14">
        <v>24.93</v>
      </c>
      <c r="P14">
        <v>30.15</v>
      </c>
      <c r="Q14">
        <v>31.07</v>
      </c>
    </row>
    <row r="17" spans="1:19" x14ac:dyDescent="0.35">
      <c r="A17" s="4"/>
      <c r="B17" s="5" t="s">
        <v>128</v>
      </c>
      <c r="C17" s="5" t="s">
        <v>127</v>
      </c>
      <c r="D17" s="5" t="s">
        <v>144</v>
      </c>
      <c r="E17" s="5" t="s">
        <v>145</v>
      </c>
      <c r="F17" s="5" t="s">
        <v>146</v>
      </c>
      <c r="G17" s="5" t="s">
        <v>147</v>
      </c>
      <c r="H17" s="5" t="s">
        <v>148</v>
      </c>
      <c r="I17" s="5" t="s">
        <v>149</v>
      </c>
      <c r="K17" s="4"/>
      <c r="L17" s="5" t="s">
        <v>129</v>
      </c>
      <c r="M17" s="5" t="s">
        <v>127</v>
      </c>
      <c r="N17" s="5" t="s">
        <v>144</v>
      </c>
      <c r="O17" s="5" t="s">
        <v>145</v>
      </c>
      <c r="P17" s="5" t="s">
        <v>146</v>
      </c>
      <c r="Q17" s="5" t="s">
        <v>147</v>
      </c>
      <c r="R17" s="5" t="s">
        <v>148</v>
      </c>
      <c r="S17" s="5" t="s">
        <v>149</v>
      </c>
    </row>
    <row r="18" spans="1:19" ht="14.5" customHeight="1" x14ac:dyDescent="0.35">
      <c r="A18" s="1" t="s">
        <v>124</v>
      </c>
      <c r="B18">
        <v>25.98</v>
      </c>
      <c r="C18">
        <v>34.53</v>
      </c>
      <c r="D18" s="5">
        <f>B18-C18</f>
        <v>-8.5500000000000007</v>
      </c>
      <c r="E18" s="5">
        <f>AVERAGE($B$24:$B$26)-AVERAGE($C$24:$C$26)</f>
        <v>-8.6900000000000013</v>
      </c>
      <c r="F18" s="5">
        <f>D18-E18</f>
        <v>0.14000000000000057</v>
      </c>
      <c r="G18" s="5">
        <f>2^-F18</f>
        <v>0.90751915531716054</v>
      </c>
      <c r="H18" s="5"/>
      <c r="I18" s="5"/>
      <c r="K18" s="1" t="s">
        <v>124</v>
      </c>
      <c r="L18">
        <v>36.35</v>
      </c>
      <c r="M18">
        <v>34.53</v>
      </c>
      <c r="N18" s="5">
        <f>L18-M18</f>
        <v>1.8200000000000003</v>
      </c>
      <c r="O18" s="5">
        <f>AVERAGE($L$24:$L$26)-AVERAGE($M$24:$M$26)</f>
        <v>0.17666666666666231</v>
      </c>
      <c r="P18" s="5">
        <f>N18-O18</f>
        <v>1.643333333333338</v>
      </c>
      <c r="Q18" s="5">
        <f>2^-P18</f>
        <v>0.32011599428766951</v>
      </c>
      <c r="R18" s="5"/>
      <c r="S18" s="5"/>
    </row>
    <row r="19" spans="1:19" x14ac:dyDescent="0.35">
      <c r="A19" s="1"/>
      <c r="B19">
        <v>23.71</v>
      </c>
      <c r="C19">
        <v>33.11</v>
      </c>
      <c r="D19" s="5">
        <f t="shared" ref="D19" si="0">B19-C19</f>
        <v>-9.3999999999999986</v>
      </c>
      <c r="E19" s="5">
        <f t="shared" ref="E19:E29" si="1">AVERAGE($B$24:$B$26)-AVERAGE($C$24:$C$26)</f>
        <v>-8.6900000000000013</v>
      </c>
      <c r="F19" s="5">
        <f t="shared" ref="F19:F29" si="2">D19-E19</f>
        <v>-0.7099999999999973</v>
      </c>
      <c r="G19" s="5">
        <f t="shared" ref="G19:G29" si="3">2^-F19</f>
        <v>1.6358041171155591</v>
      </c>
      <c r="H19" s="5">
        <f>AVERAGE(G18:G20)</f>
        <v>1.3391974965746076</v>
      </c>
      <c r="I19" s="5"/>
      <c r="K19" s="1"/>
      <c r="L19">
        <v>35.76</v>
      </c>
      <c r="M19">
        <v>33.11</v>
      </c>
      <c r="N19" s="5">
        <f t="shared" ref="N19" si="4">L19-M19</f>
        <v>2.6499999999999986</v>
      </c>
      <c r="O19" s="5">
        <f t="shared" ref="O19:O29" si="5">AVERAGE($L$24:$L$26)-AVERAGE($M$24:$M$26)</f>
        <v>0.17666666666666231</v>
      </c>
      <c r="P19" s="5">
        <f t="shared" ref="P19:P29" si="6">N19-O19</f>
        <v>2.4733333333333363</v>
      </c>
      <c r="Q19" s="5">
        <f t="shared" ref="Q19:Q29" si="7">2^-P19</f>
        <v>0.18007460772896877</v>
      </c>
      <c r="R19" s="5">
        <f>AVERAGE(Q18:Q20)</f>
        <v>0.40026414482009026</v>
      </c>
      <c r="S19" s="5"/>
    </row>
    <row r="20" spans="1:19" x14ac:dyDescent="0.35">
      <c r="A20" s="1"/>
      <c r="B20">
        <v>24.31</v>
      </c>
      <c r="C20">
        <v>33.56</v>
      </c>
      <c r="D20" s="5">
        <f>B20-C20</f>
        <v>-9.2500000000000036</v>
      </c>
      <c r="E20" s="5">
        <f t="shared" si="1"/>
        <v>-8.6900000000000013</v>
      </c>
      <c r="F20" s="5">
        <f t="shared" si="2"/>
        <v>-0.56000000000000227</v>
      </c>
      <c r="G20" s="5">
        <f t="shared" si="3"/>
        <v>1.4742692172911034</v>
      </c>
      <c r="K20" s="1"/>
      <c r="L20">
        <v>34.25</v>
      </c>
      <c r="M20">
        <v>33.56</v>
      </c>
      <c r="N20" s="5">
        <f>L20-M20</f>
        <v>0.68999999999999773</v>
      </c>
      <c r="O20" s="5">
        <f t="shared" si="5"/>
        <v>0.17666666666666231</v>
      </c>
      <c r="P20" s="5">
        <f t="shared" si="6"/>
        <v>0.51333333333333542</v>
      </c>
      <c r="Q20" s="5">
        <f t="shared" si="7"/>
        <v>0.70060183244363261</v>
      </c>
    </row>
    <row r="21" spans="1:19" ht="14.5" customHeight="1" x14ac:dyDescent="0.35">
      <c r="A21" s="1" t="s">
        <v>123</v>
      </c>
      <c r="B21">
        <v>24.54</v>
      </c>
      <c r="C21">
        <v>33.15</v>
      </c>
      <c r="D21" s="5">
        <f t="shared" ref="D21:D23" si="8">B21-C21</f>
        <v>-8.61</v>
      </c>
      <c r="E21" s="5">
        <f t="shared" si="1"/>
        <v>-8.6900000000000013</v>
      </c>
      <c r="F21" s="5">
        <f t="shared" si="2"/>
        <v>8.0000000000001847E-2</v>
      </c>
      <c r="G21" s="5">
        <f t="shared" si="3"/>
        <v>0.94605764672559456</v>
      </c>
      <c r="K21" s="1" t="s">
        <v>123</v>
      </c>
      <c r="L21">
        <v>34.299999999999997</v>
      </c>
      <c r="M21">
        <v>33.15</v>
      </c>
      <c r="N21" s="5">
        <f t="shared" ref="N21:N23" si="9">L21-M21</f>
        <v>1.1499999999999986</v>
      </c>
      <c r="O21" s="5">
        <f t="shared" si="5"/>
        <v>0.17666666666666231</v>
      </c>
      <c r="P21" s="5">
        <f t="shared" si="6"/>
        <v>0.97333333333333627</v>
      </c>
      <c r="Q21" s="5">
        <f t="shared" si="7"/>
        <v>0.50932790497864522</v>
      </c>
    </row>
    <row r="22" spans="1:19" x14ac:dyDescent="0.35">
      <c r="A22" s="1"/>
      <c r="B22">
        <v>24.14</v>
      </c>
      <c r="C22">
        <v>33.06</v>
      </c>
      <c r="D22" s="5">
        <f t="shared" si="8"/>
        <v>-8.9200000000000017</v>
      </c>
      <c r="E22" s="5">
        <f t="shared" si="1"/>
        <v>-8.6900000000000013</v>
      </c>
      <c r="F22" s="5">
        <f t="shared" si="2"/>
        <v>-0.23000000000000043</v>
      </c>
      <c r="G22" s="5">
        <f t="shared" si="3"/>
        <v>1.1728349492318793</v>
      </c>
      <c r="H22" s="5">
        <f>AVERAGE(G21:G23)</f>
        <v>0.94695239790624031</v>
      </c>
      <c r="K22" s="1"/>
      <c r="L22">
        <v>35.979999999999997</v>
      </c>
      <c r="M22">
        <v>33.06</v>
      </c>
      <c r="N22" s="5">
        <f t="shared" si="9"/>
        <v>2.9199999999999946</v>
      </c>
      <c r="O22" s="5">
        <f t="shared" si="5"/>
        <v>0.17666666666666231</v>
      </c>
      <c r="P22" s="5">
        <f t="shared" si="6"/>
        <v>2.7433333333333323</v>
      </c>
      <c r="Q22" s="5">
        <f t="shared" si="7"/>
        <v>0.14933939189450254</v>
      </c>
      <c r="R22" s="5">
        <f>AVERAGE(Q21:Q23)</f>
        <v>0.24834561729037782</v>
      </c>
    </row>
    <row r="23" spans="1:19" x14ac:dyDescent="0.35">
      <c r="A23" s="1"/>
      <c r="B23">
        <v>24.36</v>
      </c>
      <c r="C23">
        <v>32.58</v>
      </c>
      <c r="D23" s="5">
        <f t="shared" si="8"/>
        <v>-8.2199999999999989</v>
      </c>
      <c r="E23" s="5">
        <f t="shared" si="1"/>
        <v>-8.6900000000000013</v>
      </c>
      <c r="F23" s="5">
        <f t="shared" si="2"/>
        <v>0.47000000000000242</v>
      </c>
      <c r="G23" s="5">
        <f t="shared" si="3"/>
        <v>0.72196459776124688</v>
      </c>
      <c r="K23" s="1"/>
      <c r="L23">
        <v>36.29</v>
      </c>
      <c r="M23">
        <v>32.58</v>
      </c>
      <c r="N23" s="5">
        <f t="shared" si="9"/>
        <v>3.7100000000000009</v>
      </c>
      <c r="O23" s="5">
        <f t="shared" si="5"/>
        <v>0.17666666666666231</v>
      </c>
      <c r="P23" s="5">
        <f t="shared" si="6"/>
        <v>3.5333333333333385</v>
      </c>
      <c r="Q23" s="5">
        <f t="shared" si="7"/>
        <v>8.6369554997985695E-2</v>
      </c>
    </row>
    <row r="24" spans="1:19" ht="14.5" customHeight="1" x14ac:dyDescent="0.35">
      <c r="A24" s="1" t="s">
        <v>125</v>
      </c>
      <c r="B24">
        <v>24.67</v>
      </c>
      <c r="C24">
        <v>33.44</v>
      </c>
      <c r="D24" s="5">
        <f>B24-C24</f>
        <v>-8.769999999999996</v>
      </c>
      <c r="E24" s="5">
        <f t="shared" si="1"/>
        <v>-8.6900000000000013</v>
      </c>
      <c r="F24" s="5">
        <f t="shared" si="2"/>
        <v>-7.9999999999994742E-2</v>
      </c>
      <c r="G24" s="5">
        <f t="shared" si="3"/>
        <v>1.0570180405613765</v>
      </c>
      <c r="K24" s="1" t="s">
        <v>125</v>
      </c>
      <c r="L24">
        <v>34.130000000000003</v>
      </c>
      <c r="M24">
        <v>33.44</v>
      </c>
      <c r="N24" s="5">
        <f>L24-M24</f>
        <v>0.69000000000000483</v>
      </c>
      <c r="O24" s="5">
        <f t="shared" si="5"/>
        <v>0.17666666666666231</v>
      </c>
      <c r="P24" s="5">
        <f t="shared" si="6"/>
        <v>0.51333333333334252</v>
      </c>
      <c r="Q24" s="5">
        <f t="shared" si="7"/>
        <v>0.70060183244362917</v>
      </c>
    </row>
    <row r="25" spans="1:19" x14ac:dyDescent="0.35">
      <c r="A25" s="1"/>
      <c r="B25">
        <v>24.09</v>
      </c>
      <c r="C25">
        <v>32.6</v>
      </c>
      <c r="D25" s="5">
        <f t="shared" ref="D25:D29" si="10">B25-C25</f>
        <v>-8.5100000000000016</v>
      </c>
      <c r="E25" s="5">
        <f t="shared" si="1"/>
        <v>-8.6900000000000013</v>
      </c>
      <c r="F25" s="5">
        <f t="shared" si="2"/>
        <v>0.17999999999999972</v>
      </c>
      <c r="G25" s="5">
        <f t="shared" si="3"/>
        <v>0.88270299629065507</v>
      </c>
      <c r="H25" s="5">
        <f>AVERAGE(G24:G26)</f>
        <v>1.0038314997961086</v>
      </c>
      <c r="K25" s="1"/>
      <c r="L25">
        <v>32.590000000000003</v>
      </c>
      <c r="M25">
        <v>32.6</v>
      </c>
      <c r="N25" s="5">
        <f t="shared" ref="N25:N29" si="11">L25-M25</f>
        <v>-9.9999999999980105E-3</v>
      </c>
      <c r="O25" s="5">
        <f t="shared" si="5"/>
        <v>0.17666666666666231</v>
      </c>
      <c r="P25" s="5">
        <f t="shared" si="6"/>
        <v>-0.18666666666666032</v>
      </c>
      <c r="Q25" s="5">
        <f t="shared" si="7"/>
        <v>1.1381310345878173</v>
      </c>
      <c r="R25" s="5">
        <f>AVERAGE(Q24:Q26)</f>
        <v>1.0309484255272343</v>
      </c>
    </row>
    <row r="26" spans="1:19" x14ac:dyDescent="0.35">
      <c r="A26" s="1"/>
      <c r="B26">
        <v>23.49</v>
      </c>
      <c r="C26">
        <v>32.28</v>
      </c>
      <c r="D26" s="5">
        <f t="shared" si="10"/>
        <v>-8.7900000000000027</v>
      </c>
      <c r="E26" s="5">
        <f t="shared" si="1"/>
        <v>-8.6900000000000013</v>
      </c>
      <c r="F26" s="5">
        <f t="shared" si="2"/>
        <v>-0.10000000000000142</v>
      </c>
      <c r="G26" s="5">
        <f t="shared" si="3"/>
        <v>1.0717734625362942</v>
      </c>
      <c r="K26" s="1"/>
      <c r="L26">
        <v>32.130000000000003</v>
      </c>
      <c r="M26">
        <v>32.28</v>
      </c>
      <c r="N26" s="5">
        <f t="shared" si="11"/>
        <v>-0.14999999999999858</v>
      </c>
      <c r="O26" s="5">
        <f t="shared" si="5"/>
        <v>0.17666666666666231</v>
      </c>
      <c r="P26" s="5">
        <f t="shared" si="6"/>
        <v>-0.32666666666666089</v>
      </c>
      <c r="Q26" s="5">
        <f t="shared" si="7"/>
        <v>1.2541124095502563</v>
      </c>
    </row>
    <row r="27" spans="1:19" ht="14.5" customHeight="1" x14ac:dyDescent="0.35">
      <c r="A27" s="1" t="s">
        <v>126</v>
      </c>
      <c r="B27">
        <v>21</v>
      </c>
      <c r="C27">
        <v>32.450000000000003</v>
      </c>
      <c r="D27" s="5">
        <f t="shared" si="10"/>
        <v>-11.450000000000003</v>
      </c>
      <c r="E27" s="5">
        <f t="shared" si="1"/>
        <v>-8.6900000000000013</v>
      </c>
      <c r="F27" s="5">
        <f t="shared" si="2"/>
        <v>-2.7600000000000016</v>
      </c>
      <c r="G27" s="5">
        <f t="shared" si="3"/>
        <v>6.7739624989002234</v>
      </c>
      <c r="K27" s="1" t="s">
        <v>126</v>
      </c>
      <c r="L27">
        <v>28.54</v>
      </c>
      <c r="M27">
        <v>32.450000000000003</v>
      </c>
      <c r="N27" s="5">
        <f t="shared" si="11"/>
        <v>-3.9100000000000037</v>
      </c>
      <c r="O27" s="5">
        <f t="shared" si="5"/>
        <v>0.17666666666666231</v>
      </c>
      <c r="P27" s="5">
        <f t="shared" si="6"/>
        <v>-4.086666666666666</v>
      </c>
      <c r="Q27" s="5">
        <f t="shared" si="7"/>
        <v>16.990620863397712</v>
      </c>
    </row>
    <row r="28" spans="1:19" x14ac:dyDescent="0.35">
      <c r="A28" s="1"/>
      <c r="B28">
        <v>21.12</v>
      </c>
      <c r="C28">
        <v>32.119999999999997</v>
      </c>
      <c r="D28" s="5">
        <f t="shared" si="10"/>
        <v>-10.999999999999996</v>
      </c>
      <c r="E28" s="5">
        <f t="shared" si="1"/>
        <v>-8.6900000000000013</v>
      </c>
      <c r="F28" s="5">
        <f t="shared" si="2"/>
        <v>-2.3099999999999952</v>
      </c>
      <c r="G28" s="5">
        <f t="shared" si="3"/>
        <v>4.9588307997559298</v>
      </c>
      <c r="H28" s="5">
        <f>AVERAGE(G27:G29)</f>
        <v>6.2004389300527238</v>
      </c>
      <c r="K28" s="1"/>
      <c r="L28">
        <v>29.4</v>
      </c>
      <c r="M28">
        <v>32.119999999999997</v>
      </c>
      <c r="N28" s="5">
        <f t="shared" si="11"/>
        <v>-2.7199999999999989</v>
      </c>
      <c r="O28" s="5">
        <f t="shared" si="5"/>
        <v>0.17666666666666231</v>
      </c>
      <c r="P28" s="5">
        <f t="shared" si="6"/>
        <v>-2.8966666666666612</v>
      </c>
      <c r="Q28" s="5">
        <f t="shared" si="7"/>
        <v>7.4470377287829876</v>
      </c>
      <c r="R28" s="5">
        <f>AVERAGE(Q27:Q29)</f>
        <v>10.527111560221245</v>
      </c>
    </row>
    <row r="29" spans="1:19" x14ac:dyDescent="0.35">
      <c r="A29" s="1"/>
      <c r="B29">
        <v>20.78</v>
      </c>
      <c r="C29">
        <v>32.25</v>
      </c>
      <c r="D29" s="5">
        <f t="shared" si="10"/>
        <v>-11.469999999999999</v>
      </c>
      <c r="E29" s="5">
        <f t="shared" si="1"/>
        <v>-8.6900000000000013</v>
      </c>
      <c r="F29" s="5">
        <f t="shared" si="2"/>
        <v>-2.7799999999999976</v>
      </c>
      <c r="G29" s="5">
        <f t="shared" si="3"/>
        <v>6.8685234915020175</v>
      </c>
      <c r="K29" s="1"/>
      <c r="L29">
        <v>29.59</v>
      </c>
      <c r="M29">
        <v>32.25</v>
      </c>
      <c r="N29" s="5">
        <f t="shared" si="11"/>
        <v>-2.66</v>
      </c>
      <c r="O29" s="5">
        <f t="shared" si="5"/>
        <v>0.17666666666666231</v>
      </c>
      <c r="P29" s="5">
        <f t="shared" si="6"/>
        <v>-2.8366666666666625</v>
      </c>
      <c r="Q29" s="5">
        <f t="shared" si="7"/>
        <v>7.143676088483037</v>
      </c>
    </row>
    <row r="32" spans="1:19" x14ac:dyDescent="0.35">
      <c r="A32" s="4"/>
      <c r="B32" s="5" t="s">
        <v>130</v>
      </c>
      <c r="C32" s="5" t="s">
        <v>127</v>
      </c>
      <c r="D32" s="5" t="s">
        <v>144</v>
      </c>
      <c r="E32" s="5" t="s">
        <v>145</v>
      </c>
      <c r="F32" s="5" t="s">
        <v>146</v>
      </c>
      <c r="G32" s="5" t="s">
        <v>147</v>
      </c>
      <c r="H32" s="5" t="s">
        <v>148</v>
      </c>
      <c r="I32" s="5" t="s">
        <v>149</v>
      </c>
      <c r="K32" s="4"/>
      <c r="L32" s="5" t="s">
        <v>131</v>
      </c>
      <c r="M32" s="5" t="s">
        <v>127</v>
      </c>
      <c r="N32" s="5" t="s">
        <v>144</v>
      </c>
      <c r="O32" s="5" t="s">
        <v>145</v>
      </c>
      <c r="P32" s="5" t="s">
        <v>146</v>
      </c>
      <c r="Q32" s="5" t="s">
        <v>147</v>
      </c>
      <c r="R32" s="5" t="s">
        <v>148</v>
      </c>
      <c r="S32" s="5" t="s">
        <v>149</v>
      </c>
    </row>
    <row r="33" spans="1:19" x14ac:dyDescent="0.35">
      <c r="A33" s="1" t="s">
        <v>124</v>
      </c>
      <c r="B33">
        <v>35.57</v>
      </c>
      <c r="C33">
        <v>34.53</v>
      </c>
      <c r="D33" s="5">
        <f>B33-C33</f>
        <v>1.0399999999999991</v>
      </c>
      <c r="E33" s="5">
        <f>AVERAGE($B$39:$B$41)-AVERAGE($C$39:$C$41)</f>
        <v>5.4766666666666666</v>
      </c>
      <c r="F33" s="5">
        <f>D33-E33</f>
        <v>-4.4366666666666674</v>
      </c>
      <c r="G33" s="5">
        <f>2^-F33</f>
        <v>21.65557638619595</v>
      </c>
      <c r="H33" s="5"/>
      <c r="I33" s="5"/>
      <c r="K33" s="1" t="s">
        <v>124</v>
      </c>
      <c r="L33">
        <v>30.85</v>
      </c>
      <c r="M33">
        <v>34.53</v>
      </c>
      <c r="N33" s="5">
        <f>L33-M33</f>
        <v>-3.6799999999999997</v>
      </c>
      <c r="O33" s="5">
        <f>AVERAGE($L$39:$L$41)-AVERAGE($M$39:$M$41)</f>
        <v>-4.2600000000000016</v>
      </c>
      <c r="P33" s="5">
        <f>N33-O33</f>
        <v>0.58000000000000185</v>
      </c>
      <c r="Q33" s="5">
        <f>2^-P33</f>
        <v>0.66896377739305524</v>
      </c>
      <c r="R33" s="5"/>
      <c r="S33" s="5"/>
    </row>
    <row r="34" spans="1:19" x14ac:dyDescent="0.35">
      <c r="A34" s="1"/>
      <c r="B34">
        <v>33.450000000000003</v>
      </c>
      <c r="C34">
        <v>33.11</v>
      </c>
      <c r="D34" s="5">
        <f t="shared" ref="D34" si="12">B34-C34</f>
        <v>0.34000000000000341</v>
      </c>
      <c r="E34" s="5">
        <f t="shared" ref="E34:E44" si="13">AVERAGE($B$39:$B$41)-AVERAGE($C$39:$C$41)</f>
        <v>5.4766666666666666</v>
      </c>
      <c r="F34" s="5">
        <f t="shared" ref="F34:F44" si="14">D34-E34</f>
        <v>-5.1366666666666632</v>
      </c>
      <c r="G34" s="5">
        <f t="shared" ref="G34:G44" si="15">2^-F34</f>
        <v>35.179587628326225</v>
      </c>
      <c r="H34" s="5">
        <f>AVERAGE(G33:G35)</f>
        <v>28.80585104709526</v>
      </c>
      <c r="I34" s="5"/>
      <c r="K34" s="1"/>
      <c r="L34">
        <v>28.16</v>
      </c>
      <c r="M34">
        <v>33.11</v>
      </c>
      <c r="N34" s="5">
        <f t="shared" ref="N34" si="16">L34-M34</f>
        <v>-4.9499999999999993</v>
      </c>
      <c r="O34" s="5">
        <f t="shared" ref="O34:O44" si="17">AVERAGE($L$39:$L$41)-AVERAGE($M$39:$M$41)</f>
        <v>-4.2600000000000016</v>
      </c>
      <c r="P34" s="5">
        <f t="shared" ref="P34:P44" si="18">N34-O34</f>
        <v>-0.68999999999999773</v>
      </c>
      <c r="Q34" s="5">
        <f t="shared" ref="Q34:Q44" si="19">2^-P34</f>
        <v>1.61328351844425</v>
      </c>
      <c r="R34" s="5">
        <f>AVERAGE(Q33:Q35)</f>
        <v>1.3451529128231261</v>
      </c>
      <c r="S34" s="5"/>
    </row>
    <row r="35" spans="1:19" x14ac:dyDescent="0.35">
      <c r="A35" s="1"/>
      <c r="B35">
        <v>34.15</v>
      </c>
      <c r="C35">
        <v>33.56</v>
      </c>
      <c r="D35" s="5">
        <f>B35-C35</f>
        <v>0.58999999999999631</v>
      </c>
      <c r="E35" s="5">
        <f t="shared" si="13"/>
        <v>5.4766666666666666</v>
      </c>
      <c r="F35" s="5">
        <f t="shared" si="14"/>
        <v>-4.8866666666666703</v>
      </c>
      <c r="G35" s="5">
        <f t="shared" si="15"/>
        <v>29.582389126763605</v>
      </c>
      <c r="K35" s="1"/>
      <c r="L35">
        <v>28.49</v>
      </c>
      <c r="M35">
        <v>33.56</v>
      </c>
      <c r="N35" s="5">
        <f>L35-M35</f>
        <v>-5.0700000000000038</v>
      </c>
      <c r="O35" s="5">
        <f t="shared" si="17"/>
        <v>-4.2600000000000016</v>
      </c>
      <c r="P35" s="5">
        <f t="shared" si="18"/>
        <v>-0.81000000000000227</v>
      </c>
      <c r="Q35" s="5">
        <f t="shared" si="19"/>
        <v>1.7532114426320728</v>
      </c>
    </row>
    <row r="36" spans="1:19" x14ac:dyDescent="0.35">
      <c r="A36" s="1" t="s">
        <v>123</v>
      </c>
      <c r="B36">
        <v>34.549999999999997</v>
      </c>
      <c r="C36">
        <v>33.15</v>
      </c>
      <c r="D36" s="5">
        <f t="shared" ref="D36:D38" si="20">B36-C36</f>
        <v>1.3999999999999986</v>
      </c>
      <c r="E36" s="5">
        <f t="shared" si="13"/>
        <v>5.4766666666666666</v>
      </c>
      <c r="F36" s="5">
        <f t="shared" si="14"/>
        <v>-4.076666666666668</v>
      </c>
      <c r="G36" s="5">
        <f t="shared" si="15"/>
        <v>16.873258072256224</v>
      </c>
      <c r="K36" s="1" t="s">
        <v>123</v>
      </c>
      <c r="L36">
        <v>28.73</v>
      </c>
      <c r="M36">
        <v>33.15</v>
      </c>
      <c r="N36" s="5">
        <f t="shared" ref="N36:N38" si="21">L36-M36</f>
        <v>-4.4199999999999982</v>
      </c>
      <c r="O36" s="5">
        <f t="shared" si="17"/>
        <v>-4.2600000000000016</v>
      </c>
      <c r="P36" s="5">
        <f t="shared" si="18"/>
        <v>-0.15999999999999659</v>
      </c>
      <c r="Q36" s="5">
        <f t="shared" si="19"/>
        <v>1.1172871380722174</v>
      </c>
    </row>
    <row r="37" spans="1:19" x14ac:dyDescent="0.35">
      <c r="A37" s="1"/>
      <c r="B37">
        <v>33.69</v>
      </c>
      <c r="C37">
        <v>33.06</v>
      </c>
      <c r="D37" s="5">
        <f t="shared" si="20"/>
        <v>0.62999999999999545</v>
      </c>
      <c r="E37" s="5">
        <f t="shared" si="13"/>
        <v>5.4766666666666666</v>
      </c>
      <c r="F37" s="5">
        <f t="shared" si="14"/>
        <v>-4.8466666666666711</v>
      </c>
      <c r="G37" s="5">
        <f t="shared" si="15"/>
        <v>28.773457140422032</v>
      </c>
      <c r="H37" s="5">
        <f>AVERAGE(G36:G38)</f>
        <v>19.945125813096439</v>
      </c>
      <c r="K37" s="1"/>
      <c r="L37">
        <v>28.31</v>
      </c>
      <c r="M37">
        <v>33.06</v>
      </c>
      <c r="N37" s="5">
        <f t="shared" si="21"/>
        <v>-4.7500000000000036</v>
      </c>
      <c r="O37" s="5">
        <f t="shared" si="17"/>
        <v>-4.2600000000000016</v>
      </c>
      <c r="P37" s="5">
        <f t="shared" si="18"/>
        <v>-0.49000000000000199</v>
      </c>
      <c r="Q37" s="5">
        <f t="shared" si="19"/>
        <v>1.404444875737999</v>
      </c>
      <c r="R37" s="5">
        <f>AVERAGE(Q36:Q38)</f>
        <v>1.1151076770259289</v>
      </c>
    </row>
    <row r="38" spans="1:19" x14ac:dyDescent="0.35">
      <c r="A38" s="1"/>
      <c r="B38">
        <v>34.229999999999997</v>
      </c>
      <c r="C38">
        <v>32.58</v>
      </c>
      <c r="D38" s="5">
        <f t="shared" si="20"/>
        <v>1.6499999999999986</v>
      </c>
      <c r="E38" s="5">
        <f t="shared" si="13"/>
        <v>5.4766666666666666</v>
      </c>
      <c r="F38" s="5">
        <f t="shared" si="14"/>
        <v>-3.826666666666668</v>
      </c>
      <c r="G38" s="5">
        <f t="shared" si="15"/>
        <v>14.18866222661106</v>
      </c>
      <c r="K38" s="1"/>
      <c r="L38">
        <v>28.6</v>
      </c>
      <c r="M38">
        <v>32.58</v>
      </c>
      <c r="N38" s="5">
        <f t="shared" si="21"/>
        <v>-3.9799999999999969</v>
      </c>
      <c r="O38" s="5">
        <f t="shared" si="17"/>
        <v>-4.2600000000000016</v>
      </c>
      <c r="P38" s="5">
        <f t="shared" si="18"/>
        <v>0.28000000000000469</v>
      </c>
      <c r="Q38" s="5">
        <f t="shared" si="19"/>
        <v>0.82359101726757045</v>
      </c>
    </row>
    <row r="39" spans="1:19" x14ac:dyDescent="0.35">
      <c r="A39" s="1" t="s">
        <v>125</v>
      </c>
      <c r="B39" t="s">
        <v>11</v>
      </c>
      <c r="C39">
        <v>33.44</v>
      </c>
      <c r="D39" s="5" t="e">
        <f>B39-C39</f>
        <v>#VALUE!</v>
      </c>
      <c r="E39" s="5">
        <f t="shared" si="13"/>
        <v>5.4766666666666666</v>
      </c>
      <c r="F39" s="5" t="e">
        <f t="shared" si="14"/>
        <v>#VALUE!</v>
      </c>
      <c r="G39" s="5" t="e">
        <f t="shared" si="15"/>
        <v>#VALUE!</v>
      </c>
      <c r="K39" s="1" t="s">
        <v>125</v>
      </c>
      <c r="L39">
        <v>29.04</v>
      </c>
      <c r="M39">
        <v>33.44</v>
      </c>
      <c r="N39" s="5">
        <f>L39-M39</f>
        <v>-4.3999999999999986</v>
      </c>
      <c r="O39" s="5">
        <f t="shared" si="17"/>
        <v>-4.2600000000000016</v>
      </c>
      <c r="P39" s="5">
        <f t="shared" si="18"/>
        <v>-0.13999999999999702</v>
      </c>
      <c r="Q39" s="5">
        <f t="shared" si="19"/>
        <v>1.1019051158766084</v>
      </c>
    </row>
    <row r="40" spans="1:19" x14ac:dyDescent="0.35">
      <c r="A40" s="1"/>
      <c r="B40">
        <v>38.25</v>
      </c>
      <c r="C40">
        <v>32.6</v>
      </c>
      <c r="D40" s="5">
        <f t="shared" ref="D40:D44" si="22">B40-C40</f>
        <v>5.6499999999999986</v>
      </c>
      <c r="E40" s="5">
        <f t="shared" si="13"/>
        <v>5.4766666666666666</v>
      </c>
      <c r="F40" s="5">
        <f t="shared" si="14"/>
        <v>0.17333333333333201</v>
      </c>
      <c r="G40" s="5">
        <f t="shared" si="15"/>
        <v>0.88679138916319122</v>
      </c>
      <c r="H40" s="5" t="e">
        <f>AVERAGE(G39:G41)</f>
        <v>#VALUE!</v>
      </c>
      <c r="K40" s="1"/>
      <c r="L40">
        <v>28.79</v>
      </c>
      <c r="M40">
        <v>32.6</v>
      </c>
      <c r="N40" s="5">
        <f t="shared" ref="N40:N44" si="23">L40-M40</f>
        <v>-3.8100000000000023</v>
      </c>
      <c r="O40" s="5">
        <f t="shared" si="17"/>
        <v>-4.2600000000000016</v>
      </c>
      <c r="P40" s="5">
        <f t="shared" si="18"/>
        <v>0.44999999999999929</v>
      </c>
      <c r="Q40" s="5">
        <f t="shared" si="19"/>
        <v>0.73204284797281316</v>
      </c>
      <c r="R40" s="5">
        <f>AVERAGE(Q39:Q41)</f>
        <v>1.0245518879294691</v>
      </c>
    </row>
    <row r="41" spans="1:19" x14ac:dyDescent="0.35">
      <c r="A41" s="1"/>
      <c r="B41" t="s">
        <v>11</v>
      </c>
      <c r="C41">
        <v>32.28</v>
      </c>
      <c r="D41" s="5" t="e">
        <f t="shared" si="22"/>
        <v>#VALUE!</v>
      </c>
      <c r="E41" s="5">
        <f t="shared" si="13"/>
        <v>5.4766666666666666</v>
      </c>
      <c r="F41" s="5" t="e">
        <f t="shared" si="14"/>
        <v>#VALUE!</v>
      </c>
      <c r="G41" s="5" t="e">
        <f t="shared" si="15"/>
        <v>#VALUE!</v>
      </c>
      <c r="K41" s="1"/>
      <c r="L41">
        <v>27.71</v>
      </c>
      <c r="M41">
        <v>32.28</v>
      </c>
      <c r="N41" s="5">
        <f t="shared" si="23"/>
        <v>-4.57</v>
      </c>
      <c r="O41" s="5">
        <f t="shared" si="17"/>
        <v>-4.2600000000000016</v>
      </c>
      <c r="P41" s="5">
        <f t="shared" si="18"/>
        <v>-0.30999999999999872</v>
      </c>
      <c r="Q41" s="5">
        <f t="shared" si="19"/>
        <v>1.2397076999389856</v>
      </c>
    </row>
    <row r="42" spans="1:19" x14ac:dyDescent="0.35">
      <c r="A42" s="1" t="s">
        <v>126</v>
      </c>
      <c r="B42">
        <v>34.119999999999997</v>
      </c>
      <c r="C42">
        <v>32.450000000000003</v>
      </c>
      <c r="D42" s="5">
        <f t="shared" si="22"/>
        <v>1.6699999999999946</v>
      </c>
      <c r="E42" s="5">
        <f t="shared" si="13"/>
        <v>5.4766666666666666</v>
      </c>
      <c r="F42" s="5">
        <f t="shared" si="14"/>
        <v>-3.806666666666672</v>
      </c>
      <c r="G42" s="5">
        <f t="shared" si="15"/>
        <v>13.993322720893429</v>
      </c>
      <c r="K42" s="1" t="s">
        <v>126</v>
      </c>
      <c r="L42">
        <v>23.44</v>
      </c>
      <c r="M42">
        <v>32.450000000000003</v>
      </c>
      <c r="N42" s="5">
        <f t="shared" si="23"/>
        <v>-9.0100000000000016</v>
      </c>
      <c r="O42" s="5">
        <f t="shared" si="17"/>
        <v>-4.2600000000000016</v>
      </c>
      <c r="P42" s="5">
        <f t="shared" si="18"/>
        <v>-4.75</v>
      </c>
      <c r="Q42" s="5">
        <f t="shared" si="19"/>
        <v>26.908685288118864</v>
      </c>
    </row>
    <row r="43" spans="1:19" x14ac:dyDescent="0.35">
      <c r="A43" s="1"/>
      <c r="B43">
        <v>36.14</v>
      </c>
      <c r="C43">
        <v>32.119999999999997</v>
      </c>
      <c r="D43" s="5">
        <f t="shared" si="22"/>
        <v>4.0200000000000031</v>
      </c>
      <c r="E43" s="5">
        <f t="shared" si="13"/>
        <v>5.4766666666666666</v>
      </c>
      <c r="F43" s="5">
        <f t="shared" si="14"/>
        <v>-1.4566666666666634</v>
      </c>
      <c r="G43" s="5">
        <f t="shared" si="15"/>
        <v>2.7447346208875532</v>
      </c>
      <c r="H43" s="5">
        <f>AVERAGE(G42:G44)</f>
        <v>7.1723059608016877</v>
      </c>
      <c r="K43" s="1"/>
      <c r="L43">
        <v>23.92</v>
      </c>
      <c r="M43">
        <v>32.119999999999997</v>
      </c>
      <c r="N43" s="5">
        <f t="shared" si="23"/>
        <v>-8.1999999999999957</v>
      </c>
      <c r="O43" s="5">
        <f t="shared" si="17"/>
        <v>-4.2600000000000016</v>
      </c>
      <c r="P43" s="5">
        <f t="shared" si="18"/>
        <v>-3.9399999999999942</v>
      </c>
      <c r="Q43" s="5">
        <f t="shared" si="19"/>
        <v>15.348225909204171</v>
      </c>
      <c r="R43" s="5">
        <f>AVERAGE(Q42:Q44)</f>
        <v>20.340756795011018</v>
      </c>
    </row>
    <row r="44" spans="1:19" x14ac:dyDescent="0.35">
      <c r="A44" s="1"/>
      <c r="B44">
        <v>35.47</v>
      </c>
      <c r="C44">
        <v>32.25</v>
      </c>
      <c r="D44" s="5">
        <f t="shared" si="22"/>
        <v>3.2199999999999989</v>
      </c>
      <c r="E44" s="5">
        <f t="shared" si="13"/>
        <v>5.4766666666666666</v>
      </c>
      <c r="F44" s="5">
        <f t="shared" si="14"/>
        <v>-2.2566666666666677</v>
      </c>
      <c r="G44" s="5">
        <f t="shared" si="15"/>
        <v>4.7788605406240805</v>
      </c>
      <c r="K44" s="1"/>
      <c r="L44">
        <v>23.76</v>
      </c>
      <c r="M44">
        <v>32.25</v>
      </c>
      <c r="N44" s="5">
        <f t="shared" si="23"/>
        <v>-8.4899999999999984</v>
      </c>
      <c r="O44" s="5">
        <f t="shared" si="17"/>
        <v>-4.2600000000000016</v>
      </c>
      <c r="P44" s="5">
        <f t="shared" si="18"/>
        <v>-4.2299999999999969</v>
      </c>
      <c r="Q44" s="5">
        <f t="shared" si="19"/>
        <v>18.765359187710015</v>
      </c>
    </row>
    <row r="47" spans="1:19" x14ac:dyDescent="0.35">
      <c r="A47" s="4"/>
      <c r="B47" s="5" t="s">
        <v>132</v>
      </c>
      <c r="C47" s="5" t="s">
        <v>127</v>
      </c>
      <c r="D47" s="5" t="s">
        <v>144</v>
      </c>
      <c r="E47" s="5" t="s">
        <v>145</v>
      </c>
      <c r="F47" s="5" t="s">
        <v>146</v>
      </c>
      <c r="G47" s="5" t="s">
        <v>147</v>
      </c>
      <c r="H47" s="5" t="s">
        <v>148</v>
      </c>
      <c r="I47" s="5" t="s">
        <v>149</v>
      </c>
      <c r="K47" s="4"/>
      <c r="L47" s="5" t="s">
        <v>135</v>
      </c>
      <c r="M47" s="5" t="s">
        <v>127</v>
      </c>
      <c r="N47" s="5" t="s">
        <v>144</v>
      </c>
      <c r="O47" s="5" t="s">
        <v>145</v>
      </c>
      <c r="P47" s="5" t="s">
        <v>146</v>
      </c>
      <c r="Q47" s="5" t="s">
        <v>147</v>
      </c>
      <c r="R47" s="5" t="s">
        <v>148</v>
      </c>
      <c r="S47" s="5" t="s">
        <v>149</v>
      </c>
    </row>
    <row r="48" spans="1:19" x14ac:dyDescent="0.35">
      <c r="A48" s="1" t="s">
        <v>124</v>
      </c>
      <c r="B48">
        <v>38.21</v>
      </c>
      <c r="C48">
        <v>34.53</v>
      </c>
      <c r="D48" s="5">
        <f>B48-C48</f>
        <v>3.6799999999999997</v>
      </c>
      <c r="E48" s="5">
        <f>AVERAGE($B$54:$B$56)-AVERAGE($C$54:$C$56)</f>
        <v>2.1599999999999966</v>
      </c>
      <c r="F48" s="5">
        <f>D48-E48</f>
        <v>1.5200000000000031</v>
      </c>
      <c r="G48" s="5">
        <f>2^-F48</f>
        <v>0.34868591658760056</v>
      </c>
      <c r="H48" s="5"/>
      <c r="I48" s="5"/>
      <c r="K48" s="1" t="s">
        <v>124</v>
      </c>
      <c r="L48">
        <v>35.78</v>
      </c>
      <c r="M48">
        <v>34.53</v>
      </c>
      <c r="N48" s="5">
        <f>L48-M48</f>
        <v>1.25</v>
      </c>
      <c r="O48" s="5">
        <f>AVERAGE($L$54:$L$56)-AVERAGE($M$54:$M$56)</f>
        <v>3.4500000000000028</v>
      </c>
      <c r="P48" s="5">
        <f>N48-O48</f>
        <v>-2.2000000000000028</v>
      </c>
      <c r="Q48" s="5">
        <f>2^-P48</f>
        <v>4.5947934199881493</v>
      </c>
      <c r="R48" s="5"/>
      <c r="S48" s="5"/>
    </row>
    <row r="49" spans="1:19" x14ac:dyDescent="0.35">
      <c r="A49" s="1"/>
      <c r="B49">
        <v>36.53</v>
      </c>
      <c r="C49">
        <v>33.11</v>
      </c>
      <c r="D49" s="5">
        <f t="shared" ref="D49" si="24">B49-C49</f>
        <v>3.4200000000000017</v>
      </c>
      <c r="E49" s="5">
        <f t="shared" ref="E49:E59" si="25">AVERAGE($B$54:$B$56)-AVERAGE($C$54:$C$56)</f>
        <v>2.1599999999999966</v>
      </c>
      <c r="F49" s="5">
        <f t="shared" ref="F49:F59" si="26">D49-E49</f>
        <v>1.2600000000000051</v>
      </c>
      <c r="G49" s="5">
        <f t="shared" ref="G49:G59" si="27">2^-F49</f>
        <v>0.41754395971418323</v>
      </c>
      <c r="H49" s="5">
        <f>AVERAGE(G48:G50)</f>
        <v>0.42092537467343422</v>
      </c>
      <c r="I49" s="5"/>
      <c r="K49" s="1"/>
      <c r="L49">
        <v>34.33</v>
      </c>
      <c r="M49">
        <v>33.11</v>
      </c>
      <c r="N49" s="5">
        <f t="shared" ref="N49" si="28">L49-M49</f>
        <v>1.2199999999999989</v>
      </c>
      <c r="O49" s="5">
        <f t="shared" ref="O49:O59" si="29">AVERAGE($L$54:$L$56)-AVERAGE($M$54:$M$56)</f>
        <v>3.4500000000000028</v>
      </c>
      <c r="P49" s="5">
        <f t="shared" ref="P49:P59" si="30">N49-O49</f>
        <v>-2.230000000000004</v>
      </c>
      <c r="Q49" s="5">
        <f t="shared" ref="Q49:Q59" si="31">2^-P49</f>
        <v>4.6913397969275286</v>
      </c>
      <c r="R49" s="5">
        <f>AVERAGE(Q48:Q50)</f>
        <v>3.7217262384479022</v>
      </c>
      <c r="S49" s="5"/>
    </row>
    <row r="50" spans="1:19" x14ac:dyDescent="0.35">
      <c r="A50" s="1"/>
      <c r="B50">
        <v>36.729999999999997</v>
      </c>
      <c r="C50">
        <v>33.56</v>
      </c>
      <c r="D50" s="5">
        <f>B50-C50</f>
        <v>3.1699999999999946</v>
      </c>
      <c r="E50" s="5">
        <f t="shared" si="25"/>
        <v>2.1599999999999966</v>
      </c>
      <c r="F50" s="5">
        <f t="shared" si="26"/>
        <v>1.009999999999998</v>
      </c>
      <c r="G50" s="5">
        <f t="shared" si="27"/>
        <v>0.49654624771851869</v>
      </c>
      <c r="K50" s="1"/>
      <c r="L50">
        <v>36.1</v>
      </c>
      <c r="M50">
        <v>33.56</v>
      </c>
      <c r="N50" s="5">
        <f>L50-M50</f>
        <v>2.5399999999999991</v>
      </c>
      <c r="O50" s="5">
        <f t="shared" si="29"/>
        <v>3.4500000000000028</v>
      </c>
      <c r="P50" s="5">
        <f t="shared" si="30"/>
        <v>-0.91000000000000369</v>
      </c>
      <c r="Q50" s="5">
        <f t="shared" si="31"/>
        <v>1.8790454984280285</v>
      </c>
    </row>
    <row r="51" spans="1:19" x14ac:dyDescent="0.35">
      <c r="A51" s="1" t="s">
        <v>123</v>
      </c>
      <c r="B51">
        <v>36.53</v>
      </c>
      <c r="C51">
        <v>33.15</v>
      </c>
      <c r="D51" s="5">
        <f t="shared" ref="D51:D53" si="32">B51-C51</f>
        <v>3.3800000000000026</v>
      </c>
      <c r="E51" s="5">
        <f t="shared" si="25"/>
        <v>2.1599999999999966</v>
      </c>
      <c r="F51" s="5">
        <f t="shared" si="26"/>
        <v>1.220000000000006</v>
      </c>
      <c r="G51" s="5">
        <f t="shared" si="27"/>
        <v>0.42928271821887515</v>
      </c>
      <c r="K51" s="1" t="s">
        <v>123</v>
      </c>
      <c r="L51">
        <v>34.53</v>
      </c>
      <c r="M51">
        <v>33.15</v>
      </c>
      <c r="N51" s="5">
        <f t="shared" ref="N51:N53" si="33">L51-M51</f>
        <v>1.3800000000000026</v>
      </c>
      <c r="O51" s="5">
        <f t="shared" si="29"/>
        <v>3.4500000000000028</v>
      </c>
      <c r="P51" s="5">
        <f t="shared" si="30"/>
        <v>-2.0700000000000003</v>
      </c>
      <c r="Q51" s="5">
        <f t="shared" si="31"/>
        <v>4.1988667344922694</v>
      </c>
    </row>
    <row r="52" spans="1:19" x14ac:dyDescent="0.35">
      <c r="A52" s="1"/>
      <c r="B52">
        <v>37</v>
      </c>
      <c r="C52">
        <v>33.06</v>
      </c>
      <c r="D52" s="5">
        <f t="shared" si="32"/>
        <v>3.9399999999999977</v>
      </c>
      <c r="E52" s="5">
        <f t="shared" si="25"/>
        <v>2.1599999999999966</v>
      </c>
      <c r="F52" s="5">
        <f t="shared" si="26"/>
        <v>1.7800000000000011</v>
      </c>
      <c r="G52" s="5">
        <f t="shared" si="27"/>
        <v>0.29118339661711373</v>
      </c>
      <c r="H52" s="5">
        <f>AVERAGE(G51:G53)</f>
        <v>0.30645007859157264</v>
      </c>
      <c r="K52" s="1"/>
      <c r="L52">
        <v>33.67</v>
      </c>
      <c r="M52">
        <v>33.06</v>
      </c>
      <c r="N52" s="5">
        <f t="shared" si="33"/>
        <v>0.60999999999999943</v>
      </c>
      <c r="O52" s="5">
        <f t="shared" si="29"/>
        <v>3.4500000000000028</v>
      </c>
      <c r="P52" s="5">
        <f t="shared" si="30"/>
        <v>-2.8400000000000034</v>
      </c>
      <c r="Q52" s="5">
        <f t="shared" si="31"/>
        <v>7.1602005674237956</v>
      </c>
      <c r="R52" s="5">
        <f>AVERAGE(Q51:Q53)</f>
        <v>5.2657817300624794</v>
      </c>
    </row>
    <row r="53" spans="1:19" x14ac:dyDescent="0.35">
      <c r="A53" s="1"/>
      <c r="B53">
        <v>37.07</v>
      </c>
      <c r="C53">
        <v>32.58</v>
      </c>
      <c r="D53" s="5">
        <f t="shared" si="32"/>
        <v>4.490000000000002</v>
      </c>
      <c r="E53" s="5">
        <f t="shared" si="25"/>
        <v>2.1599999999999966</v>
      </c>
      <c r="F53" s="5">
        <f t="shared" si="26"/>
        <v>2.3300000000000054</v>
      </c>
      <c r="G53" s="5">
        <f t="shared" si="27"/>
        <v>0.19888412093872893</v>
      </c>
      <c r="K53" s="1"/>
      <c r="L53">
        <v>33.880000000000003</v>
      </c>
      <c r="M53">
        <v>32.58</v>
      </c>
      <c r="N53" s="5">
        <f t="shared" si="33"/>
        <v>1.3000000000000043</v>
      </c>
      <c r="O53" s="5">
        <f t="shared" si="29"/>
        <v>3.4500000000000028</v>
      </c>
      <c r="P53" s="5">
        <f t="shared" si="30"/>
        <v>-2.1499999999999986</v>
      </c>
      <c r="Q53" s="5">
        <f t="shared" si="31"/>
        <v>4.4382778882713749</v>
      </c>
    </row>
    <row r="54" spans="1:19" x14ac:dyDescent="0.35">
      <c r="A54" s="1" t="s">
        <v>125</v>
      </c>
      <c r="B54">
        <v>34.93</v>
      </c>
      <c r="C54">
        <v>33.44</v>
      </c>
      <c r="D54" s="5">
        <f>B54-C54</f>
        <v>1.490000000000002</v>
      </c>
      <c r="E54" s="5">
        <f t="shared" si="25"/>
        <v>2.1599999999999966</v>
      </c>
      <c r="F54" s="5">
        <f t="shared" si="26"/>
        <v>-0.6699999999999946</v>
      </c>
      <c r="G54" s="5">
        <f t="shared" si="27"/>
        <v>1.5910729675098314</v>
      </c>
      <c r="K54" s="1" t="s">
        <v>125</v>
      </c>
      <c r="L54">
        <v>36.520000000000003</v>
      </c>
      <c r="M54">
        <v>33.44</v>
      </c>
      <c r="N54" s="5">
        <f>L54-M54</f>
        <v>3.0800000000000054</v>
      </c>
      <c r="O54" s="5">
        <f t="shared" si="29"/>
        <v>3.4500000000000028</v>
      </c>
      <c r="P54" s="5">
        <f t="shared" si="30"/>
        <v>-0.36999999999999744</v>
      </c>
      <c r="Q54" s="5">
        <f t="shared" si="31"/>
        <v>1.2923528306374901</v>
      </c>
    </row>
    <row r="55" spans="1:19" x14ac:dyDescent="0.35">
      <c r="A55" s="1"/>
      <c r="B55">
        <v>35.46</v>
      </c>
      <c r="C55">
        <v>32.6</v>
      </c>
      <c r="D55" s="5">
        <f t="shared" ref="D55:D59" si="34">B55-C55</f>
        <v>2.8599999999999994</v>
      </c>
      <c r="E55" s="5">
        <f t="shared" si="25"/>
        <v>2.1599999999999966</v>
      </c>
      <c r="F55" s="5">
        <f t="shared" si="26"/>
        <v>0.70000000000000284</v>
      </c>
      <c r="G55" s="5">
        <f t="shared" si="27"/>
        <v>0.61557220667245693</v>
      </c>
      <c r="H55" s="5">
        <f>AVERAGE(G54:G56)</f>
        <v>1.0758857666298274</v>
      </c>
      <c r="K55" s="1"/>
      <c r="L55">
        <v>35.94</v>
      </c>
      <c r="M55">
        <v>32.6</v>
      </c>
      <c r="N55" s="5">
        <f t="shared" ref="N55:N59" si="35">L55-M55</f>
        <v>3.3399999999999963</v>
      </c>
      <c r="O55" s="5">
        <f t="shared" si="29"/>
        <v>3.4500000000000028</v>
      </c>
      <c r="P55" s="5">
        <f t="shared" si="30"/>
        <v>-0.11000000000000654</v>
      </c>
      <c r="Q55" s="5">
        <f t="shared" si="31"/>
        <v>1.0792282365044321</v>
      </c>
      <c r="R55" s="5">
        <f>AVERAGE(Q54:Q56)</f>
        <v>1.0295195637166124</v>
      </c>
    </row>
    <row r="56" spans="1:19" x14ac:dyDescent="0.35">
      <c r="A56" s="1"/>
      <c r="B56">
        <v>34.409999999999997</v>
      </c>
      <c r="C56">
        <v>32.28</v>
      </c>
      <c r="D56" s="5">
        <f t="shared" si="34"/>
        <v>2.1299999999999955</v>
      </c>
      <c r="E56" s="5">
        <f t="shared" si="25"/>
        <v>2.1599999999999966</v>
      </c>
      <c r="F56" s="5">
        <f t="shared" si="26"/>
        <v>-3.0000000000001137E-2</v>
      </c>
      <c r="G56" s="5">
        <f t="shared" si="27"/>
        <v>1.021012125707194</v>
      </c>
      <c r="K56" s="1"/>
      <c r="L56">
        <v>36.21</v>
      </c>
      <c r="M56">
        <v>32.28</v>
      </c>
      <c r="N56" s="5">
        <f t="shared" si="35"/>
        <v>3.9299999999999997</v>
      </c>
      <c r="O56" s="5">
        <f t="shared" si="29"/>
        <v>3.4500000000000028</v>
      </c>
      <c r="P56" s="5">
        <f t="shared" si="30"/>
        <v>0.47999999999999687</v>
      </c>
      <c r="Q56" s="5">
        <f t="shared" si="31"/>
        <v>0.7169776240079152</v>
      </c>
    </row>
    <row r="57" spans="1:19" x14ac:dyDescent="0.35">
      <c r="A57" s="1" t="s">
        <v>126</v>
      </c>
      <c r="B57">
        <v>33.090000000000003</v>
      </c>
      <c r="C57">
        <v>32.450000000000003</v>
      </c>
      <c r="D57" s="5">
        <f t="shared" si="34"/>
        <v>0.64000000000000057</v>
      </c>
      <c r="E57" s="5">
        <f t="shared" si="25"/>
        <v>2.1599999999999966</v>
      </c>
      <c r="F57" s="5">
        <f t="shared" si="26"/>
        <v>-1.519999999999996</v>
      </c>
      <c r="G57" s="5">
        <f t="shared" si="27"/>
        <v>2.8679104960316466</v>
      </c>
      <c r="K57" s="1" t="s">
        <v>126</v>
      </c>
      <c r="L57">
        <v>34.020000000000003</v>
      </c>
      <c r="M57">
        <v>32.450000000000003</v>
      </c>
      <c r="N57" s="5">
        <f t="shared" si="35"/>
        <v>1.5700000000000003</v>
      </c>
      <c r="O57" s="5">
        <f t="shared" si="29"/>
        <v>3.4500000000000028</v>
      </c>
      <c r="P57" s="5">
        <f t="shared" si="30"/>
        <v>-1.8800000000000026</v>
      </c>
      <c r="Q57" s="5">
        <f t="shared" si="31"/>
        <v>3.6807506024995065</v>
      </c>
    </row>
    <row r="58" spans="1:19" x14ac:dyDescent="0.35">
      <c r="A58" s="1"/>
      <c r="B58">
        <v>32.24</v>
      </c>
      <c r="C58">
        <v>32.119999999999997</v>
      </c>
      <c r="D58" s="5">
        <f t="shared" si="34"/>
        <v>0.12000000000000455</v>
      </c>
      <c r="E58" s="5">
        <f t="shared" si="25"/>
        <v>2.1599999999999966</v>
      </c>
      <c r="F58" s="5">
        <f t="shared" si="26"/>
        <v>-2.039999999999992</v>
      </c>
      <c r="G58" s="5">
        <f t="shared" si="27"/>
        <v>4.1124553066242431</v>
      </c>
      <c r="H58" s="5">
        <f>AVERAGE(G57:G59)</f>
        <v>3.5794855998373087</v>
      </c>
      <c r="K58" s="1"/>
      <c r="L58">
        <v>33.619999999999997</v>
      </c>
      <c r="M58">
        <v>32.119999999999997</v>
      </c>
      <c r="N58" s="5">
        <f t="shared" si="35"/>
        <v>1.5</v>
      </c>
      <c r="O58" s="5">
        <f t="shared" si="29"/>
        <v>3.4500000000000028</v>
      </c>
      <c r="P58" s="5">
        <f t="shared" si="30"/>
        <v>-1.9500000000000028</v>
      </c>
      <c r="Q58" s="5">
        <f t="shared" si="31"/>
        <v>3.8637453156993899</v>
      </c>
      <c r="R58" s="5">
        <f>AVERAGE(Q57:Q59)</f>
        <v>2.9639098316881953</v>
      </c>
    </row>
    <row r="59" spans="1:19" x14ac:dyDescent="0.35">
      <c r="A59" s="1"/>
      <c r="B59">
        <v>32.5</v>
      </c>
      <c r="C59">
        <v>32.25</v>
      </c>
      <c r="D59" s="5">
        <f t="shared" si="34"/>
        <v>0.25</v>
      </c>
      <c r="E59" s="5">
        <f t="shared" si="25"/>
        <v>2.1599999999999966</v>
      </c>
      <c r="F59" s="5">
        <f t="shared" si="26"/>
        <v>-1.9099999999999966</v>
      </c>
      <c r="G59" s="5">
        <f t="shared" si="27"/>
        <v>3.7580909968560379</v>
      </c>
      <c r="K59" s="1"/>
      <c r="L59">
        <v>35.270000000000003</v>
      </c>
      <c r="M59">
        <v>32.25</v>
      </c>
      <c r="N59" s="5">
        <f t="shared" si="35"/>
        <v>3.0200000000000031</v>
      </c>
      <c r="O59" s="5">
        <f t="shared" si="29"/>
        <v>3.4500000000000028</v>
      </c>
      <c r="P59" s="5">
        <f t="shared" si="30"/>
        <v>-0.42999999999999972</v>
      </c>
      <c r="Q59" s="5">
        <f t="shared" si="31"/>
        <v>1.34723357686569</v>
      </c>
    </row>
    <row r="62" spans="1:19" x14ac:dyDescent="0.35">
      <c r="A62" s="4"/>
      <c r="B62" s="5" t="s">
        <v>136</v>
      </c>
      <c r="C62" s="5" t="s">
        <v>127</v>
      </c>
      <c r="D62" s="5" t="s">
        <v>144</v>
      </c>
      <c r="E62" s="5" t="s">
        <v>145</v>
      </c>
      <c r="F62" s="5" t="s">
        <v>146</v>
      </c>
      <c r="G62" s="5" t="s">
        <v>147</v>
      </c>
      <c r="H62" s="5" t="s">
        <v>148</v>
      </c>
      <c r="I62" s="5" t="s">
        <v>149</v>
      </c>
      <c r="K62" s="4"/>
      <c r="L62" s="5" t="s">
        <v>137</v>
      </c>
      <c r="M62" s="5" t="s">
        <v>127</v>
      </c>
      <c r="N62" s="5" t="s">
        <v>144</v>
      </c>
      <c r="O62" s="5" t="s">
        <v>145</v>
      </c>
      <c r="P62" s="5" t="s">
        <v>146</v>
      </c>
      <c r="Q62" s="5" t="s">
        <v>147</v>
      </c>
      <c r="R62" s="5" t="s">
        <v>148</v>
      </c>
      <c r="S62" s="5" t="s">
        <v>149</v>
      </c>
    </row>
    <row r="63" spans="1:19" x14ac:dyDescent="0.35">
      <c r="A63" s="1" t="s">
        <v>124</v>
      </c>
      <c r="B63">
        <v>34.71</v>
      </c>
      <c r="C63">
        <v>34.53</v>
      </c>
      <c r="D63" s="5">
        <f>B63-C63</f>
        <v>0.17999999999999972</v>
      </c>
      <c r="E63" s="5">
        <f>AVERAGE($B$69:$B$71)-AVERAGE($C$69:$C$71)</f>
        <v>4.0433333333333294</v>
      </c>
      <c r="F63" s="5">
        <f>D63-E63</f>
        <v>-3.8633333333333297</v>
      </c>
      <c r="G63" s="5">
        <f>2^-F63</f>
        <v>14.553894303972463</v>
      </c>
      <c r="H63" s="5"/>
      <c r="I63" s="5"/>
      <c r="K63" s="1" t="s">
        <v>124</v>
      </c>
      <c r="L63">
        <v>37.69</v>
      </c>
      <c r="M63">
        <v>34.53</v>
      </c>
      <c r="N63" s="5">
        <f>L63-M63</f>
        <v>3.1599999999999966</v>
      </c>
      <c r="O63" s="5">
        <f>AVERAGE($L$69:$L$71)-AVERAGE($M$69:$M$71)</f>
        <v>3.4966666666666697</v>
      </c>
      <c r="P63" s="5">
        <f>N63-O63</f>
        <v>-0.33666666666667311</v>
      </c>
      <c r="Q63" s="5">
        <f>2^-P63</f>
        <v>1.262835451191646</v>
      </c>
      <c r="R63" s="5"/>
      <c r="S63" s="5"/>
    </row>
    <row r="64" spans="1:19" x14ac:dyDescent="0.35">
      <c r="A64" s="1"/>
      <c r="B64">
        <v>32.72</v>
      </c>
      <c r="C64">
        <v>33.11</v>
      </c>
      <c r="D64" s="5">
        <f t="shared" ref="D64" si="36">B64-C64</f>
        <v>-0.39000000000000057</v>
      </c>
      <c r="E64" s="5">
        <f t="shared" ref="E64:E74" si="37">AVERAGE($B$69:$B$71)-AVERAGE($C$69:$C$71)</f>
        <v>4.0433333333333294</v>
      </c>
      <c r="F64" s="5">
        <f t="shared" ref="F64:F74" si="38">D64-E64</f>
        <v>-4.43333333333333</v>
      </c>
      <c r="G64" s="5">
        <f t="shared" ref="G64:G74" si="39">2^-F64</f>
        <v>21.605599138690984</v>
      </c>
      <c r="H64" s="5">
        <f>AVERAGE(G63:G65)</f>
        <v>16.771803580512586</v>
      </c>
      <c r="I64" s="5"/>
      <c r="K64" s="1"/>
      <c r="L64">
        <v>32.53</v>
      </c>
      <c r="M64">
        <v>33.11</v>
      </c>
      <c r="N64" s="5">
        <f t="shared" ref="N64" si="40">L64-M64</f>
        <v>-0.57999999999999829</v>
      </c>
      <c r="O64" s="5">
        <f t="shared" ref="O64:O74" si="41">AVERAGE($L$69:$L$71)-AVERAGE($M$69:$M$71)</f>
        <v>3.4966666666666697</v>
      </c>
      <c r="P64" s="5">
        <f t="shared" ref="P64:P74" si="42">N64-O64</f>
        <v>-4.076666666666668</v>
      </c>
      <c r="Q64" s="5">
        <f t="shared" ref="Q64:Q74" si="43">2^-P64</f>
        <v>16.873258072256224</v>
      </c>
      <c r="R64" s="5">
        <f>AVERAGE(Q63:Q65)</f>
        <v>6.5856164152892545</v>
      </c>
      <c r="S64" s="5"/>
    </row>
    <row r="65" spans="1:19" x14ac:dyDescent="0.35">
      <c r="A65" s="1"/>
      <c r="B65">
        <v>33.78</v>
      </c>
      <c r="C65">
        <v>33.56</v>
      </c>
      <c r="D65" s="5">
        <f>B65-C65</f>
        <v>0.21999999999999886</v>
      </c>
      <c r="E65" s="5">
        <f t="shared" si="37"/>
        <v>4.0433333333333294</v>
      </c>
      <c r="F65" s="5">
        <f t="shared" si="38"/>
        <v>-3.8233333333333306</v>
      </c>
      <c r="G65" s="5">
        <f t="shared" si="39"/>
        <v>14.155917298874309</v>
      </c>
      <c r="K65" s="1"/>
      <c r="L65">
        <v>36.36</v>
      </c>
      <c r="M65">
        <v>33.56</v>
      </c>
      <c r="N65" s="5">
        <f>L65-M65</f>
        <v>2.7999999999999972</v>
      </c>
      <c r="O65" s="5">
        <f t="shared" si="41"/>
        <v>3.4966666666666697</v>
      </c>
      <c r="P65" s="5">
        <f t="shared" si="42"/>
        <v>-0.69666666666667254</v>
      </c>
      <c r="Q65" s="5">
        <f t="shared" si="43"/>
        <v>1.6207557224198927</v>
      </c>
    </row>
    <row r="66" spans="1:19" x14ac:dyDescent="0.35">
      <c r="A66" s="1" t="s">
        <v>123</v>
      </c>
      <c r="B66">
        <v>32.630000000000003</v>
      </c>
      <c r="C66">
        <v>33.15</v>
      </c>
      <c r="D66" s="5">
        <f t="shared" ref="D66:D68" si="44">B66-C66</f>
        <v>-0.51999999999999602</v>
      </c>
      <c r="E66" s="5">
        <f t="shared" si="37"/>
        <v>4.0433333333333294</v>
      </c>
      <c r="F66" s="5">
        <f t="shared" si="38"/>
        <v>-4.5633333333333255</v>
      </c>
      <c r="G66" s="5">
        <f t="shared" si="39"/>
        <v>23.642871049433928</v>
      </c>
      <c r="K66" s="1" t="s">
        <v>123</v>
      </c>
      <c r="L66">
        <v>35.07</v>
      </c>
      <c r="M66">
        <v>33.15</v>
      </c>
      <c r="N66" s="5">
        <f t="shared" ref="N66:N68" si="45">L66-M66</f>
        <v>1.9200000000000017</v>
      </c>
      <c r="O66" s="5">
        <f t="shared" si="41"/>
        <v>3.4966666666666697</v>
      </c>
      <c r="P66" s="5">
        <f t="shared" si="42"/>
        <v>-1.576666666666668</v>
      </c>
      <c r="Q66" s="5">
        <f t="shared" si="43"/>
        <v>2.9827988009007571</v>
      </c>
    </row>
    <row r="67" spans="1:19" x14ac:dyDescent="0.35">
      <c r="A67" s="1"/>
      <c r="B67">
        <v>32.08</v>
      </c>
      <c r="C67">
        <v>33.06</v>
      </c>
      <c r="D67" s="5">
        <f t="shared" si="44"/>
        <v>-0.98000000000000398</v>
      </c>
      <c r="E67" s="5">
        <f t="shared" si="37"/>
        <v>4.0433333333333294</v>
      </c>
      <c r="F67" s="5">
        <f t="shared" si="38"/>
        <v>-5.0233333333333334</v>
      </c>
      <c r="G67" s="5">
        <f t="shared" si="39"/>
        <v>32.52175782938204</v>
      </c>
      <c r="H67" s="5">
        <f>AVERAGE(G66:G68)</f>
        <v>28.836167292133258</v>
      </c>
      <c r="K67" s="1"/>
      <c r="L67">
        <v>36.75</v>
      </c>
      <c r="M67">
        <v>33.06</v>
      </c>
      <c r="N67" s="5">
        <f t="shared" si="45"/>
        <v>3.6899999999999977</v>
      </c>
      <c r="O67" s="5">
        <f t="shared" si="41"/>
        <v>3.4966666666666697</v>
      </c>
      <c r="P67" s="5">
        <f t="shared" si="42"/>
        <v>0.19333333333332803</v>
      </c>
      <c r="Q67" s="5">
        <f t="shared" si="43"/>
        <v>0.87458267005583956</v>
      </c>
      <c r="R67" s="5">
        <f>AVERAGE(Q66:Q68)</f>
        <v>1.5177146310152683</v>
      </c>
    </row>
    <row r="68" spans="1:19" x14ac:dyDescent="0.35">
      <c r="A68" s="1"/>
      <c r="B68">
        <v>31.7</v>
      </c>
      <c r="C68">
        <v>32.58</v>
      </c>
      <c r="D68" s="5">
        <f t="shared" si="44"/>
        <v>-0.87999999999999901</v>
      </c>
      <c r="E68" s="5">
        <f t="shared" si="37"/>
        <v>4.0433333333333294</v>
      </c>
      <c r="F68" s="5">
        <f t="shared" si="38"/>
        <v>-4.9233333333333285</v>
      </c>
      <c r="G68" s="5">
        <f t="shared" si="39"/>
        <v>30.343872997583805</v>
      </c>
      <c r="K68" s="1"/>
      <c r="L68">
        <v>36.6</v>
      </c>
      <c r="M68">
        <v>32.58</v>
      </c>
      <c r="N68" s="5">
        <f t="shared" si="45"/>
        <v>4.0200000000000031</v>
      </c>
      <c r="O68" s="5">
        <f t="shared" si="41"/>
        <v>3.4966666666666697</v>
      </c>
      <c r="P68" s="5">
        <f t="shared" si="42"/>
        <v>0.52333333333333343</v>
      </c>
      <c r="Q68" s="5">
        <f t="shared" si="43"/>
        <v>0.69576242208920824</v>
      </c>
    </row>
    <row r="69" spans="1:19" x14ac:dyDescent="0.35">
      <c r="A69" s="1" t="s">
        <v>125</v>
      </c>
      <c r="B69">
        <v>36.15</v>
      </c>
      <c r="C69">
        <v>33.44</v>
      </c>
      <c r="D69" s="5">
        <f>B69-C69</f>
        <v>2.7100000000000009</v>
      </c>
      <c r="E69" s="5">
        <f t="shared" si="37"/>
        <v>4.0433333333333294</v>
      </c>
      <c r="F69" s="5">
        <f t="shared" si="38"/>
        <v>-1.3333333333333286</v>
      </c>
      <c r="G69" s="5">
        <f t="shared" si="39"/>
        <v>2.5198420997897379</v>
      </c>
      <c r="K69" s="1" t="s">
        <v>125</v>
      </c>
      <c r="L69">
        <v>35.659999999999997</v>
      </c>
      <c r="M69">
        <v>33.44</v>
      </c>
      <c r="N69" s="5">
        <f>L69-M69</f>
        <v>2.2199999999999989</v>
      </c>
      <c r="O69" s="5">
        <f t="shared" si="41"/>
        <v>3.4966666666666697</v>
      </c>
      <c r="P69" s="5">
        <f t="shared" si="42"/>
        <v>-1.2766666666666708</v>
      </c>
      <c r="Q69" s="5">
        <f t="shared" si="43"/>
        <v>2.4227854738801504</v>
      </c>
    </row>
    <row r="70" spans="1:19" x14ac:dyDescent="0.35">
      <c r="A70" s="1"/>
      <c r="B70">
        <v>37.4</v>
      </c>
      <c r="C70">
        <v>32.6</v>
      </c>
      <c r="D70" s="5">
        <f t="shared" ref="D70:D74" si="46">B70-C70</f>
        <v>4.7999999999999972</v>
      </c>
      <c r="E70" s="5">
        <f t="shared" si="37"/>
        <v>4.0433333333333294</v>
      </c>
      <c r="F70" s="5">
        <f t="shared" si="38"/>
        <v>0.75666666666666771</v>
      </c>
      <c r="G70" s="5">
        <f t="shared" si="39"/>
        <v>0.59186224429491729</v>
      </c>
      <c r="H70" s="5">
        <f>AVERAGE(G69:G71)</f>
        <v>1.2607385143204575</v>
      </c>
      <c r="K70" s="1"/>
      <c r="L70">
        <v>35.9</v>
      </c>
      <c r="M70">
        <v>32.6</v>
      </c>
      <c r="N70" s="5">
        <f t="shared" ref="N70:N74" si="47">L70-M70</f>
        <v>3.2999999999999972</v>
      </c>
      <c r="O70" s="5">
        <f t="shared" si="41"/>
        <v>3.4966666666666697</v>
      </c>
      <c r="P70" s="5">
        <f t="shared" si="42"/>
        <v>-0.19666666666667254</v>
      </c>
      <c r="Q70" s="5">
        <f t="shared" si="43"/>
        <v>1.1460473619700078</v>
      </c>
      <c r="R70" s="5">
        <f>AVERAGE(Q69:Q71)</f>
        <v>1.3096606837693658</v>
      </c>
    </row>
    <row r="71" spans="1:19" x14ac:dyDescent="0.35">
      <c r="A71" s="1"/>
      <c r="B71">
        <v>36.9</v>
      </c>
      <c r="C71">
        <v>32.28</v>
      </c>
      <c r="D71" s="5">
        <f t="shared" si="46"/>
        <v>4.6199999999999974</v>
      </c>
      <c r="E71" s="5">
        <f t="shared" si="37"/>
        <v>4.0433333333333294</v>
      </c>
      <c r="F71" s="5">
        <f t="shared" si="38"/>
        <v>0.57666666666666799</v>
      </c>
      <c r="G71" s="5">
        <f t="shared" si="39"/>
        <v>0.67051119887671684</v>
      </c>
      <c r="K71" s="1"/>
      <c r="L71">
        <v>37.25</v>
      </c>
      <c r="M71">
        <v>32.28</v>
      </c>
      <c r="N71" s="5">
        <f t="shared" si="47"/>
        <v>4.9699999999999989</v>
      </c>
      <c r="O71" s="5">
        <f t="shared" si="41"/>
        <v>3.4966666666666697</v>
      </c>
      <c r="P71" s="5">
        <f t="shared" si="42"/>
        <v>1.4733333333333292</v>
      </c>
      <c r="Q71" s="5">
        <f t="shared" si="43"/>
        <v>0.36014921545793932</v>
      </c>
    </row>
    <row r="72" spans="1:19" x14ac:dyDescent="0.35">
      <c r="A72" s="1" t="s">
        <v>126</v>
      </c>
      <c r="B72">
        <v>24.36</v>
      </c>
      <c r="C72">
        <v>32.450000000000003</v>
      </c>
      <c r="D72" s="5">
        <f t="shared" si="46"/>
        <v>-8.0900000000000034</v>
      </c>
      <c r="E72" s="5">
        <f t="shared" si="37"/>
        <v>4.0433333333333294</v>
      </c>
      <c r="F72" s="5">
        <f t="shared" si="38"/>
        <v>-12.133333333333333</v>
      </c>
      <c r="G72" s="5">
        <f t="shared" si="39"/>
        <v>4492.5951168291876</v>
      </c>
      <c r="K72" s="1" t="s">
        <v>126</v>
      </c>
      <c r="L72">
        <v>26.36</v>
      </c>
      <c r="M72">
        <v>32.450000000000003</v>
      </c>
      <c r="N72" s="5">
        <f t="shared" si="47"/>
        <v>-6.0900000000000034</v>
      </c>
      <c r="O72" s="5">
        <f t="shared" si="41"/>
        <v>3.4966666666666697</v>
      </c>
      <c r="P72" s="5">
        <f t="shared" si="42"/>
        <v>-9.5866666666666731</v>
      </c>
      <c r="Q72" s="5">
        <f t="shared" si="43"/>
        <v>768.90772666100565</v>
      </c>
    </row>
    <row r="73" spans="1:19" x14ac:dyDescent="0.35">
      <c r="A73" s="1"/>
      <c r="B73">
        <v>23.84</v>
      </c>
      <c r="C73">
        <v>32.119999999999997</v>
      </c>
      <c r="D73" s="5">
        <f t="shared" si="46"/>
        <v>-8.2799999999999976</v>
      </c>
      <c r="E73" s="5">
        <f t="shared" si="37"/>
        <v>4.0433333333333294</v>
      </c>
      <c r="F73" s="5">
        <f t="shared" si="38"/>
        <v>-12.323333333333327</v>
      </c>
      <c r="G73" s="5">
        <f t="shared" si="39"/>
        <v>5124.9894993663747</v>
      </c>
      <c r="H73" s="5">
        <f>AVERAGE(G72:G74)</f>
        <v>5049.5393319001514</v>
      </c>
      <c r="K73" s="1"/>
      <c r="L73">
        <v>27.42</v>
      </c>
      <c r="M73">
        <v>32.119999999999997</v>
      </c>
      <c r="N73" s="5">
        <f t="shared" si="47"/>
        <v>-4.6999999999999957</v>
      </c>
      <c r="O73" s="5">
        <f t="shared" si="41"/>
        <v>3.4966666666666697</v>
      </c>
      <c r="P73" s="5">
        <f t="shared" si="42"/>
        <v>-8.1966666666666654</v>
      </c>
      <c r="Q73" s="5">
        <f t="shared" si="43"/>
        <v>293.38812466432057</v>
      </c>
      <c r="R73" s="5">
        <f>AVERAGE(Q72:Q74)</f>
        <v>471.20729426631152</v>
      </c>
    </row>
    <row r="74" spans="1:19" x14ac:dyDescent="0.35">
      <c r="A74" s="1"/>
      <c r="B74">
        <v>23.86</v>
      </c>
      <c r="C74">
        <v>32.25</v>
      </c>
      <c r="D74" s="5">
        <f t="shared" si="46"/>
        <v>-8.39</v>
      </c>
      <c r="E74" s="5">
        <f t="shared" si="37"/>
        <v>4.0433333333333294</v>
      </c>
      <c r="F74" s="5">
        <f t="shared" si="38"/>
        <v>-12.43333333333333</v>
      </c>
      <c r="G74" s="5">
        <f t="shared" si="39"/>
        <v>5531.0333795048909</v>
      </c>
      <c r="K74" s="1"/>
      <c r="L74">
        <v>27.29</v>
      </c>
      <c r="M74">
        <v>32.25</v>
      </c>
      <c r="N74" s="5">
        <f t="shared" si="47"/>
        <v>-4.9600000000000009</v>
      </c>
      <c r="O74" s="5">
        <f t="shared" si="41"/>
        <v>3.4966666666666697</v>
      </c>
      <c r="P74" s="5">
        <f t="shared" si="42"/>
        <v>-8.4566666666666706</v>
      </c>
      <c r="Q74" s="5">
        <f t="shared" si="43"/>
        <v>351.32603147360851</v>
      </c>
    </row>
    <row r="77" spans="1:19" x14ac:dyDescent="0.35">
      <c r="A77" s="4"/>
      <c r="B77" s="5" t="s">
        <v>138</v>
      </c>
      <c r="C77" s="5" t="s">
        <v>127</v>
      </c>
      <c r="D77" s="5" t="s">
        <v>144</v>
      </c>
      <c r="E77" s="5" t="s">
        <v>145</v>
      </c>
      <c r="F77" s="5" t="s">
        <v>146</v>
      </c>
      <c r="G77" s="5" t="s">
        <v>147</v>
      </c>
      <c r="H77" s="5" t="s">
        <v>148</v>
      </c>
      <c r="I77" s="5" t="s">
        <v>149</v>
      </c>
      <c r="K77" s="4"/>
      <c r="L77" s="5" t="s">
        <v>139</v>
      </c>
      <c r="M77" s="5" t="s">
        <v>127</v>
      </c>
      <c r="N77" s="5" t="s">
        <v>144</v>
      </c>
      <c r="O77" s="5" t="s">
        <v>145</v>
      </c>
      <c r="P77" s="5" t="s">
        <v>146</v>
      </c>
      <c r="Q77" s="5" t="s">
        <v>147</v>
      </c>
      <c r="R77" s="5" t="s">
        <v>148</v>
      </c>
      <c r="S77" s="5" t="s">
        <v>149</v>
      </c>
    </row>
    <row r="78" spans="1:19" x14ac:dyDescent="0.35">
      <c r="A78" s="1" t="s">
        <v>124</v>
      </c>
      <c r="B78">
        <v>37.11</v>
      </c>
      <c r="C78">
        <v>34.53</v>
      </c>
      <c r="D78" s="5">
        <f>B78-C78</f>
        <v>2.5799999999999983</v>
      </c>
      <c r="E78" s="5">
        <f>AVERAGE($B$84:$B$86)-AVERAGE($C$84:$C$86)</f>
        <v>0.44333333333333513</v>
      </c>
      <c r="F78" s="5">
        <f>D78-E78</f>
        <v>2.1366666666666632</v>
      </c>
      <c r="G78" s="5">
        <f>2^-F78</f>
        <v>0.22740459849957095</v>
      </c>
      <c r="H78" s="5"/>
      <c r="I78" s="5"/>
      <c r="K78" s="1" t="s">
        <v>124</v>
      </c>
      <c r="L78">
        <v>35.42</v>
      </c>
      <c r="M78">
        <v>34.53</v>
      </c>
      <c r="N78" s="5">
        <f>L78-M78</f>
        <v>0.89000000000000057</v>
      </c>
      <c r="O78" s="5">
        <f>AVERAGE($L$84:$L$86)-AVERAGE($M$84:$M$86)</f>
        <v>-0.63666666666666316</v>
      </c>
      <c r="P78" s="5">
        <f>N78-O78</f>
        <v>1.5266666666666637</v>
      </c>
      <c r="Q78" s="5">
        <f>2^-P78</f>
        <v>0.34707836261994846</v>
      </c>
      <c r="R78" s="5"/>
      <c r="S78" s="5"/>
    </row>
    <row r="79" spans="1:19" x14ac:dyDescent="0.35">
      <c r="A79" s="1"/>
      <c r="B79">
        <v>36.630000000000003</v>
      </c>
      <c r="C79">
        <v>33.11</v>
      </c>
      <c r="D79" s="5">
        <f t="shared" ref="D79" si="48">B79-C79</f>
        <v>3.5200000000000031</v>
      </c>
      <c r="E79" s="5">
        <f t="shared" ref="E79:E89" si="49">AVERAGE($B$84:$B$86)-AVERAGE($C$84:$C$86)</f>
        <v>0.44333333333333513</v>
      </c>
      <c r="F79" s="5">
        <f t="shared" ref="F79:F89" si="50">D79-E79</f>
        <v>3.076666666666668</v>
      </c>
      <c r="G79" s="5">
        <f t="shared" ref="G79:G89" si="51">2^-F79</f>
        <v>0.11853075389681209</v>
      </c>
      <c r="H79" s="5">
        <f>AVERAGE(G78:G80)</f>
        <v>0.17041845688723359</v>
      </c>
      <c r="I79" s="5"/>
      <c r="K79" s="1"/>
      <c r="L79">
        <v>34.85</v>
      </c>
      <c r="M79">
        <v>33.11</v>
      </c>
      <c r="N79" s="5">
        <f t="shared" ref="N79" si="52">L79-M79</f>
        <v>1.740000000000002</v>
      </c>
      <c r="O79" s="5">
        <f t="shared" ref="O79:O89" si="53">AVERAGE($L$84:$L$86)-AVERAGE($M$84:$M$86)</f>
        <v>-0.63666666666666316</v>
      </c>
      <c r="P79" s="5">
        <f t="shared" ref="P79:P89" si="54">N79-O79</f>
        <v>2.3766666666666652</v>
      </c>
      <c r="Q79" s="5">
        <f t="shared" ref="Q79:Q89" si="55">2^-P79</f>
        <v>0.19255377778919397</v>
      </c>
      <c r="R79" s="5">
        <f>AVERAGE(Q78:Q80)</f>
        <v>0.29162924661583417</v>
      </c>
      <c r="S79" s="5"/>
    </row>
    <row r="80" spans="1:19" x14ac:dyDescent="0.35">
      <c r="A80" s="1"/>
      <c r="B80">
        <v>36.6</v>
      </c>
      <c r="C80">
        <v>33.56</v>
      </c>
      <c r="D80" s="5">
        <f>B80-C80</f>
        <v>3.0399999999999991</v>
      </c>
      <c r="E80" s="5">
        <f t="shared" si="49"/>
        <v>0.44333333333333513</v>
      </c>
      <c r="F80" s="5">
        <f t="shared" si="50"/>
        <v>2.596666666666664</v>
      </c>
      <c r="G80" s="5">
        <f t="shared" si="51"/>
        <v>0.16532001826531773</v>
      </c>
      <c r="K80" s="1"/>
      <c r="L80">
        <v>34.5</v>
      </c>
      <c r="M80">
        <v>33.56</v>
      </c>
      <c r="N80" s="5">
        <f>L80-M80</f>
        <v>0.93999999999999773</v>
      </c>
      <c r="O80" s="5">
        <f t="shared" si="53"/>
        <v>-0.63666666666666316</v>
      </c>
      <c r="P80" s="5">
        <f t="shared" si="54"/>
        <v>1.5766666666666609</v>
      </c>
      <c r="Q80" s="5">
        <f t="shared" si="55"/>
        <v>0.33525559943836003</v>
      </c>
    </row>
    <row r="81" spans="1:19" x14ac:dyDescent="0.35">
      <c r="A81" s="1" t="s">
        <v>123</v>
      </c>
      <c r="B81">
        <v>36.18</v>
      </c>
      <c r="C81">
        <v>33.15</v>
      </c>
      <c r="D81" s="5">
        <f t="shared" ref="D81:D83" si="56">B81-C81</f>
        <v>3.0300000000000011</v>
      </c>
      <c r="E81" s="5">
        <f t="shared" si="49"/>
        <v>0.44333333333333513</v>
      </c>
      <c r="F81" s="5">
        <f t="shared" si="50"/>
        <v>2.586666666666666</v>
      </c>
      <c r="G81" s="5">
        <f t="shared" si="51"/>
        <v>0.16646990992773958</v>
      </c>
      <c r="K81" s="1" t="s">
        <v>123</v>
      </c>
      <c r="L81">
        <v>33.97</v>
      </c>
      <c r="M81">
        <v>33.15</v>
      </c>
      <c r="N81" s="5">
        <f t="shared" ref="N81:N83" si="57">L81-M81</f>
        <v>0.82000000000000028</v>
      </c>
      <c r="O81" s="5">
        <f t="shared" si="53"/>
        <v>-0.63666666666666316</v>
      </c>
      <c r="P81" s="5">
        <f t="shared" si="54"/>
        <v>1.4566666666666634</v>
      </c>
      <c r="Q81" s="5">
        <f t="shared" si="55"/>
        <v>0.36433394776673683</v>
      </c>
    </row>
    <row r="82" spans="1:19" x14ac:dyDescent="0.35">
      <c r="A82" s="1"/>
      <c r="B82">
        <v>36.44</v>
      </c>
      <c r="C82">
        <v>33.06</v>
      </c>
      <c r="D82" s="5">
        <f t="shared" si="56"/>
        <v>3.3799999999999955</v>
      </c>
      <c r="E82" s="5">
        <f t="shared" si="49"/>
        <v>0.44333333333333513</v>
      </c>
      <c r="F82" s="5">
        <f t="shared" si="50"/>
        <v>2.9366666666666603</v>
      </c>
      <c r="G82" s="5">
        <f t="shared" si="51"/>
        <v>0.13060964410760947</v>
      </c>
      <c r="H82" s="5">
        <f>AVERAGE(G81:G83)</f>
        <v>0.16829634269034868</v>
      </c>
      <c r="K82" s="1"/>
      <c r="L82">
        <v>33.770000000000003</v>
      </c>
      <c r="M82">
        <v>33.06</v>
      </c>
      <c r="N82" s="5">
        <f t="shared" si="57"/>
        <v>0.71000000000000085</v>
      </c>
      <c r="O82" s="5">
        <f t="shared" si="53"/>
        <v>-0.63666666666666316</v>
      </c>
      <c r="P82" s="5">
        <f t="shared" si="54"/>
        <v>1.346666666666664</v>
      </c>
      <c r="Q82" s="5">
        <f t="shared" si="55"/>
        <v>0.39319948394699128</v>
      </c>
      <c r="R82" s="5">
        <f>AVERAGE(Q81:Q83)</f>
        <v>0.32778907730384116</v>
      </c>
    </row>
    <row r="83" spans="1:19" x14ac:dyDescent="0.35">
      <c r="A83" s="1"/>
      <c r="B83">
        <v>35.29</v>
      </c>
      <c r="C83">
        <v>32.58</v>
      </c>
      <c r="D83" s="5">
        <f t="shared" si="56"/>
        <v>2.7100000000000009</v>
      </c>
      <c r="E83" s="5">
        <f t="shared" si="49"/>
        <v>0.44333333333333513</v>
      </c>
      <c r="F83" s="5">
        <f t="shared" si="50"/>
        <v>2.2666666666666657</v>
      </c>
      <c r="G83" s="5">
        <f t="shared" si="51"/>
        <v>0.20780947403569705</v>
      </c>
      <c r="K83" s="1"/>
      <c r="L83">
        <v>34.090000000000003</v>
      </c>
      <c r="M83">
        <v>32.58</v>
      </c>
      <c r="N83" s="5">
        <f t="shared" si="57"/>
        <v>1.5100000000000051</v>
      </c>
      <c r="O83" s="5">
        <f t="shared" si="53"/>
        <v>-0.63666666666666316</v>
      </c>
      <c r="P83" s="5">
        <f t="shared" si="54"/>
        <v>2.1466666666666683</v>
      </c>
      <c r="Q83" s="5">
        <f t="shared" si="55"/>
        <v>0.22583380019779534</v>
      </c>
    </row>
    <row r="84" spans="1:19" x14ac:dyDescent="0.35">
      <c r="A84" s="1" t="s">
        <v>125</v>
      </c>
      <c r="B84">
        <v>33.520000000000003</v>
      </c>
      <c r="C84">
        <v>33.44</v>
      </c>
      <c r="D84" s="5">
        <f>B84-C84</f>
        <v>8.00000000000054E-2</v>
      </c>
      <c r="E84" s="5">
        <f t="shared" si="49"/>
        <v>0.44333333333333513</v>
      </c>
      <c r="F84" s="5">
        <f t="shared" si="50"/>
        <v>-0.36333333333332973</v>
      </c>
      <c r="G84" s="5">
        <f t="shared" si="51"/>
        <v>1.2863946693763999</v>
      </c>
      <c r="K84" s="1" t="s">
        <v>125</v>
      </c>
      <c r="L84">
        <v>32.549999999999997</v>
      </c>
      <c r="M84">
        <v>33.44</v>
      </c>
      <c r="N84" s="5">
        <f>L84-M84</f>
        <v>-0.89000000000000057</v>
      </c>
      <c r="O84" s="5">
        <f t="shared" si="53"/>
        <v>-0.63666666666666316</v>
      </c>
      <c r="P84" s="5">
        <f t="shared" si="54"/>
        <v>-0.25333333333333741</v>
      </c>
      <c r="Q84" s="5">
        <f t="shared" si="55"/>
        <v>1.1919579435235892</v>
      </c>
    </row>
    <row r="85" spans="1:19" x14ac:dyDescent="0.35">
      <c r="A85" s="1"/>
      <c r="B85">
        <v>33.47</v>
      </c>
      <c r="C85">
        <v>32.6</v>
      </c>
      <c r="D85" s="5">
        <f t="shared" ref="D85:D89" si="58">B85-C85</f>
        <v>0.86999999999999744</v>
      </c>
      <c r="E85" s="5">
        <f t="shared" si="49"/>
        <v>0.44333333333333513</v>
      </c>
      <c r="F85" s="5">
        <f t="shared" si="50"/>
        <v>0.42666666666666231</v>
      </c>
      <c r="G85" s="5">
        <f t="shared" si="51"/>
        <v>0.74397875695321947</v>
      </c>
      <c r="H85" s="5">
        <f>AVERAGE(G84:G86)</f>
        <v>1.0250835263968316</v>
      </c>
      <c r="K85" s="1"/>
      <c r="L85">
        <v>32.35</v>
      </c>
      <c r="M85">
        <v>32.6</v>
      </c>
      <c r="N85" s="5">
        <f t="shared" ref="N85:N89" si="59">L85-M85</f>
        <v>-0.25</v>
      </c>
      <c r="O85" s="5">
        <f t="shared" si="53"/>
        <v>-0.63666666666666316</v>
      </c>
      <c r="P85" s="5">
        <f t="shared" si="54"/>
        <v>0.38666666666666316</v>
      </c>
      <c r="Q85" s="5">
        <f t="shared" si="55"/>
        <v>0.7648948467619977</v>
      </c>
      <c r="R85" s="5">
        <f>AVERAGE(Q84:Q86)</f>
        <v>1.017892589993405</v>
      </c>
    </row>
    <row r="86" spans="1:19" x14ac:dyDescent="0.35">
      <c r="A86" s="1"/>
      <c r="B86">
        <v>32.659999999999997</v>
      </c>
      <c r="C86">
        <v>32.28</v>
      </c>
      <c r="D86" s="5">
        <f t="shared" si="58"/>
        <v>0.37999999999999545</v>
      </c>
      <c r="E86" s="5">
        <f t="shared" si="49"/>
        <v>0.44333333333333513</v>
      </c>
      <c r="F86" s="5">
        <f t="shared" si="50"/>
        <v>-6.3333333333339681E-2</v>
      </c>
      <c r="G86" s="5">
        <f t="shared" si="51"/>
        <v>1.0448771528608753</v>
      </c>
      <c r="K86" s="1"/>
      <c r="L86">
        <v>31.51</v>
      </c>
      <c r="M86">
        <v>32.28</v>
      </c>
      <c r="N86" s="5">
        <f t="shared" si="59"/>
        <v>-0.76999999999999957</v>
      </c>
      <c r="O86" s="5">
        <f t="shared" si="53"/>
        <v>-0.63666666666666316</v>
      </c>
      <c r="P86" s="5">
        <f t="shared" si="54"/>
        <v>-0.13333333333333641</v>
      </c>
      <c r="Q86" s="5">
        <f t="shared" si="55"/>
        <v>1.0968249796946283</v>
      </c>
    </row>
    <row r="87" spans="1:19" x14ac:dyDescent="0.35">
      <c r="A87" s="1" t="s">
        <v>126</v>
      </c>
      <c r="B87">
        <v>33.06</v>
      </c>
      <c r="C87">
        <v>32.450000000000003</v>
      </c>
      <c r="D87" s="5">
        <f t="shared" si="58"/>
        <v>0.60999999999999943</v>
      </c>
      <c r="E87" s="5">
        <f t="shared" si="49"/>
        <v>0.44333333333333513</v>
      </c>
      <c r="F87" s="5">
        <f t="shared" si="50"/>
        <v>0.1666666666666643</v>
      </c>
      <c r="G87" s="5">
        <f t="shared" si="51"/>
        <v>0.89089871814034072</v>
      </c>
      <c r="K87" s="1" t="s">
        <v>126</v>
      </c>
      <c r="L87">
        <v>30.97</v>
      </c>
      <c r="M87">
        <v>32.450000000000003</v>
      </c>
      <c r="N87" s="5">
        <f t="shared" si="59"/>
        <v>-1.480000000000004</v>
      </c>
      <c r="O87" s="5">
        <f t="shared" si="53"/>
        <v>-0.63666666666666316</v>
      </c>
      <c r="P87" s="5">
        <f t="shared" si="54"/>
        <v>-0.84333333333334082</v>
      </c>
      <c r="Q87" s="5">
        <f t="shared" si="55"/>
        <v>1.7941908175396712</v>
      </c>
    </row>
    <row r="88" spans="1:19" x14ac:dyDescent="0.35">
      <c r="A88" s="1"/>
      <c r="B88">
        <v>33.07</v>
      </c>
      <c r="C88">
        <v>32.119999999999997</v>
      </c>
      <c r="D88" s="5">
        <f t="shared" si="58"/>
        <v>0.95000000000000284</v>
      </c>
      <c r="E88" s="5">
        <f t="shared" si="49"/>
        <v>0.44333333333333513</v>
      </c>
      <c r="F88" s="5">
        <f t="shared" si="50"/>
        <v>0.50666666666666771</v>
      </c>
      <c r="G88" s="5">
        <f t="shared" si="51"/>
        <v>0.70384679201699429</v>
      </c>
      <c r="H88" s="5">
        <f>AVERAGE(G87:G89)</f>
        <v>0.74897384834670566</v>
      </c>
      <c r="K88" s="1"/>
      <c r="L88">
        <v>30.18</v>
      </c>
      <c r="M88">
        <v>32.119999999999997</v>
      </c>
      <c r="N88" s="5">
        <f t="shared" si="59"/>
        <v>-1.9399999999999977</v>
      </c>
      <c r="O88" s="5">
        <f t="shared" si="53"/>
        <v>-0.63666666666666316</v>
      </c>
      <c r="P88" s="5">
        <f t="shared" si="54"/>
        <v>-1.3033333333333346</v>
      </c>
      <c r="Q88" s="5">
        <f t="shared" si="55"/>
        <v>2.4679844992481419</v>
      </c>
      <c r="R88" s="5">
        <f>AVERAGE(Q87:Q89)</f>
        <v>2.1173098741698531</v>
      </c>
    </row>
    <row r="89" spans="1:19" x14ac:dyDescent="0.35">
      <c r="A89" s="1"/>
      <c r="B89">
        <v>33.31</v>
      </c>
      <c r="C89">
        <v>32.25</v>
      </c>
      <c r="D89" s="5">
        <f t="shared" si="58"/>
        <v>1.0600000000000023</v>
      </c>
      <c r="E89" s="5">
        <f t="shared" si="49"/>
        <v>0.44333333333333513</v>
      </c>
      <c r="F89" s="5">
        <f t="shared" si="50"/>
        <v>0.61666666666666714</v>
      </c>
      <c r="G89" s="5">
        <f t="shared" si="51"/>
        <v>0.65217603488278186</v>
      </c>
      <c r="K89" s="1"/>
      <c r="L89">
        <v>30.55</v>
      </c>
      <c r="M89">
        <v>32.25</v>
      </c>
      <c r="N89" s="5">
        <f t="shared" si="59"/>
        <v>-1.6999999999999993</v>
      </c>
      <c r="O89" s="5">
        <f t="shared" si="53"/>
        <v>-0.63666666666666316</v>
      </c>
      <c r="P89" s="5">
        <f t="shared" si="54"/>
        <v>-1.0633333333333361</v>
      </c>
      <c r="Q89" s="5">
        <f t="shared" si="55"/>
        <v>2.0897543057217454</v>
      </c>
    </row>
    <row r="92" spans="1:19" x14ac:dyDescent="0.35">
      <c r="A92" s="4"/>
      <c r="B92" s="5" t="s">
        <v>140</v>
      </c>
      <c r="C92" s="5" t="s">
        <v>127</v>
      </c>
      <c r="D92" s="5" t="s">
        <v>144</v>
      </c>
      <c r="E92" s="5" t="s">
        <v>145</v>
      </c>
      <c r="F92" s="5" t="s">
        <v>146</v>
      </c>
      <c r="G92" s="5" t="s">
        <v>147</v>
      </c>
      <c r="H92" s="5" t="s">
        <v>148</v>
      </c>
      <c r="I92" s="5" t="s">
        <v>149</v>
      </c>
      <c r="K92" s="4"/>
      <c r="L92" s="5" t="s">
        <v>141</v>
      </c>
      <c r="M92" s="5" t="s">
        <v>127</v>
      </c>
      <c r="N92" s="5" t="s">
        <v>144</v>
      </c>
      <c r="O92" s="5" t="s">
        <v>145</v>
      </c>
      <c r="P92" s="5" t="s">
        <v>146</v>
      </c>
      <c r="Q92" s="5" t="s">
        <v>147</v>
      </c>
      <c r="R92" s="5" t="s">
        <v>148</v>
      </c>
      <c r="S92" s="5" t="s">
        <v>149</v>
      </c>
    </row>
    <row r="93" spans="1:19" x14ac:dyDescent="0.35">
      <c r="A93" s="1" t="s">
        <v>124</v>
      </c>
      <c r="B93">
        <v>28.7</v>
      </c>
      <c r="C93">
        <v>34.53</v>
      </c>
      <c r="D93" s="5">
        <f>B93-C93</f>
        <v>-5.8300000000000018</v>
      </c>
      <c r="E93" s="5">
        <f>AVERAGE($B$99:$B$101)-AVERAGE($C$99:$C$101)</f>
        <v>-8.2866666666666653</v>
      </c>
      <c r="F93" s="5">
        <f>D93-E93</f>
        <v>2.4566666666666634</v>
      </c>
      <c r="G93" s="5">
        <f>2^-F93</f>
        <v>0.18216697388336839</v>
      </c>
      <c r="H93" s="5"/>
      <c r="I93" s="5"/>
      <c r="K93" s="1" t="s">
        <v>124</v>
      </c>
      <c r="L93">
        <v>33.47</v>
      </c>
      <c r="M93">
        <v>34.53</v>
      </c>
      <c r="N93" s="5">
        <f>L93-M93</f>
        <v>-1.0600000000000023</v>
      </c>
      <c r="O93" s="5">
        <f>AVERAGE($L$99:$L$101)-AVERAGE($M$99:$M$101)</f>
        <v>2.5533333333333346</v>
      </c>
      <c r="P93" s="5">
        <f>N93-O93</f>
        <v>-3.6133333333333368</v>
      </c>
      <c r="Q93" s="5">
        <f>2^-P93</f>
        <v>12.23831754819196</v>
      </c>
      <c r="R93" s="5"/>
      <c r="S93" s="5"/>
    </row>
    <row r="94" spans="1:19" x14ac:dyDescent="0.35">
      <c r="A94" s="1"/>
      <c r="B94">
        <v>27.07</v>
      </c>
      <c r="C94">
        <v>33.11</v>
      </c>
      <c r="D94" s="5">
        <f t="shared" ref="D94" si="60">B94-C94</f>
        <v>-6.0399999999999991</v>
      </c>
      <c r="E94" s="5">
        <f t="shared" ref="E94:E104" si="61">AVERAGE($B$99:$B$101)-AVERAGE($C$99:$C$101)</f>
        <v>-8.2866666666666653</v>
      </c>
      <c r="F94" s="5">
        <f t="shared" ref="F94:F104" si="62">D94-E94</f>
        <v>2.2466666666666661</v>
      </c>
      <c r="G94" s="5">
        <f t="shared" ref="G94:G104" si="63">2^-F94</f>
        <v>0.21071038618867494</v>
      </c>
      <c r="H94" s="5">
        <f>AVERAGE(G93:G95)</f>
        <v>0.20520067986904286</v>
      </c>
      <c r="I94" s="5"/>
      <c r="K94" s="1"/>
      <c r="L94">
        <v>31.36</v>
      </c>
      <c r="M94">
        <v>33.11</v>
      </c>
      <c r="N94" s="5">
        <f t="shared" ref="N94" si="64">L94-M94</f>
        <v>-1.75</v>
      </c>
      <c r="O94" s="5">
        <f t="shared" ref="O94:O104" si="65">AVERAGE($L$99:$L$101)-AVERAGE($M$99:$M$101)</f>
        <v>2.5533333333333346</v>
      </c>
      <c r="P94" s="5">
        <f t="shared" ref="P94:P104" si="66">N94-O94</f>
        <v>-4.3033333333333346</v>
      </c>
      <c r="Q94" s="5">
        <f t="shared" ref="Q94:Q104" si="67">2^-P94</f>
        <v>19.743875993985132</v>
      </c>
      <c r="R94" s="5">
        <f>AVERAGE(Q93:Q95)</f>
        <v>20.775355513253686</v>
      </c>
      <c r="S94" s="5"/>
    </row>
    <row r="95" spans="1:19" x14ac:dyDescent="0.35">
      <c r="A95" s="1"/>
      <c r="B95">
        <v>27.44</v>
      </c>
      <c r="C95">
        <v>33.56</v>
      </c>
      <c r="D95" s="5">
        <f>B95-C95</f>
        <v>-6.120000000000001</v>
      </c>
      <c r="E95" s="5">
        <f t="shared" si="61"/>
        <v>-8.2866666666666653</v>
      </c>
      <c r="F95" s="5">
        <f t="shared" si="62"/>
        <v>2.1666666666666643</v>
      </c>
      <c r="G95" s="5">
        <f t="shared" si="63"/>
        <v>0.22272467953508521</v>
      </c>
      <c r="K95" s="1"/>
      <c r="L95">
        <v>31.19</v>
      </c>
      <c r="M95">
        <v>33.56</v>
      </c>
      <c r="N95" s="5">
        <f>L95-M95</f>
        <v>-2.370000000000001</v>
      </c>
      <c r="O95" s="5">
        <f t="shared" si="65"/>
        <v>2.5533333333333346</v>
      </c>
      <c r="P95" s="5">
        <f t="shared" si="66"/>
        <v>-4.9233333333333356</v>
      </c>
      <c r="Q95" s="5">
        <f t="shared" si="67"/>
        <v>30.343872997583965</v>
      </c>
    </row>
    <row r="96" spans="1:19" x14ac:dyDescent="0.35">
      <c r="A96" s="1" t="s">
        <v>123</v>
      </c>
      <c r="B96">
        <v>27.56</v>
      </c>
      <c r="C96">
        <v>33.15</v>
      </c>
      <c r="D96" s="5">
        <f t="shared" ref="D96:D98" si="68">B96-C96</f>
        <v>-5.59</v>
      </c>
      <c r="E96" s="5">
        <f t="shared" si="61"/>
        <v>-8.2866666666666653</v>
      </c>
      <c r="F96" s="5">
        <f t="shared" si="62"/>
        <v>2.6966666666666654</v>
      </c>
      <c r="G96" s="5">
        <f t="shared" si="63"/>
        <v>0.15424903120300887</v>
      </c>
      <c r="K96" s="1" t="s">
        <v>123</v>
      </c>
      <c r="L96">
        <v>31.62</v>
      </c>
      <c r="M96">
        <v>33.15</v>
      </c>
      <c r="N96" s="5">
        <f t="shared" ref="N96:N98" si="69">L96-M96</f>
        <v>-1.5299999999999976</v>
      </c>
      <c r="O96" s="5">
        <f t="shared" si="65"/>
        <v>2.5533333333333346</v>
      </c>
      <c r="P96" s="5">
        <f t="shared" si="66"/>
        <v>-4.0833333333333321</v>
      </c>
      <c r="Q96" s="5">
        <f t="shared" si="67"/>
        <v>16.951409509748711</v>
      </c>
    </row>
    <row r="97" spans="1:18" x14ac:dyDescent="0.35">
      <c r="A97" s="1"/>
      <c r="B97">
        <v>27.18</v>
      </c>
      <c r="C97">
        <v>33.06</v>
      </c>
      <c r="D97" s="5">
        <f t="shared" si="68"/>
        <v>-5.8800000000000026</v>
      </c>
      <c r="E97" s="5">
        <f t="shared" si="61"/>
        <v>-8.2866666666666653</v>
      </c>
      <c r="F97" s="5">
        <f t="shared" si="62"/>
        <v>2.4066666666666627</v>
      </c>
      <c r="G97" s="5">
        <f t="shared" si="63"/>
        <v>0.18859107834377969</v>
      </c>
      <c r="H97" s="5">
        <f>AVERAGE(G96:G98)</f>
        <v>0.16225318152392873</v>
      </c>
      <c r="K97" s="1"/>
      <c r="L97">
        <v>30.75</v>
      </c>
      <c r="M97">
        <v>33.06</v>
      </c>
      <c r="N97" s="5">
        <f t="shared" si="69"/>
        <v>-2.3100000000000023</v>
      </c>
      <c r="O97" s="5">
        <f t="shared" si="65"/>
        <v>2.5533333333333346</v>
      </c>
      <c r="P97" s="5">
        <f t="shared" si="66"/>
        <v>-4.8633333333333368</v>
      </c>
      <c r="Q97" s="5">
        <f t="shared" si="67"/>
        <v>29.107788607945071</v>
      </c>
      <c r="R97" s="5">
        <f>AVERAGE(Q96:Q98)</f>
        <v>18.953999229013103</v>
      </c>
    </row>
    <row r="98" spans="1:18" x14ac:dyDescent="0.35">
      <c r="A98" s="1"/>
      <c r="B98">
        <v>27.09</v>
      </c>
      <c r="C98">
        <v>32.58</v>
      </c>
      <c r="D98" s="5">
        <f t="shared" si="68"/>
        <v>-5.4899999999999984</v>
      </c>
      <c r="E98" s="5">
        <f t="shared" si="61"/>
        <v>-8.2866666666666653</v>
      </c>
      <c r="F98" s="5">
        <f t="shared" si="62"/>
        <v>2.7966666666666669</v>
      </c>
      <c r="G98" s="5">
        <f t="shared" si="63"/>
        <v>0.1439194350249976</v>
      </c>
      <c r="K98" s="1"/>
      <c r="L98">
        <v>31.7</v>
      </c>
      <c r="M98">
        <v>32.58</v>
      </c>
      <c r="N98" s="5">
        <f t="shared" si="69"/>
        <v>-0.87999999999999901</v>
      </c>
      <c r="O98" s="5">
        <f t="shared" si="65"/>
        <v>2.5533333333333346</v>
      </c>
      <c r="P98" s="5">
        <f t="shared" si="66"/>
        <v>-3.4333333333333336</v>
      </c>
      <c r="Q98" s="5">
        <f t="shared" si="67"/>
        <v>10.80279956934552</v>
      </c>
    </row>
    <row r="99" spans="1:18" x14ac:dyDescent="0.35">
      <c r="A99" s="1" t="s">
        <v>125</v>
      </c>
      <c r="B99">
        <v>24.89</v>
      </c>
      <c r="C99">
        <v>33.44</v>
      </c>
      <c r="D99" s="5">
        <f>B99-C99</f>
        <v>-8.5499999999999972</v>
      </c>
      <c r="E99" s="5">
        <f t="shared" si="61"/>
        <v>-8.2866666666666653</v>
      </c>
      <c r="F99" s="5">
        <f t="shared" si="62"/>
        <v>-0.26333333333333186</v>
      </c>
      <c r="G99" s="5">
        <f t="shared" si="63"/>
        <v>1.2002486666652665</v>
      </c>
      <c r="K99" s="1" t="s">
        <v>125</v>
      </c>
      <c r="L99">
        <v>34.729999999999997</v>
      </c>
      <c r="M99">
        <v>33.44</v>
      </c>
      <c r="N99" s="5">
        <f>L99-M99</f>
        <v>1.2899999999999991</v>
      </c>
      <c r="O99" s="5">
        <f t="shared" si="65"/>
        <v>2.5533333333333346</v>
      </c>
      <c r="P99" s="5">
        <f t="shared" si="66"/>
        <v>-1.2633333333333354</v>
      </c>
      <c r="Q99" s="5">
        <f t="shared" si="67"/>
        <v>2.4004973333305388</v>
      </c>
    </row>
    <row r="100" spans="1:18" x14ac:dyDescent="0.35">
      <c r="A100" s="1"/>
      <c r="B100">
        <v>25.03</v>
      </c>
      <c r="C100">
        <v>32.6</v>
      </c>
      <c r="D100" s="5">
        <f t="shared" ref="D100:D104" si="70">B100-C100</f>
        <v>-7.57</v>
      </c>
      <c r="E100" s="5">
        <f t="shared" si="61"/>
        <v>-8.2866666666666653</v>
      </c>
      <c r="F100" s="5">
        <f t="shared" si="62"/>
        <v>0.71666666666666501</v>
      </c>
      <c r="G100" s="5">
        <f t="shared" si="63"/>
        <v>0.60850175683529617</v>
      </c>
      <c r="H100" s="5">
        <f>AVERAGE(G99:G101)</f>
        <v>1.0593168508172526</v>
      </c>
      <c r="K100" s="1"/>
      <c r="L100">
        <v>35.700000000000003</v>
      </c>
      <c r="M100">
        <v>32.6</v>
      </c>
      <c r="N100" s="5">
        <f t="shared" ref="N100:N104" si="71">L100-M100</f>
        <v>3.1000000000000014</v>
      </c>
      <c r="O100" s="5">
        <f t="shared" si="65"/>
        <v>2.5533333333333346</v>
      </c>
      <c r="P100" s="5">
        <f t="shared" si="66"/>
        <v>0.54666666666666686</v>
      </c>
      <c r="Q100" s="5">
        <f t="shared" si="67"/>
        <v>0.68460006447559585</v>
      </c>
      <c r="R100" s="5">
        <f>AVERAGE(Q99:Q101)</f>
        <v>1.2311997182138108</v>
      </c>
    </row>
    <row r="101" spans="1:18" x14ac:dyDescent="0.35">
      <c r="A101" s="1"/>
      <c r="B101">
        <v>23.54</v>
      </c>
      <c r="C101">
        <v>32.28</v>
      </c>
      <c r="D101" s="5">
        <f t="shared" si="70"/>
        <v>-8.740000000000002</v>
      </c>
      <c r="E101" s="5">
        <f t="shared" si="61"/>
        <v>-8.2866666666666653</v>
      </c>
      <c r="F101" s="5">
        <f t="shared" si="62"/>
        <v>-0.4533333333333367</v>
      </c>
      <c r="G101" s="5">
        <f t="shared" si="63"/>
        <v>1.369200128951195</v>
      </c>
      <c r="K101" s="1"/>
      <c r="L101">
        <v>35.549999999999997</v>
      </c>
      <c r="M101">
        <v>32.28</v>
      </c>
      <c r="N101" s="5">
        <f t="shared" si="71"/>
        <v>3.269999999999996</v>
      </c>
      <c r="O101" s="5">
        <f t="shared" si="65"/>
        <v>2.5533333333333346</v>
      </c>
      <c r="P101" s="5">
        <f t="shared" si="66"/>
        <v>0.71666666666666146</v>
      </c>
      <c r="Q101" s="5">
        <f t="shared" si="67"/>
        <v>0.60850175683529761</v>
      </c>
    </row>
    <row r="102" spans="1:18" x14ac:dyDescent="0.35">
      <c r="A102" s="1" t="s">
        <v>126</v>
      </c>
      <c r="B102">
        <v>24.63</v>
      </c>
      <c r="C102">
        <v>32.450000000000003</v>
      </c>
      <c r="D102" s="5">
        <f t="shared" si="70"/>
        <v>-7.8200000000000038</v>
      </c>
      <c r="E102" s="5">
        <f t="shared" si="61"/>
        <v>-8.2866666666666653</v>
      </c>
      <c r="F102" s="5">
        <f t="shared" si="62"/>
        <v>0.46666666666666146</v>
      </c>
      <c r="G102" s="5">
        <f t="shared" si="63"/>
        <v>0.72363461872019164</v>
      </c>
      <c r="K102" s="1" t="s">
        <v>126</v>
      </c>
      <c r="L102">
        <v>30.85</v>
      </c>
      <c r="M102">
        <v>32.450000000000003</v>
      </c>
      <c r="N102" s="5">
        <f t="shared" si="71"/>
        <v>-1.6000000000000014</v>
      </c>
      <c r="O102" s="5">
        <f t="shared" si="65"/>
        <v>2.5533333333333346</v>
      </c>
      <c r="P102" s="5">
        <f t="shared" si="66"/>
        <v>-4.153333333333336</v>
      </c>
      <c r="Q102" s="5">
        <f t="shared" si="67"/>
        <v>17.794177373309989</v>
      </c>
    </row>
    <row r="103" spans="1:18" x14ac:dyDescent="0.35">
      <c r="A103" s="1"/>
      <c r="B103">
        <v>24.6</v>
      </c>
      <c r="C103">
        <v>32.119999999999997</v>
      </c>
      <c r="D103" s="5">
        <f t="shared" si="70"/>
        <v>-7.519999999999996</v>
      </c>
      <c r="E103" s="5">
        <f t="shared" si="61"/>
        <v>-8.2866666666666653</v>
      </c>
      <c r="F103" s="5">
        <f t="shared" si="62"/>
        <v>0.76666666666666927</v>
      </c>
      <c r="G103" s="5">
        <f t="shared" si="63"/>
        <v>0.58777395314180325</v>
      </c>
      <c r="H103" s="5">
        <f>AVERAGE(G102:G104)</f>
        <v>0.60769850595346098</v>
      </c>
      <c r="K103" s="1"/>
      <c r="L103">
        <v>30.19</v>
      </c>
      <c r="M103">
        <v>32.119999999999997</v>
      </c>
      <c r="N103" s="5">
        <f t="shared" si="71"/>
        <v>-1.9299999999999962</v>
      </c>
      <c r="O103" s="5">
        <f t="shared" si="65"/>
        <v>2.5533333333333346</v>
      </c>
      <c r="P103" s="5">
        <f t="shared" si="66"/>
        <v>-4.4833333333333307</v>
      </c>
      <c r="Q103" s="5">
        <f t="shared" si="67"/>
        <v>22.367518946864262</v>
      </c>
      <c r="R103" s="5">
        <f>AVERAGE(Q102:Q104)</f>
        <v>21.775487764260561</v>
      </c>
    </row>
    <row r="104" spans="1:18" x14ac:dyDescent="0.35">
      <c r="A104" s="1"/>
      <c r="B104">
        <v>24.93</v>
      </c>
      <c r="C104">
        <v>32.25</v>
      </c>
      <c r="D104" s="5">
        <f t="shared" si="70"/>
        <v>-7.32</v>
      </c>
      <c r="E104" s="5">
        <f t="shared" si="61"/>
        <v>-8.2866666666666653</v>
      </c>
      <c r="F104" s="5">
        <f t="shared" si="62"/>
        <v>0.96666666666666501</v>
      </c>
      <c r="G104" s="5">
        <f t="shared" si="63"/>
        <v>0.51168694599838804</v>
      </c>
      <c r="K104" s="1"/>
      <c r="L104">
        <v>30.15</v>
      </c>
      <c r="M104">
        <v>32.25</v>
      </c>
      <c r="N104" s="5">
        <f t="shared" si="71"/>
        <v>-2.1000000000000014</v>
      </c>
      <c r="O104" s="5">
        <f t="shared" si="65"/>
        <v>2.5533333333333346</v>
      </c>
      <c r="P104" s="5">
        <f t="shared" si="66"/>
        <v>-4.653333333333336</v>
      </c>
      <c r="Q104" s="5">
        <f t="shared" si="67"/>
        <v>25.164766972607435</v>
      </c>
    </row>
    <row r="107" spans="1:18" x14ac:dyDescent="0.35">
      <c r="A107" s="4"/>
      <c r="B107" s="5" t="s">
        <v>142</v>
      </c>
      <c r="C107" s="5" t="s">
        <v>127</v>
      </c>
      <c r="D107" s="5" t="s">
        <v>144</v>
      </c>
      <c r="E107" s="5" t="s">
        <v>145</v>
      </c>
      <c r="F107" s="5" t="s">
        <v>146</v>
      </c>
      <c r="G107" s="5" t="s">
        <v>147</v>
      </c>
      <c r="H107" s="5" t="s">
        <v>148</v>
      </c>
      <c r="I107" s="5" t="s">
        <v>149</v>
      </c>
    </row>
    <row r="108" spans="1:18" x14ac:dyDescent="0.35">
      <c r="A108" s="1" t="s">
        <v>124</v>
      </c>
      <c r="B108">
        <v>35.200000000000003</v>
      </c>
      <c r="C108">
        <v>34.53</v>
      </c>
      <c r="D108" s="5">
        <f>B108-C108</f>
        <v>0.67000000000000171</v>
      </c>
      <c r="E108" s="5">
        <f>AVERAGE($B$114:$B$116)-AVERAGE($C$114:$C$116)</f>
        <v>-1.1333333333333329</v>
      </c>
      <c r="F108" s="5">
        <f>D108-E108</f>
        <v>1.8033333333333346</v>
      </c>
      <c r="G108" s="5">
        <f>2^-F108</f>
        <v>0.28651184049250056</v>
      </c>
      <c r="H108" s="5"/>
      <c r="I108" s="5"/>
    </row>
    <row r="109" spans="1:18" x14ac:dyDescent="0.35">
      <c r="A109" s="1"/>
      <c r="B109">
        <v>32.67</v>
      </c>
      <c r="C109">
        <v>33.11</v>
      </c>
      <c r="D109" s="5">
        <f t="shared" ref="D109" si="72">B109-C109</f>
        <v>-0.43999999999999773</v>
      </c>
      <c r="E109" s="5">
        <f t="shared" ref="E109:E119" si="73">AVERAGE($B$114:$B$116)-AVERAGE($C$114:$C$116)</f>
        <v>-1.1333333333333329</v>
      </c>
      <c r="F109" s="5">
        <f t="shared" ref="F109:F119" si="74">D109-E109</f>
        <v>0.69333333333333513</v>
      </c>
      <c r="G109" s="5">
        <f t="shared" ref="G109:G119" si="75">2^-F109</f>
        <v>0.61842333670471794</v>
      </c>
      <c r="H109" s="5">
        <f>AVERAGE(G108:G110)</f>
        <v>0.42942242112153961</v>
      </c>
      <c r="I109" s="5"/>
    </row>
    <row r="110" spans="1:18" x14ac:dyDescent="0.35">
      <c r="A110" s="1"/>
      <c r="B110">
        <v>33.81</v>
      </c>
      <c r="C110">
        <v>33.56</v>
      </c>
      <c r="D110" s="5">
        <f>B110-C110</f>
        <v>0.25</v>
      </c>
      <c r="E110" s="5">
        <f t="shared" si="73"/>
        <v>-1.1333333333333329</v>
      </c>
      <c r="F110" s="5">
        <f t="shared" si="74"/>
        <v>1.3833333333333329</v>
      </c>
      <c r="G110" s="5">
        <f t="shared" si="75"/>
        <v>0.38333208616740028</v>
      </c>
    </row>
    <row r="111" spans="1:18" x14ac:dyDescent="0.35">
      <c r="A111" s="1" t="s">
        <v>123</v>
      </c>
      <c r="B111">
        <v>33.83</v>
      </c>
      <c r="C111">
        <v>33.15</v>
      </c>
      <c r="D111" s="5">
        <f t="shared" ref="D111:D113" si="76">B111-C111</f>
        <v>0.67999999999999972</v>
      </c>
      <c r="E111" s="5">
        <f t="shared" si="73"/>
        <v>-1.1333333333333329</v>
      </c>
      <c r="F111" s="5">
        <f t="shared" si="74"/>
        <v>1.8133333333333326</v>
      </c>
      <c r="G111" s="5">
        <f t="shared" si="75"/>
        <v>0.28453275864695576</v>
      </c>
    </row>
    <row r="112" spans="1:18" x14ac:dyDescent="0.35">
      <c r="A112" s="1"/>
      <c r="B112">
        <v>33.71</v>
      </c>
      <c r="C112">
        <v>33.06</v>
      </c>
      <c r="D112" s="5">
        <f t="shared" si="76"/>
        <v>0.64999999999999858</v>
      </c>
      <c r="E112" s="5">
        <f t="shared" si="73"/>
        <v>-1.1333333333333329</v>
      </c>
      <c r="F112" s="5">
        <f t="shared" si="74"/>
        <v>1.7833333333333314</v>
      </c>
      <c r="G112" s="5">
        <f t="shared" si="75"/>
        <v>0.29051139673946025</v>
      </c>
      <c r="H112" s="5">
        <f>AVERAGE(G111:G113)</f>
        <v>0.28329489457757157</v>
      </c>
    </row>
    <row r="113" spans="1:8" x14ac:dyDescent="0.35">
      <c r="A113" s="1"/>
      <c r="B113">
        <v>33.31</v>
      </c>
      <c r="C113">
        <v>32.58</v>
      </c>
      <c r="D113" s="5">
        <f t="shared" si="76"/>
        <v>0.73000000000000398</v>
      </c>
      <c r="E113" s="5">
        <f t="shared" si="73"/>
        <v>-1.1333333333333329</v>
      </c>
      <c r="F113" s="5">
        <f t="shared" si="74"/>
        <v>1.8633333333333368</v>
      </c>
      <c r="G113" s="5">
        <f t="shared" si="75"/>
        <v>0.27484052834629868</v>
      </c>
    </row>
    <row r="114" spans="1:8" x14ac:dyDescent="0.35">
      <c r="A114" s="1" t="s">
        <v>125</v>
      </c>
      <c r="B114">
        <v>31.91</v>
      </c>
      <c r="C114">
        <v>33.44</v>
      </c>
      <c r="D114" s="5">
        <f>B114-C114</f>
        <v>-1.5299999999999976</v>
      </c>
      <c r="E114" s="5">
        <f t="shared" si="73"/>
        <v>-1.1333333333333329</v>
      </c>
      <c r="F114" s="5">
        <f t="shared" si="74"/>
        <v>-0.39666666666666472</v>
      </c>
      <c r="G114" s="5">
        <f t="shared" si="75"/>
        <v>1.3164627194436322</v>
      </c>
    </row>
    <row r="115" spans="1:8" x14ac:dyDescent="0.35">
      <c r="A115" s="1"/>
      <c r="B115">
        <v>32.119999999999997</v>
      </c>
      <c r="C115">
        <v>32.6</v>
      </c>
      <c r="D115" s="5">
        <f t="shared" ref="D115:D119" si="77">B115-C115</f>
        <v>-0.48000000000000398</v>
      </c>
      <c r="E115" s="5">
        <f t="shared" si="73"/>
        <v>-1.1333333333333329</v>
      </c>
      <c r="F115" s="5">
        <f t="shared" si="74"/>
        <v>0.65333333333332888</v>
      </c>
      <c r="G115" s="5">
        <f t="shared" si="75"/>
        <v>0.63580958319290337</v>
      </c>
      <c r="H115" s="5">
        <f>AVERAGE(G114:G116)</f>
        <v>1.0489958125975187</v>
      </c>
    </row>
    <row r="116" spans="1:8" x14ac:dyDescent="0.35">
      <c r="A116" s="1"/>
      <c r="B116">
        <v>30.89</v>
      </c>
      <c r="C116">
        <v>32.28</v>
      </c>
      <c r="D116" s="5">
        <f t="shared" si="77"/>
        <v>-1.3900000000000006</v>
      </c>
      <c r="E116" s="5">
        <f t="shared" si="73"/>
        <v>-1.1333333333333329</v>
      </c>
      <c r="F116" s="5">
        <f t="shared" si="74"/>
        <v>-0.25666666666666771</v>
      </c>
      <c r="G116" s="5">
        <f t="shared" si="75"/>
        <v>1.1947151351560203</v>
      </c>
    </row>
    <row r="117" spans="1:8" x14ac:dyDescent="0.35">
      <c r="A117" s="1" t="s">
        <v>126</v>
      </c>
      <c r="B117">
        <v>30.96</v>
      </c>
      <c r="C117">
        <v>32.450000000000003</v>
      </c>
      <c r="D117" s="5">
        <f t="shared" si="77"/>
        <v>-1.490000000000002</v>
      </c>
      <c r="E117" s="5">
        <f t="shared" si="73"/>
        <v>-1.1333333333333329</v>
      </c>
      <c r="F117" s="5">
        <f t="shared" si="74"/>
        <v>-0.35666666666666913</v>
      </c>
      <c r="G117" s="5">
        <f t="shared" si="75"/>
        <v>1.2804639771506845</v>
      </c>
    </row>
    <row r="118" spans="1:8" x14ac:dyDescent="0.35">
      <c r="A118" s="1"/>
      <c r="B118">
        <v>30.98</v>
      </c>
      <c r="C118">
        <v>32.119999999999997</v>
      </c>
      <c r="D118" s="5">
        <f t="shared" si="77"/>
        <v>-1.139999999999997</v>
      </c>
      <c r="E118" s="5">
        <f t="shared" si="73"/>
        <v>-1.1333333333333329</v>
      </c>
      <c r="F118" s="5">
        <f t="shared" si="74"/>
        <v>-6.6666666666641561E-3</v>
      </c>
      <c r="G118" s="5">
        <f t="shared" si="75"/>
        <v>1.004631674402052</v>
      </c>
      <c r="H118" s="5">
        <f>AVERAGE(G117:G119)</f>
        <v>1.1059904555673745</v>
      </c>
    </row>
    <row r="119" spans="1:8" x14ac:dyDescent="0.35">
      <c r="A119" s="1"/>
      <c r="B119">
        <v>31.07</v>
      </c>
      <c r="C119">
        <v>32.25</v>
      </c>
      <c r="D119" s="5">
        <f t="shared" si="77"/>
        <v>-1.1799999999999997</v>
      </c>
      <c r="E119" s="5">
        <f t="shared" si="73"/>
        <v>-1.1333333333333329</v>
      </c>
      <c r="F119" s="5">
        <f t="shared" si="74"/>
        <v>-4.6666666666666856E-2</v>
      </c>
      <c r="G119" s="5">
        <f t="shared" si="75"/>
        <v>1.032875715149387</v>
      </c>
    </row>
  </sheetData>
  <mergeCells count="56">
    <mergeCell ref="A108:A110"/>
    <mergeCell ref="A111:A113"/>
    <mergeCell ref="A114:A116"/>
    <mergeCell ref="A117:A119"/>
    <mergeCell ref="A93:A95"/>
    <mergeCell ref="A96:A98"/>
    <mergeCell ref="A99:A101"/>
    <mergeCell ref="A102:A104"/>
    <mergeCell ref="K93:K95"/>
    <mergeCell ref="K96:K98"/>
    <mergeCell ref="K99:K101"/>
    <mergeCell ref="K102:K104"/>
    <mergeCell ref="A78:A80"/>
    <mergeCell ref="A81:A83"/>
    <mergeCell ref="A84:A86"/>
    <mergeCell ref="A87:A89"/>
    <mergeCell ref="K78:K80"/>
    <mergeCell ref="K81:K83"/>
    <mergeCell ref="K84:K86"/>
    <mergeCell ref="K87:K89"/>
    <mergeCell ref="A63:A65"/>
    <mergeCell ref="A66:A68"/>
    <mergeCell ref="A69:A71"/>
    <mergeCell ref="A72:A74"/>
    <mergeCell ref="K63:K65"/>
    <mergeCell ref="K66:K68"/>
    <mergeCell ref="K69:K71"/>
    <mergeCell ref="K72:K74"/>
    <mergeCell ref="A48:A50"/>
    <mergeCell ref="A51:A53"/>
    <mergeCell ref="A54:A56"/>
    <mergeCell ref="A57:A59"/>
    <mergeCell ref="K48:K50"/>
    <mergeCell ref="K51:K53"/>
    <mergeCell ref="K54:K56"/>
    <mergeCell ref="K57:K59"/>
    <mergeCell ref="A33:A35"/>
    <mergeCell ref="A36:A38"/>
    <mergeCell ref="A39:A41"/>
    <mergeCell ref="A42:A44"/>
    <mergeCell ref="K33:K35"/>
    <mergeCell ref="K36:K38"/>
    <mergeCell ref="K39:K41"/>
    <mergeCell ref="K42:K44"/>
    <mergeCell ref="A24:A26"/>
    <mergeCell ref="A27:A29"/>
    <mergeCell ref="K18:K20"/>
    <mergeCell ref="K21:K23"/>
    <mergeCell ref="K24:K26"/>
    <mergeCell ref="K27:K29"/>
    <mergeCell ref="A3:A5"/>
    <mergeCell ref="A6:A8"/>
    <mergeCell ref="A9:A11"/>
    <mergeCell ref="A12:A14"/>
    <mergeCell ref="A18:A20"/>
    <mergeCell ref="A21:A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498FF-FD34-482F-8FC9-64702D43BCC9}">
  <dimension ref="A1:S63"/>
  <sheetViews>
    <sheetView tabSelected="1" topLeftCell="A28" workbookViewId="0">
      <selection activeCell="E58" sqref="E58:E63"/>
    </sheetView>
  </sheetViews>
  <sheetFormatPr defaultRowHeight="14.5" x14ac:dyDescent="0.35"/>
  <sheetData>
    <row r="1" spans="1:19" x14ac:dyDescent="0.35">
      <c r="A1" t="s">
        <v>107</v>
      </c>
      <c r="B1" t="s">
        <v>108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</row>
    <row r="2" spans="1:19" x14ac:dyDescent="0.35">
      <c r="A2" s="1" t="s">
        <v>124</v>
      </c>
      <c r="B2" s="2">
        <v>1</v>
      </c>
      <c r="C2">
        <v>34.53</v>
      </c>
      <c r="D2">
        <v>25.98</v>
      </c>
      <c r="E2">
        <v>36.35</v>
      </c>
      <c r="F2">
        <v>35.57</v>
      </c>
      <c r="G2">
        <v>30.85</v>
      </c>
      <c r="H2">
        <v>38.21</v>
      </c>
      <c r="I2" t="s">
        <v>11</v>
      </c>
      <c r="J2">
        <v>35.78</v>
      </c>
      <c r="K2">
        <v>34.71</v>
      </c>
      <c r="L2">
        <v>37.69</v>
      </c>
      <c r="M2">
        <v>37.11</v>
      </c>
      <c r="N2">
        <v>35.42</v>
      </c>
      <c r="O2">
        <v>28.7</v>
      </c>
      <c r="P2">
        <v>33.47</v>
      </c>
      <c r="Q2">
        <v>35.200000000000003</v>
      </c>
    </row>
    <row r="3" spans="1:19" x14ac:dyDescent="0.35">
      <c r="A3" s="1"/>
      <c r="B3" s="2">
        <v>2</v>
      </c>
      <c r="C3">
        <v>33.11</v>
      </c>
      <c r="D3">
        <v>23.71</v>
      </c>
      <c r="E3">
        <v>35.76</v>
      </c>
      <c r="F3">
        <v>33.450000000000003</v>
      </c>
      <c r="G3">
        <v>28.16</v>
      </c>
      <c r="H3">
        <v>36.53</v>
      </c>
      <c r="I3" t="s">
        <v>11</v>
      </c>
      <c r="J3">
        <v>34.33</v>
      </c>
      <c r="K3">
        <v>32.72</v>
      </c>
      <c r="L3">
        <v>32.53</v>
      </c>
      <c r="M3">
        <v>36.630000000000003</v>
      </c>
      <c r="N3">
        <v>34.85</v>
      </c>
      <c r="O3">
        <v>27.07</v>
      </c>
      <c r="P3">
        <v>31.36</v>
      </c>
      <c r="Q3">
        <v>32.67</v>
      </c>
    </row>
    <row r="4" spans="1:19" x14ac:dyDescent="0.35">
      <c r="A4" s="1"/>
      <c r="B4" s="2">
        <v>3</v>
      </c>
      <c r="C4">
        <v>33.56</v>
      </c>
      <c r="D4">
        <v>24.31</v>
      </c>
      <c r="E4">
        <v>34.25</v>
      </c>
      <c r="F4">
        <v>34.15</v>
      </c>
      <c r="G4">
        <v>28.49</v>
      </c>
      <c r="H4">
        <v>36.729999999999997</v>
      </c>
      <c r="I4">
        <v>37.97</v>
      </c>
      <c r="J4">
        <v>36.1</v>
      </c>
      <c r="K4">
        <v>33.78</v>
      </c>
      <c r="L4">
        <v>36.36</v>
      </c>
      <c r="M4">
        <v>36.6</v>
      </c>
      <c r="N4">
        <v>34.5</v>
      </c>
      <c r="O4">
        <v>27.44</v>
      </c>
      <c r="P4">
        <v>31.19</v>
      </c>
      <c r="Q4">
        <v>33.81</v>
      </c>
    </row>
    <row r="5" spans="1:19" x14ac:dyDescent="0.35">
      <c r="A5" s="1" t="s">
        <v>123</v>
      </c>
      <c r="B5" s="2">
        <v>1</v>
      </c>
      <c r="C5">
        <v>33.15</v>
      </c>
      <c r="D5">
        <v>24.54</v>
      </c>
      <c r="E5">
        <v>34.299999999999997</v>
      </c>
      <c r="F5">
        <v>34.549999999999997</v>
      </c>
      <c r="G5">
        <v>28.73</v>
      </c>
      <c r="H5">
        <v>36.53</v>
      </c>
      <c r="I5">
        <v>36.86</v>
      </c>
      <c r="J5">
        <v>34.53</v>
      </c>
      <c r="K5">
        <v>32.630000000000003</v>
      </c>
      <c r="L5">
        <v>35.07</v>
      </c>
      <c r="M5">
        <v>36.18</v>
      </c>
      <c r="N5">
        <v>33.97</v>
      </c>
      <c r="O5">
        <v>27.56</v>
      </c>
      <c r="P5">
        <v>31.62</v>
      </c>
      <c r="Q5">
        <v>33.83</v>
      </c>
    </row>
    <row r="6" spans="1:19" x14ac:dyDescent="0.35">
      <c r="A6" s="1"/>
      <c r="B6" s="2">
        <v>2</v>
      </c>
      <c r="C6">
        <v>33.06</v>
      </c>
      <c r="D6">
        <v>24.14</v>
      </c>
      <c r="E6">
        <v>35.979999999999997</v>
      </c>
      <c r="F6">
        <v>33.69</v>
      </c>
      <c r="G6">
        <v>28.31</v>
      </c>
      <c r="H6">
        <v>37</v>
      </c>
      <c r="I6" t="s">
        <v>11</v>
      </c>
      <c r="J6">
        <v>33.67</v>
      </c>
      <c r="K6">
        <v>32.08</v>
      </c>
      <c r="L6">
        <v>36.75</v>
      </c>
      <c r="M6">
        <v>36.44</v>
      </c>
      <c r="N6">
        <v>33.770000000000003</v>
      </c>
      <c r="O6">
        <v>27.18</v>
      </c>
      <c r="P6">
        <v>30.75</v>
      </c>
      <c r="Q6">
        <v>33.71</v>
      </c>
    </row>
    <row r="7" spans="1:19" x14ac:dyDescent="0.35">
      <c r="A7" s="1"/>
      <c r="B7" s="2">
        <v>3</v>
      </c>
      <c r="C7">
        <v>32.58</v>
      </c>
      <c r="D7">
        <v>24.36</v>
      </c>
      <c r="E7">
        <v>36.29</v>
      </c>
      <c r="F7">
        <v>34.229999999999997</v>
      </c>
      <c r="G7">
        <v>28.6</v>
      </c>
      <c r="H7">
        <v>37.07</v>
      </c>
      <c r="I7" t="s">
        <v>11</v>
      </c>
      <c r="J7">
        <v>33.880000000000003</v>
      </c>
      <c r="K7">
        <v>31.7</v>
      </c>
      <c r="L7">
        <v>36.6</v>
      </c>
      <c r="M7">
        <v>35.29</v>
      </c>
      <c r="N7">
        <v>34.090000000000003</v>
      </c>
      <c r="O7">
        <v>27.09</v>
      </c>
      <c r="P7">
        <v>31.7</v>
      </c>
      <c r="Q7">
        <v>33.31</v>
      </c>
    </row>
    <row r="9" spans="1:19" x14ac:dyDescent="0.35">
      <c r="A9" s="4"/>
      <c r="B9" s="5" t="s">
        <v>128</v>
      </c>
      <c r="C9" s="5" t="s">
        <v>127</v>
      </c>
      <c r="D9" s="5" t="s">
        <v>144</v>
      </c>
      <c r="E9" s="5" t="s">
        <v>145</v>
      </c>
      <c r="F9" s="5" t="s">
        <v>146</v>
      </c>
      <c r="G9" s="5" t="s">
        <v>147</v>
      </c>
      <c r="H9" s="5" t="s">
        <v>148</v>
      </c>
      <c r="I9" s="5" t="s">
        <v>149</v>
      </c>
      <c r="K9" s="4"/>
      <c r="L9" s="5" t="s">
        <v>129</v>
      </c>
      <c r="M9" s="5" t="s">
        <v>127</v>
      </c>
      <c r="N9" s="5" t="s">
        <v>144</v>
      </c>
      <c r="O9" s="5" t="s">
        <v>145</v>
      </c>
      <c r="P9" s="5" t="s">
        <v>146</v>
      </c>
      <c r="Q9" s="5" t="s">
        <v>147</v>
      </c>
      <c r="R9" s="5" t="s">
        <v>148</v>
      </c>
      <c r="S9" s="5" t="s">
        <v>149</v>
      </c>
    </row>
    <row r="10" spans="1:19" x14ac:dyDescent="0.35">
      <c r="A10" s="1" t="s">
        <v>124</v>
      </c>
      <c r="B10">
        <v>25.98</v>
      </c>
      <c r="C10">
        <v>34.53</v>
      </c>
      <c r="D10" s="5">
        <f>B10-C10</f>
        <v>-8.5500000000000007</v>
      </c>
      <c r="E10" s="5">
        <f>AVERAGE($B$10:$B$12)-AVERAGE($C$10:$C$12)</f>
        <v>-9.0666666666666664</v>
      </c>
      <c r="F10" s="5">
        <f>D10-E10</f>
        <v>0.51666666666666572</v>
      </c>
      <c r="G10" s="5">
        <f>2^-F10</f>
        <v>0.69898496708951019</v>
      </c>
      <c r="H10" s="5"/>
      <c r="I10" s="5"/>
      <c r="K10" s="1" t="s">
        <v>124</v>
      </c>
      <c r="L10">
        <v>36.35</v>
      </c>
      <c r="M10">
        <v>34.53</v>
      </c>
      <c r="N10" s="5">
        <f>L10-M10</f>
        <v>1.8200000000000003</v>
      </c>
      <c r="O10" s="5">
        <f>AVERAGE($L$10:$L$12)-AVERAGE($M$10:$M$12)</f>
        <v>1.7199999999999989</v>
      </c>
      <c r="P10" s="5">
        <f>N10-O10</f>
        <v>0.10000000000000142</v>
      </c>
      <c r="Q10" s="5">
        <f>2^-P10</f>
        <v>0.93303299153680652</v>
      </c>
      <c r="R10" s="5"/>
      <c r="S10" s="5"/>
    </row>
    <row r="11" spans="1:19" x14ac:dyDescent="0.35">
      <c r="A11" s="1"/>
      <c r="B11">
        <v>23.71</v>
      </c>
      <c r="C11">
        <v>33.11</v>
      </c>
      <c r="D11" s="5">
        <f t="shared" ref="D11" si="0">B11-C11</f>
        <v>-9.3999999999999986</v>
      </c>
      <c r="E11" s="5">
        <f t="shared" ref="E11:E15" si="1">AVERAGE($B$10:$B$12)-AVERAGE($C$10:$C$12)</f>
        <v>-9.0666666666666664</v>
      </c>
      <c r="F11" s="5">
        <f t="shared" ref="F11:F15" si="2">D11-E11</f>
        <v>-0.33333333333333215</v>
      </c>
      <c r="G11" s="5">
        <f t="shared" ref="G11:G15" si="3">2^-F11</f>
        <v>1.2599210498948721</v>
      </c>
      <c r="H11" s="5">
        <f>AVERAGE(G10:G12)</f>
        <v>1.0314701486850877</v>
      </c>
      <c r="I11" s="5"/>
      <c r="K11" s="1"/>
      <c r="L11">
        <v>35.76</v>
      </c>
      <c r="M11">
        <v>33.11</v>
      </c>
      <c r="N11" s="5">
        <f t="shared" ref="N11" si="4">L11-M11</f>
        <v>2.6499999999999986</v>
      </c>
      <c r="O11" s="5">
        <f t="shared" ref="O11:O15" si="5">AVERAGE($L$10:$L$12)-AVERAGE($M$10:$M$12)</f>
        <v>1.7199999999999989</v>
      </c>
      <c r="P11" s="5">
        <f t="shared" ref="P11:P15" si="6">N11-O11</f>
        <v>0.92999999999999972</v>
      </c>
      <c r="Q11" s="5">
        <f t="shared" ref="Q11:Q15" si="7">2^-P11</f>
        <v>0.52485834181153379</v>
      </c>
      <c r="R11" s="5">
        <f>AVERAGE(Q10:Q12)</f>
        <v>1.1666385282542429</v>
      </c>
      <c r="S11" s="5"/>
    </row>
    <row r="12" spans="1:19" x14ac:dyDescent="0.35">
      <c r="A12" s="1"/>
      <c r="B12">
        <v>24.31</v>
      </c>
      <c r="C12">
        <v>33.56</v>
      </c>
      <c r="D12" s="5">
        <f>B12-C12</f>
        <v>-9.2500000000000036</v>
      </c>
      <c r="E12" s="5">
        <f t="shared" si="1"/>
        <v>-9.0666666666666664</v>
      </c>
      <c r="F12" s="5">
        <f t="shared" si="2"/>
        <v>-0.18333333333333712</v>
      </c>
      <c r="G12" s="5">
        <f t="shared" si="3"/>
        <v>1.1355044290708804</v>
      </c>
      <c r="K12" s="1"/>
      <c r="L12">
        <v>34.25</v>
      </c>
      <c r="M12">
        <v>33.56</v>
      </c>
      <c r="N12" s="5">
        <f>L12-M12</f>
        <v>0.68999999999999773</v>
      </c>
      <c r="O12" s="5">
        <f t="shared" si="5"/>
        <v>1.7199999999999989</v>
      </c>
      <c r="P12" s="5">
        <f t="shared" si="6"/>
        <v>-1.0300000000000011</v>
      </c>
      <c r="Q12" s="5">
        <f t="shared" si="7"/>
        <v>2.042024251414388</v>
      </c>
    </row>
    <row r="13" spans="1:19" x14ac:dyDescent="0.35">
      <c r="A13" s="1" t="s">
        <v>123</v>
      </c>
      <c r="B13">
        <v>24.54</v>
      </c>
      <c r="C13">
        <v>33.15</v>
      </c>
      <c r="D13" s="5">
        <f t="shared" ref="D13:D15" si="8">B13-C13</f>
        <v>-8.61</v>
      </c>
      <c r="E13" s="5">
        <f t="shared" si="1"/>
        <v>-9.0666666666666664</v>
      </c>
      <c r="F13" s="5">
        <f t="shared" si="2"/>
        <v>0.456666666666667</v>
      </c>
      <c r="G13" s="5">
        <f t="shared" si="3"/>
        <v>0.72866789553347178</v>
      </c>
      <c r="K13" s="1" t="s">
        <v>123</v>
      </c>
      <c r="L13">
        <v>34.299999999999997</v>
      </c>
      <c r="M13">
        <v>33.15</v>
      </c>
      <c r="N13" s="5">
        <f t="shared" ref="N13:N15" si="9">L13-M13</f>
        <v>1.1499999999999986</v>
      </c>
      <c r="O13" s="5">
        <f t="shared" si="5"/>
        <v>1.7199999999999989</v>
      </c>
      <c r="P13" s="5">
        <f t="shared" si="6"/>
        <v>-0.57000000000000028</v>
      </c>
      <c r="Q13" s="5">
        <f t="shared" si="7"/>
        <v>1.4845235706290494</v>
      </c>
    </row>
    <row r="14" spans="1:19" x14ac:dyDescent="0.35">
      <c r="A14" s="1"/>
      <c r="B14">
        <v>24.14</v>
      </c>
      <c r="C14">
        <v>33.06</v>
      </c>
      <c r="D14" s="5">
        <f t="shared" si="8"/>
        <v>-8.9200000000000017</v>
      </c>
      <c r="E14" s="5">
        <f t="shared" si="1"/>
        <v>-9.0666666666666664</v>
      </c>
      <c r="F14" s="5">
        <f t="shared" si="2"/>
        <v>0.14666666666666472</v>
      </c>
      <c r="G14" s="5">
        <f t="shared" si="3"/>
        <v>0.90333520079118357</v>
      </c>
      <c r="H14" s="5">
        <f>AVERAGE(G13:G15)</f>
        <v>0.7293570464135305</v>
      </c>
      <c r="K14" s="1"/>
      <c r="L14">
        <v>35.979999999999997</v>
      </c>
      <c r="M14">
        <v>33.06</v>
      </c>
      <c r="N14" s="5">
        <f t="shared" si="9"/>
        <v>2.9199999999999946</v>
      </c>
      <c r="O14" s="5">
        <f t="shared" si="5"/>
        <v>1.7199999999999989</v>
      </c>
      <c r="P14" s="5">
        <f t="shared" si="6"/>
        <v>1.1999999999999957</v>
      </c>
      <c r="Q14" s="5">
        <f t="shared" si="7"/>
        <v>0.43527528164806339</v>
      </c>
      <c r="R14" s="5">
        <f>AVERAGE(Q13:Q15)</f>
        <v>0.72384591326376402</v>
      </c>
    </row>
    <row r="15" spans="1:19" x14ac:dyDescent="0.35">
      <c r="A15" s="1"/>
      <c r="B15">
        <v>24.36</v>
      </c>
      <c r="C15">
        <v>32.58</v>
      </c>
      <c r="D15" s="5">
        <f t="shared" si="8"/>
        <v>-8.2199999999999989</v>
      </c>
      <c r="E15" s="5">
        <f t="shared" si="1"/>
        <v>-9.0666666666666664</v>
      </c>
      <c r="F15" s="5">
        <f t="shared" si="2"/>
        <v>0.84666666666666757</v>
      </c>
      <c r="G15" s="5">
        <f t="shared" si="3"/>
        <v>0.55606804291593581</v>
      </c>
      <c r="K15" s="1"/>
      <c r="L15">
        <v>36.29</v>
      </c>
      <c r="M15">
        <v>32.58</v>
      </c>
      <c r="N15" s="5">
        <f t="shared" si="9"/>
        <v>3.7100000000000009</v>
      </c>
      <c r="O15" s="5">
        <f t="shared" si="5"/>
        <v>1.7199999999999989</v>
      </c>
      <c r="P15" s="5">
        <f t="shared" si="6"/>
        <v>1.990000000000002</v>
      </c>
      <c r="Q15" s="5">
        <f t="shared" si="7"/>
        <v>0.25173888751417939</v>
      </c>
    </row>
    <row r="17" spans="1:19" x14ac:dyDescent="0.35">
      <c r="A17" s="4"/>
      <c r="B17" s="5" t="s">
        <v>130</v>
      </c>
      <c r="C17" s="5" t="s">
        <v>127</v>
      </c>
      <c r="D17" s="5" t="s">
        <v>144</v>
      </c>
      <c r="E17" s="5" t="s">
        <v>145</v>
      </c>
      <c r="F17" s="5" t="s">
        <v>146</v>
      </c>
      <c r="G17" s="5" t="s">
        <v>147</v>
      </c>
      <c r="H17" s="5" t="s">
        <v>148</v>
      </c>
      <c r="I17" s="5" t="s">
        <v>149</v>
      </c>
      <c r="K17" s="4"/>
      <c r="L17" s="5" t="s">
        <v>131</v>
      </c>
      <c r="M17" s="5" t="s">
        <v>127</v>
      </c>
      <c r="N17" s="5" t="s">
        <v>144</v>
      </c>
      <c r="O17" s="5" t="s">
        <v>145</v>
      </c>
      <c r="P17" s="5" t="s">
        <v>146</v>
      </c>
      <c r="Q17" s="5" t="s">
        <v>147</v>
      </c>
      <c r="R17" s="5" t="s">
        <v>148</v>
      </c>
      <c r="S17" s="5" t="s">
        <v>149</v>
      </c>
    </row>
    <row r="18" spans="1:19" x14ac:dyDescent="0.35">
      <c r="A18" s="1" t="s">
        <v>124</v>
      </c>
      <c r="B18">
        <v>35.57</v>
      </c>
      <c r="C18">
        <v>34.53</v>
      </c>
      <c r="D18" s="5">
        <f>B18-C18</f>
        <v>1.0399999999999991</v>
      </c>
      <c r="E18" s="5">
        <f>AVERAGE($B$18:$B$20)-AVERAGE($C$18:$C$20)</f>
        <v>0.65666666666667339</v>
      </c>
      <c r="F18" s="5">
        <f>D18-E18</f>
        <v>0.38333333333332575</v>
      </c>
      <c r="G18" s="5">
        <f>2^-F18</f>
        <v>0.76666417233480433</v>
      </c>
      <c r="H18" s="5"/>
      <c r="I18" s="5"/>
      <c r="K18" s="1" t="s">
        <v>124</v>
      </c>
      <c r="L18">
        <v>30.85</v>
      </c>
      <c r="M18">
        <v>34.53</v>
      </c>
      <c r="N18" s="5">
        <f>L18-M18</f>
        <v>-3.6799999999999997</v>
      </c>
      <c r="O18" s="5">
        <f>AVERAGE($L$18:$L$20)-AVERAGE($M$18:$M$20)</f>
        <v>-4.5666666666666664</v>
      </c>
      <c r="P18" s="5">
        <f>N18-O18</f>
        <v>0.88666666666666671</v>
      </c>
      <c r="Q18" s="5">
        <f>2^-P18</f>
        <v>0.54086233304005238</v>
      </c>
      <c r="R18" s="5"/>
      <c r="S18" s="5"/>
    </row>
    <row r="19" spans="1:19" x14ac:dyDescent="0.35">
      <c r="A19" s="1"/>
      <c r="B19">
        <v>33.450000000000003</v>
      </c>
      <c r="C19">
        <v>33.11</v>
      </c>
      <c r="D19" s="5">
        <f t="shared" ref="D19" si="10">B19-C19</f>
        <v>0.34000000000000341</v>
      </c>
      <c r="E19" s="5">
        <f t="shared" ref="E19:E23" si="11">AVERAGE($B$18:$B$20)-AVERAGE($C$18:$C$20)</f>
        <v>0.65666666666667339</v>
      </c>
      <c r="F19" s="5">
        <f t="shared" ref="F19:F23" si="12">D19-E19</f>
        <v>-0.31666666666666998</v>
      </c>
      <c r="G19" s="5">
        <f t="shared" ref="G19:G23" si="13">2^-F19</f>
        <v>1.2454496223588258</v>
      </c>
      <c r="H19" s="5">
        <f>AVERAGE(G18:G20)</f>
        <v>1.0198026391714217</v>
      </c>
      <c r="I19" s="5"/>
      <c r="K19" s="1"/>
      <c r="L19">
        <v>28.16</v>
      </c>
      <c r="M19">
        <v>33.11</v>
      </c>
      <c r="N19" s="5">
        <f t="shared" ref="N19" si="14">L19-M19</f>
        <v>-4.9499999999999993</v>
      </c>
      <c r="O19" s="5">
        <f t="shared" ref="O19:O23" si="15">AVERAGE($L$18:$L$20)-AVERAGE($M$18:$M$20)</f>
        <v>-4.5666666666666664</v>
      </c>
      <c r="P19" s="5">
        <f t="shared" ref="P19:P23" si="16">N19-O19</f>
        <v>-0.38333333333333286</v>
      </c>
      <c r="Q19" s="5">
        <f t="shared" ref="Q19:Q23" si="17">2^-P19</f>
        <v>1.3043520697655639</v>
      </c>
      <c r="R19" s="5">
        <f>AVERAGE(Q18:Q20)</f>
        <v>1.0875664233426268</v>
      </c>
      <c r="S19" s="5"/>
    </row>
    <row r="20" spans="1:19" x14ac:dyDescent="0.35">
      <c r="A20" s="1"/>
      <c r="B20">
        <v>34.15</v>
      </c>
      <c r="C20">
        <v>33.56</v>
      </c>
      <c r="D20" s="5">
        <f>B20-C20</f>
        <v>0.58999999999999631</v>
      </c>
      <c r="E20" s="5">
        <f t="shared" si="11"/>
        <v>0.65666666666667339</v>
      </c>
      <c r="F20" s="5">
        <f t="shared" si="12"/>
        <v>-6.6666666666677088E-2</v>
      </c>
      <c r="G20" s="5">
        <f t="shared" si="13"/>
        <v>1.0472941228206343</v>
      </c>
      <c r="K20" s="1"/>
      <c r="L20">
        <v>28.49</v>
      </c>
      <c r="M20">
        <v>33.56</v>
      </c>
      <c r="N20" s="5">
        <f>L20-M20</f>
        <v>-5.0700000000000038</v>
      </c>
      <c r="O20" s="5">
        <f t="shared" si="15"/>
        <v>-4.5666666666666664</v>
      </c>
      <c r="P20" s="5">
        <f t="shared" si="16"/>
        <v>-0.50333333333333741</v>
      </c>
      <c r="Q20" s="5">
        <f t="shared" si="17"/>
        <v>1.4174848672222637</v>
      </c>
    </row>
    <row r="21" spans="1:19" x14ac:dyDescent="0.35">
      <c r="A21" s="1" t="s">
        <v>123</v>
      </c>
      <c r="B21">
        <v>34.549999999999997</v>
      </c>
      <c r="C21">
        <v>33.15</v>
      </c>
      <c r="D21" s="5">
        <f t="shared" ref="D21:D23" si="18">B21-C21</f>
        <v>1.3999999999999986</v>
      </c>
      <c r="E21" s="5">
        <f t="shared" si="11"/>
        <v>0.65666666666667339</v>
      </c>
      <c r="F21" s="5">
        <f t="shared" si="12"/>
        <v>0.74333333333332519</v>
      </c>
      <c r="G21" s="5">
        <f t="shared" si="13"/>
        <v>0.59735756757801306</v>
      </c>
      <c r="K21" s="1" t="s">
        <v>123</v>
      </c>
      <c r="L21">
        <v>28.73</v>
      </c>
      <c r="M21">
        <v>33.15</v>
      </c>
      <c r="N21" s="5">
        <f t="shared" ref="N21:N23" si="19">L21-M21</f>
        <v>-4.4199999999999982</v>
      </c>
      <c r="O21" s="5">
        <f t="shared" si="15"/>
        <v>-4.5666666666666664</v>
      </c>
      <c r="P21" s="5">
        <f t="shared" si="16"/>
        <v>0.14666666666666828</v>
      </c>
      <c r="Q21" s="5">
        <f t="shared" si="17"/>
        <v>0.90333520079118113</v>
      </c>
    </row>
    <row r="22" spans="1:19" x14ac:dyDescent="0.35">
      <c r="A22" s="1"/>
      <c r="B22">
        <v>33.69</v>
      </c>
      <c r="C22">
        <v>33.06</v>
      </c>
      <c r="D22" s="5">
        <f t="shared" si="18"/>
        <v>0.62999999999999545</v>
      </c>
      <c r="E22" s="5">
        <f t="shared" si="11"/>
        <v>0.65666666666667339</v>
      </c>
      <c r="F22" s="5">
        <f t="shared" si="12"/>
        <v>-2.6666666666677941E-2</v>
      </c>
      <c r="G22" s="5">
        <f t="shared" si="13"/>
        <v>1.0186558099573004</v>
      </c>
      <c r="H22" s="5">
        <f>AVERAGE(G21:G23)</f>
        <v>0.70610973824544765</v>
      </c>
      <c r="K22" s="1"/>
      <c r="L22">
        <v>28.31</v>
      </c>
      <c r="M22">
        <v>33.06</v>
      </c>
      <c r="N22" s="5">
        <f t="shared" si="19"/>
        <v>-4.7500000000000036</v>
      </c>
      <c r="O22" s="5">
        <f t="shared" si="15"/>
        <v>-4.5666666666666664</v>
      </c>
      <c r="P22" s="5">
        <f t="shared" si="16"/>
        <v>-0.18333333333333712</v>
      </c>
      <c r="Q22" s="5">
        <f t="shared" si="17"/>
        <v>1.1355044290708804</v>
      </c>
      <c r="R22" s="5">
        <f>AVERAGE(Q21:Q23)</f>
        <v>0.9015730898576727</v>
      </c>
    </row>
    <row r="23" spans="1:19" x14ac:dyDescent="0.35">
      <c r="A23" s="1"/>
      <c r="B23">
        <v>34.229999999999997</v>
      </c>
      <c r="C23">
        <v>32.58</v>
      </c>
      <c r="D23" s="5">
        <f t="shared" si="18"/>
        <v>1.6499999999999986</v>
      </c>
      <c r="E23" s="5">
        <f t="shared" si="11"/>
        <v>0.65666666666667339</v>
      </c>
      <c r="F23" s="5">
        <f t="shared" si="12"/>
        <v>0.99333333333332519</v>
      </c>
      <c r="G23" s="5">
        <f t="shared" si="13"/>
        <v>0.50231583720102979</v>
      </c>
      <c r="K23" s="1"/>
      <c r="L23">
        <v>28.6</v>
      </c>
      <c r="M23">
        <v>32.58</v>
      </c>
      <c r="N23" s="5">
        <f t="shared" si="19"/>
        <v>-3.9799999999999969</v>
      </c>
      <c r="O23" s="5">
        <f t="shared" si="15"/>
        <v>-4.5666666666666664</v>
      </c>
      <c r="P23" s="5">
        <f t="shared" si="16"/>
        <v>0.58666666666666956</v>
      </c>
      <c r="Q23" s="5">
        <f t="shared" si="17"/>
        <v>0.66587963971095665</v>
      </c>
    </row>
    <row r="25" spans="1:19" x14ac:dyDescent="0.35">
      <c r="A25" s="4"/>
      <c r="B25" s="5" t="s">
        <v>132</v>
      </c>
      <c r="C25" s="5" t="s">
        <v>127</v>
      </c>
      <c r="D25" s="5" t="s">
        <v>144</v>
      </c>
      <c r="E25" s="5" t="s">
        <v>145</v>
      </c>
      <c r="F25" s="5" t="s">
        <v>146</v>
      </c>
      <c r="G25" s="5" t="s">
        <v>147</v>
      </c>
      <c r="H25" s="5" t="s">
        <v>148</v>
      </c>
      <c r="I25" s="5" t="s">
        <v>149</v>
      </c>
      <c r="K25" s="4"/>
      <c r="L25" s="5" t="s">
        <v>135</v>
      </c>
      <c r="M25" s="5" t="s">
        <v>127</v>
      </c>
      <c r="N25" s="5" t="s">
        <v>144</v>
      </c>
      <c r="O25" s="5" t="s">
        <v>145</v>
      </c>
      <c r="P25" s="5" t="s">
        <v>146</v>
      </c>
      <c r="Q25" s="5" t="s">
        <v>147</v>
      </c>
      <c r="R25" s="5" t="s">
        <v>148</v>
      </c>
      <c r="S25" s="5" t="s">
        <v>149</v>
      </c>
    </row>
    <row r="26" spans="1:19" x14ac:dyDescent="0.35">
      <c r="A26" s="1" t="s">
        <v>124</v>
      </c>
      <c r="B26">
        <v>38.21</v>
      </c>
      <c r="C26">
        <v>34.53</v>
      </c>
      <c r="D26" s="5">
        <f>B26-C26</f>
        <v>3.6799999999999997</v>
      </c>
      <c r="E26" s="5">
        <f>AVERAGE($B$26:$B$28)-AVERAGE($C$26:$C$28)</f>
        <v>3.423333333333332</v>
      </c>
      <c r="F26" s="5">
        <f>D26-E26</f>
        <v>0.25666666666666771</v>
      </c>
      <c r="G26" s="5">
        <f>2^-F26</f>
        <v>0.83701961293844984</v>
      </c>
      <c r="H26" s="5"/>
      <c r="I26" s="5"/>
      <c r="K26" s="1" t="s">
        <v>124</v>
      </c>
      <c r="L26">
        <v>35.78</v>
      </c>
      <c r="M26">
        <v>34.53</v>
      </c>
      <c r="N26" s="5">
        <f>L26-M26</f>
        <v>1.25</v>
      </c>
      <c r="O26" s="5">
        <f>AVERAGE($L$26:$L$28)-AVERAGE($M$26:$M$28)</f>
        <v>1.6700000000000017</v>
      </c>
      <c r="P26" s="5">
        <f>N26-O26</f>
        <v>-0.42000000000000171</v>
      </c>
      <c r="Q26" s="5">
        <f>2^-P26</f>
        <v>1.3379275547861136</v>
      </c>
      <c r="R26" s="5"/>
      <c r="S26" s="5"/>
    </row>
    <row r="27" spans="1:19" x14ac:dyDescent="0.35">
      <c r="A27" s="1"/>
      <c r="B27">
        <v>36.53</v>
      </c>
      <c r="C27">
        <v>33.11</v>
      </c>
      <c r="D27" s="5">
        <f t="shared" ref="D27" si="20">B27-C27</f>
        <v>3.4200000000000017</v>
      </c>
      <c r="E27" s="5">
        <f t="shared" ref="E27:E31" si="21">AVERAGE($B$26:$B$28)-AVERAGE($C$26:$C$28)</f>
        <v>3.423333333333332</v>
      </c>
      <c r="F27" s="5">
        <f t="shared" ref="F27:F31" si="22">D27-E27</f>
        <v>-3.3333333333303017E-3</v>
      </c>
      <c r="G27" s="5">
        <f t="shared" ref="G27:G31" si="23">2^-F27</f>
        <v>1.0023131618421708</v>
      </c>
      <c r="H27" s="5">
        <f>AVERAGE(G26:G28)</f>
        <v>1.0104302394347366</v>
      </c>
      <c r="I27" s="5"/>
      <c r="K27" s="1"/>
      <c r="L27">
        <v>34.33</v>
      </c>
      <c r="M27">
        <v>33.11</v>
      </c>
      <c r="N27" s="5">
        <f t="shared" ref="N27" si="24">L27-M27</f>
        <v>1.2199999999999989</v>
      </c>
      <c r="O27" s="5">
        <f t="shared" ref="O27:O31" si="25">AVERAGE($L$26:$L$28)-AVERAGE($M$26:$M$28)</f>
        <v>1.6700000000000017</v>
      </c>
      <c r="P27" s="5">
        <f t="shared" ref="P27:P31" si="26">N27-O27</f>
        <v>-0.45000000000000284</v>
      </c>
      <c r="Q27" s="5">
        <f t="shared" ref="Q27:Q31" si="27">2^-P27</f>
        <v>1.3660402567543983</v>
      </c>
      <c r="R27" s="5">
        <f>AVERAGE(Q26:Q28)</f>
        <v>1.0837048873902941</v>
      </c>
      <c r="S27" s="5"/>
    </row>
    <row r="28" spans="1:19" x14ac:dyDescent="0.35">
      <c r="A28" s="1"/>
      <c r="B28">
        <v>36.729999999999997</v>
      </c>
      <c r="C28">
        <v>33.56</v>
      </c>
      <c r="D28" s="5">
        <f>B28-C28</f>
        <v>3.1699999999999946</v>
      </c>
      <c r="E28" s="5">
        <f t="shared" si="21"/>
        <v>3.423333333333332</v>
      </c>
      <c r="F28" s="5">
        <f t="shared" si="22"/>
        <v>-0.25333333333333741</v>
      </c>
      <c r="G28" s="5">
        <f t="shared" si="23"/>
        <v>1.1919579435235892</v>
      </c>
      <c r="K28" s="1"/>
      <c r="L28">
        <v>36.1</v>
      </c>
      <c r="M28">
        <v>33.56</v>
      </c>
      <c r="N28" s="5">
        <f>L28-M28</f>
        <v>2.5399999999999991</v>
      </c>
      <c r="O28" s="5">
        <f t="shared" si="25"/>
        <v>1.6700000000000017</v>
      </c>
      <c r="P28" s="5">
        <f t="shared" si="26"/>
        <v>0.86999999999999744</v>
      </c>
      <c r="Q28" s="5">
        <f t="shared" si="27"/>
        <v>0.54714685063037083</v>
      </c>
    </row>
    <row r="29" spans="1:19" x14ac:dyDescent="0.35">
      <c r="A29" s="1" t="s">
        <v>123</v>
      </c>
      <c r="B29">
        <v>36.53</v>
      </c>
      <c r="C29">
        <v>33.15</v>
      </c>
      <c r="D29" s="5">
        <f t="shared" ref="D29:D31" si="28">B29-C29</f>
        <v>3.3800000000000026</v>
      </c>
      <c r="E29" s="5">
        <f t="shared" si="21"/>
        <v>3.423333333333332</v>
      </c>
      <c r="F29" s="5">
        <f t="shared" si="22"/>
        <v>-4.3333333333329449E-2</v>
      </c>
      <c r="G29" s="5">
        <f t="shared" si="23"/>
        <v>1.0304920203292949</v>
      </c>
      <c r="K29" s="1" t="s">
        <v>123</v>
      </c>
      <c r="L29">
        <v>34.53</v>
      </c>
      <c r="M29">
        <v>33.15</v>
      </c>
      <c r="N29" s="5">
        <f t="shared" ref="N29:N31" si="29">L29-M29</f>
        <v>1.3800000000000026</v>
      </c>
      <c r="O29" s="5">
        <f t="shared" si="25"/>
        <v>1.6700000000000017</v>
      </c>
      <c r="P29" s="5">
        <f t="shared" si="26"/>
        <v>-0.28999999999999915</v>
      </c>
      <c r="Q29" s="5">
        <f t="shared" si="27"/>
        <v>1.2226402776920677</v>
      </c>
    </row>
    <row r="30" spans="1:19" x14ac:dyDescent="0.35">
      <c r="A30" s="1"/>
      <c r="B30">
        <v>37</v>
      </c>
      <c r="C30">
        <v>33.06</v>
      </c>
      <c r="D30" s="5">
        <f t="shared" si="28"/>
        <v>3.9399999999999977</v>
      </c>
      <c r="E30" s="5">
        <f t="shared" si="21"/>
        <v>3.423333333333332</v>
      </c>
      <c r="F30" s="5">
        <f t="shared" si="22"/>
        <v>0.51666666666666572</v>
      </c>
      <c r="G30" s="5">
        <f t="shared" si="23"/>
        <v>0.69898496708951019</v>
      </c>
      <c r="H30" s="5">
        <f>AVERAGE(G29:G31)</f>
        <v>0.73563259645800405</v>
      </c>
      <c r="K30" s="1"/>
      <c r="L30">
        <v>33.67</v>
      </c>
      <c r="M30">
        <v>33.06</v>
      </c>
      <c r="N30" s="5">
        <f t="shared" si="29"/>
        <v>0.60999999999999943</v>
      </c>
      <c r="O30" s="5">
        <f t="shared" si="25"/>
        <v>1.6700000000000017</v>
      </c>
      <c r="P30" s="5">
        <f t="shared" si="26"/>
        <v>-1.0600000000000023</v>
      </c>
      <c r="Q30" s="5">
        <f t="shared" si="27"/>
        <v>2.0849315216822459</v>
      </c>
      <c r="R30" s="5">
        <f>AVERAGE(Q29:Q31)</f>
        <v>1.5333082100039348</v>
      </c>
    </row>
    <row r="31" spans="1:19" x14ac:dyDescent="0.35">
      <c r="A31" s="1"/>
      <c r="B31">
        <v>37.07</v>
      </c>
      <c r="C31">
        <v>32.58</v>
      </c>
      <c r="D31" s="5">
        <f t="shared" si="28"/>
        <v>4.490000000000002</v>
      </c>
      <c r="E31" s="5">
        <f t="shared" si="21"/>
        <v>3.423333333333332</v>
      </c>
      <c r="F31" s="5">
        <f t="shared" si="22"/>
        <v>1.06666666666667</v>
      </c>
      <c r="G31" s="5">
        <f t="shared" si="23"/>
        <v>0.47742080195520714</v>
      </c>
      <c r="K31" s="1"/>
      <c r="L31">
        <v>33.880000000000003</v>
      </c>
      <c r="M31">
        <v>32.58</v>
      </c>
      <c r="N31" s="5">
        <f t="shared" si="29"/>
        <v>1.3000000000000043</v>
      </c>
      <c r="O31" s="5">
        <f t="shared" si="25"/>
        <v>1.6700000000000017</v>
      </c>
      <c r="P31" s="5">
        <f t="shared" si="26"/>
        <v>-0.36999999999999744</v>
      </c>
      <c r="Q31" s="5">
        <f t="shared" si="27"/>
        <v>1.2923528306374901</v>
      </c>
    </row>
    <row r="33" spans="1:19" x14ac:dyDescent="0.35">
      <c r="A33" s="4"/>
      <c r="B33" s="5" t="s">
        <v>136</v>
      </c>
      <c r="C33" s="5" t="s">
        <v>127</v>
      </c>
      <c r="D33" s="5" t="s">
        <v>144</v>
      </c>
      <c r="E33" s="5" t="s">
        <v>145</v>
      </c>
      <c r="F33" s="5" t="s">
        <v>146</v>
      </c>
      <c r="G33" s="5" t="s">
        <v>147</v>
      </c>
      <c r="H33" s="5" t="s">
        <v>148</v>
      </c>
      <c r="I33" s="5" t="s">
        <v>149</v>
      </c>
      <c r="K33" s="4"/>
      <c r="L33" s="5" t="s">
        <v>137</v>
      </c>
      <c r="M33" s="5" t="s">
        <v>127</v>
      </c>
      <c r="N33" s="5" t="s">
        <v>144</v>
      </c>
      <c r="O33" s="5" t="s">
        <v>145</v>
      </c>
      <c r="P33" s="5" t="s">
        <v>146</v>
      </c>
      <c r="Q33" s="5" t="s">
        <v>147</v>
      </c>
      <c r="R33" s="5" t="s">
        <v>148</v>
      </c>
      <c r="S33" s="5" t="s">
        <v>149</v>
      </c>
    </row>
    <row r="34" spans="1:19" x14ac:dyDescent="0.35">
      <c r="A34" s="1" t="s">
        <v>124</v>
      </c>
      <c r="B34">
        <v>34.71</v>
      </c>
      <c r="C34">
        <v>34.53</v>
      </c>
      <c r="D34" s="5">
        <f>B34-C34</f>
        <v>0.17999999999999972</v>
      </c>
      <c r="E34" s="5">
        <f>AVERAGE($B$34:$B$36)-AVERAGE($C$34:$C$36)</f>
        <v>3.3333333333374071E-3</v>
      </c>
      <c r="F34" s="5">
        <f>D34-E34</f>
        <v>0.17666666666666231</v>
      </c>
      <c r="G34" s="5">
        <f>2^-F34</f>
        <v>0.88474483117964864</v>
      </c>
      <c r="H34" s="5"/>
      <c r="I34" s="5"/>
      <c r="K34" s="1" t="s">
        <v>124</v>
      </c>
      <c r="L34">
        <v>37.69</v>
      </c>
      <c r="M34">
        <v>34.53</v>
      </c>
      <c r="N34" s="5">
        <f>L34-M34</f>
        <v>3.1599999999999966</v>
      </c>
      <c r="O34" s="5">
        <f>AVERAGE($L$34:$L$36)-AVERAGE($M$34:$M$36)</f>
        <v>1.7933333333333294</v>
      </c>
      <c r="P34" s="5">
        <f>N34-O34</f>
        <v>1.3666666666666671</v>
      </c>
      <c r="Q34" s="5">
        <f>2^-P34</f>
        <v>0.38778619045843354</v>
      </c>
      <c r="R34" s="5"/>
      <c r="S34" s="5"/>
    </row>
    <row r="35" spans="1:19" x14ac:dyDescent="0.35">
      <c r="A35" s="1"/>
      <c r="B35">
        <v>32.72</v>
      </c>
      <c r="C35">
        <v>33.11</v>
      </c>
      <c r="D35" s="5">
        <f t="shared" ref="D35" si="30">B35-C35</f>
        <v>-0.39000000000000057</v>
      </c>
      <c r="E35" s="5">
        <f t="shared" ref="E35:E39" si="31">AVERAGE($B$34:$B$36)-AVERAGE($C$34:$C$36)</f>
        <v>3.3333333333374071E-3</v>
      </c>
      <c r="F35" s="5">
        <f t="shared" ref="F35:F39" si="32">D35-E35</f>
        <v>-0.39333333333333798</v>
      </c>
      <c r="G35" s="5">
        <f t="shared" ref="G35:G39" si="33">2^-F35</f>
        <v>1.3134245558784077</v>
      </c>
      <c r="H35" s="5">
        <f>AVERAGE(G34:G36)</f>
        <v>1.0195736081007964</v>
      </c>
      <c r="I35" s="5"/>
      <c r="K35" s="1"/>
      <c r="L35">
        <v>32.53</v>
      </c>
      <c r="M35">
        <v>33.11</v>
      </c>
      <c r="N35" s="5">
        <f t="shared" ref="N35" si="34">L35-M35</f>
        <v>-0.57999999999999829</v>
      </c>
      <c r="O35" s="5">
        <f t="shared" ref="O35:O39" si="35">AVERAGE($L$34:$L$36)-AVERAGE($M$34:$M$36)</f>
        <v>1.7933333333333294</v>
      </c>
      <c r="P35" s="5">
        <f t="shared" ref="P35:P39" si="36">N35-O35</f>
        <v>-2.3733333333333277</v>
      </c>
      <c r="Q35" s="5">
        <f t="shared" ref="Q35:Q39" si="37">2^-P35</f>
        <v>5.1813690075677679</v>
      </c>
      <c r="R35" s="5">
        <f>AVERAGE(Q34:Q36)</f>
        <v>2.0222833458592717</v>
      </c>
      <c r="S35" s="5"/>
    </row>
    <row r="36" spans="1:19" x14ac:dyDescent="0.35">
      <c r="A36" s="1"/>
      <c r="B36">
        <v>33.78</v>
      </c>
      <c r="C36">
        <v>33.56</v>
      </c>
      <c r="D36" s="5">
        <f>B36-C36</f>
        <v>0.21999999999999886</v>
      </c>
      <c r="E36" s="5">
        <f t="shared" si="31"/>
        <v>3.3333333333374071E-3</v>
      </c>
      <c r="F36" s="5">
        <f t="shared" si="32"/>
        <v>0.21666666666666146</v>
      </c>
      <c r="G36" s="5">
        <f t="shared" si="33"/>
        <v>0.86055143724433314</v>
      </c>
      <c r="K36" s="1"/>
      <c r="L36">
        <v>36.36</v>
      </c>
      <c r="M36">
        <v>33.56</v>
      </c>
      <c r="N36" s="5">
        <f>L36-M36</f>
        <v>2.7999999999999972</v>
      </c>
      <c r="O36" s="5">
        <f t="shared" si="35"/>
        <v>1.7933333333333294</v>
      </c>
      <c r="P36" s="5">
        <f t="shared" si="36"/>
        <v>1.0066666666666677</v>
      </c>
      <c r="Q36" s="5">
        <f t="shared" si="37"/>
        <v>0.4976948395516142</v>
      </c>
    </row>
    <row r="37" spans="1:19" x14ac:dyDescent="0.35">
      <c r="A37" s="1" t="s">
        <v>123</v>
      </c>
      <c r="B37">
        <v>32.630000000000003</v>
      </c>
      <c r="C37">
        <v>33.15</v>
      </c>
      <c r="D37" s="5">
        <f t="shared" ref="D37:D39" si="38">B37-C37</f>
        <v>-0.51999999999999602</v>
      </c>
      <c r="E37" s="5">
        <f t="shared" si="31"/>
        <v>3.3333333333374071E-3</v>
      </c>
      <c r="F37" s="5">
        <f t="shared" si="32"/>
        <v>-0.52333333333333343</v>
      </c>
      <c r="G37" s="5">
        <f t="shared" si="33"/>
        <v>1.4372722185789211</v>
      </c>
      <c r="K37" s="1" t="s">
        <v>123</v>
      </c>
      <c r="L37">
        <v>35.07</v>
      </c>
      <c r="M37">
        <v>33.15</v>
      </c>
      <c r="N37" s="5">
        <f t="shared" ref="N37:N39" si="39">L37-M37</f>
        <v>1.9200000000000017</v>
      </c>
      <c r="O37" s="5">
        <f t="shared" si="35"/>
        <v>1.7933333333333294</v>
      </c>
      <c r="P37" s="5">
        <f t="shared" si="36"/>
        <v>0.12666666666667226</v>
      </c>
      <c r="Q37" s="5">
        <f t="shared" si="37"/>
        <v>0.91594529027024507</v>
      </c>
    </row>
    <row r="38" spans="1:19" x14ac:dyDescent="0.35">
      <c r="A38" s="1"/>
      <c r="B38">
        <v>32.08</v>
      </c>
      <c r="C38">
        <v>33.06</v>
      </c>
      <c r="D38" s="5">
        <f t="shared" si="38"/>
        <v>-0.98000000000000398</v>
      </c>
      <c r="E38" s="5">
        <f t="shared" si="31"/>
        <v>3.3333333333374071E-3</v>
      </c>
      <c r="F38" s="5">
        <f t="shared" si="32"/>
        <v>-0.98333333333334139</v>
      </c>
      <c r="G38" s="5">
        <f t="shared" si="33"/>
        <v>1.9770280407058032</v>
      </c>
      <c r="H38" s="5">
        <f>AVERAGE(G37:G39)</f>
        <v>1.752977548818869</v>
      </c>
      <c r="K38" s="1"/>
      <c r="L38">
        <v>36.75</v>
      </c>
      <c r="M38">
        <v>33.06</v>
      </c>
      <c r="N38" s="5">
        <f t="shared" si="39"/>
        <v>3.6899999999999977</v>
      </c>
      <c r="O38" s="5">
        <f t="shared" si="35"/>
        <v>1.7933333333333294</v>
      </c>
      <c r="P38" s="5">
        <f t="shared" si="36"/>
        <v>1.8966666666666683</v>
      </c>
      <c r="Q38" s="5">
        <f t="shared" si="37"/>
        <v>0.26856316200332109</v>
      </c>
      <c r="R38" s="5">
        <f>AVERAGE(Q37:Q39)</f>
        <v>0.46605341527993005</v>
      </c>
    </row>
    <row r="39" spans="1:19" x14ac:dyDescent="0.35">
      <c r="A39" s="1"/>
      <c r="B39">
        <v>31.7</v>
      </c>
      <c r="C39">
        <v>32.58</v>
      </c>
      <c r="D39" s="5">
        <f t="shared" si="38"/>
        <v>-0.87999999999999901</v>
      </c>
      <c r="E39" s="5">
        <f t="shared" si="31"/>
        <v>3.3333333333374071E-3</v>
      </c>
      <c r="F39" s="5">
        <f t="shared" si="32"/>
        <v>-0.88333333333333641</v>
      </c>
      <c r="G39" s="5">
        <f t="shared" si="33"/>
        <v>1.8446323871718824</v>
      </c>
      <c r="K39" s="1"/>
      <c r="L39">
        <v>36.6</v>
      </c>
      <c r="M39">
        <v>32.58</v>
      </c>
      <c r="N39" s="5">
        <f t="shared" si="39"/>
        <v>4.0200000000000031</v>
      </c>
      <c r="O39" s="5">
        <f t="shared" si="35"/>
        <v>1.7933333333333294</v>
      </c>
      <c r="P39" s="5">
        <f t="shared" si="36"/>
        <v>2.2266666666666737</v>
      </c>
      <c r="Q39" s="5">
        <f t="shared" si="37"/>
        <v>0.21365179356622385</v>
      </c>
    </row>
    <row r="41" spans="1:19" x14ac:dyDescent="0.35">
      <c r="A41" s="4"/>
      <c r="B41" s="5" t="s">
        <v>138</v>
      </c>
      <c r="C41" s="5" t="s">
        <v>127</v>
      </c>
      <c r="D41" s="5" t="s">
        <v>144</v>
      </c>
      <c r="E41" s="5" t="s">
        <v>145</v>
      </c>
      <c r="F41" s="5" t="s">
        <v>146</v>
      </c>
      <c r="G41" s="5" t="s">
        <v>147</v>
      </c>
      <c r="H41" s="5" t="s">
        <v>148</v>
      </c>
      <c r="I41" s="5" t="s">
        <v>149</v>
      </c>
      <c r="K41" s="4"/>
      <c r="L41" s="5" t="s">
        <v>139</v>
      </c>
      <c r="M41" s="5" t="s">
        <v>127</v>
      </c>
      <c r="N41" s="5" t="s">
        <v>144</v>
      </c>
      <c r="O41" s="5" t="s">
        <v>145</v>
      </c>
      <c r="P41" s="5" t="s">
        <v>146</v>
      </c>
      <c r="Q41" s="5" t="s">
        <v>147</v>
      </c>
      <c r="R41" s="5" t="s">
        <v>148</v>
      </c>
      <c r="S41" s="5" t="s">
        <v>149</v>
      </c>
    </row>
    <row r="42" spans="1:19" x14ac:dyDescent="0.35">
      <c r="A42" s="1" t="s">
        <v>124</v>
      </c>
      <c r="B42">
        <v>37.11</v>
      </c>
      <c r="C42">
        <v>34.53</v>
      </c>
      <c r="D42" s="5">
        <f>B42-C42</f>
        <v>2.5799999999999983</v>
      </c>
      <c r="E42" s="5">
        <f>AVERAGE($B$42:$B$44)-AVERAGE($C$42:$C$44)</f>
        <v>3.0466666666666669</v>
      </c>
      <c r="F42" s="5">
        <f>D42-E42</f>
        <v>-0.46666666666666856</v>
      </c>
      <c r="G42" s="5">
        <f>2^-F42</f>
        <v>1.3819128799677778</v>
      </c>
      <c r="H42" s="5"/>
      <c r="I42" s="5"/>
      <c r="K42" s="1" t="s">
        <v>124</v>
      </c>
      <c r="L42">
        <v>35.42</v>
      </c>
      <c r="M42">
        <v>34.53</v>
      </c>
      <c r="N42" s="5">
        <f>L42-M42</f>
        <v>0.89000000000000057</v>
      </c>
      <c r="O42" s="5">
        <f>AVERAGE($L$42:$L$44)-AVERAGE($M$42:$M$44)</f>
        <v>1.1900000000000048</v>
      </c>
      <c r="P42" s="5">
        <f>N42-O42</f>
        <v>-0.30000000000000426</v>
      </c>
      <c r="Q42" s="5">
        <f>2^-P42</f>
        <v>1.2311444133449199</v>
      </c>
      <c r="R42" s="5"/>
      <c r="S42" s="5"/>
    </row>
    <row r="43" spans="1:19" x14ac:dyDescent="0.35">
      <c r="A43" s="1"/>
      <c r="B43">
        <v>36.630000000000003</v>
      </c>
      <c r="C43">
        <v>33.11</v>
      </c>
      <c r="D43" s="5">
        <f t="shared" ref="D43" si="40">B43-C43</f>
        <v>3.5200000000000031</v>
      </c>
      <c r="E43" s="5">
        <f t="shared" ref="E43:E47" si="41">AVERAGE($B$42:$B$44)-AVERAGE($C$42:$C$44)</f>
        <v>3.0466666666666669</v>
      </c>
      <c r="F43" s="5">
        <f t="shared" ref="F43:F47" si="42">D43-E43</f>
        <v>0.47333333333333627</v>
      </c>
      <c r="G43" s="5">
        <f t="shared" ref="G43:G47" si="43">2^-F43</f>
        <v>0.72029843091587498</v>
      </c>
      <c r="H43" s="5">
        <f>AVERAGE(G42:G44)</f>
        <v>1.035614328428569</v>
      </c>
      <c r="I43" s="5"/>
      <c r="K43" s="1"/>
      <c r="L43">
        <v>34.85</v>
      </c>
      <c r="M43">
        <v>33.11</v>
      </c>
      <c r="N43" s="5">
        <f t="shared" ref="N43" si="44">L43-M43</f>
        <v>1.740000000000002</v>
      </c>
      <c r="O43" s="5">
        <f t="shared" ref="O43:O47" si="45">AVERAGE($L$42:$L$44)-AVERAGE($M$42:$M$44)</f>
        <v>1.1900000000000048</v>
      </c>
      <c r="P43" s="5">
        <f t="shared" ref="P43:P47" si="46">N43-O43</f>
        <v>0.54999999999999716</v>
      </c>
      <c r="Q43" s="5">
        <f t="shared" ref="Q43:Q47" si="47">2^-P43</f>
        <v>0.68302012837719905</v>
      </c>
      <c r="R43" s="5">
        <f>AVERAGE(Q42:Q44)</f>
        <v>1.0344572189082819</v>
      </c>
      <c r="S43" s="5"/>
    </row>
    <row r="44" spans="1:19" x14ac:dyDescent="0.35">
      <c r="A44" s="1"/>
      <c r="B44">
        <v>36.6</v>
      </c>
      <c r="C44">
        <v>33.56</v>
      </c>
      <c r="D44" s="5">
        <f>B44-C44</f>
        <v>3.0399999999999991</v>
      </c>
      <c r="E44" s="5">
        <f t="shared" si="41"/>
        <v>3.0466666666666669</v>
      </c>
      <c r="F44" s="5">
        <f t="shared" si="42"/>
        <v>-6.6666666666677088E-3</v>
      </c>
      <c r="G44" s="5">
        <f t="shared" si="43"/>
        <v>1.0046316744020545</v>
      </c>
      <c r="K44" s="1"/>
      <c r="L44">
        <v>34.5</v>
      </c>
      <c r="M44">
        <v>33.56</v>
      </c>
      <c r="N44" s="5">
        <f>L44-M44</f>
        <v>0.93999999999999773</v>
      </c>
      <c r="O44" s="5">
        <f t="shared" si="45"/>
        <v>1.1900000000000048</v>
      </c>
      <c r="P44" s="5">
        <f t="shared" si="46"/>
        <v>-0.25000000000000711</v>
      </c>
      <c r="Q44" s="5">
        <f t="shared" si="47"/>
        <v>1.1892071150027268</v>
      </c>
    </row>
    <row r="45" spans="1:19" x14ac:dyDescent="0.35">
      <c r="A45" s="1" t="s">
        <v>123</v>
      </c>
      <c r="B45">
        <v>36.18</v>
      </c>
      <c r="C45">
        <v>33.15</v>
      </c>
      <c r="D45" s="5">
        <f t="shared" ref="D45:D47" si="48">B45-C45</f>
        <v>3.0300000000000011</v>
      </c>
      <c r="E45" s="5">
        <f t="shared" si="41"/>
        <v>3.0466666666666669</v>
      </c>
      <c r="F45" s="5">
        <f t="shared" si="42"/>
        <v>-1.6666666666665719E-2</v>
      </c>
      <c r="G45" s="5">
        <f t="shared" si="43"/>
        <v>1.0116194403019219</v>
      </c>
      <c r="K45" s="1" t="s">
        <v>123</v>
      </c>
      <c r="L45">
        <v>33.97</v>
      </c>
      <c r="M45">
        <v>33.15</v>
      </c>
      <c r="N45" s="5">
        <f t="shared" ref="N45:N47" si="49">L45-M45</f>
        <v>0.82000000000000028</v>
      </c>
      <c r="O45" s="5">
        <f t="shared" si="45"/>
        <v>1.1900000000000048</v>
      </c>
      <c r="P45" s="5">
        <f t="shared" si="46"/>
        <v>-0.37000000000000455</v>
      </c>
      <c r="Q45" s="5">
        <f t="shared" si="47"/>
        <v>1.2923528306374963</v>
      </c>
    </row>
    <row r="46" spans="1:19" x14ac:dyDescent="0.35">
      <c r="A46" s="1"/>
      <c r="B46">
        <v>36.44</v>
      </c>
      <c r="C46">
        <v>33.06</v>
      </c>
      <c r="D46" s="5">
        <f t="shared" si="48"/>
        <v>3.3799999999999955</v>
      </c>
      <c r="E46" s="5">
        <f t="shared" si="41"/>
        <v>3.0466666666666669</v>
      </c>
      <c r="F46" s="5">
        <f t="shared" si="42"/>
        <v>0.3333333333333286</v>
      </c>
      <c r="G46" s="5">
        <f t="shared" si="43"/>
        <v>0.79370052598410235</v>
      </c>
      <c r="H46" s="5">
        <f>AVERAGE(G45:G47)</f>
        <v>1.0227184724925547</v>
      </c>
      <c r="K46" s="1"/>
      <c r="L46">
        <v>33.770000000000003</v>
      </c>
      <c r="M46">
        <v>33.06</v>
      </c>
      <c r="N46" s="5">
        <f t="shared" si="49"/>
        <v>0.71000000000000085</v>
      </c>
      <c r="O46" s="5">
        <f t="shared" si="45"/>
        <v>1.1900000000000048</v>
      </c>
      <c r="P46" s="5">
        <f t="shared" si="46"/>
        <v>-0.48000000000000398</v>
      </c>
      <c r="Q46" s="5">
        <f t="shared" si="47"/>
        <v>1.3947436663504091</v>
      </c>
      <c r="R46" s="5">
        <f>AVERAGE(Q45:Q47)</f>
        <v>1.1627221248591757</v>
      </c>
    </row>
    <row r="47" spans="1:19" x14ac:dyDescent="0.35">
      <c r="A47" s="1"/>
      <c r="B47">
        <v>35.29</v>
      </c>
      <c r="C47">
        <v>32.58</v>
      </c>
      <c r="D47" s="5">
        <f t="shared" si="48"/>
        <v>2.7100000000000009</v>
      </c>
      <c r="E47" s="5">
        <f t="shared" si="41"/>
        <v>3.0466666666666669</v>
      </c>
      <c r="F47" s="5">
        <f t="shared" si="42"/>
        <v>-0.336666666666666</v>
      </c>
      <c r="G47" s="5">
        <f t="shared" si="43"/>
        <v>1.2628354511916398</v>
      </c>
      <c r="K47" s="1"/>
      <c r="L47">
        <v>34.090000000000003</v>
      </c>
      <c r="M47">
        <v>32.58</v>
      </c>
      <c r="N47" s="5">
        <f t="shared" si="49"/>
        <v>1.5100000000000051</v>
      </c>
      <c r="O47" s="5">
        <f t="shared" si="45"/>
        <v>1.1900000000000048</v>
      </c>
      <c r="P47" s="5">
        <f t="shared" si="46"/>
        <v>0.32000000000000028</v>
      </c>
      <c r="Q47" s="5">
        <f t="shared" si="47"/>
        <v>0.801069877589622</v>
      </c>
    </row>
    <row r="49" spans="1:19" x14ac:dyDescent="0.35">
      <c r="A49" s="4"/>
      <c r="B49" s="5" t="s">
        <v>140</v>
      </c>
      <c r="C49" s="5" t="s">
        <v>127</v>
      </c>
      <c r="D49" s="5" t="s">
        <v>144</v>
      </c>
      <c r="E49" s="5" t="s">
        <v>145</v>
      </c>
      <c r="F49" s="5" t="s">
        <v>146</v>
      </c>
      <c r="G49" s="5" t="s">
        <v>147</v>
      </c>
      <c r="H49" s="5" t="s">
        <v>148</v>
      </c>
      <c r="I49" s="5" t="s">
        <v>149</v>
      </c>
      <c r="K49" s="4"/>
      <c r="L49" s="5" t="s">
        <v>141</v>
      </c>
      <c r="M49" s="5" t="s">
        <v>127</v>
      </c>
      <c r="N49" s="5" t="s">
        <v>144</v>
      </c>
      <c r="O49" s="5" t="s">
        <v>145</v>
      </c>
      <c r="P49" s="5" t="s">
        <v>146</v>
      </c>
      <c r="Q49" s="5" t="s">
        <v>147</v>
      </c>
      <c r="R49" s="5" t="s">
        <v>148</v>
      </c>
      <c r="S49" s="5" t="s">
        <v>149</v>
      </c>
    </row>
    <row r="50" spans="1:19" x14ac:dyDescent="0.35">
      <c r="A50" s="1" t="s">
        <v>124</v>
      </c>
      <c r="B50">
        <v>28.7</v>
      </c>
      <c r="C50">
        <v>34.53</v>
      </c>
      <c r="D50" s="5">
        <f>B50-C50</f>
        <v>-5.8300000000000018</v>
      </c>
      <c r="E50" s="5">
        <f>AVERAGE($B$50:$B$52)-AVERAGE($C$50:$C$52)</f>
        <v>-5.9966666666666697</v>
      </c>
      <c r="F50" s="5">
        <f>D50-E50</f>
        <v>0.16666666666666785</v>
      </c>
      <c r="G50" s="5">
        <f>2^-F50</f>
        <v>0.89089871814033861</v>
      </c>
      <c r="H50" s="5"/>
      <c r="I50" s="5"/>
      <c r="K50" s="1" t="s">
        <v>124</v>
      </c>
      <c r="L50">
        <v>33.47</v>
      </c>
      <c r="M50">
        <v>34.53</v>
      </c>
      <c r="N50" s="5">
        <f>L50-M50</f>
        <v>-1.0600000000000023</v>
      </c>
      <c r="O50" s="5">
        <f>AVERAGE($L$50:$L$52)-AVERAGE($M$50:$M$52)</f>
        <v>-1.7266666666666666</v>
      </c>
      <c r="P50" s="5">
        <f>N50-O50</f>
        <v>0.6666666666666643</v>
      </c>
      <c r="Q50" s="5">
        <f>2^-P50</f>
        <v>0.62996052494743759</v>
      </c>
      <c r="R50" s="5"/>
      <c r="S50" s="5"/>
    </row>
    <row r="51" spans="1:19" x14ac:dyDescent="0.35">
      <c r="A51" s="1"/>
      <c r="B51">
        <v>27.07</v>
      </c>
      <c r="C51">
        <v>33.11</v>
      </c>
      <c r="D51" s="5">
        <f t="shared" ref="D51" si="50">B51-C51</f>
        <v>-6.0399999999999991</v>
      </c>
      <c r="E51" s="5">
        <f t="shared" ref="E51:E55" si="51">AVERAGE($B$50:$B$52)-AVERAGE($C$50:$C$52)</f>
        <v>-5.9966666666666697</v>
      </c>
      <c r="F51" s="5">
        <f t="shared" ref="F51:F55" si="52">D51-E51</f>
        <v>-4.3333333333329449E-2</v>
      </c>
      <c r="G51" s="5">
        <f t="shared" ref="G51:G55" si="53">2^-F51</f>
        <v>1.0304920203292949</v>
      </c>
      <c r="H51" s="5">
        <f>AVERAGE(G50:G52)</f>
        <v>1.0035464648707482</v>
      </c>
      <c r="I51" s="5"/>
      <c r="K51" s="1"/>
      <c r="L51">
        <v>31.36</v>
      </c>
      <c r="M51">
        <v>33.11</v>
      </c>
      <c r="N51" s="5">
        <f t="shared" ref="N51" si="54">L51-M51</f>
        <v>-1.75</v>
      </c>
      <c r="O51" s="5">
        <f t="shared" ref="O51:O55" si="55">AVERAGE($L$50:$L$52)-AVERAGE($M$50:$M$52)</f>
        <v>-1.7266666666666666</v>
      </c>
      <c r="P51" s="5">
        <f t="shared" ref="P51:P55" si="56">N51-O51</f>
        <v>-2.3333333333333428E-2</v>
      </c>
      <c r="Q51" s="5">
        <f t="shared" ref="Q51:Q55" si="57">2^-P51</f>
        <v>1.016304932168189</v>
      </c>
      <c r="R51" s="5">
        <f>AVERAGE(Q50:Q52)</f>
        <v>1.0693997613285047</v>
      </c>
      <c r="S51" s="5"/>
    </row>
    <row r="52" spans="1:19" x14ac:dyDescent="0.35">
      <c r="A52" s="1"/>
      <c r="B52">
        <v>27.44</v>
      </c>
      <c r="C52">
        <v>33.56</v>
      </c>
      <c r="D52" s="5">
        <f>B52-C52</f>
        <v>-6.120000000000001</v>
      </c>
      <c r="E52" s="5">
        <f t="shared" si="51"/>
        <v>-5.9966666666666697</v>
      </c>
      <c r="F52" s="5">
        <f t="shared" si="52"/>
        <v>-0.1233333333333313</v>
      </c>
      <c r="G52" s="5">
        <f t="shared" si="53"/>
        <v>1.0892486561426107</v>
      </c>
      <c r="K52" s="1"/>
      <c r="L52">
        <v>31.19</v>
      </c>
      <c r="M52">
        <v>33.56</v>
      </c>
      <c r="N52" s="5">
        <f>L52-M52</f>
        <v>-2.370000000000001</v>
      </c>
      <c r="O52" s="5">
        <f t="shared" si="55"/>
        <v>-1.7266666666666666</v>
      </c>
      <c r="P52" s="5">
        <f t="shared" si="56"/>
        <v>-0.64333333333333442</v>
      </c>
      <c r="Q52" s="5">
        <f t="shared" si="57"/>
        <v>1.5619338268698875</v>
      </c>
    </row>
    <row r="53" spans="1:19" x14ac:dyDescent="0.35">
      <c r="A53" s="1" t="s">
        <v>123</v>
      </c>
      <c r="B53">
        <v>27.56</v>
      </c>
      <c r="C53">
        <v>33.15</v>
      </c>
      <c r="D53" s="5">
        <f t="shared" ref="D53:D55" si="58">B53-C53</f>
        <v>-5.59</v>
      </c>
      <c r="E53" s="5">
        <f t="shared" si="51"/>
        <v>-5.9966666666666697</v>
      </c>
      <c r="F53" s="5">
        <f t="shared" si="52"/>
        <v>0.40666666666666984</v>
      </c>
      <c r="G53" s="5">
        <f t="shared" si="53"/>
        <v>0.754364313375115</v>
      </c>
      <c r="K53" s="1" t="s">
        <v>123</v>
      </c>
      <c r="L53">
        <v>31.62</v>
      </c>
      <c r="M53">
        <v>33.15</v>
      </c>
      <c r="N53" s="5">
        <f t="shared" ref="N53:N55" si="59">L53-M53</f>
        <v>-1.5299999999999976</v>
      </c>
      <c r="O53" s="5">
        <f t="shared" si="55"/>
        <v>-1.7266666666666666</v>
      </c>
      <c r="P53" s="5">
        <f t="shared" si="56"/>
        <v>0.19666666666666899</v>
      </c>
      <c r="Q53" s="5">
        <f t="shared" si="57"/>
        <v>0.8725642876408215</v>
      </c>
    </row>
    <row r="54" spans="1:19" x14ac:dyDescent="0.35">
      <c r="A54" s="1"/>
      <c r="B54">
        <v>27.18</v>
      </c>
      <c r="C54">
        <v>33.06</v>
      </c>
      <c r="D54" s="5">
        <f t="shared" si="58"/>
        <v>-5.8800000000000026</v>
      </c>
      <c r="E54" s="5">
        <f t="shared" si="51"/>
        <v>-5.9966666666666697</v>
      </c>
      <c r="F54" s="5">
        <f t="shared" si="52"/>
        <v>0.11666666666666714</v>
      </c>
      <c r="G54" s="5">
        <f t="shared" si="53"/>
        <v>0.92231619358593897</v>
      </c>
      <c r="H54" s="5">
        <f>AVERAGE(G53:G55)</f>
        <v>0.7935090996593489</v>
      </c>
      <c r="K54" s="1"/>
      <c r="L54">
        <v>30.75</v>
      </c>
      <c r="M54">
        <v>33.06</v>
      </c>
      <c r="N54" s="5">
        <f t="shared" si="59"/>
        <v>-2.3100000000000023</v>
      </c>
      <c r="O54" s="5">
        <f t="shared" si="55"/>
        <v>-1.7266666666666666</v>
      </c>
      <c r="P54" s="5">
        <f t="shared" si="56"/>
        <v>-0.5833333333333357</v>
      </c>
      <c r="Q54" s="5">
        <f t="shared" si="57"/>
        <v>1.498307076876684</v>
      </c>
      <c r="R54" s="5">
        <f>AVERAGE(Q53:Q55)</f>
        <v>0.97564646914448039</v>
      </c>
    </row>
    <row r="55" spans="1:19" x14ac:dyDescent="0.35">
      <c r="A55" s="1"/>
      <c r="B55">
        <v>27.09</v>
      </c>
      <c r="C55">
        <v>32.58</v>
      </c>
      <c r="D55" s="5">
        <f t="shared" si="58"/>
        <v>-5.4899999999999984</v>
      </c>
      <c r="E55" s="5">
        <f t="shared" si="51"/>
        <v>-5.9966666666666697</v>
      </c>
      <c r="F55" s="5">
        <f t="shared" si="52"/>
        <v>0.50666666666667126</v>
      </c>
      <c r="G55" s="5">
        <f t="shared" si="53"/>
        <v>0.70384679201699252</v>
      </c>
      <c r="K55" s="1"/>
      <c r="L55">
        <v>31.7</v>
      </c>
      <c r="M55">
        <v>32.58</v>
      </c>
      <c r="N55" s="5">
        <f t="shared" si="59"/>
        <v>-0.87999999999999901</v>
      </c>
      <c r="O55" s="5">
        <f t="shared" si="55"/>
        <v>-1.7266666666666666</v>
      </c>
      <c r="P55" s="5">
        <f t="shared" si="56"/>
        <v>0.84666666666666757</v>
      </c>
      <c r="Q55" s="5">
        <f t="shared" si="57"/>
        <v>0.55606804291593581</v>
      </c>
    </row>
    <row r="57" spans="1:19" x14ac:dyDescent="0.35">
      <c r="A57" s="4"/>
      <c r="B57" s="5" t="s">
        <v>142</v>
      </c>
      <c r="C57" s="5" t="s">
        <v>127</v>
      </c>
      <c r="D57" s="5" t="s">
        <v>144</v>
      </c>
      <c r="E57" s="5" t="s">
        <v>145</v>
      </c>
      <c r="F57" s="5" t="s">
        <v>146</v>
      </c>
      <c r="G57" s="5" t="s">
        <v>147</v>
      </c>
      <c r="H57" s="5" t="s">
        <v>148</v>
      </c>
      <c r="I57" s="5" t="s">
        <v>149</v>
      </c>
    </row>
    <row r="58" spans="1:19" x14ac:dyDescent="0.35">
      <c r="A58" s="1" t="s">
        <v>124</v>
      </c>
      <c r="B58">
        <v>35.200000000000003</v>
      </c>
      <c r="C58">
        <v>34.53</v>
      </c>
      <c r="D58" s="5">
        <f>B58-C58</f>
        <v>0.67000000000000171</v>
      </c>
      <c r="E58" s="5">
        <f>AVERAGE($B$58:$B$60)-AVERAGE($C$58:$C$60)</f>
        <v>0.16000000000000369</v>
      </c>
      <c r="F58" s="5">
        <f>D58-E58</f>
        <v>0.50999999999999801</v>
      </c>
      <c r="G58" s="5">
        <f>2^-F58</f>
        <v>0.70222243786899963</v>
      </c>
      <c r="H58" s="5"/>
      <c r="I58" s="5"/>
    </row>
    <row r="59" spans="1:19" x14ac:dyDescent="0.35">
      <c r="A59" s="1"/>
      <c r="B59">
        <v>32.67</v>
      </c>
      <c r="C59">
        <v>33.11</v>
      </c>
      <c r="D59" s="5">
        <f t="shared" ref="D59" si="60">B59-C59</f>
        <v>-0.43999999999999773</v>
      </c>
      <c r="E59" s="5">
        <f t="shared" ref="E59:E63" si="61">AVERAGE($B$58:$B$60)-AVERAGE($C$58:$C$60)</f>
        <v>0.16000000000000369</v>
      </c>
      <c r="F59" s="5">
        <f t="shared" ref="F59:F63" si="62">D59-E59</f>
        <v>-0.60000000000000142</v>
      </c>
      <c r="G59" s="5">
        <f t="shared" ref="G59:G63" si="63">2^-F59</f>
        <v>1.5157165665103995</v>
      </c>
      <c r="H59" s="5">
        <f>AVERAGE(G58:G60)</f>
        <v>1.0524872511978045</v>
      </c>
      <c r="I59" s="5"/>
    </row>
    <row r="60" spans="1:19" x14ac:dyDescent="0.35">
      <c r="A60" s="1"/>
      <c r="B60">
        <v>33.81</v>
      </c>
      <c r="C60">
        <v>33.56</v>
      </c>
      <c r="D60" s="5">
        <f>B60-C60</f>
        <v>0.25</v>
      </c>
      <c r="E60" s="5">
        <f t="shared" si="61"/>
        <v>0.16000000000000369</v>
      </c>
      <c r="F60" s="5">
        <f t="shared" si="62"/>
        <v>8.9999999999996305E-2</v>
      </c>
      <c r="G60" s="5">
        <f t="shared" si="63"/>
        <v>0.93952274921401424</v>
      </c>
    </row>
    <row r="61" spans="1:19" x14ac:dyDescent="0.35">
      <c r="A61" s="1" t="s">
        <v>123</v>
      </c>
      <c r="B61">
        <v>33.83</v>
      </c>
      <c r="C61">
        <v>33.15</v>
      </c>
      <c r="D61" s="5">
        <f t="shared" ref="D61:D63" si="64">B61-C61</f>
        <v>0.67999999999999972</v>
      </c>
      <c r="E61" s="5">
        <f t="shared" si="61"/>
        <v>0.16000000000000369</v>
      </c>
      <c r="F61" s="5">
        <f t="shared" si="62"/>
        <v>0.51999999999999602</v>
      </c>
      <c r="G61" s="5">
        <f t="shared" si="63"/>
        <v>0.69737183317520457</v>
      </c>
    </row>
    <row r="62" spans="1:19" x14ac:dyDescent="0.35">
      <c r="A62" s="1"/>
      <c r="B62">
        <v>33.71</v>
      </c>
      <c r="C62">
        <v>33.06</v>
      </c>
      <c r="D62" s="5">
        <f t="shared" si="64"/>
        <v>0.64999999999999858</v>
      </c>
      <c r="E62" s="5">
        <f t="shared" si="61"/>
        <v>0.16000000000000369</v>
      </c>
      <c r="F62" s="5">
        <f t="shared" si="62"/>
        <v>0.48999999999999488</v>
      </c>
      <c r="G62" s="5">
        <f t="shared" si="63"/>
        <v>0.7120250977985384</v>
      </c>
      <c r="H62" s="5">
        <f>AVERAGE(G61:G63)</f>
        <v>0.69433790646886262</v>
      </c>
    </row>
    <row r="63" spans="1:19" x14ac:dyDescent="0.35">
      <c r="A63" s="1"/>
      <c r="B63">
        <v>33.31</v>
      </c>
      <c r="C63">
        <v>32.58</v>
      </c>
      <c r="D63" s="5">
        <f t="shared" si="64"/>
        <v>0.73000000000000398</v>
      </c>
      <c r="E63" s="5">
        <f t="shared" si="61"/>
        <v>0.16000000000000369</v>
      </c>
      <c r="F63" s="5">
        <f t="shared" si="62"/>
        <v>0.57000000000000028</v>
      </c>
      <c r="G63" s="5">
        <f t="shared" si="63"/>
        <v>0.673616788432845</v>
      </c>
    </row>
  </sheetData>
  <mergeCells count="28">
    <mergeCell ref="A53:A55"/>
    <mergeCell ref="K53:K55"/>
    <mergeCell ref="A58:A60"/>
    <mergeCell ref="A61:A63"/>
    <mergeCell ref="A42:A44"/>
    <mergeCell ref="K42:K44"/>
    <mergeCell ref="A45:A47"/>
    <mergeCell ref="K45:K47"/>
    <mergeCell ref="A50:A52"/>
    <mergeCell ref="K50:K52"/>
    <mergeCell ref="A29:A31"/>
    <mergeCell ref="K29:K31"/>
    <mergeCell ref="A34:A36"/>
    <mergeCell ref="K34:K36"/>
    <mergeCell ref="A37:A39"/>
    <mergeCell ref="K37:K39"/>
    <mergeCell ref="A18:A20"/>
    <mergeCell ref="K18:K20"/>
    <mergeCell ref="A21:A23"/>
    <mergeCell ref="K21:K23"/>
    <mergeCell ref="A26:A28"/>
    <mergeCell ref="K26:K28"/>
    <mergeCell ref="A2:A4"/>
    <mergeCell ref="A5:A7"/>
    <mergeCell ref="A10:A12"/>
    <mergeCell ref="K10:K12"/>
    <mergeCell ref="A13:A15"/>
    <mergeCell ref="K13:K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722F-6D61-4E91-BD63-ABB44F3D74BF}">
  <dimension ref="A2:R14"/>
  <sheetViews>
    <sheetView topLeftCell="A2" workbookViewId="0">
      <selection activeCell="A2" sqref="A2:R14"/>
    </sheetView>
  </sheetViews>
  <sheetFormatPr defaultRowHeight="14.5" x14ac:dyDescent="0.35"/>
  <sheetData>
    <row r="2" spans="1:18" x14ac:dyDescent="0.35">
      <c r="A2" t="s">
        <v>107</v>
      </c>
      <c r="B2" t="s">
        <v>108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 t="s">
        <v>132</v>
      </c>
      <c r="I2" t="s">
        <v>133</v>
      </c>
      <c r="J2" t="s">
        <v>134</v>
      </c>
      <c r="K2" t="s">
        <v>135</v>
      </c>
      <c r="L2" t="s">
        <v>136</v>
      </c>
      <c r="M2" t="s">
        <v>137</v>
      </c>
      <c r="N2" t="s">
        <v>138</v>
      </c>
      <c r="O2" t="s">
        <v>139</v>
      </c>
      <c r="P2" t="s">
        <v>140</v>
      </c>
      <c r="Q2" t="s">
        <v>141</v>
      </c>
      <c r="R2" t="s">
        <v>142</v>
      </c>
    </row>
    <row r="3" spans="1:18" x14ac:dyDescent="0.35">
      <c r="A3" s="1" t="s">
        <v>119</v>
      </c>
      <c r="B3" s="2">
        <v>1</v>
      </c>
      <c r="C3" t="s">
        <v>11</v>
      </c>
      <c r="D3">
        <v>27.87</v>
      </c>
      <c r="E3">
        <v>37.64</v>
      </c>
      <c r="F3">
        <v>37.19</v>
      </c>
      <c r="G3">
        <v>32.299999999999997</v>
      </c>
      <c r="H3">
        <v>36.65</v>
      </c>
      <c r="I3" t="s">
        <v>11</v>
      </c>
      <c r="J3" t="s">
        <v>11</v>
      </c>
      <c r="K3">
        <v>33.4</v>
      </c>
      <c r="L3">
        <v>30.02</v>
      </c>
      <c r="M3">
        <v>38.74</v>
      </c>
      <c r="N3" t="s">
        <v>11</v>
      </c>
      <c r="O3">
        <v>32.75</v>
      </c>
      <c r="P3">
        <v>36.35</v>
      </c>
      <c r="Q3" t="s">
        <v>11</v>
      </c>
      <c r="R3">
        <v>39.31</v>
      </c>
    </row>
    <row r="4" spans="1:18" x14ac:dyDescent="0.35">
      <c r="A4" s="1"/>
      <c r="B4" s="2">
        <v>2</v>
      </c>
      <c r="C4" t="s">
        <v>11</v>
      </c>
      <c r="D4">
        <v>28.38</v>
      </c>
      <c r="E4" t="s">
        <v>11</v>
      </c>
      <c r="F4">
        <v>36.14</v>
      </c>
      <c r="G4">
        <v>32.869999999999997</v>
      </c>
      <c r="H4">
        <v>39.01</v>
      </c>
      <c r="I4">
        <v>39.950000000000003</v>
      </c>
      <c r="J4" t="s">
        <v>11</v>
      </c>
      <c r="K4">
        <v>34.07</v>
      </c>
      <c r="L4">
        <v>30.02</v>
      </c>
      <c r="M4">
        <v>38.549999999999997</v>
      </c>
      <c r="N4" t="s">
        <v>11</v>
      </c>
      <c r="O4">
        <v>32.369999999999997</v>
      </c>
      <c r="P4">
        <v>35.950000000000003</v>
      </c>
      <c r="Q4" t="s">
        <v>11</v>
      </c>
      <c r="R4">
        <v>38.159999999999997</v>
      </c>
    </row>
    <row r="5" spans="1:18" x14ac:dyDescent="0.35">
      <c r="A5" s="1"/>
      <c r="B5" s="2">
        <v>3</v>
      </c>
      <c r="C5">
        <v>38.35</v>
      </c>
      <c r="D5">
        <v>27.57</v>
      </c>
      <c r="E5" t="s">
        <v>11</v>
      </c>
      <c r="F5">
        <v>35.479999999999997</v>
      </c>
      <c r="G5">
        <v>32.44</v>
      </c>
      <c r="H5">
        <v>36.54</v>
      </c>
      <c r="I5" t="s">
        <v>11</v>
      </c>
      <c r="J5">
        <v>37.369999999999997</v>
      </c>
      <c r="K5">
        <v>33.369999999999997</v>
      </c>
      <c r="L5">
        <v>29.81</v>
      </c>
      <c r="M5">
        <v>37.409999999999997</v>
      </c>
      <c r="N5" t="s">
        <v>11</v>
      </c>
      <c r="O5">
        <v>32.15</v>
      </c>
      <c r="P5">
        <v>37.630000000000003</v>
      </c>
      <c r="Q5" t="s">
        <v>11</v>
      </c>
      <c r="R5" t="s">
        <v>11</v>
      </c>
    </row>
    <row r="6" spans="1:18" x14ac:dyDescent="0.35">
      <c r="A6" s="1" t="s">
        <v>120</v>
      </c>
      <c r="B6" s="2">
        <v>1</v>
      </c>
      <c r="C6" t="s">
        <v>11</v>
      </c>
      <c r="D6">
        <v>27.17</v>
      </c>
      <c r="E6">
        <v>36.520000000000003</v>
      </c>
      <c r="F6">
        <v>35.93</v>
      </c>
      <c r="G6">
        <v>31.77</v>
      </c>
      <c r="H6">
        <v>37.1</v>
      </c>
      <c r="I6" t="s">
        <v>11</v>
      </c>
      <c r="J6" t="s">
        <v>11</v>
      </c>
      <c r="K6">
        <v>32.909999999999997</v>
      </c>
      <c r="L6">
        <v>30</v>
      </c>
      <c r="M6">
        <v>38.4</v>
      </c>
      <c r="N6" t="s">
        <v>11</v>
      </c>
      <c r="O6">
        <v>32.549999999999997</v>
      </c>
      <c r="P6">
        <v>36.07</v>
      </c>
      <c r="Q6" t="s">
        <v>11</v>
      </c>
      <c r="R6">
        <v>39.04</v>
      </c>
    </row>
    <row r="7" spans="1:18" x14ac:dyDescent="0.35">
      <c r="A7" s="1"/>
      <c r="B7" s="2">
        <v>2</v>
      </c>
      <c r="C7">
        <v>35.56</v>
      </c>
      <c r="D7">
        <v>25.62</v>
      </c>
      <c r="E7">
        <v>35.69</v>
      </c>
      <c r="F7">
        <v>35.380000000000003</v>
      </c>
      <c r="G7">
        <v>29.64</v>
      </c>
      <c r="H7">
        <v>35.18</v>
      </c>
      <c r="I7">
        <v>39.200000000000003</v>
      </c>
      <c r="J7">
        <v>36.729999999999997</v>
      </c>
      <c r="K7">
        <v>33.229999999999997</v>
      </c>
      <c r="L7">
        <v>29.07</v>
      </c>
      <c r="M7">
        <v>37.47</v>
      </c>
      <c r="N7">
        <v>37.229999999999997</v>
      </c>
      <c r="O7">
        <v>31.54</v>
      </c>
      <c r="P7">
        <v>29.59</v>
      </c>
      <c r="Q7">
        <v>37.46</v>
      </c>
      <c r="R7">
        <v>35.79</v>
      </c>
    </row>
    <row r="8" spans="1:18" x14ac:dyDescent="0.35">
      <c r="A8" s="1"/>
      <c r="B8" s="2">
        <v>3</v>
      </c>
      <c r="C8" t="s">
        <v>11</v>
      </c>
      <c r="D8">
        <v>26.68</v>
      </c>
      <c r="E8" t="s">
        <v>11</v>
      </c>
      <c r="F8">
        <v>35.380000000000003</v>
      </c>
      <c r="G8">
        <v>31.01</v>
      </c>
      <c r="H8">
        <v>35.97</v>
      </c>
      <c r="I8">
        <v>39.72</v>
      </c>
      <c r="J8">
        <v>38.15</v>
      </c>
      <c r="K8">
        <v>32.950000000000003</v>
      </c>
      <c r="L8">
        <v>28.69</v>
      </c>
      <c r="M8" t="s">
        <v>11</v>
      </c>
      <c r="N8">
        <v>39.28</v>
      </c>
      <c r="O8">
        <v>31.15</v>
      </c>
      <c r="P8">
        <v>32.81</v>
      </c>
      <c r="Q8">
        <v>38.32</v>
      </c>
      <c r="R8">
        <v>37.94</v>
      </c>
    </row>
    <row r="9" spans="1:18" x14ac:dyDescent="0.35">
      <c r="A9" s="1" t="s">
        <v>121</v>
      </c>
      <c r="B9" s="2">
        <v>1</v>
      </c>
      <c r="C9">
        <v>35.06</v>
      </c>
      <c r="D9">
        <v>34.520000000000003</v>
      </c>
      <c r="E9">
        <v>34.22</v>
      </c>
      <c r="F9" t="s">
        <v>11</v>
      </c>
      <c r="G9">
        <v>33.340000000000003</v>
      </c>
      <c r="H9">
        <v>33.56</v>
      </c>
      <c r="I9" t="s">
        <v>11</v>
      </c>
      <c r="J9">
        <v>36.18</v>
      </c>
      <c r="K9">
        <v>30.24</v>
      </c>
      <c r="L9">
        <v>33.04</v>
      </c>
      <c r="M9">
        <v>33.840000000000003</v>
      </c>
      <c r="N9">
        <v>37.15</v>
      </c>
      <c r="O9">
        <v>31.32</v>
      </c>
      <c r="P9">
        <v>28.36</v>
      </c>
      <c r="Q9">
        <v>35.85</v>
      </c>
      <c r="R9">
        <v>35.33</v>
      </c>
    </row>
    <row r="10" spans="1:18" x14ac:dyDescent="0.35">
      <c r="A10" s="1"/>
      <c r="B10" s="2">
        <v>2</v>
      </c>
      <c r="C10">
        <v>33.94</v>
      </c>
      <c r="D10">
        <v>35.01</v>
      </c>
      <c r="E10">
        <v>31.05</v>
      </c>
      <c r="F10" t="s">
        <v>11</v>
      </c>
      <c r="G10">
        <v>31.64</v>
      </c>
      <c r="H10">
        <v>31.65</v>
      </c>
      <c r="I10">
        <v>35.68</v>
      </c>
      <c r="J10">
        <v>34.979999999999997</v>
      </c>
      <c r="K10">
        <v>29.06</v>
      </c>
      <c r="L10">
        <v>31.4</v>
      </c>
      <c r="M10">
        <v>32.03</v>
      </c>
      <c r="N10">
        <v>36.5</v>
      </c>
      <c r="O10">
        <v>30.43</v>
      </c>
      <c r="P10">
        <v>27.38</v>
      </c>
      <c r="Q10">
        <v>32.69</v>
      </c>
      <c r="R10">
        <v>33.549999999999997</v>
      </c>
    </row>
    <row r="11" spans="1:18" x14ac:dyDescent="0.35">
      <c r="A11" s="1"/>
      <c r="B11" s="2">
        <v>3</v>
      </c>
      <c r="C11">
        <v>35.03</v>
      </c>
      <c r="D11">
        <v>31.06</v>
      </c>
      <c r="E11">
        <v>32.78</v>
      </c>
      <c r="F11" t="s">
        <v>11</v>
      </c>
      <c r="G11">
        <v>32.64</v>
      </c>
      <c r="H11">
        <v>33.35</v>
      </c>
      <c r="I11" t="s">
        <v>11</v>
      </c>
      <c r="J11">
        <v>34.93</v>
      </c>
      <c r="K11">
        <v>29.36</v>
      </c>
      <c r="L11">
        <v>32.58</v>
      </c>
      <c r="M11">
        <v>33.28</v>
      </c>
      <c r="N11">
        <v>36.85</v>
      </c>
      <c r="O11">
        <v>31</v>
      </c>
      <c r="P11">
        <v>27.41</v>
      </c>
      <c r="Q11">
        <v>35.26</v>
      </c>
      <c r="R11">
        <v>35.06</v>
      </c>
    </row>
    <row r="12" spans="1:18" x14ac:dyDescent="0.35">
      <c r="A12" s="1" t="s">
        <v>122</v>
      </c>
      <c r="B12" s="2">
        <v>1</v>
      </c>
      <c r="C12">
        <v>32.75</v>
      </c>
      <c r="D12">
        <v>24.29</v>
      </c>
      <c r="E12">
        <v>35.69</v>
      </c>
      <c r="F12">
        <v>34.18</v>
      </c>
      <c r="G12">
        <v>26.57</v>
      </c>
      <c r="H12">
        <v>29.9</v>
      </c>
      <c r="I12" t="s">
        <v>11</v>
      </c>
      <c r="J12">
        <v>33.869999999999997</v>
      </c>
      <c r="K12">
        <v>26.87</v>
      </c>
      <c r="L12">
        <v>24.24</v>
      </c>
      <c r="M12">
        <v>26.24</v>
      </c>
      <c r="N12">
        <v>34.71</v>
      </c>
      <c r="O12">
        <v>29.98</v>
      </c>
      <c r="P12">
        <v>29.11</v>
      </c>
      <c r="Q12">
        <v>31.41</v>
      </c>
      <c r="R12">
        <v>35.72</v>
      </c>
    </row>
    <row r="13" spans="1:18" x14ac:dyDescent="0.35">
      <c r="A13" s="1"/>
      <c r="B13" s="2">
        <v>2</v>
      </c>
      <c r="C13">
        <v>33.43</v>
      </c>
      <c r="D13">
        <v>24.26</v>
      </c>
      <c r="E13">
        <v>35.86</v>
      </c>
      <c r="F13">
        <v>34.5</v>
      </c>
      <c r="G13">
        <v>26.85</v>
      </c>
      <c r="H13">
        <v>30.11</v>
      </c>
      <c r="I13" t="s">
        <v>11</v>
      </c>
      <c r="J13">
        <v>34.39</v>
      </c>
      <c r="K13">
        <v>27.04</v>
      </c>
      <c r="L13">
        <v>24.89</v>
      </c>
      <c r="M13">
        <v>26.18</v>
      </c>
      <c r="N13">
        <v>34.729999999999997</v>
      </c>
      <c r="O13">
        <v>30.55</v>
      </c>
      <c r="P13">
        <v>30.01</v>
      </c>
      <c r="Q13">
        <v>34.01</v>
      </c>
      <c r="R13">
        <v>35.83</v>
      </c>
    </row>
    <row r="14" spans="1:18" x14ac:dyDescent="0.35">
      <c r="A14" s="1"/>
      <c r="B14" s="2">
        <v>3</v>
      </c>
      <c r="C14">
        <v>35.020000000000003</v>
      </c>
      <c r="D14">
        <v>25.86</v>
      </c>
      <c r="E14">
        <v>35.340000000000003</v>
      </c>
      <c r="F14">
        <v>35.4</v>
      </c>
      <c r="G14">
        <v>27.87</v>
      </c>
      <c r="H14">
        <v>31.53</v>
      </c>
      <c r="I14">
        <v>38.83</v>
      </c>
      <c r="J14">
        <v>35.200000000000003</v>
      </c>
      <c r="K14">
        <v>28.28</v>
      </c>
      <c r="L14">
        <v>25.39</v>
      </c>
      <c r="M14">
        <v>27.53</v>
      </c>
      <c r="N14">
        <v>34.69</v>
      </c>
      <c r="O14">
        <v>31.6</v>
      </c>
      <c r="P14">
        <v>30.69</v>
      </c>
      <c r="Q14">
        <v>32.64</v>
      </c>
      <c r="R14">
        <v>36.54</v>
      </c>
    </row>
  </sheetData>
  <mergeCells count="4">
    <mergeCell ref="A3:A5"/>
    <mergeCell ref="A6:A8"/>
    <mergeCell ref="A9:A11"/>
    <mergeCell ref="A12:A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F234-2277-4A11-80EC-7C3CF52798CD}">
  <dimension ref="A1:H97"/>
  <sheetViews>
    <sheetView topLeftCell="A70" workbookViewId="0">
      <selection activeCell="F74" sqref="F74:F97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D2" t="s">
        <v>10</v>
      </c>
      <c r="F2" t="s">
        <v>11</v>
      </c>
      <c r="G2">
        <v>0</v>
      </c>
      <c r="H2">
        <v>0</v>
      </c>
    </row>
    <row r="3" spans="1:8" x14ac:dyDescent="0.35">
      <c r="A3" t="s">
        <v>12</v>
      </c>
      <c r="B3" t="s">
        <v>9</v>
      </c>
      <c r="D3" t="s">
        <v>10</v>
      </c>
      <c r="F3" t="s">
        <v>11</v>
      </c>
      <c r="G3">
        <v>0</v>
      </c>
      <c r="H3">
        <v>0</v>
      </c>
    </row>
    <row r="4" spans="1:8" x14ac:dyDescent="0.35">
      <c r="A4" t="s">
        <v>13</v>
      </c>
      <c r="B4" t="s">
        <v>9</v>
      </c>
      <c r="D4" t="s">
        <v>10</v>
      </c>
      <c r="F4">
        <v>38.35</v>
      </c>
      <c r="G4">
        <v>38.35</v>
      </c>
      <c r="H4">
        <v>0</v>
      </c>
    </row>
    <row r="5" spans="1:8" x14ac:dyDescent="0.35">
      <c r="A5" t="s">
        <v>14</v>
      </c>
      <c r="B5" t="s">
        <v>9</v>
      </c>
      <c r="D5" t="s">
        <v>10</v>
      </c>
      <c r="F5" t="s">
        <v>11</v>
      </c>
      <c r="G5">
        <v>0</v>
      </c>
      <c r="H5">
        <v>0</v>
      </c>
    </row>
    <row r="6" spans="1:8" x14ac:dyDescent="0.35">
      <c r="A6" t="s">
        <v>15</v>
      </c>
      <c r="B6" t="s">
        <v>9</v>
      </c>
      <c r="D6" t="s">
        <v>10</v>
      </c>
      <c r="F6">
        <v>35.56</v>
      </c>
      <c r="G6">
        <v>35.56</v>
      </c>
      <c r="H6">
        <v>0</v>
      </c>
    </row>
    <row r="7" spans="1:8" x14ac:dyDescent="0.35">
      <c r="A7" t="s">
        <v>16</v>
      </c>
      <c r="B7" t="s">
        <v>9</v>
      </c>
      <c r="D7" t="s">
        <v>10</v>
      </c>
      <c r="F7" t="s">
        <v>11</v>
      </c>
      <c r="G7">
        <v>0</v>
      </c>
      <c r="H7">
        <v>0</v>
      </c>
    </row>
    <row r="8" spans="1:8" x14ac:dyDescent="0.35">
      <c r="A8" t="s">
        <v>17</v>
      </c>
      <c r="B8" t="s">
        <v>9</v>
      </c>
      <c r="D8" t="s">
        <v>10</v>
      </c>
      <c r="F8">
        <v>35.06</v>
      </c>
      <c r="G8">
        <v>35.06</v>
      </c>
      <c r="H8">
        <v>0</v>
      </c>
    </row>
    <row r="9" spans="1:8" x14ac:dyDescent="0.35">
      <c r="A9" t="s">
        <v>18</v>
      </c>
      <c r="B9" t="s">
        <v>9</v>
      </c>
      <c r="D9" t="s">
        <v>10</v>
      </c>
      <c r="F9">
        <v>33.94</v>
      </c>
      <c r="G9">
        <v>33.94</v>
      </c>
      <c r="H9">
        <v>0</v>
      </c>
    </row>
    <row r="10" spans="1:8" x14ac:dyDescent="0.35">
      <c r="A10" t="s">
        <v>19</v>
      </c>
      <c r="B10" t="s">
        <v>9</v>
      </c>
      <c r="D10" t="s">
        <v>10</v>
      </c>
      <c r="F10">
        <v>35.03</v>
      </c>
      <c r="G10">
        <v>35.03</v>
      </c>
      <c r="H10">
        <v>0</v>
      </c>
    </row>
    <row r="11" spans="1:8" x14ac:dyDescent="0.35">
      <c r="A11" t="s">
        <v>20</v>
      </c>
      <c r="B11" t="s">
        <v>9</v>
      </c>
      <c r="D11" t="s">
        <v>10</v>
      </c>
      <c r="F11">
        <v>32.75</v>
      </c>
      <c r="G11">
        <v>32.75</v>
      </c>
      <c r="H11">
        <v>0</v>
      </c>
    </row>
    <row r="12" spans="1:8" x14ac:dyDescent="0.35">
      <c r="A12" t="s">
        <v>21</v>
      </c>
      <c r="B12" t="s">
        <v>9</v>
      </c>
      <c r="D12" t="s">
        <v>10</v>
      </c>
      <c r="F12">
        <v>33.43</v>
      </c>
      <c r="G12">
        <v>33.43</v>
      </c>
      <c r="H12">
        <v>0</v>
      </c>
    </row>
    <row r="13" spans="1:8" x14ac:dyDescent="0.35">
      <c r="A13" t="s">
        <v>22</v>
      </c>
      <c r="B13" t="s">
        <v>9</v>
      </c>
      <c r="D13" t="s">
        <v>10</v>
      </c>
      <c r="F13">
        <v>35.020000000000003</v>
      </c>
      <c r="G13">
        <v>35.020000000000003</v>
      </c>
      <c r="H13">
        <v>0</v>
      </c>
    </row>
    <row r="14" spans="1:8" x14ac:dyDescent="0.35">
      <c r="A14" t="s">
        <v>23</v>
      </c>
      <c r="B14" t="s">
        <v>9</v>
      </c>
      <c r="D14" t="s">
        <v>10</v>
      </c>
      <c r="F14">
        <v>34.53</v>
      </c>
      <c r="G14">
        <v>34.53</v>
      </c>
      <c r="H14">
        <v>0</v>
      </c>
    </row>
    <row r="15" spans="1:8" x14ac:dyDescent="0.35">
      <c r="A15" t="s">
        <v>24</v>
      </c>
      <c r="B15" t="s">
        <v>9</v>
      </c>
      <c r="D15" t="s">
        <v>10</v>
      </c>
      <c r="F15">
        <v>33.11</v>
      </c>
      <c r="G15">
        <v>33.11</v>
      </c>
      <c r="H15">
        <v>0</v>
      </c>
    </row>
    <row r="16" spans="1:8" x14ac:dyDescent="0.35">
      <c r="A16" t="s">
        <v>25</v>
      </c>
      <c r="B16" t="s">
        <v>9</v>
      </c>
      <c r="D16" t="s">
        <v>10</v>
      </c>
      <c r="F16">
        <v>33.56</v>
      </c>
      <c r="G16">
        <v>33.56</v>
      </c>
      <c r="H16">
        <v>0</v>
      </c>
    </row>
    <row r="17" spans="1:8" x14ac:dyDescent="0.35">
      <c r="A17" t="s">
        <v>26</v>
      </c>
      <c r="B17" t="s">
        <v>9</v>
      </c>
      <c r="D17" t="s">
        <v>10</v>
      </c>
      <c r="F17">
        <v>33.15</v>
      </c>
      <c r="G17">
        <v>33.15</v>
      </c>
      <c r="H17">
        <v>0</v>
      </c>
    </row>
    <row r="18" spans="1:8" x14ac:dyDescent="0.35">
      <c r="A18" t="s">
        <v>27</v>
      </c>
      <c r="B18" t="s">
        <v>9</v>
      </c>
      <c r="D18" t="s">
        <v>10</v>
      </c>
      <c r="F18">
        <v>33.06</v>
      </c>
      <c r="G18">
        <v>33.06</v>
      </c>
      <c r="H18">
        <v>0</v>
      </c>
    </row>
    <row r="19" spans="1:8" x14ac:dyDescent="0.35">
      <c r="A19" t="s">
        <v>28</v>
      </c>
      <c r="B19" t="s">
        <v>9</v>
      </c>
      <c r="D19" t="s">
        <v>10</v>
      </c>
      <c r="F19">
        <v>32.58</v>
      </c>
      <c r="G19">
        <v>32.58</v>
      </c>
      <c r="H19">
        <v>0</v>
      </c>
    </row>
    <row r="20" spans="1:8" x14ac:dyDescent="0.35">
      <c r="A20" t="s">
        <v>29</v>
      </c>
      <c r="B20" t="s">
        <v>9</v>
      </c>
      <c r="D20" t="s">
        <v>10</v>
      </c>
      <c r="F20">
        <v>33.44</v>
      </c>
      <c r="G20">
        <v>33.44</v>
      </c>
      <c r="H20">
        <v>0</v>
      </c>
    </row>
    <row r="21" spans="1:8" x14ac:dyDescent="0.35">
      <c r="A21" t="s">
        <v>30</v>
      </c>
      <c r="B21" t="s">
        <v>9</v>
      </c>
      <c r="D21" t="s">
        <v>10</v>
      </c>
      <c r="F21">
        <v>32.6</v>
      </c>
      <c r="G21">
        <v>32.6</v>
      </c>
      <c r="H21">
        <v>0</v>
      </c>
    </row>
    <row r="22" spans="1:8" x14ac:dyDescent="0.35">
      <c r="A22" t="s">
        <v>31</v>
      </c>
      <c r="B22" t="s">
        <v>9</v>
      </c>
      <c r="D22" t="s">
        <v>10</v>
      </c>
      <c r="F22">
        <v>32.28</v>
      </c>
      <c r="G22">
        <v>32.28</v>
      </c>
      <c r="H22">
        <v>0</v>
      </c>
    </row>
    <row r="23" spans="1:8" x14ac:dyDescent="0.35">
      <c r="A23" t="s">
        <v>32</v>
      </c>
      <c r="B23" t="s">
        <v>9</v>
      </c>
      <c r="D23" t="s">
        <v>10</v>
      </c>
      <c r="F23">
        <v>32.450000000000003</v>
      </c>
      <c r="G23">
        <v>32.450000000000003</v>
      </c>
      <c r="H23">
        <v>0</v>
      </c>
    </row>
    <row r="24" spans="1:8" x14ac:dyDescent="0.35">
      <c r="A24" t="s">
        <v>33</v>
      </c>
      <c r="B24" t="s">
        <v>9</v>
      </c>
      <c r="D24" t="s">
        <v>10</v>
      </c>
      <c r="F24">
        <v>32.119999999999997</v>
      </c>
      <c r="G24">
        <v>32.119999999999997</v>
      </c>
      <c r="H24">
        <v>0</v>
      </c>
    </row>
    <row r="25" spans="1:8" x14ac:dyDescent="0.35">
      <c r="A25" t="s">
        <v>34</v>
      </c>
      <c r="B25" t="s">
        <v>9</v>
      </c>
      <c r="D25" t="s">
        <v>10</v>
      </c>
      <c r="F25">
        <v>32.25</v>
      </c>
      <c r="G25">
        <v>32.25</v>
      </c>
      <c r="H25">
        <v>0</v>
      </c>
    </row>
    <row r="26" spans="1:8" x14ac:dyDescent="0.35">
      <c r="A26" t="s">
        <v>35</v>
      </c>
      <c r="B26" t="s">
        <v>9</v>
      </c>
      <c r="D26" t="s">
        <v>10</v>
      </c>
      <c r="F26">
        <v>27.87</v>
      </c>
      <c r="G26">
        <v>27.87</v>
      </c>
      <c r="H26">
        <v>0</v>
      </c>
    </row>
    <row r="27" spans="1:8" x14ac:dyDescent="0.35">
      <c r="A27" t="s">
        <v>36</v>
      </c>
      <c r="B27" t="s">
        <v>9</v>
      </c>
      <c r="D27" t="s">
        <v>10</v>
      </c>
      <c r="F27">
        <v>28.38</v>
      </c>
      <c r="G27">
        <v>28.38</v>
      </c>
      <c r="H27">
        <v>0</v>
      </c>
    </row>
    <row r="28" spans="1:8" x14ac:dyDescent="0.35">
      <c r="A28" t="s">
        <v>37</v>
      </c>
      <c r="B28" t="s">
        <v>9</v>
      </c>
      <c r="D28" t="s">
        <v>10</v>
      </c>
      <c r="F28">
        <v>27.57</v>
      </c>
      <c r="G28">
        <v>27.57</v>
      </c>
      <c r="H28">
        <v>0</v>
      </c>
    </row>
    <row r="29" spans="1:8" x14ac:dyDescent="0.35">
      <c r="A29" t="s">
        <v>38</v>
      </c>
      <c r="B29" t="s">
        <v>9</v>
      </c>
      <c r="D29" t="s">
        <v>10</v>
      </c>
      <c r="F29">
        <v>27.17</v>
      </c>
      <c r="G29">
        <v>27.17</v>
      </c>
      <c r="H29">
        <v>0</v>
      </c>
    </row>
    <row r="30" spans="1:8" x14ac:dyDescent="0.35">
      <c r="A30" t="s">
        <v>39</v>
      </c>
      <c r="B30" t="s">
        <v>9</v>
      </c>
      <c r="D30" t="s">
        <v>10</v>
      </c>
      <c r="F30">
        <v>25.62</v>
      </c>
      <c r="G30">
        <v>25.62</v>
      </c>
      <c r="H30">
        <v>0</v>
      </c>
    </row>
    <row r="31" spans="1:8" x14ac:dyDescent="0.35">
      <c r="A31" t="s">
        <v>40</v>
      </c>
      <c r="B31" t="s">
        <v>9</v>
      </c>
      <c r="D31" t="s">
        <v>10</v>
      </c>
      <c r="F31">
        <v>26.68</v>
      </c>
      <c r="G31">
        <v>26.68</v>
      </c>
      <c r="H31">
        <v>0</v>
      </c>
    </row>
    <row r="32" spans="1:8" x14ac:dyDescent="0.35">
      <c r="A32" t="s">
        <v>41</v>
      </c>
      <c r="B32" t="s">
        <v>9</v>
      </c>
      <c r="D32" t="s">
        <v>10</v>
      </c>
      <c r="F32">
        <v>34.520000000000003</v>
      </c>
      <c r="G32">
        <v>34.520000000000003</v>
      </c>
      <c r="H32">
        <v>0</v>
      </c>
    </row>
    <row r="33" spans="1:8" x14ac:dyDescent="0.35">
      <c r="A33" t="s">
        <v>42</v>
      </c>
      <c r="B33" t="s">
        <v>9</v>
      </c>
      <c r="D33" t="s">
        <v>10</v>
      </c>
      <c r="F33">
        <v>35.01</v>
      </c>
      <c r="G33">
        <v>35.01</v>
      </c>
      <c r="H33">
        <v>0</v>
      </c>
    </row>
    <row r="34" spans="1:8" x14ac:dyDescent="0.35">
      <c r="A34" t="s">
        <v>43</v>
      </c>
      <c r="B34" t="s">
        <v>9</v>
      </c>
      <c r="D34" t="s">
        <v>10</v>
      </c>
      <c r="F34">
        <v>31.06</v>
      </c>
      <c r="G34">
        <v>31.06</v>
      </c>
      <c r="H34">
        <v>0</v>
      </c>
    </row>
    <row r="35" spans="1:8" x14ac:dyDescent="0.35">
      <c r="A35" t="s">
        <v>44</v>
      </c>
      <c r="B35" t="s">
        <v>9</v>
      </c>
      <c r="D35" t="s">
        <v>10</v>
      </c>
      <c r="F35">
        <v>24.29</v>
      </c>
      <c r="G35">
        <v>24.29</v>
      </c>
      <c r="H35">
        <v>0</v>
      </c>
    </row>
    <row r="36" spans="1:8" x14ac:dyDescent="0.35">
      <c r="A36" t="s">
        <v>45</v>
      </c>
      <c r="B36" t="s">
        <v>9</v>
      </c>
      <c r="D36" t="s">
        <v>10</v>
      </c>
      <c r="F36">
        <v>24.26</v>
      </c>
      <c r="G36">
        <v>24.26</v>
      </c>
      <c r="H36">
        <v>0</v>
      </c>
    </row>
    <row r="37" spans="1:8" x14ac:dyDescent="0.35">
      <c r="A37" t="s">
        <v>46</v>
      </c>
      <c r="B37" t="s">
        <v>9</v>
      </c>
      <c r="D37" t="s">
        <v>10</v>
      </c>
      <c r="F37">
        <v>25.86</v>
      </c>
      <c r="G37">
        <v>25.86</v>
      </c>
      <c r="H37">
        <v>0</v>
      </c>
    </row>
    <row r="38" spans="1:8" x14ac:dyDescent="0.35">
      <c r="A38" t="s">
        <v>47</v>
      </c>
      <c r="B38" t="s">
        <v>9</v>
      </c>
      <c r="D38" t="s">
        <v>10</v>
      </c>
      <c r="F38">
        <v>25.98</v>
      </c>
      <c r="G38">
        <v>25.98</v>
      </c>
      <c r="H38">
        <v>0</v>
      </c>
    </row>
    <row r="39" spans="1:8" x14ac:dyDescent="0.35">
      <c r="A39" t="s">
        <v>48</v>
      </c>
      <c r="B39" t="s">
        <v>9</v>
      </c>
      <c r="D39" t="s">
        <v>10</v>
      </c>
      <c r="F39">
        <v>23.71</v>
      </c>
      <c r="G39">
        <v>23.71</v>
      </c>
      <c r="H39">
        <v>0</v>
      </c>
    </row>
    <row r="40" spans="1:8" x14ac:dyDescent="0.35">
      <c r="A40" t="s">
        <v>49</v>
      </c>
      <c r="B40" t="s">
        <v>9</v>
      </c>
      <c r="D40" t="s">
        <v>10</v>
      </c>
      <c r="F40">
        <v>24.31</v>
      </c>
      <c r="G40">
        <v>24.31</v>
      </c>
      <c r="H40">
        <v>0</v>
      </c>
    </row>
    <row r="41" spans="1:8" x14ac:dyDescent="0.35">
      <c r="A41" t="s">
        <v>50</v>
      </c>
      <c r="B41" t="s">
        <v>9</v>
      </c>
      <c r="D41" t="s">
        <v>10</v>
      </c>
      <c r="F41">
        <v>24.54</v>
      </c>
      <c r="G41">
        <v>24.54</v>
      </c>
      <c r="H41">
        <v>0</v>
      </c>
    </row>
    <row r="42" spans="1:8" x14ac:dyDescent="0.35">
      <c r="A42" t="s">
        <v>51</v>
      </c>
      <c r="B42" t="s">
        <v>9</v>
      </c>
      <c r="D42" t="s">
        <v>10</v>
      </c>
      <c r="F42">
        <v>24.14</v>
      </c>
      <c r="G42">
        <v>24.14</v>
      </c>
      <c r="H42">
        <v>0</v>
      </c>
    </row>
    <row r="43" spans="1:8" x14ac:dyDescent="0.35">
      <c r="A43" t="s">
        <v>52</v>
      </c>
      <c r="B43" t="s">
        <v>9</v>
      </c>
      <c r="D43" t="s">
        <v>10</v>
      </c>
      <c r="F43">
        <v>24.36</v>
      </c>
      <c r="G43">
        <v>24.36</v>
      </c>
      <c r="H43">
        <v>0</v>
      </c>
    </row>
    <row r="44" spans="1:8" x14ac:dyDescent="0.35">
      <c r="A44" t="s">
        <v>53</v>
      </c>
      <c r="B44" t="s">
        <v>9</v>
      </c>
      <c r="D44" t="s">
        <v>10</v>
      </c>
      <c r="F44">
        <v>24.67</v>
      </c>
      <c r="G44">
        <v>24.67</v>
      </c>
      <c r="H44">
        <v>0</v>
      </c>
    </row>
    <row r="45" spans="1:8" x14ac:dyDescent="0.35">
      <c r="A45" t="s">
        <v>54</v>
      </c>
      <c r="B45" t="s">
        <v>9</v>
      </c>
      <c r="D45" t="s">
        <v>10</v>
      </c>
      <c r="F45">
        <v>24.09</v>
      </c>
      <c r="G45">
        <v>24.09</v>
      </c>
      <c r="H45">
        <v>0</v>
      </c>
    </row>
    <row r="46" spans="1:8" x14ac:dyDescent="0.35">
      <c r="A46" t="s">
        <v>55</v>
      </c>
      <c r="B46" t="s">
        <v>9</v>
      </c>
      <c r="D46" t="s">
        <v>10</v>
      </c>
      <c r="F46">
        <v>23.49</v>
      </c>
      <c r="G46">
        <v>23.49</v>
      </c>
      <c r="H46">
        <v>0</v>
      </c>
    </row>
    <row r="47" spans="1:8" x14ac:dyDescent="0.35">
      <c r="A47" t="s">
        <v>56</v>
      </c>
      <c r="B47" t="s">
        <v>9</v>
      </c>
      <c r="D47" t="s">
        <v>10</v>
      </c>
      <c r="F47">
        <v>21</v>
      </c>
      <c r="G47">
        <v>21</v>
      </c>
      <c r="H47">
        <v>0</v>
      </c>
    </row>
    <row r="48" spans="1:8" x14ac:dyDescent="0.35">
      <c r="A48" t="s">
        <v>57</v>
      </c>
      <c r="B48" t="s">
        <v>9</v>
      </c>
      <c r="D48" t="s">
        <v>10</v>
      </c>
      <c r="F48">
        <v>21.12</v>
      </c>
      <c r="G48">
        <v>21.12</v>
      </c>
      <c r="H48">
        <v>0</v>
      </c>
    </row>
    <row r="49" spans="1:8" x14ac:dyDescent="0.35">
      <c r="A49" t="s">
        <v>58</v>
      </c>
      <c r="B49" t="s">
        <v>9</v>
      </c>
      <c r="D49" t="s">
        <v>10</v>
      </c>
      <c r="F49">
        <v>20.78</v>
      </c>
      <c r="G49">
        <v>20.78</v>
      </c>
      <c r="H49">
        <v>0</v>
      </c>
    </row>
    <row r="50" spans="1:8" x14ac:dyDescent="0.35">
      <c r="A50" t="s">
        <v>59</v>
      </c>
      <c r="B50" t="s">
        <v>9</v>
      </c>
      <c r="D50" t="s">
        <v>10</v>
      </c>
      <c r="F50">
        <v>37.64</v>
      </c>
      <c r="G50">
        <v>37.64</v>
      </c>
      <c r="H50">
        <v>0</v>
      </c>
    </row>
    <row r="51" spans="1:8" x14ac:dyDescent="0.35">
      <c r="A51" t="s">
        <v>60</v>
      </c>
      <c r="B51" t="s">
        <v>9</v>
      </c>
      <c r="D51" t="s">
        <v>10</v>
      </c>
      <c r="F51" t="s">
        <v>11</v>
      </c>
      <c r="G51">
        <v>0</v>
      </c>
      <c r="H51">
        <v>0</v>
      </c>
    </row>
    <row r="52" spans="1:8" x14ac:dyDescent="0.35">
      <c r="A52" t="s">
        <v>61</v>
      </c>
      <c r="B52" t="s">
        <v>9</v>
      </c>
      <c r="D52" t="s">
        <v>10</v>
      </c>
      <c r="F52" t="s">
        <v>11</v>
      </c>
      <c r="G52">
        <v>0</v>
      </c>
      <c r="H52">
        <v>0</v>
      </c>
    </row>
    <row r="53" spans="1:8" x14ac:dyDescent="0.35">
      <c r="A53" t="s">
        <v>62</v>
      </c>
      <c r="B53" t="s">
        <v>9</v>
      </c>
      <c r="D53" t="s">
        <v>10</v>
      </c>
      <c r="F53">
        <v>36.520000000000003</v>
      </c>
      <c r="G53">
        <v>36.520000000000003</v>
      </c>
      <c r="H53">
        <v>0</v>
      </c>
    </row>
    <row r="54" spans="1:8" x14ac:dyDescent="0.35">
      <c r="A54" t="s">
        <v>63</v>
      </c>
      <c r="B54" t="s">
        <v>9</v>
      </c>
      <c r="D54" t="s">
        <v>10</v>
      </c>
      <c r="F54">
        <v>35.69</v>
      </c>
      <c r="G54">
        <v>35.69</v>
      </c>
      <c r="H54">
        <v>0</v>
      </c>
    </row>
    <row r="55" spans="1:8" x14ac:dyDescent="0.35">
      <c r="A55" t="s">
        <v>64</v>
      </c>
      <c r="B55" t="s">
        <v>9</v>
      </c>
      <c r="D55" t="s">
        <v>10</v>
      </c>
      <c r="F55" t="s">
        <v>11</v>
      </c>
      <c r="G55">
        <v>0</v>
      </c>
      <c r="H55">
        <v>0</v>
      </c>
    </row>
    <row r="56" spans="1:8" x14ac:dyDescent="0.35">
      <c r="A56" t="s">
        <v>65</v>
      </c>
      <c r="B56" t="s">
        <v>9</v>
      </c>
      <c r="D56" t="s">
        <v>10</v>
      </c>
      <c r="F56">
        <v>34.22</v>
      </c>
      <c r="G56">
        <v>34.22</v>
      </c>
      <c r="H56">
        <v>0</v>
      </c>
    </row>
    <row r="57" spans="1:8" x14ac:dyDescent="0.35">
      <c r="A57" t="s">
        <v>66</v>
      </c>
      <c r="B57" t="s">
        <v>9</v>
      </c>
      <c r="D57" t="s">
        <v>10</v>
      </c>
      <c r="F57">
        <v>31.05</v>
      </c>
      <c r="G57">
        <v>31.05</v>
      </c>
      <c r="H57">
        <v>0</v>
      </c>
    </row>
    <row r="58" spans="1:8" x14ac:dyDescent="0.35">
      <c r="A58" t="s">
        <v>67</v>
      </c>
      <c r="B58" t="s">
        <v>9</v>
      </c>
      <c r="D58" t="s">
        <v>10</v>
      </c>
      <c r="F58">
        <v>32.78</v>
      </c>
      <c r="G58">
        <v>32.78</v>
      </c>
      <c r="H58">
        <v>0</v>
      </c>
    </row>
    <row r="59" spans="1:8" x14ac:dyDescent="0.35">
      <c r="A59" t="s">
        <v>68</v>
      </c>
      <c r="B59" t="s">
        <v>9</v>
      </c>
      <c r="D59" t="s">
        <v>10</v>
      </c>
      <c r="F59">
        <v>35.69</v>
      </c>
      <c r="G59">
        <v>35.69</v>
      </c>
      <c r="H59">
        <v>0</v>
      </c>
    </row>
    <row r="60" spans="1:8" x14ac:dyDescent="0.35">
      <c r="A60" t="s">
        <v>69</v>
      </c>
      <c r="B60" t="s">
        <v>9</v>
      </c>
      <c r="D60" t="s">
        <v>10</v>
      </c>
      <c r="F60">
        <v>35.86</v>
      </c>
      <c r="G60">
        <v>35.86</v>
      </c>
      <c r="H60">
        <v>0</v>
      </c>
    </row>
    <row r="61" spans="1:8" x14ac:dyDescent="0.35">
      <c r="A61" t="s">
        <v>70</v>
      </c>
      <c r="B61" t="s">
        <v>9</v>
      </c>
      <c r="D61" t="s">
        <v>10</v>
      </c>
      <c r="F61">
        <v>35.340000000000003</v>
      </c>
      <c r="G61">
        <v>35.340000000000003</v>
      </c>
      <c r="H61">
        <v>0</v>
      </c>
    </row>
    <row r="62" spans="1:8" x14ac:dyDescent="0.35">
      <c r="A62" t="s">
        <v>71</v>
      </c>
      <c r="B62" t="s">
        <v>9</v>
      </c>
      <c r="D62" t="s">
        <v>10</v>
      </c>
      <c r="F62">
        <v>36.35</v>
      </c>
      <c r="G62">
        <v>36.35</v>
      </c>
      <c r="H62">
        <v>0</v>
      </c>
    </row>
    <row r="63" spans="1:8" x14ac:dyDescent="0.35">
      <c r="A63" t="s">
        <v>72</v>
      </c>
      <c r="B63" t="s">
        <v>9</v>
      </c>
      <c r="D63" t="s">
        <v>10</v>
      </c>
      <c r="F63">
        <v>35.76</v>
      </c>
      <c r="G63">
        <v>35.76</v>
      </c>
      <c r="H63">
        <v>0</v>
      </c>
    </row>
    <row r="64" spans="1:8" x14ac:dyDescent="0.35">
      <c r="A64" t="s">
        <v>73</v>
      </c>
      <c r="B64" t="s">
        <v>9</v>
      </c>
      <c r="D64" t="s">
        <v>10</v>
      </c>
      <c r="F64">
        <v>34.25</v>
      </c>
      <c r="G64">
        <v>34.25</v>
      </c>
      <c r="H64">
        <v>0</v>
      </c>
    </row>
    <row r="65" spans="1:8" x14ac:dyDescent="0.35">
      <c r="A65" t="s">
        <v>74</v>
      </c>
      <c r="B65" t="s">
        <v>9</v>
      </c>
      <c r="D65" t="s">
        <v>10</v>
      </c>
      <c r="F65">
        <v>34.299999999999997</v>
      </c>
      <c r="G65">
        <v>34.299999999999997</v>
      </c>
      <c r="H65">
        <v>0</v>
      </c>
    </row>
    <row r="66" spans="1:8" x14ac:dyDescent="0.35">
      <c r="A66" t="s">
        <v>75</v>
      </c>
      <c r="B66" t="s">
        <v>9</v>
      </c>
      <c r="D66" t="s">
        <v>10</v>
      </c>
      <c r="F66">
        <v>35.979999999999997</v>
      </c>
      <c r="G66">
        <v>35.979999999999997</v>
      </c>
      <c r="H66">
        <v>0</v>
      </c>
    </row>
    <row r="67" spans="1:8" x14ac:dyDescent="0.35">
      <c r="A67" t="s">
        <v>76</v>
      </c>
      <c r="B67" t="s">
        <v>9</v>
      </c>
      <c r="D67" t="s">
        <v>10</v>
      </c>
      <c r="F67">
        <v>36.29</v>
      </c>
      <c r="G67">
        <v>36.29</v>
      </c>
      <c r="H67">
        <v>0</v>
      </c>
    </row>
    <row r="68" spans="1:8" x14ac:dyDescent="0.35">
      <c r="A68" t="s">
        <v>77</v>
      </c>
      <c r="B68" t="s">
        <v>9</v>
      </c>
      <c r="D68" t="s">
        <v>10</v>
      </c>
      <c r="F68">
        <v>34.130000000000003</v>
      </c>
      <c r="G68">
        <v>34.130000000000003</v>
      </c>
      <c r="H68">
        <v>0</v>
      </c>
    </row>
    <row r="69" spans="1:8" x14ac:dyDescent="0.35">
      <c r="A69" t="s">
        <v>78</v>
      </c>
      <c r="B69" t="s">
        <v>9</v>
      </c>
      <c r="D69" t="s">
        <v>10</v>
      </c>
      <c r="F69">
        <v>32.590000000000003</v>
      </c>
      <c r="G69">
        <v>32.590000000000003</v>
      </c>
      <c r="H69">
        <v>0</v>
      </c>
    </row>
    <row r="70" spans="1:8" x14ac:dyDescent="0.35">
      <c r="A70" t="s">
        <v>79</v>
      </c>
      <c r="B70" t="s">
        <v>9</v>
      </c>
      <c r="D70" t="s">
        <v>10</v>
      </c>
      <c r="F70">
        <v>32.130000000000003</v>
      </c>
      <c r="G70">
        <v>32.130000000000003</v>
      </c>
      <c r="H70">
        <v>0</v>
      </c>
    </row>
    <row r="71" spans="1:8" x14ac:dyDescent="0.35">
      <c r="A71" t="s">
        <v>80</v>
      </c>
      <c r="B71" t="s">
        <v>9</v>
      </c>
      <c r="D71" t="s">
        <v>10</v>
      </c>
      <c r="F71">
        <v>28.54</v>
      </c>
      <c r="G71">
        <v>28.54</v>
      </c>
      <c r="H71">
        <v>0</v>
      </c>
    </row>
    <row r="72" spans="1:8" x14ac:dyDescent="0.35">
      <c r="A72" t="s">
        <v>81</v>
      </c>
      <c r="B72" t="s">
        <v>9</v>
      </c>
      <c r="D72" t="s">
        <v>10</v>
      </c>
      <c r="F72">
        <v>29.4</v>
      </c>
      <c r="G72">
        <v>29.4</v>
      </c>
      <c r="H72">
        <v>0</v>
      </c>
    </row>
    <row r="73" spans="1:8" x14ac:dyDescent="0.35">
      <c r="A73" t="s">
        <v>82</v>
      </c>
      <c r="B73" t="s">
        <v>9</v>
      </c>
      <c r="D73" t="s">
        <v>10</v>
      </c>
      <c r="F73">
        <v>29.59</v>
      </c>
      <c r="G73">
        <v>29.59</v>
      </c>
      <c r="H73">
        <v>0</v>
      </c>
    </row>
    <row r="74" spans="1:8" x14ac:dyDescent="0.35">
      <c r="A74" t="s">
        <v>83</v>
      </c>
      <c r="B74" t="s">
        <v>9</v>
      </c>
      <c r="D74" t="s">
        <v>10</v>
      </c>
      <c r="F74">
        <v>37.19</v>
      </c>
      <c r="G74">
        <v>37.19</v>
      </c>
      <c r="H74">
        <v>0</v>
      </c>
    </row>
    <row r="75" spans="1:8" x14ac:dyDescent="0.35">
      <c r="A75" t="s">
        <v>84</v>
      </c>
      <c r="B75" t="s">
        <v>9</v>
      </c>
      <c r="D75" t="s">
        <v>10</v>
      </c>
      <c r="F75">
        <v>36.14</v>
      </c>
      <c r="G75">
        <v>36.14</v>
      </c>
      <c r="H75">
        <v>0</v>
      </c>
    </row>
    <row r="76" spans="1:8" x14ac:dyDescent="0.35">
      <c r="A76" t="s">
        <v>85</v>
      </c>
      <c r="B76" t="s">
        <v>9</v>
      </c>
      <c r="D76" t="s">
        <v>10</v>
      </c>
      <c r="F76">
        <v>35.479999999999997</v>
      </c>
      <c r="G76">
        <v>35.479999999999997</v>
      </c>
      <c r="H76">
        <v>0</v>
      </c>
    </row>
    <row r="77" spans="1:8" x14ac:dyDescent="0.35">
      <c r="A77" t="s">
        <v>86</v>
      </c>
      <c r="B77" t="s">
        <v>9</v>
      </c>
      <c r="D77" t="s">
        <v>10</v>
      </c>
      <c r="F77">
        <v>35.93</v>
      </c>
      <c r="G77">
        <v>35.93</v>
      </c>
      <c r="H77">
        <v>0</v>
      </c>
    </row>
    <row r="78" spans="1:8" x14ac:dyDescent="0.35">
      <c r="A78" t="s">
        <v>87</v>
      </c>
      <c r="B78" t="s">
        <v>9</v>
      </c>
      <c r="D78" t="s">
        <v>10</v>
      </c>
      <c r="F78">
        <v>35.380000000000003</v>
      </c>
      <c r="G78">
        <v>35.380000000000003</v>
      </c>
      <c r="H78">
        <v>0</v>
      </c>
    </row>
    <row r="79" spans="1:8" x14ac:dyDescent="0.35">
      <c r="A79" t="s">
        <v>88</v>
      </c>
      <c r="B79" t="s">
        <v>9</v>
      </c>
      <c r="D79" t="s">
        <v>10</v>
      </c>
      <c r="F79">
        <v>35.380000000000003</v>
      </c>
      <c r="G79">
        <v>35.380000000000003</v>
      </c>
      <c r="H79">
        <v>0</v>
      </c>
    </row>
    <row r="80" spans="1:8" x14ac:dyDescent="0.35">
      <c r="A80" t="s">
        <v>89</v>
      </c>
      <c r="B80" t="s">
        <v>9</v>
      </c>
      <c r="D80" t="s">
        <v>10</v>
      </c>
      <c r="F80" t="s">
        <v>11</v>
      </c>
      <c r="G80">
        <v>0</v>
      </c>
      <c r="H80">
        <v>0</v>
      </c>
    </row>
    <row r="81" spans="1:8" x14ac:dyDescent="0.35">
      <c r="A81" t="s">
        <v>90</v>
      </c>
      <c r="B81" t="s">
        <v>9</v>
      </c>
      <c r="D81" t="s">
        <v>10</v>
      </c>
      <c r="F81" t="s">
        <v>11</v>
      </c>
      <c r="G81">
        <v>0</v>
      </c>
      <c r="H81">
        <v>0</v>
      </c>
    </row>
    <row r="82" spans="1:8" x14ac:dyDescent="0.35">
      <c r="A82" t="s">
        <v>91</v>
      </c>
      <c r="B82" t="s">
        <v>9</v>
      </c>
      <c r="D82" t="s">
        <v>10</v>
      </c>
      <c r="F82" t="s">
        <v>11</v>
      </c>
      <c r="G82">
        <v>0</v>
      </c>
      <c r="H82">
        <v>0</v>
      </c>
    </row>
    <row r="83" spans="1:8" x14ac:dyDescent="0.35">
      <c r="A83" t="s">
        <v>92</v>
      </c>
      <c r="B83" t="s">
        <v>9</v>
      </c>
      <c r="D83" t="s">
        <v>10</v>
      </c>
      <c r="F83">
        <v>34.18</v>
      </c>
      <c r="G83">
        <v>34.18</v>
      </c>
      <c r="H83">
        <v>0</v>
      </c>
    </row>
    <row r="84" spans="1:8" x14ac:dyDescent="0.35">
      <c r="A84" t="s">
        <v>93</v>
      </c>
      <c r="B84" t="s">
        <v>9</v>
      </c>
      <c r="D84" t="s">
        <v>10</v>
      </c>
      <c r="F84">
        <v>34.5</v>
      </c>
      <c r="G84">
        <v>34.5</v>
      </c>
      <c r="H84">
        <v>0</v>
      </c>
    </row>
    <row r="85" spans="1:8" x14ac:dyDescent="0.35">
      <c r="A85" t="s">
        <v>94</v>
      </c>
      <c r="B85" t="s">
        <v>9</v>
      </c>
      <c r="D85" t="s">
        <v>10</v>
      </c>
      <c r="F85">
        <v>35.4</v>
      </c>
      <c r="G85">
        <v>35.4</v>
      </c>
      <c r="H85">
        <v>0</v>
      </c>
    </row>
    <row r="86" spans="1:8" x14ac:dyDescent="0.35">
      <c r="A86" t="s">
        <v>95</v>
      </c>
      <c r="B86" t="s">
        <v>9</v>
      </c>
      <c r="D86" t="s">
        <v>10</v>
      </c>
      <c r="F86">
        <v>35.57</v>
      </c>
      <c r="G86">
        <v>35.57</v>
      </c>
      <c r="H86">
        <v>0</v>
      </c>
    </row>
    <row r="87" spans="1:8" x14ac:dyDescent="0.35">
      <c r="A87" t="s">
        <v>96</v>
      </c>
      <c r="B87" t="s">
        <v>9</v>
      </c>
      <c r="D87" t="s">
        <v>10</v>
      </c>
      <c r="F87">
        <v>33.450000000000003</v>
      </c>
      <c r="G87">
        <v>33.450000000000003</v>
      </c>
      <c r="H87">
        <v>0</v>
      </c>
    </row>
    <row r="88" spans="1:8" x14ac:dyDescent="0.35">
      <c r="A88" t="s">
        <v>97</v>
      </c>
      <c r="B88" t="s">
        <v>9</v>
      </c>
      <c r="D88" t="s">
        <v>10</v>
      </c>
      <c r="F88">
        <v>34.15</v>
      </c>
      <c r="G88">
        <v>34.15</v>
      </c>
      <c r="H88">
        <v>0</v>
      </c>
    </row>
    <row r="89" spans="1:8" x14ac:dyDescent="0.35">
      <c r="A89" t="s">
        <v>98</v>
      </c>
      <c r="B89" t="s">
        <v>9</v>
      </c>
      <c r="D89" t="s">
        <v>10</v>
      </c>
      <c r="F89">
        <v>34.549999999999997</v>
      </c>
      <c r="G89">
        <v>34.549999999999997</v>
      </c>
      <c r="H89">
        <v>0</v>
      </c>
    </row>
    <row r="90" spans="1:8" x14ac:dyDescent="0.35">
      <c r="A90" t="s">
        <v>99</v>
      </c>
      <c r="B90" t="s">
        <v>9</v>
      </c>
      <c r="D90" t="s">
        <v>10</v>
      </c>
      <c r="F90">
        <v>33.69</v>
      </c>
      <c r="G90">
        <v>33.69</v>
      </c>
      <c r="H90">
        <v>0</v>
      </c>
    </row>
    <row r="91" spans="1:8" x14ac:dyDescent="0.35">
      <c r="A91" t="s">
        <v>100</v>
      </c>
      <c r="B91" t="s">
        <v>9</v>
      </c>
      <c r="D91" t="s">
        <v>10</v>
      </c>
      <c r="F91">
        <v>34.229999999999997</v>
      </c>
      <c r="G91">
        <v>34.229999999999997</v>
      </c>
      <c r="H91">
        <v>0</v>
      </c>
    </row>
    <row r="92" spans="1:8" x14ac:dyDescent="0.35">
      <c r="A92" t="s">
        <v>101</v>
      </c>
      <c r="B92" t="s">
        <v>9</v>
      </c>
      <c r="D92" t="s">
        <v>10</v>
      </c>
      <c r="F92" t="s">
        <v>11</v>
      </c>
      <c r="G92">
        <v>0</v>
      </c>
      <c r="H92">
        <v>0</v>
      </c>
    </row>
    <row r="93" spans="1:8" x14ac:dyDescent="0.35">
      <c r="A93" t="s">
        <v>102</v>
      </c>
      <c r="B93" t="s">
        <v>9</v>
      </c>
      <c r="D93" t="s">
        <v>10</v>
      </c>
      <c r="F93">
        <v>38.25</v>
      </c>
      <c r="G93">
        <v>38.25</v>
      </c>
      <c r="H93">
        <v>0</v>
      </c>
    </row>
    <row r="94" spans="1:8" x14ac:dyDescent="0.35">
      <c r="A94" t="s">
        <v>103</v>
      </c>
      <c r="B94" t="s">
        <v>9</v>
      </c>
      <c r="D94" t="s">
        <v>10</v>
      </c>
      <c r="F94" t="s">
        <v>11</v>
      </c>
      <c r="G94">
        <v>0</v>
      </c>
      <c r="H94">
        <v>0</v>
      </c>
    </row>
    <row r="95" spans="1:8" x14ac:dyDescent="0.35">
      <c r="A95" t="s">
        <v>104</v>
      </c>
      <c r="B95" t="s">
        <v>9</v>
      </c>
      <c r="D95" t="s">
        <v>10</v>
      </c>
      <c r="F95">
        <v>34.119999999999997</v>
      </c>
      <c r="G95">
        <v>34.119999999999997</v>
      </c>
      <c r="H95">
        <v>0</v>
      </c>
    </row>
    <row r="96" spans="1:8" x14ac:dyDescent="0.35">
      <c r="A96" t="s">
        <v>105</v>
      </c>
      <c r="B96" t="s">
        <v>9</v>
      </c>
      <c r="D96" t="s">
        <v>10</v>
      </c>
      <c r="F96">
        <v>36.14</v>
      </c>
      <c r="G96">
        <v>36.14</v>
      </c>
      <c r="H96">
        <v>0</v>
      </c>
    </row>
    <row r="97" spans="1:8" x14ac:dyDescent="0.35">
      <c r="A97" t="s">
        <v>106</v>
      </c>
      <c r="B97" t="s">
        <v>9</v>
      </c>
      <c r="D97" t="s">
        <v>10</v>
      </c>
      <c r="F97">
        <v>35.47</v>
      </c>
      <c r="G97">
        <v>35.47</v>
      </c>
      <c r="H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269E-1B1B-445E-AA44-28B1F885AA25}">
  <dimension ref="A1:H97"/>
  <sheetViews>
    <sheetView topLeftCell="A73" workbookViewId="0">
      <selection activeCell="B103" sqref="B102:B10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D2" t="s">
        <v>10</v>
      </c>
      <c r="F2">
        <v>32.299999999999997</v>
      </c>
      <c r="G2">
        <v>32.299999999999997</v>
      </c>
      <c r="H2">
        <v>0</v>
      </c>
    </row>
    <row r="3" spans="1:8" x14ac:dyDescent="0.35">
      <c r="A3" t="s">
        <v>12</v>
      </c>
      <c r="B3" t="s">
        <v>9</v>
      </c>
      <c r="D3" t="s">
        <v>10</v>
      </c>
      <c r="F3">
        <v>32.869999999999997</v>
      </c>
      <c r="G3">
        <v>32.869999999999997</v>
      </c>
      <c r="H3">
        <v>0</v>
      </c>
    </row>
    <row r="4" spans="1:8" x14ac:dyDescent="0.35">
      <c r="A4" t="s">
        <v>13</v>
      </c>
      <c r="B4" t="s">
        <v>9</v>
      </c>
      <c r="D4" t="s">
        <v>10</v>
      </c>
      <c r="F4">
        <v>32.44</v>
      </c>
      <c r="G4">
        <v>32.44</v>
      </c>
      <c r="H4">
        <v>0</v>
      </c>
    </row>
    <row r="5" spans="1:8" x14ac:dyDescent="0.35">
      <c r="A5" t="s">
        <v>14</v>
      </c>
      <c r="B5" t="s">
        <v>9</v>
      </c>
      <c r="D5" t="s">
        <v>10</v>
      </c>
      <c r="F5">
        <v>31.77</v>
      </c>
      <c r="G5">
        <v>31.77</v>
      </c>
      <c r="H5">
        <v>0</v>
      </c>
    </row>
    <row r="6" spans="1:8" x14ac:dyDescent="0.35">
      <c r="A6" t="s">
        <v>15</v>
      </c>
      <c r="B6" t="s">
        <v>9</v>
      </c>
      <c r="D6" t="s">
        <v>10</v>
      </c>
      <c r="F6">
        <v>29.64</v>
      </c>
      <c r="G6">
        <v>29.64</v>
      </c>
      <c r="H6">
        <v>0</v>
      </c>
    </row>
    <row r="7" spans="1:8" x14ac:dyDescent="0.35">
      <c r="A7" t="s">
        <v>16</v>
      </c>
      <c r="B7" t="s">
        <v>9</v>
      </c>
      <c r="D7" t="s">
        <v>10</v>
      </c>
      <c r="F7">
        <v>31.01</v>
      </c>
      <c r="G7">
        <v>31.01</v>
      </c>
      <c r="H7">
        <v>0</v>
      </c>
    </row>
    <row r="8" spans="1:8" x14ac:dyDescent="0.35">
      <c r="A8" t="s">
        <v>17</v>
      </c>
      <c r="B8" t="s">
        <v>9</v>
      </c>
      <c r="D8" t="s">
        <v>10</v>
      </c>
      <c r="F8">
        <v>33.340000000000003</v>
      </c>
      <c r="G8">
        <v>33.340000000000003</v>
      </c>
      <c r="H8">
        <v>0</v>
      </c>
    </row>
    <row r="9" spans="1:8" x14ac:dyDescent="0.35">
      <c r="A9" t="s">
        <v>18</v>
      </c>
      <c r="B9" t="s">
        <v>9</v>
      </c>
      <c r="D9" t="s">
        <v>10</v>
      </c>
      <c r="F9">
        <v>31.64</v>
      </c>
      <c r="G9">
        <v>31.64</v>
      </c>
      <c r="H9">
        <v>0</v>
      </c>
    </row>
    <row r="10" spans="1:8" x14ac:dyDescent="0.35">
      <c r="A10" t="s">
        <v>19</v>
      </c>
      <c r="B10" t="s">
        <v>9</v>
      </c>
      <c r="D10" t="s">
        <v>10</v>
      </c>
      <c r="F10">
        <v>32.64</v>
      </c>
      <c r="G10">
        <v>32.64</v>
      </c>
      <c r="H10">
        <v>0</v>
      </c>
    </row>
    <row r="11" spans="1:8" x14ac:dyDescent="0.35">
      <c r="A11" t="s">
        <v>20</v>
      </c>
      <c r="B11" t="s">
        <v>9</v>
      </c>
      <c r="D11" t="s">
        <v>10</v>
      </c>
      <c r="F11">
        <v>26.57</v>
      </c>
      <c r="G11">
        <v>26.57</v>
      </c>
      <c r="H11">
        <v>0</v>
      </c>
    </row>
    <row r="12" spans="1:8" x14ac:dyDescent="0.35">
      <c r="A12" t="s">
        <v>21</v>
      </c>
      <c r="B12" t="s">
        <v>9</v>
      </c>
      <c r="D12" t="s">
        <v>10</v>
      </c>
      <c r="F12">
        <v>26.85</v>
      </c>
      <c r="G12">
        <v>26.85</v>
      </c>
      <c r="H12">
        <v>0</v>
      </c>
    </row>
    <row r="13" spans="1:8" x14ac:dyDescent="0.35">
      <c r="A13" t="s">
        <v>22</v>
      </c>
      <c r="B13" t="s">
        <v>9</v>
      </c>
      <c r="D13" t="s">
        <v>10</v>
      </c>
      <c r="F13">
        <v>27.87</v>
      </c>
      <c r="G13">
        <v>27.87</v>
      </c>
      <c r="H13">
        <v>0</v>
      </c>
    </row>
    <row r="14" spans="1:8" x14ac:dyDescent="0.35">
      <c r="A14" t="s">
        <v>23</v>
      </c>
      <c r="B14" t="s">
        <v>9</v>
      </c>
      <c r="D14" t="s">
        <v>10</v>
      </c>
      <c r="F14">
        <v>30.85</v>
      </c>
      <c r="G14">
        <v>30.85</v>
      </c>
      <c r="H14">
        <v>0</v>
      </c>
    </row>
    <row r="15" spans="1:8" x14ac:dyDescent="0.35">
      <c r="A15" t="s">
        <v>24</v>
      </c>
      <c r="B15" t="s">
        <v>9</v>
      </c>
      <c r="D15" t="s">
        <v>10</v>
      </c>
      <c r="F15">
        <v>28.16</v>
      </c>
      <c r="G15">
        <v>28.16</v>
      </c>
      <c r="H15">
        <v>0</v>
      </c>
    </row>
    <row r="16" spans="1:8" x14ac:dyDescent="0.35">
      <c r="A16" t="s">
        <v>25</v>
      </c>
      <c r="B16" t="s">
        <v>9</v>
      </c>
      <c r="D16" t="s">
        <v>10</v>
      </c>
      <c r="F16">
        <v>28.49</v>
      </c>
      <c r="G16">
        <v>28.49</v>
      </c>
      <c r="H16">
        <v>0</v>
      </c>
    </row>
    <row r="17" spans="1:8" x14ac:dyDescent="0.35">
      <c r="A17" t="s">
        <v>26</v>
      </c>
      <c r="B17" t="s">
        <v>9</v>
      </c>
      <c r="D17" t="s">
        <v>10</v>
      </c>
      <c r="F17">
        <v>28.73</v>
      </c>
      <c r="G17">
        <v>28.73</v>
      </c>
      <c r="H17">
        <v>0</v>
      </c>
    </row>
    <row r="18" spans="1:8" x14ac:dyDescent="0.35">
      <c r="A18" t="s">
        <v>27</v>
      </c>
      <c r="B18" t="s">
        <v>9</v>
      </c>
      <c r="D18" t="s">
        <v>10</v>
      </c>
      <c r="F18">
        <v>28.31</v>
      </c>
      <c r="G18">
        <v>28.31</v>
      </c>
      <c r="H18">
        <v>0</v>
      </c>
    </row>
    <row r="19" spans="1:8" x14ac:dyDescent="0.35">
      <c r="A19" t="s">
        <v>28</v>
      </c>
      <c r="B19" t="s">
        <v>9</v>
      </c>
      <c r="D19" t="s">
        <v>10</v>
      </c>
      <c r="F19">
        <v>28.6</v>
      </c>
      <c r="G19">
        <v>28.6</v>
      </c>
      <c r="H19">
        <v>0</v>
      </c>
    </row>
    <row r="20" spans="1:8" x14ac:dyDescent="0.35">
      <c r="A20" t="s">
        <v>29</v>
      </c>
      <c r="B20" t="s">
        <v>9</v>
      </c>
      <c r="D20" t="s">
        <v>10</v>
      </c>
      <c r="F20">
        <v>29.04</v>
      </c>
      <c r="G20">
        <v>29.04</v>
      </c>
      <c r="H20">
        <v>0</v>
      </c>
    </row>
    <row r="21" spans="1:8" x14ac:dyDescent="0.35">
      <c r="A21" t="s">
        <v>30</v>
      </c>
      <c r="B21" t="s">
        <v>9</v>
      </c>
      <c r="D21" t="s">
        <v>10</v>
      </c>
      <c r="F21">
        <v>28.79</v>
      </c>
      <c r="G21">
        <v>28.79</v>
      </c>
      <c r="H21">
        <v>0</v>
      </c>
    </row>
    <row r="22" spans="1:8" x14ac:dyDescent="0.35">
      <c r="A22" t="s">
        <v>31</v>
      </c>
      <c r="B22" t="s">
        <v>9</v>
      </c>
      <c r="D22" t="s">
        <v>10</v>
      </c>
      <c r="F22">
        <v>27.71</v>
      </c>
      <c r="G22">
        <v>27.71</v>
      </c>
      <c r="H22">
        <v>0</v>
      </c>
    </row>
    <row r="23" spans="1:8" x14ac:dyDescent="0.35">
      <c r="A23" t="s">
        <v>32</v>
      </c>
      <c r="B23" t="s">
        <v>9</v>
      </c>
      <c r="D23" t="s">
        <v>10</v>
      </c>
      <c r="F23">
        <v>23.44</v>
      </c>
      <c r="G23">
        <v>23.44</v>
      </c>
      <c r="H23">
        <v>0</v>
      </c>
    </row>
    <row r="24" spans="1:8" x14ac:dyDescent="0.35">
      <c r="A24" t="s">
        <v>33</v>
      </c>
      <c r="B24" t="s">
        <v>9</v>
      </c>
      <c r="D24" t="s">
        <v>10</v>
      </c>
      <c r="F24">
        <v>23.92</v>
      </c>
      <c r="G24">
        <v>23.92</v>
      </c>
      <c r="H24">
        <v>0</v>
      </c>
    </row>
    <row r="25" spans="1:8" x14ac:dyDescent="0.35">
      <c r="A25" t="s">
        <v>34</v>
      </c>
      <c r="B25" t="s">
        <v>9</v>
      </c>
      <c r="D25" t="s">
        <v>10</v>
      </c>
      <c r="F25">
        <v>23.76</v>
      </c>
      <c r="G25">
        <v>23.76</v>
      </c>
      <c r="H25">
        <v>0</v>
      </c>
    </row>
    <row r="26" spans="1:8" x14ac:dyDescent="0.35">
      <c r="A26" t="s">
        <v>35</v>
      </c>
      <c r="B26" t="s">
        <v>9</v>
      </c>
      <c r="D26" t="s">
        <v>10</v>
      </c>
      <c r="F26">
        <v>36.65</v>
      </c>
      <c r="G26">
        <v>36.65</v>
      </c>
      <c r="H26">
        <v>0</v>
      </c>
    </row>
    <row r="27" spans="1:8" x14ac:dyDescent="0.35">
      <c r="A27" t="s">
        <v>36</v>
      </c>
      <c r="B27" t="s">
        <v>9</v>
      </c>
      <c r="D27" t="s">
        <v>10</v>
      </c>
      <c r="F27">
        <v>39.01</v>
      </c>
      <c r="G27">
        <v>39.01</v>
      </c>
      <c r="H27">
        <v>0</v>
      </c>
    </row>
    <row r="28" spans="1:8" x14ac:dyDescent="0.35">
      <c r="A28" t="s">
        <v>37</v>
      </c>
      <c r="B28" t="s">
        <v>9</v>
      </c>
      <c r="D28" t="s">
        <v>10</v>
      </c>
      <c r="F28">
        <v>36.54</v>
      </c>
      <c r="G28">
        <v>36.54</v>
      </c>
      <c r="H28">
        <v>0</v>
      </c>
    </row>
    <row r="29" spans="1:8" x14ac:dyDescent="0.35">
      <c r="A29" t="s">
        <v>38</v>
      </c>
      <c r="B29" t="s">
        <v>9</v>
      </c>
      <c r="D29" t="s">
        <v>10</v>
      </c>
      <c r="F29">
        <v>37.1</v>
      </c>
      <c r="G29">
        <v>37.1</v>
      </c>
      <c r="H29">
        <v>0</v>
      </c>
    </row>
    <row r="30" spans="1:8" x14ac:dyDescent="0.35">
      <c r="A30" t="s">
        <v>39</v>
      </c>
      <c r="B30" t="s">
        <v>9</v>
      </c>
      <c r="D30" t="s">
        <v>10</v>
      </c>
      <c r="F30">
        <v>35.18</v>
      </c>
      <c r="G30">
        <v>35.18</v>
      </c>
      <c r="H30">
        <v>0</v>
      </c>
    </row>
    <row r="31" spans="1:8" x14ac:dyDescent="0.35">
      <c r="A31" t="s">
        <v>40</v>
      </c>
      <c r="B31" t="s">
        <v>9</v>
      </c>
      <c r="D31" t="s">
        <v>10</v>
      </c>
      <c r="F31">
        <v>35.97</v>
      </c>
      <c r="G31">
        <v>35.97</v>
      </c>
      <c r="H31">
        <v>0</v>
      </c>
    </row>
    <row r="32" spans="1:8" x14ac:dyDescent="0.35">
      <c r="A32" t="s">
        <v>41</v>
      </c>
      <c r="B32" t="s">
        <v>9</v>
      </c>
      <c r="D32" t="s">
        <v>10</v>
      </c>
      <c r="F32">
        <v>33.56</v>
      </c>
      <c r="G32">
        <v>33.56</v>
      </c>
      <c r="H32">
        <v>0</v>
      </c>
    </row>
    <row r="33" spans="1:8" x14ac:dyDescent="0.35">
      <c r="A33" t="s">
        <v>42</v>
      </c>
      <c r="B33" t="s">
        <v>9</v>
      </c>
      <c r="D33" t="s">
        <v>10</v>
      </c>
      <c r="F33">
        <v>31.65</v>
      </c>
      <c r="G33">
        <v>31.65</v>
      </c>
      <c r="H33">
        <v>0</v>
      </c>
    </row>
    <row r="34" spans="1:8" x14ac:dyDescent="0.35">
      <c r="A34" t="s">
        <v>43</v>
      </c>
      <c r="B34" t="s">
        <v>9</v>
      </c>
      <c r="D34" t="s">
        <v>10</v>
      </c>
      <c r="F34">
        <v>33.35</v>
      </c>
      <c r="G34">
        <v>33.35</v>
      </c>
      <c r="H34">
        <v>0</v>
      </c>
    </row>
    <row r="35" spans="1:8" x14ac:dyDescent="0.35">
      <c r="A35" t="s">
        <v>44</v>
      </c>
      <c r="B35" t="s">
        <v>9</v>
      </c>
      <c r="D35" t="s">
        <v>10</v>
      </c>
      <c r="F35">
        <v>29.9</v>
      </c>
      <c r="G35">
        <v>29.9</v>
      </c>
      <c r="H35">
        <v>0</v>
      </c>
    </row>
    <row r="36" spans="1:8" x14ac:dyDescent="0.35">
      <c r="A36" t="s">
        <v>45</v>
      </c>
      <c r="B36" t="s">
        <v>9</v>
      </c>
      <c r="D36" t="s">
        <v>10</v>
      </c>
      <c r="F36">
        <v>30.11</v>
      </c>
      <c r="G36">
        <v>30.11</v>
      </c>
      <c r="H36">
        <v>0</v>
      </c>
    </row>
    <row r="37" spans="1:8" x14ac:dyDescent="0.35">
      <c r="A37" t="s">
        <v>46</v>
      </c>
      <c r="B37" t="s">
        <v>9</v>
      </c>
      <c r="D37" t="s">
        <v>10</v>
      </c>
      <c r="F37">
        <v>31.53</v>
      </c>
      <c r="G37">
        <v>31.53</v>
      </c>
      <c r="H37">
        <v>0</v>
      </c>
    </row>
    <row r="38" spans="1:8" x14ac:dyDescent="0.35">
      <c r="A38" t="s">
        <v>47</v>
      </c>
      <c r="B38" t="s">
        <v>9</v>
      </c>
      <c r="D38" t="s">
        <v>10</v>
      </c>
      <c r="F38">
        <v>38.21</v>
      </c>
      <c r="G38">
        <v>38.21</v>
      </c>
      <c r="H38">
        <v>0</v>
      </c>
    </row>
    <row r="39" spans="1:8" x14ac:dyDescent="0.35">
      <c r="A39" t="s">
        <v>48</v>
      </c>
      <c r="B39" t="s">
        <v>9</v>
      </c>
      <c r="D39" t="s">
        <v>10</v>
      </c>
      <c r="F39">
        <v>36.53</v>
      </c>
      <c r="G39">
        <v>36.53</v>
      </c>
      <c r="H39">
        <v>0</v>
      </c>
    </row>
    <row r="40" spans="1:8" x14ac:dyDescent="0.35">
      <c r="A40" t="s">
        <v>49</v>
      </c>
      <c r="B40" t="s">
        <v>9</v>
      </c>
      <c r="D40" t="s">
        <v>10</v>
      </c>
      <c r="F40">
        <v>36.729999999999997</v>
      </c>
      <c r="G40">
        <v>36.729999999999997</v>
      </c>
      <c r="H40">
        <v>0</v>
      </c>
    </row>
    <row r="41" spans="1:8" x14ac:dyDescent="0.35">
      <c r="A41" t="s">
        <v>50</v>
      </c>
      <c r="B41" t="s">
        <v>9</v>
      </c>
      <c r="D41" t="s">
        <v>10</v>
      </c>
      <c r="F41">
        <v>36.53</v>
      </c>
      <c r="G41">
        <v>36.53</v>
      </c>
      <c r="H41">
        <v>0</v>
      </c>
    </row>
    <row r="42" spans="1:8" x14ac:dyDescent="0.35">
      <c r="A42" t="s">
        <v>51</v>
      </c>
      <c r="B42" t="s">
        <v>9</v>
      </c>
      <c r="D42" t="s">
        <v>10</v>
      </c>
      <c r="F42">
        <v>37</v>
      </c>
      <c r="G42">
        <v>37</v>
      </c>
      <c r="H42">
        <v>0</v>
      </c>
    </row>
    <row r="43" spans="1:8" x14ac:dyDescent="0.35">
      <c r="A43" t="s">
        <v>52</v>
      </c>
      <c r="B43" t="s">
        <v>9</v>
      </c>
      <c r="D43" t="s">
        <v>10</v>
      </c>
      <c r="F43">
        <v>37.07</v>
      </c>
      <c r="G43">
        <v>37.07</v>
      </c>
      <c r="H43">
        <v>0</v>
      </c>
    </row>
    <row r="44" spans="1:8" x14ac:dyDescent="0.35">
      <c r="A44" t="s">
        <v>53</v>
      </c>
      <c r="B44" t="s">
        <v>9</v>
      </c>
      <c r="D44" t="s">
        <v>10</v>
      </c>
      <c r="F44">
        <v>34.93</v>
      </c>
      <c r="G44">
        <v>34.93</v>
      </c>
      <c r="H44">
        <v>0</v>
      </c>
    </row>
    <row r="45" spans="1:8" x14ac:dyDescent="0.35">
      <c r="A45" t="s">
        <v>54</v>
      </c>
      <c r="B45" t="s">
        <v>9</v>
      </c>
      <c r="D45" t="s">
        <v>10</v>
      </c>
      <c r="F45">
        <v>35.46</v>
      </c>
      <c r="G45">
        <v>35.46</v>
      </c>
      <c r="H45">
        <v>0</v>
      </c>
    </row>
    <row r="46" spans="1:8" x14ac:dyDescent="0.35">
      <c r="A46" t="s">
        <v>55</v>
      </c>
      <c r="B46" t="s">
        <v>9</v>
      </c>
      <c r="D46" t="s">
        <v>10</v>
      </c>
      <c r="F46">
        <v>34.409999999999997</v>
      </c>
      <c r="G46">
        <v>34.409999999999997</v>
      </c>
      <c r="H46">
        <v>0</v>
      </c>
    </row>
    <row r="47" spans="1:8" x14ac:dyDescent="0.35">
      <c r="A47" t="s">
        <v>56</v>
      </c>
      <c r="B47" t="s">
        <v>9</v>
      </c>
      <c r="D47" t="s">
        <v>10</v>
      </c>
      <c r="F47">
        <v>33.090000000000003</v>
      </c>
      <c r="G47">
        <v>33.090000000000003</v>
      </c>
      <c r="H47">
        <v>0</v>
      </c>
    </row>
    <row r="48" spans="1:8" x14ac:dyDescent="0.35">
      <c r="A48" t="s">
        <v>57</v>
      </c>
      <c r="B48" t="s">
        <v>9</v>
      </c>
      <c r="D48" t="s">
        <v>10</v>
      </c>
      <c r="F48">
        <v>32.24</v>
      </c>
      <c r="G48">
        <v>32.24</v>
      </c>
      <c r="H48">
        <v>0</v>
      </c>
    </row>
    <row r="49" spans="1:8" x14ac:dyDescent="0.35">
      <c r="A49" t="s">
        <v>58</v>
      </c>
      <c r="B49" t="s">
        <v>9</v>
      </c>
      <c r="D49" t="s">
        <v>10</v>
      </c>
      <c r="F49">
        <v>32.5</v>
      </c>
      <c r="G49">
        <v>32.5</v>
      </c>
      <c r="H49">
        <v>0</v>
      </c>
    </row>
    <row r="50" spans="1:8" x14ac:dyDescent="0.35">
      <c r="A50" t="s">
        <v>59</v>
      </c>
      <c r="B50" t="s">
        <v>9</v>
      </c>
      <c r="D50" t="s">
        <v>10</v>
      </c>
      <c r="F50" t="s">
        <v>11</v>
      </c>
      <c r="G50">
        <v>0</v>
      </c>
      <c r="H50">
        <v>0</v>
      </c>
    </row>
    <row r="51" spans="1:8" x14ac:dyDescent="0.35">
      <c r="A51" t="s">
        <v>60</v>
      </c>
      <c r="B51" t="s">
        <v>9</v>
      </c>
      <c r="D51" t="s">
        <v>10</v>
      </c>
      <c r="F51">
        <v>39.950000000000003</v>
      </c>
      <c r="G51">
        <v>39.950000000000003</v>
      </c>
      <c r="H51">
        <v>0</v>
      </c>
    </row>
    <row r="52" spans="1:8" x14ac:dyDescent="0.35">
      <c r="A52" t="s">
        <v>61</v>
      </c>
      <c r="B52" t="s">
        <v>9</v>
      </c>
      <c r="D52" t="s">
        <v>10</v>
      </c>
      <c r="F52" t="s">
        <v>11</v>
      </c>
      <c r="G52">
        <v>0</v>
      </c>
      <c r="H52">
        <v>0</v>
      </c>
    </row>
    <row r="53" spans="1:8" x14ac:dyDescent="0.35">
      <c r="A53" t="s">
        <v>62</v>
      </c>
      <c r="B53" t="s">
        <v>9</v>
      </c>
      <c r="D53" t="s">
        <v>10</v>
      </c>
      <c r="F53" t="s">
        <v>11</v>
      </c>
      <c r="G53">
        <v>0</v>
      </c>
      <c r="H53">
        <v>0</v>
      </c>
    </row>
    <row r="54" spans="1:8" x14ac:dyDescent="0.35">
      <c r="A54" t="s">
        <v>63</v>
      </c>
      <c r="B54" t="s">
        <v>9</v>
      </c>
      <c r="D54" t="s">
        <v>10</v>
      </c>
      <c r="F54">
        <v>39.200000000000003</v>
      </c>
      <c r="G54">
        <v>39.200000000000003</v>
      </c>
      <c r="H54">
        <v>0</v>
      </c>
    </row>
    <row r="55" spans="1:8" x14ac:dyDescent="0.35">
      <c r="A55" t="s">
        <v>64</v>
      </c>
      <c r="B55" t="s">
        <v>9</v>
      </c>
      <c r="D55" t="s">
        <v>10</v>
      </c>
      <c r="F55">
        <v>39.72</v>
      </c>
      <c r="G55">
        <v>39.72</v>
      </c>
      <c r="H55">
        <v>0</v>
      </c>
    </row>
    <row r="56" spans="1:8" x14ac:dyDescent="0.35">
      <c r="A56" t="s">
        <v>65</v>
      </c>
      <c r="B56" t="s">
        <v>9</v>
      </c>
      <c r="D56" t="s">
        <v>10</v>
      </c>
      <c r="F56" t="s">
        <v>11</v>
      </c>
      <c r="G56">
        <v>0</v>
      </c>
      <c r="H56">
        <v>0</v>
      </c>
    </row>
    <row r="57" spans="1:8" x14ac:dyDescent="0.35">
      <c r="A57" t="s">
        <v>66</v>
      </c>
      <c r="B57" t="s">
        <v>9</v>
      </c>
      <c r="D57" t="s">
        <v>10</v>
      </c>
      <c r="F57">
        <v>35.68</v>
      </c>
      <c r="G57">
        <v>35.68</v>
      </c>
      <c r="H57">
        <v>0</v>
      </c>
    </row>
    <row r="58" spans="1:8" x14ac:dyDescent="0.35">
      <c r="A58" t="s">
        <v>67</v>
      </c>
      <c r="B58" t="s">
        <v>9</v>
      </c>
      <c r="D58" t="s">
        <v>10</v>
      </c>
      <c r="F58" t="s">
        <v>11</v>
      </c>
      <c r="G58">
        <v>0</v>
      </c>
      <c r="H58">
        <v>0</v>
      </c>
    </row>
    <row r="59" spans="1:8" x14ac:dyDescent="0.35">
      <c r="A59" t="s">
        <v>68</v>
      </c>
      <c r="B59" t="s">
        <v>9</v>
      </c>
      <c r="D59" t="s">
        <v>10</v>
      </c>
      <c r="F59" t="s">
        <v>11</v>
      </c>
      <c r="G59">
        <v>0</v>
      </c>
      <c r="H59">
        <v>0</v>
      </c>
    </row>
    <row r="60" spans="1:8" x14ac:dyDescent="0.35">
      <c r="A60" t="s">
        <v>69</v>
      </c>
      <c r="B60" t="s">
        <v>9</v>
      </c>
      <c r="D60" t="s">
        <v>10</v>
      </c>
      <c r="F60" t="s">
        <v>11</v>
      </c>
      <c r="G60">
        <v>0</v>
      </c>
      <c r="H60">
        <v>0</v>
      </c>
    </row>
    <row r="61" spans="1:8" x14ac:dyDescent="0.35">
      <c r="A61" t="s">
        <v>70</v>
      </c>
      <c r="B61" t="s">
        <v>9</v>
      </c>
      <c r="D61" t="s">
        <v>10</v>
      </c>
      <c r="F61">
        <v>38.83</v>
      </c>
      <c r="G61">
        <v>38.83</v>
      </c>
      <c r="H61">
        <v>0</v>
      </c>
    </row>
    <row r="62" spans="1:8" x14ac:dyDescent="0.35">
      <c r="A62" t="s">
        <v>71</v>
      </c>
      <c r="B62" t="s">
        <v>9</v>
      </c>
      <c r="D62" t="s">
        <v>10</v>
      </c>
      <c r="F62" t="s">
        <v>11</v>
      </c>
      <c r="G62">
        <v>0</v>
      </c>
      <c r="H62">
        <v>0</v>
      </c>
    </row>
    <row r="63" spans="1:8" x14ac:dyDescent="0.35">
      <c r="A63" t="s">
        <v>72</v>
      </c>
      <c r="B63" t="s">
        <v>9</v>
      </c>
      <c r="D63" t="s">
        <v>10</v>
      </c>
      <c r="F63" t="s">
        <v>11</v>
      </c>
      <c r="G63">
        <v>0</v>
      </c>
      <c r="H63">
        <v>0</v>
      </c>
    </row>
    <row r="64" spans="1:8" x14ac:dyDescent="0.35">
      <c r="A64" t="s">
        <v>73</v>
      </c>
      <c r="B64" t="s">
        <v>9</v>
      </c>
      <c r="D64" t="s">
        <v>10</v>
      </c>
      <c r="F64">
        <v>37.97</v>
      </c>
      <c r="G64">
        <v>37.97</v>
      </c>
      <c r="H64">
        <v>0</v>
      </c>
    </row>
    <row r="65" spans="1:8" x14ac:dyDescent="0.35">
      <c r="A65" t="s">
        <v>74</v>
      </c>
      <c r="B65" t="s">
        <v>9</v>
      </c>
      <c r="D65" t="s">
        <v>10</v>
      </c>
      <c r="F65">
        <v>36.86</v>
      </c>
      <c r="G65">
        <v>36.86</v>
      </c>
      <c r="H65">
        <v>0</v>
      </c>
    </row>
    <row r="66" spans="1:8" x14ac:dyDescent="0.35">
      <c r="A66" t="s">
        <v>75</v>
      </c>
      <c r="B66" t="s">
        <v>9</v>
      </c>
      <c r="D66" t="s">
        <v>10</v>
      </c>
      <c r="F66" t="s">
        <v>11</v>
      </c>
      <c r="G66">
        <v>0</v>
      </c>
      <c r="H66">
        <v>0</v>
      </c>
    </row>
    <row r="67" spans="1:8" x14ac:dyDescent="0.35">
      <c r="A67" t="s">
        <v>76</v>
      </c>
      <c r="B67" t="s">
        <v>9</v>
      </c>
      <c r="D67" t="s">
        <v>10</v>
      </c>
      <c r="F67" t="s">
        <v>11</v>
      </c>
      <c r="G67">
        <v>0</v>
      </c>
      <c r="H67">
        <v>0</v>
      </c>
    </row>
    <row r="68" spans="1:8" x14ac:dyDescent="0.35">
      <c r="A68" t="s">
        <v>77</v>
      </c>
      <c r="B68" t="s">
        <v>9</v>
      </c>
      <c r="D68" t="s">
        <v>10</v>
      </c>
      <c r="F68">
        <v>37.15</v>
      </c>
      <c r="G68">
        <v>37.15</v>
      </c>
      <c r="H68">
        <v>0</v>
      </c>
    </row>
    <row r="69" spans="1:8" x14ac:dyDescent="0.35">
      <c r="A69" t="s">
        <v>78</v>
      </c>
      <c r="B69" t="s">
        <v>9</v>
      </c>
      <c r="D69" t="s">
        <v>10</v>
      </c>
      <c r="F69" t="s">
        <v>11</v>
      </c>
      <c r="G69">
        <v>0</v>
      </c>
      <c r="H69">
        <v>0</v>
      </c>
    </row>
    <row r="70" spans="1:8" x14ac:dyDescent="0.35">
      <c r="A70" t="s">
        <v>79</v>
      </c>
      <c r="B70" t="s">
        <v>9</v>
      </c>
      <c r="D70" t="s">
        <v>10</v>
      </c>
      <c r="F70" t="s">
        <v>11</v>
      </c>
      <c r="G70">
        <v>0</v>
      </c>
      <c r="H70">
        <v>0</v>
      </c>
    </row>
    <row r="71" spans="1:8" x14ac:dyDescent="0.35">
      <c r="A71" t="s">
        <v>80</v>
      </c>
      <c r="B71" t="s">
        <v>9</v>
      </c>
      <c r="D71" t="s">
        <v>10</v>
      </c>
      <c r="F71" t="s">
        <v>11</v>
      </c>
      <c r="G71">
        <v>0</v>
      </c>
      <c r="H71">
        <v>0</v>
      </c>
    </row>
    <row r="72" spans="1:8" x14ac:dyDescent="0.35">
      <c r="A72" t="s">
        <v>81</v>
      </c>
      <c r="B72" t="s">
        <v>9</v>
      </c>
      <c r="D72" t="s">
        <v>10</v>
      </c>
      <c r="F72" t="s">
        <v>11</v>
      </c>
      <c r="G72">
        <v>0</v>
      </c>
      <c r="H72">
        <v>0</v>
      </c>
    </row>
    <row r="73" spans="1:8" x14ac:dyDescent="0.35">
      <c r="A73" t="s">
        <v>82</v>
      </c>
      <c r="B73" t="s">
        <v>9</v>
      </c>
      <c r="D73" t="s">
        <v>10</v>
      </c>
      <c r="F73" t="s">
        <v>11</v>
      </c>
      <c r="G73">
        <v>0</v>
      </c>
      <c r="H73">
        <v>0</v>
      </c>
    </row>
    <row r="74" spans="1:8" x14ac:dyDescent="0.35">
      <c r="A74" t="s">
        <v>83</v>
      </c>
      <c r="B74" t="s">
        <v>9</v>
      </c>
      <c r="D74" t="s">
        <v>10</v>
      </c>
      <c r="F74" t="s">
        <v>11</v>
      </c>
      <c r="G74">
        <v>0</v>
      </c>
      <c r="H74">
        <v>0</v>
      </c>
    </row>
    <row r="75" spans="1:8" x14ac:dyDescent="0.35">
      <c r="A75" t="s">
        <v>84</v>
      </c>
      <c r="B75" t="s">
        <v>9</v>
      </c>
      <c r="D75" t="s">
        <v>10</v>
      </c>
      <c r="F75" t="s">
        <v>11</v>
      </c>
      <c r="G75">
        <v>0</v>
      </c>
      <c r="H75">
        <v>0</v>
      </c>
    </row>
    <row r="76" spans="1:8" x14ac:dyDescent="0.35">
      <c r="A76" t="s">
        <v>85</v>
      </c>
      <c r="B76" t="s">
        <v>9</v>
      </c>
      <c r="D76" t="s">
        <v>10</v>
      </c>
      <c r="F76">
        <v>37.369999999999997</v>
      </c>
      <c r="G76">
        <v>37.369999999999997</v>
      </c>
      <c r="H76">
        <v>0</v>
      </c>
    </row>
    <row r="77" spans="1:8" x14ac:dyDescent="0.35">
      <c r="A77" t="s">
        <v>86</v>
      </c>
      <c r="B77" t="s">
        <v>9</v>
      </c>
      <c r="D77" t="s">
        <v>10</v>
      </c>
      <c r="F77" t="s">
        <v>11</v>
      </c>
      <c r="G77">
        <v>0</v>
      </c>
      <c r="H77">
        <v>0</v>
      </c>
    </row>
    <row r="78" spans="1:8" x14ac:dyDescent="0.35">
      <c r="A78" t="s">
        <v>87</v>
      </c>
      <c r="B78" t="s">
        <v>9</v>
      </c>
      <c r="D78" t="s">
        <v>10</v>
      </c>
      <c r="F78">
        <v>36.729999999999997</v>
      </c>
      <c r="G78">
        <v>36.729999999999997</v>
      </c>
      <c r="H78">
        <v>0</v>
      </c>
    </row>
    <row r="79" spans="1:8" x14ac:dyDescent="0.35">
      <c r="A79" t="s">
        <v>88</v>
      </c>
      <c r="B79" t="s">
        <v>9</v>
      </c>
      <c r="D79" t="s">
        <v>10</v>
      </c>
      <c r="F79">
        <v>38.15</v>
      </c>
      <c r="G79">
        <v>38.15</v>
      </c>
      <c r="H79">
        <v>0</v>
      </c>
    </row>
    <row r="80" spans="1:8" x14ac:dyDescent="0.35">
      <c r="A80" t="s">
        <v>89</v>
      </c>
      <c r="B80" t="s">
        <v>9</v>
      </c>
      <c r="D80" t="s">
        <v>10</v>
      </c>
      <c r="F80">
        <v>36.18</v>
      </c>
      <c r="G80">
        <v>36.18</v>
      </c>
      <c r="H80">
        <v>0</v>
      </c>
    </row>
    <row r="81" spans="1:8" x14ac:dyDescent="0.35">
      <c r="A81" t="s">
        <v>90</v>
      </c>
      <c r="B81" t="s">
        <v>9</v>
      </c>
      <c r="D81" t="s">
        <v>10</v>
      </c>
      <c r="F81">
        <v>34.979999999999997</v>
      </c>
      <c r="G81">
        <v>34.979999999999997</v>
      </c>
      <c r="H81">
        <v>0</v>
      </c>
    </row>
    <row r="82" spans="1:8" x14ac:dyDescent="0.35">
      <c r="A82" t="s">
        <v>91</v>
      </c>
      <c r="B82" t="s">
        <v>9</v>
      </c>
      <c r="D82" t="s">
        <v>10</v>
      </c>
      <c r="F82">
        <v>34.93</v>
      </c>
      <c r="G82">
        <v>34.93</v>
      </c>
      <c r="H82">
        <v>0</v>
      </c>
    </row>
    <row r="83" spans="1:8" x14ac:dyDescent="0.35">
      <c r="A83" t="s">
        <v>92</v>
      </c>
      <c r="B83" t="s">
        <v>9</v>
      </c>
      <c r="D83" t="s">
        <v>10</v>
      </c>
      <c r="F83">
        <v>33.869999999999997</v>
      </c>
      <c r="G83">
        <v>33.869999999999997</v>
      </c>
      <c r="H83">
        <v>0</v>
      </c>
    </row>
    <row r="84" spans="1:8" x14ac:dyDescent="0.35">
      <c r="A84" t="s">
        <v>93</v>
      </c>
      <c r="B84" t="s">
        <v>9</v>
      </c>
      <c r="D84" t="s">
        <v>10</v>
      </c>
      <c r="F84">
        <v>34.39</v>
      </c>
      <c r="G84">
        <v>34.39</v>
      </c>
      <c r="H84">
        <v>0</v>
      </c>
    </row>
    <row r="85" spans="1:8" x14ac:dyDescent="0.35">
      <c r="A85" t="s">
        <v>94</v>
      </c>
      <c r="B85" t="s">
        <v>9</v>
      </c>
      <c r="D85" t="s">
        <v>10</v>
      </c>
      <c r="F85">
        <v>35.200000000000003</v>
      </c>
      <c r="G85">
        <v>35.200000000000003</v>
      </c>
      <c r="H85">
        <v>0</v>
      </c>
    </row>
    <row r="86" spans="1:8" x14ac:dyDescent="0.35">
      <c r="A86" t="s">
        <v>95</v>
      </c>
      <c r="B86" t="s">
        <v>9</v>
      </c>
      <c r="D86" t="s">
        <v>10</v>
      </c>
      <c r="F86">
        <v>35.36</v>
      </c>
      <c r="G86">
        <v>35.36</v>
      </c>
      <c r="H86">
        <v>0</v>
      </c>
    </row>
    <row r="87" spans="1:8" x14ac:dyDescent="0.35">
      <c r="A87" t="s">
        <v>96</v>
      </c>
      <c r="B87" t="s">
        <v>9</v>
      </c>
      <c r="D87" t="s">
        <v>10</v>
      </c>
      <c r="F87">
        <v>33.32</v>
      </c>
      <c r="G87">
        <v>33.32</v>
      </c>
      <c r="H87">
        <v>0</v>
      </c>
    </row>
    <row r="88" spans="1:8" x14ac:dyDescent="0.35">
      <c r="A88" t="s">
        <v>97</v>
      </c>
      <c r="B88" t="s">
        <v>9</v>
      </c>
      <c r="D88" t="s">
        <v>10</v>
      </c>
      <c r="F88">
        <v>34.57</v>
      </c>
      <c r="G88">
        <v>34.57</v>
      </c>
      <c r="H88">
        <v>0</v>
      </c>
    </row>
    <row r="89" spans="1:8" x14ac:dyDescent="0.35">
      <c r="A89" t="s">
        <v>98</v>
      </c>
      <c r="B89" t="s">
        <v>9</v>
      </c>
      <c r="D89" t="s">
        <v>10</v>
      </c>
      <c r="F89">
        <v>35.17</v>
      </c>
      <c r="G89">
        <v>35.17</v>
      </c>
      <c r="H89">
        <v>0</v>
      </c>
    </row>
    <row r="90" spans="1:8" x14ac:dyDescent="0.35">
      <c r="A90" t="s">
        <v>99</v>
      </c>
      <c r="B90" t="s">
        <v>9</v>
      </c>
      <c r="D90" t="s">
        <v>10</v>
      </c>
      <c r="F90">
        <v>34.18</v>
      </c>
      <c r="G90">
        <v>34.18</v>
      </c>
      <c r="H90">
        <v>0</v>
      </c>
    </row>
    <row r="91" spans="1:8" x14ac:dyDescent="0.35">
      <c r="A91" t="s">
        <v>100</v>
      </c>
      <c r="B91" t="s">
        <v>9</v>
      </c>
      <c r="D91" t="s">
        <v>10</v>
      </c>
      <c r="F91">
        <v>33.51</v>
      </c>
      <c r="G91">
        <v>33.51</v>
      </c>
      <c r="H91">
        <v>0</v>
      </c>
    </row>
    <row r="92" spans="1:8" x14ac:dyDescent="0.35">
      <c r="A92" t="s">
        <v>101</v>
      </c>
      <c r="B92" t="s">
        <v>9</v>
      </c>
      <c r="D92" t="s">
        <v>10</v>
      </c>
      <c r="F92">
        <v>33.72</v>
      </c>
      <c r="G92">
        <v>33.72</v>
      </c>
      <c r="H92">
        <v>0</v>
      </c>
    </row>
    <row r="93" spans="1:8" x14ac:dyDescent="0.35">
      <c r="A93" t="s">
        <v>102</v>
      </c>
      <c r="B93" t="s">
        <v>9</v>
      </c>
      <c r="D93" t="s">
        <v>10</v>
      </c>
      <c r="F93">
        <v>34.119999999999997</v>
      </c>
      <c r="G93">
        <v>34.119999999999997</v>
      </c>
      <c r="H93">
        <v>0</v>
      </c>
    </row>
    <row r="94" spans="1:8" x14ac:dyDescent="0.35">
      <c r="A94" t="s">
        <v>103</v>
      </c>
      <c r="B94" t="s">
        <v>9</v>
      </c>
      <c r="D94" t="s">
        <v>10</v>
      </c>
      <c r="F94">
        <v>32.770000000000003</v>
      </c>
      <c r="G94">
        <v>32.770000000000003</v>
      </c>
      <c r="H94">
        <v>0</v>
      </c>
    </row>
    <row r="95" spans="1:8" x14ac:dyDescent="0.35">
      <c r="A95" t="s">
        <v>104</v>
      </c>
      <c r="B95" t="s">
        <v>9</v>
      </c>
      <c r="D95" t="s">
        <v>10</v>
      </c>
      <c r="F95">
        <v>33.020000000000003</v>
      </c>
      <c r="G95">
        <v>33.020000000000003</v>
      </c>
      <c r="H95">
        <v>0</v>
      </c>
    </row>
    <row r="96" spans="1:8" x14ac:dyDescent="0.35">
      <c r="A96" t="s">
        <v>105</v>
      </c>
      <c r="B96" t="s">
        <v>9</v>
      </c>
      <c r="D96" t="s">
        <v>10</v>
      </c>
      <c r="F96">
        <v>32.92</v>
      </c>
      <c r="G96">
        <v>32.92</v>
      </c>
      <c r="H96">
        <v>0</v>
      </c>
    </row>
    <row r="97" spans="1:8" x14ac:dyDescent="0.35">
      <c r="A97" t="s">
        <v>106</v>
      </c>
      <c r="B97" t="s">
        <v>9</v>
      </c>
      <c r="D97" t="s">
        <v>10</v>
      </c>
      <c r="F97">
        <v>33</v>
      </c>
      <c r="G97">
        <v>33</v>
      </c>
      <c r="H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8F8C-2C8E-45E5-9340-31DE96386217}">
  <dimension ref="A1:H97"/>
  <sheetViews>
    <sheetView topLeftCell="A74" workbookViewId="0">
      <selection activeCell="F74" sqref="F74:F97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D2" t="s">
        <v>10</v>
      </c>
      <c r="F2">
        <v>33.4</v>
      </c>
      <c r="G2">
        <v>33.4</v>
      </c>
      <c r="H2">
        <v>0</v>
      </c>
    </row>
    <row r="3" spans="1:8" x14ac:dyDescent="0.35">
      <c r="A3" t="s">
        <v>12</v>
      </c>
      <c r="B3" t="s">
        <v>9</v>
      </c>
      <c r="D3" t="s">
        <v>10</v>
      </c>
      <c r="F3">
        <v>34.07</v>
      </c>
      <c r="G3">
        <v>34.07</v>
      </c>
      <c r="H3">
        <v>0</v>
      </c>
    </row>
    <row r="4" spans="1:8" x14ac:dyDescent="0.35">
      <c r="A4" t="s">
        <v>13</v>
      </c>
      <c r="B4" t="s">
        <v>9</v>
      </c>
      <c r="D4" t="s">
        <v>10</v>
      </c>
      <c r="F4">
        <v>33.369999999999997</v>
      </c>
      <c r="G4">
        <v>33.369999999999997</v>
      </c>
      <c r="H4">
        <v>0</v>
      </c>
    </row>
    <row r="5" spans="1:8" x14ac:dyDescent="0.35">
      <c r="A5" t="s">
        <v>14</v>
      </c>
      <c r="B5" t="s">
        <v>9</v>
      </c>
      <c r="D5" t="s">
        <v>10</v>
      </c>
      <c r="F5">
        <v>32.909999999999997</v>
      </c>
      <c r="G5">
        <v>32.909999999999997</v>
      </c>
      <c r="H5">
        <v>0</v>
      </c>
    </row>
    <row r="6" spans="1:8" x14ac:dyDescent="0.35">
      <c r="A6" t="s">
        <v>15</v>
      </c>
      <c r="B6" t="s">
        <v>9</v>
      </c>
      <c r="D6" t="s">
        <v>10</v>
      </c>
      <c r="F6">
        <v>33.229999999999997</v>
      </c>
      <c r="G6">
        <v>33.229999999999997</v>
      </c>
      <c r="H6">
        <v>0</v>
      </c>
    </row>
    <row r="7" spans="1:8" x14ac:dyDescent="0.35">
      <c r="A7" t="s">
        <v>16</v>
      </c>
      <c r="B7" t="s">
        <v>9</v>
      </c>
      <c r="D7" t="s">
        <v>10</v>
      </c>
      <c r="F7">
        <v>32.950000000000003</v>
      </c>
      <c r="G7">
        <v>32.950000000000003</v>
      </c>
      <c r="H7">
        <v>0</v>
      </c>
    </row>
    <row r="8" spans="1:8" x14ac:dyDescent="0.35">
      <c r="A8" t="s">
        <v>17</v>
      </c>
      <c r="B8" t="s">
        <v>9</v>
      </c>
      <c r="D8" t="s">
        <v>10</v>
      </c>
      <c r="F8">
        <v>30.24</v>
      </c>
      <c r="G8">
        <v>30.24</v>
      </c>
      <c r="H8">
        <v>0</v>
      </c>
    </row>
    <row r="9" spans="1:8" x14ac:dyDescent="0.35">
      <c r="A9" t="s">
        <v>18</v>
      </c>
      <c r="B9" t="s">
        <v>9</v>
      </c>
      <c r="D9" t="s">
        <v>10</v>
      </c>
      <c r="F9">
        <v>29.06</v>
      </c>
      <c r="G9">
        <v>29.06</v>
      </c>
      <c r="H9">
        <v>0</v>
      </c>
    </row>
    <row r="10" spans="1:8" x14ac:dyDescent="0.35">
      <c r="A10" t="s">
        <v>19</v>
      </c>
      <c r="B10" t="s">
        <v>9</v>
      </c>
      <c r="D10" t="s">
        <v>10</v>
      </c>
      <c r="F10">
        <v>29.36</v>
      </c>
      <c r="G10">
        <v>29.36</v>
      </c>
      <c r="H10">
        <v>0</v>
      </c>
    </row>
    <row r="11" spans="1:8" x14ac:dyDescent="0.35">
      <c r="A11" t="s">
        <v>20</v>
      </c>
      <c r="B11" t="s">
        <v>9</v>
      </c>
      <c r="D11" t="s">
        <v>10</v>
      </c>
      <c r="F11">
        <v>26.87</v>
      </c>
      <c r="G11">
        <v>26.87</v>
      </c>
      <c r="H11">
        <v>0</v>
      </c>
    </row>
    <row r="12" spans="1:8" x14ac:dyDescent="0.35">
      <c r="A12" t="s">
        <v>21</v>
      </c>
      <c r="B12" t="s">
        <v>9</v>
      </c>
      <c r="D12" t="s">
        <v>10</v>
      </c>
      <c r="F12">
        <v>27.04</v>
      </c>
      <c r="G12">
        <v>27.04</v>
      </c>
      <c r="H12">
        <v>0</v>
      </c>
    </row>
    <row r="13" spans="1:8" x14ac:dyDescent="0.35">
      <c r="A13" t="s">
        <v>22</v>
      </c>
      <c r="B13" t="s">
        <v>9</v>
      </c>
      <c r="D13" t="s">
        <v>10</v>
      </c>
      <c r="F13">
        <v>28.28</v>
      </c>
      <c r="G13">
        <v>28.28</v>
      </c>
      <c r="H13">
        <v>0</v>
      </c>
    </row>
    <row r="14" spans="1:8" x14ac:dyDescent="0.35">
      <c r="A14" t="s">
        <v>23</v>
      </c>
      <c r="B14" t="s">
        <v>9</v>
      </c>
      <c r="D14" t="s">
        <v>10</v>
      </c>
      <c r="F14">
        <v>35.78</v>
      </c>
      <c r="G14">
        <v>35.78</v>
      </c>
      <c r="H14">
        <v>0</v>
      </c>
    </row>
    <row r="15" spans="1:8" x14ac:dyDescent="0.35">
      <c r="A15" t="s">
        <v>24</v>
      </c>
      <c r="B15" t="s">
        <v>9</v>
      </c>
      <c r="D15" t="s">
        <v>10</v>
      </c>
      <c r="F15">
        <v>34.33</v>
      </c>
      <c r="G15">
        <v>34.33</v>
      </c>
      <c r="H15">
        <v>0</v>
      </c>
    </row>
    <row r="16" spans="1:8" x14ac:dyDescent="0.35">
      <c r="A16" t="s">
        <v>25</v>
      </c>
      <c r="B16" t="s">
        <v>9</v>
      </c>
      <c r="D16" t="s">
        <v>10</v>
      </c>
      <c r="F16">
        <v>36.1</v>
      </c>
      <c r="G16">
        <v>36.1</v>
      </c>
      <c r="H16">
        <v>0</v>
      </c>
    </row>
    <row r="17" spans="1:8" x14ac:dyDescent="0.35">
      <c r="A17" t="s">
        <v>26</v>
      </c>
      <c r="B17" t="s">
        <v>9</v>
      </c>
      <c r="D17" t="s">
        <v>10</v>
      </c>
      <c r="F17">
        <v>34.53</v>
      </c>
      <c r="G17">
        <v>34.53</v>
      </c>
      <c r="H17">
        <v>0</v>
      </c>
    </row>
    <row r="18" spans="1:8" x14ac:dyDescent="0.35">
      <c r="A18" t="s">
        <v>27</v>
      </c>
      <c r="B18" t="s">
        <v>9</v>
      </c>
      <c r="D18" t="s">
        <v>10</v>
      </c>
      <c r="F18">
        <v>33.67</v>
      </c>
      <c r="G18">
        <v>33.67</v>
      </c>
      <c r="H18">
        <v>0</v>
      </c>
    </row>
    <row r="19" spans="1:8" x14ac:dyDescent="0.35">
      <c r="A19" t="s">
        <v>28</v>
      </c>
      <c r="B19" t="s">
        <v>9</v>
      </c>
      <c r="D19" t="s">
        <v>10</v>
      </c>
      <c r="F19">
        <v>33.880000000000003</v>
      </c>
      <c r="G19">
        <v>33.880000000000003</v>
      </c>
      <c r="H19">
        <v>0</v>
      </c>
    </row>
    <row r="20" spans="1:8" x14ac:dyDescent="0.35">
      <c r="A20" t="s">
        <v>29</v>
      </c>
      <c r="B20" t="s">
        <v>9</v>
      </c>
      <c r="D20" t="s">
        <v>10</v>
      </c>
      <c r="F20">
        <v>36.520000000000003</v>
      </c>
      <c r="G20">
        <v>36.520000000000003</v>
      </c>
      <c r="H20">
        <v>0</v>
      </c>
    </row>
    <row r="21" spans="1:8" x14ac:dyDescent="0.35">
      <c r="A21" t="s">
        <v>30</v>
      </c>
      <c r="B21" t="s">
        <v>9</v>
      </c>
      <c r="D21" t="s">
        <v>10</v>
      </c>
      <c r="F21">
        <v>35.94</v>
      </c>
      <c r="G21">
        <v>35.94</v>
      </c>
      <c r="H21">
        <v>0</v>
      </c>
    </row>
    <row r="22" spans="1:8" x14ac:dyDescent="0.35">
      <c r="A22" t="s">
        <v>31</v>
      </c>
      <c r="B22" t="s">
        <v>9</v>
      </c>
      <c r="D22" t="s">
        <v>10</v>
      </c>
      <c r="F22">
        <v>36.21</v>
      </c>
      <c r="G22">
        <v>36.21</v>
      </c>
      <c r="H22">
        <v>0</v>
      </c>
    </row>
    <row r="23" spans="1:8" x14ac:dyDescent="0.35">
      <c r="A23" t="s">
        <v>32</v>
      </c>
      <c r="B23" t="s">
        <v>9</v>
      </c>
      <c r="D23" t="s">
        <v>10</v>
      </c>
      <c r="F23">
        <v>34.020000000000003</v>
      </c>
      <c r="G23">
        <v>34.020000000000003</v>
      </c>
      <c r="H23">
        <v>0</v>
      </c>
    </row>
    <row r="24" spans="1:8" x14ac:dyDescent="0.35">
      <c r="A24" t="s">
        <v>33</v>
      </c>
      <c r="B24" t="s">
        <v>9</v>
      </c>
      <c r="D24" t="s">
        <v>10</v>
      </c>
      <c r="F24">
        <v>33.619999999999997</v>
      </c>
      <c r="G24">
        <v>33.619999999999997</v>
      </c>
      <c r="H24">
        <v>0</v>
      </c>
    </row>
    <row r="25" spans="1:8" x14ac:dyDescent="0.35">
      <c r="A25" t="s">
        <v>34</v>
      </c>
      <c r="B25" t="s">
        <v>9</v>
      </c>
      <c r="D25" t="s">
        <v>10</v>
      </c>
      <c r="F25">
        <v>35.270000000000003</v>
      </c>
      <c r="G25">
        <v>35.270000000000003</v>
      </c>
      <c r="H25">
        <v>0</v>
      </c>
    </row>
    <row r="26" spans="1:8" x14ac:dyDescent="0.35">
      <c r="A26" t="s">
        <v>35</v>
      </c>
      <c r="B26" t="s">
        <v>9</v>
      </c>
      <c r="D26" t="s">
        <v>10</v>
      </c>
      <c r="F26">
        <v>30.02</v>
      </c>
      <c r="G26">
        <v>30.02</v>
      </c>
      <c r="H26">
        <v>0</v>
      </c>
    </row>
    <row r="27" spans="1:8" x14ac:dyDescent="0.35">
      <c r="A27" t="s">
        <v>36</v>
      </c>
      <c r="B27" t="s">
        <v>9</v>
      </c>
      <c r="D27" t="s">
        <v>10</v>
      </c>
      <c r="F27">
        <v>30.02</v>
      </c>
      <c r="G27">
        <v>30.02</v>
      </c>
      <c r="H27">
        <v>0</v>
      </c>
    </row>
    <row r="28" spans="1:8" x14ac:dyDescent="0.35">
      <c r="A28" t="s">
        <v>37</v>
      </c>
      <c r="B28" t="s">
        <v>9</v>
      </c>
      <c r="D28" t="s">
        <v>10</v>
      </c>
      <c r="F28">
        <v>29.81</v>
      </c>
      <c r="G28">
        <v>29.81</v>
      </c>
      <c r="H28">
        <v>0</v>
      </c>
    </row>
    <row r="29" spans="1:8" x14ac:dyDescent="0.35">
      <c r="A29" t="s">
        <v>38</v>
      </c>
      <c r="B29" t="s">
        <v>9</v>
      </c>
      <c r="D29" t="s">
        <v>10</v>
      </c>
      <c r="F29">
        <v>30</v>
      </c>
      <c r="G29">
        <v>30</v>
      </c>
      <c r="H29">
        <v>0</v>
      </c>
    </row>
    <row r="30" spans="1:8" x14ac:dyDescent="0.35">
      <c r="A30" t="s">
        <v>39</v>
      </c>
      <c r="B30" t="s">
        <v>9</v>
      </c>
      <c r="D30" t="s">
        <v>10</v>
      </c>
      <c r="F30">
        <v>29.07</v>
      </c>
      <c r="G30">
        <v>29.07</v>
      </c>
      <c r="H30">
        <v>0</v>
      </c>
    </row>
    <row r="31" spans="1:8" x14ac:dyDescent="0.35">
      <c r="A31" t="s">
        <v>40</v>
      </c>
      <c r="B31" t="s">
        <v>9</v>
      </c>
      <c r="D31" t="s">
        <v>10</v>
      </c>
      <c r="F31">
        <v>28.69</v>
      </c>
      <c r="G31">
        <v>28.69</v>
      </c>
      <c r="H31">
        <v>0</v>
      </c>
    </row>
    <row r="32" spans="1:8" x14ac:dyDescent="0.35">
      <c r="A32" t="s">
        <v>41</v>
      </c>
      <c r="B32" t="s">
        <v>9</v>
      </c>
      <c r="D32" t="s">
        <v>10</v>
      </c>
      <c r="F32">
        <v>33.04</v>
      </c>
      <c r="G32">
        <v>33.04</v>
      </c>
      <c r="H32">
        <v>0</v>
      </c>
    </row>
    <row r="33" spans="1:8" x14ac:dyDescent="0.35">
      <c r="A33" t="s">
        <v>42</v>
      </c>
      <c r="B33" t="s">
        <v>9</v>
      </c>
      <c r="D33" t="s">
        <v>10</v>
      </c>
      <c r="F33">
        <v>31.4</v>
      </c>
      <c r="G33">
        <v>31.4</v>
      </c>
      <c r="H33">
        <v>0</v>
      </c>
    </row>
    <row r="34" spans="1:8" x14ac:dyDescent="0.35">
      <c r="A34" t="s">
        <v>43</v>
      </c>
      <c r="B34" t="s">
        <v>9</v>
      </c>
      <c r="D34" t="s">
        <v>10</v>
      </c>
      <c r="F34">
        <v>32.58</v>
      </c>
      <c r="G34">
        <v>32.58</v>
      </c>
      <c r="H34">
        <v>0</v>
      </c>
    </row>
    <row r="35" spans="1:8" x14ac:dyDescent="0.35">
      <c r="A35" t="s">
        <v>44</v>
      </c>
      <c r="B35" t="s">
        <v>9</v>
      </c>
      <c r="D35" t="s">
        <v>10</v>
      </c>
      <c r="F35">
        <v>24.24</v>
      </c>
      <c r="G35">
        <v>24.24</v>
      </c>
      <c r="H35">
        <v>0</v>
      </c>
    </row>
    <row r="36" spans="1:8" x14ac:dyDescent="0.35">
      <c r="A36" t="s">
        <v>45</v>
      </c>
      <c r="B36" t="s">
        <v>9</v>
      </c>
      <c r="D36" t="s">
        <v>10</v>
      </c>
      <c r="F36">
        <v>24.89</v>
      </c>
      <c r="G36">
        <v>24.89</v>
      </c>
      <c r="H36">
        <v>0</v>
      </c>
    </row>
    <row r="37" spans="1:8" x14ac:dyDescent="0.35">
      <c r="A37" t="s">
        <v>46</v>
      </c>
      <c r="B37" t="s">
        <v>9</v>
      </c>
      <c r="D37" t="s">
        <v>10</v>
      </c>
      <c r="F37">
        <v>25.39</v>
      </c>
      <c r="G37">
        <v>25.39</v>
      </c>
      <c r="H37">
        <v>0</v>
      </c>
    </row>
    <row r="38" spans="1:8" x14ac:dyDescent="0.35">
      <c r="A38" t="s">
        <v>47</v>
      </c>
      <c r="B38" t="s">
        <v>9</v>
      </c>
      <c r="D38" t="s">
        <v>10</v>
      </c>
      <c r="F38">
        <v>34.71</v>
      </c>
      <c r="G38">
        <v>34.71</v>
      </c>
      <c r="H38">
        <v>0</v>
      </c>
    </row>
    <row r="39" spans="1:8" x14ac:dyDescent="0.35">
      <c r="A39" t="s">
        <v>48</v>
      </c>
      <c r="B39" t="s">
        <v>9</v>
      </c>
      <c r="D39" t="s">
        <v>10</v>
      </c>
      <c r="F39">
        <v>32.72</v>
      </c>
      <c r="G39">
        <v>32.72</v>
      </c>
      <c r="H39">
        <v>0</v>
      </c>
    </row>
    <row r="40" spans="1:8" x14ac:dyDescent="0.35">
      <c r="A40" t="s">
        <v>49</v>
      </c>
      <c r="B40" t="s">
        <v>9</v>
      </c>
      <c r="D40" t="s">
        <v>10</v>
      </c>
      <c r="F40">
        <v>33.78</v>
      </c>
      <c r="G40">
        <v>33.78</v>
      </c>
      <c r="H40">
        <v>0</v>
      </c>
    </row>
    <row r="41" spans="1:8" x14ac:dyDescent="0.35">
      <c r="A41" t="s">
        <v>50</v>
      </c>
      <c r="B41" t="s">
        <v>9</v>
      </c>
      <c r="D41" t="s">
        <v>10</v>
      </c>
      <c r="F41">
        <v>32.630000000000003</v>
      </c>
      <c r="G41">
        <v>32.630000000000003</v>
      </c>
      <c r="H41">
        <v>0</v>
      </c>
    </row>
    <row r="42" spans="1:8" x14ac:dyDescent="0.35">
      <c r="A42" t="s">
        <v>51</v>
      </c>
      <c r="B42" t="s">
        <v>9</v>
      </c>
      <c r="D42" t="s">
        <v>10</v>
      </c>
      <c r="F42">
        <v>32.08</v>
      </c>
      <c r="G42">
        <v>32.08</v>
      </c>
      <c r="H42">
        <v>0</v>
      </c>
    </row>
    <row r="43" spans="1:8" x14ac:dyDescent="0.35">
      <c r="A43" t="s">
        <v>52</v>
      </c>
      <c r="B43" t="s">
        <v>9</v>
      </c>
      <c r="D43" t="s">
        <v>10</v>
      </c>
      <c r="F43">
        <v>31.7</v>
      </c>
      <c r="G43">
        <v>31.7</v>
      </c>
      <c r="H43">
        <v>0</v>
      </c>
    </row>
    <row r="44" spans="1:8" x14ac:dyDescent="0.35">
      <c r="A44" t="s">
        <v>53</v>
      </c>
      <c r="B44" t="s">
        <v>9</v>
      </c>
      <c r="D44" t="s">
        <v>10</v>
      </c>
      <c r="F44">
        <v>36.15</v>
      </c>
      <c r="G44">
        <v>36.15</v>
      </c>
      <c r="H44">
        <v>0</v>
      </c>
    </row>
    <row r="45" spans="1:8" x14ac:dyDescent="0.35">
      <c r="A45" t="s">
        <v>54</v>
      </c>
      <c r="B45" t="s">
        <v>9</v>
      </c>
      <c r="D45" t="s">
        <v>10</v>
      </c>
      <c r="F45">
        <v>37.4</v>
      </c>
      <c r="G45">
        <v>37.4</v>
      </c>
      <c r="H45">
        <v>0</v>
      </c>
    </row>
    <row r="46" spans="1:8" x14ac:dyDescent="0.35">
      <c r="A46" t="s">
        <v>55</v>
      </c>
      <c r="B46" t="s">
        <v>9</v>
      </c>
      <c r="D46" t="s">
        <v>10</v>
      </c>
      <c r="F46">
        <v>36.9</v>
      </c>
      <c r="G46">
        <v>36.9</v>
      </c>
      <c r="H46">
        <v>0</v>
      </c>
    </row>
    <row r="47" spans="1:8" x14ac:dyDescent="0.35">
      <c r="A47" t="s">
        <v>56</v>
      </c>
      <c r="B47" t="s">
        <v>9</v>
      </c>
      <c r="D47" t="s">
        <v>10</v>
      </c>
      <c r="F47">
        <v>24.36</v>
      </c>
      <c r="G47">
        <v>24.36</v>
      </c>
      <c r="H47">
        <v>0</v>
      </c>
    </row>
    <row r="48" spans="1:8" x14ac:dyDescent="0.35">
      <c r="A48" t="s">
        <v>57</v>
      </c>
      <c r="B48" t="s">
        <v>9</v>
      </c>
      <c r="D48" t="s">
        <v>10</v>
      </c>
      <c r="F48">
        <v>23.84</v>
      </c>
      <c r="G48">
        <v>23.84</v>
      </c>
      <c r="H48">
        <v>0</v>
      </c>
    </row>
    <row r="49" spans="1:8" x14ac:dyDescent="0.35">
      <c r="A49" t="s">
        <v>58</v>
      </c>
      <c r="B49" t="s">
        <v>9</v>
      </c>
      <c r="D49" t="s">
        <v>10</v>
      </c>
      <c r="F49">
        <v>23.86</v>
      </c>
      <c r="G49">
        <v>23.86</v>
      </c>
      <c r="H49">
        <v>0</v>
      </c>
    </row>
    <row r="50" spans="1:8" x14ac:dyDescent="0.35">
      <c r="A50" t="s">
        <v>59</v>
      </c>
      <c r="B50" t="s">
        <v>9</v>
      </c>
      <c r="D50" t="s">
        <v>10</v>
      </c>
      <c r="F50">
        <v>38.74</v>
      </c>
      <c r="G50">
        <v>38.74</v>
      </c>
      <c r="H50">
        <v>0</v>
      </c>
    </row>
    <row r="51" spans="1:8" x14ac:dyDescent="0.35">
      <c r="A51" t="s">
        <v>60</v>
      </c>
      <c r="B51" t="s">
        <v>9</v>
      </c>
      <c r="D51" t="s">
        <v>10</v>
      </c>
      <c r="F51">
        <v>38.549999999999997</v>
      </c>
      <c r="G51">
        <v>38.549999999999997</v>
      </c>
      <c r="H51">
        <v>0</v>
      </c>
    </row>
    <row r="52" spans="1:8" x14ac:dyDescent="0.35">
      <c r="A52" t="s">
        <v>61</v>
      </c>
      <c r="B52" t="s">
        <v>9</v>
      </c>
      <c r="D52" t="s">
        <v>10</v>
      </c>
      <c r="F52">
        <v>37.409999999999997</v>
      </c>
      <c r="G52">
        <v>37.409999999999997</v>
      </c>
      <c r="H52">
        <v>0</v>
      </c>
    </row>
    <row r="53" spans="1:8" x14ac:dyDescent="0.35">
      <c r="A53" t="s">
        <v>62</v>
      </c>
      <c r="B53" t="s">
        <v>9</v>
      </c>
      <c r="D53" t="s">
        <v>10</v>
      </c>
      <c r="F53">
        <v>38.4</v>
      </c>
      <c r="G53">
        <v>38.4</v>
      </c>
      <c r="H53">
        <v>0</v>
      </c>
    </row>
    <row r="54" spans="1:8" x14ac:dyDescent="0.35">
      <c r="A54" t="s">
        <v>63</v>
      </c>
      <c r="B54" t="s">
        <v>9</v>
      </c>
      <c r="D54" t="s">
        <v>10</v>
      </c>
      <c r="F54">
        <v>37.47</v>
      </c>
      <c r="G54">
        <v>37.47</v>
      </c>
      <c r="H54">
        <v>0</v>
      </c>
    </row>
    <row r="55" spans="1:8" x14ac:dyDescent="0.35">
      <c r="A55" t="s">
        <v>64</v>
      </c>
      <c r="B55" t="s">
        <v>9</v>
      </c>
      <c r="D55" t="s">
        <v>10</v>
      </c>
      <c r="F55" t="s">
        <v>11</v>
      </c>
      <c r="G55">
        <v>0</v>
      </c>
      <c r="H55">
        <v>0</v>
      </c>
    </row>
    <row r="56" spans="1:8" x14ac:dyDescent="0.35">
      <c r="A56" t="s">
        <v>65</v>
      </c>
      <c r="B56" t="s">
        <v>9</v>
      </c>
      <c r="D56" t="s">
        <v>10</v>
      </c>
      <c r="F56">
        <v>33.840000000000003</v>
      </c>
      <c r="G56">
        <v>33.840000000000003</v>
      </c>
      <c r="H56">
        <v>0</v>
      </c>
    </row>
    <row r="57" spans="1:8" x14ac:dyDescent="0.35">
      <c r="A57" t="s">
        <v>66</v>
      </c>
      <c r="B57" t="s">
        <v>9</v>
      </c>
      <c r="D57" t="s">
        <v>10</v>
      </c>
      <c r="F57">
        <v>32.03</v>
      </c>
      <c r="G57">
        <v>32.03</v>
      </c>
      <c r="H57">
        <v>0</v>
      </c>
    </row>
    <row r="58" spans="1:8" x14ac:dyDescent="0.35">
      <c r="A58" t="s">
        <v>67</v>
      </c>
      <c r="B58" t="s">
        <v>9</v>
      </c>
      <c r="D58" t="s">
        <v>10</v>
      </c>
      <c r="F58">
        <v>33.28</v>
      </c>
      <c r="G58">
        <v>33.28</v>
      </c>
      <c r="H58">
        <v>0</v>
      </c>
    </row>
    <row r="59" spans="1:8" x14ac:dyDescent="0.35">
      <c r="A59" t="s">
        <v>68</v>
      </c>
      <c r="B59" t="s">
        <v>9</v>
      </c>
      <c r="D59" t="s">
        <v>10</v>
      </c>
      <c r="F59">
        <v>26.24</v>
      </c>
      <c r="G59">
        <v>26.24</v>
      </c>
      <c r="H59">
        <v>0</v>
      </c>
    </row>
    <row r="60" spans="1:8" x14ac:dyDescent="0.35">
      <c r="A60" t="s">
        <v>69</v>
      </c>
      <c r="B60" t="s">
        <v>9</v>
      </c>
      <c r="D60" t="s">
        <v>10</v>
      </c>
      <c r="F60">
        <v>26.18</v>
      </c>
      <c r="G60">
        <v>26.18</v>
      </c>
      <c r="H60">
        <v>0</v>
      </c>
    </row>
    <row r="61" spans="1:8" x14ac:dyDescent="0.35">
      <c r="A61" t="s">
        <v>70</v>
      </c>
      <c r="B61" t="s">
        <v>9</v>
      </c>
      <c r="D61" t="s">
        <v>10</v>
      </c>
      <c r="F61">
        <v>27.53</v>
      </c>
      <c r="G61">
        <v>27.53</v>
      </c>
      <c r="H61">
        <v>0</v>
      </c>
    </row>
    <row r="62" spans="1:8" x14ac:dyDescent="0.35">
      <c r="A62" t="s">
        <v>71</v>
      </c>
      <c r="B62" t="s">
        <v>9</v>
      </c>
      <c r="D62" t="s">
        <v>10</v>
      </c>
      <c r="F62">
        <v>37.69</v>
      </c>
      <c r="G62">
        <v>37.69</v>
      </c>
      <c r="H62">
        <v>0</v>
      </c>
    </row>
    <row r="63" spans="1:8" x14ac:dyDescent="0.35">
      <c r="A63" t="s">
        <v>72</v>
      </c>
      <c r="B63" t="s">
        <v>9</v>
      </c>
      <c r="D63" t="s">
        <v>10</v>
      </c>
      <c r="F63">
        <v>32.53</v>
      </c>
      <c r="G63">
        <v>32.53</v>
      </c>
      <c r="H63">
        <v>0</v>
      </c>
    </row>
    <row r="64" spans="1:8" x14ac:dyDescent="0.35">
      <c r="A64" t="s">
        <v>73</v>
      </c>
      <c r="B64" t="s">
        <v>9</v>
      </c>
      <c r="D64" t="s">
        <v>10</v>
      </c>
      <c r="F64">
        <v>36.36</v>
      </c>
      <c r="G64">
        <v>36.36</v>
      </c>
      <c r="H64">
        <v>0</v>
      </c>
    </row>
    <row r="65" spans="1:8" x14ac:dyDescent="0.35">
      <c r="A65" t="s">
        <v>74</v>
      </c>
      <c r="B65" t="s">
        <v>9</v>
      </c>
      <c r="D65" t="s">
        <v>10</v>
      </c>
      <c r="F65">
        <v>35.07</v>
      </c>
      <c r="G65">
        <v>35.07</v>
      </c>
      <c r="H65">
        <v>0</v>
      </c>
    </row>
    <row r="66" spans="1:8" x14ac:dyDescent="0.35">
      <c r="A66" t="s">
        <v>75</v>
      </c>
      <c r="B66" t="s">
        <v>9</v>
      </c>
      <c r="D66" t="s">
        <v>10</v>
      </c>
      <c r="F66">
        <v>36.75</v>
      </c>
      <c r="G66">
        <v>36.75</v>
      </c>
      <c r="H66">
        <v>0</v>
      </c>
    </row>
    <row r="67" spans="1:8" x14ac:dyDescent="0.35">
      <c r="A67" t="s">
        <v>76</v>
      </c>
      <c r="B67" t="s">
        <v>9</v>
      </c>
      <c r="D67" t="s">
        <v>10</v>
      </c>
      <c r="F67">
        <v>36.6</v>
      </c>
      <c r="G67">
        <v>36.6</v>
      </c>
      <c r="H67">
        <v>0</v>
      </c>
    </row>
    <row r="68" spans="1:8" x14ac:dyDescent="0.35">
      <c r="A68" t="s">
        <v>77</v>
      </c>
      <c r="B68" t="s">
        <v>9</v>
      </c>
      <c r="D68" t="s">
        <v>10</v>
      </c>
      <c r="F68">
        <v>35.659999999999997</v>
      </c>
      <c r="G68">
        <v>35.659999999999997</v>
      </c>
      <c r="H68">
        <v>0</v>
      </c>
    </row>
    <row r="69" spans="1:8" x14ac:dyDescent="0.35">
      <c r="A69" t="s">
        <v>78</v>
      </c>
      <c r="B69" t="s">
        <v>9</v>
      </c>
      <c r="D69" t="s">
        <v>10</v>
      </c>
      <c r="F69">
        <v>35.9</v>
      </c>
      <c r="G69">
        <v>35.9</v>
      </c>
      <c r="H69">
        <v>0</v>
      </c>
    </row>
    <row r="70" spans="1:8" x14ac:dyDescent="0.35">
      <c r="A70" t="s">
        <v>79</v>
      </c>
      <c r="B70" t="s">
        <v>9</v>
      </c>
      <c r="D70" t="s">
        <v>10</v>
      </c>
      <c r="F70">
        <v>37.25</v>
      </c>
      <c r="G70">
        <v>37.25</v>
      </c>
      <c r="H70">
        <v>0</v>
      </c>
    </row>
    <row r="71" spans="1:8" x14ac:dyDescent="0.35">
      <c r="A71" t="s">
        <v>80</v>
      </c>
      <c r="B71" t="s">
        <v>9</v>
      </c>
      <c r="D71" t="s">
        <v>10</v>
      </c>
      <c r="F71">
        <v>26.36</v>
      </c>
      <c r="G71">
        <v>26.36</v>
      </c>
      <c r="H71">
        <v>0</v>
      </c>
    </row>
    <row r="72" spans="1:8" x14ac:dyDescent="0.35">
      <c r="A72" t="s">
        <v>81</v>
      </c>
      <c r="B72" t="s">
        <v>9</v>
      </c>
      <c r="D72" t="s">
        <v>10</v>
      </c>
      <c r="F72">
        <v>27.42</v>
      </c>
      <c r="G72">
        <v>27.42</v>
      </c>
      <c r="H72">
        <v>0</v>
      </c>
    </row>
    <row r="73" spans="1:8" x14ac:dyDescent="0.35">
      <c r="A73" t="s">
        <v>82</v>
      </c>
      <c r="B73" t="s">
        <v>9</v>
      </c>
      <c r="D73" t="s">
        <v>10</v>
      </c>
      <c r="F73">
        <v>27.29</v>
      </c>
      <c r="G73">
        <v>27.29</v>
      </c>
      <c r="H73">
        <v>0</v>
      </c>
    </row>
    <row r="74" spans="1:8" x14ac:dyDescent="0.35">
      <c r="A74" t="s">
        <v>83</v>
      </c>
      <c r="B74" t="s">
        <v>9</v>
      </c>
      <c r="D74" t="s">
        <v>10</v>
      </c>
      <c r="F74" t="s">
        <v>11</v>
      </c>
      <c r="G74">
        <v>0</v>
      </c>
      <c r="H74">
        <v>0</v>
      </c>
    </row>
    <row r="75" spans="1:8" x14ac:dyDescent="0.35">
      <c r="A75" t="s">
        <v>84</v>
      </c>
      <c r="B75" t="s">
        <v>9</v>
      </c>
      <c r="D75" t="s">
        <v>10</v>
      </c>
      <c r="F75" t="s">
        <v>11</v>
      </c>
      <c r="G75">
        <v>0</v>
      </c>
      <c r="H75">
        <v>0</v>
      </c>
    </row>
    <row r="76" spans="1:8" x14ac:dyDescent="0.35">
      <c r="A76" t="s">
        <v>85</v>
      </c>
      <c r="B76" t="s">
        <v>9</v>
      </c>
      <c r="D76" t="s">
        <v>10</v>
      </c>
      <c r="F76" t="s">
        <v>11</v>
      </c>
      <c r="G76">
        <v>0</v>
      </c>
      <c r="H76">
        <v>0</v>
      </c>
    </row>
    <row r="77" spans="1:8" x14ac:dyDescent="0.35">
      <c r="A77" t="s">
        <v>86</v>
      </c>
      <c r="B77" t="s">
        <v>9</v>
      </c>
      <c r="D77" t="s">
        <v>10</v>
      </c>
      <c r="F77" t="s">
        <v>11</v>
      </c>
      <c r="G77">
        <v>0</v>
      </c>
      <c r="H77">
        <v>0</v>
      </c>
    </row>
    <row r="78" spans="1:8" x14ac:dyDescent="0.35">
      <c r="A78" t="s">
        <v>87</v>
      </c>
      <c r="B78" t="s">
        <v>9</v>
      </c>
      <c r="D78" t="s">
        <v>10</v>
      </c>
      <c r="F78">
        <v>37.229999999999997</v>
      </c>
      <c r="G78">
        <v>37.229999999999997</v>
      </c>
      <c r="H78">
        <v>0</v>
      </c>
    </row>
    <row r="79" spans="1:8" x14ac:dyDescent="0.35">
      <c r="A79" t="s">
        <v>88</v>
      </c>
      <c r="B79" t="s">
        <v>9</v>
      </c>
      <c r="D79" t="s">
        <v>10</v>
      </c>
      <c r="F79">
        <v>39.28</v>
      </c>
      <c r="G79">
        <v>39.28</v>
      </c>
      <c r="H79">
        <v>0</v>
      </c>
    </row>
    <row r="80" spans="1:8" x14ac:dyDescent="0.35">
      <c r="A80" t="s">
        <v>89</v>
      </c>
      <c r="B80" t="s">
        <v>9</v>
      </c>
      <c r="D80" t="s">
        <v>10</v>
      </c>
      <c r="F80">
        <v>37.15</v>
      </c>
      <c r="G80">
        <v>37.15</v>
      </c>
      <c r="H80">
        <v>0</v>
      </c>
    </row>
    <row r="81" spans="1:8" x14ac:dyDescent="0.35">
      <c r="A81" t="s">
        <v>90</v>
      </c>
      <c r="B81" t="s">
        <v>9</v>
      </c>
      <c r="D81" t="s">
        <v>10</v>
      </c>
      <c r="F81">
        <v>36.5</v>
      </c>
      <c r="G81">
        <v>36.5</v>
      </c>
      <c r="H81">
        <v>0</v>
      </c>
    </row>
    <row r="82" spans="1:8" x14ac:dyDescent="0.35">
      <c r="A82" t="s">
        <v>91</v>
      </c>
      <c r="B82" t="s">
        <v>9</v>
      </c>
      <c r="D82" t="s">
        <v>10</v>
      </c>
      <c r="F82">
        <v>36.85</v>
      </c>
      <c r="G82">
        <v>36.85</v>
      </c>
      <c r="H82">
        <v>0</v>
      </c>
    </row>
    <row r="83" spans="1:8" x14ac:dyDescent="0.35">
      <c r="A83" t="s">
        <v>92</v>
      </c>
      <c r="B83" t="s">
        <v>9</v>
      </c>
      <c r="D83" t="s">
        <v>10</v>
      </c>
      <c r="F83">
        <v>34.71</v>
      </c>
      <c r="G83">
        <v>34.71</v>
      </c>
      <c r="H83">
        <v>0</v>
      </c>
    </row>
    <row r="84" spans="1:8" x14ac:dyDescent="0.35">
      <c r="A84" t="s">
        <v>93</v>
      </c>
      <c r="B84" t="s">
        <v>9</v>
      </c>
      <c r="D84" t="s">
        <v>10</v>
      </c>
      <c r="F84">
        <v>34.729999999999997</v>
      </c>
      <c r="G84">
        <v>34.729999999999997</v>
      </c>
      <c r="H84">
        <v>0</v>
      </c>
    </row>
    <row r="85" spans="1:8" x14ac:dyDescent="0.35">
      <c r="A85" t="s">
        <v>94</v>
      </c>
      <c r="B85" t="s">
        <v>9</v>
      </c>
      <c r="D85" t="s">
        <v>10</v>
      </c>
      <c r="F85">
        <v>34.69</v>
      </c>
      <c r="G85">
        <v>34.69</v>
      </c>
      <c r="H85">
        <v>0</v>
      </c>
    </row>
    <row r="86" spans="1:8" x14ac:dyDescent="0.35">
      <c r="A86" t="s">
        <v>95</v>
      </c>
      <c r="B86" t="s">
        <v>9</v>
      </c>
      <c r="D86" t="s">
        <v>10</v>
      </c>
      <c r="F86">
        <v>37.11</v>
      </c>
      <c r="G86">
        <v>37.11</v>
      </c>
      <c r="H86">
        <v>0</v>
      </c>
    </row>
    <row r="87" spans="1:8" x14ac:dyDescent="0.35">
      <c r="A87" t="s">
        <v>96</v>
      </c>
      <c r="B87" t="s">
        <v>9</v>
      </c>
      <c r="D87" t="s">
        <v>10</v>
      </c>
      <c r="F87">
        <v>36.630000000000003</v>
      </c>
      <c r="G87">
        <v>36.630000000000003</v>
      </c>
      <c r="H87">
        <v>0</v>
      </c>
    </row>
    <row r="88" spans="1:8" x14ac:dyDescent="0.35">
      <c r="A88" t="s">
        <v>97</v>
      </c>
      <c r="B88" t="s">
        <v>9</v>
      </c>
      <c r="D88" t="s">
        <v>10</v>
      </c>
      <c r="F88">
        <v>36.6</v>
      </c>
      <c r="G88">
        <v>36.6</v>
      </c>
      <c r="H88">
        <v>0</v>
      </c>
    </row>
    <row r="89" spans="1:8" x14ac:dyDescent="0.35">
      <c r="A89" t="s">
        <v>98</v>
      </c>
      <c r="B89" t="s">
        <v>9</v>
      </c>
      <c r="D89" t="s">
        <v>10</v>
      </c>
      <c r="F89">
        <v>36.18</v>
      </c>
      <c r="G89">
        <v>36.18</v>
      </c>
      <c r="H89">
        <v>0</v>
      </c>
    </row>
    <row r="90" spans="1:8" x14ac:dyDescent="0.35">
      <c r="A90" t="s">
        <v>99</v>
      </c>
      <c r="B90" t="s">
        <v>9</v>
      </c>
      <c r="D90" t="s">
        <v>10</v>
      </c>
      <c r="F90">
        <v>36.44</v>
      </c>
      <c r="G90">
        <v>36.44</v>
      </c>
      <c r="H90">
        <v>0</v>
      </c>
    </row>
    <row r="91" spans="1:8" x14ac:dyDescent="0.35">
      <c r="A91" t="s">
        <v>100</v>
      </c>
      <c r="B91" t="s">
        <v>9</v>
      </c>
      <c r="D91" t="s">
        <v>10</v>
      </c>
      <c r="F91">
        <v>35.29</v>
      </c>
      <c r="G91">
        <v>35.29</v>
      </c>
      <c r="H91">
        <v>0</v>
      </c>
    </row>
    <row r="92" spans="1:8" x14ac:dyDescent="0.35">
      <c r="A92" t="s">
        <v>101</v>
      </c>
      <c r="B92" t="s">
        <v>9</v>
      </c>
      <c r="D92" t="s">
        <v>10</v>
      </c>
      <c r="F92">
        <v>33.520000000000003</v>
      </c>
      <c r="G92">
        <v>33.520000000000003</v>
      </c>
      <c r="H92">
        <v>0</v>
      </c>
    </row>
    <row r="93" spans="1:8" x14ac:dyDescent="0.35">
      <c r="A93" t="s">
        <v>102</v>
      </c>
      <c r="B93" t="s">
        <v>9</v>
      </c>
      <c r="D93" t="s">
        <v>10</v>
      </c>
      <c r="F93">
        <v>33.47</v>
      </c>
      <c r="G93">
        <v>33.47</v>
      </c>
      <c r="H93">
        <v>0</v>
      </c>
    </row>
    <row r="94" spans="1:8" x14ac:dyDescent="0.35">
      <c r="A94" t="s">
        <v>103</v>
      </c>
      <c r="B94" t="s">
        <v>9</v>
      </c>
      <c r="D94" t="s">
        <v>10</v>
      </c>
      <c r="F94">
        <v>32.659999999999997</v>
      </c>
      <c r="G94">
        <v>32.659999999999997</v>
      </c>
      <c r="H94">
        <v>0</v>
      </c>
    </row>
    <row r="95" spans="1:8" x14ac:dyDescent="0.35">
      <c r="A95" t="s">
        <v>104</v>
      </c>
      <c r="B95" t="s">
        <v>9</v>
      </c>
      <c r="D95" t="s">
        <v>10</v>
      </c>
      <c r="F95">
        <v>33.06</v>
      </c>
      <c r="G95">
        <v>33.06</v>
      </c>
      <c r="H95">
        <v>0</v>
      </c>
    </row>
    <row r="96" spans="1:8" x14ac:dyDescent="0.35">
      <c r="A96" t="s">
        <v>105</v>
      </c>
      <c r="B96" t="s">
        <v>9</v>
      </c>
      <c r="D96" t="s">
        <v>10</v>
      </c>
      <c r="F96">
        <v>33.07</v>
      </c>
      <c r="G96">
        <v>33.07</v>
      </c>
      <c r="H96">
        <v>0</v>
      </c>
    </row>
    <row r="97" spans="1:8" x14ac:dyDescent="0.35">
      <c r="A97" t="s">
        <v>106</v>
      </c>
      <c r="B97" t="s">
        <v>9</v>
      </c>
      <c r="D97" t="s">
        <v>10</v>
      </c>
      <c r="F97">
        <v>33.31</v>
      </c>
      <c r="G97">
        <v>33.31</v>
      </c>
      <c r="H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658D-6FBA-4873-B512-A54E05F2D075}">
  <dimension ref="A1:H97"/>
  <sheetViews>
    <sheetView topLeftCell="A71" workbookViewId="0">
      <selection activeCell="F74" sqref="F74:F97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D2" t="s">
        <v>10</v>
      </c>
      <c r="F2">
        <v>32.75</v>
      </c>
      <c r="G2">
        <v>32.75</v>
      </c>
      <c r="H2">
        <v>0</v>
      </c>
    </row>
    <row r="3" spans="1:8" x14ac:dyDescent="0.35">
      <c r="A3" t="s">
        <v>12</v>
      </c>
      <c r="B3" t="s">
        <v>9</v>
      </c>
      <c r="D3" t="s">
        <v>10</v>
      </c>
      <c r="F3">
        <v>32.369999999999997</v>
      </c>
      <c r="G3">
        <v>32.369999999999997</v>
      </c>
      <c r="H3">
        <v>0</v>
      </c>
    </row>
    <row r="4" spans="1:8" x14ac:dyDescent="0.35">
      <c r="A4" t="s">
        <v>13</v>
      </c>
      <c r="B4" t="s">
        <v>9</v>
      </c>
      <c r="D4" t="s">
        <v>10</v>
      </c>
      <c r="F4">
        <v>32.15</v>
      </c>
      <c r="G4">
        <v>32.15</v>
      </c>
      <c r="H4">
        <v>0</v>
      </c>
    </row>
    <row r="5" spans="1:8" x14ac:dyDescent="0.35">
      <c r="A5" t="s">
        <v>14</v>
      </c>
      <c r="B5" t="s">
        <v>9</v>
      </c>
      <c r="D5" t="s">
        <v>10</v>
      </c>
      <c r="F5">
        <v>32.549999999999997</v>
      </c>
      <c r="G5">
        <v>32.549999999999997</v>
      </c>
      <c r="H5">
        <v>0</v>
      </c>
    </row>
    <row r="6" spans="1:8" x14ac:dyDescent="0.35">
      <c r="A6" t="s">
        <v>15</v>
      </c>
      <c r="B6" t="s">
        <v>9</v>
      </c>
      <c r="D6" t="s">
        <v>10</v>
      </c>
      <c r="F6">
        <v>31.54</v>
      </c>
      <c r="G6">
        <v>31.54</v>
      </c>
      <c r="H6">
        <v>0</v>
      </c>
    </row>
    <row r="7" spans="1:8" x14ac:dyDescent="0.35">
      <c r="A7" t="s">
        <v>16</v>
      </c>
      <c r="B7" t="s">
        <v>9</v>
      </c>
      <c r="D7" t="s">
        <v>10</v>
      </c>
      <c r="F7">
        <v>31.15</v>
      </c>
      <c r="G7">
        <v>31.15</v>
      </c>
      <c r="H7">
        <v>0</v>
      </c>
    </row>
    <row r="8" spans="1:8" x14ac:dyDescent="0.35">
      <c r="A8" t="s">
        <v>17</v>
      </c>
      <c r="B8" t="s">
        <v>9</v>
      </c>
      <c r="D8" t="s">
        <v>10</v>
      </c>
      <c r="F8">
        <v>31.32</v>
      </c>
      <c r="G8">
        <v>31.32</v>
      </c>
      <c r="H8">
        <v>0</v>
      </c>
    </row>
    <row r="9" spans="1:8" x14ac:dyDescent="0.35">
      <c r="A9" t="s">
        <v>18</v>
      </c>
      <c r="B9" t="s">
        <v>9</v>
      </c>
      <c r="D9" t="s">
        <v>10</v>
      </c>
      <c r="F9">
        <v>30.43</v>
      </c>
      <c r="G9">
        <v>30.43</v>
      </c>
      <c r="H9">
        <v>0</v>
      </c>
    </row>
    <row r="10" spans="1:8" x14ac:dyDescent="0.35">
      <c r="A10" t="s">
        <v>19</v>
      </c>
      <c r="B10" t="s">
        <v>9</v>
      </c>
      <c r="D10" t="s">
        <v>10</v>
      </c>
      <c r="F10">
        <v>31</v>
      </c>
      <c r="G10">
        <v>31</v>
      </c>
      <c r="H10">
        <v>0</v>
      </c>
    </row>
    <row r="11" spans="1:8" x14ac:dyDescent="0.35">
      <c r="A11" t="s">
        <v>20</v>
      </c>
      <c r="B11" t="s">
        <v>9</v>
      </c>
      <c r="D11" t="s">
        <v>10</v>
      </c>
      <c r="F11">
        <v>29.98</v>
      </c>
      <c r="G11">
        <v>29.98</v>
      </c>
      <c r="H11">
        <v>0</v>
      </c>
    </row>
    <row r="12" spans="1:8" x14ac:dyDescent="0.35">
      <c r="A12" t="s">
        <v>21</v>
      </c>
      <c r="B12" t="s">
        <v>9</v>
      </c>
      <c r="D12" t="s">
        <v>10</v>
      </c>
      <c r="F12">
        <v>30.55</v>
      </c>
      <c r="G12">
        <v>30.55</v>
      </c>
      <c r="H12">
        <v>0</v>
      </c>
    </row>
    <row r="13" spans="1:8" x14ac:dyDescent="0.35">
      <c r="A13" t="s">
        <v>22</v>
      </c>
      <c r="B13" t="s">
        <v>9</v>
      </c>
      <c r="D13" t="s">
        <v>10</v>
      </c>
      <c r="F13">
        <v>31.6</v>
      </c>
      <c r="G13">
        <v>31.6</v>
      </c>
      <c r="H13">
        <v>0</v>
      </c>
    </row>
    <row r="14" spans="1:8" x14ac:dyDescent="0.35">
      <c r="A14" t="s">
        <v>23</v>
      </c>
      <c r="B14" t="s">
        <v>9</v>
      </c>
      <c r="D14" t="s">
        <v>10</v>
      </c>
      <c r="F14">
        <v>35.42</v>
      </c>
      <c r="G14">
        <v>35.42</v>
      </c>
      <c r="H14">
        <v>0</v>
      </c>
    </row>
    <row r="15" spans="1:8" x14ac:dyDescent="0.35">
      <c r="A15" t="s">
        <v>24</v>
      </c>
      <c r="B15" t="s">
        <v>9</v>
      </c>
      <c r="D15" t="s">
        <v>10</v>
      </c>
      <c r="F15">
        <v>34.85</v>
      </c>
      <c r="G15">
        <v>34.85</v>
      </c>
      <c r="H15">
        <v>0</v>
      </c>
    </row>
    <row r="16" spans="1:8" x14ac:dyDescent="0.35">
      <c r="A16" t="s">
        <v>25</v>
      </c>
      <c r="B16" t="s">
        <v>9</v>
      </c>
      <c r="D16" t="s">
        <v>10</v>
      </c>
      <c r="F16">
        <v>34.5</v>
      </c>
      <c r="G16">
        <v>34.5</v>
      </c>
      <c r="H16">
        <v>0</v>
      </c>
    </row>
    <row r="17" spans="1:8" x14ac:dyDescent="0.35">
      <c r="A17" t="s">
        <v>26</v>
      </c>
      <c r="B17" t="s">
        <v>9</v>
      </c>
      <c r="D17" t="s">
        <v>10</v>
      </c>
      <c r="F17">
        <v>33.97</v>
      </c>
      <c r="G17">
        <v>33.97</v>
      </c>
      <c r="H17">
        <v>0</v>
      </c>
    </row>
    <row r="18" spans="1:8" x14ac:dyDescent="0.35">
      <c r="A18" t="s">
        <v>27</v>
      </c>
      <c r="B18" t="s">
        <v>9</v>
      </c>
      <c r="D18" t="s">
        <v>10</v>
      </c>
      <c r="F18">
        <v>33.770000000000003</v>
      </c>
      <c r="G18">
        <v>33.770000000000003</v>
      </c>
      <c r="H18">
        <v>0</v>
      </c>
    </row>
    <row r="19" spans="1:8" x14ac:dyDescent="0.35">
      <c r="A19" t="s">
        <v>28</v>
      </c>
      <c r="B19" t="s">
        <v>9</v>
      </c>
      <c r="D19" t="s">
        <v>10</v>
      </c>
      <c r="F19">
        <v>34.090000000000003</v>
      </c>
      <c r="G19">
        <v>34.090000000000003</v>
      </c>
      <c r="H19">
        <v>0</v>
      </c>
    </row>
    <row r="20" spans="1:8" x14ac:dyDescent="0.35">
      <c r="A20" t="s">
        <v>29</v>
      </c>
      <c r="B20" t="s">
        <v>9</v>
      </c>
      <c r="D20" t="s">
        <v>10</v>
      </c>
      <c r="F20">
        <v>32.549999999999997</v>
      </c>
      <c r="G20">
        <v>32.549999999999997</v>
      </c>
      <c r="H20">
        <v>0</v>
      </c>
    </row>
    <row r="21" spans="1:8" x14ac:dyDescent="0.35">
      <c r="A21" t="s">
        <v>30</v>
      </c>
      <c r="B21" t="s">
        <v>9</v>
      </c>
      <c r="D21" t="s">
        <v>10</v>
      </c>
      <c r="F21">
        <v>32.35</v>
      </c>
      <c r="G21">
        <v>32.35</v>
      </c>
      <c r="H21">
        <v>0</v>
      </c>
    </row>
    <row r="22" spans="1:8" x14ac:dyDescent="0.35">
      <c r="A22" t="s">
        <v>31</v>
      </c>
      <c r="B22" t="s">
        <v>9</v>
      </c>
      <c r="D22" t="s">
        <v>10</v>
      </c>
      <c r="F22">
        <v>31.51</v>
      </c>
      <c r="G22">
        <v>31.51</v>
      </c>
      <c r="H22">
        <v>0</v>
      </c>
    </row>
    <row r="23" spans="1:8" x14ac:dyDescent="0.35">
      <c r="A23" t="s">
        <v>32</v>
      </c>
      <c r="B23" t="s">
        <v>9</v>
      </c>
      <c r="D23" t="s">
        <v>10</v>
      </c>
      <c r="F23">
        <v>30.97</v>
      </c>
      <c r="G23">
        <v>30.97</v>
      </c>
      <c r="H23">
        <v>0</v>
      </c>
    </row>
    <row r="24" spans="1:8" x14ac:dyDescent="0.35">
      <c r="A24" t="s">
        <v>33</v>
      </c>
      <c r="B24" t="s">
        <v>9</v>
      </c>
      <c r="D24" t="s">
        <v>10</v>
      </c>
      <c r="F24">
        <v>30.18</v>
      </c>
      <c r="G24">
        <v>30.18</v>
      </c>
      <c r="H24">
        <v>0</v>
      </c>
    </row>
    <row r="25" spans="1:8" x14ac:dyDescent="0.35">
      <c r="A25" t="s">
        <v>34</v>
      </c>
      <c r="B25" t="s">
        <v>9</v>
      </c>
      <c r="D25" t="s">
        <v>10</v>
      </c>
      <c r="F25">
        <v>30.55</v>
      </c>
      <c r="G25">
        <v>30.55</v>
      </c>
      <c r="H25">
        <v>0</v>
      </c>
    </row>
    <row r="26" spans="1:8" x14ac:dyDescent="0.35">
      <c r="A26" t="s">
        <v>35</v>
      </c>
      <c r="B26" t="s">
        <v>9</v>
      </c>
      <c r="D26" t="s">
        <v>10</v>
      </c>
      <c r="F26">
        <v>36.35</v>
      </c>
      <c r="G26">
        <v>36.35</v>
      </c>
      <c r="H26">
        <v>0</v>
      </c>
    </row>
    <row r="27" spans="1:8" x14ac:dyDescent="0.35">
      <c r="A27" t="s">
        <v>36</v>
      </c>
      <c r="B27" t="s">
        <v>9</v>
      </c>
      <c r="D27" t="s">
        <v>10</v>
      </c>
      <c r="F27">
        <v>35.950000000000003</v>
      </c>
      <c r="G27">
        <v>35.950000000000003</v>
      </c>
      <c r="H27">
        <v>0</v>
      </c>
    </row>
    <row r="28" spans="1:8" x14ac:dyDescent="0.35">
      <c r="A28" t="s">
        <v>37</v>
      </c>
      <c r="B28" t="s">
        <v>9</v>
      </c>
      <c r="D28" t="s">
        <v>10</v>
      </c>
      <c r="F28">
        <v>37.630000000000003</v>
      </c>
      <c r="G28">
        <v>37.630000000000003</v>
      </c>
      <c r="H28">
        <v>0</v>
      </c>
    </row>
    <row r="29" spans="1:8" x14ac:dyDescent="0.35">
      <c r="A29" t="s">
        <v>38</v>
      </c>
      <c r="B29" t="s">
        <v>9</v>
      </c>
      <c r="D29" t="s">
        <v>10</v>
      </c>
      <c r="F29">
        <v>36.07</v>
      </c>
      <c r="G29">
        <v>36.07</v>
      </c>
      <c r="H29">
        <v>0</v>
      </c>
    </row>
    <row r="30" spans="1:8" x14ac:dyDescent="0.35">
      <c r="A30" t="s">
        <v>39</v>
      </c>
      <c r="B30" t="s">
        <v>9</v>
      </c>
      <c r="D30" t="s">
        <v>10</v>
      </c>
      <c r="F30">
        <v>29.59</v>
      </c>
      <c r="G30">
        <v>29.59</v>
      </c>
      <c r="H30">
        <v>0</v>
      </c>
    </row>
    <row r="31" spans="1:8" x14ac:dyDescent="0.35">
      <c r="A31" t="s">
        <v>40</v>
      </c>
      <c r="B31" t="s">
        <v>9</v>
      </c>
      <c r="D31" t="s">
        <v>10</v>
      </c>
      <c r="F31">
        <v>32.81</v>
      </c>
      <c r="G31">
        <v>32.81</v>
      </c>
      <c r="H31">
        <v>0</v>
      </c>
    </row>
    <row r="32" spans="1:8" x14ac:dyDescent="0.35">
      <c r="A32" t="s">
        <v>41</v>
      </c>
      <c r="B32" t="s">
        <v>9</v>
      </c>
      <c r="D32" t="s">
        <v>10</v>
      </c>
      <c r="F32">
        <v>28.36</v>
      </c>
      <c r="G32">
        <v>28.36</v>
      </c>
      <c r="H32">
        <v>0</v>
      </c>
    </row>
    <row r="33" spans="1:8" x14ac:dyDescent="0.35">
      <c r="A33" t="s">
        <v>42</v>
      </c>
      <c r="B33" t="s">
        <v>9</v>
      </c>
      <c r="D33" t="s">
        <v>10</v>
      </c>
      <c r="F33">
        <v>27.38</v>
      </c>
      <c r="G33">
        <v>27.38</v>
      </c>
      <c r="H33">
        <v>0</v>
      </c>
    </row>
    <row r="34" spans="1:8" x14ac:dyDescent="0.35">
      <c r="A34" t="s">
        <v>43</v>
      </c>
      <c r="B34" t="s">
        <v>9</v>
      </c>
      <c r="D34" t="s">
        <v>10</v>
      </c>
      <c r="F34">
        <v>27.41</v>
      </c>
      <c r="G34">
        <v>27.41</v>
      </c>
      <c r="H34">
        <v>0</v>
      </c>
    </row>
    <row r="35" spans="1:8" x14ac:dyDescent="0.35">
      <c r="A35" t="s">
        <v>44</v>
      </c>
      <c r="B35" t="s">
        <v>9</v>
      </c>
      <c r="D35" t="s">
        <v>10</v>
      </c>
      <c r="F35">
        <v>29.11</v>
      </c>
      <c r="G35">
        <v>29.11</v>
      </c>
      <c r="H35">
        <v>0</v>
      </c>
    </row>
    <row r="36" spans="1:8" x14ac:dyDescent="0.35">
      <c r="A36" t="s">
        <v>45</v>
      </c>
      <c r="B36" t="s">
        <v>9</v>
      </c>
      <c r="D36" t="s">
        <v>10</v>
      </c>
      <c r="F36">
        <v>30.01</v>
      </c>
      <c r="G36">
        <v>30.01</v>
      </c>
      <c r="H36">
        <v>0</v>
      </c>
    </row>
    <row r="37" spans="1:8" x14ac:dyDescent="0.35">
      <c r="A37" t="s">
        <v>46</v>
      </c>
      <c r="B37" t="s">
        <v>9</v>
      </c>
      <c r="D37" t="s">
        <v>10</v>
      </c>
      <c r="F37">
        <v>30.69</v>
      </c>
      <c r="G37">
        <v>30.69</v>
      </c>
      <c r="H37">
        <v>0</v>
      </c>
    </row>
    <row r="38" spans="1:8" x14ac:dyDescent="0.35">
      <c r="A38" t="s">
        <v>47</v>
      </c>
      <c r="B38" t="s">
        <v>9</v>
      </c>
      <c r="D38" t="s">
        <v>10</v>
      </c>
      <c r="F38">
        <v>28.7</v>
      </c>
      <c r="G38">
        <v>28.7</v>
      </c>
      <c r="H38">
        <v>0</v>
      </c>
    </row>
    <row r="39" spans="1:8" x14ac:dyDescent="0.35">
      <c r="A39" t="s">
        <v>48</v>
      </c>
      <c r="B39" t="s">
        <v>9</v>
      </c>
      <c r="D39" t="s">
        <v>10</v>
      </c>
      <c r="F39">
        <v>27.07</v>
      </c>
      <c r="G39">
        <v>27.07</v>
      </c>
      <c r="H39">
        <v>0</v>
      </c>
    </row>
    <row r="40" spans="1:8" x14ac:dyDescent="0.35">
      <c r="A40" t="s">
        <v>49</v>
      </c>
      <c r="B40" t="s">
        <v>9</v>
      </c>
      <c r="D40" t="s">
        <v>10</v>
      </c>
      <c r="F40">
        <v>27.44</v>
      </c>
      <c r="G40">
        <v>27.44</v>
      </c>
      <c r="H40">
        <v>0</v>
      </c>
    </row>
    <row r="41" spans="1:8" x14ac:dyDescent="0.35">
      <c r="A41" t="s">
        <v>50</v>
      </c>
      <c r="B41" t="s">
        <v>9</v>
      </c>
      <c r="D41" t="s">
        <v>10</v>
      </c>
      <c r="F41">
        <v>27.56</v>
      </c>
      <c r="G41">
        <v>27.56</v>
      </c>
      <c r="H41">
        <v>0</v>
      </c>
    </row>
    <row r="42" spans="1:8" x14ac:dyDescent="0.35">
      <c r="A42" t="s">
        <v>51</v>
      </c>
      <c r="B42" t="s">
        <v>9</v>
      </c>
      <c r="D42" t="s">
        <v>10</v>
      </c>
      <c r="F42">
        <v>27.18</v>
      </c>
      <c r="G42">
        <v>27.18</v>
      </c>
      <c r="H42">
        <v>0</v>
      </c>
    </row>
    <row r="43" spans="1:8" x14ac:dyDescent="0.35">
      <c r="A43" t="s">
        <v>52</v>
      </c>
      <c r="B43" t="s">
        <v>9</v>
      </c>
      <c r="D43" t="s">
        <v>10</v>
      </c>
      <c r="F43">
        <v>27.09</v>
      </c>
      <c r="G43">
        <v>27.09</v>
      </c>
      <c r="H43">
        <v>0</v>
      </c>
    </row>
    <row r="44" spans="1:8" x14ac:dyDescent="0.35">
      <c r="A44" t="s">
        <v>53</v>
      </c>
      <c r="B44" t="s">
        <v>9</v>
      </c>
      <c r="D44" t="s">
        <v>10</v>
      </c>
      <c r="F44">
        <v>24.89</v>
      </c>
      <c r="G44">
        <v>24.89</v>
      </c>
      <c r="H44">
        <v>0</v>
      </c>
    </row>
    <row r="45" spans="1:8" x14ac:dyDescent="0.35">
      <c r="A45" t="s">
        <v>54</v>
      </c>
      <c r="B45" t="s">
        <v>9</v>
      </c>
      <c r="D45" t="s">
        <v>10</v>
      </c>
      <c r="F45">
        <v>25.03</v>
      </c>
      <c r="G45">
        <v>25.03</v>
      </c>
      <c r="H45">
        <v>0</v>
      </c>
    </row>
    <row r="46" spans="1:8" x14ac:dyDescent="0.35">
      <c r="A46" t="s">
        <v>55</v>
      </c>
      <c r="B46" t="s">
        <v>9</v>
      </c>
      <c r="D46" t="s">
        <v>10</v>
      </c>
      <c r="F46">
        <v>23.54</v>
      </c>
      <c r="G46">
        <v>23.54</v>
      </c>
      <c r="H46">
        <v>0</v>
      </c>
    </row>
    <row r="47" spans="1:8" x14ac:dyDescent="0.35">
      <c r="A47" t="s">
        <v>56</v>
      </c>
      <c r="B47" t="s">
        <v>9</v>
      </c>
      <c r="D47" t="s">
        <v>10</v>
      </c>
      <c r="F47">
        <v>24.63</v>
      </c>
      <c r="G47">
        <v>24.63</v>
      </c>
      <c r="H47">
        <v>0</v>
      </c>
    </row>
    <row r="48" spans="1:8" x14ac:dyDescent="0.35">
      <c r="A48" t="s">
        <v>57</v>
      </c>
      <c r="B48" t="s">
        <v>9</v>
      </c>
      <c r="D48" t="s">
        <v>10</v>
      </c>
      <c r="F48">
        <v>24.6</v>
      </c>
      <c r="G48">
        <v>24.6</v>
      </c>
      <c r="H48">
        <v>0</v>
      </c>
    </row>
    <row r="49" spans="1:8" x14ac:dyDescent="0.35">
      <c r="A49" t="s">
        <v>58</v>
      </c>
      <c r="B49" t="s">
        <v>9</v>
      </c>
      <c r="D49" t="s">
        <v>10</v>
      </c>
      <c r="F49">
        <v>24.93</v>
      </c>
      <c r="G49">
        <v>24.93</v>
      </c>
      <c r="H49">
        <v>0</v>
      </c>
    </row>
    <row r="50" spans="1:8" x14ac:dyDescent="0.35">
      <c r="A50" t="s">
        <v>59</v>
      </c>
      <c r="B50" t="s">
        <v>9</v>
      </c>
      <c r="D50" t="s">
        <v>10</v>
      </c>
      <c r="F50" t="s">
        <v>11</v>
      </c>
      <c r="G50">
        <v>0</v>
      </c>
      <c r="H50">
        <v>0</v>
      </c>
    </row>
    <row r="51" spans="1:8" x14ac:dyDescent="0.35">
      <c r="A51" t="s">
        <v>60</v>
      </c>
      <c r="B51" t="s">
        <v>9</v>
      </c>
      <c r="D51" t="s">
        <v>10</v>
      </c>
      <c r="F51" t="s">
        <v>11</v>
      </c>
      <c r="G51">
        <v>0</v>
      </c>
      <c r="H51">
        <v>0</v>
      </c>
    </row>
    <row r="52" spans="1:8" x14ac:dyDescent="0.35">
      <c r="A52" t="s">
        <v>61</v>
      </c>
      <c r="B52" t="s">
        <v>9</v>
      </c>
      <c r="D52" t="s">
        <v>10</v>
      </c>
      <c r="F52" t="s">
        <v>11</v>
      </c>
      <c r="G52">
        <v>0</v>
      </c>
      <c r="H52">
        <v>0</v>
      </c>
    </row>
    <row r="53" spans="1:8" x14ac:dyDescent="0.35">
      <c r="A53" t="s">
        <v>62</v>
      </c>
      <c r="B53" t="s">
        <v>9</v>
      </c>
      <c r="D53" t="s">
        <v>10</v>
      </c>
      <c r="F53" t="s">
        <v>11</v>
      </c>
      <c r="G53">
        <v>0</v>
      </c>
      <c r="H53">
        <v>0</v>
      </c>
    </row>
    <row r="54" spans="1:8" x14ac:dyDescent="0.35">
      <c r="A54" t="s">
        <v>63</v>
      </c>
      <c r="B54" t="s">
        <v>9</v>
      </c>
      <c r="D54" t="s">
        <v>10</v>
      </c>
      <c r="F54">
        <v>37.46</v>
      </c>
      <c r="G54">
        <v>37.46</v>
      </c>
      <c r="H54">
        <v>0</v>
      </c>
    </row>
    <row r="55" spans="1:8" x14ac:dyDescent="0.35">
      <c r="A55" t="s">
        <v>64</v>
      </c>
      <c r="B55" t="s">
        <v>9</v>
      </c>
      <c r="D55" t="s">
        <v>10</v>
      </c>
      <c r="F55">
        <v>38.32</v>
      </c>
      <c r="G55">
        <v>38.32</v>
      </c>
      <c r="H55">
        <v>0</v>
      </c>
    </row>
    <row r="56" spans="1:8" x14ac:dyDescent="0.35">
      <c r="A56" t="s">
        <v>65</v>
      </c>
      <c r="B56" t="s">
        <v>9</v>
      </c>
      <c r="D56" t="s">
        <v>10</v>
      </c>
      <c r="F56">
        <v>35.85</v>
      </c>
      <c r="G56">
        <v>35.85</v>
      </c>
      <c r="H56">
        <v>0</v>
      </c>
    </row>
    <row r="57" spans="1:8" x14ac:dyDescent="0.35">
      <c r="A57" t="s">
        <v>66</v>
      </c>
      <c r="B57" t="s">
        <v>9</v>
      </c>
      <c r="D57" t="s">
        <v>10</v>
      </c>
      <c r="F57">
        <v>32.69</v>
      </c>
      <c r="G57">
        <v>32.69</v>
      </c>
      <c r="H57">
        <v>0</v>
      </c>
    </row>
    <row r="58" spans="1:8" x14ac:dyDescent="0.35">
      <c r="A58" t="s">
        <v>67</v>
      </c>
      <c r="B58" t="s">
        <v>9</v>
      </c>
      <c r="D58" t="s">
        <v>10</v>
      </c>
      <c r="F58">
        <v>35.26</v>
      </c>
      <c r="G58">
        <v>35.26</v>
      </c>
      <c r="H58">
        <v>0</v>
      </c>
    </row>
    <row r="59" spans="1:8" x14ac:dyDescent="0.35">
      <c r="A59" t="s">
        <v>68</v>
      </c>
      <c r="B59" t="s">
        <v>9</v>
      </c>
      <c r="D59" t="s">
        <v>10</v>
      </c>
      <c r="F59">
        <v>31.41</v>
      </c>
      <c r="G59">
        <v>31.41</v>
      </c>
      <c r="H59">
        <v>0</v>
      </c>
    </row>
    <row r="60" spans="1:8" x14ac:dyDescent="0.35">
      <c r="A60" t="s">
        <v>69</v>
      </c>
      <c r="B60" t="s">
        <v>9</v>
      </c>
      <c r="D60" t="s">
        <v>10</v>
      </c>
      <c r="F60">
        <v>34.01</v>
      </c>
      <c r="G60">
        <v>34.01</v>
      </c>
      <c r="H60">
        <v>0</v>
      </c>
    </row>
    <row r="61" spans="1:8" x14ac:dyDescent="0.35">
      <c r="A61" t="s">
        <v>70</v>
      </c>
      <c r="B61" t="s">
        <v>9</v>
      </c>
      <c r="D61" t="s">
        <v>10</v>
      </c>
      <c r="F61">
        <v>32.64</v>
      </c>
      <c r="G61">
        <v>32.64</v>
      </c>
      <c r="H61">
        <v>0</v>
      </c>
    </row>
    <row r="62" spans="1:8" x14ac:dyDescent="0.35">
      <c r="A62" t="s">
        <v>71</v>
      </c>
      <c r="B62" t="s">
        <v>9</v>
      </c>
      <c r="D62" t="s">
        <v>10</v>
      </c>
      <c r="F62">
        <v>33.47</v>
      </c>
      <c r="G62">
        <v>33.47</v>
      </c>
      <c r="H62">
        <v>0</v>
      </c>
    </row>
    <row r="63" spans="1:8" x14ac:dyDescent="0.35">
      <c r="A63" t="s">
        <v>72</v>
      </c>
      <c r="B63" t="s">
        <v>9</v>
      </c>
      <c r="D63" t="s">
        <v>10</v>
      </c>
      <c r="F63">
        <v>31.36</v>
      </c>
      <c r="G63">
        <v>31.36</v>
      </c>
      <c r="H63">
        <v>0</v>
      </c>
    </row>
    <row r="64" spans="1:8" x14ac:dyDescent="0.35">
      <c r="A64" t="s">
        <v>73</v>
      </c>
      <c r="B64" t="s">
        <v>9</v>
      </c>
      <c r="D64" t="s">
        <v>10</v>
      </c>
      <c r="F64">
        <v>31.19</v>
      </c>
      <c r="G64">
        <v>31.19</v>
      </c>
      <c r="H64">
        <v>0</v>
      </c>
    </row>
    <row r="65" spans="1:8" x14ac:dyDescent="0.35">
      <c r="A65" t="s">
        <v>74</v>
      </c>
      <c r="B65" t="s">
        <v>9</v>
      </c>
      <c r="D65" t="s">
        <v>10</v>
      </c>
      <c r="F65">
        <v>31.62</v>
      </c>
      <c r="G65">
        <v>31.62</v>
      </c>
      <c r="H65">
        <v>0</v>
      </c>
    </row>
    <row r="66" spans="1:8" x14ac:dyDescent="0.35">
      <c r="A66" t="s">
        <v>75</v>
      </c>
      <c r="B66" t="s">
        <v>9</v>
      </c>
      <c r="D66" t="s">
        <v>10</v>
      </c>
      <c r="F66">
        <v>30.75</v>
      </c>
      <c r="G66">
        <v>30.75</v>
      </c>
      <c r="H66">
        <v>0</v>
      </c>
    </row>
    <row r="67" spans="1:8" x14ac:dyDescent="0.35">
      <c r="A67" t="s">
        <v>76</v>
      </c>
      <c r="B67" t="s">
        <v>9</v>
      </c>
      <c r="D67" t="s">
        <v>10</v>
      </c>
      <c r="F67">
        <v>31.7</v>
      </c>
      <c r="G67">
        <v>31.7</v>
      </c>
      <c r="H67">
        <v>0</v>
      </c>
    </row>
    <row r="68" spans="1:8" x14ac:dyDescent="0.35">
      <c r="A68" t="s">
        <v>77</v>
      </c>
      <c r="B68" t="s">
        <v>9</v>
      </c>
      <c r="D68" t="s">
        <v>10</v>
      </c>
      <c r="F68">
        <v>34.729999999999997</v>
      </c>
      <c r="G68">
        <v>34.729999999999997</v>
      </c>
      <c r="H68">
        <v>0</v>
      </c>
    </row>
    <row r="69" spans="1:8" x14ac:dyDescent="0.35">
      <c r="A69" t="s">
        <v>78</v>
      </c>
      <c r="B69" t="s">
        <v>9</v>
      </c>
      <c r="D69" t="s">
        <v>10</v>
      </c>
      <c r="F69">
        <v>35.700000000000003</v>
      </c>
      <c r="G69">
        <v>35.700000000000003</v>
      </c>
      <c r="H69">
        <v>0</v>
      </c>
    </row>
    <row r="70" spans="1:8" x14ac:dyDescent="0.35">
      <c r="A70" t="s">
        <v>79</v>
      </c>
      <c r="B70" t="s">
        <v>9</v>
      </c>
      <c r="D70" t="s">
        <v>10</v>
      </c>
      <c r="F70">
        <v>35.549999999999997</v>
      </c>
      <c r="G70">
        <v>35.549999999999997</v>
      </c>
      <c r="H70">
        <v>0</v>
      </c>
    </row>
    <row r="71" spans="1:8" x14ac:dyDescent="0.35">
      <c r="A71" t="s">
        <v>80</v>
      </c>
      <c r="B71" t="s">
        <v>9</v>
      </c>
      <c r="D71" t="s">
        <v>10</v>
      </c>
      <c r="F71">
        <v>30.85</v>
      </c>
      <c r="G71">
        <v>30.85</v>
      </c>
      <c r="H71">
        <v>0</v>
      </c>
    </row>
    <row r="72" spans="1:8" x14ac:dyDescent="0.35">
      <c r="A72" t="s">
        <v>81</v>
      </c>
      <c r="B72" t="s">
        <v>9</v>
      </c>
      <c r="D72" t="s">
        <v>10</v>
      </c>
      <c r="F72">
        <v>30.19</v>
      </c>
      <c r="G72">
        <v>30.19</v>
      </c>
      <c r="H72">
        <v>0</v>
      </c>
    </row>
    <row r="73" spans="1:8" x14ac:dyDescent="0.35">
      <c r="A73" t="s">
        <v>82</v>
      </c>
      <c r="B73" t="s">
        <v>9</v>
      </c>
      <c r="D73" t="s">
        <v>10</v>
      </c>
      <c r="F73">
        <v>30.15</v>
      </c>
      <c r="G73">
        <v>30.15</v>
      </c>
      <c r="H73">
        <v>0</v>
      </c>
    </row>
    <row r="74" spans="1:8" x14ac:dyDescent="0.35">
      <c r="A74" t="s">
        <v>83</v>
      </c>
      <c r="B74" t="s">
        <v>9</v>
      </c>
      <c r="D74" t="s">
        <v>10</v>
      </c>
      <c r="F74">
        <v>39.31</v>
      </c>
      <c r="G74">
        <v>39.31</v>
      </c>
      <c r="H74">
        <v>0</v>
      </c>
    </row>
    <row r="75" spans="1:8" x14ac:dyDescent="0.35">
      <c r="A75" t="s">
        <v>84</v>
      </c>
      <c r="B75" t="s">
        <v>9</v>
      </c>
      <c r="D75" t="s">
        <v>10</v>
      </c>
      <c r="F75">
        <v>38.159999999999997</v>
      </c>
      <c r="G75">
        <v>38.159999999999997</v>
      </c>
      <c r="H75">
        <v>0</v>
      </c>
    </row>
    <row r="76" spans="1:8" x14ac:dyDescent="0.35">
      <c r="A76" t="s">
        <v>85</v>
      </c>
      <c r="B76" t="s">
        <v>9</v>
      </c>
      <c r="D76" t="s">
        <v>10</v>
      </c>
      <c r="F76" t="s">
        <v>11</v>
      </c>
      <c r="G76">
        <v>0</v>
      </c>
      <c r="H76">
        <v>0</v>
      </c>
    </row>
    <row r="77" spans="1:8" x14ac:dyDescent="0.35">
      <c r="A77" t="s">
        <v>86</v>
      </c>
      <c r="B77" t="s">
        <v>9</v>
      </c>
      <c r="D77" t="s">
        <v>10</v>
      </c>
      <c r="F77">
        <v>39.04</v>
      </c>
      <c r="G77">
        <v>39.04</v>
      </c>
      <c r="H77">
        <v>0</v>
      </c>
    </row>
    <row r="78" spans="1:8" x14ac:dyDescent="0.35">
      <c r="A78" t="s">
        <v>87</v>
      </c>
      <c r="B78" t="s">
        <v>9</v>
      </c>
      <c r="D78" t="s">
        <v>10</v>
      </c>
      <c r="F78">
        <v>35.79</v>
      </c>
      <c r="G78">
        <v>35.79</v>
      </c>
      <c r="H78">
        <v>0</v>
      </c>
    </row>
    <row r="79" spans="1:8" x14ac:dyDescent="0.35">
      <c r="A79" t="s">
        <v>88</v>
      </c>
      <c r="B79" t="s">
        <v>9</v>
      </c>
      <c r="D79" t="s">
        <v>10</v>
      </c>
      <c r="F79">
        <v>37.94</v>
      </c>
      <c r="G79">
        <v>37.94</v>
      </c>
      <c r="H79">
        <v>0</v>
      </c>
    </row>
    <row r="80" spans="1:8" x14ac:dyDescent="0.35">
      <c r="A80" t="s">
        <v>89</v>
      </c>
      <c r="B80" t="s">
        <v>9</v>
      </c>
      <c r="D80" t="s">
        <v>10</v>
      </c>
      <c r="F80">
        <v>35.33</v>
      </c>
      <c r="G80">
        <v>35.33</v>
      </c>
      <c r="H80">
        <v>0</v>
      </c>
    </row>
    <row r="81" spans="1:8" x14ac:dyDescent="0.35">
      <c r="A81" t="s">
        <v>90</v>
      </c>
      <c r="B81" t="s">
        <v>9</v>
      </c>
      <c r="D81" t="s">
        <v>10</v>
      </c>
      <c r="F81">
        <v>33.549999999999997</v>
      </c>
      <c r="G81">
        <v>33.549999999999997</v>
      </c>
      <c r="H81">
        <v>0</v>
      </c>
    </row>
    <row r="82" spans="1:8" x14ac:dyDescent="0.35">
      <c r="A82" t="s">
        <v>91</v>
      </c>
      <c r="B82" t="s">
        <v>9</v>
      </c>
      <c r="D82" t="s">
        <v>10</v>
      </c>
      <c r="F82">
        <v>35.06</v>
      </c>
      <c r="G82">
        <v>35.06</v>
      </c>
      <c r="H82">
        <v>0</v>
      </c>
    </row>
    <row r="83" spans="1:8" x14ac:dyDescent="0.35">
      <c r="A83" t="s">
        <v>92</v>
      </c>
      <c r="B83" t="s">
        <v>9</v>
      </c>
      <c r="D83" t="s">
        <v>10</v>
      </c>
      <c r="F83">
        <v>35.72</v>
      </c>
      <c r="G83">
        <v>35.72</v>
      </c>
      <c r="H83">
        <v>0</v>
      </c>
    </row>
    <row r="84" spans="1:8" x14ac:dyDescent="0.35">
      <c r="A84" t="s">
        <v>93</v>
      </c>
      <c r="B84" t="s">
        <v>9</v>
      </c>
      <c r="D84" t="s">
        <v>10</v>
      </c>
      <c r="F84">
        <v>35.83</v>
      </c>
      <c r="G84">
        <v>35.83</v>
      </c>
      <c r="H84">
        <v>0</v>
      </c>
    </row>
    <row r="85" spans="1:8" x14ac:dyDescent="0.35">
      <c r="A85" t="s">
        <v>94</v>
      </c>
      <c r="B85" t="s">
        <v>9</v>
      </c>
      <c r="D85" t="s">
        <v>10</v>
      </c>
      <c r="F85">
        <v>36.54</v>
      </c>
      <c r="G85">
        <v>36.54</v>
      </c>
      <c r="H85">
        <v>0</v>
      </c>
    </row>
    <row r="86" spans="1:8" x14ac:dyDescent="0.35">
      <c r="A86" t="s">
        <v>95</v>
      </c>
      <c r="B86" t="s">
        <v>9</v>
      </c>
      <c r="D86" t="s">
        <v>10</v>
      </c>
      <c r="F86">
        <v>35.200000000000003</v>
      </c>
      <c r="G86">
        <v>35.200000000000003</v>
      </c>
      <c r="H86">
        <v>0</v>
      </c>
    </row>
    <row r="87" spans="1:8" x14ac:dyDescent="0.35">
      <c r="A87" t="s">
        <v>96</v>
      </c>
      <c r="B87" t="s">
        <v>9</v>
      </c>
      <c r="D87" t="s">
        <v>10</v>
      </c>
      <c r="F87">
        <v>32.67</v>
      </c>
      <c r="G87">
        <v>32.67</v>
      </c>
      <c r="H87">
        <v>0</v>
      </c>
    </row>
    <row r="88" spans="1:8" x14ac:dyDescent="0.35">
      <c r="A88" t="s">
        <v>97</v>
      </c>
      <c r="B88" t="s">
        <v>9</v>
      </c>
      <c r="D88" t="s">
        <v>10</v>
      </c>
      <c r="F88">
        <v>33.81</v>
      </c>
      <c r="G88">
        <v>33.81</v>
      </c>
      <c r="H88">
        <v>0</v>
      </c>
    </row>
    <row r="89" spans="1:8" x14ac:dyDescent="0.35">
      <c r="A89" t="s">
        <v>98</v>
      </c>
      <c r="B89" t="s">
        <v>9</v>
      </c>
      <c r="D89" t="s">
        <v>10</v>
      </c>
      <c r="F89">
        <v>33.83</v>
      </c>
      <c r="G89">
        <v>33.83</v>
      </c>
      <c r="H89">
        <v>0</v>
      </c>
    </row>
    <row r="90" spans="1:8" x14ac:dyDescent="0.35">
      <c r="A90" t="s">
        <v>99</v>
      </c>
      <c r="B90" t="s">
        <v>9</v>
      </c>
      <c r="D90" t="s">
        <v>10</v>
      </c>
      <c r="F90">
        <v>33.71</v>
      </c>
      <c r="G90">
        <v>33.71</v>
      </c>
      <c r="H90">
        <v>0</v>
      </c>
    </row>
    <row r="91" spans="1:8" x14ac:dyDescent="0.35">
      <c r="A91" t="s">
        <v>100</v>
      </c>
      <c r="B91" t="s">
        <v>9</v>
      </c>
      <c r="D91" t="s">
        <v>10</v>
      </c>
      <c r="F91">
        <v>33.31</v>
      </c>
      <c r="G91">
        <v>33.31</v>
      </c>
      <c r="H91">
        <v>0</v>
      </c>
    </row>
    <row r="92" spans="1:8" x14ac:dyDescent="0.35">
      <c r="A92" t="s">
        <v>101</v>
      </c>
      <c r="B92" t="s">
        <v>9</v>
      </c>
      <c r="D92" t="s">
        <v>10</v>
      </c>
      <c r="F92">
        <v>31.91</v>
      </c>
      <c r="G92">
        <v>31.91</v>
      </c>
      <c r="H92">
        <v>0</v>
      </c>
    </row>
    <row r="93" spans="1:8" x14ac:dyDescent="0.35">
      <c r="A93" t="s">
        <v>102</v>
      </c>
      <c r="B93" t="s">
        <v>9</v>
      </c>
      <c r="D93" t="s">
        <v>10</v>
      </c>
      <c r="F93">
        <v>32.119999999999997</v>
      </c>
      <c r="G93">
        <v>32.119999999999997</v>
      </c>
      <c r="H93">
        <v>0</v>
      </c>
    </row>
    <row r="94" spans="1:8" x14ac:dyDescent="0.35">
      <c r="A94" t="s">
        <v>103</v>
      </c>
      <c r="B94" t="s">
        <v>9</v>
      </c>
      <c r="D94" t="s">
        <v>10</v>
      </c>
      <c r="F94">
        <v>30.89</v>
      </c>
      <c r="G94">
        <v>30.89</v>
      </c>
      <c r="H94">
        <v>0</v>
      </c>
    </row>
    <row r="95" spans="1:8" x14ac:dyDescent="0.35">
      <c r="A95" t="s">
        <v>104</v>
      </c>
      <c r="B95" t="s">
        <v>9</v>
      </c>
      <c r="D95" t="s">
        <v>10</v>
      </c>
      <c r="F95">
        <v>30.96</v>
      </c>
      <c r="G95">
        <v>30.96</v>
      </c>
      <c r="H95">
        <v>0</v>
      </c>
    </row>
    <row r="96" spans="1:8" x14ac:dyDescent="0.35">
      <c r="A96" t="s">
        <v>105</v>
      </c>
      <c r="B96" t="s">
        <v>9</v>
      </c>
      <c r="D96" t="s">
        <v>10</v>
      </c>
      <c r="F96">
        <v>30.98</v>
      </c>
      <c r="G96">
        <v>30.98</v>
      </c>
      <c r="H96">
        <v>0</v>
      </c>
    </row>
    <row r="97" spans="1:8" x14ac:dyDescent="0.35">
      <c r="A97" t="s">
        <v>106</v>
      </c>
      <c r="B97" t="s">
        <v>9</v>
      </c>
      <c r="D97" t="s">
        <v>10</v>
      </c>
      <c r="F97">
        <v>31.07</v>
      </c>
      <c r="G97">
        <v>31.07</v>
      </c>
      <c r="H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Fibroblast co-cultures</vt:lpstr>
      <vt:lpstr>Peritoneal alone</vt:lpstr>
      <vt:lpstr>MACS alone</vt:lpstr>
      <vt:lpstr>MACS Plate 1</vt:lpstr>
      <vt:lpstr>MACS Plate 2</vt:lpstr>
      <vt:lpstr>MACS Plate 3</vt:lpstr>
      <vt:lpstr>MACS Plate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2022-12-04T16:21:49Z</dcterms:created>
  <dcterms:modified xsi:type="dcterms:W3CDTF">2022-12-06T12:56:32Z</dcterms:modified>
</cp:coreProperties>
</file>