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David\Documents\Research 2022\PMACS\PMACS-95\"/>
    </mc:Choice>
  </mc:AlternateContent>
  <xr:revisionPtr revIDLastSave="0" documentId="13_ncr:1_{4DB1F291-ACEB-4C4F-B4D9-09CBAEC94239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Fibroblasts" sheetId="1" r:id="rId1"/>
    <sheet name="Macroph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F41" i="2" s="1"/>
  <c r="E42" i="2"/>
  <c r="F42" i="2" s="1"/>
  <c r="E43" i="2"/>
  <c r="F43" i="2" s="1"/>
  <c r="E44" i="2"/>
  <c r="F44" i="2"/>
  <c r="E45" i="2"/>
  <c r="F45" i="2"/>
  <c r="E46" i="2"/>
  <c r="F46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F32" i="2"/>
  <c r="E32" i="2"/>
  <c r="E31" i="2"/>
  <c r="F31" i="2" s="1"/>
  <c r="E30" i="2"/>
  <c r="F30" i="2" s="1"/>
  <c r="F29" i="2"/>
  <c r="E29" i="2"/>
  <c r="F28" i="2"/>
  <c r="E28" i="2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F20" i="2"/>
  <c r="E20" i="2"/>
  <c r="E19" i="2"/>
  <c r="F19" i="2" s="1"/>
  <c r="E18" i="2"/>
  <c r="F18" i="2" s="1"/>
  <c r="F17" i="2"/>
  <c r="E17" i="2"/>
  <c r="E16" i="2"/>
  <c r="F16" i="2" s="1"/>
  <c r="E15" i="2"/>
  <c r="F15" i="2" s="1"/>
  <c r="E14" i="2"/>
  <c r="F14" i="2" s="1"/>
  <c r="F13" i="2"/>
  <c r="E13" i="2"/>
  <c r="F12" i="2"/>
  <c r="E12" i="2"/>
  <c r="E11" i="2"/>
  <c r="F11" i="2" s="1"/>
  <c r="E19" i="1"/>
  <c r="F19" i="1" s="1"/>
  <c r="E20" i="1"/>
  <c r="F20" i="1" s="1"/>
  <c r="E21" i="1"/>
  <c r="F21" i="1"/>
  <c r="E22" i="1"/>
  <c r="F22" i="1" s="1"/>
  <c r="E23" i="1"/>
  <c r="F23" i="1" s="1"/>
  <c r="E24" i="1"/>
  <c r="F24" i="1"/>
  <c r="E25" i="1"/>
  <c r="F25" i="1"/>
  <c r="E26" i="1"/>
  <c r="F26" i="1" s="1"/>
  <c r="E27" i="1"/>
  <c r="F27" i="1" s="1"/>
  <c r="E28" i="1"/>
  <c r="F28" i="1"/>
  <c r="E29" i="1"/>
  <c r="F29" i="1"/>
  <c r="E30" i="1"/>
  <c r="F30" i="1" s="1"/>
  <c r="E31" i="1"/>
  <c r="F31" i="1" s="1"/>
  <c r="E32" i="1"/>
  <c r="F32" i="1"/>
  <c r="E33" i="1"/>
  <c r="F33" i="1"/>
  <c r="E34" i="1"/>
  <c r="F34" i="1" s="1"/>
  <c r="E35" i="1"/>
  <c r="F35" i="1" s="1"/>
  <c r="E36" i="1"/>
  <c r="F36" i="1"/>
  <c r="E37" i="1"/>
  <c r="F37" i="1"/>
  <c r="E38" i="1"/>
  <c r="F38" i="1" s="1"/>
  <c r="E39" i="1"/>
  <c r="F39" i="1" s="1"/>
  <c r="E40" i="1"/>
  <c r="F40" i="1"/>
  <c r="E17" i="1"/>
  <c r="F17" i="1" s="1"/>
  <c r="E13" i="1"/>
  <c r="F13" i="1" s="1"/>
  <c r="E14" i="1"/>
  <c r="F14" i="1" s="1"/>
  <c r="E15" i="1"/>
  <c r="F15" i="1" s="1"/>
  <c r="E16" i="1"/>
  <c r="F16" i="1" s="1"/>
  <c r="E18" i="1"/>
  <c r="F18" i="1" s="1"/>
  <c r="E12" i="1"/>
  <c r="E11" i="1"/>
  <c r="F12" i="1" l="1"/>
  <c r="F11" i="1" l="1"/>
</calcChain>
</file>

<file path=xl/sharedStrings.xml><?xml version="1.0" encoding="utf-8"?>
<sst xmlns="http://schemas.openxmlformats.org/spreadsheetml/2006/main" count="90" uniqueCount="34">
  <si>
    <t>iScript RT Supermix</t>
  </si>
  <si>
    <t>Each tube</t>
  </si>
  <si>
    <t>RNA</t>
  </si>
  <si>
    <t>Nuclease-free Water</t>
  </si>
  <si>
    <t>Tube#</t>
  </si>
  <si>
    <t>260/280</t>
  </si>
  <si>
    <t>RNA (ng/ul)</t>
  </si>
  <si>
    <t>Water</t>
  </si>
  <si>
    <t>Total</t>
  </si>
  <si>
    <t>Treatment</t>
  </si>
  <si>
    <t>0.5 ug RNA</t>
  </si>
  <si>
    <t>Fibroblasts Alone + No Stim</t>
  </si>
  <si>
    <t>Fibroblasts Alone + LPS</t>
  </si>
  <si>
    <t>Fibroblasts + BMDM No stim</t>
  </si>
  <si>
    <t>Fibroblasts + BMDM + LPS</t>
  </si>
  <si>
    <t>Firboblasts + Transwell BMDM No Stim</t>
  </si>
  <si>
    <t>Firboblasts + Transwell BMDM + LPS</t>
  </si>
  <si>
    <t>Fibroblasts + PM No stim</t>
  </si>
  <si>
    <t>Fibroblasts + PM LPS</t>
  </si>
  <si>
    <t>Fibroblatss + Transwell PM No Stim</t>
  </si>
  <si>
    <t>Fibroblasts + Transwell PM + LPS</t>
  </si>
  <si>
    <t>PMACS-95 RNA Quant</t>
  </si>
  <si>
    <t>BMDM Alone + No Stim</t>
  </si>
  <si>
    <t>BMDM Alone + LPS</t>
  </si>
  <si>
    <t>BMDM + Fibroblasts No Stim</t>
  </si>
  <si>
    <t>BMDM + Fibroblasts LPS</t>
  </si>
  <si>
    <t>BMDM Transwell + Fibroblasts No stim</t>
  </si>
  <si>
    <t>BMDM Transwell + Fibroblasts LPS</t>
  </si>
  <si>
    <t>PM Alone + No Stim</t>
  </si>
  <si>
    <t>PM Alone + LPS</t>
  </si>
  <si>
    <t>PM + Fibroblasts No Stim</t>
  </si>
  <si>
    <t>PM + Fibroblasts LPS</t>
  </si>
  <si>
    <t>PM Transwell + Fibroblasts No Stim</t>
  </si>
  <si>
    <t>PM Transwell + Fibroblasts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</si>
</sst>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" xfId="0" applyFill="1" applyBorder="1"/>
    <xf numFmtId="0" fontId="0" fillId="0" borderId="0" xfId="0" applyFill="1"/>
    <xf numFmtId="14" fontId="0" fillId="0" borderId="0" xfId="0" applyNumberFormat="1" applyFill="1"/>
    <xf numFmtId="0" fontId="0" fillId="33" borderId="1" xfId="0" applyFill="1" applyBorder="1"/>
    <xf numFmtId="0" fontId="0" fillId="34" borderId="1" xfId="0" applyFill="1" applyBorder="1"/>
    <xf numFmtId="1" fontId="0" fillId="34" borderId="1" xfId="0" applyNumberFormat="1" applyFill="1" applyBorder="1"/>
    <xf numFmtId="0" fontId="0" fillId="33" borderId="0" xfId="0" applyFill="1"/>
    <xf numFmtId="0" fontId="0" fillId="34" borderId="0" xfId="0" applyFill="1"/>
    <xf numFmtId="164" fontId="0" fillId="34" borderId="1" xfId="0" applyNumberFormat="1" applyFill="1" applyBorder="1"/>
    <xf numFmtId="0" fontId="0" fillId="33" borderId="11" xfId="0" applyFill="1" applyBorder="1"/>
    <xf numFmtId="0" fontId="0" fillId="34" borderId="11" xfId="0" applyFill="1" applyBorder="1"/>
    <xf numFmtId="164" fontId="0" fillId="33" borderId="0" xfId="0" applyNumberFormat="1" applyFill="1"/>
    <xf numFmtId="1" fontId="0" fillId="33" borderId="0" xfId="0" applyNumberFormat="1" applyFill="1"/>
    <xf numFmtId="0" fontId="0" fillId="34" borderId="13" xfId="0" applyFill="1" applyBorder="1"/>
    <xf numFmtId="164" fontId="0" fillId="34" borderId="13" xfId="0" applyNumberFormat="1" applyFill="1" applyBorder="1"/>
    <xf numFmtId="1" fontId="0" fillId="34" borderId="13" xfId="0" applyNumberFormat="1" applyFill="1" applyBorder="1"/>
    <xf numFmtId="0" fontId="0" fillId="33" borderId="12" xfId="0" applyFill="1" applyBorder="1"/>
    <xf numFmtId="164" fontId="0" fillId="33" borderId="12" xfId="0" applyNumberFormat="1" applyFill="1" applyBorder="1"/>
    <xf numFmtId="1" fontId="0" fillId="33" borderId="12" xfId="0" applyNumberFormat="1" applyFill="1" applyBorder="1"/>
    <xf numFmtId="1" fontId="0" fillId="33" borderId="1" xfId="0" applyNumberFormat="1" applyFill="1" applyBorder="1"/>
    <xf numFmtId="164" fontId="0" fillId="33" borderId="1" xfId="0" applyNumberFormat="1" applyFill="1" applyBorder="1"/>
    <xf numFmtId="0" fontId="0" fillId="0" borderId="0" xfId="0" applyFill="1" applyBorder="1"/>
    <xf numFmtId="164" fontId="0" fillId="0" borderId="0" xfId="0" applyNumberFormat="1" applyFill="1"/>
    <xf numFmtId="1" fontId="0" fillId="0" borderId="0" xfId="0" applyNumberFormat="1" applyFill="1"/>
    <xf numFmtId="0" fontId="0" fillId="0" borderId="12" xfId="0" applyFill="1" applyBorder="1"/>
    <xf numFmtId="164" fontId="0" fillId="0" borderId="12" xfId="0" applyNumberFormat="1" applyFill="1" applyBorder="1"/>
    <xf numFmtId="1" fontId="0" fillId="0" borderId="12" xfId="0" applyNumberFormat="1" applyFill="1" applyBorder="1"/>
    <xf numFmtId="164" fontId="0" fillId="0" borderId="1" xfId="0" applyNumberFormat="1" applyFill="1" applyBorder="1"/>
    <xf numFmtId="1" fontId="0" fillId="0" borderId="1" xfId="0" applyNumberFormat="1" applyFill="1" applyBorder="1"/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"/>
  <sheetViews>
    <sheetView workbookViewId="0">
      <selection sqref="A1:XFD1048576"/>
    </sheetView>
  </sheetViews>
  <sheetFormatPr defaultColWidth="9.08984375" defaultRowHeight="14.5" x14ac:dyDescent="0.35"/>
  <cols>
    <col min="1" max="1" width="19" style="2" customWidth="1"/>
    <col min="2" max="2" width="37.81640625" style="2" customWidth="1"/>
    <col min="3" max="6" width="12.6328125" style="2" customWidth="1"/>
    <col min="7" max="16384" width="9.08984375" style="2"/>
  </cols>
  <sheetData>
    <row r="1" spans="1:6" x14ac:dyDescent="0.35">
      <c r="A1" s="2" t="s">
        <v>21</v>
      </c>
    </row>
    <row r="2" spans="1:6" x14ac:dyDescent="0.35">
      <c r="A2" s="3">
        <v>44683</v>
      </c>
    </row>
    <row r="4" spans="1:6" x14ac:dyDescent="0.35">
      <c r="A4" s="1"/>
      <c r="B4" s="1" t="s">
        <v>1</v>
      </c>
    </row>
    <row r="5" spans="1:6" x14ac:dyDescent="0.35">
      <c r="A5" s="1" t="s">
        <v>0</v>
      </c>
    </row>
    <row r="6" spans="1:6" x14ac:dyDescent="0.35">
      <c r="A6" s="1" t="s">
        <v>2</v>
      </c>
      <c r="B6" s="1">
        <v>4</v>
      </c>
    </row>
    <row r="7" spans="1:6" x14ac:dyDescent="0.35">
      <c r="A7" s="1" t="s">
        <v>3</v>
      </c>
      <c r="B7" s="1"/>
    </row>
    <row r="8" spans="1:6" x14ac:dyDescent="0.35">
      <c r="A8" s="1" t="s">
        <v>8</v>
      </c>
      <c r="B8" s="1">
        <v>20</v>
      </c>
    </row>
    <row r="10" spans="1:6" x14ac:dyDescent="0.35">
      <c r="A10" s="1" t="s">
        <v>4</v>
      </c>
      <c r="B10" s="1" t="s">
        <v>9</v>
      </c>
      <c r="C10" s="1" t="s">
        <v>6</v>
      </c>
      <c r="D10" s="1" t="s">
        <v>5</v>
      </c>
      <c r="E10" s="1" t="s">
        <v>10</v>
      </c>
      <c r="F10" s="1" t="s">
        <v>7</v>
      </c>
    </row>
    <row r="11" spans="1:6" s="8" customFormat="1" x14ac:dyDescent="0.35">
      <c r="A11" s="5">
        <v>1</v>
      </c>
      <c r="B11" s="5" t="s">
        <v>11</v>
      </c>
      <c r="C11" s="8">
        <v>104.652</v>
      </c>
      <c r="D11" s="8">
        <v>1.3959999999999999</v>
      </c>
      <c r="E11" s="6">
        <f t="shared" ref="E11:E18" si="0">500/C11</f>
        <v>4.7777395558613307</v>
      </c>
      <c r="F11" s="6">
        <f>16-E11</f>
        <v>11.222260444138669</v>
      </c>
    </row>
    <row r="12" spans="1:6" s="7" customFormat="1" x14ac:dyDescent="0.35">
      <c r="A12" s="7">
        <v>2</v>
      </c>
      <c r="B12" s="4" t="s">
        <v>11</v>
      </c>
      <c r="C12" s="7">
        <v>155.268</v>
      </c>
      <c r="D12" s="7">
        <v>3.121</v>
      </c>
      <c r="E12" s="12">
        <f t="shared" si="0"/>
        <v>3.2202385552721746</v>
      </c>
      <c r="F12" s="13">
        <f t="shared" ref="F12" si="1">16-E12</f>
        <v>12.779761444727825</v>
      </c>
    </row>
    <row r="13" spans="1:6" s="8" customFormat="1" ht="14" customHeight="1" x14ac:dyDescent="0.35">
      <c r="A13" s="5">
        <v>3</v>
      </c>
      <c r="B13" s="5" t="s">
        <v>11</v>
      </c>
      <c r="C13" s="8">
        <v>118.48399999999999</v>
      </c>
      <c r="D13" s="8">
        <v>2.081</v>
      </c>
      <c r="E13" s="9">
        <f t="shared" si="0"/>
        <v>4.2199790689038181</v>
      </c>
      <c r="F13" s="6">
        <f t="shared" ref="F13:F18" si="2">16-E13</f>
        <v>11.780020931096182</v>
      </c>
    </row>
    <row r="14" spans="1:6" s="17" customFormat="1" x14ac:dyDescent="0.35">
      <c r="A14" s="17">
        <v>4</v>
      </c>
      <c r="B14" s="4" t="s">
        <v>12</v>
      </c>
      <c r="C14" s="17">
        <v>134.36799999999999</v>
      </c>
      <c r="D14" s="17">
        <v>1.722</v>
      </c>
      <c r="E14" s="18">
        <f t="shared" si="0"/>
        <v>3.7211240771612291</v>
      </c>
      <c r="F14" s="19">
        <f t="shared" si="2"/>
        <v>12.278875922838772</v>
      </c>
    </row>
    <row r="15" spans="1:6" s="8" customFormat="1" x14ac:dyDescent="0.35">
      <c r="A15" s="14">
        <v>5</v>
      </c>
      <c r="B15" s="14" t="s">
        <v>12</v>
      </c>
      <c r="C15" s="8">
        <v>160.28399999999999</v>
      </c>
      <c r="D15" s="8">
        <v>2.3420000000000001</v>
      </c>
      <c r="E15" s="15">
        <f t="shared" si="0"/>
        <v>3.1194629532579672</v>
      </c>
      <c r="F15" s="16">
        <f t="shared" si="2"/>
        <v>12.880537046742033</v>
      </c>
    </row>
    <row r="16" spans="1:6" s="7" customFormat="1" x14ac:dyDescent="0.35">
      <c r="A16" s="4">
        <v>6</v>
      </c>
      <c r="B16" s="4" t="s">
        <v>12</v>
      </c>
      <c r="C16" s="7">
        <v>176.01599999999999</v>
      </c>
      <c r="D16" s="7">
        <v>1.825</v>
      </c>
      <c r="E16" s="20">
        <f t="shared" si="0"/>
        <v>2.8406508499227345</v>
      </c>
      <c r="F16" s="20">
        <f t="shared" si="2"/>
        <v>13.159349150077265</v>
      </c>
    </row>
    <row r="17" spans="1:6" s="8" customFormat="1" x14ac:dyDescent="0.35">
      <c r="A17" s="5">
        <v>7</v>
      </c>
      <c r="B17" s="5" t="s">
        <v>13</v>
      </c>
      <c r="C17" s="8">
        <v>79.040000000000006</v>
      </c>
      <c r="D17" s="8">
        <v>1.0009999999999999</v>
      </c>
      <c r="E17" s="6">
        <f t="shared" si="0"/>
        <v>6.3259109311740884</v>
      </c>
      <c r="F17" s="6">
        <f t="shared" si="2"/>
        <v>9.6740890688259107</v>
      </c>
    </row>
    <row r="18" spans="1:6" s="7" customFormat="1" x14ac:dyDescent="0.35">
      <c r="A18" s="4">
        <v>8</v>
      </c>
      <c r="B18" s="4" t="s">
        <v>13</v>
      </c>
      <c r="C18" s="7">
        <v>81.927999999999997</v>
      </c>
      <c r="D18" s="7">
        <v>1.2809999999999999</v>
      </c>
      <c r="E18" s="21">
        <f t="shared" si="0"/>
        <v>6.1029196367542236</v>
      </c>
      <c r="F18" s="20">
        <f t="shared" si="2"/>
        <v>9.8970803632457773</v>
      </c>
    </row>
    <row r="19" spans="1:6" s="8" customFormat="1" x14ac:dyDescent="0.35">
      <c r="A19" s="5">
        <v>9</v>
      </c>
      <c r="B19" s="5" t="s">
        <v>13</v>
      </c>
      <c r="C19" s="8">
        <v>41.951999999999998</v>
      </c>
      <c r="D19" s="8">
        <v>0.60699999999999998</v>
      </c>
      <c r="E19" s="9">
        <f t="shared" ref="E19:E40" si="3">500/C19</f>
        <v>11.918382913806255</v>
      </c>
      <c r="F19" s="6">
        <f t="shared" ref="F19:F40" si="4">16-E19</f>
        <v>4.0816170861937451</v>
      </c>
    </row>
    <row r="20" spans="1:6" s="7" customFormat="1" x14ac:dyDescent="0.35">
      <c r="A20" s="10">
        <v>10</v>
      </c>
      <c r="B20" s="10" t="s">
        <v>14</v>
      </c>
      <c r="C20" s="7">
        <v>71.516000000000005</v>
      </c>
      <c r="D20" s="7">
        <v>1.546</v>
      </c>
      <c r="E20" s="21">
        <f t="shared" si="3"/>
        <v>6.9914424744113202</v>
      </c>
      <c r="F20" s="20">
        <f t="shared" si="4"/>
        <v>9.0085575255886798</v>
      </c>
    </row>
    <row r="21" spans="1:6" s="8" customFormat="1" x14ac:dyDescent="0.35">
      <c r="A21" s="11">
        <v>11</v>
      </c>
      <c r="B21" s="11" t="s">
        <v>14</v>
      </c>
      <c r="C21" s="8">
        <v>69.691999999999993</v>
      </c>
      <c r="D21" s="8">
        <v>2.8260000000000001</v>
      </c>
      <c r="E21" s="9">
        <f t="shared" si="3"/>
        <v>7.1744246111461871</v>
      </c>
      <c r="F21" s="6">
        <f t="shared" si="4"/>
        <v>8.8255753888538138</v>
      </c>
    </row>
    <row r="22" spans="1:6" s="7" customFormat="1" x14ac:dyDescent="0.35">
      <c r="A22" s="10">
        <v>12</v>
      </c>
      <c r="B22" s="10" t="s">
        <v>14</v>
      </c>
      <c r="C22" s="7">
        <v>51.3</v>
      </c>
      <c r="D22" s="7">
        <v>2.2170000000000001</v>
      </c>
      <c r="E22" s="21">
        <f t="shared" si="3"/>
        <v>9.7465886939571149</v>
      </c>
      <c r="F22" s="20">
        <f t="shared" si="4"/>
        <v>6.2534113060428851</v>
      </c>
    </row>
    <row r="23" spans="1:6" s="8" customFormat="1" x14ac:dyDescent="0.35">
      <c r="A23" s="11">
        <v>13</v>
      </c>
      <c r="B23" s="11" t="s">
        <v>15</v>
      </c>
      <c r="C23" s="8">
        <v>29.26</v>
      </c>
      <c r="D23" s="8">
        <v>1.4370000000000001</v>
      </c>
      <c r="E23" s="9">
        <f t="shared" si="3"/>
        <v>17.088174982911823</v>
      </c>
      <c r="F23" s="6">
        <f t="shared" si="4"/>
        <v>-1.0881749829118235</v>
      </c>
    </row>
    <row r="24" spans="1:6" s="7" customFormat="1" x14ac:dyDescent="0.35">
      <c r="A24" s="10">
        <v>14</v>
      </c>
      <c r="B24" s="10" t="s">
        <v>15</v>
      </c>
      <c r="C24" s="7">
        <v>50.235999999999997</v>
      </c>
      <c r="D24" s="7">
        <v>1.4610000000000001</v>
      </c>
      <c r="E24" s="21">
        <f t="shared" si="3"/>
        <v>9.9530217373994745</v>
      </c>
      <c r="F24" s="20">
        <f t="shared" si="4"/>
        <v>6.0469782626005255</v>
      </c>
    </row>
    <row r="25" spans="1:6" s="8" customFormat="1" x14ac:dyDescent="0.35">
      <c r="A25" s="11">
        <v>15</v>
      </c>
      <c r="B25" s="11" t="s">
        <v>15</v>
      </c>
      <c r="C25" s="8">
        <v>31.084</v>
      </c>
      <c r="D25" s="8">
        <v>1.292</v>
      </c>
      <c r="E25" s="9">
        <f t="shared" si="3"/>
        <v>16.085445888560031</v>
      </c>
      <c r="F25" s="6">
        <f t="shared" si="4"/>
        <v>-8.544588856003088E-2</v>
      </c>
    </row>
    <row r="26" spans="1:6" s="7" customFormat="1" x14ac:dyDescent="0.35">
      <c r="A26" s="10">
        <v>16</v>
      </c>
      <c r="B26" s="10" t="s">
        <v>16</v>
      </c>
      <c r="C26" s="7">
        <v>36.479999999999997</v>
      </c>
      <c r="D26" s="7">
        <v>1.4950000000000001</v>
      </c>
      <c r="E26" s="21">
        <f t="shared" si="3"/>
        <v>13.706140350877194</v>
      </c>
      <c r="F26" s="20">
        <f t="shared" si="4"/>
        <v>2.2938596491228065</v>
      </c>
    </row>
    <row r="27" spans="1:6" s="8" customFormat="1" x14ac:dyDescent="0.35">
      <c r="A27" s="11">
        <v>14</v>
      </c>
      <c r="B27" s="11" t="s">
        <v>16</v>
      </c>
      <c r="C27" s="8">
        <v>39.064</v>
      </c>
      <c r="D27" s="8">
        <v>1.611</v>
      </c>
      <c r="E27" s="9">
        <f t="shared" si="3"/>
        <v>12.799508498873644</v>
      </c>
      <c r="F27" s="6">
        <f t="shared" si="4"/>
        <v>3.2004915011263559</v>
      </c>
    </row>
    <row r="28" spans="1:6" s="7" customFormat="1" x14ac:dyDescent="0.35">
      <c r="A28" s="10">
        <v>18</v>
      </c>
      <c r="B28" s="10" t="s">
        <v>16</v>
      </c>
      <c r="C28" s="7">
        <v>36.936</v>
      </c>
      <c r="D28" s="7">
        <v>1.593</v>
      </c>
      <c r="E28" s="21">
        <f t="shared" si="3"/>
        <v>13.536928741607104</v>
      </c>
      <c r="F28" s="20">
        <f t="shared" si="4"/>
        <v>2.4630712583928958</v>
      </c>
    </row>
    <row r="29" spans="1:6" s="8" customFormat="1" x14ac:dyDescent="0.35">
      <c r="A29" s="11">
        <v>19</v>
      </c>
      <c r="B29" s="11" t="s">
        <v>17</v>
      </c>
      <c r="C29" s="8">
        <v>24.472000000000001</v>
      </c>
      <c r="D29" s="8">
        <v>1.5940000000000001</v>
      </c>
      <c r="E29" s="9">
        <f t="shared" si="3"/>
        <v>20.431513566525005</v>
      </c>
      <c r="F29" s="6">
        <f t="shared" si="4"/>
        <v>-4.4315135665250054</v>
      </c>
    </row>
    <row r="30" spans="1:6" s="7" customFormat="1" x14ac:dyDescent="0.35">
      <c r="A30" s="10">
        <v>20</v>
      </c>
      <c r="B30" s="10" t="s">
        <v>17</v>
      </c>
      <c r="C30" s="7">
        <v>32.756</v>
      </c>
      <c r="D30" s="7">
        <v>1.6020000000000001</v>
      </c>
      <c r="E30" s="21">
        <f t="shared" si="3"/>
        <v>15.264379045060446</v>
      </c>
      <c r="F30" s="20">
        <f t="shared" si="4"/>
        <v>0.73562095493955404</v>
      </c>
    </row>
    <row r="31" spans="1:6" s="8" customFormat="1" x14ac:dyDescent="0.35">
      <c r="A31" s="11">
        <v>21</v>
      </c>
      <c r="B31" s="11" t="s">
        <v>17</v>
      </c>
      <c r="C31" s="8">
        <v>54.34</v>
      </c>
      <c r="D31" s="8">
        <v>0.79</v>
      </c>
      <c r="E31" s="9">
        <f t="shared" si="3"/>
        <v>9.2013249907986747</v>
      </c>
      <c r="F31" s="6">
        <f t="shared" si="4"/>
        <v>6.7986750092013253</v>
      </c>
    </row>
    <row r="32" spans="1:6" s="7" customFormat="1" x14ac:dyDescent="0.35">
      <c r="A32" s="10">
        <v>22</v>
      </c>
      <c r="B32" s="10" t="s">
        <v>18</v>
      </c>
      <c r="C32" s="7">
        <v>22.724</v>
      </c>
      <c r="D32" s="7">
        <v>1.6890000000000001</v>
      </c>
      <c r="E32" s="21">
        <f t="shared" si="3"/>
        <v>22.003168456257701</v>
      </c>
      <c r="F32" s="20">
        <f t="shared" si="4"/>
        <v>-6.0031684562577006</v>
      </c>
    </row>
    <row r="33" spans="1:6" s="8" customFormat="1" x14ac:dyDescent="0.35">
      <c r="A33" s="11">
        <v>23</v>
      </c>
      <c r="B33" s="11" t="s">
        <v>18</v>
      </c>
      <c r="C33" s="8">
        <v>28.88</v>
      </c>
      <c r="D33" s="8">
        <v>1.4730000000000001</v>
      </c>
      <c r="E33" s="9">
        <f t="shared" si="3"/>
        <v>17.313019390581719</v>
      </c>
      <c r="F33" s="6">
        <f t="shared" si="4"/>
        <v>-1.3130193905817187</v>
      </c>
    </row>
    <row r="34" spans="1:6" s="7" customFormat="1" x14ac:dyDescent="0.35">
      <c r="A34" s="10">
        <v>24</v>
      </c>
      <c r="B34" s="10" t="s">
        <v>18</v>
      </c>
      <c r="C34" s="7">
        <v>22.495999999999999</v>
      </c>
      <c r="D34" s="7">
        <v>1.635</v>
      </c>
      <c r="E34" s="21">
        <f t="shared" si="3"/>
        <v>22.226173541963018</v>
      </c>
      <c r="F34" s="20">
        <f t="shared" si="4"/>
        <v>-6.2261735419630178</v>
      </c>
    </row>
    <row r="35" spans="1:6" s="8" customFormat="1" x14ac:dyDescent="0.35">
      <c r="A35" s="11">
        <v>25</v>
      </c>
      <c r="B35" s="11" t="s">
        <v>19</v>
      </c>
      <c r="C35" s="8">
        <v>18.544</v>
      </c>
      <c r="D35" s="8">
        <v>1.5740000000000001</v>
      </c>
      <c r="E35" s="9">
        <f t="shared" si="3"/>
        <v>26.962899050905953</v>
      </c>
      <c r="F35" s="6">
        <f t="shared" si="4"/>
        <v>-10.962899050905953</v>
      </c>
    </row>
    <row r="36" spans="1:6" s="7" customFormat="1" x14ac:dyDescent="0.35">
      <c r="A36" s="10">
        <v>26</v>
      </c>
      <c r="B36" s="10" t="s">
        <v>19</v>
      </c>
      <c r="C36" s="7">
        <v>16.568000000000001</v>
      </c>
      <c r="D36" s="7">
        <v>1.591</v>
      </c>
      <c r="E36" s="21">
        <f t="shared" si="3"/>
        <v>30.178657653307578</v>
      </c>
      <c r="F36" s="20">
        <f t="shared" si="4"/>
        <v>-14.178657653307578</v>
      </c>
    </row>
    <row r="37" spans="1:6" s="8" customFormat="1" x14ac:dyDescent="0.35">
      <c r="A37" s="11">
        <v>27</v>
      </c>
      <c r="B37" s="11" t="s">
        <v>19</v>
      </c>
      <c r="C37" s="8">
        <v>22.495999999999999</v>
      </c>
      <c r="D37" s="8">
        <v>1.85</v>
      </c>
      <c r="E37" s="9">
        <f t="shared" si="3"/>
        <v>22.226173541963018</v>
      </c>
      <c r="F37" s="6">
        <f t="shared" si="4"/>
        <v>-6.2261735419630178</v>
      </c>
    </row>
    <row r="38" spans="1:6" s="7" customFormat="1" x14ac:dyDescent="0.35">
      <c r="A38" s="10">
        <v>28</v>
      </c>
      <c r="B38" s="10" t="s">
        <v>20</v>
      </c>
      <c r="C38" s="7">
        <v>22.344000000000001</v>
      </c>
      <c r="D38" s="7">
        <v>1.69</v>
      </c>
      <c r="E38" s="21">
        <f t="shared" si="3"/>
        <v>22.37737200143215</v>
      </c>
      <c r="F38" s="20">
        <f t="shared" si="4"/>
        <v>-6.3773720014321498</v>
      </c>
    </row>
    <row r="39" spans="1:6" s="8" customFormat="1" x14ac:dyDescent="0.35">
      <c r="A39" s="11">
        <v>29</v>
      </c>
      <c r="B39" s="11" t="s">
        <v>20</v>
      </c>
      <c r="C39" s="8">
        <v>17.632000000000001</v>
      </c>
      <c r="D39" s="8">
        <v>1.657</v>
      </c>
      <c r="E39" s="9">
        <f t="shared" si="3"/>
        <v>28.35753176043557</v>
      </c>
      <c r="F39" s="6">
        <f t="shared" si="4"/>
        <v>-12.35753176043557</v>
      </c>
    </row>
    <row r="40" spans="1:6" s="7" customFormat="1" x14ac:dyDescent="0.35">
      <c r="A40" s="10">
        <v>30</v>
      </c>
      <c r="B40" s="10" t="s">
        <v>20</v>
      </c>
      <c r="C40" s="7">
        <v>28.196000000000002</v>
      </c>
      <c r="D40" s="7">
        <v>1.62</v>
      </c>
      <c r="E40" s="21">
        <f t="shared" si="3"/>
        <v>17.733011774719817</v>
      </c>
      <c r="F40" s="20">
        <f t="shared" si="4"/>
        <v>-1.7330117747198166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E364-9A1F-4D8D-B20B-E2E8618F1514}">
  <dimension ref="A1:F46"/>
  <sheetViews>
    <sheetView tabSelected="1" topLeftCell="A2" workbookViewId="0">
      <selection activeCell="B22" sqref="B22"/>
    </sheetView>
  </sheetViews>
  <sheetFormatPr defaultColWidth="9.08984375" defaultRowHeight="14.5" x14ac:dyDescent="0.35"/>
  <cols>
    <col min="1" max="1" width="19" style="2" customWidth="1"/>
    <col min="2" max="2" width="37.81640625" style="2" customWidth="1"/>
    <col min="3" max="6" width="12.6328125" style="2" customWidth="1"/>
    <col min="7" max="16384" width="9.08984375" style="2"/>
  </cols>
  <sheetData>
    <row r="1" spans="1:6" x14ac:dyDescent="0.35">
      <c r="A1" s="2" t="s">
        <v>21</v>
      </c>
    </row>
    <row r="2" spans="1:6" x14ac:dyDescent="0.35">
      <c r="A2" s="3">
        <v>44683</v>
      </c>
    </row>
    <row r="4" spans="1:6" x14ac:dyDescent="0.35">
      <c r="A4" s="1"/>
      <c r="B4" s="1" t="s">
        <v>1</v>
      </c>
    </row>
    <row r="5" spans="1:6" x14ac:dyDescent="0.35">
      <c r="A5" s="1" t="s">
        <v>0</v>
      </c>
    </row>
    <row r="6" spans="1:6" x14ac:dyDescent="0.35">
      <c r="A6" s="1" t="s">
        <v>2</v>
      </c>
      <c r="B6" s="1">
        <v>4</v>
      </c>
    </row>
    <row r="7" spans="1:6" x14ac:dyDescent="0.35">
      <c r="A7" s="1" t="s">
        <v>3</v>
      </c>
      <c r="B7" s="1"/>
    </row>
    <row r="8" spans="1:6" x14ac:dyDescent="0.35">
      <c r="A8" s="1" t="s">
        <v>8</v>
      </c>
      <c r="B8" s="1">
        <v>20</v>
      </c>
    </row>
    <row r="10" spans="1:6" x14ac:dyDescent="0.35">
      <c r="A10" s="1" t="s">
        <v>4</v>
      </c>
      <c r="B10" s="1" t="s">
        <v>9</v>
      </c>
      <c r="C10" s="1" t="s">
        <v>6</v>
      </c>
      <c r="D10" s="1" t="s">
        <v>5</v>
      </c>
      <c r="E10" s="1" t="s">
        <v>10</v>
      </c>
      <c r="F10" s="1" t="s">
        <v>7</v>
      </c>
    </row>
    <row r="11" spans="1:6" s="8" customFormat="1" x14ac:dyDescent="0.35">
      <c r="A11" s="5">
        <v>1</v>
      </c>
      <c r="B11" s="5" t="s">
        <v>22</v>
      </c>
      <c r="C11" s="8">
        <v>73.415999999999997</v>
      </c>
      <c r="D11" s="8">
        <v>0.90900000000000003</v>
      </c>
      <c r="E11" s="6">
        <f t="shared" ref="E11:E40" si="0">500/C11</f>
        <v>6.8105045221750027</v>
      </c>
      <c r="F11" s="6">
        <f>16-E11</f>
        <v>9.1894954778249982</v>
      </c>
    </row>
    <row r="12" spans="1:6" x14ac:dyDescent="0.35">
      <c r="A12" s="2">
        <v>2</v>
      </c>
      <c r="B12" s="1" t="s">
        <v>22</v>
      </c>
      <c r="C12" s="2">
        <v>29.867999999999999</v>
      </c>
      <c r="D12" s="2">
        <v>1.5</v>
      </c>
      <c r="E12" s="23">
        <f t="shared" si="0"/>
        <v>16.740324092674435</v>
      </c>
      <c r="F12" s="24">
        <f t="shared" ref="F12:F40" si="1">16-E12</f>
        <v>-0.74032409267443455</v>
      </c>
    </row>
    <row r="13" spans="1:6" s="8" customFormat="1" ht="14" customHeight="1" x14ac:dyDescent="0.35">
      <c r="A13" s="5">
        <v>3</v>
      </c>
      <c r="B13" s="5" t="s">
        <v>22</v>
      </c>
      <c r="C13" s="8">
        <v>29.564</v>
      </c>
      <c r="D13" s="8">
        <v>1.4510000000000001</v>
      </c>
      <c r="E13" s="9">
        <f t="shared" si="0"/>
        <v>16.912461101339467</v>
      </c>
      <c r="F13" s="6">
        <f t="shared" si="1"/>
        <v>-0.91246110133946701</v>
      </c>
    </row>
    <row r="14" spans="1:6" s="25" customFormat="1" x14ac:dyDescent="0.35">
      <c r="A14" s="25">
        <v>4</v>
      </c>
      <c r="B14" s="1" t="s">
        <v>23</v>
      </c>
      <c r="C14" s="2">
        <v>30.856000000000002</v>
      </c>
      <c r="D14" s="2">
        <v>1.381</v>
      </c>
      <c r="E14" s="26">
        <f t="shared" si="0"/>
        <v>16.204303863106041</v>
      </c>
      <c r="F14" s="27">
        <f t="shared" si="1"/>
        <v>-0.20430386310604121</v>
      </c>
    </row>
    <row r="15" spans="1:6" s="8" customFormat="1" x14ac:dyDescent="0.35">
      <c r="A15" s="14">
        <v>5</v>
      </c>
      <c r="B15" s="5" t="s">
        <v>23</v>
      </c>
      <c r="C15" s="8">
        <v>30.324000000000002</v>
      </c>
      <c r="D15" s="8">
        <v>1.478</v>
      </c>
      <c r="E15" s="15">
        <f t="shared" si="0"/>
        <v>16.48858989579211</v>
      </c>
      <c r="F15" s="16">
        <f t="shared" si="1"/>
        <v>-0.48858989579210998</v>
      </c>
    </row>
    <row r="16" spans="1:6" s="7" customFormat="1" x14ac:dyDescent="0.35">
      <c r="A16" s="4">
        <v>6</v>
      </c>
      <c r="B16" s="4" t="s">
        <v>23</v>
      </c>
      <c r="C16">
        <v>85.195999999999998</v>
      </c>
      <c r="D16">
        <v>0.96399999999999997</v>
      </c>
      <c r="E16" s="20">
        <f t="shared" si="0"/>
        <v>5.8688201324005824</v>
      </c>
      <c r="F16" s="20">
        <f t="shared" si="1"/>
        <v>10.131179867599418</v>
      </c>
    </row>
    <row r="17" spans="1:6" s="8" customFormat="1" x14ac:dyDescent="0.35">
      <c r="A17" s="5">
        <v>7</v>
      </c>
      <c r="B17" s="5" t="s">
        <v>24</v>
      </c>
      <c r="C17" s="8">
        <v>13.603999999999999</v>
      </c>
      <c r="D17" s="8">
        <v>1.4670000000000001</v>
      </c>
      <c r="E17" s="6">
        <f t="shared" si="0"/>
        <v>36.753895912966776</v>
      </c>
      <c r="F17" s="6">
        <f t="shared" si="1"/>
        <v>-20.753895912966776</v>
      </c>
    </row>
    <row r="18" spans="1:6" x14ac:dyDescent="0.35">
      <c r="A18" s="1">
        <v>8</v>
      </c>
      <c r="B18" s="1" t="s">
        <v>24</v>
      </c>
      <c r="C18" s="2">
        <v>13.756</v>
      </c>
      <c r="D18" s="2">
        <v>1.448</v>
      </c>
      <c r="E18" s="28">
        <f t="shared" si="0"/>
        <v>36.347775516138412</v>
      </c>
      <c r="F18" s="29">
        <f t="shared" si="1"/>
        <v>-20.347775516138412</v>
      </c>
    </row>
    <row r="19" spans="1:6" s="8" customFormat="1" x14ac:dyDescent="0.35">
      <c r="A19" s="5">
        <v>9</v>
      </c>
      <c r="B19" s="5" t="s">
        <v>24</v>
      </c>
      <c r="C19" s="8">
        <v>14.972</v>
      </c>
      <c r="D19" s="8">
        <v>1.47</v>
      </c>
      <c r="E19" s="9">
        <f t="shared" si="0"/>
        <v>33.39567192091905</v>
      </c>
      <c r="F19" s="6">
        <f t="shared" si="1"/>
        <v>-17.39567192091905</v>
      </c>
    </row>
    <row r="20" spans="1:6" x14ac:dyDescent="0.35">
      <c r="A20" s="30">
        <v>10</v>
      </c>
      <c r="B20" s="1" t="s">
        <v>25</v>
      </c>
      <c r="C20" s="2">
        <v>16.036000000000001</v>
      </c>
      <c r="D20" s="2">
        <v>1.575</v>
      </c>
      <c r="E20" s="28">
        <f t="shared" si="0"/>
        <v>31.179845347967071</v>
      </c>
      <c r="F20" s="29">
        <f t="shared" si="1"/>
        <v>-15.179845347967071</v>
      </c>
    </row>
    <row r="21" spans="1:6" s="8" customFormat="1" x14ac:dyDescent="0.35">
      <c r="A21" s="11">
        <v>11</v>
      </c>
      <c r="B21" s="5" t="s">
        <v>25</v>
      </c>
      <c r="C21" s="8">
        <v>15.352</v>
      </c>
      <c r="D21" s="8">
        <v>1.403</v>
      </c>
      <c r="E21" s="9">
        <f t="shared" si="0"/>
        <v>32.569046378322042</v>
      </c>
      <c r="F21" s="6">
        <f t="shared" si="1"/>
        <v>-16.569046378322042</v>
      </c>
    </row>
    <row r="22" spans="1:6" x14ac:dyDescent="0.35">
      <c r="A22" s="30">
        <v>12</v>
      </c>
      <c r="B22" s="1" t="s">
        <v>25</v>
      </c>
      <c r="C22" s="2">
        <v>11.02</v>
      </c>
      <c r="D22" s="2">
        <v>1.768</v>
      </c>
      <c r="E22" s="28">
        <f t="shared" si="0"/>
        <v>45.37205081669692</v>
      </c>
      <c r="F22" s="29">
        <f t="shared" si="1"/>
        <v>-29.37205081669692</v>
      </c>
    </row>
    <row r="23" spans="1:6" s="8" customFormat="1" x14ac:dyDescent="0.35">
      <c r="A23" s="11">
        <v>13</v>
      </c>
      <c r="B23" s="11" t="s">
        <v>26</v>
      </c>
      <c r="C23" s="8">
        <v>23.788</v>
      </c>
      <c r="D23" s="8">
        <v>1.03</v>
      </c>
      <c r="E23" s="9">
        <f t="shared" si="0"/>
        <v>21.019001177064066</v>
      </c>
      <c r="F23" s="6">
        <f t="shared" si="1"/>
        <v>-5.0190011770640659</v>
      </c>
    </row>
    <row r="24" spans="1:6" x14ac:dyDescent="0.35">
      <c r="A24" s="30">
        <v>14</v>
      </c>
      <c r="B24" s="30" t="s">
        <v>26</v>
      </c>
      <c r="C24" s="2">
        <v>18.391999999999999</v>
      </c>
      <c r="D24" s="2">
        <v>1.4670000000000001</v>
      </c>
      <c r="E24" s="28">
        <f t="shared" si="0"/>
        <v>27.185732927359723</v>
      </c>
      <c r="F24" s="29">
        <f t="shared" si="1"/>
        <v>-11.185732927359723</v>
      </c>
    </row>
    <row r="25" spans="1:6" s="8" customFormat="1" x14ac:dyDescent="0.35">
      <c r="A25" s="11">
        <v>15</v>
      </c>
      <c r="B25" s="11" t="s">
        <v>26</v>
      </c>
      <c r="C25" s="8">
        <v>13.907999999999999</v>
      </c>
      <c r="D25" s="8">
        <v>1.488</v>
      </c>
      <c r="E25" s="9">
        <f t="shared" si="0"/>
        <v>35.950532067874605</v>
      </c>
      <c r="F25" s="6">
        <f t="shared" si="1"/>
        <v>-19.950532067874605</v>
      </c>
    </row>
    <row r="26" spans="1:6" x14ac:dyDescent="0.35">
      <c r="A26" s="30">
        <v>16</v>
      </c>
      <c r="B26" s="30" t="s">
        <v>27</v>
      </c>
      <c r="C26" s="2">
        <v>16.34</v>
      </c>
      <c r="D26" s="2">
        <v>1.4530000000000001</v>
      </c>
      <c r="E26" s="28">
        <f t="shared" si="0"/>
        <v>30.599755201958384</v>
      </c>
      <c r="F26" s="29">
        <f t="shared" si="1"/>
        <v>-14.599755201958384</v>
      </c>
    </row>
    <row r="27" spans="1:6" s="8" customFormat="1" x14ac:dyDescent="0.35">
      <c r="A27" s="11">
        <v>14</v>
      </c>
      <c r="B27" s="11" t="s">
        <v>27</v>
      </c>
      <c r="C27" s="8">
        <v>16.187999999999999</v>
      </c>
      <c r="D27" s="8">
        <v>1.42</v>
      </c>
      <c r="E27" s="9">
        <f t="shared" si="0"/>
        <v>30.887076847047197</v>
      </c>
      <c r="F27" s="6">
        <f t="shared" si="1"/>
        <v>-14.887076847047197</v>
      </c>
    </row>
    <row r="28" spans="1:6" x14ac:dyDescent="0.35">
      <c r="A28" s="30">
        <v>18</v>
      </c>
      <c r="B28" s="30" t="s">
        <v>27</v>
      </c>
      <c r="C28" s="2">
        <v>18.391999999999999</v>
      </c>
      <c r="D28" s="2">
        <v>1.44</v>
      </c>
      <c r="E28" s="28">
        <f t="shared" si="0"/>
        <v>27.185732927359723</v>
      </c>
      <c r="F28" s="29">
        <f t="shared" si="1"/>
        <v>-11.185732927359723</v>
      </c>
    </row>
    <row r="29" spans="1:6" s="8" customFormat="1" x14ac:dyDescent="0.35">
      <c r="A29" s="11">
        <v>19</v>
      </c>
      <c r="B29" s="11" t="s">
        <v>28</v>
      </c>
      <c r="C29" s="8">
        <v>33.82</v>
      </c>
      <c r="D29" s="8">
        <v>1.595</v>
      </c>
      <c r="E29" s="9">
        <f t="shared" si="0"/>
        <v>14.78415138971023</v>
      </c>
      <c r="F29" s="6">
        <f t="shared" si="1"/>
        <v>1.2158486102897701</v>
      </c>
    </row>
    <row r="30" spans="1:6" x14ac:dyDescent="0.35">
      <c r="A30" s="30">
        <v>20</v>
      </c>
      <c r="B30" s="30" t="s">
        <v>28</v>
      </c>
      <c r="C30" s="2">
        <v>68.703999999999994</v>
      </c>
      <c r="D30" s="2">
        <v>1.53</v>
      </c>
      <c r="E30" s="28">
        <f t="shared" si="0"/>
        <v>7.2775966464834658</v>
      </c>
      <c r="F30" s="29">
        <f t="shared" si="1"/>
        <v>8.7224033535165333</v>
      </c>
    </row>
    <row r="31" spans="1:6" s="8" customFormat="1" x14ac:dyDescent="0.35">
      <c r="A31" s="11">
        <v>21</v>
      </c>
      <c r="B31" s="11" t="s">
        <v>28</v>
      </c>
      <c r="C31" s="8">
        <v>43.776000000000003</v>
      </c>
      <c r="D31" s="8">
        <v>1.609</v>
      </c>
      <c r="E31" s="9">
        <f t="shared" si="0"/>
        <v>11.421783625730994</v>
      </c>
      <c r="F31" s="6">
        <f t="shared" si="1"/>
        <v>4.5782163742690063</v>
      </c>
    </row>
    <row r="32" spans="1:6" x14ac:dyDescent="0.35">
      <c r="A32" s="30">
        <v>22</v>
      </c>
      <c r="B32" s="30" t="s">
        <v>29</v>
      </c>
      <c r="C32" s="2">
        <v>63.231999999999999</v>
      </c>
      <c r="D32" s="2">
        <v>1.502</v>
      </c>
      <c r="E32" s="28">
        <f t="shared" si="0"/>
        <v>7.9073886639676116</v>
      </c>
      <c r="F32" s="29">
        <f t="shared" si="1"/>
        <v>8.0926113360323875</v>
      </c>
    </row>
    <row r="33" spans="1:6" s="8" customFormat="1" x14ac:dyDescent="0.35">
      <c r="A33" s="11">
        <v>23</v>
      </c>
      <c r="B33" s="11" t="s">
        <v>29</v>
      </c>
      <c r="C33" s="8">
        <v>58.595999999999997</v>
      </c>
      <c r="D33" s="8">
        <v>1.6439999999999999</v>
      </c>
      <c r="E33" s="9">
        <f t="shared" si="0"/>
        <v>8.5330056659157627</v>
      </c>
      <c r="F33" s="6">
        <f t="shared" si="1"/>
        <v>7.4669943340842373</v>
      </c>
    </row>
    <row r="34" spans="1:6" x14ac:dyDescent="0.35">
      <c r="A34" s="30">
        <v>24</v>
      </c>
      <c r="B34" s="30" t="s">
        <v>29</v>
      </c>
      <c r="C34" s="2">
        <v>83.067999999999998</v>
      </c>
      <c r="D34" s="2">
        <v>1.661</v>
      </c>
      <c r="E34" s="28">
        <f t="shared" si="0"/>
        <v>6.0191650214282273</v>
      </c>
      <c r="F34" s="29">
        <f t="shared" si="1"/>
        <v>9.9808349785717727</v>
      </c>
    </row>
    <row r="35" spans="1:6" s="8" customFormat="1" x14ac:dyDescent="0.35">
      <c r="A35" s="11">
        <v>25</v>
      </c>
      <c r="B35" s="11" t="s">
        <v>30</v>
      </c>
      <c r="C35" s="8">
        <v>22.952000000000002</v>
      </c>
      <c r="D35" s="8">
        <v>1.641</v>
      </c>
      <c r="E35" s="9">
        <f t="shared" si="0"/>
        <v>21.784593935169045</v>
      </c>
      <c r="F35" s="6">
        <f t="shared" si="1"/>
        <v>-5.7845939351690454</v>
      </c>
    </row>
    <row r="36" spans="1:6" x14ac:dyDescent="0.35">
      <c r="A36" s="30">
        <v>26</v>
      </c>
      <c r="B36" s="30" t="s">
        <v>30</v>
      </c>
      <c r="C36" s="2">
        <v>35.264000000000003</v>
      </c>
      <c r="D36" s="2">
        <v>1.33</v>
      </c>
      <c r="E36" s="28">
        <f t="shared" si="0"/>
        <v>14.178765880217785</v>
      </c>
      <c r="F36" s="29">
        <f t="shared" si="1"/>
        <v>1.8212341197822148</v>
      </c>
    </row>
    <row r="37" spans="1:6" s="8" customFormat="1" x14ac:dyDescent="0.35">
      <c r="A37" s="11">
        <v>27</v>
      </c>
      <c r="B37" s="11" t="s">
        <v>30</v>
      </c>
      <c r="C37" s="8">
        <v>13.071999999999999</v>
      </c>
      <c r="D37" s="8">
        <v>1.55</v>
      </c>
      <c r="E37" s="9">
        <f t="shared" si="0"/>
        <v>38.249694002447981</v>
      </c>
      <c r="F37" s="6">
        <f t="shared" si="1"/>
        <v>-22.249694002447981</v>
      </c>
    </row>
    <row r="38" spans="1:6" x14ac:dyDescent="0.35">
      <c r="A38" s="30">
        <v>28</v>
      </c>
      <c r="B38" s="30" t="s">
        <v>31</v>
      </c>
      <c r="C38" s="2">
        <v>12.007999999999999</v>
      </c>
      <c r="D38" s="2">
        <v>1.629</v>
      </c>
      <c r="E38" s="28">
        <f t="shared" si="0"/>
        <v>41.638907395069957</v>
      </c>
      <c r="F38" s="29">
        <f t="shared" si="1"/>
        <v>-25.638907395069957</v>
      </c>
    </row>
    <row r="39" spans="1:6" s="8" customFormat="1" x14ac:dyDescent="0.35">
      <c r="A39" s="11">
        <v>29</v>
      </c>
      <c r="B39" s="11" t="s">
        <v>31</v>
      </c>
      <c r="C39" s="8">
        <v>16.416</v>
      </c>
      <c r="D39" s="8">
        <v>1.4590000000000001</v>
      </c>
      <c r="E39" s="9">
        <f t="shared" si="0"/>
        <v>30.458089668615983</v>
      </c>
      <c r="F39" s="6">
        <f t="shared" si="1"/>
        <v>-14.458089668615983</v>
      </c>
    </row>
    <row r="40" spans="1:6" x14ac:dyDescent="0.35">
      <c r="A40" s="30">
        <v>30</v>
      </c>
      <c r="B40" s="30" t="s">
        <v>31</v>
      </c>
      <c r="C40" s="2">
        <v>14.82</v>
      </c>
      <c r="D40" s="2">
        <v>1.5229999999999999</v>
      </c>
      <c r="E40" s="28">
        <f t="shared" si="0"/>
        <v>33.738191632928476</v>
      </c>
      <c r="F40" s="29">
        <f t="shared" si="1"/>
        <v>-17.738191632928476</v>
      </c>
    </row>
    <row r="41" spans="1:6" s="8" customFormat="1" x14ac:dyDescent="0.35">
      <c r="A41" s="11">
        <v>31</v>
      </c>
      <c r="B41" s="11" t="s">
        <v>32</v>
      </c>
      <c r="C41" s="8">
        <v>12.768000000000001</v>
      </c>
      <c r="D41" s="8">
        <v>1.615</v>
      </c>
      <c r="E41" s="9">
        <f t="shared" ref="E41:E46" si="2">500/C41</f>
        <v>39.160401002506262</v>
      </c>
      <c r="F41" s="6">
        <f t="shared" ref="F41:F46" si="3">16-E41</f>
        <v>-23.160401002506262</v>
      </c>
    </row>
    <row r="42" spans="1:6" x14ac:dyDescent="0.35">
      <c r="A42" s="30">
        <v>32</v>
      </c>
      <c r="B42" s="30" t="s">
        <v>32</v>
      </c>
      <c r="C42" s="2">
        <v>11.552</v>
      </c>
      <c r="D42" s="2">
        <v>1.617</v>
      </c>
      <c r="E42" s="28">
        <f t="shared" si="2"/>
        <v>43.282548476454295</v>
      </c>
      <c r="F42" s="29">
        <f t="shared" si="3"/>
        <v>-27.282548476454295</v>
      </c>
    </row>
    <row r="43" spans="1:6" s="8" customFormat="1" x14ac:dyDescent="0.35">
      <c r="A43" s="8">
        <v>33</v>
      </c>
      <c r="B43" s="11" t="s">
        <v>32</v>
      </c>
      <c r="C43" s="8">
        <v>13.603999999999999</v>
      </c>
      <c r="D43" s="8">
        <v>1.5840000000000001</v>
      </c>
      <c r="E43" s="9">
        <f t="shared" si="2"/>
        <v>36.753895912966776</v>
      </c>
      <c r="F43" s="6">
        <f t="shared" si="3"/>
        <v>-20.753895912966776</v>
      </c>
    </row>
    <row r="44" spans="1:6" x14ac:dyDescent="0.35">
      <c r="A44" s="2">
        <v>34</v>
      </c>
      <c r="B44" s="30" t="s">
        <v>33</v>
      </c>
      <c r="C44" s="2">
        <v>16.036000000000001</v>
      </c>
      <c r="D44" s="2">
        <v>1.5629999999999999</v>
      </c>
      <c r="E44" s="28">
        <f t="shared" si="2"/>
        <v>31.179845347967071</v>
      </c>
      <c r="F44" s="29">
        <f t="shared" si="3"/>
        <v>-15.179845347967071</v>
      </c>
    </row>
    <row r="45" spans="1:6" s="8" customFormat="1" x14ac:dyDescent="0.35">
      <c r="A45" s="8">
        <v>35</v>
      </c>
      <c r="B45" s="11" t="s">
        <v>33</v>
      </c>
      <c r="C45" s="8">
        <v>12.007999999999999</v>
      </c>
      <c r="D45" s="8">
        <v>1.5489999999999999</v>
      </c>
      <c r="E45" s="9">
        <f t="shared" si="2"/>
        <v>41.638907395069957</v>
      </c>
      <c r="F45" s="6">
        <f t="shared" si="3"/>
        <v>-25.638907395069957</v>
      </c>
    </row>
    <row r="46" spans="1:6" x14ac:dyDescent="0.35">
      <c r="A46" s="22">
        <v>36</v>
      </c>
      <c r="B46" s="30" t="s">
        <v>33</v>
      </c>
      <c r="C46" s="2">
        <v>16.187999999999999</v>
      </c>
      <c r="D46" s="2">
        <v>1.5549999999999999</v>
      </c>
      <c r="E46" s="28">
        <f t="shared" si="2"/>
        <v>30.887076847047197</v>
      </c>
      <c r="F46" s="29">
        <f t="shared" si="3"/>
        <v>-14.887076847047197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Fibroblasts</vt:lpstr>
      <vt:lpstr>Macrophages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Taejoon Won</dc:creator>
  <cp:lastModifiedBy>David Hughes</cp:lastModifiedBy>
  <cp:lastPrinted>2020-10-20T14:26:34Z</cp:lastPrinted>
  <dcterms:created xsi:type="dcterms:W3CDTF">2017-07-19T15:38:37Z</dcterms:created>
  <dcterms:modified xsi:type="dcterms:W3CDTF">2022-05-02T15:16:37Z</dcterms:modified>
</cp:coreProperties>
</file>