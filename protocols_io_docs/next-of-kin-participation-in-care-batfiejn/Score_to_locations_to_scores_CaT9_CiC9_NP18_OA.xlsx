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. Kingston sep 2019\8. LU Gästprofessor\Psykometri Anhöriga Delaktighet\MANUS\Revision II\"/>
    </mc:Choice>
  </mc:AlternateContent>
  <bookViews>
    <workbookView xWindow="0" yWindow="0" windowWidth="28800" windowHeight="12300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" i="1" l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</calcChain>
</file>

<file path=xl/sharedStrings.xml><?xml version="1.0" encoding="utf-8"?>
<sst xmlns="http://schemas.openxmlformats.org/spreadsheetml/2006/main" count="40" uniqueCount="22">
  <si>
    <t>TotSc / ExpVal</t>
  </si>
  <si>
    <t>Location</t>
  </si>
  <si>
    <t>Std Error</t>
  </si>
  <si>
    <t>CiC 9 items</t>
  </si>
  <si>
    <t>CaT 9 items</t>
  </si>
  <si>
    <t>NP 18 items</t>
  </si>
  <si>
    <t>S = (Wanted range)/(current range)</t>
  </si>
  <si>
    <t>Transformera person logit poäng till önskvärd skala</t>
  </si>
  <si>
    <t>Y = M + (S * peson location)</t>
  </si>
  <si>
    <t>M = (wanted minimum) - (current minimum * s)</t>
  </si>
  <si>
    <t>S = 36 / 9,26 = 3,888</t>
  </si>
  <si>
    <t>M = 0 - (-4,399 * 3,888) = 17,103</t>
  </si>
  <si>
    <t>S = 36 / 14.014 = 2,569</t>
  </si>
  <si>
    <t>Transf Score</t>
  </si>
  <si>
    <t>S = (0 till 72 = 72) /(-8,282 till 5,742 = 14,024)</t>
  </si>
  <si>
    <t>S = (0 till 36 = 36) /(-4,399 till 4,861 = 9,26)</t>
  </si>
  <si>
    <t>S = (0 till 36 = 36) /(-8.374 till 5.64 = 14.014)</t>
  </si>
  <si>
    <t>S = 72 / 14,024 = 5,134055904</t>
  </si>
  <si>
    <t>M = 0 - (-8,282 *5,134055904) = 42,520251</t>
  </si>
  <si>
    <t>TS SE</t>
  </si>
  <si>
    <t>M = 0 - (-8.374 * 2,569) =21.513</t>
  </si>
  <si>
    <t>TS SE = Transformed Scores Standard Error = SE * Spacing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</si>
</sst>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5"/>
  <sheetViews>
    <sheetView tabSelected="1" workbookViewId="0">
      <selection activeCell="H54" sqref="H54"/>
    </sheetView>
  </sheetViews>
  <sheetFormatPr defaultRowHeight="15" x14ac:dyDescent="0.25"/>
  <cols>
    <col min="4" max="4" width="12.7109375" style="1" customWidth="1"/>
    <col min="5" max="5" width="9.140625" style="2"/>
    <col min="12" max="12" width="9.140625" style="1"/>
    <col min="13" max="13" width="9.140625" style="2"/>
    <col min="20" max="20" width="10" style="1" bestFit="1" customWidth="1"/>
    <col min="21" max="21" width="9.140625" style="2"/>
  </cols>
  <sheetData>
    <row r="1" spans="1:24" x14ac:dyDescent="0.25">
      <c r="A1" t="s">
        <v>4</v>
      </c>
      <c r="I1" t="s">
        <v>3</v>
      </c>
      <c r="Q1" t="s">
        <v>5</v>
      </c>
    </row>
    <row r="2" spans="1:24" x14ac:dyDescent="0.25">
      <c r="A2" t="s">
        <v>0</v>
      </c>
      <c r="B2" t="s">
        <v>1</v>
      </c>
      <c r="C2" t="s">
        <v>2</v>
      </c>
      <c r="D2" s="1" t="s">
        <v>13</v>
      </c>
      <c r="E2" s="2" t="s">
        <v>19</v>
      </c>
      <c r="I2" t="s">
        <v>0</v>
      </c>
      <c r="J2" t="s">
        <v>1</v>
      </c>
      <c r="K2" t="s">
        <v>2</v>
      </c>
      <c r="L2" s="1" t="s">
        <v>13</v>
      </c>
      <c r="M2" s="2" t="s">
        <v>19</v>
      </c>
      <c r="Q2" t="s">
        <v>0</v>
      </c>
      <c r="R2" t="s">
        <v>1</v>
      </c>
      <c r="S2" t="s">
        <v>2</v>
      </c>
      <c r="T2" s="1" t="s">
        <v>13</v>
      </c>
      <c r="U2" s="2" t="s">
        <v>19</v>
      </c>
      <c r="X2" t="s">
        <v>21</v>
      </c>
    </row>
    <row r="3" spans="1:24" x14ac:dyDescent="0.25">
      <c r="A3">
        <v>8.1000000000000003E-2</v>
      </c>
      <c r="B3">
        <v>-8.3740000000000006</v>
      </c>
      <c r="C3">
        <v>3.1360000000000001</v>
      </c>
      <c r="D3" s="1">
        <f xml:space="preserve"> 21.513 + (2.569 * B3)</f>
        <v>1.9400000000047157E-4</v>
      </c>
      <c r="E3" s="2">
        <f xml:space="preserve"> C3 * 2.569</f>
        <v>8.0563839999999995</v>
      </c>
      <c r="I3">
        <v>0.19700000000000001</v>
      </c>
      <c r="J3">
        <v>-4.399</v>
      </c>
      <c r="K3">
        <v>1.194</v>
      </c>
      <c r="L3" s="1">
        <f xml:space="preserve"> 17.103 + (3.888 * J3)</f>
        <v>-3.1199999999742545E-4</v>
      </c>
      <c r="M3" s="2">
        <f xml:space="preserve"> K3 * 3.888</f>
        <v>4.6422719999999993</v>
      </c>
      <c r="Q3">
        <v>-4.0000000000000001E-3</v>
      </c>
      <c r="R3">
        <v>-8.282</v>
      </c>
      <c r="S3">
        <v>2.4950000000000001</v>
      </c>
      <c r="T3" s="1">
        <f xml:space="preserve"> 42.52 + (5.134 * R3)</f>
        <v>2.1199999999765851E-4</v>
      </c>
      <c r="U3" s="2">
        <f xml:space="preserve"> S3 * 5.134</f>
        <v>12.809330000000001</v>
      </c>
    </row>
    <row r="4" spans="1:24" x14ac:dyDescent="0.25">
      <c r="A4">
        <v>1</v>
      </c>
      <c r="B4">
        <v>-5.3769999999999998</v>
      </c>
      <c r="C4">
        <v>1.4430000000000001</v>
      </c>
      <c r="D4" s="1">
        <f t="shared" ref="D4:D39" si="0" xml:space="preserve"> 21.513 + (2.569 * B4)</f>
        <v>7.6994870000000031</v>
      </c>
      <c r="E4" s="2">
        <f t="shared" ref="E4:E39" si="1" xml:space="preserve"> C4 * 2.569</f>
        <v>3.7070669999999999</v>
      </c>
      <c r="I4">
        <v>1</v>
      </c>
      <c r="J4">
        <v>-3.6160000000000001</v>
      </c>
      <c r="K4">
        <v>0.85</v>
      </c>
      <c r="L4" s="1">
        <f t="shared" ref="L4:L39" si="2" xml:space="preserve"> 17.103 + (3.888 * J4)</f>
        <v>3.0439920000000011</v>
      </c>
      <c r="M4" s="2">
        <f t="shared" ref="M4:M39" si="3" xml:space="preserve"> K4 * 3.888</f>
        <v>3.3047999999999997</v>
      </c>
      <c r="Q4">
        <v>1</v>
      </c>
      <c r="R4">
        <v>-5.6609999999999996</v>
      </c>
      <c r="S4">
        <v>1.29</v>
      </c>
      <c r="T4" s="1">
        <f t="shared" ref="T4:T67" si="4" xml:space="preserve"> 42.52 + (5.134 * R4)</f>
        <v>13.456426000000004</v>
      </c>
      <c r="U4" s="2">
        <f t="shared" ref="U4:U67" si="5" xml:space="preserve"> S4 * 5.134</f>
        <v>6.6228600000000002</v>
      </c>
    </row>
    <row r="5" spans="1:24" x14ac:dyDescent="0.25">
      <c r="A5">
        <v>2</v>
      </c>
      <c r="B5">
        <v>-4.0170000000000003</v>
      </c>
      <c r="C5">
        <v>0.89500000000000002</v>
      </c>
      <c r="D5" s="1">
        <f t="shared" si="0"/>
        <v>11.193327000000002</v>
      </c>
      <c r="E5" s="2">
        <f t="shared" si="1"/>
        <v>2.299255</v>
      </c>
      <c r="I5">
        <v>2</v>
      </c>
      <c r="J5">
        <v>-3.0750000000000002</v>
      </c>
      <c r="K5">
        <v>0.67300000000000004</v>
      </c>
      <c r="L5" s="1">
        <f t="shared" si="2"/>
        <v>5.1474000000000011</v>
      </c>
      <c r="M5" s="2">
        <f t="shared" si="3"/>
        <v>2.6166240000000003</v>
      </c>
      <c r="Q5">
        <v>2</v>
      </c>
      <c r="R5">
        <v>-4.4569999999999999</v>
      </c>
      <c r="S5">
        <v>0.83699999999999997</v>
      </c>
      <c r="T5" s="1">
        <f t="shared" si="4"/>
        <v>19.637762000000002</v>
      </c>
      <c r="U5" s="2">
        <f t="shared" si="5"/>
        <v>4.2971580000000005</v>
      </c>
    </row>
    <row r="6" spans="1:24" x14ac:dyDescent="0.25">
      <c r="A6">
        <v>3</v>
      </c>
      <c r="B6">
        <v>-3.4009999999999998</v>
      </c>
      <c r="C6">
        <v>0.71899999999999997</v>
      </c>
      <c r="D6" s="1">
        <f t="shared" si="0"/>
        <v>12.775831000000002</v>
      </c>
      <c r="E6" s="2">
        <f t="shared" si="1"/>
        <v>1.8471109999999999</v>
      </c>
      <c r="I6">
        <v>3</v>
      </c>
      <c r="J6">
        <v>-2.7010000000000001</v>
      </c>
      <c r="K6">
        <v>0.58299999999999996</v>
      </c>
      <c r="L6" s="1">
        <f t="shared" si="2"/>
        <v>6.6015120000000014</v>
      </c>
      <c r="M6" s="2">
        <f t="shared" si="3"/>
        <v>2.2667039999999998</v>
      </c>
      <c r="Q6">
        <v>3</v>
      </c>
      <c r="R6">
        <v>-3.9049999999999998</v>
      </c>
      <c r="S6">
        <v>0.66700000000000004</v>
      </c>
      <c r="T6" s="1">
        <f t="shared" si="4"/>
        <v>22.471730000000004</v>
      </c>
      <c r="U6" s="2">
        <f t="shared" si="5"/>
        <v>3.4243780000000004</v>
      </c>
    </row>
    <row r="7" spans="1:24" x14ac:dyDescent="0.25">
      <c r="A7">
        <v>4</v>
      </c>
      <c r="B7">
        <v>-2.9670000000000001</v>
      </c>
      <c r="C7">
        <v>0.627</v>
      </c>
      <c r="D7" s="1">
        <f t="shared" si="0"/>
        <v>13.890777000000002</v>
      </c>
      <c r="E7" s="2">
        <f t="shared" si="1"/>
        <v>1.6107629999999999</v>
      </c>
      <c r="I7">
        <v>4</v>
      </c>
      <c r="J7">
        <v>-2.4079999999999999</v>
      </c>
      <c r="K7">
        <v>0.52600000000000002</v>
      </c>
      <c r="L7" s="1">
        <f t="shared" si="2"/>
        <v>7.7406960000000016</v>
      </c>
      <c r="M7" s="2">
        <f t="shared" si="3"/>
        <v>2.0450880000000002</v>
      </c>
      <c r="Q7">
        <v>4</v>
      </c>
      <c r="R7">
        <v>-3.5270000000000001</v>
      </c>
      <c r="S7">
        <v>0.57599999999999996</v>
      </c>
      <c r="T7" s="1">
        <f t="shared" si="4"/>
        <v>24.412382000000001</v>
      </c>
      <c r="U7" s="2">
        <f t="shared" si="5"/>
        <v>2.9571839999999998</v>
      </c>
    </row>
    <row r="8" spans="1:24" x14ac:dyDescent="0.25">
      <c r="A8">
        <v>5</v>
      </c>
      <c r="B8">
        <v>-2.6230000000000002</v>
      </c>
      <c r="C8">
        <v>0.56899999999999995</v>
      </c>
      <c r="D8" s="1">
        <f t="shared" si="0"/>
        <v>14.774513000000002</v>
      </c>
      <c r="E8" s="2">
        <f t="shared" si="1"/>
        <v>1.4617609999999999</v>
      </c>
      <c r="I8">
        <v>5</v>
      </c>
      <c r="J8">
        <v>-2.161</v>
      </c>
      <c r="K8">
        <v>0.48799999999999999</v>
      </c>
      <c r="L8" s="1">
        <f t="shared" si="2"/>
        <v>8.7010320000000014</v>
      </c>
      <c r="M8" s="2">
        <f t="shared" si="3"/>
        <v>1.8973439999999999</v>
      </c>
      <c r="Q8">
        <v>5</v>
      </c>
      <c r="R8">
        <v>-3.2349999999999999</v>
      </c>
      <c r="S8">
        <v>0.51700000000000002</v>
      </c>
      <c r="T8" s="1">
        <f t="shared" si="4"/>
        <v>25.911510000000003</v>
      </c>
      <c r="U8" s="2">
        <f t="shared" si="5"/>
        <v>2.6542780000000001</v>
      </c>
    </row>
    <row r="9" spans="1:24" x14ac:dyDescent="0.25">
      <c r="A9">
        <v>6</v>
      </c>
      <c r="B9">
        <v>-2.3330000000000002</v>
      </c>
      <c r="C9">
        <v>0.52900000000000003</v>
      </c>
      <c r="D9" s="1">
        <f t="shared" si="0"/>
        <v>15.519523000000001</v>
      </c>
      <c r="E9" s="2">
        <f t="shared" si="1"/>
        <v>1.3590010000000001</v>
      </c>
      <c r="I9">
        <v>6</v>
      </c>
      <c r="J9">
        <v>-1.9450000000000001</v>
      </c>
      <c r="K9">
        <v>0.46</v>
      </c>
      <c r="L9" s="1">
        <f t="shared" si="2"/>
        <v>9.5408400000000011</v>
      </c>
      <c r="M9" s="2">
        <f t="shared" si="3"/>
        <v>1.7884800000000001</v>
      </c>
      <c r="Q9">
        <v>6</v>
      </c>
      <c r="R9">
        <v>-2.9950000000000001</v>
      </c>
      <c r="S9">
        <v>0.47399999999999998</v>
      </c>
      <c r="T9" s="1">
        <f t="shared" si="4"/>
        <v>27.14367</v>
      </c>
      <c r="U9" s="2">
        <f t="shared" si="5"/>
        <v>2.433516</v>
      </c>
    </row>
    <row r="10" spans="1:24" x14ac:dyDescent="0.25">
      <c r="A10">
        <v>7</v>
      </c>
      <c r="B10">
        <v>-2.0760000000000001</v>
      </c>
      <c r="C10">
        <v>0.5</v>
      </c>
      <c r="D10" s="1">
        <f t="shared" si="0"/>
        <v>16.179756000000001</v>
      </c>
      <c r="E10" s="2">
        <f t="shared" si="1"/>
        <v>1.2845</v>
      </c>
      <c r="I10">
        <v>7</v>
      </c>
      <c r="J10">
        <v>-1.7509999999999999</v>
      </c>
      <c r="K10">
        <v>0.438</v>
      </c>
      <c r="L10" s="1">
        <f t="shared" si="2"/>
        <v>10.295112000000003</v>
      </c>
      <c r="M10" s="2">
        <f t="shared" si="3"/>
        <v>1.702944</v>
      </c>
      <c r="Q10">
        <v>7</v>
      </c>
      <c r="R10">
        <v>-2.7890000000000001</v>
      </c>
      <c r="S10">
        <v>0.443</v>
      </c>
      <c r="T10" s="1">
        <f t="shared" si="4"/>
        <v>28.201274000000002</v>
      </c>
      <c r="U10" s="2">
        <f t="shared" si="5"/>
        <v>2.274362</v>
      </c>
    </row>
    <row r="11" spans="1:24" x14ac:dyDescent="0.25">
      <c r="A11">
        <v>8</v>
      </c>
      <c r="B11">
        <v>-1.8440000000000001</v>
      </c>
      <c r="C11">
        <v>0.47899999999999998</v>
      </c>
      <c r="D11" s="1">
        <f t="shared" si="0"/>
        <v>16.775764000000002</v>
      </c>
      <c r="E11" s="2">
        <f t="shared" si="1"/>
        <v>1.230551</v>
      </c>
      <c r="I11">
        <v>8</v>
      </c>
      <c r="J11">
        <v>-1.5720000000000001</v>
      </c>
      <c r="K11">
        <v>0.42199999999999999</v>
      </c>
      <c r="L11" s="1">
        <f t="shared" si="2"/>
        <v>10.991064000000001</v>
      </c>
      <c r="M11" s="2">
        <f t="shared" si="3"/>
        <v>1.640736</v>
      </c>
      <c r="Q11">
        <v>8</v>
      </c>
      <c r="R11">
        <v>-2.6070000000000002</v>
      </c>
      <c r="S11">
        <v>0.41799999999999998</v>
      </c>
      <c r="T11" s="1">
        <f t="shared" si="4"/>
        <v>29.135662000000004</v>
      </c>
      <c r="U11" s="2">
        <f t="shared" si="5"/>
        <v>2.1460120000000003</v>
      </c>
    </row>
    <row r="12" spans="1:24" x14ac:dyDescent="0.25">
      <c r="A12">
        <v>9</v>
      </c>
      <c r="B12">
        <v>-1.629</v>
      </c>
      <c r="C12">
        <v>0.46200000000000002</v>
      </c>
      <c r="D12" s="1">
        <f t="shared" si="0"/>
        <v>17.328099000000002</v>
      </c>
      <c r="E12" s="2">
        <f t="shared" si="1"/>
        <v>1.1868780000000001</v>
      </c>
      <c r="I12">
        <v>9</v>
      </c>
      <c r="J12">
        <v>-1.403</v>
      </c>
      <c r="K12">
        <v>0.41</v>
      </c>
      <c r="L12" s="1">
        <f t="shared" si="2"/>
        <v>11.648136000000001</v>
      </c>
      <c r="M12" s="2">
        <f t="shared" si="3"/>
        <v>1.5940799999999999</v>
      </c>
      <c r="Q12">
        <v>9</v>
      </c>
      <c r="R12">
        <v>-2.444</v>
      </c>
      <c r="S12">
        <v>0.39700000000000002</v>
      </c>
      <c r="T12" s="1">
        <f t="shared" si="4"/>
        <v>29.972504000000001</v>
      </c>
      <c r="U12" s="2">
        <f t="shared" si="5"/>
        <v>2.0381980000000004</v>
      </c>
    </row>
    <row r="13" spans="1:24" x14ac:dyDescent="0.25">
      <c r="A13">
        <v>10</v>
      </c>
      <c r="B13">
        <v>-1.427</v>
      </c>
      <c r="C13">
        <v>0.44900000000000001</v>
      </c>
      <c r="D13" s="1">
        <f t="shared" si="0"/>
        <v>17.847037</v>
      </c>
      <c r="E13" s="2">
        <f t="shared" si="1"/>
        <v>1.153481</v>
      </c>
      <c r="I13">
        <v>10</v>
      </c>
      <c r="J13">
        <v>-1.2430000000000001</v>
      </c>
      <c r="K13">
        <v>0.40100000000000002</v>
      </c>
      <c r="L13" s="1">
        <f t="shared" si="2"/>
        <v>12.270216000000001</v>
      </c>
      <c r="M13" s="2">
        <f t="shared" si="3"/>
        <v>1.559088</v>
      </c>
      <c r="Q13">
        <v>10</v>
      </c>
      <c r="R13">
        <v>-2.2949999999999999</v>
      </c>
      <c r="S13">
        <v>0.38</v>
      </c>
      <c r="T13" s="1">
        <f t="shared" si="4"/>
        <v>30.737470000000002</v>
      </c>
      <c r="U13" s="2">
        <f t="shared" si="5"/>
        <v>1.9509200000000002</v>
      </c>
    </row>
    <row r="14" spans="1:24" x14ac:dyDescent="0.25">
      <c r="A14">
        <v>11</v>
      </c>
      <c r="B14">
        <v>-1.234</v>
      </c>
      <c r="C14">
        <v>0.44</v>
      </c>
      <c r="D14" s="1">
        <f t="shared" si="0"/>
        <v>18.342854000000003</v>
      </c>
      <c r="E14" s="2">
        <f t="shared" si="1"/>
        <v>1.13036</v>
      </c>
      <c r="I14">
        <v>11</v>
      </c>
      <c r="J14">
        <v>-1.089</v>
      </c>
      <c r="K14">
        <v>0.39400000000000002</v>
      </c>
      <c r="L14" s="1">
        <f t="shared" si="2"/>
        <v>12.868968000000002</v>
      </c>
      <c r="M14" s="2">
        <f t="shared" si="3"/>
        <v>1.5318720000000001</v>
      </c>
      <c r="Q14">
        <v>11</v>
      </c>
      <c r="R14">
        <v>-2.157</v>
      </c>
      <c r="S14">
        <v>0.36599999999999999</v>
      </c>
      <c r="T14" s="1">
        <f t="shared" si="4"/>
        <v>31.445962000000002</v>
      </c>
      <c r="U14" s="2">
        <f t="shared" si="5"/>
        <v>1.8790440000000002</v>
      </c>
    </row>
    <row r="15" spans="1:24" x14ac:dyDescent="0.25">
      <c r="A15">
        <v>12</v>
      </c>
      <c r="B15">
        <v>-1.048</v>
      </c>
      <c r="C15">
        <v>0.433</v>
      </c>
      <c r="D15" s="1">
        <f t="shared" si="0"/>
        <v>18.820688000000001</v>
      </c>
      <c r="E15" s="2">
        <f t="shared" si="1"/>
        <v>1.1123769999999999</v>
      </c>
      <c r="I15">
        <v>12</v>
      </c>
      <c r="J15">
        <v>-0.94</v>
      </c>
      <c r="K15">
        <v>0.38900000000000001</v>
      </c>
      <c r="L15" s="1">
        <f t="shared" si="2"/>
        <v>13.448280000000002</v>
      </c>
      <c r="M15" s="2">
        <f t="shared" si="3"/>
        <v>1.512432</v>
      </c>
      <c r="Q15">
        <v>12</v>
      </c>
      <c r="R15">
        <v>-2.0289999999999999</v>
      </c>
      <c r="S15">
        <v>0.35399999999999998</v>
      </c>
      <c r="T15" s="1">
        <f t="shared" si="4"/>
        <v>32.103114000000005</v>
      </c>
      <c r="U15" s="2">
        <f t="shared" si="5"/>
        <v>1.8174360000000001</v>
      </c>
    </row>
    <row r="16" spans="1:24" x14ac:dyDescent="0.25">
      <c r="A16">
        <v>13</v>
      </c>
      <c r="B16">
        <v>-0.86699999999999999</v>
      </c>
      <c r="C16">
        <v>0.42899999999999999</v>
      </c>
      <c r="D16" s="1">
        <f t="shared" si="0"/>
        <v>19.285677000000003</v>
      </c>
      <c r="E16" s="2">
        <f t="shared" si="1"/>
        <v>1.102101</v>
      </c>
      <c r="I16">
        <v>13</v>
      </c>
      <c r="J16">
        <v>-0.79400000000000004</v>
      </c>
      <c r="K16">
        <v>0.38500000000000001</v>
      </c>
      <c r="L16" s="1">
        <f t="shared" si="2"/>
        <v>14.015928000000002</v>
      </c>
      <c r="M16" s="2">
        <f t="shared" si="3"/>
        <v>1.49688</v>
      </c>
      <c r="Q16">
        <v>13</v>
      </c>
      <c r="R16">
        <v>-1.909</v>
      </c>
      <c r="S16">
        <v>0.34399999999999997</v>
      </c>
      <c r="T16" s="1">
        <f t="shared" si="4"/>
        <v>32.719194000000002</v>
      </c>
      <c r="U16" s="2">
        <f t="shared" si="5"/>
        <v>1.7660959999999999</v>
      </c>
    </row>
    <row r="17" spans="1:21" x14ac:dyDescent="0.25">
      <c r="A17">
        <v>14</v>
      </c>
      <c r="B17">
        <v>-0.68799999999999994</v>
      </c>
      <c r="C17">
        <v>0.42599999999999999</v>
      </c>
      <c r="D17" s="1">
        <f t="shared" si="0"/>
        <v>19.745528</v>
      </c>
      <c r="E17" s="2">
        <f t="shared" si="1"/>
        <v>1.0943939999999999</v>
      </c>
      <c r="I17">
        <v>14</v>
      </c>
      <c r="J17">
        <v>-0.65</v>
      </c>
      <c r="K17">
        <v>0.38200000000000001</v>
      </c>
      <c r="L17" s="1">
        <f t="shared" si="2"/>
        <v>14.575800000000001</v>
      </c>
      <c r="M17" s="2">
        <f t="shared" si="3"/>
        <v>1.4852160000000001</v>
      </c>
      <c r="Q17">
        <v>14</v>
      </c>
      <c r="R17">
        <v>-1.796</v>
      </c>
      <c r="S17">
        <v>0.33400000000000002</v>
      </c>
      <c r="T17" s="1">
        <f t="shared" si="4"/>
        <v>33.299336000000004</v>
      </c>
      <c r="U17" s="2">
        <f t="shared" si="5"/>
        <v>1.7147560000000002</v>
      </c>
    </row>
    <row r="18" spans="1:21" x14ac:dyDescent="0.25">
      <c r="A18">
        <v>15</v>
      </c>
      <c r="B18">
        <v>-0.51100000000000001</v>
      </c>
      <c r="C18">
        <v>0.42399999999999999</v>
      </c>
      <c r="D18" s="1">
        <f t="shared" si="0"/>
        <v>20.200241000000002</v>
      </c>
      <c r="E18" s="2">
        <f t="shared" si="1"/>
        <v>1.089256</v>
      </c>
      <c r="I18">
        <v>15</v>
      </c>
      <c r="J18">
        <v>-0.50800000000000001</v>
      </c>
      <c r="K18">
        <v>0.38</v>
      </c>
      <c r="L18" s="1">
        <f t="shared" si="2"/>
        <v>15.127896000000002</v>
      </c>
      <c r="M18" s="2">
        <f t="shared" si="3"/>
        <v>1.4774400000000001</v>
      </c>
      <c r="Q18">
        <v>15</v>
      </c>
      <c r="R18">
        <v>-1.6879999999999999</v>
      </c>
      <c r="S18">
        <v>0.32600000000000001</v>
      </c>
      <c r="T18" s="1">
        <f t="shared" si="4"/>
        <v>33.853808000000001</v>
      </c>
      <c r="U18" s="2">
        <f t="shared" si="5"/>
        <v>1.6736840000000002</v>
      </c>
    </row>
    <row r="19" spans="1:21" x14ac:dyDescent="0.25">
      <c r="A19">
        <v>16</v>
      </c>
      <c r="B19">
        <v>-0.33400000000000002</v>
      </c>
      <c r="C19">
        <v>0.42399999999999999</v>
      </c>
      <c r="D19" s="1">
        <f t="shared" si="0"/>
        <v>20.654954</v>
      </c>
      <c r="E19" s="2">
        <f t="shared" si="1"/>
        <v>1.089256</v>
      </c>
      <c r="I19">
        <v>16</v>
      </c>
      <c r="J19">
        <v>-0.36599999999999999</v>
      </c>
      <c r="K19">
        <v>0.38</v>
      </c>
      <c r="L19" s="1">
        <f t="shared" si="2"/>
        <v>15.679992000000002</v>
      </c>
      <c r="M19" s="2">
        <f t="shared" si="3"/>
        <v>1.4774400000000001</v>
      </c>
      <c r="Q19">
        <v>16</v>
      </c>
      <c r="R19">
        <v>-1.585</v>
      </c>
      <c r="S19">
        <v>0.31900000000000001</v>
      </c>
      <c r="T19" s="1">
        <f t="shared" si="4"/>
        <v>34.38261</v>
      </c>
      <c r="U19" s="2">
        <f t="shared" si="5"/>
        <v>1.6377460000000001</v>
      </c>
    </row>
    <row r="20" spans="1:21" x14ac:dyDescent="0.25">
      <c r="A20">
        <v>17</v>
      </c>
      <c r="B20">
        <v>-0.155</v>
      </c>
      <c r="C20">
        <v>0.42499999999999999</v>
      </c>
      <c r="D20" s="1">
        <f t="shared" si="0"/>
        <v>21.114805</v>
      </c>
      <c r="E20" s="2">
        <f t="shared" si="1"/>
        <v>1.091825</v>
      </c>
      <c r="I20">
        <v>17</v>
      </c>
      <c r="J20">
        <v>-0.224</v>
      </c>
      <c r="K20">
        <v>0.38</v>
      </c>
      <c r="L20" s="1">
        <f t="shared" si="2"/>
        <v>16.232088000000001</v>
      </c>
      <c r="M20" s="2">
        <f t="shared" si="3"/>
        <v>1.4774400000000001</v>
      </c>
      <c r="Q20">
        <v>17</v>
      </c>
      <c r="R20">
        <v>-1.4870000000000001</v>
      </c>
      <c r="S20">
        <v>0.313</v>
      </c>
      <c r="T20" s="1">
        <f t="shared" si="4"/>
        <v>34.885742</v>
      </c>
      <c r="U20" s="2">
        <f t="shared" si="5"/>
        <v>1.6069420000000001</v>
      </c>
    </row>
    <row r="21" spans="1:21" x14ac:dyDescent="0.25">
      <c r="A21">
        <v>18</v>
      </c>
      <c r="B21">
        <v>2.4E-2</v>
      </c>
      <c r="C21">
        <v>0.42699999999999999</v>
      </c>
      <c r="D21" s="1">
        <f t="shared" si="0"/>
        <v>21.574656000000001</v>
      </c>
      <c r="E21" s="2">
        <f t="shared" si="1"/>
        <v>1.0969629999999999</v>
      </c>
      <c r="I21">
        <v>18</v>
      </c>
      <c r="J21">
        <v>-8.1000000000000003E-2</v>
      </c>
      <c r="K21">
        <v>0.38200000000000001</v>
      </c>
      <c r="L21" s="1">
        <f t="shared" si="2"/>
        <v>16.788072000000003</v>
      </c>
      <c r="M21" s="2">
        <f t="shared" si="3"/>
        <v>1.4852160000000001</v>
      </c>
      <c r="Q21">
        <v>18</v>
      </c>
      <c r="R21">
        <v>-1.3919999999999999</v>
      </c>
      <c r="S21">
        <v>0.307</v>
      </c>
      <c r="T21" s="1">
        <f t="shared" si="4"/>
        <v>35.373472000000007</v>
      </c>
      <c r="U21" s="2">
        <f t="shared" si="5"/>
        <v>1.576138</v>
      </c>
    </row>
    <row r="22" spans="1:21" x14ac:dyDescent="0.25">
      <c r="A22">
        <v>19</v>
      </c>
      <c r="B22">
        <v>0.20599999999999999</v>
      </c>
      <c r="C22">
        <v>0.42899999999999999</v>
      </c>
      <c r="D22" s="1">
        <f t="shared" si="0"/>
        <v>22.042214000000001</v>
      </c>
      <c r="E22" s="2">
        <f t="shared" si="1"/>
        <v>1.102101</v>
      </c>
      <c r="I22">
        <v>19</v>
      </c>
      <c r="J22">
        <v>6.3E-2</v>
      </c>
      <c r="K22">
        <v>0.38400000000000001</v>
      </c>
      <c r="L22" s="1">
        <f t="shared" si="2"/>
        <v>17.347944000000002</v>
      </c>
      <c r="M22" s="2">
        <f t="shared" si="3"/>
        <v>1.4929920000000001</v>
      </c>
      <c r="Q22">
        <v>19</v>
      </c>
      <c r="R22">
        <v>-1.3</v>
      </c>
      <c r="S22">
        <v>0.30199999999999999</v>
      </c>
      <c r="T22" s="1">
        <f t="shared" si="4"/>
        <v>35.845800000000004</v>
      </c>
      <c r="U22" s="2">
        <f t="shared" si="5"/>
        <v>1.550468</v>
      </c>
    </row>
    <row r="23" spans="1:21" x14ac:dyDescent="0.25">
      <c r="A23">
        <v>20</v>
      </c>
      <c r="B23">
        <v>0.39</v>
      </c>
      <c r="C23">
        <v>0.432</v>
      </c>
      <c r="D23" s="1">
        <f t="shared" si="0"/>
        <v>22.51491</v>
      </c>
      <c r="E23" s="2">
        <f t="shared" si="1"/>
        <v>1.1098079999999999</v>
      </c>
      <c r="I23">
        <v>20</v>
      </c>
      <c r="J23">
        <v>0.21</v>
      </c>
      <c r="K23">
        <v>0.38700000000000001</v>
      </c>
      <c r="L23" s="1">
        <f t="shared" si="2"/>
        <v>17.91948</v>
      </c>
      <c r="M23" s="2">
        <f t="shared" si="3"/>
        <v>1.504656</v>
      </c>
      <c r="Q23">
        <v>20</v>
      </c>
      <c r="R23">
        <v>-1.2110000000000001</v>
      </c>
      <c r="S23">
        <v>0.29699999999999999</v>
      </c>
      <c r="T23" s="1">
        <f t="shared" si="4"/>
        <v>36.302726</v>
      </c>
      <c r="U23" s="2">
        <f t="shared" si="5"/>
        <v>1.5247980000000001</v>
      </c>
    </row>
    <row r="24" spans="1:21" x14ac:dyDescent="0.25">
      <c r="A24">
        <v>21</v>
      </c>
      <c r="B24">
        <v>0.57699999999999996</v>
      </c>
      <c r="C24">
        <v>0.436</v>
      </c>
      <c r="D24" s="1">
        <f t="shared" si="0"/>
        <v>22.995313000000003</v>
      </c>
      <c r="E24" s="2">
        <f t="shared" si="1"/>
        <v>1.1200840000000001</v>
      </c>
      <c r="I24">
        <v>21</v>
      </c>
      <c r="J24">
        <v>0.35799999999999998</v>
      </c>
      <c r="K24">
        <v>0.39</v>
      </c>
      <c r="L24" s="1">
        <f t="shared" si="2"/>
        <v>18.494904000000002</v>
      </c>
      <c r="M24" s="2">
        <f t="shared" si="3"/>
        <v>1.5163200000000001</v>
      </c>
      <c r="Q24">
        <v>21</v>
      </c>
      <c r="R24">
        <v>-1.1240000000000001</v>
      </c>
      <c r="S24">
        <v>0.29399999999999998</v>
      </c>
      <c r="T24" s="1">
        <f t="shared" si="4"/>
        <v>36.749383999999999</v>
      </c>
      <c r="U24" s="2">
        <f t="shared" si="5"/>
        <v>1.509396</v>
      </c>
    </row>
    <row r="25" spans="1:21" x14ac:dyDescent="0.25">
      <c r="A25">
        <v>22</v>
      </c>
      <c r="B25">
        <v>0.76700000000000002</v>
      </c>
      <c r="C25">
        <v>0.441</v>
      </c>
      <c r="D25" s="1">
        <f t="shared" si="0"/>
        <v>23.483423000000002</v>
      </c>
      <c r="E25" s="2">
        <f t="shared" si="1"/>
        <v>1.1329290000000001</v>
      </c>
      <c r="I25">
        <v>22</v>
      </c>
      <c r="J25">
        <v>0.51</v>
      </c>
      <c r="K25">
        <v>0.39500000000000002</v>
      </c>
      <c r="L25" s="1">
        <f t="shared" si="2"/>
        <v>19.085880000000003</v>
      </c>
      <c r="M25" s="2">
        <f t="shared" si="3"/>
        <v>1.53576</v>
      </c>
      <c r="Q25">
        <v>22</v>
      </c>
      <c r="R25">
        <v>-1.04</v>
      </c>
      <c r="S25">
        <v>0.28999999999999998</v>
      </c>
      <c r="T25" s="1">
        <f t="shared" si="4"/>
        <v>37.180640000000004</v>
      </c>
      <c r="U25" s="2">
        <f t="shared" si="5"/>
        <v>1.4888600000000001</v>
      </c>
    </row>
    <row r="26" spans="1:21" x14ac:dyDescent="0.25">
      <c r="A26">
        <v>23</v>
      </c>
      <c r="B26">
        <v>0.96199999999999997</v>
      </c>
      <c r="C26">
        <v>0.44600000000000001</v>
      </c>
      <c r="D26" s="1">
        <f t="shared" si="0"/>
        <v>23.984378000000003</v>
      </c>
      <c r="E26" s="2">
        <f t="shared" si="1"/>
        <v>1.1457740000000001</v>
      </c>
      <c r="I26">
        <v>23</v>
      </c>
      <c r="J26">
        <v>0.66600000000000004</v>
      </c>
      <c r="K26">
        <v>0.4</v>
      </c>
      <c r="L26" s="1">
        <f t="shared" si="2"/>
        <v>19.692408</v>
      </c>
      <c r="M26" s="2">
        <f t="shared" si="3"/>
        <v>1.5552000000000001</v>
      </c>
      <c r="Q26">
        <v>23</v>
      </c>
      <c r="R26">
        <v>-0.95799999999999996</v>
      </c>
      <c r="S26">
        <v>0.28699999999999998</v>
      </c>
      <c r="T26" s="1">
        <f t="shared" si="4"/>
        <v>37.601628000000005</v>
      </c>
      <c r="U26" s="2">
        <f t="shared" si="5"/>
        <v>1.4734579999999999</v>
      </c>
    </row>
    <row r="27" spans="1:21" x14ac:dyDescent="0.25">
      <c r="A27">
        <v>24</v>
      </c>
      <c r="B27">
        <v>1.1619999999999999</v>
      </c>
      <c r="C27">
        <v>0.45300000000000001</v>
      </c>
      <c r="D27" s="1">
        <f t="shared" si="0"/>
        <v>24.498178000000003</v>
      </c>
      <c r="E27" s="2">
        <f t="shared" si="1"/>
        <v>1.1637569999999999</v>
      </c>
      <c r="I27">
        <v>24</v>
      </c>
      <c r="J27">
        <v>0.82699999999999996</v>
      </c>
      <c r="K27">
        <v>0.40699999999999997</v>
      </c>
      <c r="L27" s="1">
        <f t="shared" si="2"/>
        <v>20.318376000000001</v>
      </c>
      <c r="M27" s="2">
        <f t="shared" si="3"/>
        <v>1.5824159999999998</v>
      </c>
      <c r="Q27">
        <v>24</v>
      </c>
      <c r="R27">
        <v>-0.877</v>
      </c>
      <c r="S27">
        <v>0.28399999999999997</v>
      </c>
      <c r="T27" s="1">
        <f t="shared" si="4"/>
        <v>38.017482000000001</v>
      </c>
      <c r="U27" s="2">
        <f t="shared" si="5"/>
        <v>1.458056</v>
      </c>
    </row>
    <row r="28" spans="1:21" x14ac:dyDescent="0.25">
      <c r="A28">
        <v>25</v>
      </c>
      <c r="B28">
        <v>1.3680000000000001</v>
      </c>
      <c r="C28">
        <v>0.46200000000000002</v>
      </c>
      <c r="D28" s="1">
        <f t="shared" si="0"/>
        <v>25.027392000000003</v>
      </c>
      <c r="E28" s="2">
        <f t="shared" si="1"/>
        <v>1.1868780000000001</v>
      </c>
      <c r="I28">
        <v>25</v>
      </c>
      <c r="J28">
        <v>0.99299999999999999</v>
      </c>
      <c r="K28">
        <v>0.41499999999999998</v>
      </c>
      <c r="L28" s="1">
        <f t="shared" si="2"/>
        <v>20.963784</v>
      </c>
      <c r="M28" s="2">
        <f t="shared" si="3"/>
        <v>1.6135199999999998</v>
      </c>
      <c r="Q28">
        <v>25</v>
      </c>
      <c r="R28">
        <v>-0.79800000000000004</v>
      </c>
      <c r="S28">
        <v>0.28199999999999997</v>
      </c>
      <c r="T28" s="1">
        <f t="shared" si="4"/>
        <v>38.423068000000001</v>
      </c>
      <c r="U28" s="2">
        <f t="shared" si="5"/>
        <v>1.4477879999999999</v>
      </c>
    </row>
    <row r="29" spans="1:21" x14ac:dyDescent="0.25">
      <c r="A29">
        <v>26</v>
      </c>
      <c r="B29">
        <v>1.583</v>
      </c>
      <c r="C29">
        <v>0.47199999999999998</v>
      </c>
      <c r="D29" s="1">
        <f t="shared" si="0"/>
        <v>25.579727000000002</v>
      </c>
      <c r="E29" s="2">
        <f t="shared" si="1"/>
        <v>1.2125679999999999</v>
      </c>
      <c r="I29">
        <v>26</v>
      </c>
      <c r="J29">
        <v>1.1659999999999999</v>
      </c>
      <c r="K29">
        <v>0.42499999999999999</v>
      </c>
      <c r="L29" s="1">
        <f t="shared" si="2"/>
        <v>21.636408000000003</v>
      </c>
      <c r="M29" s="2">
        <f t="shared" si="3"/>
        <v>1.6523999999999999</v>
      </c>
      <c r="Q29">
        <v>26</v>
      </c>
      <c r="R29">
        <v>-0.72</v>
      </c>
      <c r="S29">
        <v>0.27900000000000003</v>
      </c>
      <c r="T29" s="1">
        <f t="shared" si="4"/>
        <v>38.823520000000002</v>
      </c>
      <c r="U29" s="2">
        <f t="shared" si="5"/>
        <v>1.4323860000000002</v>
      </c>
    </row>
    <row r="30" spans="1:21" x14ac:dyDescent="0.25">
      <c r="A30">
        <v>27</v>
      </c>
      <c r="B30">
        <v>1.8080000000000001</v>
      </c>
      <c r="C30">
        <v>0.48399999999999999</v>
      </c>
      <c r="D30" s="1">
        <f t="shared" si="0"/>
        <v>26.157752000000002</v>
      </c>
      <c r="E30" s="2">
        <f t="shared" si="1"/>
        <v>1.2433959999999999</v>
      </c>
      <c r="I30">
        <v>27</v>
      </c>
      <c r="J30">
        <v>1.349</v>
      </c>
      <c r="K30">
        <v>0.437</v>
      </c>
      <c r="L30" s="1">
        <f t="shared" si="2"/>
        <v>22.347912000000001</v>
      </c>
      <c r="M30" s="2">
        <f t="shared" si="3"/>
        <v>1.6990559999999999</v>
      </c>
      <c r="Q30">
        <v>27</v>
      </c>
      <c r="R30">
        <v>-0.64400000000000002</v>
      </c>
      <c r="S30">
        <v>0.27700000000000002</v>
      </c>
      <c r="T30" s="1">
        <f t="shared" si="4"/>
        <v>39.213704</v>
      </c>
      <c r="U30" s="2">
        <f t="shared" si="5"/>
        <v>1.4221180000000002</v>
      </c>
    </row>
    <row r="31" spans="1:21" x14ac:dyDescent="0.25">
      <c r="A31">
        <v>28</v>
      </c>
      <c r="B31">
        <v>2.0459999999999998</v>
      </c>
      <c r="C31">
        <v>0.499</v>
      </c>
      <c r="D31" s="1">
        <f t="shared" si="0"/>
        <v>26.769174</v>
      </c>
      <c r="E31" s="2">
        <f t="shared" si="1"/>
        <v>1.2819309999999999</v>
      </c>
      <c r="I31">
        <v>28</v>
      </c>
      <c r="J31">
        <v>1.542</v>
      </c>
      <c r="K31">
        <v>0.45100000000000001</v>
      </c>
      <c r="L31" s="1">
        <f t="shared" si="2"/>
        <v>23.098296000000001</v>
      </c>
      <c r="M31" s="2">
        <f t="shared" si="3"/>
        <v>1.7534879999999999</v>
      </c>
      <c r="Q31">
        <v>28</v>
      </c>
      <c r="R31">
        <v>-0.56799999999999995</v>
      </c>
      <c r="S31">
        <v>0.27600000000000002</v>
      </c>
      <c r="T31" s="1">
        <f t="shared" si="4"/>
        <v>39.603888000000005</v>
      </c>
      <c r="U31" s="2">
        <f t="shared" si="5"/>
        <v>1.4169840000000002</v>
      </c>
    </row>
    <row r="32" spans="1:21" x14ac:dyDescent="0.25">
      <c r="A32">
        <v>29</v>
      </c>
      <c r="B32">
        <v>2.2999999999999998</v>
      </c>
      <c r="C32">
        <v>0.51700000000000002</v>
      </c>
      <c r="D32" s="1">
        <f t="shared" si="0"/>
        <v>27.421700000000001</v>
      </c>
      <c r="E32" s="2">
        <f t="shared" si="1"/>
        <v>1.328173</v>
      </c>
      <c r="I32">
        <v>29</v>
      </c>
      <c r="J32">
        <v>1.75</v>
      </c>
      <c r="K32">
        <v>0.47</v>
      </c>
      <c r="L32" s="1">
        <f t="shared" si="2"/>
        <v>23.907000000000004</v>
      </c>
      <c r="M32" s="2">
        <f t="shared" si="3"/>
        <v>1.8273599999999999</v>
      </c>
      <c r="Q32">
        <v>29</v>
      </c>
      <c r="R32">
        <v>-0.49299999999999999</v>
      </c>
      <c r="S32">
        <v>0.27400000000000002</v>
      </c>
      <c r="T32" s="1">
        <f t="shared" si="4"/>
        <v>39.988938000000005</v>
      </c>
      <c r="U32" s="2">
        <f t="shared" si="5"/>
        <v>1.4067160000000003</v>
      </c>
    </row>
    <row r="33" spans="1:21" x14ac:dyDescent="0.25">
      <c r="A33">
        <v>30</v>
      </c>
      <c r="B33">
        <v>2.5739999999999998</v>
      </c>
      <c r="C33">
        <v>0.54100000000000004</v>
      </c>
      <c r="D33" s="1">
        <f t="shared" si="0"/>
        <v>28.125606000000001</v>
      </c>
      <c r="E33" s="2">
        <f t="shared" si="1"/>
        <v>1.389829</v>
      </c>
      <c r="I33">
        <v>30</v>
      </c>
      <c r="J33">
        <v>1.976</v>
      </c>
      <c r="K33">
        <v>0.49399999999999999</v>
      </c>
      <c r="L33" s="1">
        <f t="shared" si="2"/>
        <v>24.785688</v>
      </c>
      <c r="M33" s="2">
        <f t="shared" si="3"/>
        <v>1.9206719999999999</v>
      </c>
      <c r="Q33">
        <v>30</v>
      </c>
      <c r="R33">
        <v>-0.41899999999999998</v>
      </c>
      <c r="S33">
        <v>0.27300000000000002</v>
      </c>
      <c r="T33" s="1">
        <f t="shared" si="4"/>
        <v>40.368854000000006</v>
      </c>
      <c r="U33" s="2">
        <f t="shared" si="5"/>
        <v>1.4015820000000001</v>
      </c>
    </row>
    <row r="34" spans="1:21" x14ac:dyDescent="0.25">
      <c r="A34">
        <v>31</v>
      </c>
      <c r="B34">
        <v>2.8759999999999999</v>
      </c>
      <c r="C34">
        <v>0.56999999999999995</v>
      </c>
      <c r="D34" s="1">
        <f t="shared" si="0"/>
        <v>28.901444000000001</v>
      </c>
      <c r="E34" s="2">
        <f t="shared" si="1"/>
        <v>1.4643299999999999</v>
      </c>
      <c r="I34">
        <v>31</v>
      </c>
      <c r="J34">
        <v>2.2280000000000002</v>
      </c>
      <c r="K34">
        <v>0.52500000000000002</v>
      </c>
      <c r="L34" s="1">
        <f t="shared" si="2"/>
        <v>25.765464000000001</v>
      </c>
      <c r="M34" s="2">
        <f t="shared" si="3"/>
        <v>2.0411999999999999</v>
      </c>
      <c r="Q34">
        <v>31</v>
      </c>
      <c r="R34">
        <v>-0.34599999999999997</v>
      </c>
      <c r="S34">
        <v>0.27200000000000002</v>
      </c>
      <c r="T34" s="1">
        <f t="shared" si="4"/>
        <v>40.743636000000002</v>
      </c>
      <c r="U34" s="2">
        <f t="shared" si="5"/>
        <v>1.3964480000000001</v>
      </c>
    </row>
    <row r="35" spans="1:21" x14ac:dyDescent="0.25">
      <c r="A35">
        <v>32</v>
      </c>
      <c r="B35">
        <v>3.2149999999999999</v>
      </c>
      <c r="C35">
        <v>0.61</v>
      </c>
      <c r="D35" s="1">
        <f t="shared" si="0"/>
        <v>29.772335000000002</v>
      </c>
      <c r="E35" s="2">
        <f t="shared" si="1"/>
        <v>1.5670899999999999</v>
      </c>
      <c r="I35">
        <v>32</v>
      </c>
      <c r="J35">
        <v>2.5169999999999999</v>
      </c>
      <c r="K35">
        <v>0.56799999999999995</v>
      </c>
      <c r="L35" s="1">
        <f t="shared" si="2"/>
        <v>26.889096000000002</v>
      </c>
      <c r="M35" s="2">
        <f t="shared" si="3"/>
        <v>2.2083839999999997</v>
      </c>
      <c r="Q35">
        <v>32</v>
      </c>
      <c r="R35">
        <v>-0.27300000000000002</v>
      </c>
      <c r="S35">
        <v>0.27200000000000002</v>
      </c>
      <c r="T35" s="1">
        <f t="shared" si="4"/>
        <v>41.118418000000005</v>
      </c>
      <c r="U35" s="2">
        <f t="shared" si="5"/>
        <v>1.3964480000000001</v>
      </c>
    </row>
    <row r="36" spans="1:21" x14ac:dyDescent="0.25">
      <c r="A36">
        <v>33</v>
      </c>
      <c r="B36">
        <v>3.6080000000000001</v>
      </c>
      <c r="C36">
        <v>0.66700000000000004</v>
      </c>
      <c r="D36" s="1">
        <f t="shared" si="0"/>
        <v>30.781952000000004</v>
      </c>
      <c r="E36" s="2">
        <f t="shared" si="1"/>
        <v>1.7135230000000001</v>
      </c>
      <c r="I36">
        <v>33</v>
      </c>
      <c r="J36">
        <v>2.863</v>
      </c>
      <c r="K36">
        <v>0.63</v>
      </c>
      <c r="L36" s="1">
        <f t="shared" si="2"/>
        <v>28.234344</v>
      </c>
      <c r="M36" s="2">
        <f t="shared" si="3"/>
        <v>2.4494400000000001</v>
      </c>
      <c r="Q36">
        <v>33</v>
      </c>
      <c r="R36">
        <v>-0.2</v>
      </c>
      <c r="S36">
        <v>0.27100000000000002</v>
      </c>
      <c r="T36" s="1">
        <f t="shared" si="4"/>
        <v>41.493200000000002</v>
      </c>
      <c r="U36" s="2">
        <f t="shared" si="5"/>
        <v>1.3913140000000002</v>
      </c>
    </row>
    <row r="37" spans="1:21" x14ac:dyDescent="0.25">
      <c r="A37">
        <v>34</v>
      </c>
      <c r="B37">
        <v>4.0880000000000001</v>
      </c>
      <c r="C37">
        <v>0.75800000000000001</v>
      </c>
      <c r="D37" s="1">
        <f t="shared" si="0"/>
        <v>32.015072000000004</v>
      </c>
      <c r="E37" s="2">
        <f t="shared" si="1"/>
        <v>1.9473020000000001</v>
      </c>
      <c r="I37">
        <v>34</v>
      </c>
      <c r="J37">
        <v>3.306</v>
      </c>
      <c r="K37">
        <v>0.72899999999999998</v>
      </c>
      <c r="L37" s="1">
        <f t="shared" si="2"/>
        <v>29.956728000000002</v>
      </c>
      <c r="M37" s="2">
        <f t="shared" si="3"/>
        <v>2.834352</v>
      </c>
      <c r="Q37">
        <v>34</v>
      </c>
      <c r="R37">
        <v>-0.127</v>
      </c>
      <c r="S37">
        <v>0.27100000000000002</v>
      </c>
      <c r="T37" s="1">
        <f t="shared" si="4"/>
        <v>41.867982000000005</v>
      </c>
      <c r="U37" s="2">
        <f t="shared" si="5"/>
        <v>1.3913140000000002</v>
      </c>
    </row>
    <row r="38" spans="1:21" x14ac:dyDescent="0.25">
      <c r="A38">
        <v>35</v>
      </c>
      <c r="B38">
        <v>4.7439999999999998</v>
      </c>
      <c r="C38">
        <v>0.93600000000000005</v>
      </c>
      <c r="D38" s="1">
        <f t="shared" si="0"/>
        <v>33.700336</v>
      </c>
      <c r="E38" s="2">
        <f t="shared" si="1"/>
        <v>2.4045840000000003</v>
      </c>
      <c r="I38">
        <v>35</v>
      </c>
      <c r="J38">
        <v>3.9430000000000001</v>
      </c>
      <c r="K38">
        <v>0.91900000000000004</v>
      </c>
      <c r="L38" s="1">
        <f t="shared" si="2"/>
        <v>32.433384000000004</v>
      </c>
      <c r="M38" s="2">
        <f t="shared" si="3"/>
        <v>3.5730720000000002</v>
      </c>
      <c r="Q38">
        <v>35</v>
      </c>
      <c r="R38">
        <v>-5.5E-2</v>
      </c>
      <c r="S38">
        <v>0.27100000000000002</v>
      </c>
      <c r="T38" s="1">
        <f t="shared" si="4"/>
        <v>42.237630000000003</v>
      </c>
      <c r="U38" s="2">
        <f t="shared" si="5"/>
        <v>1.3913140000000002</v>
      </c>
    </row>
    <row r="39" spans="1:21" x14ac:dyDescent="0.25">
      <c r="A39">
        <v>35.811</v>
      </c>
      <c r="B39">
        <v>5.64</v>
      </c>
      <c r="C39">
        <v>1.286</v>
      </c>
      <c r="D39" s="1">
        <f t="shared" si="0"/>
        <v>36.002160000000003</v>
      </c>
      <c r="E39" s="2">
        <f t="shared" si="1"/>
        <v>3.3037339999999999</v>
      </c>
      <c r="I39">
        <v>35.82</v>
      </c>
      <c r="J39">
        <v>4.8609999999999998</v>
      </c>
      <c r="K39">
        <v>1.284</v>
      </c>
      <c r="L39" s="1">
        <f t="shared" si="2"/>
        <v>36.002567999999997</v>
      </c>
      <c r="M39" s="2">
        <f t="shared" si="3"/>
        <v>4.9921920000000002</v>
      </c>
      <c r="Q39">
        <v>36</v>
      </c>
      <c r="R39">
        <v>1.7999999999999999E-2</v>
      </c>
      <c r="S39">
        <v>0.27100000000000002</v>
      </c>
      <c r="T39" s="1">
        <f t="shared" si="4"/>
        <v>42.612412000000006</v>
      </c>
      <c r="U39" s="2">
        <f t="shared" si="5"/>
        <v>1.3913140000000002</v>
      </c>
    </row>
    <row r="40" spans="1:21" x14ac:dyDescent="0.25">
      <c r="Q40">
        <v>37</v>
      </c>
      <c r="R40">
        <v>9.0999999999999998E-2</v>
      </c>
      <c r="S40">
        <v>0.27100000000000002</v>
      </c>
      <c r="T40" s="1">
        <f t="shared" si="4"/>
        <v>42.987194000000002</v>
      </c>
      <c r="U40" s="2">
        <f t="shared" si="5"/>
        <v>1.3913140000000002</v>
      </c>
    </row>
    <row r="41" spans="1:21" x14ac:dyDescent="0.25">
      <c r="Q41">
        <v>38</v>
      </c>
      <c r="R41">
        <v>0.16400000000000001</v>
      </c>
      <c r="S41">
        <v>0.27200000000000002</v>
      </c>
      <c r="T41" s="1">
        <f t="shared" si="4"/>
        <v>43.361976000000006</v>
      </c>
      <c r="U41" s="2">
        <f t="shared" si="5"/>
        <v>1.3964480000000001</v>
      </c>
    </row>
    <row r="42" spans="1:21" x14ac:dyDescent="0.25">
      <c r="A42" t="s">
        <v>6</v>
      </c>
      <c r="I42" t="s">
        <v>6</v>
      </c>
      <c r="Q42">
        <v>39</v>
      </c>
      <c r="R42">
        <v>0.23699999999999999</v>
      </c>
      <c r="S42">
        <v>0.27300000000000002</v>
      </c>
      <c r="T42" s="1">
        <f t="shared" si="4"/>
        <v>43.736758000000002</v>
      </c>
      <c r="U42" s="2">
        <f t="shared" si="5"/>
        <v>1.4015820000000001</v>
      </c>
    </row>
    <row r="43" spans="1:21" x14ac:dyDescent="0.25">
      <c r="A43" t="s">
        <v>16</v>
      </c>
      <c r="I43" t="s">
        <v>15</v>
      </c>
      <c r="Q43">
        <v>40</v>
      </c>
      <c r="R43">
        <v>0.311</v>
      </c>
      <c r="S43">
        <v>0.27400000000000002</v>
      </c>
      <c r="T43" s="1">
        <f t="shared" si="4"/>
        <v>44.116674000000003</v>
      </c>
      <c r="U43" s="2">
        <f t="shared" si="5"/>
        <v>1.4067160000000003</v>
      </c>
    </row>
    <row r="44" spans="1:21" x14ac:dyDescent="0.25">
      <c r="A44" t="s">
        <v>12</v>
      </c>
      <c r="I44" t="s">
        <v>10</v>
      </c>
      <c r="Q44">
        <v>41</v>
      </c>
      <c r="R44">
        <v>0.38600000000000001</v>
      </c>
      <c r="S44">
        <v>0.27500000000000002</v>
      </c>
      <c r="T44" s="1">
        <f t="shared" si="4"/>
        <v>44.501724000000003</v>
      </c>
      <c r="U44" s="2">
        <f t="shared" si="5"/>
        <v>1.4118500000000003</v>
      </c>
    </row>
    <row r="45" spans="1:21" x14ac:dyDescent="0.25">
      <c r="Q45">
        <v>42</v>
      </c>
      <c r="R45">
        <v>0.46100000000000002</v>
      </c>
      <c r="S45">
        <v>0.27600000000000002</v>
      </c>
      <c r="T45" s="1">
        <f t="shared" si="4"/>
        <v>44.886774000000003</v>
      </c>
      <c r="U45" s="2">
        <f t="shared" si="5"/>
        <v>1.4169840000000002</v>
      </c>
    </row>
    <row r="46" spans="1:21" x14ac:dyDescent="0.25">
      <c r="A46" t="s">
        <v>9</v>
      </c>
      <c r="I46" t="s">
        <v>9</v>
      </c>
      <c r="Q46">
        <v>43</v>
      </c>
      <c r="R46">
        <v>0.53700000000000003</v>
      </c>
      <c r="S46">
        <v>0.27800000000000002</v>
      </c>
      <c r="T46" s="1">
        <f t="shared" si="4"/>
        <v>45.276958</v>
      </c>
      <c r="U46" s="2">
        <f t="shared" si="5"/>
        <v>1.4272520000000002</v>
      </c>
    </row>
    <row r="47" spans="1:21" x14ac:dyDescent="0.25">
      <c r="A47" t="s">
        <v>20</v>
      </c>
      <c r="I47" t="s">
        <v>11</v>
      </c>
      <c r="Q47">
        <v>44</v>
      </c>
      <c r="R47">
        <v>0.61399999999999999</v>
      </c>
      <c r="S47">
        <v>0.28000000000000003</v>
      </c>
      <c r="T47" s="1">
        <f t="shared" si="4"/>
        <v>45.672276000000004</v>
      </c>
      <c r="U47" s="2">
        <f t="shared" si="5"/>
        <v>1.4375200000000001</v>
      </c>
    </row>
    <row r="48" spans="1:21" x14ac:dyDescent="0.25">
      <c r="Q48">
        <v>45</v>
      </c>
      <c r="R48">
        <v>0.69199999999999995</v>
      </c>
      <c r="S48">
        <v>0.28199999999999997</v>
      </c>
      <c r="T48" s="1">
        <f t="shared" si="4"/>
        <v>46.072728000000005</v>
      </c>
      <c r="U48" s="2">
        <f t="shared" si="5"/>
        <v>1.4477879999999999</v>
      </c>
    </row>
    <row r="49" spans="1:21" x14ac:dyDescent="0.25">
      <c r="A49" t="s">
        <v>7</v>
      </c>
      <c r="I49" t="s">
        <v>7</v>
      </c>
      <c r="Q49">
        <v>46</v>
      </c>
      <c r="R49">
        <v>0.77200000000000002</v>
      </c>
      <c r="S49">
        <v>0.28399999999999997</v>
      </c>
      <c r="T49" s="1">
        <f t="shared" si="4"/>
        <v>46.483448000000003</v>
      </c>
      <c r="U49" s="2">
        <f t="shared" si="5"/>
        <v>1.458056</v>
      </c>
    </row>
    <row r="50" spans="1:21" x14ac:dyDescent="0.25">
      <c r="A50" t="s">
        <v>8</v>
      </c>
      <c r="I50" t="s">
        <v>8</v>
      </c>
      <c r="Q50">
        <v>47</v>
      </c>
      <c r="R50">
        <v>0.85199999999999998</v>
      </c>
      <c r="S50">
        <v>0.28699999999999998</v>
      </c>
      <c r="T50" s="1">
        <f t="shared" si="4"/>
        <v>46.894168000000001</v>
      </c>
      <c r="U50" s="2">
        <f t="shared" si="5"/>
        <v>1.4734579999999999</v>
      </c>
    </row>
    <row r="51" spans="1:21" x14ac:dyDescent="0.25">
      <c r="Q51">
        <v>48</v>
      </c>
      <c r="R51">
        <v>0.93500000000000005</v>
      </c>
      <c r="S51">
        <v>0.28899999999999998</v>
      </c>
      <c r="T51" s="1">
        <f t="shared" si="4"/>
        <v>47.32029</v>
      </c>
      <c r="U51" s="2">
        <f t="shared" si="5"/>
        <v>1.4837260000000001</v>
      </c>
    </row>
    <row r="52" spans="1:21" x14ac:dyDescent="0.25">
      <c r="Q52">
        <v>49</v>
      </c>
      <c r="R52">
        <v>1.0189999999999999</v>
      </c>
      <c r="S52">
        <v>0.29299999999999998</v>
      </c>
      <c r="T52" s="1">
        <f t="shared" si="4"/>
        <v>47.751546000000005</v>
      </c>
      <c r="U52" s="2">
        <f t="shared" si="5"/>
        <v>1.504262</v>
      </c>
    </row>
    <row r="53" spans="1:21" x14ac:dyDescent="0.25">
      <c r="Q53">
        <v>50</v>
      </c>
      <c r="R53">
        <v>1.105</v>
      </c>
      <c r="S53">
        <v>0.29599999999999999</v>
      </c>
      <c r="T53" s="1">
        <f t="shared" si="4"/>
        <v>48.193070000000006</v>
      </c>
      <c r="U53" s="2">
        <f t="shared" si="5"/>
        <v>1.5196640000000001</v>
      </c>
    </row>
    <row r="54" spans="1:21" x14ac:dyDescent="0.25">
      <c r="Q54">
        <v>51</v>
      </c>
      <c r="R54">
        <v>1.1930000000000001</v>
      </c>
      <c r="S54">
        <v>0.3</v>
      </c>
      <c r="T54" s="1">
        <f t="shared" si="4"/>
        <v>48.644862000000003</v>
      </c>
      <c r="U54" s="2">
        <f t="shared" si="5"/>
        <v>1.5402</v>
      </c>
    </row>
    <row r="55" spans="1:21" x14ac:dyDescent="0.25">
      <c r="Q55">
        <v>52</v>
      </c>
      <c r="R55">
        <v>1.2829999999999999</v>
      </c>
      <c r="S55">
        <v>0.30399999999999999</v>
      </c>
      <c r="T55" s="1">
        <f t="shared" si="4"/>
        <v>49.106922000000004</v>
      </c>
      <c r="U55" s="2">
        <f t="shared" si="5"/>
        <v>1.5607360000000001</v>
      </c>
    </row>
    <row r="56" spans="1:21" x14ac:dyDescent="0.25">
      <c r="Q56">
        <v>53</v>
      </c>
      <c r="R56">
        <v>1.377</v>
      </c>
      <c r="S56">
        <v>0.309</v>
      </c>
      <c r="T56" s="1">
        <f t="shared" si="4"/>
        <v>49.589518000000005</v>
      </c>
      <c r="U56" s="2">
        <f t="shared" si="5"/>
        <v>1.586406</v>
      </c>
    </row>
    <row r="57" spans="1:21" x14ac:dyDescent="0.25">
      <c r="Q57">
        <v>54</v>
      </c>
      <c r="R57">
        <v>1.4730000000000001</v>
      </c>
      <c r="S57">
        <v>0.314</v>
      </c>
      <c r="T57" s="1">
        <f t="shared" si="4"/>
        <v>50.082382000000003</v>
      </c>
      <c r="U57" s="2">
        <f t="shared" si="5"/>
        <v>1.6120760000000001</v>
      </c>
    </row>
    <row r="58" spans="1:21" x14ac:dyDescent="0.25">
      <c r="Q58">
        <v>55</v>
      </c>
      <c r="R58">
        <v>1.5720000000000001</v>
      </c>
      <c r="S58">
        <v>0.31900000000000001</v>
      </c>
      <c r="T58" s="1">
        <f t="shared" si="4"/>
        <v>50.590648000000002</v>
      </c>
      <c r="U58" s="2">
        <f t="shared" si="5"/>
        <v>1.6377460000000001</v>
      </c>
    </row>
    <row r="59" spans="1:21" x14ac:dyDescent="0.25">
      <c r="Q59">
        <v>56</v>
      </c>
      <c r="R59">
        <v>1.675</v>
      </c>
      <c r="S59">
        <v>0.32600000000000001</v>
      </c>
      <c r="T59" s="1">
        <f t="shared" si="4"/>
        <v>51.119450000000001</v>
      </c>
      <c r="U59" s="2">
        <f t="shared" si="5"/>
        <v>1.6736840000000002</v>
      </c>
    </row>
    <row r="60" spans="1:21" x14ac:dyDescent="0.25">
      <c r="Q60">
        <v>57</v>
      </c>
      <c r="R60">
        <v>1.782</v>
      </c>
      <c r="S60">
        <v>0.33200000000000002</v>
      </c>
      <c r="T60" s="1">
        <f t="shared" si="4"/>
        <v>51.668788000000006</v>
      </c>
      <c r="U60" s="2">
        <f t="shared" si="5"/>
        <v>1.7044880000000002</v>
      </c>
    </row>
    <row r="61" spans="1:21" x14ac:dyDescent="0.25">
      <c r="Q61">
        <v>58</v>
      </c>
      <c r="R61">
        <v>1.8939999999999999</v>
      </c>
      <c r="S61">
        <v>0.34</v>
      </c>
      <c r="T61" s="1">
        <f t="shared" si="4"/>
        <v>52.243796000000003</v>
      </c>
      <c r="U61" s="2">
        <f t="shared" si="5"/>
        <v>1.7455600000000002</v>
      </c>
    </row>
    <row r="62" spans="1:21" x14ac:dyDescent="0.25">
      <c r="Q62">
        <v>59</v>
      </c>
      <c r="R62">
        <v>2.012</v>
      </c>
      <c r="S62">
        <v>0.34799999999999998</v>
      </c>
      <c r="T62" s="1">
        <f t="shared" si="4"/>
        <v>52.849608000000003</v>
      </c>
      <c r="U62" s="2">
        <f t="shared" si="5"/>
        <v>1.786632</v>
      </c>
    </row>
    <row r="63" spans="1:21" x14ac:dyDescent="0.25">
      <c r="Q63">
        <v>60</v>
      </c>
      <c r="R63">
        <v>2.1349999999999998</v>
      </c>
      <c r="S63">
        <v>0.35799999999999998</v>
      </c>
      <c r="T63" s="1">
        <f t="shared" si="4"/>
        <v>53.481090000000002</v>
      </c>
      <c r="U63" s="2">
        <f t="shared" si="5"/>
        <v>1.8379719999999999</v>
      </c>
    </row>
    <row r="64" spans="1:21" x14ac:dyDescent="0.25">
      <c r="Q64">
        <v>61</v>
      </c>
      <c r="R64">
        <v>2.266</v>
      </c>
      <c r="S64">
        <v>0.36899999999999999</v>
      </c>
      <c r="T64" s="1">
        <f t="shared" si="4"/>
        <v>54.153644</v>
      </c>
      <c r="U64" s="2">
        <f t="shared" si="5"/>
        <v>1.8944460000000001</v>
      </c>
    </row>
    <row r="65" spans="17:21" x14ac:dyDescent="0.25">
      <c r="Q65">
        <v>62</v>
      </c>
      <c r="R65">
        <v>2.4049999999999998</v>
      </c>
      <c r="S65">
        <v>0.38200000000000001</v>
      </c>
      <c r="T65" s="1">
        <f t="shared" si="4"/>
        <v>54.867270000000005</v>
      </c>
      <c r="U65" s="2">
        <f t="shared" si="5"/>
        <v>1.9611880000000002</v>
      </c>
    </row>
    <row r="66" spans="17:21" x14ac:dyDescent="0.25">
      <c r="Q66">
        <v>63</v>
      </c>
      <c r="R66">
        <v>2.5539999999999998</v>
      </c>
      <c r="S66">
        <v>0.39600000000000002</v>
      </c>
      <c r="T66" s="1">
        <f t="shared" si="4"/>
        <v>55.632236000000006</v>
      </c>
      <c r="U66" s="2">
        <f t="shared" si="5"/>
        <v>2.0330640000000004</v>
      </c>
    </row>
    <row r="67" spans="17:21" x14ac:dyDescent="0.25">
      <c r="Q67">
        <v>64</v>
      </c>
      <c r="R67">
        <v>2.7160000000000002</v>
      </c>
      <c r="S67">
        <v>0.41299999999999998</v>
      </c>
      <c r="T67" s="1">
        <f t="shared" si="4"/>
        <v>56.463944000000005</v>
      </c>
      <c r="U67" s="2">
        <f t="shared" si="5"/>
        <v>2.1203419999999999</v>
      </c>
    </row>
    <row r="68" spans="17:21" x14ac:dyDescent="0.25">
      <c r="Q68">
        <v>65</v>
      </c>
      <c r="R68">
        <v>2.8929999999999998</v>
      </c>
      <c r="S68">
        <v>0.434</v>
      </c>
      <c r="T68" s="1">
        <f t="shared" ref="T68:T75" si="6" xml:space="preserve"> 42.52 + (5.134 * R68)</f>
        <v>57.372662000000005</v>
      </c>
      <c r="U68" s="2">
        <f t="shared" ref="U68:U75" si="7" xml:space="preserve"> S68 * 5.134</f>
        <v>2.2281560000000002</v>
      </c>
    </row>
    <row r="69" spans="17:21" x14ac:dyDescent="0.25">
      <c r="Q69">
        <v>66</v>
      </c>
      <c r="R69">
        <v>3.089</v>
      </c>
      <c r="S69">
        <v>0.46</v>
      </c>
      <c r="T69" s="1">
        <f t="shared" si="6"/>
        <v>58.378926000000007</v>
      </c>
      <c r="U69" s="2">
        <f t="shared" si="7"/>
        <v>2.3616400000000004</v>
      </c>
    </row>
    <row r="70" spans="17:21" x14ac:dyDescent="0.25">
      <c r="Q70">
        <v>67</v>
      </c>
      <c r="R70">
        <v>3.3119999999999998</v>
      </c>
      <c r="S70">
        <v>0.49299999999999999</v>
      </c>
      <c r="T70" s="1">
        <f t="shared" si="6"/>
        <v>59.523808000000002</v>
      </c>
      <c r="U70" s="2">
        <f t="shared" si="7"/>
        <v>2.5310619999999999</v>
      </c>
    </row>
    <row r="71" spans="17:21" x14ac:dyDescent="0.25">
      <c r="Q71">
        <v>68</v>
      </c>
      <c r="R71">
        <v>3.5710000000000002</v>
      </c>
      <c r="S71">
        <v>0.53700000000000003</v>
      </c>
      <c r="T71" s="1">
        <f t="shared" si="6"/>
        <v>60.853514000000004</v>
      </c>
      <c r="U71" s="2">
        <f t="shared" si="7"/>
        <v>2.7569580000000005</v>
      </c>
    </row>
    <row r="72" spans="17:21" x14ac:dyDescent="0.25">
      <c r="Q72">
        <v>69</v>
      </c>
      <c r="R72">
        <v>3.8860000000000001</v>
      </c>
      <c r="S72">
        <v>0.59899999999999998</v>
      </c>
      <c r="T72" s="1">
        <f t="shared" si="6"/>
        <v>62.470724000000004</v>
      </c>
      <c r="U72" s="2">
        <f t="shared" si="7"/>
        <v>3.0752660000000001</v>
      </c>
    </row>
    <row r="73" spans="17:21" x14ac:dyDescent="0.25">
      <c r="Q73">
        <v>70</v>
      </c>
      <c r="R73">
        <v>4.2919999999999998</v>
      </c>
      <c r="S73">
        <v>0.69699999999999995</v>
      </c>
      <c r="T73" s="1">
        <f t="shared" si="6"/>
        <v>64.555127999999996</v>
      </c>
      <c r="U73" s="2">
        <f t="shared" si="7"/>
        <v>3.578398</v>
      </c>
    </row>
    <row r="74" spans="17:21" x14ac:dyDescent="0.25">
      <c r="Q74">
        <v>71</v>
      </c>
      <c r="R74">
        <v>4.883</v>
      </c>
      <c r="S74">
        <v>0.88400000000000001</v>
      </c>
      <c r="T74" s="1">
        <f t="shared" si="6"/>
        <v>67.58932200000001</v>
      </c>
      <c r="U74" s="2">
        <f t="shared" si="7"/>
        <v>4.538456</v>
      </c>
    </row>
    <row r="75" spans="17:21" x14ac:dyDescent="0.25">
      <c r="Q75">
        <v>71.814999999999998</v>
      </c>
      <c r="R75">
        <v>5.742</v>
      </c>
      <c r="S75">
        <v>1.242</v>
      </c>
      <c r="T75" s="1">
        <f t="shared" si="6"/>
        <v>71.999428000000009</v>
      </c>
      <c r="U75" s="2">
        <f t="shared" si="7"/>
        <v>6.3764280000000007</v>
      </c>
    </row>
    <row r="77" spans="17:21" x14ac:dyDescent="0.25">
      <c r="Q77" t="s">
        <v>6</v>
      </c>
    </row>
    <row r="78" spans="17:21" x14ac:dyDescent="0.25">
      <c r="Q78" t="s">
        <v>14</v>
      </c>
    </row>
    <row r="79" spans="17:21" x14ac:dyDescent="0.25">
      <c r="Q79" t="s">
        <v>17</v>
      </c>
    </row>
    <row r="81" spans="17:17" x14ac:dyDescent="0.25">
      <c r="Q81" t="s">
        <v>9</v>
      </c>
    </row>
    <row r="82" spans="17:17" x14ac:dyDescent="0.25">
      <c r="Q82" t="s">
        <v>18</v>
      </c>
    </row>
    <row r="84" spans="17:17" x14ac:dyDescent="0.25">
      <c r="Q84" t="s">
        <v>7</v>
      </c>
    </row>
    <row r="85" spans="17:17" x14ac:dyDescent="0.25">
      <c r="Q85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>Högskolan Kristianstad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Westergren</dc:creator>
  <cp:lastModifiedBy>Albert Westergren</cp:lastModifiedBy>
  <dcterms:created xsi:type="dcterms:W3CDTF">2019-09-15T10:14:32Z</dcterms:created>
  <dcterms:modified xsi:type="dcterms:W3CDTF">2019-12-23T10:02:46Z</dcterms:modified>
</cp:coreProperties>
</file>