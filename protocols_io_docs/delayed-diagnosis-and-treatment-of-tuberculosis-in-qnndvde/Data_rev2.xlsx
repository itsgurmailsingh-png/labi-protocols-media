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fanoorlando/Dropbox/Studio CEA screening TB-HPV/TB/Definitivi inviati/PLOS_1/Seconda revisione/"/>
    </mc:Choice>
  </mc:AlternateContent>
  <xr:revisionPtr revIDLastSave="0" documentId="13_ncr:1_{17B37629-F92A-D845-90AC-FF825B627ACD}" xr6:coauthVersionLast="33" xr6:coauthVersionMax="33" xr10:uidLastSave="{00000000-0000-0000-0000-000000000000}"/>
  <bookViews>
    <workbookView xWindow="7900" yWindow="1200" windowWidth="25600" windowHeight="16440" tabRatio="575" activeTab="3" xr2:uid="{00000000-000D-0000-FFFF-FFFF00000000}"/>
  </bookViews>
  <sheets>
    <sheet name="Parameters" sheetId="1" r:id="rId1"/>
    <sheet name="Costs details" sheetId="2" r:id="rId2"/>
    <sheet name="Results" sheetId="3" r:id="rId3"/>
    <sheet name="Sensitivity" sheetId="6" r:id="rId4"/>
    <sheet name="figure" sheetId="7" r:id="rId5"/>
    <sheet name="Tornado" sheetId="9" r:id="rId6"/>
  </sheets>
  <externalReferences>
    <externalReference r:id="rId7"/>
    <externalReference r:id="rId8"/>
  </externalReferences>
  <calcPr calcId="17901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6" l="1"/>
  <c r="B6" i="6"/>
  <c r="B108" i="3"/>
  <c r="B15" i="6" l="1"/>
  <c r="B35" i="6" s="1"/>
  <c r="B20" i="6"/>
  <c r="C8" i="6"/>
  <c r="G8" i="6"/>
  <c r="C9" i="6"/>
  <c r="G9" i="6" s="1"/>
  <c r="C10" i="6"/>
  <c r="G10" i="6"/>
  <c r="H8" i="6"/>
  <c r="H10" i="6"/>
  <c r="B106" i="3"/>
  <c r="C6" i="6"/>
  <c r="G6" i="6" s="1"/>
  <c r="B21" i="1"/>
  <c r="C108" i="3" s="1"/>
  <c r="D108" i="3" s="1"/>
  <c r="C11" i="6"/>
  <c r="G11" i="6" s="1"/>
  <c r="C12" i="6"/>
  <c r="G12" i="6" s="1"/>
  <c r="C7" i="6"/>
  <c r="G7" i="6" s="1"/>
  <c r="C19" i="6"/>
  <c r="E19" i="6" s="1"/>
  <c r="E39" i="6" s="1"/>
  <c r="C18" i="6"/>
  <c r="G18" i="6" s="1"/>
  <c r="C20" i="6"/>
  <c r="G20" i="6" s="1"/>
  <c r="H12" i="6"/>
  <c r="H18" i="6"/>
  <c r="C4" i="3"/>
  <c r="C9" i="3" s="1"/>
  <c r="B7" i="2"/>
  <c r="B28" i="1"/>
  <c r="E68" i="3" s="1"/>
  <c r="B12" i="2"/>
  <c r="B22" i="2" s="1"/>
  <c r="B29" i="1" s="1"/>
  <c r="D3" i="3"/>
  <c r="D4" i="3" s="1"/>
  <c r="B27" i="2"/>
  <c r="B2" i="2"/>
  <c r="C102" i="3" s="1"/>
  <c r="C103" i="3" s="1"/>
  <c r="B30" i="2"/>
  <c r="B34" i="2" s="1"/>
  <c r="B33" i="2"/>
  <c r="B41" i="2"/>
  <c r="B43" i="2" s="1"/>
  <c r="B31" i="1" s="1"/>
  <c r="B49" i="2"/>
  <c r="B50" i="2" s="1"/>
  <c r="B32" i="1" s="1"/>
  <c r="C17" i="6" s="1"/>
  <c r="C8" i="3"/>
  <c r="C95" i="3"/>
  <c r="C96" i="3"/>
  <c r="C97" i="3" s="1"/>
  <c r="C107" i="3"/>
  <c r="C110" i="3"/>
  <c r="D110" i="3" s="1"/>
  <c r="B18" i="6"/>
  <c r="B38" i="6" s="1"/>
  <c r="B7" i="6"/>
  <c r="B27" i="6" s="1"/>
  <c r="D27" i="6"/>
  <c r="E27" i="6"/>
  <c r="B8" i="6"/>
  <c r="B28" i="6" s="1"/>
  <c r="C28" i="6"/>
  <c r="D8" i="6"/>
  <c r="D28" i="6" s="1"/>
  <c r="E8" i="6"/>
  <c r="E28" i="6" s="1"/>
  <c r="B9" i="6"/>
  <c r="B29" i="6" s="1"/>
  <c r="D9" i="6"/>
  <c r="D29" i="6" s="1"/>
  <c r="B10" i="6"/>
  <c r="B30" i="6" s="1"/>
  <c r="C30" i="6"/>
  <c r="D10" i="6"/>
  <c r="D30" i="6" s="1"/>
  <c r="E10" i="6"/>
  <c r="E30" i="6"/>
  <c r="B11" i="6"/>
  <c r="B31" i="6" s="1"/>
  <c r="D31" i="6"/>
  <c r="E11" i="6"/>
  <c r="E31" i="6"/>
  <c r="B32" i="6"/>
  <c r="C32" i="6"/>
  <c r="D12" i="6"/>
  <c r="D32" i="6" s="1"/>
  <c r="E12" i="6"/>
  <c r="E32" i="6" s="1"/>
  <c r="B33" i="6"/>
  <c r="B14" i="6"/>
  <c r="B34" i="6" s="1"/>
  <c r="B16" i="6"/>
  <c r="B36" i="6" s="1"/>
  <c r="B17" i="6"/>
  <c r="B37" i="6" s="1"/>
  <c r="C38" i="6"/>
  <c r="D18" i="6"/>
  <c r="D38" i="6" s="1"/>
  <c r="E18" i="6"/>
  <c r="E38" i="6" s="1"/>
  <c r="B19" i="6"/>
  <c r="B39" i="6" s="1"/>
  <c r="C39" i="6"/>
  <c r="D20" i="6"/>
  <c r="E20" i="6"/>
  <c r="M4" i="6"/>
  <c r="N4" i="6"/>
  <c r="N10" i="6" s="1"/>
  <c r="R10" i="6" s="1"/>
  <c r="L4" i="6"/>
  <c r="K25" i="6" s="1"/>
  <c r="O25" i="6" s="1"/>
  <c r="C93" i="3"/>
  <c r="B107" i="3"/>
  <c r="D107" i="3"/>
  <c r="E107" i="3"/>
  <c r="E108" i="3"/>
  <c r="B110" i="3"/>
  <c r="E110" i="3"/>
  <c r="B16" i="2"/>
  <c r="B17" i="2" s="1"/>
  <c r="C26" i="6"/>
  <c r="B23" i="1"/>
  <c r="F24" i="6"/>
  <c r="D26" i="6"/>
  <c r="E26" i="6"/>
  <c r="B26" i="6"/>
  <c r="B15" i="2"/>
  <c r="B18" i="2"/>
  <c r="B19" i="2" s="1"/>
  <c r="B9" i="1"/>
  <c r="H19" i="6" l="1"/>
  <c r="H7" i="6"/>
  <c r="C29" i="6"/>
  <c r="H20" i="6"/>
  <c r="H24" i="6"/>
  <c r="M25" i="6"/>
  <c r="Q25" i="6" s="1"/>
  <c r="B36" i="2"/>
  <c r="B30" i="1" s="1"/>
  <c r="C15" i="6" s="1"/>
  <c r="G19" i="6"/>
  <c r="E9" i="6"/>
  <c r="E29" i="6" s="1"/>
  <c r="C68" i="3"/>
  <c r="C5" i="3"/>
  <c r="C10" i="3" s="1"/>
  <c r="H9" i="6"/>
  <c r="C112" i="3"/>
  <c r="D112" i="3"/>
  <c r="E112" i="3"/>
  <c r="D71" i="3"/>
  <c r="C71" i="3"/>
  <c r="C16" i="6"/>
  <c r="H17" i="6"/>
  <c r="E17" i="6"/>
  <c r="E37" i="6" s="1"/>
  <c r="G17" i="6"/>
  <c r="C37" i="6"/>
  <c r="B20" i="2"/>
  <c r="D109" i="3"/>
  <c r="D111" i="3"/>
  <c r="M10" i="6"/>
  <c r="Q10" i="6" s="1"/>
  <c r="L25" i="6"/>
  <c r="P25" i="6" s="1"/>
  <c r="G24" i="6"/>
  <c r="E109" i="3"/>
  <c r="E111" i="3"/>
  <c r="D31" i="3"/>
  <c r="E4" i="3"/>
  <c r="E42" i="3" s="1"/>
  <c r="D17" i="6"/>
  <c r="D37" i="6" s="1"/>
  <c r="C111" i="3"/>
  <c r="E69" i="3"/>
  <c r="D69" i="3"/>
  <c r="C14" i="6"/>
  <c r="C11" i="3"/>
  <c r="L10" i="6"/>
  <c r="P10" i="6" s="1"/>
  <c r="C27" i="6"/>
  <c r="E3" i="3"/>
  <c r="C98" i="3"/>
  <c r="D68" i="3"/>
  <c r="D5" i="3"/>
  <c r="D32" i="3" s="1"/>
  <c r="D19" i="6"/>
  <c r="D39" i="6" s="1"/>
  <c r="C109" i="3"/>
  <c r="H11" i="6"/>
  <c r="C13" i="6"/>
  <c r="H6" i="6"/>
  <c r="C31" i="6"/>
  <c r="D30" i="3"/>
  <c r="C70" i="3" l="1"/>
  <c r="E6" i="3"/>
  <c r="E41" i="3" s="1"/>
  <c r="C33" i="6"/>
  <c r="D13" i="6"/>
  <c r="E13" i="6"/>
  <c r="D33" i="3"/>
  <c r="C12" i="3"/>
  <c r="C19" i="3"/>
  <c r="G14" i="6"/>
  <c r="D14" i="6"/>
  <c r="D34" i="6" s="1"/>
  <c r="H14" i="6"/>
  <c r="E14" i="6"/>
  <c r="E34" i="6" s="1"/>
  <c r="C34" i="6"/>
  <c r="G16" i="6"/>
  <c r="D16" i="6"/>
  <c r="D36" i="6" s="1"/>
  <c r="E16" i="6"/>
  <c r="E36" i="6" s="1"/>
  <c r="H16" i="6"/>
  <c r="C36" i="6"/>
  <c r="D70" i="3"/>
  <c r="C35" i="6"/>
  <c r="D15" i="6"/>
  <c r="D35" i="6" s="1"/>
  <c r="G15" i="6"/>
  <c r="H15" i="6"/>
  <c r="E15" i="6"/>
  <c r="E35" i="6" s="1"/>
  <c r="C113" i="3"/>
  <c r="C114" i="3" s="1"/>
  <c r="D113" i="3"/>
  <c r="D114" i="3" s="1"/>
  <c r="E113" i="3"/>
  <c r="E114" i="3" s="1"/>
  <c r="C13" i="3"/>
  <c r="C15" i="3" s="1"/>
  <c r="Q11" i="6"/>
  <c r="C20" i="3" l="1"/>
  <c r="C16" i="3"/>
  <c r="C21" i="3" s="1"/>
  <c r="D54" i="3"/>
  <c r="C14" i="3"/>
  <c r="C17" i="3" s="1"/>
  <c r="H13" i="6"/>
  <c r="E33" i="6"/>
  <c r="D34" i="3"/>
  <c r="G13" i="6"/>
  <c r="D33" i="6"/>
  <c r="E71" i="3"/>
  <c r="E43" i="3"/>
  <c r="C69" i="3"/>
  <c r="D35" i="3"/>
  <c r="D37" i="3" s="1"/>
  <c r="M11" i="6"/>
  <c r="M6" i="6" s="1"/>
  <c r="U11" i="6"/>
  <c r="C18" i="3" l="1"/>
  <c r="D55" i="3"/>
  <c r="D38" i="3"/>
  <c r="E44" i="3"/>
  <c r="D36" i="3"/>
  <c r="D39" i="3" s="1"/>
  <c r="C22" i="3"/>
  <c r="P11" i="6"/>
  <c r="T11" i="6"/>
  <c r="O6" i="6" s="1"/>
  <c r="D57" i="3" l="1"/>
  <c r="D40" i="3"/>
  <c r="D58" i="3" s="1"/>
  <c r="C54" i="3"/>
  <c r="C26" i="3"/>
  <c r="C55" i="3" s="1"/>
  <c r="C23" i="3"/>
  <c r="C24" i="3"/>
  <c r="D59" i="3"/>
  <c r="E48" i="3"/>
  <c r="E49" i="3" s="1"/>
  <c r="E30" i="3"/>
  <c r="E46" i="3"/>
  <c r="E45" i="3"/>
  <c r="D56" i="3"/>
  <c r="L11" i="6"/>
  <c r="L6" i="6" s="1"/>
  <c r="N11" i="6"/>
  <c r="E70" i="3" l="1"/>
  <c r="C56" i="3"/>
  <c r="E47" i="3"/>
  <c r="E50" i="3" s="1"/>
  <c r="E51" i="3" s="1"/>
  <c r="E31" i="3" s="1"/>
  <c r="C25" i="3"/>
  <c r="C28" i="3" s="1"/>
  <c r="D61" i="3"/>
  <c r="D64" i="3"/>
  <c r="D74" i="3" s="1"/>
  <c r="D60" i="3"/>
  <c r="H60" i="3" s="1"/>
  <c r="C27" i="3"/>
  <c r="R11" i="6"/>
  <c r="N6" i="6"/>
  <c r="C57" i="3" l="1"/>
  <c r="C29" i="3"/>
  <c r="C58" i="3" s="1"/>
  <c r="D62" i="3"/>
  <c r="H62" i="3" s="1"/>
  <c r="E32" i="3"/>
  <c r="C61" i="3"/>
  <c r="C60" i="3"/>
  <c r="G60" i="3" s="1"/>
  <c r="D63" i="3" l="1"/>
  <c r="D106" i="3" s="1"/>
  <c r="D115" i="3" s="1"/>
  <c r="D81" i="3" s="1"/>
  <c r="C59" i="3"/>
  <c r="C64" i="3"/>
  <c r="C74" i="3" s="1"/>
  <c r="D65" i="3"/>
  <c r="D77" i="3" s="1"/>
  <c r="D72" i="3"/>
  <c r="D73" i="3" s="1"/>
  <c r="D75" i="3" s="1"/>
  <c r="C62" i="3"/>
  <c r="C65" i="3" s="1"/>
  <c r="E33" i="3"/>
  <c r="G62" i="3" l="1"/>
  <c r="C72" i="3"/>
  <c r="C73" i="3" s="1"/>
  <c r="C77" i="3"/>
  <c r="C63" i="3"/>
  <c r="C106" i="3" s="1"/>
  <c r="C115" i="3" s="1"/>
  <c r="C81" i="3" s="1"/>
  <c r="G81" i="3" s="1"/>
  <c r="E54" i="3"/>
  <c r="E34" i="3"/>
  <c r="E35" i="3"/>
  <c r="E37" i="3" s="1"/>
  <c r="D83" i="3"/>
  <c r="M5" i="6" s="1"/>
  <c r="G25" i="6" s="1"/>
  <c r="D78" i="3"/>
  <c r="D84" i="3" s="1"/>
  <c r="E55" i="3" l="1"/>
  <c r="E38" i="3"/>
  <c r="E39" i="3"/>
  <c r="E57" i="3" s="1"/>
  <c r="E40" i="3"/>
  <c r="E58" i="3" s="1"/>
  <c r="E36" i="3"/>
  <c r="E56" i="3"/>
  <c r="C75" i="3"/>
  <c r="D85" i="3"/>
  <c r="O5" i="6" s="1"/>
  <c r="I25" i="6" s="1"/>
  <c r="E61" i="3" l="1"/>
  <c r="E64" i="3"/>
  <c r="E74" i="3" s="1"/>
  <c r="E60" i="3"/>
  <c r="I60" i="3" s="1"/>
  <c r="C78" i="3"/>
  <c r="C83" i="3"/>
  <c r="E59" i="3"/>
  <c r="E62" i="3" l="1"/>
  <c r="G83" i="3"/>
  <c r="L5" i="6"/>
  <c r="F25" i="6" s="1"/>
  <c r="G78" i="3"/>
  <c r="C84" i="3"/>
  <c r="G77" i="3"/>
  <c r="H85" i="3" l="1"/>
  <c r="G84" i="3"/>
  <c r="E72" i="3"/>
  <c r="E73" i="3" s="1"/>
  <c r="E63" i="3"/>
  <c r="E106" i="3" s="1"/>
  <c r="E115" i="3" s="1"/>
  <c r="E81" i="3" s="1"/>
  <c r="H81" i="3" s="1"/>
  <c r="E65" i="3"/>
  <c r="E77" i="3" s="1"/>
  <c r="I62" i="3"/>
  <c r="E75" i="3" l="1"/>
  <c r="E85" i="3"/>
  <c r="E78" i="3" l="1"/>
  <c r="E83" i="3"/>
  <c r="N5" i="6" s="1"/>
  <c r="H25" i="6" s="1"/>
  <c r="E84" i="3" l="1"/>
  <c r="G85" i="3" s="1"/>
  <c r="H7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81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Qui probabilmente è sfuggito il simbolo $
</t>
        </r>
      </text>
    </comment>
  </commentList>
</comments>
</file>

<file path=xl/sharedStrings.xml><?xml version="1.0" encoding="utf-8"?>
<sst xmlns="http://schemas.openxmlformats.org/spreadsheetml/2006/main" count="318" uniqueCount="222">
  <si>
    <t>Tot per test</t>
  </si>
  <si>
    <t>SMEAR</t>
  </si>
  <si>
    <t>4SS</t>
  </si>
  <si>
    <t>Disab Weight HIV + TB</t>
  </si>
  <si>
    <t>const C</t>
  </si>
  <si>
    <t>const b</t>
  </si>
  <si>
    <t>const e</t>
  </si>
  <si>
    <t>disc rate - r</t>
  </si>
  <si>
    <t>BplusR</t>
  </si>
  <si>
    <t>Value</t>
  </si>
  <si>
    <t>Expected positive</t>
  </si>
  <si>
    <t>True Positive</t>
  </si>
  <si>
    <t>True Negative</t>
  </si>
  <si>
    <t>False Negative</t>
  </si>
  <si>
    <t>Discount rate</t>
  </si>
  <si>
    <t>4SS during first visit after HIV test</t>
  </si>
  <si>
    <t>Drugs</t>
  </si>
  <si>
    <t>Parametri da testare</t>
  </si>
  <si>
    <t>Min</t>
  </si>
  <si>
    <t>Max</t>
  </si>
  <si>
    <t>Base</t>
  </si>
  <si>
    <t>Mortality in care (early treatment)</t>
  </si>
  <si>
    <t>Therapy</t>
  </si>
  <si>
    <t>Tabella 5-  Total costs</t>
  </si>
  <si>
    <t>Quality of life only AIDS (with Treatment)</t>
  </si>
  <si>
    <t>Cost 4SS</t>
  </si>
  <si>
    <t>Days of delay in treatment for undiagnosed TB case</t>
  </si>
  <si>
    <t>ICER</t>
  </si>
  <si>
    <t>ICER B vs A</t>
  </si>
  <si>
    <t>Diagnosis and treatment</t>
  </si>
  <si>
    <t>Delayed therapy</t>
  </si>
  <si>
    <t>Protocol A (Traditional)</t>
  </si>
  <si>
    <t>Protocol B (GenXpert)</t>
  </si>
  <si>
    <t>Protocol C (LAM + GenXpert)</t>
  </si>
  <si>
    <t>Base case</t>
  </si>
  <si>
    <t>min</t>
  </si>
  <si>
    <t>Prevalence of TB in HIV+ patients</t>
  </si>
  <si>
    <t>max: rosso</t>
  </si>
  <si>
    <t>Parameter</t>
  </si>
  <si>
    <t>Median Age sample, years</t>
  </si>
  <si>
    <t>Risk of TB transmission (cases per year)</t>
  </si>
  <si>
    <t>Prevalence</t>
  </si>
  <si>
    <t>TB among HIV patients, %</t>
  </si>
  <si>
    <t>Mortality</t>
  </si>
  <si>
    <t>In care (early treatment), %</t>
  </si>
  <si>
    <t>DREAM data</t>
  </si>
  <si>
    <t>Calculated</t>
  </si>
  <si>
    <t>Among false negative (delayed treatment), %</t>
  </si>
  <si>
    <t>Disability weights</t>
  </si>
  <si>
    <t>TB patients</t>
  </si>
  <si>
    <t>AIDS (in care)</t>
  </si>
  <si>
    <t>Constant</t>
  </si>
  <si>
    <t>Life Expectancy</t>
  </si>
  <si>
    <t>Population in Mozambique, years</t>
  </si>
  <si>
    <t>Source</t>
  </si>
  <si>
    <t xml:space="preserve">HIV+ and TB patient not treated for TB, years                                        </t>
  </si>
  <si>
    <t>HIV and TB after treatment, years</t>
  </si>
  <si>
    <t>Costs</t>
  </si>
  <si>
    <t>Costs summary (details on Costs sheet)</t>
  </si>
  <si>
    <t>Hourly cost medical doctor (DREAM)</t>
  </si>
  <si>
    <t>Number of tests per hour</t>
  </si>
  <si>
    <t>Total per test</t>
  </si>
  <si>
    <t>Hourly cost laboratory technician</t>
  </si>
  <si>
    <t>Total cost laboratory technician (per test)</t>
  </si>
  <si>
    <t>Time needed for one test, hour</t>
  </si>
  <si>
    <t>Microscopy (annualized cost)</t>
  </si>
  <si>
    <t>Microscopy total cost</t>
  </si>
  <si>
    <t>Microscopy life span, years</t>
  </si>
  <si>
    <t>Microscopy maintenance (total cost entire life))</t>
  </si>
  <si>
    <t>Microscopy maintenance cost (per year)</t>
  </si>
  <si>
    <t>Microscopy number of test per day</t>
  </si>
  <si>
    <t>Microscopy number of test per year</t>
  </si>
  <si>
    <t>Cost Microscopy (per test)</t>
  </si>
  <si>
    <t>Consummables (per test)</t>
  </si>
  <si>
    <t>Total cost per test</t>
  </si>
  <si>
    <t>Time needed for test, hours</t>
  </si>
  <si>
    <t>Total cost laboratory technician per test</t>
  </si>
  <si>
    <t>4SS (per test)</t>
  </si>
  <si>
    <t>Calculated (see "cost details")</t>
  </si>
  <si>
    <t>Hourly cost nurse</t>
  </si>
  <si>
    <t>Cost for one test (all inclusive)</t>
  </si>
  <si>
    <t>TB treatment</t>
  </si>
  <si>
    <t>Time needed for administration, hours</t>
  </si>
  <si>
    <t>Total cost nurse per patient</t>
  </si>
  <si>
    <t>Total cost nurse  per test</t>
  </si>
  <si>
    <t>Total per patient</t>
  </si>
  <si>
    <t>Patients affected by HIV only (no TB infection)</t>
  </si>
  <si>
    <t>Sensitivity and specificity of the screening methods</t>
  </si>
  <si>
    <t>SMEAR (per test)</t>
  </si>
  <si>
    <t>HIV and TB not treated for TB</t>
  </si>
  <si>
    <t>10,19-21</t>
  </si>
  <si>
    <t>calculated</t>
  </si>
  <si>
    <t>assumption</t>
  </si>
  <si>
    <t>MTB/RIF</t>
  </si>
  <si>
    <t>GeneMTB/RIF total cost</t>
  </si>
  <si>
    <t>GeneMTB/RIF life span, years</t>
  </si>
  <si>
    <t>GeneMTB/RIF (annualized cost)</t>
  </si>
  <si>
    <t>GeneMTB/RIF maintenance cost (per year)</t>
  </si>
  <si>
    <t>GeneMTB/RIF number of test per day</t>
  </si>
  <si>
    <t>GeneMTB/RIF number of test per year</t>
  </si>
  <si>
    <t>Cost GeneMTB/RIF (per test)</t>
  </si>
  <si>
    <t>LF-LAM (per test)</t>
  </si>
  <si>
    <t>LF-LAM</t>
  </si>
  <si>
    <t>4SS Sensitivity</t>
  </si>
  <si>
    <t>SMEAR Sensitivity</t>
  </si>
  <si>
    <t>GenMTB/RIF Sensitivity</t>
  </si>
  <si>
    <t>LF-LAM Sensitivity con CD4&lt;200</t>
  </si>
  <si>
    <t>4SS Specificity</t>
  </si>
  <si>
    <t>SMEAR Specificity</t>
  </si>
  <si>
    <t>GenXper Specificity</t>
  </si>
  <si>
    <t>LF-LAM Specificity con CD4&lt;200</t>
  </si>
  <si>
    <t>Sample Size</t>
  </si>
  <si>
    <t>Expected negative</t>
  </si>
  <si>
    <t>HIV+ patients with CD4 &lt;200 /mm3, %</t>
  </si>
  <si>
    <t>HIV+ patients with CD4 &lt;200 /mm3</t>
  </si>
  <si>
    <t>Patients undergoing 4SS</t>
  </si>
  <si>
    <t>4SS Sample</t>
  </si>
  <si>
    <t>Posistive</t>
  </si>
  <si>
    <t>Negative</t>
  </si>
  <si>
    <t>PPV</t>
  </si>
  <si>
    <t>NPV</t>
  </si>
  <si>
    <t>False Positive</t>
  </si>
  <si>
    <t>SMEAR microscopy sample</t>
  </si>
  <si>
    <t>MTB/RIF Sample</t>
  </si>
  <si>
    <t>Protocols</t>
  </si>
  <si>
    <t>LF-LAM Sample</t>
  </si>
  <si>
    <t>Totals</t>
  </si>
  <si>
    <t>Positive</t>
  </si>
  <si>
    <t>Total patients on therapy</t>
  </si>
  <si>
    <t>No. of newly/additional transmitted TB infections due to delayed TB diagnosis results delivery</t>
  </si>
  <si>
    <t>SMEAR microscopy</t>
  </si>
  <si>
    <t>a</t>
  </si>
  <si>
    <t>c</t>
  </si>
  <si>
    <t>b</t>
  </si>
  <si>
    <t>a+b</t>
  </si>
  <si>
    <t>Total Direct costs</t>
  </si>
  <si>
    <t>Total direct and undirect costs</t>
  </si>
  <si>
    <t>a+b+c</t>
  </si>
  <si>
    <t>Efficacy</t>
  </si>
  <si>
    <t>DALY saved</t>
  </si>
  <si>
    <t>ICER per DALY saved</t>
  </si>
  <si>
    <t>Total DALY's saved per person</t>
  </si>
  <si>
    <t>DALY's saved HIV+TB per person</t>
  </si>
  <si>
    <t>DALY's saved HIV only per person</t>
  </si>
  <si>
    <t>Total DALY's saved in the population</t>
  </si>
  <si>
    <t>DALYs calculation</t>
  </si>
  <si>
    <t>ICER MIN</t>
  </si>
  <si>
    <t>ICER MAX</t>
  </si>
  <si>
    <t>Interval</t>
  </si>
  <si>
    <t>True positive on treatment</t>
  </si>
  <si>
    <t>Cost of Diagnostic + Therapy</t>
  </si>
  <si>
    <t>$ 15,12 - $ 15,12</t>
  </si>
  <si>
    <t>$ 13,95 - $ 17,06</t>
  </si>
  <si>
    <t>$ 15,19 - $ 14,54</t>
  </si>
  <si>
    <t>$ 12,70 - $ 17,79</t>
  </si>
  <si>
    <t>$ 25,76 - $ 11,62</t>
  </si>
  <si>
    <t>$ 9,62 - $ 20,62</t>
  </si>
  <si>
    <t>$ 14,54 - $ 15,69</t>
  </si>
  <si>
    <t>$ 14,60 - $ 15,63</t>
  </si>
  <si>
    <t>$ 14,15 - $ 16,09</t>
  </si>
  <si>
    <t>$ 79,42 - $ 76,04</t>
  </si>
  <si>
    <t>$ 14,26 - $ 13,65</t>
  </si>
  <si>
    <t>$ 57,20 - $ 54,65</t>
  </si>
  <si>
    <t>$ 34,82 - $ 152,79</t>
  </si>
  <si>
    <t>$ 13,04 - $ 16,08</t>
  </si>
  <si>
    <t>$ 56,54 - $ 56,54</t>
  </si>
  <si>
    <t>$ 85,61 - $ 78,86</t>
  </si>
  <si>
    <t>$ 26,28 - $ 11,04</t>
  </si>
  <si>
    <t>$ 28,49 - $ 10,13</t>
  </si>
  <si>
    <t>$ 123,18 - $ 36,82</t>
  </si>
  <si>
    <t>$ 77,19 - $ 82,0</t>
  </si>
  <si>
    <t>$ 13,92 - $ 14,62</t>
  </si>
  <si>
    <t>$ 14,54 - $ 15,59</t>
  </si>
  <si>
    <t>$ 56,87 - $ 56,54</t>
  </si>
  <si>
    <t>$ 73,78 - $ 86,24</t>
  </si>
  <si>
    <t>$ 14,18 - $ 14,33</t>
  </si>
  <si>
    <t>$ 15,12 - $ 15,27</t>
  </si>
  <si>
    <t>$ 104,03 - $ 39,12</t>
  </si>
  <si>
    <t>$ 66,40 - $ 93,01</t>
  </si>
  <si>
    <t>$ 11,91 - $ 16,68</t>
  </si>
  <si>
    <t>$ 47,53 - $ 66,47</t>
  </si>
  <si>
    <t>$ 134,64 - $ 60,73</t>
  </si>
  <si>
    <t>$ 24,19 - $ 10,90</t>
  </si>
  <si>
    <t>$ 97,40 - $ 43,53</t>
  </si>
  <si>
    <t>$ 77,25 - $ 80,87</t>
  </si>
  <si>
    <t>$ 14,18 - $ 14,18</t>
  </si>
  <si>
    <t>$ 68,03 - $ 45,04</t>
  </si>
  <si>
    <t>$ 79,06 - $ 79,06</t>
  </si>
  <si>
    <t>$ 8,44 - $ 19,93</t>
  </si>
  <si>
    <t>$ 14,25 - $ 98,83</t>
  </si>
  <si>
    <t>$ 78,69 - $ 79,43</t>
  </si>
  <si>
    <t>$ 13,79 - $ 14,58</t>
  </si>
  <si>
    <t>$ 55,97 - $ 57,10</t>
  </si>
  <si>
    <t>$ 42,19 - $ 115,93</t>
  </si>
  <si>
    <t>$ 13,23 - $ 15,13</t>
  </si>
  <si>
    <t>Standard</t>
  </si>
  <si>
    <t>LF-LAM / MTB/RIF</t>
  </si>
  <si>
    <t>TB therapy</t>
  </si>
  <si>
    <t>Cost of newly trasmitted TB infection</t>
  </si>
  <si>
    <t>Mortality among false negatives (delayed treatment)</t>
  </si>
  <si>
    <t>Cost TB Therapy</t>
  </si>
  <si>
    <t>Risk of trasmission of TB (cases per year)</t>
  </si>
  <si>
    <t>MTB/RIF (per test)</t>
  </si>
  <si>
    <t>Cost MTB/RIF</t>
  </si>
  <si>
    <t>Health system delay</t>
  </si>
  <si>
    <t>Cost per DALY</t>
  </si>
  <si>
    <t>Survival of HIV/TB patient not treated for TB</t>
  </si>
  <si>
    <t>Survival of HIV/TB patient post-treatment</t>
  </si>
  <si>
    <t>Cost SMEAR</t>
  </si>
  <si>
    <t>Days of delayed treatment in timely delivery of results (Health system delay)</t>
  </si>
  <si>
    <t>HIV/TB co-infected patients with CD4&lt;200 /mm3, %</t>
  </si>
  <si>
    <t>Survival</t>
  </si>
  <si>
    <t>Economic burden of a new TB case due delayed diagnosis and treatment</t>
  </si>
  <si>
    <t>Mortality among false negative (delayed diagnosis and treatment)</t>
  </si>
  <si>
    <t>No. of newly/additional transmitted TB infections due to delayed TB diagnosis and treatment</t>
  </si>
  <si>
    <t>Cost of newly transmitted infections because delayed diagnosis and treatment</t>
  </si>
  <si>
    <t>Cost of additional transmitted infections because the delay in delivery of results (health system delay)</t>
  </si>
  <si>
    <t>Cost per DALY saved ($) including newly/additional transmitted TB infections due to delayed TB diagnosis and treatment</t>
  </si>
  <si>
    <t>Cost per DALY saved ($) including newly/additional transmitted TB infections due to delayed TB diagnosis and health system delay</t>
  </si>
  <si>
    <t>Life expectancy in Mozambique</t>
  </si>
  <si>
    <t>Survival HIV and TB not treated for TB</t>
  </si>
  <si>
    <t>Survival for diagnosed and treated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</si>
</sst>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h\.mm"/>
    <numFmt numFmtId="166" formatCode="0.000"/>
    <numFmt numFmtId="167" formatCode="0.0"/>
    <numFmt numFmtId="168" formatCode="[$$]#,##0.00"/>
  </numFmts>
  <fonts count="23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Inconsolata"/>
    </font>
    <font>
      <sz val="10"/>
      <color rgb="FF00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2"/>
      <color rgb="FF000000"/>
      <name val="Calibri"/>
      <family val="2"/>
    </font>
    <font>
      <b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168" fontId="0" fillId="0" borderId="0"/>
    <xf numFmtId="9" fontId="3" fillId="0" borderId="0" applyFont="0" applyFill="0" applyBorder="0" applyAlignment="0" applyProtection="0"/>
  </cellStyleXfs>
  <cellXfs count="133">
    <xf numFmtId="168" fontId="0" fillId="0" borderId="0" xfId="0" applyFont="1" applyAlignment="1"/>
    <xf numFmtId="168" fontId="1" fillId="0" borderId="0" xfId="0" applyFont="1" applyAlignment="1">
      <alignment wrapText="1"/>
    </xf>
    <xf numFmtId="168" fontId="1" fillId="0" borderId="0" xfId="0" applyFont="1" applyAlignment="1"/>
    <xf numFmtId="168" fontId="2" fillId="0" borderId="0" xfId="0" applyFont="1" applyAlignment="1"/>
    <xf numFmtId="168" fontId="1" fillId="0" borderId="0" xfId="0" applyFont="1" applyAlignment="1">
      <alignment wrapText="1"/>
    </xf>
    <xf numFmtId="168" fontId="1" fillId="0" borderId="0" xfId="0" applyFont="1" applyAlignment="1">
      <alignment vertical="center"/>
    </xf>
    <xf numFmtId="168" fontId="1" fillId="0" borderId="0" xfId="0" applyNumberFormat="1" applyFont="1"/>
    <xf numFmtId="1" fontId="1" fillId="0" borderId="0" xfId="0" applyNumberFormat="1" applyFont="1"/>
    <xf numFmtId="168" fontId="3" fillId="0" borderId="0" xfId="0" applyFont="1" applyAlignment="1"/>
    <xf numFmtId="10" fontId="1" fillId="0" borderId="0" xfId="0" applyNumberFormat="1" applyFont="1"/>
    <xf numFmtId="3" fontId="1" fillId="0" borderId="0" xfId="0" applyNumberFormat="1" applyFont="1" applyAlignment="1"/>
    <xf numFmtId="3" fontId="1" fillId="0" borderId="0" xfId="0" applyNumberFormat="1" applyFont="1"/>
    <xf numFmtId="168" fontId="3" fillId="0" borderId="0" xfId="0" applyFont="1" applyAlignment="1"/>
    <xf numFmtId="168" fontId="4" fillId="0" borderId="0" xfId="0" applyFont="1" applyAlignment="1"/>
    <xf numFmtId="165" fontId="4" fillId="0" borderId="0" xfId="0" applyNumberFormat="1" applyFont="1" applyAlignment="1">
      <alignment horizontal="right"/>
    </xf>
    <xf numFmtId="168" fontId="6" fillId="0" borderId="0" xfId="0" applyFont="1" applyAlignment="1">
      <alignment horizontal="right"/>
    </xf>
    <xf numFmtId="168" fontId="9" fillId="0" borderId="0" xfId="0" applyFont="1" applyAlignment="1">
      <alignment wrapText="1"/>
    </xf>
    <xf numFmtId="168" fontId="10" fillId="0" borderId="0" xfId="0" applyFont="1" applyAlignment="1">
      <alignment wrapText="1"/>
    </xf>
    <xf numFmtId="168" fontId="11" fillId="0" borderId="0" xfId="0" applyNumberFormat="1" applyFont="1"/>
    <xf numFmtId="168" fontId="1" fillId="0" borderId="0" xfId="0" applyNumberFormat="1" applyFont="1"/>
    <xf numFmtId="168" fontId="1" fillId="0" borderId="0" xfId="0" applyFont="1" applyAlignment="1">
      <alignment horizontal="right"/>
    </xf>
    <xf numFmtId="168" fontId="12" fillId="0" borderId="0" xfId="0" applyFont="1" applyAlignment="1">
      <alignment wrapText="1"/>
    </xf>
    <xf numFmtId="168" fontId="13" fillId="0" borderId="0" xfId="0" applyFont="1"/>
    <xf numFmtId="168" fontId="14" fillId="0" borderId="0" xfId="0" applyFont="1"/>
    <xf numFmtId="168" fontId="0" fillId="0" borderId="0" xfId="0" applyFont="1" applyAlignment="1"/>
    <xf numFmtId="10" fontId="0" fillId="0" borderId="0" xfId="1" applyNumberFormat="1" applyFont="1" applyAlignment="1"/>
    <xf numFmtId="9" fontId="0" fillId="0" borderId="0" xfId="0" applyNumberFormat="1" applyFont="1" applyAlignment="1"/>
    <xf numFmtId="2" fontId="0" fillId="0" borderId="0" xfId="0" applyNumberFormat="1" applyFont="1" applyAlignment="1"/>
    <xf numFmtId="166" fontId="0" fillId="0" borderId="0" xfId="1" applyNumberFormat="1" applyFont="1" applyAlignment="1"/>
    <xf numFmtId="168" fontId="0" fillId="0" borderId="0" xfId="0" applyNumberFormat="1" applyFont="1" applyAlignment="1"/>
    <xf numFmtId="168" fontId="0" fillId="0" borderId="0" xfId="0" applyNumberFormat="1" applyFont="1" applyAlignment="1">
      <alignment horizontal="center"/>
    </xf>
    <xf numFmtId="10" fontId="0" fillId="0" borderId="0" xfId="0" applyNumberFormat="1" applyFont="1" applyAlignment="1"/>
    <xf numFmtId="168" fontId="0" fillId="0" borderId="0" xfId="1" applyNumberFormat="1" applyFont="1" applyAlignment="1"/>
    <xf numFmtId="168" fontId="0" fillId="0" borderId="0" xfId="0" applyFont="1" applyAlignment="1"/>
    <xf numFmtId="168" fontId="0" fillId="0" borderId="0" xfId="0" applyFont="1" applyAlignment="1"/>
    <xf numFmtId="168" fontId="0" fillId="0" borderId="0" xfId="0" applyFont="1" applyAlignment="1"/>
    <xf numFmtId="168" fontId="0" fillId="0" borderId="0" xfId="0" applyFont="1" applyAlignment="1"/>
    <xf numFmtId="168" fontId="1" fillId="0" borderId="2" xfId="0" applyNumberFormat="1" applyFont="1" applyBorder="1"/>
    <xf numFmtId="168" fontId="0" fillId="0" borderId="3" xfId="0" applyFont="1" applyBorder="1" applyAlignment="1"/>
    <xf numFmtId="1" fontId="0" fillId="0" borderId="0" xfId="0" applyNumberFormat="1" applyFont="1" applyAlignment="1"/>
    <xf numFmtId="166" fontId="0" fillId="0" borderId="0" xfId="0" applyNumberFormat="1" applyFont="1" applyAlignment="1"/>
    <xf numFmtId="168" fontId="0" fillId="0" borderId="0" xfId="0" applyFont="1" applyAlignment="1"/>
    <xf numFmtId="168" fontId="0" fillId="0" borderId="0" xfId="0" applyNumberFormat="1" applyFont="1" applyAlignment="1"/>
    <xf numFmtId="168" fontId="15" fillId="0" borderId="0" xfId="0" applyFont="1" applyAlignment="1"/>
    <xf numFmtId="168" fontId="0" fillId="0" borderId="0" xfId="0" applyFont="1" applyAlignment="1"/>
    <xf numFmtId="168" fontId="0" fillId="0" borderId="0" xfId="0" applyFont="1" applyAlignment="1"/>
    <xf numFmtId="168" fontId="1" fillId="0" borderId="0" xfId="0" applyFont="1" applyFill="1" applyAlignment="1"/>
    <xf numFmtId="167" fontId="1" fillId="0" borderId="0" xfId="0" applyNumberFormat="1" applyFont="1" applyFill="1" applyAlignment="1"/>
    <xf numFmtId="10" fontId="1" fillId="0" borderId="0" xfId="0" applyNumberFormat="1" applyFont="1" applyFill="1" applyAlignment="1"/>
    <xf numFmtId="164" fontId="1" fillId="0" borderId="0" xfId="0" applyNumberFormat="1" applyFont="1" applyFill="1" applyAlignment="1"/>
    <xf numFmtId="9" fontId="1" fillId="0" borderId="0" xfId="0" applyNumberFormat="1" applyFont="1" applyFill="1" applyAlignment="1"/>
    <xf numFmtId="168" fontId="0" fillId="0" borderId="0" xfId="0" applyFont="1" applyFill="1" applyAlignment="1"/>
    <xf numFmtId="168" fontId="1" fillId="0" borderId="0" xfId="0" applyNumberFormat="1" applyFont="1" applyFill="1"/>
    <xf numFmtId="168" fontId="1" fillId="0" borderId="0" xfId="0" applyNumberFormat="1" applyFont="1" applyFill="1" applyAlignment="1"/>
    <xf numFmtId="9" fontId="0" fillId="0" borderId="0" xfId="0" applyNumberFormat="1" applyFont="1" applyFill="1" applyAlignment="1"/>
    <xf numFmtId="164" fontId="2" fillId="0" borderId="0" xfId="0" applyNumberFormat="1" applyFont="1" applyFill="1" applyAlignment="1"/>
    <xf numFmtId="9" fontId="4" fillId="0" borderId="0" xfId="0" applyNumberFormat="1" applyFont="1" applyFill="1" applyAlignment="1"/>
    <xf numFmtId="166" fontId="3" fillId="0" borderId="0" xfId="0" applyNumberFormat="1" applyFont="1" applyFill="1" applyAlignment="1"/>
    <xf numFmtId="168" fontId="6" fillId="0" borderId="0" xfId="0" applyFont="1" applyFill="1" applyBorder="1" applyAlignment="1"/>
    <xf numFmtId="168" fontId="6" fillId="0" borderId="0" xfId="0" applyFont="1" applyFill="1" applyBorder="1" applyAlignment="1">
      <alignment horizontal="right"/>
    </xf>
    <xf numFmtId="168" fontId="7" fillId="0" borderId="0" xfId="0" applyFont="1" applyFill="1" applyBorder="1" applyAlignment="1"/>
    <xf numFmtId="9" fontId="6" fillId="0" borderId="0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right"/>
    </xf>
    <xf numFmtId="168" fontId="0" fillId="0" borderId="0" xfId="0" applyFont="1" applyFill="1" applyBorder="1" applyAlignment="1"/>
    <xf numFmtId="168" fontId="2" fillId="0" borderId="0" xfId="0" applyFont="1" applyFill="1" applyAlignment="1">
      <alignment wrapText="1"/>
    </xf>
    <xf numFmtId="168" fontId="1" fillId="0" borderId="0" xfId="0" applyFont="1" applyFill="1" applyAlignment="1">
      <alignment wrapText="1"/>
    </xf>
    <xf numFmtId="168" fontId="5" fillId="0" borderId="0" xfId="0" applyFont="1" applyFill="1" applyAlignment="1">
      <alignment wrapText="1"/>
    </xf>
    <xf numFmtId="168" fontId="6" fillId="0" borderId="0" xfId="0" applyFont="1" applyFill="1" applyBorder="1" applyAlignment="1">
      <alignment horizontal="left"/>
    </xf>
    <xf numFmtId="168" fontId="1" fillId="0" borderId="0" xfId="0" applyNumberFormat="1" applyFont="1" applyFill="1" applyAlignment="1">
      <alignment horizontal="right"/>
    </xf>
    <xf numFmtId="168" fontId="3" fillId="0" borderId="0" xfId="0" applyNumberFormat="1" applyFont="1" applyFill="1" applyAlignment="1">
      <alignment horizontal="right"/>
    </xf>
    <xf numFmtId="168" fontId="3" fillId="0" borderId="0" xfId="0" applyFont="1" applyFill="1" applyAlignment="1">
      <alignment horizontal="right"/>
    </xf>
    <xf numFmtId="168" fontId="9" fillId="0" borderId="0" xfId="0" applyFont="1" applyAlignment="1"/>
    <xf numFmtId="168" fontId="9" fillId="0" borderId="0" xfId="0" applyNumberFormat="1" applyFont="1" applyFill="1"/>
    <xf numFmtId="168" fontId="3" fillId="0" borderId="0" xfId="0" applyFont="1" applyFill="1" applyAlignment="1"/>
    <xf numFmtId="168" fontId="16" fillId="0" borderId="0" xfId="0" applyFont="1" applyAlignment="1"/>
    <xf numFmtId="168" fontId="16" fillId="0" borderId="0" xfId="0" applyFont="1" applyFill="1" applyAlignment="1"/>
    <xf numFmtId="168" fontId="1" fillId="0" borderId="0" xfId="0" applyNumberFormat="1" applyFont="1" applyFill="1" applyAlignment="1"/>
    <xf numFmtId="168" fontId="18" fillId="0" borderId="0" xfId="0" applyFont="1" applyAlignment="1"/>
    <xf numFmtId="1" fontId="1" fillId="0" borderId="0" xfId="0" applyNumberFormat="1" applyFont="1" applyFill="1"/>
    <xf numFmtId="10" fontId="1" fillId="0" borderId="0" xfId="0" applyNumberFormat="1" applyFont="1" applyFill="1"/>
    <xf numFmtId="3" fontId="1" fillId="0" borderId="0" xfId="0" applyNumberFormat="1" applyFont="1" applyFill="1" applyAlignment="1"/>
    <xf numFmtId="3" fontId="1" fillId="0" borderId="0" xfId="0" applyNumberFormat="1" applyFont="1" applyFill="1"/>
    <xf numFmtId="168" fontId="1" fillId="0" borderId="0" xfId="0" applyFont="1" applyBorder="1" applyAlignment="1">
      <alignment wrapText="1"/>
    </xf>
    <xf numFmtId="168" fontId="3" fillId="0" borderId="0" xfId="0" applyFont="1" applyAlignment="1">
      <alignment horizontal="right"/>
    </xf>
    <xf numFmtId="168" fontId="0" fillId="0" borderId="0" xfId="0" applyFont="1" applyAlignment="1">
      <alignment horizontal="right"/>
    </xf>
    <xf numFmtId="168" fontId="1" fillId="0" borderId="0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left"/>
    </xf>
    <xf numFmtId="168" fontId="2" fillId="0" borderId="0" xfId="0" applyFont="1" applyAlignment="1">
      <alignment horizontal="left" wrapText="1"/>
    </xf>
    <xf numFmtId="168" fontId="1" fillId="0" borderId="0" xfId="0" applyFont="1" applyAlignment="1">
      <alignment horizontal="left" wrapText="1"/>
    </xf>
    <xf numFmtId="168" fontId="6" fillId="0" borderId="0" xfId="0" applyFont="1" applyAlignment="1">
      <alignment horizontal="left"/>
    </xf>
    <xf numFmtId="168" fontId="1" fillId="0" borderId="0" xfId="0" applyFont="1" applyAlignment="1">
      <alignment horizontal="left"/>
    </xf>
    <xf numFmtId="168" fontId="0" fillId="0" borderId="0" xfId="0" applyFont="1" applyAlignment="1">
      <alignment horizontal="left"/>
    </xf>
    <xf numFmtId="168" fontId="1" fillId="0" borderId="1" xfId="0" applyFont="1" applyBorder="1" applyAlignment="1">
      <alignment horizontal="left"/>
    </xf>
    <xf numFmtId="168" fontId="19" fillId="0" borderId="0" xfId="0" applyFont="1" applyAlignment="1">
      <alignment wrapText="1"/>
    </xf>
    <xf numFmtId="2" fontId="0" fillId="0" borderId="0" xfId="1" applyNumberFormat="1" applyFont="1" applyAlignment="1"/>
    <xf numFmtId="168" fontId="0" fillId="0" borderId="3" xfId="0" applyFont="1" applyBorder="1" applyAlignment="1">
      <alignment horizontal="center"/>
    </xf>
    <xf numFmtId="168" fontId="3" fillId="0" borderId="3" xfId="0" applyFont="1" applyBorder="1" applyAlignment="1"/>
    <xf numFmtId="168" fontId="0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/>
    <xf numFmtId="168" fontId="0" fillId="0" borderId="3" xfId="0" applyNumberFormat="1" applyFont="1" applyBorder="1" applyAlignment="1"/>
    <xf numFmtId="168" fontId="0" fillId="0" borderId="0" xfId="0" applyFont="1" applyAlignment="1"/>
    <xf numFmtId="9" fontId="1" fillId="3" borderId="0" xfId="0" applyNumberFormat="1" applyFont="1" applyFill="1" applyAlignment="1"/>
    <xf numFmtId="168" fontId="1" fillId="3" borderId="0" xfId="0" applyFont="1" applyFill="1" applyAlignment="1"/>
    <xf numFmtId="2" fontId="8" fillId="0" borderId="0" xfId="0" applyNumberFormat="1" applyFont="1" applyFill="1" applyBorder="1"/>
    <xf numFmtId="2" fontId="8" fillId="2" borderId="0" xfId="0" applyNumberFormat="1" applyFont="1" applyFill="1"/>
    <xf numFmtId="2" fontId="0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1" fontId="1" fillId="0" borderId="0" xfId="0" applyNumberFormat="1" applyFont="1" applyAlignment="1"/>
    <xf numFmtId="168" fontId="1" fillId="0" borderId="0" xfId="0" applyFont="1" applyBorder="1" applyAlignment="1">
      <alignment horizontal="left"/>
    </xf>
    <xf numFmtId="168" fontId="1" fillId="3" borderId="0" xfId="0" applyNumberFormat="1" applyFont="1" applyFill="1"/>
    <xf numFmtId="168" fontId="1" fillId="3" borderId="0" xfId="0" applyNumberFormat="1" applyFont="1" applyFill="1" applyAlignment="1"/>
    <xf numFmtId="168" fontId="9" fillId="3" borderId="0" xfId="0" applyNumberFormat="1" applyFont="1" applyFill="1"/>
    <xf numFmtId="1" fontId="3" fillId="3" borderId="0" xfId="0" applyNumberFormat="1" applyFont="1" applyFill="1" applyAlignment="1">
      <alignment horizontal="right"/>
    </xf>
    <xf numFmtId="168" fontId="3" fillId="3" borderId="0" xfId="0" applyNumberFormat="1" applyFont="1" applyFill="1" applyAlignment="1">
      <alignment horizontal="right"/>
    </xf>
    <xf numFmtId="168" fontId="17" fillId="3" borderId="0" xfId="0" applyNumberFormat="1" applyFont="1" applyFill="1" applyAlignment="1">
      <alignment horizontal="right"/>
    </xf>
    <xf numFmtId="1" fontId="0" fillId="0" borderId="0" xfId="0" applyNumberFormat="1" applyFont="1" applyFill="1" applyAlignment="1"/>
    <xf numFmtId="168" fontId="10" fillId="0" borderId="0" xfId="0" applyNumberFormat="1" applyFont="1"/>
    <xf numFmtId="168" fontId="0" fillId="0" borderId="0" xfId="0" applyNumberFormat="1" applyFont="1" applyAlignment="1"/>
    <xf numFmtId="168" fontId="0" fillId="0" borderId="0" xfId="0" applyFont="1" applyAlignment="1"/>
    <xf numFmtId="168" fontId="0" fillId="4" borderId="0" xfId="0" applyNumberFormat="1" applyFont="1" applyFill="1" applyAlignment="1"/>
    <xf numFmtId="168" fontId="0" fillId="0" borderId="0" xfId="0" applyFont="1" applyAlignment="1"/>
    <xf numFmtId="2" fontId="0" fillId="0" borderId="0" xfId="1" applyNumberFormat="1" applyFont="1" applyFill="1" applyBorder="1" applyAlignment="1"/>
    <xf numFmtId="168" fontId="0" fillId="0" borderId="0" xfId="0" applyNumberFormat="1" applyFont="1" applyFill="1" applyBorder="1" applyAlignment="1"/>
    <xf numFmtId="168" fontId="22" fillId="0" borderId="0" xfId="0" applyFont="1" applyAlignment="1"/>
    <xf numFmtId="1" fontId="22" fillId="0" borderId="0" xfId="0" applyNumberFormat="1" applyFont="1" applyAlignment="1"/>
    <xf numFmtId="168" fontId="0" fillId="0" borderId="0" xfId="0" applyFont="1" applyAlignment="1"/>
    <xf numFmtId="168" fontId="1" fillId="0" borderId="0" xfId="0" applyFont="1" applyAlignment="1">
      <alignment vertical="center"/>
    </xf>
    <xf numFmtId="168" fontId="0" fillId="0" borderId="0" xfId="0" applyFont="1" applyAlignment="1"/>
    <xf numFmtId="168" fontId="3" fillId="0" borderId="0" xfId="0" applyFont="1" applyAlignment="1">
      <alignment horizontal="center"/>
    </xf>
    <xf numFmtId="168" fontId="0" fillId="0" borderId="0" xfId="0" applyFont="1" applyAlignment="1">
      <alignment horizontal="center"/>
    </xf>
    <xf numFmtId="168" fontId="0" fillId="0" borderId="3" xfId="0" applyFont="1" applyBorder="1" applyAlignment="1">
      <alignment horizontal="center"/>
    </xf>
    <xf numFmtId="2" fontId="1" fillId="0" borderId="0" xfId="0" applyNumberFormat="1" applyFont="1" applyFill="1" applyAlignment="1"/>
    <xf numFmtId="2" fontId="1" fillId="3" borderId="0" xfId="0" applyNumberFormat="1" applyFont="1" applyFill="1" applyAlignmen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Standard</a:t>
            </a:r>
          </a:p>
        </c:rich>
      </c:tx>
      <c:layout>
        <c:manualLayout>
          <c:xMode val="edge"/>
          <c:yMode val="edge"/>
          <c:x val="0.40693744531933507"/>
          <c:y val="2.3148148148148147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85E-4042-AA24-E3B1AECCEB3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785E-4042-AA24-E3B1AECCEB3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785E-4042-AA24-E3B1AECCEB3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figure!$A$7:$A$9</c:f>
              <c:strCache>
                <c:ptCount val="3"/>
                <c:pt idx="0">
                  <c:v>Diagnosis and treatment</c:v>
                </c:pt>
                <c:pt idx="1">
                  <c:v>Delayed therapy</c:v>
                </c:pt>
                <c:pt idx="2">
                  <c:v>Health system delay</c:v>
                </c:pt>
              </c:strCache>
            </c:strRef>
          </c:cat>
          <c:val>
            <c:numRef>
              <c:f>figure!$B$7:$B$9</c:f>
              <c:numCache>
                <c:formatCode>0</c:formatCode>
                <c:ptCount val="3"/>
                <c:pt idx="0">
                  <c:v>5893.2502083333384</c:v>
                </c:pt>
                <c:pt idx="1">
                  <c:v>81625.273972602736</c:v>
                </c:pt>
                <c:pt idx="2">
                  <c:v>59707.698630136983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5E-4042-AA24-E3B1AECCEB3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MTB/RIF</a:t>
            </a:r>
          </a:p>
        </c:rich>
      </c:tx>
      <c:overlay val="0"/>
    </c:title>
    <c:autoTitleDeleted val="0"/>
    <c:plotArea>
      <c:layout/>
      <c:pieChart>
        <c:varyColors val="1"/>
        <c:ser>
          <c:idx val="1"/>
          <c:order val="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A55-48FE-90B2-59004163F99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AA55-48FE-90B2-59004163F99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AA55-48FE-90B2-59004163F99C}"/>
              </c:ext>
            </c:extLst>
          </c:dPt>
          <c:dLbls>
            <c:dLbl>
              <c:idx val="0"/>
              <c:layout>
                <c:manualLayout>
                  <c:x val="-1.7900599684140126E-2"/>
                  <c:y val="3.766404199475065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55-48FE-90B2-59004163F99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figure!$A$7:$A$9</c:f>
              <c:strCache>
                <c:ptCount val="3"/>
                <c:pt idx="0">
                  <c:v>Diagnosis and treatment</c:v>
                </c:pt>
                <c:pt idx="1">
                  <c:v>Delayed therapy</c:v>
                </c:pt>
                <c:pt idx="2">
                  <c:v>Health system delay</c:v>
                </c:pt>
              </c:strCache>
            </c:strRef>
          </c:cat>
          <c:val>
            <c:numRef>
              <c:f>figure!$C$7:$C$9</c:f>
              <c:numCache>
                <c:formatCode>0</c:formatCode>
                <c:ptCount val="3"/>
                <c:pt idx="0">
                  <c:v>15730.994411326119</c:v>
                </c:pt>
                <c:pt idx="1">
                  <c:v>2436.5753424657532</c:v>
                </c:pt>
                <c:pt idx="2">
                  <c:v>74095.095890410958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55-48FE-90B2-59004163F99C}"/>
            </c:ext>
          </c:extLst>
        </c:ser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figure!$A$7:$A$9</c:f>
              <c:strCache>
                <c:ptCount val="3"/>
                <c:pt idx="0">
                  <c:v>Diagnosis and treatment</c:v>
                </c:pt>
                <c:pt idx="1">
                  <c:v>Delayed therapy</c:v>
                </c:pt>
                <c:pt idx="2">
                  <c:v>Health system delay</c:v>
                </c:pt>
              </c:strCache>
            </c:strRef>
          </c:cat>
          <c:val>
            <c:numRef>
              <c:f>figure!$C$7:$C$9</c:f>
              <c:numCache>
                <c:formatCode>0</c:formatCode>
                <c:ptCount val="3"/>
                <c:pt idx="0">
                  <c:v>15730.994411326119</c:v>
                </c:pt>
                <c:pt idx="1">
                  <c:v>2436.5753424657532</c:v>
                </c:pt>
                <c:pt idx="2">
                  <c:v>74095.095890410958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55-48FE-90B2-59004163F9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LF-LAM / MTB/RIF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C06-4AC8-8B68-3006A50CE77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DC06-4AC8-8B68-3006A50CE77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DC06-4AC8-8B68-3006A50CE776}"/>
              </c:ext>
            </c:extLst>
          </c:dPt>
          <c:dLbls>
            <c:dLbl>
              <c:idx val="0"/>
              <c:layout>
                <c:manualLayout>
                  <c:x val="-1.1687030500497783E-2"/>
                  <c:y val="9.2701953922426361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06-4AC8-8B68-3006A50CE776}"/>
                </c:ext>
              </c:extLst>
            </c:dLbl>
            <c:dLbl>
              <c:idx val="2"/>
              <c:layout>
                <c:manualLayout>
                  <c:x val="9.9900918635170602E-2"/>
                  <c:y val="-0.1766754155730533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06-4AC8-8B68-3006A50CE77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figure!$A$7:$A$9</c:f>
              <c:strCache>
                <c:ptCount val="3"/>
                <c:pt idx="0">
                  <c:v>Diagnosis and treatment</c:v>
                </c:pt>
                <c:pt idx="1">
                  <c:v>Delayed therapy</c:v>
                </c:pt>
                <c:pt idx="2">
                  <c:v>Health system delay</c:v>
                </c:pt>
              </c:strCache>
            </c:strRef>
          </c:cat>
          <c:val>
            <c:numRef>
              <c:f>figure!$D$7:$D$9</c:f>
              <c:numCache>
                <c:formatCode>0</c:formatCode>
                <c:ptCount val="3"/>
                <c:pt idx="0">
                  <c:v>16522.245039848862</c:v>
                </c:pt>
                <c:pt idx="1">
                  <c:v>2436.5753424657532</c:v>
                </c:pt>
                <c:pt idx="2">
                  <c:v>94237.452054794529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06-4AC8-8B68-3006A50CE7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Low value parameter</c:v>
          </c:tx>
          <c:spPr>
            <a:pattFill prst="narVert">
              <a:fgClr>
                <a:srgbClr val="0070C0"/>
              </a:fgClr>
              <a:bgClr>
                <a:schemeClr val="bg1"/>
              </a:bgClr>
            </a:pattFill>
          </c:spPr>
          <c:invertIfNegative val="0"/>
          <c:cat>
            <c:strRef>
              <c:f>Tornado!$A$8:$A$19</c:f>
              <c:strCache>
                <c:ptCount val="12"/>
                <c:pt idx="0">
                  <c:v>Mortality in care (early treatment)</c:v>
                </c:pt>
                <c:pt idx="1">
                  <c:v>Mortality among false negatives (delayed treatment)</c:v>
                </c:pt>
                <c:pt idx="2">
                  <c:v>Survival of HIV/TB patient not treated for TB</c:v>
                </c:pt>
                <c:pt idx="3">
                  <c:v>Cost TB Therapy</c:v>
                </c:pt>
                <c:pt idx="4">
                  <c:v>Days of delay in treatment for undiagnosed TB case</c:v>
                </c:pt>
                <c:pt idx="5">
                  <c:v>Cost of newly trasmitted TB infection</c:v>
                </c:pt>
                <c:pt idx="6">
                  <c:v>Risk of trasmission of TB (cases per year)</c:v>
                </c:pt>
                <c:pt idx="7">
                  <c:v>Discount rate</c:v>
                </c:pt>
                <c:pt idx="8">
                  <c:v>Cost MTB/RIF</c:v>
                </c:pt>
                <c:pt idx="9">
                  <c:v>Survival of HIV/TB patient post-treatment</c:v>
                </c:pt>
                <c:pt idx="10">
                  <c:v>Cost 4SS</c:v>
                </c:pt>
                <c:pt idx="11">
                  <c:v>Prevalence of TB in HIV+ patients</c:v>
                </c:pt>
              </c:strCache>
            </c:strRef>
          </c:cat>
          <c:val>
            <c:numRef>
              <c:f>Tornado!$B$8:$B$19</c:f>
              <c:numCache>
                <c:formatCode>[$$]#,##0.00</c:formatCode>
                <c:ptCount val="12"/>
                <c:pt idx="0">
                  <c:v>13.92</c:v>
                </c:pt>
                <c:pt idx="1">
                  <c:v>14.18</c:v>
                </c:pt>
                <c:pt idx="2">
                  <c:v>14.26</c:v>
                </c:pt>
                <c:pt idx="3">
                  <c:v>13.79</c:v>
                </c:pt>
                <c:pt idx="4">
                  <c:v>13.23</c:v>
                </c:pt>
                <c:pt idx="5">
                  <c:v>13.23</c:v>
                </c:pt>
                <c:pt idx="6">
                  <c:v>13.04</c:v>
                </c:pt>
                <c:pt idx="7">
                  <c:v>11.91</c:v>
                </c:pt>
                <c:pt idx="8">
                  <c:v>8.44</c:v>
                </c:pt>
                <c:pt idx="9">
                  <c:v>11.91</c:v>
                </c:pt>
                <c:pt idx="10">
                  <c:v>24.19</c:v>
                </c:pt>
                <c:pt idx="11">
                  <c:v>26.28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1-4200-954D-E8CFCAFAA1EF}"/>
            </c:ext>
          </c:extLst>
        </c:ser>
        <c:ser>
          <c:idx val="1"/>
          <c:order val="1"/>
          <c:tx>
            <c:v>High value parameter</c:v>
          </c:tx>
          <c:spPr>
            <a:pattFill prst="dkUpDiag">
              <a:fgClr>
                <a:srgbClr val="FF0000"/>
              </a:fgClr>
              <a:bgClr>
                <a:schemeClr val="bg1"/>
              </a:bgClr>
            </a:pattFill>
          </c:spPr>
          <c:invertIfNegative val="0"/>
          <c:cat>
            <c:strRef>
              <c:f>Tornado!$A$8:$A$19</c:f>
              <c:strCache>
                <c:ptCount val="12"/>
                <c:pt idx="0">
                  <c:v>Mortality in care (early treatment)</c:v>
                </c:pt>
                <c:pt idx="1">
                  <c:v>Mortality among false negatives (delayed treatment)</c:v>
                </c:pt>
                <c:pt idx="2">
                  <c:v>Survival of HIV/TB patient not treated for TB</c:v>
                </c:pt>
                <c:pt idx="3">
                  <c:v>Cost TB Therapy</c:v>
                </c:pt>
                <c:pt idx="4">
                  <c:v>Days of delay in treatment for undiagnosed TB case</c:v>
                </c:pt>
                <c:pt idx="5">
                  <c:v>Cost of newly trasmitted TB infection</c:v>
                </c:pt>
                <c:pt idx="6">
                  <c:v>Risk of trasmission of TB (cases per year)</c:v>
                </c:pt>
                <c:pt idx="7">
                  <c:v>Discount rate</c:v>
                </c:pt>
                <c:pt idx="8">
                  <c:v>Cost MTB/RIF</c:v>
                </c:pt>
                <c:pt idx="9">
                  <c:v>Survival of HIV/TB patient post-treatment</c:v>
                </c:pt>
                <c:pt idx="10">
                  <c:v>Cost 4SS</c:v>
                </c:pt>
                <c:pt idx="11">
                  <c:v>Prevalence of TB in HIV+ patients</c:v>
                </c:pt>
              </c:strCache>
            </c:strRef>
          </c:cat>
          <c:val>
            <c:numRef>
              <c:f>Tornado!$C$8:$C$19</c:f>
              <c:numCache>
                <c:formatCode>[$$]#,##0.00</c:formatCode>
                <c:ptCount val="12"/>
                <c:pt idx="0">
                  <c:v>14.62</c:v>
                </c:pt>
                <c:pt idx="1">
                  <c:v>14.33</c:v>
                </c:pt>
                <c:pt idx="2">
                  <c:v>13.65</c:v>
                </c:pt>
                <c:pt idx="3">
                  <c:v>14.58</c:v>
                </c:pt>
                <c:pt idx="4">
                  <c:v>15.13</c:v>
                </c:pt>
                <c:pt idx="5">
                  <c:v>15.13</c:v>
                </c:pt>
                <c:pt idx="6">
                  <c:v>16.079999999999998</c:v>
                </c:pt>
                <c:pt idx="7">
                  <c:v>16.68</c:v>
                </c:pt>
                <c:pt idx="8">
                  <c:v>19.93</c:v>
                </c:pt>
                <c:pt idx="9">
                  <c:v>16.68</c:v>
                </c:pt>
                <c:pt idx="10">
                  <c:v>10.9</c:v>
                </c:pt>
                <c:pt idx="11">
                  <c:v>11.04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B1-4200-954D-E8CFCAFAA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100"/>
        <c:axId val="185666176"/>
        <c:axId val="185672064"/>
      </c:barChart>
      <c:catAx>
        <c:axId val="18566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85672064"/>
        <c:crossesAt val="14.18"/>
        <c:auto val="1"/>
        <c:lblAlgn val="ctr"/>
        <c:lblOffset val="100"/>
        <c:noMultiLvlLbl val="0"/>
      </c:catAx>
      <c:valAx>
        <c:axId val="185672064"/>
        <c:scaling>
          <c:orientation val="minMax"/>
          <c:max val="25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high"/>
        <c:spPr>
          <a:noFill/>
          <a:ln>
            <a:solidFill>
              <a:schemeClr val="accent1">
                <a:alpha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8566617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High value parameter</c:v>
          </c:tx>
          <c:spPr>
            <a:pattFill prst="narVert">
              <a:fgClr>
                <a:srgbClr val="0070C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Tornado!$A$25:$A$33</c15:sqref>
                  </c15:fullRef>
                </c:ext>
              </c:extLst>
              <c:f>Tornado!$A$26:$A$33</c:f>
              <c:strCache>
                <c:ptCount val="8"/>
                <c:pt idx="0">
                  <c:v>Survival of HIV/TB patient not treated for TB</c:v>
                </c:pt>
                <c:pt idx="1">
                  <c:v>Cost 4SS</c:v>
                </c:pt>
                <c:pt idx="2">
                  <c:v>Mortality among false negatives (delayed treatment)</c:v>
                </c:pt>
                <c:pt idx="3">
                  <c:v>Survival of HIV/TB patient post-treatment</c:v>
                </c:pt>
                <c:pt idx="4">
                  <c:v>Discount rate</c:v>
                </c:pt>
                <c:pt idx="5">
                  <c:v>Cost SMEAR</c:v>
                </c:pt>
                <c:pt idx="6">
                  <c:v>Cost MTB/RIF</c:v>
                </c:pt>
                <c:pt idx="7">
                  <c:v>Prevalence of TB in HIV+ patients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Tornado!$C$25:$C$33</c15:sqref>
                  </c15:fullRef>
                </c:ext>
              </c:extLst>
              <c:f>Tornado!$C$26:$C$33</c:f>
              <c:numCache>
                <c:formatCode>[$$]#,##0.00</c:formatCode>
                <c:ptCount val="8"/>
                <c:pt idx="0">
                  <c:v>54.65</c:v>
                </c:pt>
                <c:pt idx="1">
                  <c:v>43.53</c:v>
                </c:pt>
                <c:pt idx="2">
                  <c:v>39.119999999999997</c:v>
                </c:pt>
                <c:pt idx="3">
                  <c:v>66.47</c:v>
                </c:pt>
                <c:pt idx="4">
                  <c:v>66.47</c:v>
                </c:pt>
                <c:pt idx="5">
                  <c:v>45.04</c:v>
                </c:pt>
                <c:pt idx="6">
                  <c:v>98.83</c:v>
                </c:pt>
                <c:pt idx="7">
                  <c:v>36.820453865765714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6-4FDE-A2EF-6AED78D22B49}"/>
            </c:ext>
          </c:extLst>
        </c:ser>
        <c:ser>
          <c:idx val="1"/>
          <c:order val="1"/>
          <c:tx>
            <c:v>Low value parameter</c:v>
          </c:tx>
          <c:spPr>
            <a:pattFill prst="dkUpDiag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Tornado!$A$25:$A$33</c15:sqref>
                  </c15:fullRef>
                </c:ext>
              </c:extLst>
              <c:f>Tornado!$A$26:$A$33</c:f>
              <c:strCache>
                <c:ptCount val="8"/>
                <c:pt idx="0">
                  <c:v>Survival of HIV/TB patient not treated for TB</c:v>
                </c:pt>
                <c:pt idx="1">
                  <c:v>Cost 4SS</c:v>
                </c:pt>
                <c:pt idx="2">
                  <c:v>Mortality among false negatives (delayed treatment)</c:v>
                </c:pt>
                <c:pt idx="3">
                  <c:v>Survival of HIV/TB patient post-treatment</c:v>
                </c:pt>
                <c:pt idx="4">
                  <c:v>Discount rate</c:v>
                </c:pt>
                <c:pt idx="5">
                  <c:v>Cost SMEAR</c:v>
                </c:pt>
                <c:pt idx="6">
                  <c:v>Cost MTB/RIF</c:v>
                </c:pt>
                <c:pt idx="7">
                  <c:v>Prevalence of TB in HIV+ patients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Tornado!$B$25:$B$33</c15:sqref>
                  </c15:fullRef>
                </c:ext>
              </c:extLst>
              <c:f>Tornado!$B$26:$B$33</c:f>
              <c:numCache>
                <c:formatCode>[$$]#,##0.00</c:formatCode>
                <c:ptCount val="8"/>
                <c:pt idx="0">
                  <c:v>57.2</c:v>
                </c:pt>
                <c:pt idx="1">
                  <c:v>97.4</c:v>
                </c:pt>
                <c:pt idx="2">
                  <c:v>104.03</c:v>
                </c:pt>
                <c:pt idx="3">
                  <c:v>47.53</c:v>
                </c:pt>
                <c:pt idx="4">
                  <c:v>47.53</c:v>
                </c:pt>
                <c:pt idx="5">
                  <c:v>68.03</c:v>
                </c:pt>
                <c:pt idx="6">
                  <c:v>14.25</c:v>
                </c:pt>
                <c:pt idx="7">
                  <c:v>123.17839238115985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6-4FDE-A2EF-6AED78D22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85710080"/>
        <c:axId val="185711616"/>
      </c:barChart>
      <c:catAx>
        <c:axId val="18571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85711616"/>
        <c:crossesAt val="56.54"/>
        <c:auto val="1"/>
        <c:lblAlgn val="ctr"/>
        <c:lblOffset val="100"/>
        <c:noMultiLvlLbl val="0"/>
      </c:catAx>
      <c:valAx>
        <c:axId val="185711616"/>
        <c:scaling>
          <c:orientation val="minMax"/>
          <c:max val="12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high"/>
        <c:spPr>
          <a:noFill/>
          <a:ln>
            <a:solidFill>
              <a:schemeClr val="accent1">
                <a:alpha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185710080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F$6" lockText="1"/>
</file>

<file path=xl/ctrlProps/ctrlProp2.xml><?xml version="1.0" encoding="utf-8"?>
<formControlPr xmlns="http://schemas.microsoft.com/office/spreadsheetml/2009/9/main" objectType="CheckBox" fmlaLink="F$12" lockText="1"/>
</file>

<file path=xl/ctrlProps/ctrlProp3.xml><?xml version="1.0" encoding="utf-8"?>
<formControlPr xmlns="http://schemas.microsoft.com/office/spreadsheetml/2009/9/main" objectType="CheckBox" fmlaLink="$F8" lockText="1"/>
</file>

<file path=xl/ctrlProps/ctrlProp4.xml><?xml version="1.0" encoding="utf-8"?>
<formControlPr xmlns="http://schemas.microsoft.com/office/spreadsheetml/2009/9/main" objectType="CheckBox" fmlaLink="$F9" lockText="1"/>
</file>

<file path=xl/ctrlProps/ctrlProp5.xml><?xml version="1.0" encoding="utf-8"?>
<formControlPr xmlns="http://schemas.microsoft.com/office/spreadsheetml/2009/9/main" objectType="CheckBox" fmlaLink="$F11" lockText="1"/>
</file>

<file path=xl/ctrlProps/ctrlProp6.xml><?xml version="1.0" encoding="utf-8"?>
<formControlPr xmlns="http://schemas.microsoft.com/office/spreadsheetml/2009/9/main" objectType="CheckBox" fmlaLink="$F$7" lockText="1"/>
</file>

<file path=xl/ctrlProps/ctrlProp7.xml><?xml version="1.0" encoding="utf-8"?>
<formControlPr xmlns="http://schemas.microsoft.com/office/spreadsheetml/2009/9/main" objectType="CheckBox" fmlaLink="$F10" lockText="1"/>
</file>

<file path=xl/ctrlProps/ctrlProp8.xml><?xml version="1.0" encoding="utf-8"?>
<formControlPr xmlns="http://schemas.microsoft.com/office/spreadsheetml/2009/9/main" objectType="CheckBox" fmlaLink="F$13" lockText="1"/>
</file>

<file path=xl/ctrlProps/ctrlProp9.xml><?xml version="1.0" encoding="utf-8"?>
<formControlPr xmlns="http://schemas.microsoft.com/office/spreadsheetml/2009/9/main" objectType="CheckBox" fmlaLink="F$14" lockText="1"/>
</file>

<file path=xl/ctrlProps/ctrlProp10.xml><?xml version="1.0" encoding="utf-8"?>
<formControlPr xmlns="http://schemas.microsoft.com/office/spreadsheetml/2009/9/main" objectType="CheckBox" fmlaLink="F$15" lockText="1"/>
</file>

<file path=xl/ctrlProps/ctrlProp11.xml><?xml version="1.0" encoding="utf-8"?>
<formControlPr xmlns="http://schemas.microsoft.com/office/spreadsheetml/2009/9/main" objectType="CheckBox" fmlaLink="F$16" lockText="1"/>
</file>

<file path=xl/ctrlProps/ctrlProp12.xml><?xml version="1.0" encoding="utf-8"?>
<formControlPr xmlns="http://schemas.microsoft.com/office/spreadsheetml/2009/9/main" objectType="CheckBox" fmlaLink="F$17" lockText="1"/>
</file>

<file path=xl/ctrlProps/ctrlProp13.xml><?xml version="1.0" encoding="utf-8"?>
<formControlPr xmlns="http://schemas.microsoft.com/office/spreadsheetml/2009/9/main" objectType="CheckBox" fmlaLink="F$18" lockText="1"/>
</file>

<file path=xl/ctrlProps/ctrlProp14.xml><?xml version="1.0" encoding="utf-8"?>
<formControlPr xmlns="http://schemas.microsoft.com/office/spreadsheetml/2009/9/main" objectType="CheckBox" fmlaLink="F$19" lockText="1"/>
</file>

<file path=xl/ctrlProps/ctrlProp15.xml><?xml version="1.0" encoding="utf-8"?>
<formControlPr xmlns="http://schemas.microsoft.com/office/spreadsheetml/2009/9/main" objectType="CheckBox" fmlaLink="F$20" lockText="1"/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114300</xdr:rowOff>
    </xdr:to>
    <xdr:sp macro="" textlink="">
      <xdr:nvSpPr>
        <xdr:cNvPr id="1027" name="Rectangle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114300</xdr:rowOff>
    </xdr:to>
    <xdr:sp macro="" textlink="">
      <xdr:nvSpPr>
        <xdr:cNvPr id="2" name="Rectangle 3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114300</xdr:rowOff>
    </xdr:to>
    <xdr:sp macro="" textlink="">
      <xdr:nvSpPr>
        <xdr:cNvPr id="3" name="Rectangle 3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114300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114300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114300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152400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152400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8" name="Form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1" name="Form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2" name="Form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3" name="Form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024" name="AutoShape 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1025" name="Forme 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32" name="Form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33" name="Form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49</xdr:row>
      <xdr:rowOff>142875</xdr:rowOff>
    </xdr:to>
    <xdr:sp macro="" textlink="">
      <xdr:nvSpPr>
        <xdr:cNvPr id="34" name="Form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4</xdr:col>
      <xdr:colOff>0</xdr:colOff>
      <xdr:row>50</xdr:row>
      <xdr:rowOff>101600</xdr:rowOff>
    </xdr:to>
    <xdr:sp macro="" textlink="">
      <xdr:nvSpPr>
        <xdr:cNvPr id="35" name="Form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2051" name="Rectangle 3" hidden="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2" name="Rectangle 3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3" name="Rectangle 3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101600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8" name="Forme 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1" name="Forme 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2" name="Forme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3" name="Forme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048" name="AutoShape 3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049" name="Forme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32" name="Forme 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33" name="Forme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0</xdr:rowOff>
    </xdr:to>
    <xdr:sp macro="" textlink="">
      <xdr:nvSpPr>
        <xdr:cNvPr id="2050" name="Forme 3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50</xdr:row>
      <xdr:rowOff>88900</xdr:rowOff>
    </xdr:to>
    <xdr:sp macro="" textlink="">
      <xdr:nvSpPr>
        <xdr:cNvPr id="34" name="Forme 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3074" name="Rectangle 2" hidden="1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 editAs="absolute">
    <xdr:from>
      <xdr:col>1</xdr:col>
      <xdr:colOff>2799773</xdr:colOff>
      <xdr:row>82</xdr:row>
      <xdr:rowOff>489437</xdr:rowOff>
    </xdr:from>
    <xdr:to>
      <xdr:col>5</xdr:col>
      <xdr:colOff>652318</xdr:colOff>
      <xdr:row>83</xdr:row>
      <xdr:rowOff>244384</xdr:rowOff>
    </xdr:to>
    <xdr:sp macro="" textlink="">
      <xdr:nvSpPr>
        <xdr:cNvPr id="3072" name="Rectangle 0" hidden="1">
          <a:extLst>
            <a:ext uri="{FF2B5EF4-FFF2-40B4-BE49-F238E27FC236}">
              <a16:creationId xmlns:a16="http://schemas.microsoft.com/office/drawing/2014/main" id="{00000000-0008-0000-0200-0000000C0000}"/>
            </a:ext>
          </a:extLst>
        </xdr:cNvPr>
        <xdr:cNvSpPr>
          <a:spLocks noChangeArrowheads="1"/>
        </xdr:cNvSpPr>
      </xdr:nvSpPr>
      <xdr:spPr bwMode="auto">
        <a:xfrm>
          <a:off x="4470400" y="15951200"/>
          <a:ext cx="4991100" cy="254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round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2" name="Rectangle 2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3" name="Rectangle 2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114300</xdr:colOff>
      <xdr:row>51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752475</xdr:colOff>
      <xdr:row>48</xdr:row>
      <xdr:rowOff>66675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752475</xdr:colOff>
      <xdr:row>48</xdr:row>
      <xdr:rowOff>66675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it-IT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18" name="Form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1" name="Forme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2" name="Forme 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3" name="Forme 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3073" name="AutoShape 2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3075" name="Forme 2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32" name="Forme 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33" name="Forme 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8</xdr:col>
      <xdr:colOff>742950</xdr:colOff>
      <xdr:row>48</xdr:row>
      <xdr:rowOff>57150</xdr:rowOff>
    </xdr:to>
    <xdr:sp macro="" textlink="">
      <xdr:nvSpPr>
        <xdr:cNvPr id="34" name="Forme 2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101600</xdr:colOff>
      <xdr:row>51</xdr:row>
      <xdr:rowOff>0</xdr:rowOff>
    </xdr:to>
    <xdr:sp macro="" textlink="">
      <xdr:nvSpPr>
        <xdr:cNvPr id="35" name="Forme 2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12687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4</xdr:row>
          <xdr:rowOff>127000</xdr:rowOff>
        </xdr:from>
        <xdr:to>
          <xdr:col>0</xdr:col>
          <xdr:colOff>723900</xdr:colOff>
          <xdr:row>6</xdr:row>
          <xdr:rowOff>63500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10</xdr:row>
          <xdr:rowOff>127000</xdr:rowOff>
        </xdr:from>
        <xdr:to>
          <xdr:col>0</xdr:col>
          <xdr:colOff>723900</xdr:colOff>
          <xdr:row>12</xdr:row>
          <xdr:rowOff>63500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6</xdr:row>
          <xdr:rowOff>114300</xdr:rowOff>
        </xdr:from>
        <xdr:to>
          <xdr:col>0</xdr:col>
          <xdr:colOff>736600</xdr:colOff>
          <xdr:row>8</xdr:row>
          <xdr:rowOff>50800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165100</xdr:colOff>
          <xdr:row>7</xdr:row>
          <xdr:rowOff>114300</xdr:rowOff>
        </xdr:from>
        <xdr:to>
          <xdr:col>0</xdr:col>
          <xdr:colOff>558800</xdr:colOff>
          <xdr:row>9</xdr:row>
          <xdr:rowOff>50800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165100</xdr:colOff>
          <xdr:row>9</xdr:row>
          <xdr:rowOff>114300</xdr:rowOff>
        </xdr:from>
        <xdr:to>
          <xdr:col>0</xdr:col>
          <xdr:colOff>558800</xdr:colOff>
          <xdr:row>11</xdr:row>
          <xdr:rowOff>50800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165100</xdr:colOff>
          <xdr:row>5</xdr:row>
          <xdr:rowOff>127000</xdr:rowOff>
        </xdr:from>
        <xdr:to>
          <xdr:col>0</xdr:col>
          <xdr:colOff>558800</xdr:colOff>
          <xdr:row>7</xdr:row>
          <xdr:rowOff>63500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8</xdr:row>
          <xdr:rowOff>114300</xdr:rowOff>
        </xdr:from>
        <xdr:to>
          <xdr:col>0</xdr:col>
          <xdr:colOff>736600</xdr:colOff>
          <xdr:row>10</xdr:row>
          <xdr:rowOff>50800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11</xdr:row>
          <xdr:rowOff>114300</xdr:rowOff>
        </xdr:from>
        <xdr:to>
          <xdr:col>0</xdr:col>
          <xdr:colOff>533400</xdr:colOff>
          <xdr:row>13</xdr:row>
          <xdr:rowOff>50800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12</xdr:row>
          <xdr:rowOff>101600</xdr:rowOff>
        </xdr:from>
        <xdr:to>
          <xdr:col>0</xdr:col>
          <xdr:colOff>723900</xdr:colOff>
          <xdr:row>14</xdr:row>
          <xdr:rowOff>38100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13</xdr:row>
          <xdr:rowOff>114300</xdr:rowOff>
        </xdr:from>
        <xdr:to>
          <xdr:col>0</xdr:col>
          <xdr:colOff>546100</xdr:colOff>
          <xdr:row>15</xdr:row>
          <xdr:rowOff>50800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3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14</xdr:row>
          <xdr:rowOff>127000</xdr:rowOff>
        </xdr:from>
        <xdr:to>
          <xdr:col>0</xdr:col>
          <xdr:colOff>723900</xdr:colOff>
          <xdr:row>16</xdr:row>
          <xdr:rowOff>63500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3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15</xdr:row>
          <xdr:rowOff>114300</xdr:rowOff>
        </xdr:from>
        <xdr:to>
          <xdr:col>0</xdr:col>
          <xdr:colOff>546100</xdr:colOff>
          <xdr:row>17</xdr:row>
          <xdr:rowOff>50800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3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317500</xdr:colOff>
          <xdr:row>16</xdr:row>
          <xdr:rowOff>114300</xdr:rowOff>
        </xdr:from>
        <xdr:to>
          <xdr:col>0</xdr:col>
          <xdr:colOff>711200</xdr:colOff>
          <xdr:row>18</xdr:row>
          <xdr:rowOff>50800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3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17</xdr:row>
          <xdr:rowOff>114300</xdr:rowOff>
        </xdr:from>
        <xdr:to>
          <xdr:col>0</xdr:col>
          <xdr:colOff>546100</xdr:colOff>
          <xdr:row>19</xdr:row>
          <xdr:rowOff>50800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3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330200</xdr:colOff>
          <xdr:row>18</xdr:row>
          <xdr:rowOff>114300</xdr:rowOff>
        </xdr:from>
        <xdr:to>
          <xdr:col>0</xdr:col>
          <xdr:colOff>723900</xdr:colOff>
          <xdr:row>20</xdr:row>
          <xdr:rowOff>50800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3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15</xdr:row>
      <xdr:rowOff>95250</xdr:rowOff>
    </xdr:from>
    <xdr:to>
      <xdr:col>3</xdr:col>
      <xdr:colOff>85725</xdr:colOff>
      <xdr:row>32</xdr:row>
      <xdr:rowOff>85725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971550</xdr:colOff>
      <xdr:row>15</xdr:row>
      <xdr:rowOff>85725</xdr:rowOff>
    </xdr:from>
    <xdr:to>
      <xdr:col>10</xdr:col>
      <xdr:colOff>47625</xdr:colOff>
      <xdr:row>32</xdr:row>
      <xdr:rowOff>76200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495300</xdr:colOff>
      <xdr:row>15</xdr:row>
      <xdr:rowOff>85725</xdr:rowOff>
    </xdr:from>
    <xdr:to>
      <xdr:col>18</xdr:col>
      <xdr:colOff>190500</xdr:colOff>
      <xdr:row>32</xdr:row>
      <xdr:rowOff>76200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848553</xdr:colOff>
      <xdr:row>2</xdr:row>
      <xdr:rowOff>18784</xdr:rowOff>
    </xdr:from>
    <xdr:to>
      <xdr:col>22</xdr:col>
      <xdr:colOff>293119</xdr:colOff>
      <xdr:row>44</xdr:row>
      <xdr:rowOff>27781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1032403</xdr:colOff>
      <xdr:row>41</xdr:row>
      <xdr:rowOff>145633</xdr:rowOff>
    </xdr:from>
    <xdr:to>
      <xdr:col>21</xdr:col>
      <xdr:colOff>35604</xdr:colOff>
      <xdr:row>81</xdr:row>
      <xdr:rowOff>86595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lando/Dropbox/Studio%20CEA%20screening%20TB-HPV/TB/Definitivi%20inviati/PLOS_1/Data_m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lando/Dropbox/Studio%20CEA%20screening%20TB-HPV/TB/Definitivi%20inviati/PLOS_1/Data_ma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Costs details"/>
      <sheetName val="Results"/>
      <sheetName val="Foglio1"/>
      <sheetName val="Tornado"/>
    </sheetNames>
    <sheetDataSet>
      <sheetData sheetId="0"/>
      <sheetData sheetId="1"/>
      <sheetData sheetId="2">
        <row r="83">
          <cell r="C83">
            <v>79.059190768686605</v>
          </cell>
          <cell r="D83">
            <v>14.182333921773514</v>
          </cell>
          <cell r="E83">
            <v>15.118676540920745</v>
          </cell>
        </row>
        <row r="85">
          <cell r="D85">
            <v>56.538759787314859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Costs details"/>
      <sheetName val="Results"/>
      <sheetName val="Figure"/>
      <sheetName val="Tornado"/>
    </sheetNames>
    <sheetDataSet>
      <sheetData sheetId="0"/>
      <sheetData sheetId="1"/>
      <sheetData sheetId="2">
        <row r="83">
          <cell r="C83">
            <v>79.059190768686605</v>
          </cell>
          <cell r="D83">
            <v>19.926691940766272</v>
          </cell>
          <cell r="E83">
            <v>20.617117213375103</v>
          </cell>
        </row>
        <row r="85">
          <cell r="D85">
            <v>98.829119685761569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ropbox.com/s/gqzcc7x9ftay24x/Shah_2013.pdf?dl=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C1018"/>
  <sheetViews>
    <sheetView workbookViewId="0">
      <selection activeCell="A33" sqref="A33"/>
    </sheetView>
  </sheetViews>
  <sheetFormatPr baseColWidth="10" defaultColWidth="14.5" defaultRowHeight="15.75" customHeight="1"/>
  <cols>
    <col min="1" max="1" width="48.6640625" style="51" customWidth="1"/>
    <col min="2" max="2" width="27.83203125" customWidth="1"/>
    <col min="3" max="3" width="40.5" customWidth="1"/>
  </cols>
  <sheetData>
    <row r="1" spans="1:3" ht="13">
      <c r="A1" s="64" t="s">
        <v>38</v>
      </c>
      <c r="B1" s="2" t="s">
        <v>9</v>
      </c>
      <c r="C1" s="4" t="s">
        <v>54</v>
      </c>
    </row>
    <row r="2" spans="1:3" ht="13">
      <c r="A2" s="65" t="s">
        <v>39</v>
      </c>
      <c r="B2" s="131">
        <v>35</v>
      </c>
      <c r="C2" s="8">
        <v>7</v>
      </c>
    </row>
    <row r="3" spans="1:3" ht="13">
      <c r="A3" s="65" t="s">
        <v>40</v>
      </c>
      <c r="B3" s="131">
        <v>5</v>
      </c>
      <c r="C3">
        <v>33</v>
      </c>
    </row>
    <row r="4" spans="1:3" ht="13">
      <c r="A4" s="65" t="s">
        <v>26</v>
      </c>
      <c r="B4" s="131">
        <v>105</v>
      </c>
    </row>
    <row r="5" spans="1:3" ht="26">
      <c r="A5" s="65" t="s">
        <v>209</v>
      </c>
      <c r="B5" s="131">
        <v>62</v>
      </c>
    </row>
    <row r="6" spans="1:3" s="44" customFormat="1" ht="13">
      <c r="A6" s="65"/>
      <c r="B6" s="46"/>
    </row>
    <row r="7" spans="1:3" s="44" customFormat="1" ht="13">
      <c r="A7" s="64" t="s">
        <v>41</v>
      </c>
      <c r="B7" s="47"/>
    </row>
    <row r="8" spans="1:3" ht="13">
      <c r="A8" s="65" t="s">
        <v>42</v>
      </c>
      <c r="B8" s="49">
        <v>0.10100000000000001</v>
      </c>
      <c r="C8">
        <v>7</v>
      </c>
    </row>
    <row r="9" spans="1:3" ht="13">
      <c r="A9" s="65" t="s">
        <v>86</v>
      </c>
      <c r="B9" s="101">
        <f>1-B8</f>
        <v>0.89900000000000002</v>
      </c>
      <c r="C9" s="12" t="s">
        <v>46</v>
      </c>
    </row>
    <row r="10" spans="1:3" ht="13">
      <c r="A10" s="65" t="s">
        <v>113</v>
      </c>
      <c r="B10" s="48">
        <v>0.36199999999999999</v>
      </c>
      <c r="C10" s="12" t="s">
        <v>45</v>
      </c>
    </row>
    <row r="11" spans="1:3" ht="13">
      <c r="A11" s="65" t="s">
        <v>210</v>
      </c>
      <c r="B11" s="49">
        <v>0.68</v>
      </c>
      <c r="C11" s="12" t="s">
        <v>45</v>
      </c>
    </row>
    <row r="12" spans="1:3" s="13" customFormat="1" ht="13">
      <c r="A12" s="64" t="s">
        <v>43</v>
      </c>
      <c r="B12" s="55"/>
    </row>
    <row r="13" spans="1:3" ht="13">
      <c r="A13" s="65" t="s">
        <v>44</v>
      </c>
      <c r="B13" s="50">
        <v>0.05</v>
      </c>
      <c r="C13" s="12" t="s">
        <v>46</v>
      </c>
    </row>
    <row r="14" spans="1:3" ht="13">
      <c r="A14" s="65" t="s">
        <v>47</v>
      </c>
      <c r="B14" s="54">
        <v>0.2</v>
      </c>
      <c r="C14" s="12" t="s">
        <v>46</v>
      </c>
    </row>
    <row r="15" spans="1:3" s="13" customFormat="1" ht="13">
      <c r="A15" s="64" t="s">
        <v>48</v>
      </c>
      <c r="B15" s="56"/>
    </row>
    <row r="16" spans="1:3" s="12" customFormat="1" ht="13">
      <c r="A16" s="65" t="s">
        <v>49</v>
      </c>
      <c r="B16" s="57">
        <v>0.39900000000000002</v>
      </c>
      <c r="C16" s="12">
        <v>8</v>
      </c>
    </row>
    <row r="17" spans="1:3" s="13" customFormat="1" ht="13">
      <c r="A17" s="65" t="s">
        <v>50</v>
      </c>
      <c r="B17" s="57">
        <v>5.2999999999999999E-2</v>
      </c>
      <c r="C17" s="12">
        <v>8</v>
      </c>
    </row>
    <row r="18" spans="1:3" s="13" customFormat="1" ht="13">
      <c r="A18" s="64" t="s">
        <v>52</v>
      </c>
      <c r="B18" s="57"/>
    </row>
    <row r="19" spans="1:3" ht="13">
      <c r="A19" s="65" t="s">
        <v>53</v>
      </c>
      <c r="B19" s="46">
        <v>57.609000000000002</v>
      </c>
      <c r="C19" s="12">
        <v>12</v>
      </c>
    </row>
    <row r="20" spans="1:3" s="125" customFormat="1" ht="13">
      <c r="A20" s="64" t="s">
        <v>211</v>
      </c>
      <c r="B20" s="46"/>
      <c r="C20" s="12"/>
    </row>
    <row r="21" spans="1:3" ht="13">
      <c r="A21" s="65" t="s">
        <v>55</v>
      </c>
      <c r="B21" s="132">
        <f>(0.5+0.83)/2</f>
        <v>0.66500000000000004</v>
      </c>
      <c r="C21" s="12">
        <v>19</v>
      </c>
    </row>
    <row r="22" spans="1:3" s="44" customFormat="1" ht="13">
      <c r="A22" s="65" t="s">
        <v>56</v>
      </c>
      <c r="B22" s="131">
        <v>12.9</v>
      </c>
      <c r="C22" s="12" t="s">
        <v>90</v>
      </c>
    </row>
    <row r="23" spans="1:3" ht="13">
      <c r="A23" s="65" t="s">
        <v>89</v>
      </c>
      <c r="B23" s="132">
        <f>B2+B21</f>
        <v>35.664999999999999</v>
      </c>
      <c r="C23" s="12" t="s">
        <v>91</v>
      </c>
    </row>
    <row r="24" spans="1:3" s="44" customFormat="1" ht="13">
      <c r="A24" s="65"/>
      <c r="B24" s="46"/>
      <c r="C24" s="12"/>
    </row>
    <row r="25" spans="1:3" s="44" customFormat="1" ht="13">
      <c r="A25" s="65"/>
      <c r="B25" s="46"/>
      <c r="C25" s="12"/>
    </row>
    <row r="26" spans="1:3" s="44" customFormat="1" ht="13">
      <c r="A26" s="64" t="s">
        <v>58</v>
      </c>
      <c r="B26" s="46"/>
      <c r="C26" s="12"/>
    </row>
    <row r="27" spans="1:3" s="44" customFormat="1" ht="13">
      <c r="A27" s="65" t="s">
        <v>14</v>
      </c>
      <c r="B27" s="50">
        <v>0.03</v>
      </c>
      <c r="C27" s="12" t="s">
        <v>92</v>
      </c>
    </row>
    <row r="28" spans="1:3" ht="13">
      <c r="A28" s="65" t="s">
        <v>77</v>
      </c>
      <c r="B28" s="109">
        <f>'Costs details'!B7</f>
        <v>4</v>
      </c>
      <c r="C28" s="12" t="s">
        <v>78</v>
      </c>
    </row>
    <row r="29" spans="1:3" ht="13">
      <c r="A29" s="65" t="s">
        <v>88</v>
      </c>
      <c r="B29" s="109">
        <f>'Costs details'!B22</f>
        <v>3.125</v>
      </c>
      <c r="C29" s="12" t="s">
        <v>78</v>
      </c>
    </row>
    <row r="30" spans="1:3" s="44" customFormat="1" ht="13">
      <c r="A30" s="65" t="s">
        <v>202</v>
      </c>
      <c r="B30" s="109">
        <f>'Costs details'!B36</f>
        <v>14.717045244659452</v>
      </c>
      <c r="C30" s="12" t="s">
        <v>78</v>
      </c>
    </row>
    <row r="31" spans="1:3" s="44" customFormat="1" ht="13">
      <c r="A31" s="65" t="s">
        <v>101</v>
      </c>
      <c r="B31" s="110">
        <f>'Costs details'!B43</f>
        <v>3.9849999999999999</v>
      </c>
      <c r="C31" s="12" t="s">
        <v>78</v>
      </c>
    </row>
    <row r="32" spans="1:3" s="44" customFormat="1" ht="13">
      <c r="A32" s="65" t="s">
        <v>197</v>
      </c>
      <c r="B32" s="109">
        <f>'Costs details'!B50</f>
        <v>9.8441666666666663</v>
      </c>
      <c r="C32" s="12" t="s">
        <v>78</v>
      </c>
    </row>
    <row r="33" spans="1:3" ht="26">
      <c r="A33" s="65" t="s">
        <v>212</v>
      </c>
      <c r="B33" s="52">
        <v>847</v>
      </c>
      <c r="C33">
        <v>38</v>
      </c>
    </row>
    <row r="34" spans="1:3" s="44" customFormat="1" ht="13">
      <c r="A34" s="65"/>
      <c r="B34" s="52"/>
    </row>
    <row r="35" spans="1:3" s="44" customFormat="1" ht="14">
      <c r="A35" s="77" t="s">
        <v>87</v>
      </c>
      <c r="B35" s="52"/>
      <c r="C35" s="12"/>
    </row>
    <row r="36" spans="1:3" ht="13">
      <c r="A36" s="65" t="s">
        <v>103</v>
      </c>
      <c r="B36" s="49">
        <v>0.77500000000000002</v>
      </c>
      <c r="C36" s="12">
        <v>7</v>
      </c>
    </row>
    <row r="37" spans="1:3" ht="13">
      <c r="A37" s="65" t="s">
        <v>107</v>
      </c>
      <c r="B37" s="49">
        <v>0.70399999999999996</v>
      </c>
      <c r="C37">
        <v>7</v>
      </c>
    </row>
    <row r="38" spans="1:3" ht="13">
      <c r="A38" s="65" t="s">
        <v>104</v>
      </c>
      <c r="B38" s="49">
        <v>0.43</v>
      </c>
      <c r="C38">
        <v>16</v>
      </c>
    </row>
    <row r="39" spans="1:3" ht="13">
      <c r="A39" s="65" t="s">
        <v>108</v>
      </c>
      <c r="B39" s="49">
        <v>1</v>
      </c>
      <c r="C39">
        <v>16</v>
      </c>
    </row>
    <row r="40" spans="1:3" ht="13">
      <c r="A40" s="65" t="s">
        <v>105</v>
      </c>
      <c r="B40" s="48">
        <v>0.97599999999999998</v>
      </c>
      <c r="C40">
        <v>17</v>
      </c>
    </row>
    <row r="41" spans="1:3" ht="13">
      <c r="A41" s="65" t="s">
        <v>109</v>
      </c>
      <c r="B41" s="49">
        <v>0.99199999999999999</v>
      </c>
      <c r="C41">
        <v>17</v>
      </c>
    </row>
    <row r="42" spans="1:3" ht="13">
      <c r="A42" s="65" t="s">
        <v>106</v>
      </c>
      <c r="B42" s="49">
        <v>0.49</v>
      </c>
      <c r="C42">
        <v>18</v>
      </c>
    </row>
    <row r="43" spans="1:3" ht="13">
      <c r="A43" s="65" t="s">
        <v>110</v>
      </c>
      <c r="B43" s="49">
        <v>0.9</v>
      </c>
      <c r="C43">
        <v>18</v>
      </c>
    </row>
    <row r="45" spans="1:3" ht="13">
      <c r="A45" s="66"/>
      <c r="B45" s="51"/>
    </row>
    <row r="46" spans="1:3" ht="13">
      <c r="A46" s="65"/>
      <c r="B46" s="51"/>
    </row>
    <row r="47" spans="1:3" ht="13">
      <c r="A47" s="65"/>
      <c r="B47" s="51"/>
    </row>
    <row r="48" spans="1:3" ht="13">
      <c r="A48" s="65"/>
      <c r="B48" s="51"/>
    </row>
    <row r="49" spans="1:3" ht="13">
      <c r="A49" s="65"/>
      <c r="B49" s="51"/>
      <c r="C49" s="1"/>
    </row>
    <row r="50" spans="1:3" ht="13">
      <c r="A50" s="65"/>
      <c r="C50" s="1"/>
    </row>
    <row r="51" spans="1:3" ht="13">
      <c r="A51" s="65"/>
      <c r="C51" s="1"/>
    </row>
    <row r="52" spans="1:3" ht="13">
      <c r="A52" s="65"/>
      <c r="C52" s="1"/>
    </row>
    <row r="53" spans="1:3" ht="13">
      <c r="A53" s="65"/>
      <c r="C53" s="1"/>
    </row>
    <row r="54" spans="1:3" ht="13">
      <c r="A54" s="65"/>
      <c r="C54" s="1"/>
    </row>
    <row r="55" spans="1:3" ht="13">
      <c r="A55" s="65"/>
      <c r="C55" s="1"/>
    </row>
    <row r="56" spans="1:3" ht="13">
      <c r="A56" s="65"/>
      <c r="C56" s="1"/>
    </row>
    <row r="57" spans="1:3" ht="13">
      <c r="A57" s="65"/>
      <c r="C57" s="1"/>
    </row>
    <row r="58" spans="1:3" ht="13">
      <c r="A58" s="65"/>
      <c r="C58" s="1"/>
    </row>
    <row r="59" spans="1:3" ht="13">
      <c r="A59" s="65"/>
      <c r="C59" s="1"/>
    </row>
    <row r="60" spans="1:3" ht="13">
      <c r="A60" s="65"/>
      <c r="C60" s="1"/>
    </row>
    <row r="61" spans="1:3" ht="13">
      <c r="A61" s="65"/>
      <c r="C61" s="1"/>
    </row>
    <row r="62" spans="1:3" ht="13">
      <c r="A62" s="65"/>
      <c r="C62" s="1"/>
    </row>
    <row r="63" spans="1:3" ht="13">
      <c r="A63" s="65"/>
      <c r="C63" s="1"/>
    </row>
    <row r="64" spans="1:3" ht="13">
      <c r="A64" s="65"/>
      <c r="C64" s="1"/>
    </row>
    <row r="65" spans="1:3" ht="13">
      <c r="A65" s="65"/>
      <c r="C65" s="1"/>
    </row>
    <row r="66" spans="1:3" ht="13">
      <c r="A66" s="65"/>
      <c r="C66" s="1"/>
    </row>
    <row r="67" spans="1:3" ht="13">
      <c r="A67" s="65"/>
      <c r="C67" s="1"/>
    </row>
    <row r="68" spans="1:3" ht="13">
      <c r="A68" s="65"/>
      <c r="C68" s="1"/>
    </row>
    <row r="69" spans="1:3" ht="13">
      <c r="A69" s="65"/>
      <c r="C69" s="1"/>
    </row>
    <row r="70" spans="1:3" ht="13">
      <c r="A70" s="65"/>
      <c r="C70" s="1"/>
    </row>
    <row r="71" spans="1:3" ht="13">
      <c r="A71" s="65"/>
      <c r="C71" s="1"/>
    </row>
    <row r="72" spans="1:3" ht="13">
      <c r="A72" s="65"/>
      <c r="C72" s="1"/>
    </row>
    <row r="73" spans="1:3" ht="13">
      <c r="A73" s="65"/>
      <c r="C73" s="1"/>
    </row>
    <row r="74" spans="1:3" ht="13">
      <c r="A74" s="65"/>
      <c r="C74" s="1"/>
    </row>
    <row r="75" spans="1:3" ht="13">
      <c r="A75" s="65"/>
      <c r="C75" s="1"/>
    </row>
    <row r="76" spans="1:3" ht="13">
      <c r="A76" s="65"/>
      <c r="C76" s="1"/>
    </row>
    <row r="77" spans="1:3" ht="13">
      <c r="A77" s="65"/>
      <c r="C77" s="1"/>
    </row>
    <row r="78" spans="1:3" ht="13">
      <c r="A78" s="65"/>
      <c r="C78" s="1"/>
    </row>
    <row r="79" spans="1:3" ht="13">
      <c r="A79" s="65"/>
      <c r="C79" s="1"/>
    </row>
    <row r="80" spans="1:3" ht="13">
      <c r="A80" s="65"/>
      <c r="C80" s="1"/>
    </row>
    <row r="81" spans="1:3" ht="13">
      <c r="A81" s="65"/>
      <c r="C81" s="1"/>
    </row>
    <row r="82" spans="1:3" ht="13">
      <c r="A82" s="65"/>
      <c r="C82" s="1"/>
    </row>
    <row r="83" spans="1:3" ht="13">
      <c r="A83" s="65"/>
      <c r="C83" s="1"/>
    </row>
    <row r="84" spans="1:3" ht="13">
      <c r="A84" s="65"/>
      <c r="C84" s="1"/>
    </row>
    <row r="85" spans="1:3" ht="13">
      <c r="A85" s="65"/>
      <c r="C85" s="1"/>
    </row>
    <row r="86" spans="1:3" ht="13">
      <c r="A86" s="65"/>
      <c r="C86" s="1"/>
    </row>
    <row r="87" spans="1:3" ht="13">
      <c r="A87" s="65"/>
      <c r="C87" s="1"/>
    </row>
    <row r="88" spans="1:3" ht="13">
      <c r="A88" s="65"/>
      <c r="C88" s="1"/>
    </row>
    <row r="89" spans="1:3" ht="13">
      <c r="A89" s="65"/>
      <c r="C89" s="1"/>
    </row>
    <row r="90" spans="1:3" ht="13">
      <c r="A90" s="65"/>
      <c r="C90" s="1"/>
    </row>
    <row r="91" spans="1:3" ht="13">
      <c r="A91" s="65"/>
      <c r="C91" s="1"/>
    </row>
    <row r="92" spans="1:3" ht="13">
      <c r="A92" s="65"/>
      <c r="C92" s="1"/>
    </row>
    <row r="93" spans="1:3" ht="13">
      <c r="A93" s="65"/>
      <c r="C93" s="1"/>
    </row>
    <row r="94" spans="1:3" ht="13">
      <c r="A94" s="65"/>
      <c r="C94" s="1"/>
    </row>
    <row r="95" spans="1:3" ht="13">
      <c r="A95" s="65"/>
      <c r="C95" s="1"/>
    </row>
    <row r="96" spans="1:3" ht="13">
      <c r="A96" s="65"/>
      <c r="C96" s="1"/>
    </row>
    <row r="97" spans="1:3" ht="13">
      <c r="A97" s="65"/>
      <c r="C97" s="1"/>
    </row>
    <row r="98" spans="1:3" ht="13">
      <c r="A98" s="65"/>
      <c r="C98" s="1"/>
    </row>
    <row r="99" spans="1:3" ht="13">
      <c r="A99" s="65"/>
      <c r="C99" s="1"/>
    </row>
    <row r="100" spans="1:3" ht="13">
      <c r="A100" s="65"/>
      <c r="C100" s="1"/>
    </row>
    <row r="101" spans="1:3" ht="13">
      <c r="A101" s="65"/>
      <c r="C101" s="1"/>
    </row>
    <row r="102" spans="1:3" ht="13">
      <c r="A102" s="65"/>
      <c r="C102" s="1"/>
    </row>
    <row r="103" spans="1:3" ht="13">
      <c r="A103" s="65"/>
      <c r="C103" s="1"/>
    </row>
    <row r="104" spans="1:3" ht="13">
      <c r="A104" s="65"/>
      <c r="C104" s="1"/>
    </row>
    <row r="105" spans="1:3" ht="13">
      <c r="A105" s="65"/>
      <c r="C105" s="1"/>
    </row>
    <row r="106" spans="1:3" ht="13">
      <c r="A106" s="65"/>
      <c r="C106" s="1"/>
    </row>
    <row r="107" spans="1:3" ht="13">
      <c r="A107" s="65"/>
      <c r="C107" s="1"/>
    </row>
    <row r="108" spans="1:3" ht="13">
      <c r="A108" s="65"/>
      <c r="C108" s="1"/>
    </row>
    <row r="109" spans="1:3" ht="13">
      <c r="A109" s="65"/>
      <c r="C109" s="1"/>
    </row>
    <row r="110" spans="1:3" ht="13">
      <c r="A110" s="65"/>
      <c r="C110" s="1"/>
    </row>
    <row r="111" spans="1:3" ht="13">
      <c r="A111" s="65"/>
      <c r="C111" s="1"/>
    </row>
    <row r="112" spans="1:3" ht="13">
      <c r="A112" s="65"/>
      <c r="C112" s="1"/>
    </row>
    <row r="113" spans="1:3" ht="13">
      <c r="A113" s="65"/>
      <c r="C113" s="1"/>
    </row>
    <row r="114" spans="1:3" ht="13">
      <c r="A114" s="65"/>
      <c r="C114" s="1"/>
    </row>
    <row r="115" spans="1:3" ht="13">
      <c r="A115" s="65"/>
      <c r="C115" s="1"/>
    </row>
    <row r="116" spans="1:3" ht="13">
      <c r="A116" s="65"/>
      <c r="C116" s="1"/>
    </row>
    <row r="117" spans="1:3" ht="13">
      <c r="A117" s="65"/>
      <c r="C117" s="1"/>
    </row>
    <row r="118" spans="1:3" ht="13">
      <c r="A118" s="65"/>
      <c r="C118" s="1"/>
    </row>
    <row r="119" spans="1:3" ht="13">
      <c r="A119" s="65"/>
      <c r="C119" s="1"/>
    </row>
    <row r="120" spans="1:3" ht="13">
      <c r="A120" s="65"/>
      <c r="C120" s="1"/>
    </row>
    <row r="121" spans="1:3" ht="13">
      <c r="A121" s="65"/>
      <c r="C121" s="1"/>
    </row>
    <row r="122" spans="1:3" ht="13">
      <c r="A122" s="65"/>
      <c r="C122" s="1"/>
    </row>
    <row r="123" spans="1:3" ht="13">
      <c r="A123" s="65"/>
      <c r="C123" s="1"/>
    </row>
    <row r="124" spans="1:3" ht="13">
      <c r="A124" s="65"/>
      <c r="C124" s="1"/>
    </row>
    <row r="125" spans="1:3" ht="13">
      <c r="A125" s="65"/>
      <c r="C125" s="1"/>
    </row>
    <row r="126" spans="1:3" ht="13">
      <c r="A126" s="65"/>
      <c r="C126" s="1"/>
    </row>
    <row r="127" spans="1:3" ht="13">
      <c r="A127" s="65"/>
      <c r="C127" s="1"/>
    </row>
    <row r="128" spans="1:3" ht="13">
      <c r="A128" s="65"/>
      <c r="C128" s="1"/>
    </row>
    <row r="129" spans="1:3" ht="13">
      <c r="A129" s="65"/>
      <c r="C129" s="1"/>
    </row>
    <row r="130" spans="1:3" ht="13">
      <c r="A130" s="65"/>
      <c r="C130" s="1"/>
    </row>
    <row r="131" spans="1:3" ht="13">
      <c r="A131" s="65"/>
      <c r="C131" s="1"/>
    </row>
    <row r="132" spans="1:3" ht="13">
      <c r="A132" s="65"/>
      <c r="C132" s="1"/>
    </row>
    <row r="133" spans="1:3" ht="13">
      <c r="A133" s="65"/>
      <c r="C133" s="1"/>
    </row>
    <row r="134" spans="1:3" ht="13">
      <c r="A134" s="65"/>
      <c r="C134" s="1"/>
    </row>
    <row r="135" spans="1:3" ht="13">
      <c r="A135" s="65"/>
      <c r="C135" s="1"/>
    </row>
    <row r="136" spans="1:3" ht="13">
      <c r="A136" s="65"/>
      <c r="C136" s="1"/>
    </row>
    <row r="137" spans="1:3" ht="13">
      <c r="A137" s="65"/>
      <c r="C137" s="1"/>
    </row>
    <row r="138" spans="1:3" ht="13">
      <c r="A138" s="65"/>
      <c r="C138" s="1"/>
    </row>
    <row r="139" spans="1:3" ht="13">
      <c r="A139" s="65"/>
      <c r="C139" s="1"/>
    </row>
    <row r="140" spans="1:3" ht="13">
      <c r="A140" s="65"/>
      <c r="C140" s="1"/>
    </row>
    <row r="141" spans="1:3" ht="13">
      <c r="A141" s="65"/>
      <c r="C141" s="1"/>
    </row>
    <row r="142" spans="1:3" ht="13">
      <c r="A142" s="65"/>
      <c r="C142" s="1"/>
    </row>
    <row r="143" spans="1:3" ht="13">
      <c r="A143" s="65"/>
      <c r="C143" s="1"/>
    </row>
    <row r="144" spans="1:3" ht="13">
      <c r="A144" s="65"/>
      <c r="C144" s="1"/>
    </row>
    <row r="145" spans="1:3" ht="13">
      <c r="A145" s="65"/>
      <c r="C145" s="1"/>
    </row>
    <row r="146" spans="1:3" ht="13">
      <c r="A146" s="65"/>
      <c r="C146" s="1"/>
    </row>
    <row r="147" spans="1:3" ht="13">
      <c r="A147" s="65"/>
      <c r="C147" s="1"/>
    </row>
    <row r="148" spans="1:3" ht="13">
      <c r="A148" s="65"/>
      <c r="C148" s="1"/>
    </row>
    <row r="149" spans="1:3" ht="13">
      <c r="A149" s="65"/>
      <c r="C149" s="1"/>
    </row>
    <row r="150" spans="1:3" ht="13">
      <c r="A150" s="65"/>
      <c r="C150" s="1"/>
    </row>
    <row r="151" spans="1:3" ht="13">
      <c r="A151" s="65"/>
      <c r="C151" s="1"/>
    </row>
    <row r="152" spans="1:3" ht="13">
      <c r="A152" s="65"/>
      <c r="C152" s="1"/>
    </row>
    <row r="153" spans="1:3" ht="13">
      <c r="A153" s="65"/>
      <c r="C153" s="1"/>
    </row>
    <row r="154" spans="1:3" ht="13">
      <c r="A154" s="65"/>
      <c r="C154" s="1"/>
    </row>
    <row r="155" spans="1:3" ht="13">
      <c r="A155" s="65"/>
      <c r="C155" s="1"/>
    </row>
    <row r="156" spans="1:3" ht="13">
      <c r="A156" s="65"/>
      <c r="C156" s="1"/>
    </row>
    <row r="157" spans="1:3" ht="13">
      <c r="A157" s="65"/>
      <c r="C157" s="1"/>
    </row>
    <row r="158" spans="1:3" ht="13">
      <c r="A158" s="65"/>
      <c r="C158" s="1"/>
    </row>
    <row r="159" spans="1:3" ht="13">
      <c r="A159" s="65"/>
      <c r="C159" s="1"/>
    </row>
    <row r="160" spans="1:3" ht="13">
      <c r="A160" s="65"/>
      <c r="C160" s="1"/>
    </row>
    <row r="161" spans="1:3" ht="13">
      <c r="A161" s="65"/>
      <c r="C161" s="1"/>
    </row>
    <row r="162" spans="1:3" ht="13">
      <c r="A162" s="65"/>
      <c r="C162" s="1"/>
    </row>
    <row r="163" spans="1:3" ht="13">
      <c r="A163" s="65"/>
      <c r="C163" s="1"/>
    </row>
    <row r="164" spans="1:3" ht="13">
      <c r="A164" s="65"/>
      <c r="C164" s="1"/>
    </row>
    <row r="165" spans="1:3" ht="13">
      <c r="A165" s="65"/>
      <c r="C165" s="1"/>
    </row>
    <row r="166" spans="1:3" ht="13">
      <c r="A166" s="65"/>
      <c r="C166" s="1"/>
    </row>
    <row r="167" spans="1:3" ht="13">
      <c r="A167" s="65"/>
      <c r="C167" s="1"/>
    </row>
    <row r="168" spans="1:3" ht="13">
      <c r="A168" s="65"/>
      <c r="C168" s="1"/>
    </row>
    <row r="169" spans="1:3" ht="13">
      <c r="A169" s="65"/>
      <c r="C169" s="1"/>
    </row>
    <row r="170" spans="1:3" ht="13">
      <c r="A170" s="65"/>
      <c r="C170" s="1"/>
    </row>
    <row r="171" spans="1:3" ht="13">
      <c r="A171" s="65"/>
      <c r="C171" s="1"/>
    </row>
    <row r="172" spans="1:3" ht="13">
      <c r="A172" s="65"/>
      <c r="C172" s="1"/>
    </row>
    <row r="173" spans="1:3" ht="13">
      <c r="A173" s="65"/>
      <c r="C173" s="1"/>
    </row>
    <row r="174" spans="1:3" ht="13">
      <c r="A174" s="65"/>
      <c r="C174" s="1"/>
    </row>
    <row r="175" spans="1:3" ht="13">
      <c r="A175" s="65"/>
      <c r="C175" s="1"/>
    </row>
    <row r="176" spans="1:3" ht="13">
      <c r="A176" s="65"/>
      <c r="C176" s="1"/>
    </row>
    <row r="177" spans="1:3" ht="13">
      <c r="A177" s="65"/>
      <c r="C177" s="1"/>
    </row>
    <row r="178" spans="1:3" ht="13">
      <c r="A178" s="65"/>
      <c r="C178" s="1"/>
    </row>
    <row r="179" spans="1:3" ht="13">
      <c r="A179" s="65"/>
      <c r="C179" s="1"/>
    </row>
    <row r="180" spans="1:3" ht="13">
      <c r="A180" s="65"/>
      <c r="C180" s="1"/>
    </row>
    <row r="181" spans="1:3" ht="13">
      <c r="A181" s="65"/>
      <c r="C181" s="1"/>
    </row>
    <row r="182" spans="1:3" ht="13">
      <c r="A182" s="65"/>
      <c r="C182" s="1"/>
    </row>
    <row r="183" spans="1:3" ht="13">
      <c r="A183" s="65"/>
      <c r="C183" s="1"/>
    </row>
    <row r="184" spans="1:3" ht="13">
      <c r="A184" s="65"/>
      <c r="C184" s="1"/>
    </row>
    <row r="185" spans="1:3" ht="13">
      <c r="A185" s="65"/>
      <c r="C185" s="1"/>
    </row>
    <row r="186" spans="1:3" ht="13">
      <c r="A186" s="65"/>
      <c r="C186" s="1"/>
    </row>
    <row r="187" spans="1:3" ht="13">
      <c r="A187" s="65"/>
      <c r="C187" s="1"/>
    </row>
    <row r="188" spans="1:3" ht="13">
      <c r="A188" s="65"/>
      <c r="C188" s="1"/>
    </row>
    <row r="189" spans="1:3" ht="13">
      <c r="A189" s="65"/>
      <c r="C189" s="1"/>
    </row>
    <row r="190" spans="1:3" ht="13">
      <c r="A190" s="65"/>
      <c r="C190" s="1"/>
    </row>
    <row r="191" spans="1:3" ht="13">
      <c r="A191" s="65"/>
      <c r="C191" s="1"/>
    </row>
    <row r="192" spans="1:3" ht="13">
      <c r="A192" s="65"/>
      <c r="C192" s="1"/>
    </row>
    <row r="193" spans="1:3" ht="13">
      <c r="A193" s="65"/>
      <c r="C193" s="1"/>
    </row>
    <row r="194" spans="1:3" ht="13">
      <c r="A194" s="65"/>
      <c r="C194" s="1"/>
    </row>
    <row r="195" spans="1:3" ht="13">
      <c r="A195" s="65"/>
      <c r="C195" s="1"/>
    </row>
    <row r="196" spans="1:3" ht="13">
      <c r="A196" s="65"/>
      <c r="C196" s="1"/>
    </row>
    <row r="197" spans="1:3" ht="13">
      <c r="A197" s="65"/>
      <c r="C197" s="1"/>
    </row>
    <row r="198" spans="1:3" ht="13">
      <c r="A198" s="65"/>
      <c r="C198" s="1"/>
    </row>
    <row r="199" spans="1:3" ht="13">
      <c r="A199" s="65"/>
      <c r="C199" s="1"/>
    </row>
    <row r="200" spans="1:3" ht="13">
      <c r="A200" s="65"/>
      <c r="C200" s="1"/>
    </row>
    <row r="201" spans="1:3" ht="13">
      <c r="A201" s="65"/>
      <c r="C201" s="1"/>
    </row>
    <row r="202" spans="1:3" ht="13">
      <c r="A202" s="65"/>
      <c r="C202" s="1"/>
    </row>
    <row r="203" spans="1:3" ht="13">
      <c r="A203" s="65"/>
      <c r="C203" s="1"/>
    </row>
    <row r="204" spans="1:3" ht="13">
      <c r="A204" s="65"/>
      <c r="C204" s="1"/>
    </row>
    <row r="205" spans="1:3" ht="13">
      <c r="A205" s="65"/>
      <c r="C205" s="1"/>
    </row>
    <row r="206" spans="1:3" ht="13">
      <c r="A206" s="65"/>
      <c r="C206" s="1"/>
    </row>
    <row r="207" spans="1:3" ht="13">
      <c r="A207" s="65"/>
      <c r="C207" s="1"/>
    </row>
    <row r="208" spans="1:3" ht="13">
      <c r="A208" s="65"/>
      <c r="C208" s="1"/>
    </row>
    <row r="209" spans="1:3" ht="13">
      <c r="A209" s="65"/>
      <c r="C209" s="1"/>
    </row>
    <row r="210" spans="1:3" ht="13">
      <c r="A210" s="65"/>
      <c r="C210" s="1"/>
    </row>
    <row r="211" spans="1:3" ht="13">
      <c r="A211" s="65"/>
      <c r="C211" s="1"/>
    </row>
    <row r="212" spans="1:3" ht="13">
      <c r="A212" s="65"/>
      <c r="C212" s="1"/>
    </row>
    <row r="213" spans="1:3" ht="13">
      <c r="A213" s="65"/>
      <c r="C213" s="1"/>
    </row>
    <row r="214" spans="1:3" ht="13">
      <c r="A214" s="65"/>
      <c r="C214" s="1"/>
    </row>
    <row r="215" spans="1:3" ht="13">
      <c r="A215" s="65"/>
      <c r="C215" s="1"/>
    </row>
    <row r="216" spans="1:3" ht="13">
      <c r="A216" s="65"/>
      <c r="C216" s="1"/>
    </row>
    <row r="217" spans="1:3" ht="13">
      <c r="A217" s="65"/>
      <c r="C217" s="1"/>
    </row>
    <row r="218" spans="1:3" ht="13">
      <c r="A218" s="65"/>
      <c r="C218" s="1"/>
    </row>
    <row r="219" spans="1:3" ht="13">
      <c r="A219" s="65"/>
      <c r="C219" s="1"/>
    </row>
    <row r="220" spans="1:3" ht="13">
      <c r="A220" s="65"/>
      <c r="C220" s="1"/>
    </row>
    <row r="221" spans="1:3" ht="13">
      <c r="A221" s="65"/>
      <c r="C221" s="1"/>
    </row>
    <row r="222" spans="1:3" ht="13">
      <c r="A222" s="65"/>
      <c r="C222" s="1"/>
    </row>
    <row r="223" spans="1:3" ht="13">
      <c r="A223" s="65"/>
      <c r="C223" s="1"/>
    </row>
    <row r="224" spans="1:3" ht="13">
      <c r="A224" s="65"/>
      <c r="C224" s="1"/>
    </row>
    <row r="225" spans="1:3" ht="13">
      <c r="A225" s="65"/>
      <c r="C225" s="1"/>
    </row>
    <row r="226" spans="1:3" ht="13">
      <c r="A226" s="65"/>
      <c r="C226" s="1"/>
    </row>
    <row r="227" spans="1:3" ht="13">
      <c r="A227" s="65"/>
      <c r="C227" s="1"/>
    </row>
    <row r="228" spans="1:3" ht="13">
      <c r="A228" s="65"/>
      <c r="C228" s="1"/>
    </row>
    <row r="229" spans="1:3" ht="13">
      <c r="A229" s="65"/>
      <c r="C229" s="1"/>
    </row>
    <row r="230" spans="1:3" ht="13">
      <c r="A230" s="65"/>
      <c r="C230" s="1"/>
    </row>
    <row r="231" spans="1:3" ht="13">
      <c r="A231" s="65"/>
      <c r="C231" s="1"/>
    </row>
    <row r="232" spans="1:3" ht="13">
      <c r="A232" s="65"/>
      <c r="C232" s="1"/>
    </row>
    <row r="233" spans="1:3" ht="13">
      <c r="A233" s="65"/>
      <c r="C233" s="1"/>
    </row>
    <row r="234" spans="1:3" ht="13">
      <c r="A234" s="65"/>
      <c r="C234" s="1"/>
    </row>
    <row r="235" spans="1:3" ht="13">
      <c r="A235" s="65"/>
      <c r="C235" s="1"/>
    </row>
    <row r="236" spans="1:3" ht="13">
      <c r="A236" s="65"/>
      <c r="C236" s="1"/>
    </row>
    <row r="237" spans="1:3" ht="13">
      <c r="A237" s="65"/>
      <c r="C237" s="1"/>
    </row>
    <row r="238" spans="1:3" ht="13">
      <c r="A238" s="65"/>
      <c r="C238" s="1"/>
    </row>
    <row r="239" spans="1:3" ht="13">
      <c r="A239" s="65"/>
      <c r="C239" s="1"/>
    </row>
    <row r="240" spans="1:3" ht="13">
      <c r="A240" s="65"/>
      <c r="C240" s="1"/>
    </row>
    <row r="241" spans="1:3" ht="13">
      <c r="A241" s="65"/>
      <c r="C241" s="1"/>
    </row>
    <row r="242" spans="1:3" ht="13">
      <c r="A242" s="65"/>
      <c r="C242" s="1"/>
    </row>
    <row r="243" spans="1:3" ht="13">
      <c r="A243" s="65"/>
      <c r="C243" s="1"/>
    </row>
    <row r="244" spans="1:3" ht="13">
      <c r="A244" s="65"/>
      <c r="C244" s="1"/>
    </row>
    <row r="245" spans="1:3" ht="13">
      <c r="A245" s="65"/>
      <c r="C245" s="1"/>
    </row>
    <row r="246" spans="1:3" ht="13">
      <c r="A246" s="65"/>
      <c r="C246" s="1"/>
    </row>
    <row r="247" spans="1:3" ht="13">
      <c r="A247" s="65"/>
      <c r="C247" s="1"/>
    </row>
    <row r="248" spans="1:3" ht="13">
      <c r="A248" s="65"/>
      <c r="C248" s="1"/>
    </row>
    <row r="249" spans="1:3" ht="13">
      <c r="A249" s="65"/>
      <c r="C249" s="1"/>
    </row>
    <row r="250" spans="1:3" ht="13">
      <c r="A250" s="65"/>
      <c r="C250" s="1"/>
    </row>
    <row r="251" spans="1:3" ht="13">
      <c r="A251" s="65"/>
      <c r="C251" s="1"/>
    </row>
    <row r="252" spans="1:3" ht="13">
      <c r="A252" s="65"/>
      <c r="C252" s="1"/>
    </row>
    <row r="253" spans="1:3" ht="13">
      <c r="A253" s="65"/>
      <c r="C253" s="1"/>
    </row>
    <row r="254" spans="1:3" ht="13">
      <c r="A254" s="65"/>
      <c r="C254" s="1"/>
    </row>
    <row r="255" spans="1:3" ht="13">
      <c r="A255" s="65"/>
      <c r="C255" s="1"/>
    </row>
    <row r="256" spans="1:3" ht="13">
      <c r="A256" s="65"/>
      <c r="C256" s="1"/>
    </row>
    <row r="257" spans="1:3" ht="13">
      <c r="A257" s="65"/>
      <c r="C257" s="1"/>
    </row>
    <row r="258" spans="1:3" ht="13">
      <c r="A258" s="65"/>
      <c r="C258" s="1"/>
    </row>
    <row r="259" spans="1:3" ht="13">
      <c r="A259" s="65"/>
      <c r="C259" s="1"/>
    </row>
    <row r="260" spans="1:3" ht="13">
      <c r="A260" s="65"/>
      <c r="C260" s="1"/>
    </row>
    <row r="261" spans="1:3" ht="13">
      <c r="A261" s="65"/>
      <c r="C261" s="1"/>
    </row>
    <row r="262" spans="1:3" ht="13">
      <c r="A262" s="65"/>
      <c r="C262" s="1"/>
    </row>
    <row r="263" spans="1:3" ht="13">
      <c r="A263" s="65"/>
      <c r="C263" s="1"/>
    </row>
    <row r="264" spans="1:3" ht="13">
      <c r="A264" s="65"/>
      <c r="C264" s="1"/>
    </row>
    <row r="265" spans="1:3" ht="13">
      <c r="A265" s="65"/>
      <c r="C265" s="1"/>
    </row>
    <row r="266" spans="1:3" ht="13">
      <c r="A266" s="65"/>
      <c r="C266" s="1"/>
    </row>
    <row r="267" spans="1:3" ht="13">
      <c r="A267" s="65"/>
      <c r="C267" s="1"/>
    </row>
    <row r="268" spans="1:3" ht="13">
      <c r="A268" s="65"/>
      <c r="C268" s="1"/>
    </row>
    <row r="269" spans="1:3" ht="13">
      <c r="A269" s="65"/>
      <c r="C269" s="1"/>
    </row>
    <row r="270" spans="1:3" ht="13">
      <c r="A270" s="65"/>
      <c r="C270" s="1"/>
    </row>
    <row r="271" spans="1:3" ht="13">
      <c r="A271" s="65"/>
      <c r="C271" s="1"/>
    </row>
    <row r="272" spans="1:3" ht="13">
      <c r="A272" s="65"/>
      <c r="C272" s="1"/>
    </row>
    <row r="273" spans="1:3" ht="13">
      <c r="A273" s="65"/>
      <c r="C273" s="1"/>
    </row>
    <row r="274" spans="1:3" ht="13">
      <c r="A274" s="65"/>
      <c r="C274" s="1"/>
    </row>
    <row r="275" spans="1:3" ht="13">
      <c r="A275" s="65"/>
      <c r="C275" s="1"/>
    </row>
    <row r="276" spans="1:3" ht="13">
      <c r="A276" s="65"/>
      <c r="C276" s="1"/>
    </row>
    <row r="277" spans="1:3" ht="13">
      <c r="A277" s="65"/>
      <c r="C277" s="1"/>
    </row>
    <row r="278" spans="1:3" ht="13">
      <c r="A278" s="65"/>
      <c r="C278" s="1"/>
    </row>
    <row r="279" spans="1:3" ht="13">
      <c r="A279" s="65"/>
      <c r="C279" s="1"/>
    </row>
    <row r="280" spans="1:3" ht="13">
      <c r="A280" s="65"/>
      <c r="C280" s="1"/>
    </row>
    <row r="281" spans="1:3" ht="13">
      <c r="A281" s="65"/>
      <c r="C281" s="1"/>
    </row>
    <row r="282" spans="1:3" ht="13">
      <c r="A282" s="65"/>
      <c r="C282" s="1"/>
    </row>
    <row r="283" spans="1:3" ht="13">
      <c r="A283" s="65"/>
      <c r="C283" s="1"/>
    </row>
    <row r="284" spans="1:3" ht="13">
      <c r="A284" s="65"/>
      <c r="C284" s="1"/>
    </row>
    <row r="285" spans="1:3" ht="13">
      <c r="A285" s="65"/>
      <c r="C285" s="1"/>
    </row>
    <row r="286" spans="1:3" ht="13">
      <c r="A286" s="65"/>
      <c r="C286" s="1"/>
    </row>
    <row r="287" spans="1:3" ht="13">
      <c r="A287" s="65"/>
      <c r="C287" s="1"/>
    </row>
    <row r="288" spans="1:3" ht="13">
      <c r="A288" s="65"/>
      <c r="C288" s="1"/>
    </row>
    <row r="289" spans="1:3" ht="13">
      <c r="A289" s="65"/>
      <c r="C289" s="1"/>
    </row>
    <row r="290" spans="1:3" ht="13">
      <c r="A290" s="65"/>
      <c r="C290" s="1"/>
    </row>
    <row r="291" spans="1:3" ht="13">
      <c r="A291" s="65"/>
      <c r="C291" s="1"/>
    </row>
    <row r="292" spans="1:3" ht="13">
      <c r="A292" s="65"/>
      <c r="C292" s="1"/>
    </row>
    <row r="293" spans="1:3" ht="13">
      <c r="A293" s="65"/>
      <c r="C293" s="1"/>
    </row>
    <row r="294" spans="1:3" ht="13">
      <c r="A294" s="65"/>
      <c r="C294" s="1"/>
    </row>
    <row r="295" spans="1:3" ht="13">
      <c r="A295" s="65"/>
      <c r="C295" s="1"/>
    </row>
    <row r="296" spans="1:3" ht="13">
      <c r="A296" s="65"/>
      <c r="C296" s="1"/>
    </row>
    <row r="297" spans="1:3" ht="13">
      <c r="A297" s="65"/>
      <c r="C297" s="1"/>
    </row>
    <row r="298" spans="1:3" ht="13">
      <c r="A298" s="65"/>
      <c r="C298" s="1"/>
    </row>
    <row r="299" spans="1:3" ht="13">
      <c r="A299" s="65"/>
      <c r="C299" s="1"/>
    </row>
    <row r="300" spans="1:3" ht="13">
      <c r="A300" s="65"/>
      <c r="C300" s="1"/>
    </row>
    <row r="301" spans="1:3" ht="13">
      <c r="A301" s="65"/>
      <c r="C301" s="1"/>
    </row>
    <row r="302" spans="1:3" ht="13">
      <c r="A302" s="65"/>
      <c r="C302" s="1"/>
    </row>
    <row r="303" spans="1:3" ht="13">
      <c r="A303" s="65"/>
      <c r="C303" s="1"/>
    </row>
    <row r="304" spans="1:3" ht="13">
      <c r="A304" s="65"/>
      <c r="C304" s="1"/>
    </row>
    <row r="305" spans="1:3" ht="13">
      <c r="A305" s="65"/>
      <c r="C305" s="1"/>
    </row>
    <row r="306" spans="1:3" ht="13">
      <c r="A306" s="65"/>
      <c r="C306" s="1"/>
    </row>
    <row r="307" spans="1:3" ht="13">
      <c r="A307" s="65"/>
      <c r="C307" s="1"/>
    </row>
    <row r="308" spans="1:3" ht="13">
      <c r="A308" s="65"/>
      <c r="C308" s="1"/>
    </row>
    <row r="309" spans="1:3" ht="13">
      <c r="A309" s="65"/>
      <c r="C309" s="1"/>
    </row>
    <row r="310" spans="1:3" ht="13">
      <c r="A310" s="65"/>
      <c r="C310" s="1"/>
    </row>
    <row r="311" spans="1:3" ht="13">
      <c r="A311" s="65"/>
      <c r="C311" s="1"/>
    </row>
    <row r="312" spans="1:3" ht="13">
      <c r="A312" s="65"/>
      <c r="C312" s="1"/>
    </row>
    <row r="313" spans="1:3" ht="13">
      <c r="A313" s="65"/>
      <c r="C313" s="1"/>
    </row>
    <row r="314" spans="1:3" ht="13">
      <c r="A314" s="65"/>
      <c r="C314" s="1"/>
    </row>
    <row r="315" spans="1:3" ht="13">
      <c r="A315" s="65"/>
      <c r="C315" s="1"/>
    </row>
    <row r="316" spans="1:3" ht="13">
      <c r="A316" s="65"/>
      <c r="C316" s="1"/>
    </row>
    <row r="317" spans="1:3" ht="13">
      <c r="A317" s="65"/>
      <c r="C317" s="1"/>
    </row>
    <row r="318" spans="1:3" ht="13">
      <c r="A318" s="65"/>
      <c r="C318" s="1"/>
    </row>
    <row r="319" spans="1:3" ht="13">
      <c r="A319" s="65"/>
      <c r="C319" s="1"/>
    </row>
    <row r="320" spans="1:3" ht="13">
      <c r="A320" s="65"/>
      <c r="C320" s="1"/>
    </row>
    <row r="321" spans="1:3" ht="13">
      <c r="A321" s="65"/>
      <c r="C321" s="1"/>
    </row>
    <row r="322" spans="1:3" ht="13">
      <c r="A322" s="65"/>
      <c r="C322" s="1"/>
    </row>
    <row r="323" spans="1:3" ht="13">
      <c r="A323" s="65"/>
      <c r="C323" s="1"/>
    </row>
    <row r="324" spans="1:3" ht="13">
      <c r="A324" s="65"/>
      <c r="C324" s="1"/>
    </row>
    <row r="325" spans="1:3" ht="13">
      <c r="A325" s="65"/>
      <c r="C325" s="1"/>
    </row>
    <row r="326" spans="1:3" ht="13">
      <c r="A326" s="65"/>
      <c r="C326" s="1"/>
    </row>
    <row r="327" spans="1:3" ht="13">
      <c r="A327" s="65"/>
      <c r="C327" s="1"/>
    </row>
    <row r="328" spans="1:3" ht="13">
      <c r="A328" s="65"/>
      <c r="C328" s="1"/>
    </row>
    <row r="329" spans="1:3" ht="13">
      <c r="A329" s="65"/>
      <c r="C329" s="1"/>
    </row>
    <row r="330" spans="1:3" ht="13">
      <c r="A330" s="65"/>
      <c r="C330" s="1"/>
    </row>
    <row r="331" spans="1:3" ht="13">
      <c r="A331" s="65"/>
      <c r="C331" s="1"/>
    </row>
    <row r="332" spans="1:3" ht="13">
      <c r="A332" s="65"/>
      <c r="C332" s="1"/>
    </row>
    <row r="333" spans="1:3" ht="13">
      <c r="A333" s="65"/>
      <c r="C333" s="1"/>
    </row>
    <row r="334" spans="1:3" ht="13">
      <c r="A334" s="65"/>
      <c r="C334" s="1"/>
    </row>
    <row r="335" spans="1:3" ht="13">
      <c r="A335" s="65"/>
      <c r="C335" s="1"/>
    </row>
    <row r="336" spans="1:3" ht="13">
      <c r="A336" s="65"/>
      <c r="C336" s="1"/>
    </row>
    <row r="337" spans="1:3" ht="13">
      <c r="A337" s="65"/>
      <c r="C337" s="1"/>
    </row>
    <row r="338" spans="1:3" ht="13">
      <c r="A338" s="65"/>
      <c r="C338" s="1"/>
    </row>
    <row r="339" spans="1:3" ht="13">
      <c r="A339" s="65"/>
      <c r="C339" s="1"/>
    </row>
    <row r="340" spans="1:3" ht="13">
      <c r="A340" s="65"/>
      <c r="C340" s="1"/>
    </row>
    <row r="341" spans="1:3" ht="13">
      <c r="A341" s="65"/>
      <c r="C341" s="1"/>
    </row>
    <row r="342" spans="1:3" ht="13">
      <c r="A342" s="65"/>
      <c r="C342" s="1"/>
    </row>
    <row r="343" spans="1:3" ht="13">
      <c r="A343" s="65"/>
      <c r="C343" s="1"/>
    </row>
    <row r="344" spans="1:3" ht="13">
      <c r="A344" s="65"/>
      <c r="C344" s="1"/>
    </row>
    <row r="345" spans="1:3" ht="13">
      <c r="A345" s="65"/>
      <c r="C345" s="1"/>
    </row>
    <row r="346" spans="1:3" ht="13">
      <c r="A346" s="65"/>
      <c r="C346" s="1"/>
    </row>
    <row r="347" spans="1:3" ht="13">
      <c r="A347" s="65"/>
      <c r="C347" s="1"/>
    </row>
    <row r="348" spans="1:3" ht="13">
      <c r="A348" s="65"/>
      <c r="C348" s="1"/>
    </row>
    <row r="349" spans="1:3" ht="13">
      <c r="A349" s="65"/>
      <c r="C349" s="1"/>
    </row>
    <row r="350" spans="1:3" ht="13">
      <c r="A350" s="65"/>
      <c r="C350" s="1"/>
    </row>
    <row r="351" spans="1:3" ht="13">
      <c r="A351" s="65"/>
      <c r="C351" s="1"/>
    </row>
    <row r="352" spans="1:3" ht="13">
      <c r="A352" s="65"/>
      <c r="C352" s="1"/>
    </row>
    <row r="353" spans="1:3" ht="13">
      <c r="A353" s="65"/>
      <c r="C353" s="1"/>
    </row>
    <row r="354" spans="1:3" ht="13">
      <c r="A354" s="65"/>
      <c r="C354" s="1"/>
    </row>
    <row r="355" spans="1:3" ht="13">
      <c r="A355" s="65"/>
      <c r="C355" s="1"/>
    </row>
    <row r="356" spans="1:3" ht="13">
      <c r="A356" s="65"/>
      <c r="C356" s="1"/>
    </row>
    <row r="357" spans="1:3" ht="13">
      <c r="A357" s="65"/>
      <c r="C357" s="1"/>
    </row>
    <row r="358" spans="1:3" ht="13">
      <c r="A358" s="65"/>
      <c r="C358" s="1"/>
    </row>
    <row r="359" spans="1:3" ht="13">
      <c r="A359" s="65"/>
      <c r="C359" s="1"/>
    </row>
    <row r="360" spans="1:3" ht="13">
      <c r="A360" s="65"/>
      <c r="C360" s="1"/>
    </row>
    <row r="361" spans="1:3" ht="13">
      <c r="A361" s="65"/>
      <c r="C361" s="1"/>
    </row>
    <row r="362" spans="1:3" ht="13">
      <c r="A362" s="65"/>
      <c r="C362" s="1"/>
    </row>
    <row r="363" spans="1:3" ht="13">
      <c r="A363" s="65"/>
      <c r="C363" s="1"/>
    </row>
    <row r="364" spans="1:3" ht="13">
      <c r="A364" s="65"/>
      <c r="C364" s="1"/>
    </row>
    <row r="365" spans="1:3" ht="13">
      <c r="A365" s="65"/>
      <c r="C365" s="1"/>
    </row>
    <row r="366" spans="1:3" ht="13">
      <c r="A366" s="65"/>
      <c r="C366" s="1"/>
    </row>
    <row r="367" spans="1:3" ht="13">
      <c r="A367" s="65"/>
      <c r="C367" s="1"/>
    </row>
    <row r="368" spans="1:3" ht="13">
      <c r="A368" s="65"/>
      <c r="C368" s="1"/>
    </row>
    <row r="369" spans="1:3" ht="13">
      <c r="A369" s="65"/>
      <c r="C369" s="1"/>
    </row>
    <row r="370" spans="1:3" ht="13">
      <c r="A370" s="65"/>
      <c r="C370" s="1"/>
    </row>
    <row r="371" spans="1:3" ht="13">
      <c r="A371" s="65"/>
      <c r="C371" s="1"/>
    </row>
    <row r="372" spans="1:3" ht="13">
      <c r="A372" s="65"/>
      <c r="C372" s="1"/>
    </row>
    <row r="373" spans="1:3" ht="13">
      <c r="A373" s="65"/>
      <c r="C373" s="1"/>
    </row>
    <row r="374" spans="1:3" ht="13">
      <c r="A374" s="65"/>
      <c r="C374" s="1"/>
    </row>
    <row r="375" spans="1:3" ht="13">
      <c r="A375" s="65"/>
      <c r="C375" s="1"/>
    </row>
    <row r="376" spans="1:3" ht="13">
      <c r="A376" s="65"/>
      <c r="C376" s="1"/>
    </row>
    <row r="377" spans="1:3" ht="13">
      <c r="A377" s="65"/>
      <c r="C377" s="1"/>
    </row>
    <row r="378" spans="1:3" ht="13">
      <c r="A378" s="65"/>
      <c r="C378" s="1"/>
    </row>
    <row r="379" spans="1:3" ht="13">
      <c r="A379" s="65"/>
      <c r="C379" s="1"/>
    </row>
    <row r="380" spans="1:3" ht="13">
      <c r="A380" s="65"/>
      <c r="C380" s="1"/>
    </row>
    <row r="381" spans="1:3" ht="13">
      <c r="A381" s="65"/>
      <c r="C381" s="1"/>
    </row>
    <row r="382" spans="1:3" ht="13">
      <c r="A382" s="65"/>
      <c r="C382" s="1"/>
    </row>
    <row r="383" spans="1:3" ht="13">
      <c r="A383" s="65"/>
      <c r="C383" s="1"/>
    </row>
    <row r="384" spans="1:3" ht="13">
      <c r="A384" s="65"/>
      <c r="C384" s="1"/>
    </row>
    <row r="385" spans="1:3" ht="13">
      <c r="A385" s="65"/>
      <c r="C385" s="1"/>
    </row>
    <row r="386" spans="1:3" ht="13">
      <c r="A386" s="65"/>
      <c r="C386" s="1"/>
    </row>
    <row r="387" spans="1:3" ht="13">
      <c r="A387" s="65"/>
      <c r="C387" s="1"/>
    </row>
    <row r="388" spans="1:3" ht="13">
      <c r="A388" s="65"/>
      <c r="C388" s="1"/>
    </row>
    <row r="389" spans="1:3" ht="13">
      <c r="A389" s="65"/>
      <c r="C389" s="1"/>
    </row>
    <row r="390" spans="1:3" ht="13">
      <c r="A390" s="65"/>
      <c r="C390" s="1"/>
    </row>
    <row r="391" spans="1:3" ht="13">
      <c r="A391" s="65"/>
      <c r="C391" s="1"/>
    </row>
    <row r="392" spans="1:3" ht="13">
      <c r="A392" s="65"/>
      <c r="C392" s="1"/>
    </row>
    <row r="393" spans="1:3" ht="13">
      <c r="A393" s="65"/>
      <c r="C393" s="1"/>
    </row>
    <row r="394" spans="1:3" ht="13">
      <c r="A394" s="65"/>
      <c r="C394" s="1"/>
    </row>
    <row r="395" spans="1:3" ht="13">
      <c r="A395" s="65"/>
      <c r="C395" s="1"/>
    </row>
    <row r="396" spans="1:3" ht="13">
      <c r="A396" s="65"/>
      <c r="C396" s="1"/>
    </row>
    <row r="397" spans="1:3" ht="13">
      <c r="A397" s="65"/>
      <c r="C397" s="1"/>
    </row>
    <row r="398" spans="1:3" ht="13">
      <c r="A398" s="65"/>
      <c r="C398" s="1"/>
    </row>
    <row r="399" spans="1:3" ht="13">
      <c r="A399" s="65"/>
      <c r="C399" s="1"/>
    </row>
    <row r="400" spans="1:3" ht="13">
      <c r="A400" s="65"/>
      <c r="C400" s="1"/>
    </row>
    <row r="401" spans="1:3" ht="13">
      <c r="A401" s="65"/>
      <c r="C401" s="1"/>
    </row>
    <row r="402" spans="1:3" ht="13">
      <c r="A402" s="65"/>
      <c r="C402" s="1"/>
    </row>
    <row r="403" spans="1:3" ht="13">
      <c r="A403" s="65"/>
      <c r="C403" s="1"/>
    </row>
    <row r="404" spans="1:3" ht="13">
      <c r="A404" s="65"/>
      <c r="C404" s="1"/>
    </row>
    <row r="405" spans="1:3" ht="13">
      <c r="A405" s="65"/>
      <c r="C405" s="1"/>
    </row>
    <row r="406" spans="1:3" ht="13">
      <c r="A406" s="65"/>
      <c r="C406" s="1"/>
    </row>
    <row r="407" spans="1:3" ht="13">
      <c r="A407" s="65"/>
      <c r="C407" s="1"/>
    </row>
    <row r="408" spans="1:3" ht="13">
      <c r="A408" s="65"/>
      <c r="C408" s="1"/>
    </row>
    <row r="409" spans="1:3" ht="13">
      <c r="A409" s="65"/>
      <c r="C409" s="1"/>
    </row>
    <row r="410" spans="1:3" ht="13">
      <c r="A410" s="65"/>
      <c r="C410" s="1"/>
    </row>
    <row r="411" spans="1:3" ht="13">
      <c r="A411" s="65"/>
      <c r="C411" s="1"/>
    </row>
    <row r="412" spans="1:3" ht="13">
      <c r="A412" s="65"/>
      <c r="C412" s="1"/>
    </row>
    <row r="413" spans="1:3" ht="13">
      <c r="A413" s="65"/>
      <c r="C413" s="1"/>
    </row>
    <row r="414" spans="1:3" ht="13">
      <c r="A414" s="65"/>
      <c r="C414" s="1"/>
    </row>
    <row r="415" spans="1:3" ht="13">
      <c r="A415" s="65"/>
      <c r="C415" s="1"/>
    </row>
    <row r="416" spans="1:3" ht="13">
      <c r="A416" s="65"/>
      <c r="C416" s="1"/>
    </row>
    <row r="417" spans="1:3" ht="13">
      <c r="A417" s="65"/>
      <c r="C417" s="1"/>
    </row>
    <row r="418" spans="1:3" ht="13">
      <c r="A418" s="65"/>
      <c r="C418" s="1"/>
    </row>
    <row r="419" spans="1:3" ht="13">
      <c r="A419" s="65"/>
      <c r="C419" s="1"/>
    </row>
    <row r="420" spans="1:3" ht="13">
      <c r="A420" s="65"/>
      <c r="C420" s="1"/>
    </row>
    <row r="421" spans="1:3" ht="13">
      <c r="A421" s="65"/>
      <c r="C421" s="1"/>
    </row>
    <row r="422" spans="1:3" ht="13">
      <c r="A422" s="65"/>
      <c r="C422" s="1"/>
    </row>
    <row r="423" spans="1:3" ht="13">
      <c r="A423" s="65"/>
      <c r="C423" s="1"/>
    </row>
    <row r="424" spans="1:3" ht="13">
      <c r="A424" s="65"/>
      <c r="C424" s="1"/>
    </row>
    <row r="425" spans="1:3" ht="13">
      <c r="A425" s="65"/>
      <c r="C425" s="1"/>
    </row>
    <row r="426" spans="1:3" ht="13">
      <c r="A426" s="65"/>
      <c r="C426" s="1"/>
    </row>
    <row r="427" spans="1:3" ht="13">
      <c r="A427" s="65"/>
      <c r="C427" s="1"/>
    </row>
    <row r="428" spans="1:3" ht="13">
      <c r="A428" s="65"/>
      <c r="C428" s="1"/>
    </row>
    <row r="429" spans="1:3" ht="13">
      <c r="A429" s="65"/>
      <c r="C429" s="1"/>
    </row>
    <row r="430" spans="1:3" ht="13">
      <c r="A430" s="65"/>
      <c r="C430" s="1"/>
    </row>
    <row r="431" spans="1:3" ht="13">
      <c r="A431" s="65"/>
      <c r="C431" s="1"/>
    </row>
    <row r="432" spans="1:3" ht="13">
      <c r="A432" s="65"/>
      <c r="C432" s="1"/>
    </row>
    <row r="433" spans="1:3" ht="13">
      <c r="A433" s="65"/>
      <c r="C433" s="1"/>
    </row>
    <row r="434" spans="1:3" ht="13">
      <c r="A434" s="65"/>
      <c r="C434" s="1"/>
    </row>
    <row r="435" spans="1:3" ht="13">
      <c r="A435" s="65"/>
      <c r="C435" s="1"/>
    </row>
    <row r="436" spans="1:3" ht="13">
      <c r="A436" s="65"/>
      <c r="C436" s="1"/>
    </row>
    <row r="437" spans="1:3" ht="13">
      <c r="A437" s="65"/>
      <c r="C437" s="1"/>
    </row>
    <row r="438" spans="1:3" ht="13">
      <c r="A438" s="65"/>
      <c r="C438" s="1"/>
    </row>
    <row r="439" spans="1:3" ht="13">
      <c r="A439" s="65"/>
      <c r="C439" s="1"/>
    </row>
    <row r="440" spans="1:3" ht="13">
      <c r="A440" s="65"/>
      <c r="C440" s="1"/>
    </row>
    <row r="441" spans="1:3" ht="13">
      <c r="A441" s="65"/>
      <c r="C441" s="1"/>
    </row>
    <row r="442" spans="1:3" ht="13">
      <c r="A442" s="65"/>
      <c r="C442" s="1"/>
    </row>
    <row r="443" spans="1:3" ht="13">
      <c r="A443" s="65"/>
      <c r="C443" s="1"/>
    </row>
    <row r="444" spans="1:3" ht="13">
      <c r="A444" s="65"/>
      <c r="C444" s="1"/>
    </row>
    <row r="445" spans="1:3" ht="13">
      <c r="A445" s="65"/>
      <c r="C445" s="1"/>
    </row>
    <row r="446" spans="1:3" ht="13">
      <c r="A446" s="65"/>
      <c r="C446" s="1"/>
    </row>
    <row r="447" spans="1:3" ht="13">
      <c r="A447" s="65"/>
      <c r="C447" s="1"/>
    </row>
    <row r="448" spans="1:3" ht="13">
      <c r="A448" s="65"/>
      <c r="C448" s="1"/>
    </row>
    <row r="449" spans="1:3" ht="13">
      <c r="A449" s="65"/>
      <c r="C449" s="1"/>
    </row>
    <row r="450" spans="1:3" ht="13">
      <c r="A450" s="65"/>
      <c r="C450" s="1"/>
    </row>
    <row r="451" spans="1:3" ht="13">
      <c r="A451" s="65"/>
      <c r="C451" s="1"/>
    </row>
    <row r="452" spans="1:3" ht="13">
      <c r="A452" s="65"/>
      <c r="C452" s="1"/>
    </row>
    <row r="453" spans="1:3" ht="13">
      <c r="A453" s="65"/>
      <c r="C453" s="1"/>
    </row>
    <row r="454" spans="1:3" ht="13">
      <c r="A454" s="65"/>
      <c r="C454" s="1"/>
    </row>
    <row r="455" spans="1:3" ht="13">
      <c r="A455" s="65"/>
      <c r="C455" s="1"/>
    </row>
    <row r="456" spans="1:3" ht="13">
      <c r="A456" s="65"/>
      <c r="C456" s="1"/>
    </row>
    <row r="457" spans="1:3" ht="13">
      <c r="A457" s="65"/>
      <c r="C457" s="1"/>
    </row>
    <row r="458" spans="1:3" ht="13">
      <c r="A458" s="65"/>
      <c r="C458" s="1"/>
    </row>
    <row r="459" spans="1:3" ht="13">
      <c r="A459" s="65"/>
      <c r="C459" s="1"/>
    </row>
    <row r="460" spans="1:3" ht="13">
      <c r="A460" s="65"/>
      <c r="C460" s="1"/>
    </row>
    <row r="461" spans="1:3" ht="13">
      <c r="A461" s="65"/>
      <c r="C461" s="1"/>
    </row>
    <row r="462" spans="1:3" ht="13">
      <c r="A462" s="65"/>
      <c r="C462" s="1"/>
    </row>
    <row r="463" spans="1:3" ht="13">
      <c r="A463" s="65"/>
      <c r="C463" s="1"/>
    </row>
    <row r="464" spans="1:3" ht="13">
      <c r="A464" s="65"/>
      <c r="C464" s="1"/>
    </row>
    <row r="465" spans="1:3" ht="13">
      <c r="A465" s="65"/>
      <c r="C465" s="1"/>
    </row>
    <row r="466" spans="1:3" ht="13">
      <c r="A466" s="65"/>
      <c r="C466" s="1"/>
    </row>
    <row r="467" spans="1:3" ht="13">
      <c r="A467" s="65"/>
      <c r="C467" s="1"/>
    </row>
    <row r="468" spans="1:3" ht="13">
      <c r="A468" s="65"/>
      <c r="C468" s="1"/>
    </row>
    <row r="469" spans="1:3" ht="13">
      <c r="A469" s="65"/>
      <c r="C469" s="1"/>
    </row>
    <row r="470" spans="1:3" ht="13">
      <c r="A470" s="65"/>
      <c r="C470" s="1"/>
    </row>
    <row r="471" spans="1:3" ht="13">
      <c r="A471" s="65"/>
      <c r="C471" s="1"/>
    </row>
    <row r="472" spans="1:3" ht="13">
      <c r="A472" s="65"/>
      <c r="C472" s="1"/>
    </row>
    <row r="473" spans="1:3" ht="13">
      <c r="A473" s="65"/>
      <c r="C473" s="1"/>
    </row>
    <row r="474" spans="1:3" ht="13">
      <c r="A474" s="65"/>
      <c r="C474" s="1"/>
    </row>
    <row r="475" spans="1:3" ht="13">
      <c r="A475" s="65"/>
      <c r="C475" s="1"/>
    </row>
    <row r="476" spans="1:3" ht="13">
      <c r="A476" s="65"/>
      <c r="C476" s="1"/>
    </row>
    <row r="477" spans="1:3" ht="13">
      <c r="A477" s="65"/>
      <c r="C477" s="1"/>
    </row>
    <row r="478" spans="1:3" ht="13">
      <c r="A478" s="65"/>
      <c r="C478" s="1"/>
    </row>
    <row r="479" spans="1:3" ht="13">
      <c r="A479" s="65"/>
      <c r="C479" s="1"/>
    </row>
    <row r="480" spans="1:3" ht="13">
      <c r="A480" s="65"/>
      <c r="C480" s="1"/>
    </row>
    <row r="481" spans="1:3" ht="13">
      <c r="A481" s="65"/>
      <c r="C481" s="1"/>
    </row>
    <row r="482" spans="1:3" ht="13">
      <c r="A482" s="65"/>
      <c r="C482" s="1"/>
    </row>
    <row r="483" spans="1:3" ht="13">
      <c r="A483" s="65"/>
      <c r="C483" s="1"/>
    </row>
    <row r="484" spans="1:3" ht="13">
      <c r="A484" s="65"/>
      <c r="C484" s="1"/>
    </row>
    <row r="485" spans="1:3" ht="13">
      <c r="A485" s="65"/>
      <c r="C485" s="1"/>
    </row>
    <row r="486" spans="1:3" ht="13">
      <c r="A486" s="65"/>
      <c r="C486" s="1"/>
    </row>
    <row r="487" spans="1:3" ht="13">
      <c r="A487" s="65"/>
      <c r="C487" s="1"/>
    </row>
    <row r="488" spans="1:3" ht="13">
      <c r="A488" s="65"/>
      <c r="C488" s="1"/>
    </row>
    <row r="489" spans="1:3" ht="13">
      <c r="A489" s="65"/>
      <c r="C489" s="1"/>
    </row>
    <row r="490" spans="1:3" ht="13">
      <c r="A490" s="65"/>
      <c r="C490" s="1"/>
    </row>
    <row r="491" spans="1:3" ht="13">
      <c r="A491" s="65"/>
      <c r="C491" s="1"/>
    </row>
    <row r="492" spans="1:3" ht="13">
      <c r="A492" s="65"/>
      <c r="C492" s="1"/>
    </row>
    <row r="493" spans="1:3" ht="13">
      <c r="A493" s="65"/>
      <c r="C493" s="1"/>
    </row>
    <row r="494" spans="1:3" ht="13">
      <c r="A494" s="65"/>
      <c r="C494" s="1"/>
    </row>
    <row r="495" spans="1:3" ht="13">
      <c r="A495" s="65"/>
      <c r="C495" s="1"/>
    </row>
    <row r="496" spans="1:3" ht="13">
      <c r="A496" s="65"/>
      <c r="C496" s="1"/>
    </row>
    <row r="497" spans="1:3" ht="13">
      <c r="A497" s="65"/>
      <c r="C497" s="1"/>
    </row>
    <row r="498" spans="1:3" ht="13">
      <c r="A498" s="65"/>
      <c r="C498" s="1"/>
    </row>
    <row r="499" spans="1:3" ht="13">
      <c r="A499" s="65"/>
      <c r="C499" s="1"/>
    </row>
    <row r="500" spans="1:3" ht="13">
      <c r="A500" s="65"/>
      <c r="C500" s="1"/>
    </row>
    <row r="501" spans="1:3" ht="13">
      <c r="A501" s="65"/>
      <c r="C501" s="1"/>
    </row>
    <row r="502" spans="1:3" ht="13">
      <c r="A502" s="65"/>
      <c r="C502" s="1"/>
    </row>
    <row r="503" spans="1:3" ht="13">
      <c r="A503" s="65"/>
      <c r="C503" s="1"/>
    </row>
    <row r="504" spans="1:3" ht="13">
      <c r="A504" s="65"/>
      <c r="C504" s="1"/>
    </row>
    <row r="505" spans="1:3" ht="13">
      <c r="A505" s="65"/>
      <c r="C505" s="1"/>
    </row>
    <row r="506" spans="1:3" ht="13">
      <c r="A506" s="65"/>
      <c r="C506" s="1"/>
    </row>
    <row r="507" spans="1:3" ht="13">
      <c r="A507" s="65"/>
      <c r="C507" s="1"/>
    </row>
    <row r="508" spans="1:3" ht="13">
      <c r="A508" s="65"/>
      <c r="C508" s="1"/>
    </row>
    <row r="509" spans="1:3" ht="13">
      <c r="A509" s="65"/>
      <c r="C509" s="1"/>
    </row>
    <row r="510" spans="1:3" ht="13">
      <c r="A510" s="65"/>
      <c r="C510" s="1"/>
    </row>
    <row r="511" spans="1:3" ht="13">
      <c r="A511" s="65"/>
      <c r="C511" s="1"/>
    </row>
    <row r="512" spans="1:3" ht="13">
      <c r="A512" s="65"/>
      <c r="C512" s="1"/>
    </row>
    <row r="513" spans="1:3" ht="13">
      <c r="A513" s="65"/>
      <c r="C513" s="1"/>
    </row>
    <row r="514" spans="1:3" ht="13">
      <c r="A514" s="65"/>
      <c r="C514" s="1"/>
    </row>
    <row r="515" spans="1:3" ht="13">
      <c r="A515" s="65"/>
      <c r="C515" s="1"/>
    </row>
    <row r="516" spans="1:3" ht="13">
      <c r="A516" s="65"/>
      <c r="C516" s="1"/>
    </row>
    <row r="517" spans="1:3" ht="13">
      <c r="A517" s="65"/>
      <c r="C517" s="1"/>
    </row>
    <row r="518" spans="1:3" ht="13">
      <c r="A518" s="65"/>
      <c r="C518" s="1"/>
    </row>
    <row r="519" spans="1:3" ht="13">
      <c r="A519" s="65"/>
      <c r="C519" s="1"/>
    </row>
    <row r="520" spans="1:3" ht="13">
      <c r="A520" s="65"/>
      <c r="C520" s="1"/>
    </row>
    <row r="521" spans="1:3" ht="13">
      <c r="A521" s="65"/>
      <c r="C521" s="1"/>
    </row>
    <row r="522" spans="1:3" ht="13">
      <c r="A522" s="65"/>
      <c r="C522" s="1"/>
    </row>
    <row r="523" spans="1:3" ht="13">
      <c r="A523" s="65"/>
      <c r="C523" s="1"/>
    </row>
    <row r="524" spans="1:3" ht="13">
      <c r="A524" s="65"/>
      <c r="C524" s="1"/>
    </row>
    <row r="525" spans="1:3" ht="13">
      <c r="A525" s="65"/>
      <c r="C525" s="1"/>
    </row>
    <row r="526" spans="1:3" ht="13">
      <c r="A526" s="65"/>
      <c r="C526" s="1"/>
    </row>
    <row r="527" spans="1:3" ht="13">
      <c r="A527" s="65"/>
      <c r="C527" s="1"/>
    </row>
    <row r="528" spans="1:3" ht="13">
      <c r="A528" s="65"/>
      <c r="C528" s="1"/>
    </row>
    <row r="529" spans="1:3" ht="13">
      <c r="A529" s="65"/>
      <c r="C529" s="1"/>
    </row>
    <row r="530" spans="1:3" ht="13">
      <c r="A530" s="65"/>
      <c r="C530" s="1"/>
    </row>
    <row r="531" spans="1:3" ht="13">
      <c r="A531" s="65"/>
      <c r="C531" s="1"/>
    </row>
    <row r="532" spans="1:3" ht="13">
      <c r="A532" s="65"/>
      <c r="C532" s="1"/>
    </row>
    <row r="533" spans="1:3" ht="13">
      <c r="A533" s="65"/>
      <c r="C533" s="1"/>
    </row>
    <row r="534" spans="1:3" ht="13">
      <c r="A534" s="65"/>
      <c r="C534" s="1"/>
    </row>
    <row r="535" spans="1:3" ht="13">
      <c r="A535" s="65"/>
      <c r="C535" s="1"/>
    </row>
    <row r="536" spans="1:3" ht="13">
      <c r="A536" s="65"/>
      <c r="C536" s="1"/>
    </row>
    <row r="537" spans="1:3" ht="13">
      <c r="A537" s="65"/>
      <c r="C537" s="1"/>
    </row>
    <row r="538" spans="1:3" ht="13">
      <c r="A538" s="65"/>
      <c r="C538" s="1"/>
    </row>
    <row r="539" spans="1:3" ht="13">
      <c r="A539" s="65"/>
      <c r="C539" s="1"/>
    </row>
    <row r="540" spans="1:3" ht="13">
      <c r="A540" s="65"/>
      <c r="C540" s="1"/>
    </row>
    <row r="541" spans="1:3" ht="13">
      <c r="A541" s="65"/>
      <c r="C541" s="1"/>
    </row>
    <row r="542" spans="1:3" ht="13">
      <c r="A542" s="65"/>
      <c r="C542" s="1"/>
    </row>
    <row r="543" spans="1:3" ht="13">
      <c r="A543" s="65"/>
      <c r="C543" s="1"/>
    </row>
    <row r="544" spans="1:3" ht="13">
      <c r="A544" s="65"/>
      <c r="C544" s="1"/>
    </row>
    <row r="545" spans="1:3" ht="13">
      <c r="A545" s="65"/>
      <c r="C545" s="1"/>
    </row>
    <row r="546" spans="1:3" ht="13">
      <c r="A546" s="65"/>
      <c r="C546" s="1"/>
    </row>
    <row r="547" spans="1:3" ht="13">
      <c r="A547" s="65"/>
      <c r="C547" s="1"/>
    </row>
    <row r="548" spans="1:3" ht="13">
      <c r="A548" s="65"/>
      <c r="C548" s="1"/>
    </row>
    <row r="549" spans="1:3" ht="13">
      <c r="A549" s="65"/>
      <c r="C549" s="1"/>
    </row>
    <row r="550" spans="1:3" ht="13">
      <c r="A550" s="65"/>
      <c r="C550" s="1"/>
    </row>
    <row r="551" spans="1:3" ht="13">
      <c r="A551" s="65"/>
      <c r="C551" s="1"/>
    </row>
    <row r="552" spans="1:3" ht="13">
      <c r="A552" s="65"/>
      <c r="C552" s="1"/>
    </row>
    <row r="553" spans="1:3" ht="13">
      <c r="A553" s="65"/>
      <c r="C553" s="1"/>
    </row>
    <row r="554" spans="1:3" ht="13">
      <c r="A554" s="65"/>
      <c r="C554" s="1"/>
    </row>
    <row r="555" spans="1:3" ht="13">
      <c r="A555" s="65"/>
      <c r="C555" s="1"/>
    </row>
    <row r="556" spans="1:3" ht="13">
      <c r="A556" s="65"/>
      <c r="C556" s="1"/>
    </row>
    <row r="557" spans="1:3" ht="13">
      <c r="A557" s="65"/>
      <c r="C557" s="1"/>
    </row>
    <row r="558" spans="1:3" ht="13">
      <c r="A558" s="65"/>
      <c r="C558" s="1"/>
    </row>
    <row r="559" spans="1:3" ht="13">
      <c r="A559" s="65"/>
      <c r="C559" s="1"/>
    </row>
    <row r="560" spans="1:3" ht="13">
      <c r="A560" s="65"/>
      <c r="C560" s="1"/>
    </row>
    <row r="561" spans="1:3" ht="13">
      <c r="A561" s="65"/>
      <c r="C561" s="1"/>
    </row>
    <row r="562" spans="1:3" ht="13">
      <c r="A562" s="65"/>
      <c r="C562" s="1"/>
    </row>
    <row r="563" spans="1:3" ht="13">
      <c r="A563" s="65"/>
      <c r="C563" s="1"/>
    </row>
    <row r="564" spans="1:3" ht="13">
      <c r="A564" s="65"/>
      <c r="C564" s="1"/>
    </row>
    <row r="565" spans="1:3" ht="13">
      <c r="A565" s="65"/>
      <c r="C565" s="1"/>
    </row>
    <row r="566" spans="1:3" ht="13">
      <c r="A566" s="65"/>
      <c r="C566" s="1"/>
    </row>
    <row r="567" spans="1:3" ht="13">
      <c r="A567" s="65"/>
      <c r="C567" s="1"/>
    </row>
    <row r="568" spans="1:3" ht="13">
      <c r="A568" s="65"/>
      <c r="C568" s="1"/>
    </row>
    <row r="569" spans="1:3" ht="13">
      <c r="A569" s="65"/>
      <c r="C569" s="1"/>
    </row>
    <row r="570" spans="1:3" ht="13">
      <c r="A570" s="65"/>
      <c r="C570" s="1"/>
    </row>
    <row r="571" spans="1:3" ht="13">
      <c r="A571" s="65"/>
      <c r="C571" s="1"/>
    </row>
    <row r="572" spans="1:3" ht="13">
      <c r="A572" s="65"/>
      <c r="C572" s="1"/>
    </row>
    <row r="573" spans="1:3" ht="13">
      <c r="A573" s="65"/>
      <c r="C573" s="1"/>
    </row>
    <row r="574" spans="1:3" ht="13">
      <c r="A574" s="65"/>
      <c r="C574" s="1"/>
    </row>
    <row r="575" spans="1:3" ht="13">
      <c r="A575" s="65"/>
      <c r="C575" s="1"/>
    </row>
    <row r="576" spans="1:3" ht="13">
      <c r="A576" s="65"/>
      <c r="C576" s="1"/>
    </row>
    <row r="577" spans="1:3" ht="13">
      <c r="A577" s="65"/>
      <c r="C577" s="1"/>
    </row>
    <row r="578" spans="1:3" ht="13">
      <c r="A578" s="65"/>
      <c r="C578" s="1"/>
    </row>
    <row r="579" spans="1:3" ht="13">
      <c r="A579" s="65"/>
      <c r="C579" s="1"/>
    </row>
    <row r="580" spans="1:3" ht="13">
      <c r="A580" s="65"/>
      <c r="C580" s="1"/>
    </row>
    <row r="581" spans="1:3" ht="13">
      <c r="A581" s="65"/>
      <c r="C581" s="1"/>
    </row>
    <row r="582" spans="1:3" ht="13">
      <c r="A582" s="65"/>
      <c r="C582" s="1"/>
    </row>
    <row r="583" spans="1:3" ht="13">
      <c r="A583" s="65"/>
      <c r="C583" s="1"/>
    </row>
    <row r="584" spans="1:3" ht="13">
      <c r="A584" s="65"/>
      <c r="C584" s="1"/>
    </row>
    <row r="585" spans="1:3" ht="13">
      <c r="A585" s="65"/>
      <c r="C585" s="1"/>
    </row>
    <row r="586" spans="1:3" ht="13">
      <c r="A586" s="65"/>
      <c r="C586" s="1"/>
    </row>
    <row r="587" spans="1:3" ht="13">
      <c r="A587" s="65"/>
      <c r="C587" s="1"/>
    </row>
    <row r="588" spans="1:3" ht="13">
      <c r="A588" s="65"/>
      <c r="C588" s="1"/>
    </row>
    <row r="589" spans="1:3" ht="13">
      <c r="A589" s="65"/>
      <c r="C589" s="1"/>
    </row>
    <row r="590" spans="1:3" ht="13">
      <c r="A590" s="65"/>
      <c r="C590" s="1"/>
    </row>
    <row r="591" spans="1:3" ht="13">
      <c r="A591" s="65"/>
      <c r="C591" s="1"/>
    </row>
    <row r="592" spans="1:3" ht="13">
      <c r="A592" s="65"/>
      <c r="C592" s="1"/>
    </row>
    <row r="593" spans="1:3" ht="13">
      <c r="A593" s="65"/>
      <c r="C593" s="1"/>
    </row>
    <row r="594" spans="1:3" ht="13">
      <c r="A594" s="65"/>
      <c r="C594" s="1"/>
    </row>
    <row r="595" spans="1:3" ht="13">
      <c r="A595" s="65"/>
      <c r="C595" s="1"/>
    </row>
    <row r="596" spans="1:3" ht="13">
      <c r="A596" s="65"/>
      <c r="C596" s="1"/>
    </row>
    <row r="597" spans="1:3" ht="13">
      <c r="A597" s="65"/>
      <c r="C597" s="1"/>
    </row>
    <row r="598" spans="1:3" ht="13">
      <c r="A598" s="65"/>
      <c r="C598" s="1"/>
    </row>
    <row r="599" spans="1:3" ht="13">
      <c r="A599" s="65"/>
      <c r="C599" s="1"/>
    </row>
    <row r="600" spans="1:3" ht="13">
      <c r="A600" s="65"/>
      <c r="C600" s="1"/>
    </row>
    <row r="601" spans="1:3" ht="13">
      <c r="A601" s="65"/>
      <c r="C601" s="1"/>
    </row>
    <row r="602" spans="1:3" ht="13">
      <c r="A602" s="65"/>
      <c r="C602" s="1"/>
    </row>
    <row r="603" spans="1:3" ht="13">
      <c r="A603" s="65"/>
      <c r="C603" s="1"/>
    </row>
    <row r="604" spans="1:3" ht="13">
      <c r="A604" s="65"/>
      <c r="C604" s="1"/>
    </row>
    <row r="605" spans="1:3" ht="13">
      <c r="A605" s="65"/>
      <c r="C605" s="1"/>
    </row>
    <row r="606" spans="1:3" ht="13">
      <c r="A606" s="65"/>
      <c r="C606" s="1"/>
    </row>
    <row r="607" spans="1:3" ht="13">
      <c r="A607" s="65"/>
      <c r="C607" s="1"/>
    </row>
    <row r="608" spans="1:3" ht="13">
      <c r="A608" s="65"/>
      <c r="C608" s="1"/>
    </row>
    <row r="609" spans="1:3" ht="13">
      <c r="A609" s="65"/>
      <c r="C609" s="1"/>
    </row>
    <row r="610" spans="1:3" ht="13">
      <c r="A610" s="65"/>
      <c r="C610" s="1"/>
    </row>
    <row r="611" spans="1:3" ht="13">
      <c r="A611" s="65"/>
      <c r="C611" s="1"/>
    </row>
    <row r="612" spans="1:3" ht="13">
      <c r="A612" s="65"/>
      <c r="C612" s="1"/>
    </row>
    <row r="613" spans="1:3" ht="13">
      <c r="A613" s="65"/>
      <c r="C613" s="1"/>
    </row>
    <row r="614" spans="1:3" ht="13">
      <c r="A614" s="65"/>
      <c r="C614" s="1"/>
    </row>
    <row r="615" spans="1:3" ht="13">
      <c r="A615" s="65"/>
      <c r="C615" s="1"/>
    </row>
    <row r="616" spans="1:3" ht="13">
      <c r="A616" s="65"/>
      <c r="C616" s="1"/>
    </row>
    <row r="617" spans="1:3" ht="13">
      <c r="A617" s="65"/>
      <c r="C617" s="1"/>
    </row>
    <row r="618" spans="1:3" ht="13">
      <c r="A618" s="65"/>
      <c r="C618" s="1"/>
    </row>
    <row r="619" spans="1:3" ht="13">
      <c r="A619" s="65"/>
      <c r="C619" s="1"/>
    </row>
    <row r="620" spans="1:3" ht="13">
      <c r="A620" s="65"/>
      <c r="C620" s="1"/>
    </row>
    <row r="621" spans="1:3" ht="13">
      <c r="A621" s="65"/>
      <c r="C621" s="1"/>
    </row>
    <row r="622" spans="1:3" ht="13">
      <c r="A622" s="65"/>
      <c r="C622" s="1"/>
    </row>
    <row r="623" spans="1:3" ht="13">
      <c r="A623" s="65"/>
      <c r="C623" s="1"/>
    </row>
    <row r="624" spans="1:3" ht="13">
      <c r="A624" s="65"/>
      <c r="C624" s="1"/>
    </row>
    <row r="625" spans="1:3" ht="13">
      <c r="A625" s="65"/>
      <c r="C625" s="1"/>
    </row>
    <row r="626" spans="1:3" ht="13">
      <c r="A626" s="65"/>
      <c r="C626" s="1"/>
    </row>
    <row r="627" spans="1:3" ht="13">
      <c r="A627" s="65"/>
      <c r="C627" s="1"/>
    </row>
    <row r="628" spans="1:3" ht="13">
      <c r="A628" s="65"/>
      <c r="C628" s="1"/>
    </row>
    <row r="629" spans="1:3" ht="13">
      <c r="A629" s="65"/>
      <c r="C629" s="1"/>
    </row>
    <row r="630" spans="1:3" ht="13">
      <c r="A630" s="65"/>
      <c r="C630" s="1"/>
    </row>
    <row r="631" spans="1:3" ht="13">
      <c r="A631" s="65"/>
      <c r="C631" s="1"/>
    </row>
    <row r="632" spans="1:3" ht="13">
      <c r="A632" s="65"/>
      <c r="C632" s="1"/>
    </row>
    <row r="633" spans="1:3" ht="13">
      <c r="A633" s="65"/>
      <c r="C633" s="1"/>
    </row>
    <row r="634" spans="1:3" ht="13">
      <c r="A634" s="65"/>
      <c r="C634" s="1"/>
    </row>
    <row r="635" spans="1:3" ht="13">
      <c r="A635" s="65"/>
      <c r="C635" s="1"/>
    </row>
    <row r="636" spans="1:3" ht="13">
      <c r="A636" s="65"/>
      <c r="C636" s="1"/>
    </row>
    <row r="637" spans="1:3" ht="13">
      <c r="A637" s="65"/>
      <c r="C637" s="1"/>
    </row>
    <row r="638" spans="1:3" ht="13">
      <c r="A638" s="65"/>
      <c r="C638" s="1"/>
    </row>
    <row r="639" spans="1:3" ht="13">
      <c r="A639" s="65"/>
      <c r="C639" s="1"/>
    </row>
    <row r="640" spans="1:3" ht="13">
      <c r="A640" s="65"/>
      <c r="C640" s="1"/>
    </row>
    <row r="641" spans="1:3" ht="13">
      <c r="A641" s="65"/>
      <c r="C641" s="1"/>
    </row>
    <row r="642" spans="1:3" ht="13">
      <c r="A642" s="65"/>
      <c r="C642" s="1"/>
    </row>
    <row r="643" spans="1:3" ht="13">
      <c r="A643" s="65"/>
      <c r="C643" s="1"/>
    </row>
    <row r="644" spans="1:3" ht="13">
      <c r="A644" s="65"/>
      <c r="C644" s="1"/>
    </row>
    <row r="645" spans="1:3" ht="13">
      <c r="A645" s="65"/>
      <c r="C645" s="1"/>
    </row>
    <row r="646" spans="1:3" ht="13">
      <c r="A646" s="65"/>
      <c r="C646" s="1"/>
    </row>
    <row r="647" spans="1:3" ht="13">
      <c r="A647" s="65"/>
      <c r="C647" s="1"/>
    </row>
    <row r="648" spans="1:3" ht="13">
      <c r="A648" s="65"/>
      <c r="C648" s="1"/>
    </row>
    <row r="649" spans="1:3" ht="13">
      <c r="A649" s="65"/>
      <c r="C649" s="1"/>
    </row>
    <row r="650" spans="1:3" ht="13">
      <c r="A650" s="65"/>
      <c r="C650" s="1"/>
    </row>
    <row r="651" spans="1:3" ht="13">
      <c r="A651" s="65"/>
      <c r="C651" s="1"/>
    </row>
    <row r="652" spans="1:3" ht="13">
      <c r="A652" s="65"/>
      <c r="C652" s="1"/>
    </row>
    <row r="653" spans="1:3" ht="13">
      <c r="A653" s="65"/>
      <c r="C653" s="1"/>
    </row>
    <row r="654" spans="1:3" ht="13">
      <c r="A654" s="65"/>
      <c r="C654" s="1"/>
    </row>
    <row r="655" spans="1:3" ht="13">
      <c r="A655" s="65"/>
      <c r="C655" s="1"/>
    </row>
    <row r="656" spans="1:3" ht="13">
      <c r="A656" s="65"/>
      <c r="C656" s="1"/>
    </row>
    <row r="657" spans="1:3" ht="13">
      <c r="A657" s="65"/>
      <c r="C657" s="1"/>
    </row>
    <row r="658" spans="1:3" ht="13">
      <c r="A658" s="65"/>
      <c r="C658" s="1"/>
    </row>
    <row r="659" spans="1:3" ht="13">
      <c r="A659" s="65"/>
      <c r="C659" s="1"/>
    </row>
    <row r="660" spans="1:3" ht="13">
      <c r="A660" s="65"/>
      <c r="C660" s="1"/>
    </row>
    <row r="661" spans="1:3" ht="13">
      <c r="A661" s="65"/>
      <c r="C661" s="1"/>
    </row>
    <row r="662" spans="1:3" ht="13">
      <c r="A662" s="65"/>
      <c r="C662" s="1"/>
    </row>
    <row r="663" spans="1:3" ht="13">
      <c r="A663" s="65"/>
      <c r="C663" s="1"/>
    </row>
    <row r="664" spans="1:3" ht="13">
      <c r="A664" s="65"/>
      <c r="C664" s="1"/>
    </row>
    <row r="665" spans="1:3" ht="13">
      <c r="A665" s="65"/>
      <c r="C665" s="1"/>
    </row>
    <row r="666" spans="1:3" ht="13">
      <c r="A666" s="65"/>
      <c r="C666" s="1"/>
    </row>
    <row r="667" spans="1:3" ht="13">
      <c r="A667" s="65"/>
      <c r="C667" s="1"/>
    </row>
    <row r="668" spans="1:3" ht="13">
      <c r="A668" s="65"/>
      <c r="C668" s="1"/>
    </row>
    <row r="669" spans="1:3" ht="13">
      <c r="A669" s="65"/>
      <c r="C669" s="1"/>
    </row>
    <row r="670" spans="1:3" ht="13">
      <c r="A670" s="65"/>
      <c r="C670" s="1"/>
    </row>
    <row r="671" spans="1:3" ht="13">
      <c r="A671" s="65"/>
      <c r="C671" s="1"/>
    </row>
    <row r="672" spans="1:3" ht="13">
      <c r="A672" s="65"/>
      <c r="C672" s="1"/>
    </row>
    <row r="673" spans="1:3" ht="13">
      <c r="A673" s="65"/>
      <c r="C673" s="1"/>
    </row>
    <row r="674" spans="1:3" ht="13">
      <c r="A674" s="65"/>
      <c r="C674" s="1"/>
    </row>
    <row r="675" spans="1:3" ht="13">
      <c r="A675" s="65"/>
      <c r="C675" s="1"/>
    </row>
    <row r="676" spans="1:3" ht="13">
      <c r="A676" s="65"/>
      <c r="C676" s="1"/>
    </row>
    <row r="677" spans="1:3" ht="13">
      <c r="A677" s="65"/>
      <c r="C677" s="1"/>
    </row>
    <row r="678" spans="1:3" ht="13">
      <c r="A678" s="65"/>
      <c r="C678" s="1"/>
    </row>
    <row r="679" spans="1:3" ht="13">
      <c r="A679" s="65"/>
      <c r="C679" s="1"/>
    </row>
    <row r="680" spans="1:3" ht="13">
      <c r="A680" s="65"/>
      <c r="C680" s="1"/>
    </row>
    <row r="681" spans="1:3" ht="13">
      <c r="A681" s="65"/>
      <c r="C681" s="1"/>
    </row>
    <row r="682" spans="1:3" ht="13">
      <c r="A682" s="65"/>
      <c r="C682" s="1"/>
    </row>
    <row r="683" spans="1:3" ht="13">
      <c r="A683" s="65"/>
      <c r="C683" s="1"/>
    </row>
    <row r="684" spans="1:3" ht="13">
      <c r="A684" s="65"/>
      <c r="C684" s="1"/>
    </row>
    <row r="685" spans="1:3" ht="13">
      <c r="A685" s="65"/>
      <c r="C685" s="1"/>
    </row>
    <row r="686" spans="1:3" ht="13">
      <c r="A686" s="65"/>
      <c r="C686" s="1"/>
    </row>
    <row r="687" spans="1:3" ht="13">
      <c r="A687" s="65"/>
      <c r="C687" s="1"/>
    </row>
    <row r="688" spans="1:3" ht="13">
      <c r="A688" s="65"/>
      <c r="C688" s="1"/>
    </row>
    <row r="689" spans="1:3" ht="13">
      <c r="A689" s="65"/>
      <c r="C689" s="1"/>
    </row>
    <row r="690" spans="1:3" ht="13">
      <c r="A690" s="65"/>
      <c r="C690" s="1"/>
    </row>
    <row r="691" spans="1:3" ht="13">
      <c r="A691" s="65"/>
      <c r="C691" s="1"/>
    </row>
    <row r="692" spans="1:3" ht="13">
      <c r="A692" s="65"/>
      <c r="C692" s="1"/>
    </row>
    <row r="693" spans="1:3" ht="13">
      <c r="A693" s="65"/>
      <c r="C693" s="1"/>
    </row>
    <row r="694" spans="1:3" ht="13">
      <c r="A694" s="65"/>
      <c r="C694" s="1"/>
    </row>
    <row r="695" spans="1:3" ht="13">
      <c r="A695" s="65"/>
      <c r="C695" s="1"/>
    </row>
    <row r="696" spans="1:3" ht="13">
      <c r="A696" s="65"/>
      <c r="C696" s="1"/>
    </row>
    <row r="697" spans="1:3" ht="13">
      <c r="A697" s="65"/>
      <c r="C697" s="1"/>
    </row>
    <row r="698" spans="1:3" ht="13">
      <c r="A698" s="65"/>
      <c r="C698" s="1"/>
    </row>
    <row r="699" spans="1:3" ht="13">
      <c r="A699" s="65"/>
      <c r="C699" s="1"/>
    </row>
    <row r="700" spans="1:3" ht="13">
      <c r="A700" s="65"/>
      <c r="C700" s="1"/>
    </row>
    <row r="701" spans="1:3" ht="13">
      <c r="A701" s="65"/>
      <c r="C701" s="1"/>
    </row>
    <row r="702" spans="1:3" ht="13">
      <c r="A702" s="65"/>
      <c r="C702" s="1"/>
    </row>
    <row r="703" spans="1:3" ht="13">
      <c r="A703" s="65"/>
      <c r="C703" s="1"/>
    </row>
    <row r="704" spans="1:3" ht="13">
      <c r="A704" s="65"/>
      <c r="C704" s="1"/>
    </row>
    <row r="705" spans="1:3" ht="13">
      <c r="A705" s="65"/>
      <c r="C705" s="1"/>
    </row>
    <row r="706" spans="1:3" ht="13">
      <c r="A706" s="65"/>
      <c r="C706" s="1"/>
    </row>
    <row r="707" spans="1:3" ht="13">
      <c r="A707" s="65"/>
      <c r="C707" s="1"/>
    </row>
    <row r="708" spans="1:3" ht="13">
      <c r="A708" s="65"/>
      <c r="C708" s="1"/>
    </row>
    <row r="709" spans="1:3" ht="13">
      <c r="A709" s="65"/>
      <c r="C709" s="1"/>
    </row>
    <row r="710" spans="1:3" ht="13">
      <c r="A710" s="65"/>
      <c r="C710" s="1"/>
    </row>
    <row r="711" spans="1:3" ht="13">
      <c r="A711" s="65"/>
      <c r="C711" s="1"/>
    </row>
    <row r="712" spans="1:3" ht="13">
      <c r="A712" s="65"/>
      <c r="C712" s="1"/>
    </row>
    <row r="713" spans="1:3" ht="13">
      <c r="A713" s="65"/>
      <c r="C713" s="1"/>
    </row>
    <row r="714" spans="1:3" ht="13">
      <c r="A714" s="65"/>
      <c r="C714" s="1"/>
    </row>
    <row r="715" spans="1:3" ht="13">
      <c r="A715" s="65"/>
      <c r="C715" s="1"/>
    </row>
    <row r="716" spans="1:3" ht="13">
      <c r="A716" s="65"/>
      <c r="C716" s="1"/>
    </row>
    <row r="717" spans="1:3" ht="13">
      <c r="A717" s="65"/>
      <c r="C717" s="1"/>
    </row>
    <row r="718" spans="1:3" ht="13">
      <c r="A718" s="65"/>
      <c r="C718" s="1"/>
    </row>
    <row r="719" spans="1:3" ht="13">
      <c r="A719" s="65"/>
      <c r="C719" s="1"/>
    </row>
    <row r="720" spans="1:3" ht="13">
      <c r="A720" s="65"/>
      <c r="C720" s="1"/>
    </row>
    <row r="721" spans="1:3" ht="13">
      <c r="A721" s="65"/>
      <c r="C721" s="1"/>
    </row>
    <row r="722" spans="1:3" ht="13">
      <c r="A722" s="65"/>
      <c r="C722" s="1"/>
    </row>
    <row r="723" spans="1:3" ht="13">
      <c r="A723" s="65"/>
      <c r="C723" s="1"/>
    </row>
    <row r="724" spans="1:3" ht="13">
      <c r="A724" s="65"/>
      <c r="C724" s="1"/>
    </row>
    <row r="725" spans="1:3" ht="13">
      <c r="A725" s="65"/>
      <c r="C725" s="1"/>
    </row>
    <row r="726" spans="1:3" ht="13">
      <c r="A726" s="65"/>
      <c r="C726" s="1"/>
    </row>
    <row r="727" spans="1:3" ht="13">
      <c r="A727" s="65"/>
      <c r="C727" s="1"/>
    </row>
    <row r="728" spans="1:3" ht="13">
      <c r="A728" s="65"/>
      <c r="C728" s="1"/>
    </row>
    <row r="729" spans="1:3" ht="13">
      <c r="A729" s="65"/>
      <c r="C729" s="1"/>
    </row>
    <row r="730" spans="1:3" ht="13">
      <c r="A730" s="65"/>
      <c r="C730" s="1"/>
    </row>
    <row r="731" spans="1:3" ht="13">
      <c r="A731" s="65"/>
      <c r="C731" s="1"/>
    </row>
    <row r="732" spans="1:3" ht="13">
      <c r="A732" s="65"/>
      <c r="C732" s="1"/>
    </row>
    <row r="733" spans="1:3" ht="13">
      <c r="A733" s="65"/>
      <c r="C733" s="1"/>
    </row>
    <row r="734" spans="1:3" ht="13">
      <c r="A734" s="65"/>
      <c r="C734" s="1"/>
    </row>
    <row r="735" spans="1:3" ht="13">
      <c r="A735" s="65"/>
      <c r="C735" s="1"/>
    </row>
    <row r="736" spans="1:3" ht="13">
      <c r="A736" s="65"/>
      <c r="C736" s="1"/>
    </row>
    <row r="737" spans="1:3" ht="13">
      <c r="A737" s="65"/>
      <c r="C737" s="1"/>
    </row>
    <row r="738" spans="1:3" ht="13">
      <c r="A738" s="65"/>
      <c r="C738" s="1"/>
    </row>
    <row r="739" spans="1:3" ht="13">
      <c r="A739" s="65"/>
      <c r="C739" s="1"/>
    </row>
    <row r="740" spans="1:3" ht="13">
      <c r="A740" s="65"/>
      <c r="C740" s="1"/>
    </row>
    <row r="741" spans="1:3" ht="13">
      <c r="A741" s="65"/>
      <c r="C741" s="1"/>
    </row>
    <row r="742" spans="1:3" ht="13">
      <c r="A742" s="65"/>
      <c r="C742" s="1"/>
    </row>
    <row r="743" spans="1:3" ht="13">
      <c r="A743" s="65"/>
      <c r="C743" s="1"/>
    </row>
    <row r="744" spans="1:3" ht="13">
      <c r="A744" s="65"/>
      <c r="C744" s="1"/>
    </row>
    <row r="745" spans="1:3" ht="13">
      <c r="A745" s="65"/>
      <c r="C745" s="1"/>
    </row>
    <row r="746" spans="1:3" ht="13">
      <c r="A746" s="65"/>
      <c r="C746" s="1"/>
    </row>
    <row r="747" spans="1:3" ht="13">
      <c r="A747" s="65"/>
      <c r="C747" s="1"/>
    </row>
    <row r="748" spans="1:3" ht="13">
      <c r="A748" s="65"/>
      <c r="C748" s="1"/>
    </row>
    <row r="749" spans="1:3" ht="13">
      <c r="A749" s="65"/>
      <c r="C749" s="1"/>
    </row>
    <row r="750" spans="1:3" ht="13">
      <c r="A750" s="65"/>
      <c r="C750" s="1"/>
    </row>
    <row r="751" spans="1:3" ht="13">
      <c r="A751" s="65"/>
      <c r="C751" s="1"/>
    </row>
    <row r="752" spans="1:3" ht="13">
      <c r="A752" s="65"/>
      <c r="C752" s="1"/>
    </row>
    <row r="753" spans="1:3" ht="13">
      <c r="A753" s="65"/>
      <c r="C753" s="1"/>
    </row>
    <row r="754" spans="1:3" ht="13">
      <c r="A754" s="65"/>
      <c r="C754" s="1"/>
    </row>
    <row r="755" spans="1:3" ht="13">
      <c r="A755" s="65"/>
      <c r="C755" s="1"/>
    </row>
    <row r="756" spans="1:3" ht="13">
      <c r="A756" s="65"/>
      <c r="C756" s="1"/>
    </row>
    <row r="757" spans="1:3" ht="13">
      <c r="A757" s="65"/>
      <c r="C757" s="1"/>
    </row>
    <row r="758" spans="1:3" ht="13">
      <c r="A758" s="65"/>
      <c r="C758" s="1"/>
    </row>
    <row r="759" spans="1:3" ht="13">
      <c r="A759" s="65"/>
      <c r="C759" s="1"/>
    </row>
    <row r="760" spans="1:3" ht="13">
      <c r="A760" s="65"/>
      <c r="C760" s="1"/>
    </row>
    <row r="761" spans="1:3" ht="13">
      <c r="A761" s="65"/>
      <c r="C761" s="1"/>
    </row>
    <row r="762" spans="1:3" ht="13">
      <c r="A762" s="65"/>
      <c r="C762" s="1"/>
    </row>
    <row r="763" spans="1:3" ht="13">
      <c r="A763" s="65"/>
      <c r="C763" s="1"/>
    </row>
    <row r="764" spans="1:3" ht="13">
      <c r="A764" s="65"/>
      <c r="C764" s="1"/>
    </row>
    <row r="765" spans="1:3" ht="13">
      <c r="A765" s="65"/>
      <c r="C765" s="1"/>
    </row>
    <row r="766" spans="1:3" ht="13">
      <c r="A766" s="65"/>
      <c r="C766" s="1"/>
    </row>
    <row r="767" spans="1:3" ht="13">
      <c r="A767" s="65"/>
      <c r="C767" s="1"/>
    </row>
    <row r="768" spans="1:3" ht="13">
      <c r="A768" s="65"/>
      <c r="C768" s="1"/>
    </row>
    <row r="769" spans="1:3" ht="13">
      <c r="A769" s="65"/>
      <c r="C769" s="1"/>
    </row>
    <row r="770" spans="1:3" ht="13">
      <c r="A770" s="65"/>
      <c r="C770" s="1"/>
    </row>
    <row r="771" spans="1:3" ht="13">
      <c r="A771" s="65"/>
      <c r="C771" s="1"/>
    </row>
    <row r="772" spans="1:3" ht="13">
      <c r="A772" s="65"/>
      <c r="C772" s="1"/>
    </row>
    <row r="773" spans="1:3" ht="13">
      <c r="A773" s="65"/>
      <c r="C773" s="1"/>
    </row>
    <row r="774" spans="1:3" ht="13">
      <c r="A774" s="65"/>
      <c r="C774" s="1"/>
    </row>
    <row r="775" spans="1:3" ht="13">
      <c r="A775" s="65"/>
      <c r="C775" s="1"/>
    </row>
    <row r="776" spans="1:3" ht="13">
      <c r="A776" s="65"/>
      <c r="C776" s="1"/>
    </row>
    <row r="777" spans="1:3" ht="13">
      <c r="A777" s="65"/>
      <c r="C777" s="1"/>
    </row>
    <row r="778" spans="1:3" ht="13">
      <c r="A778" s="65"/>
      <c r="C778" s="1"/>
    </row>
    <row r="779" spans="1:3" ht="13">
      <c r="A779" s="65"/>
      <c r="C779" s="1"/>
    </row>
    <row r="780" spans="1:3" ht="13">
      <c r="A780" s="65"/>
      <c r="C780" s="1"/>
    </row>
    <row r="781" spans="1:3" ht="13">
      <c r="A781" s="65"/>
      <c r="C781" s="1"/>
    </row>
    <row r="782" spans="1:3" ht="13">
      <c r="A782" s="65"/>
      <c r="C782" s="1"/>
    </row>
    <row r="783" spans="1:3" ht="13">
      <c r="A783" s="65"/>
      <c r="C783" s="1"/>
    </row>
    <row r="784" spans="1:3" ht="13">
      <c r="A784" s="65"/>
      <c r="C784" s="1"/>
    </row>
    <row r="785" spans="1:3" ht="13">
      <c r="A785" s="65"/>
      <c r="C785" s="1"/>
    </row>
    <row r="786" spans="1:3" ht="13">
      <c r="A786" s="65"/>
      <c r="C786" s="1"/>
    </row>
    <row r="787" spans="1:3" ht="13">
      <c r="A787" s="65"/>
      <c r="C787" s="1"/>
    </row>
    <row r="788" spans="1:3" ht="13">
      <c r="A788" s="65"/>
      <c r="C788" s="1"/>
    </row>
    <row r="789" spans="1:3" ht="13">
      <c r="A789" s="65"/>
      <c r="C789" s="1"/>
    </row>
    <row r="790" spans="1:3" ht="13">
      <c r="A790" s="65"/>
      <c r="C790" s="1"/>
    </row>
    <row r="791" spans="1:3" ht="13">
      <c r="A791" s="65"/>
      <c r="C791" s="1"/>
    </row>
    <row r="792" spans="1:3" ht="13">
      <c r="A792" s="65"/>
      <c r="C792" s="1"/>
    </row>
    <row r="793" spans="1:3" ht="13">
      <c r="A793" s="65"/>
      <c r="C793" s="1"/>
    </row>
    <row r="794" spans="1:3" ht="13">
      <c r="A794" s="65"/>
      <c r="C794" s="1"/>
    </row>
    <row r="795" spans="1:3" ht="13">
      <c r="A795" s="65"/>
      <c r="C795" s="1"/>
    </row>
    <row r="796" spans="1:3" ht="13">
      <c r="A796" s="65"/>
      <c r="C796" s="1"/>
    </row>
    <row r="797" spans="1:3" ht="13">
      <c r="A797" s="65"/>
      <c r="C797" s="1"/>
    </row>
    <row r="798" spans="1:3" ht="13">
      <c r="A798" s="65"/>
      <c r="C798" s="1"/>
    </row>
    <row r="799" spans="1:3" ht="13">
      <c r="A799" s="65"/>
      <c r="C799" s="1"/>
    </row>
    <row r="800" spans="1:3" ht="13">
      <c r="A800" s="65"/>
      <c r="C800" s="1"/>
    </row>
    <row r="801" spans="1:3" ht="13">
      <c r="A801" s="65"/>
      <c r="C801" s="1"/>
    </row>
    <row r="802" spans="1:3" ht="13">
      <c r="A802" s="65"/>
      <c r="C802" s="1"/>
    </row>
    <row r="803" spans="1:3" ht="13">
      <c r="A803" s="65"/>
      <c r="C803" s="1"/>
    </row>
    <row r="804" spans="1:3" ht="13">
      <c r="A804" s="65"/>
      <c r="C804" s="1"/>
    </row>
    <row r="805" spans="1:3" ht="13">
      <c r="A805" s="65"/>
      <c r="C805" s="1"/>
    </row>
    <row r="806" spans="1:3" ht="13">
      <c r="A806" s="65"/>
      <c r="C806" s="1"/>
    </row>
    <row r="807" spans="1:3" ht="13">
      <c r="A807" s="65"/>
      <c r="C807" s="1"/>
    </row>
    <row r="808" spans="1:3" ht="13">
      <c r="A808" s="65"/>
      <c r="C808" s="1"/>
    </row>
    <row r="809" spans="1:3" ht="13">
      <c r="A809" s="65"/>
      <c r="C809" s="1"/>
    </row>
    <row r="810" spans="1:3" ht="13">
      <c r="A810" s="65"/>
      <c r="C810" s="1"/>
    </row>
    <row r="811" spans="1:3" ht="13">
      <c r="A811" s="65"/>
      <c r="C811" s="1"/>
    </row>
    <row r="812" spans="1:3" ht="13">
      <c r="A812" s="65"/>
      <c r="C812" s="1"/>
    </row>
    <row r="813" spans="1:3" ht="13">
      <c r="A813" s="65"/>
      <c r="C813" s="1"/>
    </row>
    <row r="814" spans="1:3" ht="13">
      <c r="A814" s="65"/>
      <c r="C814" s="1"/>
    </row>
    <row r="815" spans="1:3" ht="13">
      <c r="A815" s="65"/>
      <c r="C815" s="1"/>
    </row>
    <row r="816" spans="1:3" ht="13">
      <c r="A816" s="65"/>
      <c r="C816" s="1"/>
    </row>
    <row r="817" spans="1:3" ht="13">
      <c r="A817" s="65"/>
      <c r="C817" s="1"/>
    </row>
    <row r="818" spans="1:3" ht="13">
      <c r="A818" s="65"/>
      <c r="C818" s="1"/>
    </row>
    <row r="819" spans="1:3" ht="13">
      <c r="A819" s="65"/>
      <c r="C819" s="1"/>
    </row>
    <row r="820" spans="1:3" ht="13">
      <c r="A820" s="65"/>
      <c r="C820" s="1"/>
    </row>
    <row r="821" spans="1:3" ht="13">
      <c r="A821" s="65"/>
      <c r="C821" s="1"/>
    </row>
    <row r="822" spans="1:3" ht="13">
      <c r="A822" s="65"/>
      <c r="C822" s="1"/>
    </row>
    <row r="823" spans="1:3" ht="13">
      <c r="A823" s="65"/>
      <c r="C823" s="1"/>
    </row>
    <row r="824" spans="1:3" ht="13">
      <c r="A824" s="65"/>
      <c r="C824" s="1"/>
    </row>
    <row r="825" spans="1:3" ht="13">
      <c r="A825" s="65"/>
      <c r="C825" s="1"/>
    </row>
    <row r="826" spans="1:3" ht="13">
      <c r="A826" s="65"/>
      <c r="C826" s="1"/>
    </row>
    <row r="827" spans="1:3" ht="13">
      <c r="A827" s="65"/>
      <c r="C827" s="1"/>
    </row>
    <row r="828" spans="1:3" ht="13">
      <c r="A828" s="65"/>
      <c r="C828" s="1"/>
    </row>
    <row r="829" spans="1:3" ht="13">
      <c r="A829" s="65"/>
      <c r="C829" s="1"/>
    </row>
    <row r="830" spans="1:3" ht="13">
      <c r="A830" s="65"/>
      <c r="C830" s="1"/>
    </row>
    <row r="831" spans="1:3" ht="13">
      <c r="A831" s="65"/>
      <c r="C831" s="1"/>
    </row>
    <row r="832" spans="1:3" ht="13">
      <c r="A832" s="65"/>
      <c r="C832" s="1"/>
    </row>
    <row r="833" spans="1:3" ht="13">
      <c r="A833" s="65"/>
      <c r="C833" s="1"/>
    </row>
    <row r="834" spans="1:3" ht="13">
      <c r="A834" s="65"/>
      <c r="C834" s="1"/>
    </row>
    <row r="835" spans="1:3" ht="13">
      <c r="A835" s="65"/>
      <c r="C835" s="1"/>
    </row>
    <row r="836" spans="1:3" ht="13">
      <c r="A836" s="65"/>
      <c r="C836" s="1"/>
    </row>
    <row r="837" spans="1:3" ht="13">
      <c r="A837" s="65"/>
      <c r="C837" s="1"/>
    </row>
    <row r="838" spans="1:3" ht="13">
      <c r="A838" s="65"/>
      <c r="C838" s="1"/>
    </row>
    <row r="839" spans="1:3" ht="13">
      <c r="A839" s="65"/>
      <c r="C839" s="1"/>
    </row>
    <row r="840" spans="1:3" ht="13">
      <c r="A840" s="65"/>
      <c r="C840" s="1"/>
    </row>
    <row r="841" spans="1:3" ht="13">
      <c r="A841" s="65"/>
      <c r="C841" s="1"/>
    </row>
    <row r="842" spans="1:3" ht="13">
      <c r="A842" s="65"/>
      <c r="C842" s="1"/>
    </row>
    <row r="843" spans="1:3" ht="13">
      <c r="A843" s="65"/>
      <c r="C843" s="1"/>
    </row>
    <row r="844" spans="1:3" ht="13">
      <c r="A844" s="65"/>
      <c r="C844" s="1"/>
    </row>
    <row r="845" spans="1:3" ht="13">
      <c r="A845" s="65"/>
      <c r="C845" s="1"/>
    </row>
    <row r="846" spans="1:3" ht="13">
      <c r="A846" s="65"/>
      <c r="C846" s="1"/>
    </row>
    <row r="847" spans="1:3" ht="13">
      <c r="A847" s="65"/>
      <c r="C847" s="1"/>
    </row>
    <row r="848" spans="1:3" ht="13">
      <c r="A848" s="65"/>
      <c r="C848" s="1"/>
    </row>
    <row r="849" spans="1:3" ht="13">
      <c r="A849" s="65"/>
      <c r="C849" s="1"/>
    </row>
    <row r="850" spans="1:3" ht="13">
      <c r="A850" s="65"/>
      <c r="C850" s="1"/>
    </row>
    <row r="851" spans="1:3" ht="13">
      <c r="A851" s="65"/>
      <c r="C851" s="1"/>
    </row>
    <row r="852" spans="1:3" ht="13">
      <c r="A852" s="65"/>
      <c r="C852" s="1"/>
    </row>
    <row r="853" spans="1:3" ht="13">
      <c r="A853" s="65"/>
      <c r="C853" s="1"/>
    </row>
    <row r="854" spans="1:3" ht="13">
      <c r="A854" s="65"/>
      <c r="C854" s="1"/>
    </row>
    <row r="855" spans="1:3" ht="13">
      <c r="A855" s="65"/>
      <c r="C855" s="1"/>
    </row>
    <row r="856" spans="1:3" ht="13">
      <c r="A856" s="65"/>
      <c r="C856" s="1"/>
    </row>
    <row r="857" spans="1:3" ht="13">
      <c r="A857" s="65"/>
      <c r="C857" s="1"/>
    </row>
    <row r="858" spans="1:3" ht="13">
      <c r="A858" s="65"/>
      <c r="C858" s="1"/>
    </row>
    <row r="859" spans="1:3" ht="13">
      <c r="A859" s="65"/>
      <c r="C859" s="1"/>
    </row>
    <row r="860" spans="1:3" ht="13">
      <c r="A860" s="65"/>
      <c r="C860" s="1"/>
    </row>
    <row r="861" spans="1:3" ht="13">
      <c r="A861" s="65"/>
      <c r="C861" s="1"/>
    </row>
    <row r="862" spans="1:3" ht="13">
      <c r="A862" s="65"/>
      <c r="C862" s="1"/>
    </row>
    <row r="863" spans="1:3" ht="13">
      <c r="A863" s="65"/>
      <c r="C863" s="1"/>
    </row>
    <row r="864" spans="1:3" ht="13">
      <c r="A864" s="65"/>
      <c r="C864" s="1"/>
    </row>
    <row r="865" spans="1:3" ht="13">
      <c r="A865" s="65"/>
      <c r="C865" s="1"/>
    </row>
    <row r="866" spans="1:3" ht="13">
      <c r="A866" s="65"/>
      <c r="C866" s="1"/>
    </row>
    <row r="867" spans="1:3" ht="13">
      <c r="A867" s="65"/>
      <c r="C867" s="1"/>
    </row>
    <row r="868" spans="1:3" ht="13">
      <c r="A868" s="65"/>
      <c r="C868" s="1"/>
    </row>
    <row r="869" spans="1:3" ht="13">
      <c r="A869" s="65"/>
      <c r="C869" s="1"/>
    </row>
    <row r="870" spans="1:3" ht="13">
      <c r="A870" s="65"/>
      <c r="C870" s="1"/>
    </row>
    <row r="871" spans="1:3" ht="13">
      <c r="A871" s="65"/>
      <c r="C871" s="1"/>
    </row>
    <row r="872" spans="1:3" ht="13">
      <c r="A872" s="65"/>
      <c r="C872" s="1"/>
    </row>
    <row r="873" spans="1:3" ht="13">
      <c r="A873" s="65"/>
      <c r="C873" s="1"/>
    </row>
    <row r="874" spans="1:3" ht="13">
      <c r="A874" s="65"/>
      <c r="C874" s="1"/>
    </row>
    <row r="875" spans="1:3" ht="13">
      <c r="A875" s="65"/>
      <c r="C875" s="1"/>
    </row>
    <row r="876" spans="1:3" ht="13">
      <c r="A876" s="65"/>
      <c r="C876" s="1"/>
    </row>
    <row r="877" spans="1:3" ht="13">
      <c r="A877" s="65"/>
      <c r="C877" s="1"/>
    </row>
    <row r="878" spans="1:3" ht="13">
      <c r="A878" s="65"/>
      <c r="C878" s="1"/>
    </row>
    <row r="879" spans="1:3" ht="13">
      <c r="A879" s="65"/>
      <c r="C879" s="1"/>
    </row>
    <row r="880" spans="1:3" ht="13">
      <c r="A880" s="65"/>
      <c r="C880" s="1"/>
    </row>
    <row r="881" spans="1:3" ht="13">
      <c r="A881" s="65"/>
      <c r="C881" s="1"/>
    </row>
    <row r="882" spans="1:3" ht="13">
      <c r="A882" s="65"/>
      <c r="C882" s="1"/>
    </row>
    <row r="883" spans="1:3" ht="13">
      <c r="A883" s="65"/>
      <c r="C883" s="1"/>
    </row>
    <row r="884" spans="1:3" ht="13">
      <c r="A884" s="65"/>
      <c r="C884" s="1"/>
    </row>
    <row r="885" spans="1:3" ht="13">
      <c r="A885" s="65"/>
      <c r="C885" s="1"/>
    </row>
    <row r="886" spans="1:3" ht="13">
      <c r="A886" s="65"/>
      <c r="C886" s="1"/>
    </row>
    <row r="887" spans="1:3" ht="13">
      <c r="A887" s="65"/>
      <c r="C887" s="1"/>
    </row>
    <row r="888" spans="1:3" ht="13">
      <c r="A888" s="65"/>
      <c r="C888" s="1"/>
    </row>
    <row r="889" spans="1:3" ht="13">
      <c r="A889" s="65"/>
      <c r="C889" s="1"/>
    </row>
    <row r="890" spans="1:3" ht="13">
      <c r="A890" s="65"/>
      <c r="C890" s="1"/>
    </row>
    <row r="891" spans="1:3" ht="13">
      <c r="A891" s="65"/>
      <c r="C891" s="1"/>
    </row>
    <row r="892" spans="1:3" ht="13">
      <c r="A892" s="65"/>
      <c r="C892" s="1"/>
    </row>
    <row r="893" spans="1:3" ht="13">
      <c r="A893" s="65"/>
      <c r="C893" s="1"/>
    </row>
    <row r="894" spans="1:3" ht="13">
      <c r="A894" s="65"/>
      <c r="C894" s="1"/>
    </row>
    <row r="895" spans="1:3" ht="13">
      <c r="A895" s="65"/>
      <c r="C895" s="1"/>
    </row>
    <row r="896" spans="1:3" ht="13">
      <c r="A896" s="65"/>
      <c r="C896" s="1"/>
    </row>
    <row r="897" spans="1:3" ht="13">
      <c r="A897" s="65"/>
      <c r="C897" s="1"/>
    </row>
    <row r="898" spans="1:3" ht="13">
      <c r="A898" s="65"/>
      <c r="C898" s="1"/>
    </row>
    <row r="899" spans="1:3" ht="13">
      <c r="A899" s="65"/>
      <c r="C899" s="1"/>
    </row>
    <row r="900" spans="1:3" ht="13">
      <c r="A900" s="65"/>
      <c r="C900" s="1"/>
    </row>
    <row r="901" spans="1:3" ht="13">
      <c r="A901" s="65"/>
      <c r="C901" s="1"/>
    </row>
    <row r="902" spans="1:3" ht="13">
      <c r="A902" s="65"/>
      <c r="C902" s="1"/>
    </row>
    <row r="903" spans="1:3" ht="13">
      <c r="A903" s="65"/>
      <c r="C903" s="1"/>
    </row>
    <row r="904" spans="1:3" ht="13">
      <c r="A904" s="65"/>
      <c r="C904" s="1"/>
    </row>
    <row r="905" spans="1:3" ht="13">
      <c r="A905" s="65"/>
      <c r="C905" s="1"/>
    </row>
    <row r="906" spans="1:3" ht="13">
      <c r="A906" s="65"/>
      <c r="C906" s="1"/>
    </row>
    <row r="907" spans="1:3" ht="13">
      <c r="A907" s="65"/>
      <c r="C907" s="1"/>
    </row>
    <row r="908" spans="1:3" ht="13">
      <c r="A908" s="65"/>
      <c r="C908" s="1"/>
    </row>
    <row r="909" spans="1:3" ht="13">
      <c r="A909" s="65"/>
      <c r="C909" s="1"/>
    </row>
    <row r="910" spans="1:3" ht="13">
      <c r="A910" s="65"/>
      <c r="C910" s="1"/>
    </row>
    <row r="911" spans="1:3" ht="13">
      <c r="A911" s="65"/>
      <c r="C911" s="1"/>
    </row>
    <row r="912" spans="1:3" ht="13">
      <c r="A912" s="65"/>
      <c r="C912" s="1"/>
    </row>
    <row r="913" spans="1:3" ht="13">
      <c r="A913" s="65"/>
      <c r="C913" s="1"/>
    </row>
    <row r="914" spans="1:3" ht="13">
      <c r="A914" s="65"/>
      <c r="C914" s="1"/>
    </row>
    <row r="915" spans="1:3" ht="13">
      <c r="A915" s="65"/>
      <c r="C915" s="1"/>
    </row>
    <row r="916" spans="1:3" ht="13">
      <c r="A916" s="65"/>
      <c r="C916" s="1"/>
    </row>
    <row r="917" spans="1:3" ht="13">
      <c r="A917" s="65"/>
      <c r="C917" s="1"/>
    </row>
    <row r="918" spans="1:3" ht="13">
      <c r="A918" s="65"/>
      <c r="C918" s="1"/>
    </row>
    <row r="919" spans="1:3" ht="13">
      <c r="A919" s="65"/>
      <c r="C919" s="1"/>
    </row>
    <row r="920" spans="1:3" ht="13">
      <c r="A920" s="65"/>
      <c r="C920" s="1"/>
    </row>
    <row r="921" spans="1:3" ht="13">
      <c r="A921" s="65"/>
      <c r="C921" s="1"/>
    </row>
    <row r="922" spans="1:3" ht="13">
      <c r="A922" s="65"/>
      <c r="C922" s="1"/>
    </row>
    <row r="923" spans="1:3" ht="13">
      <c r="A923" s="65"/>
      <c r="C923" s="1"/>
    </row>
    <row r="924" spans="1:3" ht="13">
      <c r="A924" s="65"/>
      <c r="C924" s="1"/>
    </row>
    <row r="925" spans="1:3" ht="13">
      <c r="A925" s="65"/>
      <c r="C925" s="1"/>
    </row>
    <row r="926" spans="1:3" ht="13">
      <c r="A926" s="65"/>
      <c r="C926" s="1"/>
    </row>
    <row r="927" spans="1:3" ht="13">
      <c r="A927" s="65"/>
      <c r="C927" s="1"/>
    </row>
    <row r="928" spans="1:3" ht="13">
      <c r="A928" s="65"/>
      <c r="C928" s="1"/>
    </row>
    <row r="929" spans="1:3" ht="13">
      <c r="A929" s="65"/>
      <c r="C929" s="1"/>
    </row>
    <row r="930" spans="1:3" ht="13">
      <c r="A930" s="65"/>
      <c r="C930" s="1"/>
    </row>
    <row r="931" spans="1:3" ht="13">
      <c r="A931" s="65"/>
      <c r="C931" s="1"/>
    </row>
    <row r="932" spans="1:3" ht="13">
      <c r="A932" s="65"/>
      <c r="C932" s="1"/>
    </row>
    <row r="933" spans="1:3" ht="13">
      <c r="A933" s="65"/>
      <c r="C933" s="1"/>
    </row>
    <row r="934" spans="1:3" ht="13">
      <c r="A934" s="65"/>
      <c r="C934" s="1"/>
    </row>
    <row r="935" spans="1:3" ht="13">
      <c r="A935" s="65"/>
      <c r="C935" s="1"/>
    </row>
    <row r="936" spans="1:3" ht="13">
      <c r="A936" s="65"/>
      <c r="C936" s="1"/>
    </row>
    <row r="937" spans="1:3" ht="13">
      <c r="A937" s="65"/>
      <c r="C937" s="1"/>
    </row>
    <row r="938" spans="1:3" ht="13">
      <c r="A938" s="65"/>
      <c r="C938" s="1"/>
    </row>
    <row r="939" spans="1:3" ht="13">
      <c r="A939" s="65"/>
      <c r="C939" s="1"/>
    </row>
    <row r="940" spans="1:3" ht="13">
      <c r="A940" s="65"/>
      <c r="C940" s="1"/>
    </row>
    <row r="941" spans="1:3" ht="13">
      <c r="A941" s="65"/>
      <c r="C941" s="1"/>
    </row>
    <row r="942" spans="1:3" ht="13">
      <c r="A942" s="65"/>
      <c r="C942" s="1"/>
    </row>
    <row r="943" spans="1:3" ht="13">
      <c r="A943" s="65"/>
      <c r="C943" s="1"/>
    </row>
    <row r="944" spans="1:3" ht="13">
      <c r="A944" s="65"/>
      <c r="C944" s="1"/>
    </row>
    <row r="945" spans="1:3" ht="13">
      <c r="A945" s="65"/>
      <c r="C945" s="1"/>
    </row>
    <row r="946" spans="1:3" ht="13">
      <c r="A946" s="65"/>
      <c r="C946" s="1"/>
    </row>
    <row r="947" spans="1:3" ht="13">
      <c r="A947" s="65"/>
      <c r="C947" s="1"/>
    </row>
    <row r="948" spans="1:3" ht="13">
      <c r="A948" s="65"/>
      <c r="C948" s="1"/>
    </row>
    <row r="949" spans="1:3" ht="13">
      <c r="A949" s="65"/>
      <c r="C949" s="1"/>
    </row>
    <row r="950" spans="1:3" ht="13">
      <c r="A950" s="65"/>
      <c r="C950" s="1"/>
    </row>
    <row r="951" spans="1:3" ht="13">
      <c r="A951" s="65"/>
      <c r="C951" s="1"/>
    </row>
    <row r="952" spans="1:3" ht="13">
      <c r="A952" s="65"/>
      <c r="C952" s="1"/>
    </row>
    <row r="953" spans="1:3" ht="13">
      <c r="A953" s="65"/>
      <c r="C953" s="1"/>
    </row>
    <row r="954" spans="1:3" ht="13">
      <c r="A954" s="65"/>
      <c r="C954" s="1"/>
    </row>
    <row r="955" spans="1:3" ht="13">
      <c r="A955" s="65"/>
      <c r="C955" s="1"/>
    </row>
    <row r="956" spans="1:3" ht="13">
      <c r="A956" s="65"/>
      <c r="C956" s="1"/>
    </row>
    <row r="957" spans="1:3" ht="13">
      <c r="A957" s="65"/>
      <c r="C957" s="1"/>
    </row>
    <row r="958" spans="1:3" ht="13">
      <c r="A958" s="65"/>
      <c r="C958" s="1"/>
    </row>
    <row r="959" spans="1:3" ht="13">
      <c r="A959" s="65"/>
      <c r="C959" s="1"/>
    </row>
    <row r="960" spans="1:3" ht="13">
      <c r="A960" s="65"/>
      <c r="C960" s="1"/>
    </row>
    <row r="961" spans="1:3" ht="13">
      <c r="A961" s="65"/>
      <c r="C961" s="1"/>
    </row>
    <row r="962" spans="1:3" ht="13">
      <c r="A962" s="65"/>
      <c r="C962" s="1"/>
    </row>
    <row r="963" spans="1:3" ht="13">
      <c r="A963" s="65"/>
      <c r="C963" s="1"/>
    </row>
    <row r="964" spans="1:3" ht="13">
      <c r="A964" s="65"/>
      <c r="C964" s="1"/>
    </row>
    <row r="965" spans="1:3" ht="13">
      <c r="A965" s="65"/>
      <c r="C965" s="1"/>
    </row>
    <row r="966" spans="1:3" ht="13">
      <c r="A966" s="65"/>
      <c r="C966" s="1"/>
    </row>
    <row r="967" spans="1:3" ht="13">
      <c r="A967" s="65"/>
      <c r="C967" s="1"/>
    </row>
    <row r="968" spans="1:3" ht="13">
      <c r="A968" s="65"/>
      <c r="C968" s="1"/>
    </row>
    <row r="969" spans="1:3" ht="13">
      <c r="A969" s="65"/>
      <c r="C969" s="1"/>
    </row>
    <row r="970" spans="1:3" ht="13">
      <c r="A970" s="65"/>
      <c r="C970" s="1"/>
    </row>
    <row r="971" spans="1:3" ht="13">
      <c r="A971" s="65"/>
      <c r="C971" s="1"/>
    </row>
    <row r="972" spans="1:3" ht="13">
      <c r="A972" s="65"/>
      <c r="C972" s="1"/>
    </row>
    <row r="973" spans="1:3" ht="13">
      <c r="A973" s="65"/>
      <c r="C973" s="1"/>
    </row>
    <row r="974" spans="1:3" ht="13">
      <c r="A974" s="65"/>
      <c r="C974" s="1"/>
    </row>
    <row r="975" spans="1:3" ht="13">
      <c r="A975" s="65"/>
      <c r="C975" s="1"/>
    </row>
    <row r="976" spans="1:3" ht="13">
      <c r="A976" s="65"/>
      <c r="C976" s="1"/>
    </row>
    <row r="977" spans="1:3" ht="13">
      <c r="A977" s="65"/>
      <c r="C977" s="1"/>
    </row>
    <row r="978" spans="1:3" ht="13">
      <c r="A978" s="65"/>
      <c r="C978" s="1"/>
    </row>
    <row r="979" spans="1:3" ht="13">
      <c r="A979" s="65"/>
      <c r="C979" s="1"/>
    </row>
    <row r="980" spans="1:3" ht="13">
      <c r="A980" s="65"/>
      <c r="C980" s="1"/>
    </row>
    <row r="981" spans="1:3" ht="13">
      <c r="A981" s="65"/>
      <c r="C981" s="1"/>
    </row>
    <row r="982" spans="1:3" ht="13">
      <c r="A982" s="65"/>
      <c r="C982" s="1"/>
    </row>
    <row r="983" spans="1:3" ht="13">
      <c r="A983" s="65"/>
      <c r="C983" s="1"/>
    </row>
    <row r="984" spans="1:3" ht="13">
      <c r="A984" s="65"/>
      <c r="C984" s="1"/>
    </row>
    <row r="985" spans="1:3" ht="13">
      <c r="A985" s="65"/>
      <c r="C985" s="1"/>
    </row>
    <row r="986" spans="1:3" ht="13">
      <c r="A986" s="65"/>
      <c r="C986" s="1"/>
    </row>
    <row r="987" spans="1:3" ht="13">
      <c r="A987" s="65"/>
      <c r="C987" s="1"/>
    </row>
    <row r="988" spans="1:3" ht="13">
      <c r="A988" s="65"/>
      <c r="C988" s="1"/>
    </row>
    <row r="989" spans="1:3" ht="13">
      <c r="A989" s="65"/>
      <c r="C989" s="1"/>
    </row>
    <row r="990" spans="1:3" ht="13">
      <c r="A990" s="65"/>
      <c r="C990" s="1"/>
    </row>
    <row r="991" spans="1:3" ht="13">
      <c r="A991" s="65"/>
      <c r="C991" s="1"/>
    </row>
    <row r="992" spans="1:3" ht="13">
      <c r="A992" s="65"/>
      <c r="C992" s="1"/>
    </row>
    <row r="993" spans="1:3" ht="13">
      <c r="A993" s="65"/>
      <c r="C993" s="1"/>
    </row>
    <row r="994" spans="1:3" ht="13">
      <c r="A994" s="65"/>
      <c r="C994" s="1"/>
    </row>
    <row r="995" spans="1:3" ht="13">
      <c r="A995" s="65"/>
      <c r="C995" s="1"/>
    </row>
    <row r="996" spans="1:3" ht="13">
      <c r="A996" s="65"/>
      <c r="C996" s="1"/>
    </row>
    <row r="997" spans="1:3" ht="13">
      <c r="A997" s="65"/>
      <c r="C997" s="1"/>
    </row>
    <row r="998" spans="1:3" ht="13">
      <c r="A998" s="65"/>
      <c r="C998" s="1"/>
    </row>
    <row r="999" spans="1:3" ht="13">
      <c r="A999" s="65"/>
      <c r="C999" s="1"/>
    </row>
    <row r="1000" spans="1:3" ht="13">
      <c r="A1000" s="65"/>
      <c r="C1000" s="1"/>
    </row>
    <row r="1001" spans="1:3" ht="13">
      <c r="A1001" s="65"/>
      <c r="C1001" s="1"/>
    </row>
    <row r="1002" spans="1:3" ht="13">
      <c r="A1002" s="65"/>
      <c r="C1002" s="1"/>
    </row>
    <row r="1003" spans="1:3" ht="13">
      <c r="A1003" s="65"/>
      <c r="C1003" s="1"/>
    </row>
    <row r="1004" spans="1:3" ht="13">
      <c r="A1004" s="65"/>
      <c r="C1004" s="1"/>
    </row>
    <row r="1005" spans="1:3" ht="13">
      <c r="A1005" s="65"/>
      <c r="C1005" s="1"/>
    </row>
    <row r="1006" spans="1:3" ht="13">
      <c r="A1006" s="65"/>
      <c r="C1006" s="1"/>
    </row>
    <row r="1007" spans="1:3" ht="13">
      <c r="A1007" s="65"/>
      <c r="C1007" s="1"/>
    </row>
    <row r="1008" spans="1:3" ht="13">
      <c r="A1008" s="65"/>
      <c r="C1008" s="1"/>
    </row>
    <row r="1009" spans="1:3" ht="13">
      <c r="A1009" s="65"/>
      <c r="C1009" s="1"/>
    </row>
    <row r="1010" spans="1:3" ht="13">
      <c r="A1010" s="65"/>
      <c r="C1010" s="1"/>
    </row>
    <row r="1011" spans="1:3" ht="13">
      <c r="A1011" s="65"/>
      <c r="C1011" s="1"/>
    </row>
    <row r="1012" spans="1:3" ht="13">
      <c r="A1012" s="65"/>
      <c r="C1012" s="1"/>
    </row>
    <row r="1013" spans="1:3" ht="13">
      <c r="A1013" s="65"/>
      <c r="C1013" s="1"/>
    </row>
    <row r="1014" spans="1:3" ht="13">
      <c r="A1014" s="65"/>
      <c r="C1014" s="1"/>
    </row>
    <row r="1015" spans="1:3" ht="13">
      <c r="A1015" s="65"/>
      <c r="C1015" s="1"/>
    </row>
    <row r="1016" spans="1:3" ht="13">
      <c r="A1016" s="65"/>
      <c r="C1016" s="1"/>
    </row>
    <row r="1017" spans="1:3" ht="13">
      <c r="A1017" s="65"/>
      <c r="C1017" s="1"/>
    </row>
    <row r="1018" spans="1:3" ht="13">
      <c r="A1018" s="65"/>
      <c r="C1018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G50"/>
  <sheetViews>
    <sheetView workbookViewId="0">
      <selection activeCell="B52" sqref="B52"/>
    </sheetView>
  </sheetViews>
  <sheetFormatPr baseColWidth="10" defaultColWidth="14.5" defaultRowHeight="15.75" customHeight="1"/>
  <cols>
    <col min="1" max="1" width="42.5" bestFit="1" customWidth="1"/>
    <col min="2" max="2" width="14.5" style="51"/>
  </cols>
  <sheetData>
    <row r="1" spans="1:2" s="74" customFormat="1" ht="15.75" customHeight="1">
      <c r="A1" s="74" t="s">
        <v>38</v>
      </c>
      <c r="B1" s="75" t="s">
        <v>9</v>
      </c>
    </row>
    <row r="2" spans="1:2" ht="15.75" customHeight="1">
      <c r="A2" s="2" t="s">
        <v>14</v>
      </c>
      <c r="B2" s="101">
        <f>Parameters!B27</f>
        <v>0.03</v>
      </c>
    </row>
    <row r="4" spans="1:2" ht="15.75" customHeight="1">
      <c r="A4" s="3" t="s">
        <v>15</v>
      </c>
    </row>
    <row r="5" spans="1:2" ht="15.75" customHeight="1">
      <c r="A5" s="2" t="s">
        <v>59</v>
      </c>
      <c r="B5" s="53">
        <v>16</v>
      </c>
    </row>
    <row r="6" spans="1:2" ht="15.75" customHeight="1">
      <c r="A6" s="2" t="s">
        <v>60</v>
      </c>
      <c r="B6" s="46">
        <v>4</v>
      </c>
    </row>
    <row r="7" spans="1:2" ht="15.75" customHeight="1">
      <c r="A7" s="71" t="s">
        <v>61</v>
      </c>
      <c r="B7" s="111">
        <f>B5/B6</f>
        <v>4</v>
      </c>
    </row>
    <row r="9" spans="1:2" ht="15.75" customHeight="1">
      <c r="A9" s="3" t="s">
        <v>1</v>
      </c>
    </row>
    <row r="10" spans="1:2" ht="15.75" customHeight="1">
      <c r="A10" s="2" t="s">
        <v>62</v>
      </c>
      <c r="B10" s="53">
        <v>6.25</v>
      </c>
    </row>
    <row r="11" spans="1:2" ht="15.75" customHeight="1">
      <c r="A11" s="2" t="s">
        <v>64</v>
      </c>
      <c r="B11" s="46">
        <v>0.25</v>
      </c>
    </row>
    <row r="12" spans="1:2" ht="15.75" customHeight="1">
      <c r="A12" s="2" t="s">
        <v>63</v>
      </c>
      <c r="B12" s="109">
        <f>B10*B11</f>
        <v>1.5625</v>
      </c>
    </row>
    <row r="13" spans="1:2" s="44" customFormat="1" ht="15.75" customHeight="1">
      <c r="A13" s="2" t="s">
        <v>66</v>
      </c>
      <c r="B13" s="76">
        <v>1500</v>
      </c>
    </row>
    <row r="14" spans="1:2" s="44" customFormat="1" ht="15.75" customHeight="1">
      <c r="A14" s="2" t="s">
        <v>67</v>
      </c>
      <c r="B14" s="46">
        <v>5</v>
      </c>
    </row>
    <row r="15" spans="1:2" ht="15.75" customHeight="1">
      <c r="A15" s="2" t="s">
        <v>65</v>
      </c>
      <c r="B15" s="110">
        <f>($B$2*(1+$B$2)^B14)/((1+$B$2)^B14-1)*B13</f>
        <v>327.53185710086433</v>
      </c>
    </row>
    <row r="16" spans="1:2" s="44" customFormat="1" ht="15.75" customHeight="1">
      <c r="A16" s="2" t="s">
        <v>68</v>
      </c>
      <c r="B16" s="76">
        <f>17.54*5</f>
        <v>87.699999999999989</v>
      </c>
    </row>
    <row r="17" spans="1:7" ht="15.75" customHeight="1">
      <c r="A17" s="2" t="s">
        <v>69</v>
      </c>
      <c r="B17" s="110">
        <f>($B$2*(1+$B$2)^B14)/((1+$B$2)^B14-1)*B16</f>
        <v>19.149695911830531</v>
      </c>
    </row>
    <row r="18" spans="1:7" ht="15.75" customHeight="1">
      <c r="A18" s="2" t="s">
        <v>70</v>
      </c>
      <c r="B18" s="102">
        <f>8/B11</f>
        <v>32</v>
      </c>
    </row>
    <row r="19" spans="1:7" ht="15.75" customHeight="1">
      <c r="A19" s="2" t="s">
        <v>71</v>
      </c>
      <c r="B19" s="102">
        <f>B18*5*52</f>
        <v>8320</v>
      </c>
    </row>
    <row r="20" spans="1:7" ht="15.75" customHeight="1">
      <c r="A20" s="2" t="s">
        <v>72</v>
      </c>
      <c r="B20" s="110">
        <f>(B15+B17)/B19</f>
        <v>4.1668455890948898E-2</v>
      </c>
    </row>
    <row r="21" spans="1:7" ht="15.75" customHeight="1">
      <c r="A21" s="2" t="s">
        <v>73</v>
      </c>
      <c r="B21" s="53">
        <v>2</v>
      </c>
    </row>
    <row r="22" spans="1:7" ht="15.75" customHeight="1">
      <c r="A22" s="71" t="s">
        <v>74</v>
      </c>
      <c r="B22" s="111">
        <f>B12*B21</f>
        <v>3.125</v>
      </c>
    </row>
    <row r="23" spans="1:7" s="44" customFormat="1" ht="15.75" customHeight="1">
      <c r="A23" s="71"/>
      <c r="B23" s="72"/>
    </row>
    <row r="24" spans="1:7" ht="15.75" customHeight="1">
      <c r="A24" s="3" t="s">
        <v>93</v>
      </c>
      <c r="C24" s="12"/>
      <c r="D24" s="12"/>
      <c r="E24" s="12"/>
      <c r="F24" s="12"/>
      <c r="G24" s="12"/>
    </row>
    <row r="25" spans="1:7" ht="15.75" customHeight="1">
      <c r="A25" s="2" t="s">
        <v>62</v>
      </c>
      <c r="B25" s="53">
        <v>11</v>
      </c>
      <c r="C25" s="8"/>
      <c r="D25" s="8"/>
      <c r="E25" s="8"/>
      <c r="F25" s="8"/>
      <c r="G25" s="13"/>
    </row>
    <row r="26" spans="1:7" ht="15.75" customHeight="1">
      <c r="A26" s="2" t="s">
        <v>75</v>
      </c>
      <c r="B26" s="46">
        <v>0.1</v>
      </c>
      <c r="C26" s="8"/>
      <c r="D26" s="8"/>
      <c r="E26" s="8"/>
      <c r="F26" s="8"/>
      <c r="G26" s="14"/>
    </row>
    <row r="27" spans="1:7" ht="15.75" customHeight="1">
      <c r="A27" s="2" t="s">
        <v>76</v>
      </c>
      <c r="B27" s="109">
        <f>B25*B26</f>
        <v>1.1000000000000001</v>
      </c>
    </row>
    <row r="28" spans="1:7" s="44" customFormat="1" ht="15.75" customHeight="1">
      <c r="A28" s="2" t="s">
        <v>94</v>
      </c>
      <c r="B28" s="76">
        <v>17000</v>
      </c>
    </row>
    <row r="29" spans="1:7" s="44" customFormat="1" ht="15.75" customHeight="1">
      <c r="A29" s="2" t="s">
        <v>95</v>
      </c>
      <c r="B29" s="46">
        <v>10</v>
      </c>
    </row>
    <row r="30" spans="1:7" ht="15.75" customHeight="1">
      <c r="A30" s="2" t="s">
        <v>96</v>
      </c>
      <c r="B30" s="110">
        <f>($B$2*(1+$B$2)^B29)/((1+$B$2)^B29-1)*B28</f>
        <v>1992.9186122877136</v>
      </c>
    </row>
    <row r="31" spans="1:7" ht="13">
      <c r="A31" s="2" t="s">
        <v>97</v>
      </c>
      <c r="B31" s="69">
        <v>1800</v>
      </c>
    </row>
    <row r="32" spans="1:7" ht="13">
      <c r="A32" s="2" t="s">
        <v>98</v>
      </c>
      <c r="B32" s="70">
        <v>4</v>
      </c>
    </row>
    <row r="33" spans="1:2" ht="13">
      <c r="A33" s="2" t="s">
        <v>99</v>
      </c>
      <c r="B33" s="112">
        <f>B32*5*(365/7)</f>
        <v>1042.8571428571429</v>
      </c>
    </row>
    <row r="34" spans="1:2" ht="13">
      <c r="A34" s="2" t="s">
        <v>100</v>
      </c>
      <c r="B34" s="113">
        <f>(B30+B31)/B33</f>
        <v>3.6370452446594514</v>
      </c>
    </row>
    <row r="35" spans="1:2" ht="13">
      <c r="A35" s="2" t="s">
        <v>73</v>
      </c>
      <c r="B35" s="69">
        <v>9.98</v>
      </c>
    </row>
    <row r="36" spans="1:2" ht="13">
      <c r="A36" s="71" t="s">
        <v>0</v>
      </c>
      <c r="B36" s="114">
        <f>B27+B34+B35</f>
        <v>14.717045244659452</v>
      </c>
    </row>
    <row r="37" spans="1:2" s="44" customFormat="1" ht="15.75" customHeight="1">
      <c r="A37" s="71"/>
      <c r="B37" s="72"/>
    </row>
    <row r="38" spans="1:2" ht="13">
      <c r="A38" s="3" t="s">
        <v>102</v>
      </c>
    </row>
    <row r="39" spans="1:2" ht="13">
      <c r="A39" s="2" t="s">
        <v>79</v>
      </c>
      <c r="B39" s="53">
        <v>4.8499999999999996</v>
      </c>
    </row>
    <row r="40" spans="1:2" ht="13">
      <c r="A40" s="2" t="s">
        <v>75</v>
      </c>
      <c r="B40" s="46">
        <v>0.1</v>
      </c>
    </row>
    <row r="41" spans="1:2" ht="13">
      <c r="A41" s="2" t="s">
        <v>84</v>
      </c>
      <c r="B41" s="109">
        <f>B39*B40</f>
        <v>0.48499999999999999</v>
      </c>
    </row>
    <row r="42" spans="1:2" ht="13">
      <c r="A42" s="2" t="s">
        <v>80</v>
      </c>
      <c r="B42" s="53">
        <v>3.5</v>
      </c>
    </row>
    <row r="43" spans="1:2" ht="13">
      <c r="A43" s="2" t="s">
        <v>0</v>
      </c>
      <c r="B43" s="109">
        <f>B42+B41</f>
        <v>3.9849999999999999</v>
      </c>
    </row>
    <row r="44" spans="1:2" s="44" customFormat="1" ht="13">
      <c r="A44" s="2"/>
      <c r="B44" s="52"/>
    </row>
    <row r="45" spans="1:2" ht="15.75" customHeight="1">
      <c r="A45" s="3" t="s">
        <v>81</v>
      </c>
    </row>
    <row r="46" spans="1:2" ht="15.75" customHeight="1">
      <c r="A46" s="2" t="s">
        <v>16</v>
      </c>
      <c r="B46" s="68">
        <v>9.44</v>
      </c>
    </row>
    <row r="47" spans="1:2" ht="15.75" customHeight="1">
      <c r="A47" s="2" t="s">
        <v>79</v>
      </c>
      <c r="B47" s="53">
        <v>4.8499999999999996</v>
      </c>
    </row>
    <row r="48" spans="1:2" ht="15.75" customHeight="1">
      <c r="A48" s="2" t="s">
        <v>82</v>
      </c>
      <c r="B48" s="46">
        <v>12</v>
      </c>
    </row>
    <row r="49" spans="1:2" ht="15.75" customHeight="1">
      <c r="A49" s="2" t="s">
        <v>83</v>
      </c>
      <c r="B49" s="109">
        <f>B47/B48</f>
        <v>0.40416666666666662</v>
      </c>
    </row>
    <row r="50" spans="1:2" ht="15.75" customHeight="1">
      <c r="A50" s="71" t="s">
        <v>85</v>
      </c>
      <c r="B50" s="111">
        <f>B46+B49</f>
        <v>9.8441666666666663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I1057"/>
  <sheetViews>
    <sheetView topLeftCell="A76" zoomScale="80" zoomScaleNormal="80" workbookViewId="0">
      <selection activeCell="B116" sqref="B116"/>
    </sheetView>
  </sheetViews>
  <sheetFormatPr baseColWidth="10" defaultColWidth="14.5" defaultRowHeight="15.75" customHeight="1"/>
  <cols>
    <col min="1" max="1" width="22" customWidth="1"/>
    <col min="2" max="2" width="43.33203125" customWidth="1"/>
    <col min="3" max="3" width="18.5" customWidth="1"/>
    <col min="4" max="4" width="17.33203125" customWidth="1"/>
  </cols>
  <sheetData>
    <row r="1" spans="1:5" s="44" customFormat="1" ht="15.75" customHeight="1">
      <c r="C1" s="128" t="s">
        <v>124</v>
      </c>
      <c r="D1" s="129"/>
      <c r="E1" s="129"/>
    </row>
    <row r="2" spans="1:5" ht="15.75" customHeight="1">
      <c r="B2" s="1"/>
      <c r="C2" s="2" t="s">
        <v>195</v>
      </c>
      <c r="D2" s="2" t="s">
        <v>93</v>
      </c>
      <c r="E2" s="2" t="s">
        <v>196</v>
      </c>
    </row>
    <row r="3" spans="1:5" ht="15.75" customHeight="1">
      <c r="A3" s="2"/>
      <c r="B3" s="4" t="s">
        <v>111</v>
      </c>
      <c r="C3" s="46">
        <v>1000</v>
      </c>
      <c r="D3" s="46">
        <f>C3</f>
        <v>1000</v>
      </c>
      <c r="E3" s="51">
        <f>D3</f>
        <v>1000</v>
      </c>
    </row>
    <row r="4" spans="1:5" ht="15.75" customHeight="1">
      <c r="A4" s="5"/>
      <c r="B4" s="4" t="s">
        <v>10</v>
      </c>
      <c r="C4" s="46">
        <f>C3*Parameters!$B8</f>
        <v>101</v>
      </c>
      <c r="D4" s="46">
        <f>D3*Parameters!$B8</f>
        <v>101</v>
      </c>
      <c r="E4" s="51">
        <f>D4</f>
        <v>101</v>
      </c>
    </row>
    <row r="5" spans="1:5" ht="15.75" customHeight="1">
      <c r="A5" s="5"/>
      <c r="B5" s="4" t="s">
        <v>112</v>
      </c>
      <c r="C5" s="46">
        <f>C3-C4</f>
        <v>899</v>
      </c>
      <c r="D5" s="46">
        <f>D3-D4</f>
        <v>899</v>
      </c>
      <c r="E5" s="51"/>
    </row>
    <row r="6" spans="1:5" ht="15.75" customHeight="1">
      <c r="A6" s="5"/>
      <c r="B6" s="65" t="s">
        <v>114</v>
      </c>
      <c r="C6" s="50"/>
      <c r="D6" s="51"/>
      <c r="E6" s="51">
        <f>E3*Parameters!B10</f>
        <v>362</v>
      </c>
    </row>
    <row r="7" spans="1:5" ht="15.75" customHeight="1">
      <c r="A7" s="5"/>
      <c r="B7" s="4" t="s">
        <v>115</v>
      </c>
      <c r="C7" s="50">
        <v>1</v>
      </c>
      <c r="D7" s="51"/>
      <c r="E7" s="51"/>
    </row>
    <row r="8" spans="1:5" ht="15.75" customHeight="1">
      <c r="A8" s="126" t="s">
        <v>2</v>
      </c>
      <c r="B8" s="4" t="s">
        <v>116</v>
      </c>
      <c r="C8" s="78">
        <f>C3*C7</f>
        <v>1000</v>
      </c>
      <c r="D8" s="78"/>
      <c r="E8" s="78"/>
    </row>
    <row r="9" spans="1:5" ht="15.75" customHeight="1">
      <c r="A9" s="127"/>
      <c r="B9" s="4" t="s">
        <v>10</v>
      </c>
      <c r="C9" s="78">
        <f>C4</f>
        <v>101</v>
      </c>
      <c r="D9" s="78"/>
      <c r="E9" s="78"/>
    </row>
    <row r="10" spans="1:5" ht="15.75" customHeight="1">
      <c r="A10" s="127"/>
      <c r="B10" s="4" t="s">
        <v>112</v>
      </c>
      <c r="C10" s="78">
        <f>C5</f>
        <v>899</v>
      </c>
      <c r="D10" s="78"/>
      <c r="E10" s="78"/>
    </row>
    <row r="11" spans="1:5" ht="15.75" customHeight="1">
      <c r="A11" s="127"/>
      <c r="B11" s="4" t="s">
        <v>117</v>
      </c>
      <c r="C11" s="78">
        <f>(Parameters!$B36*C9)+C10*(1-Parameters!$B37)</f>
        <v>344.37900000000002</v>
      </c>
      <c r="D11" s="78"/>
      <c r="E11" s="78"/>
    </row>
    <row r="12" spans="1:5" ht="15.75" customHeight="1">
      <c r="A12" s="127"/>
      <c r="B12" s="4" t="s">
        <v>118</v>
      </c>
      <c r="C12" s="78">
        <f>C8-C11</f>
        <v>655.62099999999998</v>
      </c>
      <c r="D12" s="78"/>
      <c r="E12" s="78"/>
    </row>
    <row r="13" spans="1:5" ht="15.75" customHeight="1">
      <c r="A13" s="127"/>
      <c r="B13" s="4" t="s">
        <v>119</v>
      </c>
      <c r="C13" s="79">
        <f>Parameters!$B36*C9/C11</f>
        <v>0.22729318570528401</v>
      </c>
      <c r="D13" s="51"/>
      <c r="E13" s="51"/>
    </row>
    <row r="14" spans="1:5" ht="15.75" customHeight="1">
      <c r="A14" s="127"/>
      <c r="B14" s="4" t="s">
        <v>120</v>
      </c>
      <c r="C14" s="79">
        <f>(Parameters!B37*C10)/C12</f>
        <v>0.96533820606722476</v>
      </c>
      <c r="D14" s="51"/>
      <c r="E14" s="51"/>
    </row>
    <row r="15" spans="1:5" ht="15.75" customHeight="1">
      <c r="A15" s="127"/>
      <c r="B15" s="4" t="s">
        <v>11</v>
      </c>
      <c r="C15" s="80">
        <f>C11*C13</f>
        <v>78.275000000000006</v>
      </c>
      <c r="D15" s="81"/>
      <c r="E15" s="81"/>
    </row>
    <row r="16" spans="1:5" ht="15.75" customHeight="1">
      <c r="A16" s="127"/>
      <c r="B16" s="4" t="s">
        <v>121</v>
      </c>
      <c r="C16" s="81">
        <f>C11-C15</f>
        <v>266.10400000000004</v>
      </c>
      <c r="D16" s="81"/>
      <c r="E16" s="81"/>
    </row>
    <row r="17" spans="1:5" ht="15.75" customHeight="1">
      <c r="A17" s="127"/>
      <c r="B17" s="4" t="s">
        <v>12</v>
      </c>
      <c r="C17" s="80">
        <f>C12*C14</f>
        <v>632.89599999999996</v>
      </c>
      <c r="D17" s="81"/>
      <c r="E17" s="81"/>
    </row>
    <row r="18" spans="1:5" ht="15.75" customHeight="1">
      <c r="A18" s="127"/>
      <c r="B18" s="4" t="s">
        <v>13</v>
      </c>
      <c r="C18" s="81">
        <f>C12-C17</f>
        <v>22.725000000000023</v>
      </c>
      <c r="D18" s="81"/>
      <c r="E18" s="81"/>
    </row>
    <row r="19" spans="1:5" ht="15.75" customHeight="1">
      <c r="A19" s="126" t="s">
        <v>1</v>
      </c>
      <c r="B19" s="4" t="s">
        <v>122</v>
      </c>
      <c r="C19" s="78">
        <f>C11</f>
        <v>344.37900000000002</v>
      </c>
      <c r="D19" s="51"/>
      <c r="E19" s="51"/>
    </row>
    <row r="20" spans="1:5" ht="15.75" customHeight="1">
      <c r="A20" s="127"/>
      <c r="B20" s="4" t="s">
        <v>10</v>
      </c>
      <c r="C20" s="81">
        <f>C15</f>
        <v>78.275000000000006</v>
      </c>
      <c r="D20" s="51"/>
      <c r="E20" s="51"/>
    </row>
    <row r="21" spans="1:5" ht="15.75" customHeight="1">
      <c r="A21" s="127"/>
      <c r="B21" s="4" t="s">
        <v>112</v>
      </c>
      <c r="C21" s="81">
        <f>C16</f>
        <v>266.10400000000004</v>
      </c>
      <c r="D21" s="51"/>
      <c r="E21" s="51"/>
    </row>
    <row r="22" spans="1:5" ht="15.75" customHeight="1">
      <c r="A22" s="127"/>
      <c r="B22" s="4" t="s">
        <v>117</v>
      </c>
      <c r="C22" s="78">
        <f>(Parameters!B38*C20)+C21*(1-Parameters!B39)</f>
        <v>33.658250000000002</v>
      </c>
      <c r="D22" s="51"/>
      <c r="E22" s="51"/>
    </row>
    <row r="23" spans="1:5" ht="15.75" customHeight="1">
      <c r="A23" s="127"/>
      <c r="B23" s="4" t="s">
        <v>118</v>
      </c>
      <c r="C23" s="78">
        <f>C19-C22</f>
        <v>310.72075000000001</v>
      </c>
      <c r="D23" s="51"/>
      <c r="E23" s="51"/>
    </row>
    <row r="24" spans="1:5" ht="15.75" customHeight="1">
      <c r="A24" s="127"/>
      <c r="B24" s="4" t="s">
        <v>119</v>
      </c>
      <c r="C24" s="79">
        <f>Parameters!B38*C20/C22</f>
        <v>1</v>
      </c>
      <c r="D24" s="51"/>
      <c r="E24" s="51"/>
    </row>
    <row r="25" spans="1:5" ht="15.75" customHeight="1">
      <c r="A25" s="127"/>
      <c r="B25" s="4" t="s">
        <v>120</v>
      </c>
      <c r="C25" s="79">
        <f>(Parameters!B39*C21)/C23</f>
        <v>0.85640884942508677</v>
      </c>
      <c r="D25" s="51"/>
      <c r="E25" s="51"/>
    </row>
    <row r="26" spans="1:5" ht="15.75" customHeight="1">
      <c r="A26" s="127"/>
      <c r="B26" s="4" t="s">
        <v>11</v>
      </c>
      <c r="C26" s="80">
        <f>C22*C24</f>
        <v>33.658250000000002</v>
      </c>
      <c r="D26" s="51"/>
      <c r="E26" s="51"/>
    </row>
    <row r="27" spans="1:5" ht="15.75" customHeight="1">
      <c r="A27" s="127"/>
      <c r="B27" s="4" t="s">
        <v>121</v>
      </c>
      <c r="C27" s="81">
        <f>C22-C26</f>
        <v>0</v>
      </c>
      <c r="D27" s="51"/>
      <c r="E27" s="51"/>
    </row>
    <row r="28" spans="1:5" ht="15.75" customHeight="1">
      <c r="A28" s="127"/>
      <c r="B28" s="4" t="s">
        <v>12</v>
      </c>
      <c r="C28" s="80">
        <f>C23*C25</f>
        <v>266.10400000000004</v>
      </c>
      <c r="D28" s="51"/>
      <c r="E28" s="51"/>
    </row>
    <row r="29" spans="1:5" ht="15.75" customHeight="1">
      <c r="A29" s="127"/>
      <c r="B29" s="4" t="s">
        <v>13</v>
      </c>
      <c r="C29" s="81">
        <f>C23-C28</f>
        <v>44.616749999999968</v>
      </c>
      <c r="D29" s="51"/>
      <c r="E29" s="51"/>
    </row>
    <row r="30" spans="1:5" ht="15.75" customHeight="1">
      <c r="A30" s="126" t="s">
        <v>93</v>
      </c>
      <c r="B30" s="4" t="s">
        <v>123</v>
      </c>
      <c r="C30" s="51"/>
      <c r="D30" s="81">
        <f>D3</f>
        <v>1000</v>
      </c>
      <c r="E30" s="81">
        <f>E3-E44</f>
        <v>937.01480000000004</v>
      </c>
    </row>
    <row r="31" spans="1:5" ht="15.75" customHeight="1">
      <c r="A31" s="127"/>
      <c r="B31" s="4" t="s">
        <v>10</v>
      </c>
      <c r="C31" s="51"/>
      <c r="D31" s="81">
        <f>D4</f>
        <v>101</v>
      </c>
      <c r="E31" s="81">
        <f>(E51)+(E4*(1-Parameters!B11))</f>
        <v>67.346799999999973</v>
      </c>
    </row>
    <row r="32" spans="1:5" ht="15.75" customHeight="1">
      <c r="A32" s="127"/>
      <c r="B32" s="4" t="s">
        <v>112</v>
      </c>
      <c r="C32" s="51"/>
      <c r="D32" s="81">
        <f>D5</f>
        <v>899</v>
      </c>
      <c r="E32" s="81">
        <f>E30-E31</f>
        <v>869.66800000000012</v>
      </c>
    </row>
    <row r="33" spans="1:5" ht="15.75" customHeight="1">
      <c r="A33" s="127"/>
      <c r="B33" s="4" t="s">
        <v>117</v>
      </c>
      <c r="D33" s="11">
        <f>(Parameters!$B40*D31)+D32*(1-Parameters!$B41)</f>
        <v>105.768</v>
      </c>
      <c r="E33" s="11">
        <f>(Parameters!$B40*E31)+E32*(1-Parameters!$B41)</f>
        <v>72.687820799999983</v>
      </c>
    </row>
    <row r="34" spans="1:5" ht="15.75" customHeight="1">
      <c r="A34" s="127"/>
      <c r="B34" s="4" t="s">
        <v>118</v>
      </c>
      <c r="D34" s="11">
        <f>D30-D33</f>
        <v>894.23199999999997</v>
      </c>
      <c r="E34" s="11">
        <f>E30-E33</f>
        <v>864.3269792000001</v>
      </c>
    </row>
    <row r="35" spans="1:5" ht="15.75" customHeight="1">
      <c r="A35" s="127"/>
      <c r="B35" s="4" t="s">
        <v>119</v>
      </c>
      <c r="D35" s="9">
        <f>Parameters!$B40*D31/D33</f>
        <v>0.93200211784282572</v>
      </c>
      <c r="E35" s="9">
        <f>Parameters!$B40*E31/E33</f>
        <v>0.90428459784008264</v>
      </c>
    </row>
    <row r="36" spans="1:5" ht="15.75" customHeight="1">
      <c r="A36" s="127"/>
      <c r="B36" s="4" t="s">
        <v>120</v>
      </c>
      <c r="D36" s="9">
        <f>(Parameters!$B41*D32)/D34</f>
        <v>0.9972892940534448</v>
      </c>
      <c r="E36" s="9">
        <f>(Parameters!$B41*E32)/E34</f>
        <v>0.99812996326749392</v>
      </c>
    </row>
    <row r="37" spans="1:5" ht="15.75" customHeight="1">
      <c r="A37" s="127"/>
      <c r="B37" s="4" t="s">
        <v>11</v>
      </c>
      <c r="D37" s="10">
        <f>D33*D35</f>
        <v>98.575999999999993</v>
      </c>
      <c r="E37" s="10">
        <f>E33*E35</f>
        <v>65.730476799999977</v>
      </c>
    </row>
    <row r="38" spans="1:5" ht="15.75" customHeight="1">
      <c r="A38" s="127"/>
      <c r="B38" s="4" t="s">
        <v>121</v>
      </c>
      <c r="D38" s="11">
        <f>D33-D37</f>
        <v>7.1920000000000073</v>
      </c>
      <c r="E38" s="11">
        <f>E33-E37</f>
        <v>6.9573440000000062</v>
      </c>
    </row>
    <row r="39" spans="1:5" ht="15.75" customHeight="1">
      <c r="A39" s="127"/>
      <c r="B39" s="4" t="s">
        <v>12</v>
      </c>
      <c r="D39" s="10">
        <f>D34*D36</f>
        <v>891.80799999999999</v>
      </c>
      <c r="E39" s="10">
        <f>E34*E36</f>
        <v>862.71065600000009</v>
      </c>
    </row>
    <row r="40" spans="1:5" ht="13">
      <c r="A40" s="127"/>
      <c r="B40" s="4" t="s">
        <v>13</v>
      </c>
      <c r="D40" s="11">
        <f>D34-D39</f>
        <v>2.4239999999999782</v>
      </c>
      <c r="E40" s="11">
        <f>E34-E39</f>
        <v>1.6163232000000107</v>
      </c>
    </row>
    <row r="41" spans="1:5" ht="13">
      <c r="A41" s="126" t="s">
        <v>102</v>
      </c>
      <c r="B41" s="4" t="s">
        <v>125</v>
      </c>
      <c r="E41" s="7">
        <f>E6</f>
        <v>362</v>
      </c>
    </row>
    <row r="42" spans="1:5" ht="13">
      <c r="A42" s="127"/>
      <c r="B42" s="4" t="s">
        <v>10</v>
      </c>
      <c r="E42" s="7">
        <f>Parameters!B11*E4</f>
        <v>68.680000000000007</v>
      </c>
    </row>
    <row r="43" spans="1:5" ht="13">
      <c r="A43" s="127"/>
      <c r="B43" s="4" t="s">
        <v>112</v>
      </c>
      <c r="E43" s="7">
        <f>E41-E42</f>
        <v>293.32</v>
      </c>
    </row>
    <row r="44" spans="1:5" ht="13">
      <c r="A44" s="127"/>
      <c r="B44" s="4" t="s">
        <v>117</v>
      </c>
      <c r="E44" s="7">
        <f>(Parameters!B42*E42)+E43*(1-Parameters!B43)</f>
        <v>62.985199999999999</v>
      </c>
    </row>
    <row r="45" spans="1:5" ht="13">
      <c r="A45" s="127"/>
      <c r="B45" s="4" t="s">
        <v>118</v>
      </c>
      <c r="E45" s="7">
        <f>E41-E44</f>
        <v>299.01479999999998</v>
      </c>
    </row>
    <row r="46" spans="1:5" ht="13">
      <c r="A46" s="127"/>
      <c r="B46" s="4" t="s">
        <v>119</v>
      </c>
      <c r="E46" s="9">
        <f>Parameters!B42*E42/E44</f>
        <v>0.53430329664746645</v>
      </c>
    </row>
    <row r="47" spans="1:5" ht="13">
      <c r="A47" s="127"/>
      <c r="B47" s="4" t="s">
        <v>120</v>
      </c>
      <c r="E47" s="9">
        <f>(Parameters!B43*E43)/E45</f>
        <v>0.88285930997395456</v>
      </c>
    </row>
    <row r="48" spans="1:5" ht="13">
      <c r="A48" s="127"/>
      <c r="B48" s="4" t="s">
        <v>11</v>
      </c>
      <c r="E48" s="10">
        <f>E44*E46</f>
        <v>33.653200000000005</v>
      </c>
    </row>
    <row r="49" spans="1:9" ht="13">
      <c r="A49" s="127"/>
      <c r="B49" s="4" t="s">
        <v>121</v>
      </c>
      <c r="E49" s="11">
        <f>E44-E48</f>
        <v>29.331999999999994</v>
      </c>
    </row>
    <row r="50" spans="1:9" ht="13">
      <c r="A50" s="127"/>
      <c r="B50" s="4" t="s">
        <v>12</v>
      </c>
      <c r="E50" s="10">
        <f>E45*E47</f>
        <v>263.988</v>
      </c>
    </row>
    <row r="51" spans="1:9" ht="13">
      <c r="A51" s="127"/>
      <c r="B51" s="4" t="s">
        <v>13</v>
      </c>
      <c r="E51" s="11">
        <f>E45-E50</f>
        <v>35.02679999999998</v>
      </c>
    </row>
    <row r="52" spans="1:9" ht="13">
      <c r="B52" s="16"/>
      <c r="C52" s="7"/>
      <c r="D52" s="7"/>
      <c r="E52" s="7"/>
    </row>
    <row r="53" spans="1:9" ht="13">
      <c r="B53" s="17" t="s">
        <v>126</v>
      </c>
      <c r="C53" s="7"/>
      <c r="D53" s="7"/>
      <c r="E53" s="7"/>
    </row>
    <row r="54" spans="1:9" ht="13">
      <c r="B54" s="82" t="s">
        <v>127</v>
      </c>
      <c r="C54" s="7">
        <f>ROUND(C22,0)</f>
        <v>34</v>
      </c>
      <c r="D54" s="7">
        <f>ROUND(D33,0)</f>
        <v>106</v>
      </c>
      <c r="E54" s="7">
        <f>ROUND(E44+E33,0)</f>
        <v>136</v>
      </c>
      <c r="G54" s="51"/>
    </row>
    <row r="55" spans="1:9" ht="13">
      <c r="B55" s="82" t="s">
        <v>11</v>
      </c>
      <c r="C55" s="7">
        <f>ROUND(C26,0)</f>
        <v>34</v>
      </c>
      <c r="D55" s="7">
        <f>ROUND(D37,0)</f>
        <v>99</v>
      </c>
      <c r="E55" s="7">
        <f>ROUND(E37+E48,0)</f>
        <v>99</v>
      </c>
      <c r="G55" s="115"/>
    </row>
    <row r="56" spans="1:9" ht="13">
      <c r="B56" s="82" t="s">
        <v>121</v>
      </c>
      <c r="C56" s="7">
        <f>C54-C55</f>
        <v>0</v>
      </c>
      <c r="D56" s="7">
        <f>D54-D55</f>
        <v>7</v>
      </c>
      <c r="E56" s="7">
        <f>E54-E55</f>
        <v>37</v>
      </c>
      <c r="G56" s="51"/>
    </row>
    <row r="57" spans="1:9" ht="13">
      <c r="B57" s="82" t="s">
        <v>12</v>
      </c>
      <c r="C57" s="7">
        <f>ROUND(C17+C28,0)</f>
        <v>899</v>
      </c>
      <c r="D57" s="7">
        <f>ROUND(D39,0)</f>
        <v>892</v>
      </c>
      <c r="E57" s="7">
        <f>ROUND(E39,0)</f>
        <v>863</v>
      </c>
      <c r="G57" s="51"/>
    </row>
    <row r="58" spans="1:9" ht="13">
      <c r="B58" s="82" t="s">
        <v>13</v>
      </c>
      <c r="C58" s="7">
        <f>ROUND(C18+C29,0)</f>
        <v>67</v>
      </c>
      <c r="D58" s="7">
        <f>ROUND(D40,0)</f>
        <v>2</v>
      </c>
      <c r="E58" s="7">
        <f>ROUND(E40,0)</f>
        <v>2</v>
      </c>
      <c r="G58" s="51"/>
    </row>
    <row r="59" spans="1:9" s="33" customFormat="1" ht="13">
      <c r="B59" s="82" t="s">
        <v>10</v>
      </c>
      <c r="C59" s="7">
        <f>C55+C58</f>
        <v>101</v>
      </c>
      <c r="D59" s="7">
        <f>D55+D58</f>
        <v>101</v>
      </c>
      <c r="E59" s="7">
        <f>E55+E58</f>
        <v>101</v>
      </c>
      <c r="G59" s="51"/>
    </row>
    <row r="60" spans="1:9" ht="13">
      <c r="B60" s="82" t="s">
        <v>21</v>
      </c>
      <c r="C60" s="7">
        <f>ROUND((C54+C58)*Parameters!$B$13,0)</f>
        <v>5</v>
      </c>
      <c r="D60" s="7">
        <f>ROUND((D54+D58)*Parameters!$B$13,0)</f>
        <v>5</v>
      </c>
      <c r="E60" s="7">
        <f>ROUND((E54+E58)*Parameters!$B$13,0)</f>
        <v>7</v>
      </c>
      <c r="G60" s="73">
        <f>C60/1000</f>
        <v>5.0000000000000001E-3</v>
      </c>
      <c r="H60" s="73">
        <f t="shared" ref="H60:I60" si="0">D60/1000</f>
        <v>5.0000000000000001E-3</v>
      </c>
      <c r="I60" s="73">
        <f t="shared" si="0"/>
        <v>7.0000000000000001E-3</v>
      </c>
    </row>
    <row r="61" spans="1:9" s="34" customFormat="1" ht="26">
      <c r="B61" s="82" t="s">
        <v>213</v>
      </c>
      <c r="C61" s="7">
        <f>ROUND(C58*Parameters!$B$14,0)</f>
        <v>13</v>
      </c>
      <c r="D61" s="7">
        <f>ROUND(D58*Parameters!$B$14,0)</f>
        <v>0</v>
      </c>
      <c r="E61" s="7">
        <f>ROUND(E58*Parameters!$B$14,0)</f>
        <v>0</v>
      </c>
      <c r="G61" s="51"/>
    </row>
    <row r="62" spans="1:9" ht="13">
      <c r="B62" s="82" t="s">
        <v>128</v>
      </c>
      <c r="C62" s="7">
        <f>(C54+C58)-(C60+C61)</f>
        <v>83</v>
      </c>
      <c r="D62" s="7">
        <f t="shared" ref="D62:E62" si="1">(D54+D58)-(D60+D61)</f>
        <v>103</v>
      </c>
      <c r="E62" s="7">
        <f t="shared" si="1"/>
        <v>131</v>
      </c>
      <c r="G62" s="51">
        <f>C62/101</f>
        <v>0.82178217821782173</v>
      </c>
      <c r="H62" s="51">
        <f t="shared" ref="H62:I62" si="2">D62/101</f>
        <v>1.0198019801980198</v>
      </c>
      <c r="I62" s="51">
        <f t="shared" si="2"/>
        <v>1.2970297029702971</v>
      </c>
    </row>
    <row r="63" spans="1:9" s="100" customFormat="1" ht="13">
      <c r="B63" s="82" t="s">
        <v>149</v>
      </c>
      <c r="C63" s="7">
        <f>C62-C56</f>
        <v>83</v>
      </c>
      <c r="D63" s="7">
        <f>D62-D56</f>
        <v>96</v>
      </c>
      <c r="E63" s="7">
        <f t="shared" ref="E63" si="3">E62-E56</f>
        <v>94</v>
      </c>
      <c r="G63" s="51"/>
    </row>
    <row r="64" spans="1:9" ht="26">
      <c r="B64" s="82" t="s">
        <v>214</v>
      </c>
      <c r="C64" s="7">
        <f>C58*(Parameters!$B$3/365*Parameters!$B$4)</f>
        <v>96.369863013698634</v>
      </c>
      <c r="D64" s="7">
        <f>D58*(Parameters!$B$3/365*Parameters!$B$4)</f>
        <v>2.8767123287671232</v>
      </c>
      <c r="E64" s="7">
        <f>E58*(Parameters!$B$3/365*Parameters!$B$4)</f>
        <v>2.8767123287671232</v>
      </c>
      <c r="G64" s="51"/>
    </row>
    <row r="65" spans="1:9" ht="26">
      <c r="B65" s="82" t="s">
        <v>129</v>
      </c>
      <c r="C65" s="7">
        <f>C62*Parameters!$B$3/365*Parameters!$B$5</f>
        <v>70.493150684931507</v>
      </c>
      <c r="D65" s="7">
        <f>D62*Parameters!$B$3/365*Parameters!$B$5</f>
        <v>87.479452054794521</v>
      </c>
      <c r="E65" s="7">
        <f>E62*Parameters!$B$3/365*Parameters!$B$5</f>
        <v>111.26027397260275</v>
      </c>
      <c r="G65" s="51"/>
    </row>
    <row r="66" spans="1:9" ht="13">
      <c r="B66" s="82"/>
      <c r="C66" s="3"/>
      <c r="G66" s="51"/>
    </row>
    <row r="67" spans="1:9" ht="13">
      <c r="B67" s="3" t="s">
        <v>57</v>
      </c>
      <c r="G67" s="51"/>
    </row>
    <row r="68" spans="1:9" ht="13">
      <c r="A68" s="2"/>
      <c r="B68" s="4" t="s">
        <v>2</v>
      </c>
      <c r="C68" s="19">
        <f>Parameters!$B$28*C8</f>
        <v>4000</v>
      </c>
      <c r="D68" s="19">
        <f>Parameters!$B$28*D8</f>
        <v>0</v>
      </c>
      <c r="E68" s="19">
        <f>Parameters!$B$28*E8</f>
        <v>0</v>
      </c>
      <c r="G68" s="51"/>
    </row>
    <row r="69" spans="1:9" ht="13">
      <c r="A69" s="2"/>
      <c r="B69" s="4" t="s">
        <v>130</v>
      </c>
      <c r="C69" s="19">
        <f>Parameters!$B$29*C19</f>
        <v>1076.184375</v>
      </c>
      <c r="D69" s="19">
        <f>Parameters!$B$29*D19</f>
        <v>0</v>
      </c>
      <c r="E69" s="19">
        <f>Parameters!$B$29*E19</f>
        <v>0</v>
      </c>
      <c r="G69" s="51"/>
    </row>
    <row r="70" spans="1:9" ht="13">
      <c r="B70" s="4" t="s">
        <v>93</v>
      </c>
      <c r="C70" s="19">
        <f>C30*Parameters!$B$30</f>
        <v>0</v>
      </c>
      <c r="D70" s="19">
        <f>D30*Parameters!$B$30</f>
        <v>14717.045244659452</v>
      </c>
      <c r="E70" s="19">
        <f>E30*Parameters!$B$30</f>
        <v>13790.089206515528</v>
      </c>
      <c r="G70" s="51"/>
    </row>
    <row r="71" spans="1:9" ht="13">
      <c r="B71" s="4" t="s">
        <v>102</v>
      </c>
      <c r="C71" s="19">
        <f>C41*Parameters!$B$31</f>
        <v>0</v>
      </c>
      <c r="D71" s="19">
        <f>D41*Parameters!$B$31</f>
        <v>0</v>
      </c>
      <c r="E71" s="19">
        <f>E41*Parameters!$B$31</f>
        <v>1442.57</v>
      </c>
      <c r="G71" s="51"/>
    </row>
    <row r="72" spans="1:9" ht="13">
      <c r="A72" s="2"/>
      <c r="B72" s="4" t="s">
        <v>22</v>
      </c>
      <c r="C72" s="19">
        <f>C62*Parameters!$B$32</f>
        <v>817.06583333333333</v>
      </c>
      <c r="D72" s="19">
        <f>D62*Parameters!$B$32</f>
        <v>1013.9491666666667</v>
      </c>
      <c r="E72" s="19">
        <f>E62*Parameters!$B$32</f>
        <v>1289.5858333333333</v>
      </c>
      <c r="G72" s="51"/>
    </row>
    <row r="73" spans="1:9" ht="13">
      <c r="A73" s="83" t="s">
        <v>131</v>
      </c>
      <c r="B73" s="4" t="s">
        <v>150</v>
      </c>
      <c r="C73" s="19">
        <f>SUM(C68:C72)</f>
        <v>5893.2502083333329</v>
      </c>
      <c r="D73" s="19">
        <f t="shared" ref="D73" si="4">SUM(D68:D72)</f>
        <v>15730.994411326119</v>
      </c>
      <c r="E73" s="19">
        <f>SUM(E68:E72)</f>
        <v>16522.245039848862</v>
      </c>
    </row>
    <row r="74" spans="1:9" ht="26">
      <c r="A74" s="20" t="s">
        <v>133</v>
      </c>
      <c r="B74" s="4" t="s">
        <v>215</v>
      </c>
      <c r="C74" s="19">
        <f>C64*Parameters!$B$33</f>
        <v>81625.273972602736</v>
      </c>
      <c r="D74" s="19">
        <f>D64*Parameters!$B$33</f>
        <v>2436.5753424657532</v>
      </c>
      <c r="E74" s="19">
        <f>E64*Parameters!$B$33</f>
        <v>2436.5753424657532</v>
      </c>
      <c r="G74" s="51"/>
    </row>
    <row r="75" spans="1:9" ht="13">
      <c r="A75" s="83" t="s">
        <v>134</v>
      </c>
      <c r="B75" s="17" t="s">
        <v>135</v>
      </c>
      <c r="C75" s="18">
        <f>C73+C74</f>
        <v>87518.524180936074</v>
      </c>
      <c r="D75" s="18">
        <f t="shared" ref="D75:E75" si="5">D73+D74</f>
        <v>18167.569753791871</v>
      </c>
      <c r="E75" s="18">
        <f t="shared" si="5"/>
        <v>18958.820382314614</v>
      </c>
    </row>
    <row r="76" spans="1:9" ht="13">
      <c r="A76" s="84"/>
      <c r="B76" s="4"/>
    </row>
    <row r="77" spans="1:9" ht="26">
      <c r="A77" s="83" t="s">
        <v>132</v>
      </c>
      <c r="B77" s="4" t="s">
        <v>216</v>
      </c>
      <c r="C77" s="19">
        <f>C65*Parameters!$B$33</f>
        <v>59707.698630136983</v>
      </c>
      <c r="D77" s="19">
        <f>D65*Parameters!$B$33</f>
        <v>74095.095890410958</v>
      </c>
      <c r="E77" s="19">
        <f>E65*Parameters!$B$33</f>
        <v>94237.452054794529</v>
      </c>
      <c r="G77">
        <f>C74/C78</f>
        <v>0.55442075748521891</v>
      </c>
      <c r="H77" s="100"/>
      <c r="I77" s="100"/>
    </row>
    <row r="78" spans="1:9" ht="13">
      <c r="A78" s="83" t="s">
        <v>137</v>
      </c>
      <c r="B78" s="17" t="s">
        <v>136</v>
      </c>
      <c r="C78" s="116">
        <f>C75+C77</f>
        <v>147226.22281107306</v>
      </c>
      <c r="D78" s="116">
        <f>D75+D77</f>
        <v>92262.665644202832</v>
      </c>
      <c r="E78" s="116">
        <f>E75+E77</f>
        <v>113196.27243710915</v>
      </c>
      <c r="G78" s="117">
        <f>C78-D78</f>
        <v>54963.557166870232</v>
      </c>
      <c r="H78" s="117">
        <f>E78-D78</f>
        <v>20933.606792906314</v>
      </c>
    </row>
    <row r="79" spans="1:9" ht="13">
      <c r="A79" s="84"/>
      <c r="B79" s="1"/>
    </row>
    <row r="80" spans="1:9" ht="13">
      <c r="A80" s="84"/>
      <c r="B80" s="1" t="s">
        <v>138</v>
      </c>
      <c r="C80" s="3"/>
    </row>
    <row r="81" spans="1:8" ht="13">
      <c r="A81" s="84"/>
      <c r="B81" s="4" t="s">
        <v>139</v>
      </c>
      <c r="C81">
        <f>ROUND(Results!C115,0)</f>
        <v>1107</v>
      </c>
      <c r="D81" s="24">
        <f>ROUND(Results!D115,0)</f>
        <v>1281</v>
      </c>
      <c r="E81" s="24">
        <f>ROUND(Results!E115,0)</f>
        <v>1254</v>
      </c>
      <c r="G81">
        <f>D81-$C81</f>
        <v>174</v>
      </c>
      <c r="H81" s="100">
        <f>E81-$C81</f>
        <v>147</v>
      </c>
    </row>
    <row r="82" spans="1:8" ht="13">
      <c r="A82" s="84"/>
      <c r="B82" s="4"/>
    </row>
    <row r="83" spans="1:8" ht="39">
      <c r="A83" s="20"/>
      <c r="B83" s="4" t="s">
        <v>217</v>
      </c>
      <c r="C83" s="6">
        <f>C75/C81</f>
        <v>79.059190768686605</v>
      </c>
      <c r="D83" s="6">
        <f>D75/D81</f>
        <v>14.182333921773514</v>
      </c>
      <c r="E83" s="6">
        <f>E75/E81</f>
        <v>15.118676540920745</v>
      </c>
      <c r="G83">
        <f>C83/D83</f>
        <v>5.5744838053284376</v>
      </c>
    </row>
    <row r="84" spans="1:8" ht="39">
      <c r="A84" s="84"/>
      <c r="B84" s="4" t="s">
        <v>218</v>
      </c>
      <c r="C84" s="6">
        <f>C78/C81</f>
        <v>132.99568456284831</v>
      </c>
      <c r="D84" s="6">
        <f>D78/D81</f>
        <v>72.023938832320709</v>
      </c>
      <c r="E84" s="6">
        <f>E78/E81</f>
        <v>90.268159838205065</v>
      </c>
      <c r="G84" s="100">
        <f>C84/D84</f>
        <v>1.8465483382195498</v>
      </c>
    </row>
    <row r="85" spans="1:8" ht="13">
      <c r="A85" s="2"/>
      <c r="B85" s="4" t="s">
        <v>140</v>
      </c>
      <c r="C85" s="6"/>
      <c r="D85" s="6">
        <f>(D73-C73)/(D81-C81)</f>
        <v>56.538759787314859</v>
      </c>
      <c r="E85" s="6">
        <f>(E73-C73)/(E81-C81)</f>
        <v>72.306087289221281</v>
      </c>
      <c r="G85">
        <f>C84/E84</f>
        <v>1.4733399329423271</v>
      </c>
      <c r="H85" s="100">
        <f>C84/D84</f>
        <v>1.8465483382195498</v>
      </c>
    </row>
    <row r="86" spans="1:8" ht="13">
      <c r="B86" s="4"/>
    </row>
    <row r="87" spans="1:8" ht="13">
      <c r="B87" s="17"/>
      <c r="C87" s="22"/>
      <c r="D87" s="22"/>
      <c r="E87" s="22"/>
    </row>
    <row r="88" spans="1:8" ht="13">
      <c r="B88" s="4"/>
    </row>
    <row r="89" spans="1:8" ht="13">
      <c r="B89" s="21"/>
      <c r="C89" s="23"/>
    </row>
    <row r="90" spans="1:8" ht="13"/>
    <row r="91" spans="1:8" ht="18">
      <c r="B91" s="93" t="s">
        <v>145</v>
      </c>
      <c r="D91" s="6"/>
      <c r="E91" s="6"/>
    </row>
    <row r="92" spans="1:8" ht="13">
      <c r="B92" s="108" t="s">
        <v>51</v>
      </c>
      <c r="C92" s="58"/>
    </row>
    <row r="93" spans="1:8" ht="13">
      <c r="B93" s="85" t="s">
        <v>219</v>
      </c>
      <c r="C93" s="59">
        <f>Parameters!B19</f>
        <v>57.609000000000002</v>
      </c>
    </row>
    <row r="94" spans="1:8" ht="13">
      <c r="B94" s="87" t="s">
        <v>48</v>
      </c>
      <c r="C94" s="59"/>
      <c r="D94" s="44"/>
      <c r="E94" s="44"/>
    </row>
    <row r="95" spans="1:8" ht="13">
      <c r="B95" s="88" t="s">
        <v>49</v>
      </c>
      <c r="C95" s="59">
        <f>Parameters!B16</f>
        <v>0.39900000000000002</v>
      </c>
      <c r="D95" s="35"/>
      <c r="E95" s="35"/>
    </row>
    <row r="96" spans="1:8" ht="13">
      <c r="B96" s="88" t="s">
        <v>50</v>
      </c>
      <c r="C96" s="59">
        <f>Parameters!B17</f>
        <v>5.2999999999999999E-2</v>
      </c>
      <c r="D96" s="35"/>
      <c r="E96" s="35"/>
    </row>
    <row r="97" spans="2:5" ht="14">
      <c r="B97" s="89" t="s">
        <v>3</v>
      </c>
      <c r="C97" s="60">
        <f>C95+C96</f>
        <v>0.45200000000000001</v>
      </c>
      <c r="D97" s="2"/>
    </row>
    <row r="98" spans="2:5" ht="13">
      <c r="B98" s="90" t="s">
        <v>24</v>
      </c>
      <c r="C98" s="59">
        <f>1-C96</f>
        <v>0.94699999999999995</v>
      </c>
    </row>
    <row r="99" spans="2:5" ht="13">
      <c r="B99" s="89" t="s">
        <v>4</v>
      </c>
      <c r="C99" s="59">
        <v>0.16234000000000001</v>
      </c>
    </row>
    <row r="100" spans="2:5" ht="13">
      <c r="B100" s="89" t="s">
        <v>5</v>
      </c>
      <c r="C100" s="59">
        <v>0.04</v>
      </c>
    </row>
    <row r="101" spans="2:5" ht="13">
      <c r="B101" s="89" t="s">
        <v>6</v>
      </c>
      <c r="C101" s="59">
        <v>2.71</v>
      </c>
    </row>
    <row r="102" spans="2:5" ht="13">
      <c r="B102" s="89" t="s">
        <v>7</v>
      </c>
      <c r="C102" s="61">
        <f>'Costs details'!B2</f>
        <v>0.03</v>
      </c>
    </row>
    <row r="103" spans="2:5" ht="13">
      <c r="B103" s="89" t="s">
        <v>8</v>
      </c>
      <c r="C103" s="61">
        <f>C102+C100</f>
        <v>7.0000000000000007E-2</v>
      </c>
    </row>
    <row r="104" spans="2:5" ht="13">
      <c r="B104" s="91"/>
      <c r="C104" s="63"/>
    </row>
    <row r="105" spans="2:5" ht="13">
      <c r="B105" s="91"/>
      <c r="C105" s="63"/>
    </row>
    <row r="106" spans="2:5" ht="13">
      <c r="B106" s="86" t="str">
        <f>B63</f>
        <v>True positive on treatment</v>
      </c>
      <c r="C106" s="62">
        <f>C63</f>
        <v>83</v>
      </c>
      <c r="D106" s="62">
        <f t="shared" ref="D106:E106" si="6">D63</f>
        <v>96</v>
      </c>
      <c r="E106" s="62">
        <f t="shared" si="6"/>
        <v>94</v>
      </c>
    </row>
    <row r="107" spans="2:5" ht="13">
      <c r="B107" s="67" t="str">
        <f>Parameters!A2</f>
        <v>Median Age sample, years</v>
      </c>
      <c r="C107" s="59">
        <f>Parameters!$B$2</f>
        <v>35</v>
      </c>
      <c r="D107" s="15">
        <f>Parameters!$B$2</f>
        <v>35</v>
      </c>
      <c r="E107" s="15">
        <f>Parameters!$B$2</f>
        <v>35</v>
      </c>
    </row>
    <row r="108" spans="2:5" ht="13">
      <c r="B108" s="67" t="str">
        <f>CONCATENATE("Survival for ",Parameters!A21)</f>
        <v xml:space="preserve">Survival for HIV+ and TB patient not treated for TB, years                                        </v>
      </c>
      <c r="C108" s="59">
        <f>Parameters!B21</f>
        <v>0.66500000000000004</v>
      </c>
      <c r="D108" s="15">
        <f>C108</f>
        <v>0.66500000000000004</v>
      </c>
      <c r="E108" s="15">
        <f>D108</f>
        <v>0.66500000000000004</v>
      </c>
    </row>
    <row r="109" spans="2:5" ht="13">
      <c r="B109" s="90" t="s">
        <v>220</v>
      </c>
      <c r="C109" s="59">
        <f>C107+C108</f>
        <v>35.664999999999999</v>
      </c>
      <c r="D109" s="15">
        <f>D107+D108</f>
        <v>35.664999999999999</v>
      </c>
      <c r="E109" s="15">
        <f>E107+E108</f>
        <v>35.664999999999999</v>
      </c>
    </row>
    <row r="110" spans="2:5" ht="13">
      <c r="B110" s="67" t="str">
        <f>Parameters!A22</f>
        <v>HIV and TB after treatment, years</v>
      </c>
      <c r="C110" s="59">
        <f>Parameters!B22</f>
        <v>12.9</v>
      </c>
      <c r="D110" s="15">
        <f>C110</f>
        <v>12.9</v>
      </c>
      <c r="E110" s="15">
        <f>D110</f>
        <v>12.9</v>
      </c>
    </row>
    <row r="111" spans="2:5" ht="13">
      <c r="B111" s="90" t="s">
        <v>221</v>
      </c>
      <c r="C111" s="59">
        <f>C107+C108+C110</f>
        <v>48.564999999999998</v>
      </c>
      <c r="D111" s="15">
        <f>D107+D108+D110</f>
        <v>48.564999999999998</v>
      </c>
      <c r="E111" s="15">
        <f>E107+E108+E110</f>
        <v>48.564999999999998</v>
      </c>
    </row>
    <row r="112" spans="2:5" ht="13">
      <c r="B112" s="92" t="s">
        <v>142</v>
      </c>
      <c r="C112" s="103">
        <f>-(($C$97*$C$99*($C$101^(-($C$100*$C$107))))/($C$103^2))*((($C$101^(-$C$103*$C$108))*(1+($C$103*($C$107+$C$108)))-(1+($C$103*$C$107))))</f>
        <v>0.41540139368758894</v>
      </c>
      <c r="D112" s="104">
        <f>-(($C$97*$C$99*($C$101^(-($C$100*$C$107))))/($C$103^2))*((($C$101^(-$C$103*$C$108))*(1+($C$103*($C$107+$C$108)))-(1+($C$103*$C$107))))</f>
        <v>0.41540139368758894</v>
      </c>
      <c r="E112" s="104">
        <f>-(($C$97*$C$99*($C$101^(-($C$100*$C$107))))/($C$103^2))*((($C$101^(-$C$103*$C$108))*(1+($C$103*($C$107+$C$108)))-(1+($C$103*$C$107))))</f>
        <v>0.41540139368758894</v>
      </c>
    </row>
    <row r="113" spans="2:5" ht="13">
      <c r="B113" s="90" t="s">
        <v>143</v>
      </c>
      <c r="C113" s="103">
        <f>-(($C$98*$C$99*($C$101^(-($C$100*$C$109))))/($C$103^2))*((($C$101^(-$C$103*$C$110))*(1+($C$103*($C$109+$C$110)))-(1+($C$103*$C$109))))</f>
        <v>12.925889141011885</v>
      </c>
      <c r="D113" s="104">
        <f>-(($C$98*$C$99*($C$101^(-($C$100*$C$109))))/($C$103^2))*((($C$101^(-$C$103*$C$110))*(1+($C$103*($C$109+$C$110)))-(1+($C$103*$C$109))))</f>
        <v>12.925889141011885</v>
      </c>
      <c r="E113" s="104">
        <f>-(($C$98*$C$99*($C$101^(-($C$100*$C$109))))/($C$103^2))*((($C$101^(-$C$103*$C$110))*(1+($C$103*($C$109+$C$110)))-(1+($C$103*$C$109))))</f>
        <v>12.925889141011885</v>
      </c>
    </row>
    <row r="114" spans="2:5" ht="13">
      <c r="B114" s="90" t="s">
        <v>141</v>
      </c>
      <c r="C114" s="105">
        <f>C112+C113</f>
        <v>13.341290534699473</v>
      </c>
      <c r="D114" s="27">
        <f>D112+D113</f>
        <v>13.341290534699473</v>
      </c>
      <c r="E114" s="27">
        <f>E112+E113</f>
        <v>13.341290534699473</v>
      </c>
    </row>
    <row r="115" spans="2:5" ht="13">
      <c r="B115" s="90" t="s">
        <v>144</v>
      </c>
      <c r="C115" s="106">
        <f>C106*C114</f>
        <v>1107.3271143800562</v>
      </c>
      <c r="D115" s="107">
        <f>D106*D114</f>
        <v>1280.7638913311494</v>
      </c>
      <c r="E115" s="107">
        <f>E106*E114</f>
        <v>1254.0813102617506</v>
      </c>
    </row>
    <row r="116" spans="2:5" ht="13">
      <c r="B116" s="1"/>
    </row>
    <row r="117" spans="2:5" ht="13">
      <c r="B117" s="1"/>
    </row>
    <row r="118" spans="2:5" ht="13">
      <c r="B118" s="1"/>
      <c r="D118" s="39"/>
    </row>
    <row r="119" spans="2:5" ht="13">
      <c r="B119" s="1"/>
    </row>
    <row r="120" spans="2:5" ht="13">
      <c r="B120" s="1"/>
    </row>
    <row r="121" spans="2:5" ht="13">
      <c r="B121" s="1"/>
    </row>
    <row r="122" spans="2:5" ht="13">
      <c r="B122" s="1"/>
    </row>
    <row r="123" spans="2:5" ht="13">
      <c r="B123" s="1"/>
    </row>
    <row r="124" spans="2:5" ht="13">
      <c r="B124" s="1"/>
    </row>
    <row r="125" spans="2:5" ht="13">
      <c r="B125" s="1"/>
    </row>
    <row r="126" spans="2:5" ht="13">
      <c r="B126" s="1"/>
    </row>
    <row r="127" spans="2:5" ht="13">
      <c r="B127" s="1"/>
    </row>
    <row r="128" spans="2:5" ht="13">
      <c r="B128" s="1"/>
    </row>
    <row r="129" spans="2:2" ht="13">
      <c r="B129" s="1"/>
    </row>
    <row r="130" spans="2:2" ht="13">
      <c r="B130" s="1"/>
    </row>
    <row r="131" spans="2:2" ht="13">
      <c r="B131" s="1"/>
    </row>
    <row r="132" spans="2:2" ht="13">
      <c r="B132" s="1"/>
    </row>
    <row r="133" spans="2:2" ht="13">
      <c r="B133" s="1"/>
    </row>
    <row r="134" spans="2:2" ht="13">
      <c r="B134" s="1"/>
    </row>
    <row r="135" spans="2:2" ht="13">
      <c r="B135" s="1"/>
    </row>
    <row r="136" spans="2:2" ht="13">
      <c r="B136" s="1"/>
    </row>
    <row r="137" spans="2:2" ht="13">
      <c r="B137" s="1"/>
    </row>
    <row r="138" spans="2:2" ht="13">
      <c r="B138" s="1"/>
    </row>
    <row r="139" spans="2:2" ht="13">
      <c r="B139" s="1"/>
    </row>
    <row r="140" spans="2:2" ht="13">
      <c r="B140" s="1"/>
    </row>
    <row r="141" spans="2:2" ht="13">
      <c r="B141" s="1"/>
    </row>
    <row r="142" spans="2:2" ht="13">
      <c r="B142" s="1"/>
    </row>
    <row r="143" spans="2:2" ht="13">
      <c r="B143" s="1"/>
    </row>
    <row r="144" spans="2:2" ht="13">
      <c r="B144" s="1"/>
    </row>
    <row r="145" spans="2:2" ht="13">
      <c r="B145" s="1"/>
    </row>
    <row r="146" spans="2:2" ht="13">
      <c r="B146" s="1"/>
    </row>
    <row r="147" spans="2:2" ht="13">
      <c r="B147" s="1"/>
    </row>
    <row r="148" spans="2:2" ht="13">
      <c r="B148" s="1"/>
    </row>
    <row r="149" spans="2:2" ht="13">
      <c r="B149" s="1"/>
    </row>
    <row r="150" spans="2:2" ht="13">
      <c r="B150" s="1"/>
    </row>
    <row r="151" spans="2:2" ht="13">
      <c r="B151" s="1"/>
    </row>
    <row r="152" spans="2:2" ht="13">
      <c r="B152" s="1"/>
    </row>
    <row r="153" spans="2:2" ht="13">
      <c r="B153" s="1"/>
    </row>
    <row r="154" spans="2:2" ht="13">
      <c r="B154" s="1"/>
    </row>
    <row r="155" spans="2:2" ht="13">
      <c r="B155" s="1"/>
    </row>
    <row r="156" spans="2:2" ht="13">
      <c r="B156" s="1"/>
    </row>
    <row r="157" spans="2:2" ht="13">
      <c r="B157" s="1"/>
    </row>
    <row r="158" spans="2:2" ht="13">
      <c r="B158" s="1"/>
    </row>
    <row r="159" spans="2:2" ht="13">
      <c r="B159" s="1"/>
    </row>
    <row r="160" spans="2:2" ht="13">
      <c r="B160" s="1"/>
    </row>
    <row r="161" spans="2:2" ht="13">
      <c r="B161" s="1"/>
    </row>
    <row r="162" spans="2:2" ht="13">
      <c r="B162" s="1"/>
    </row>
    <row r="163" spans="2:2" ht="13">
      <c r="B163" s="1"/>
    </row>
    <row r="164" spans="2:2" ht="13">
      <c r="B164" s="1"/>
    </row>
    <row r="165" spans="2:2" ht="13">
      <c r="B165" s="1"/>
    </row>
    <row r="166" spans="2:2" ht="13">
      <c r="B166" s="1"/>
    </row>
    <row r="167" spans="2:2" ht="13">
      <c r="B167" s="1"/>
    </row>
    <row r="168" spans="2:2" ht="13">
      <c r="B168" s="1"/>
    </row>
    <row r="169" spans="2:2" ht="13">
      <c r="B169" s="1"/>
    </row>
    <row r="170" spans="2:2" ht="13">
      <c r="B170" s="1"/>
    </row>
    <row r="171" spans="2:2" ht="13">
      <c r="B171" s="1"/>
    </row>
    <row r="172" spans="2:2" ht="13">
      <c r="B172" s="1"/>
    </row>
    <row r="173" spans="2:2" ht="13">
      <c r="B173" s="1"/>
    </row>
    <row r="174" spans="2:2" ht="13">
      <c r="B174" s="1"/>
    </row>
    <row r="175" spans="2:2" ht="13">
      <c r="B175" s="1"/>
    </row>
    <row r="176" spans="2:2" ht="13">
      <c r="B176" s="1"/>
    </row>
    <row r="177" spans="2:2" ht="13">
      <c r="B177" s="1"/>
    </row>
    <row r="178" spans="2:2" ht="13">
      <c r="B178" s="1"/>
    </row>
    <row r="179" spans="2:2" ht="13">
      <c r="B179" s="1"/>
    </row>
    <row r="180" spans="2:2" ht="13">
      <c r="B180" s="1"/>
    </row>
    <row r="181" spans="2:2" ht="13">
      <c r="B181" s="1"/>
    </row>
    <row r="182" spans="2:2" ht="13">
      <c r="B182" s="1"/>
    </row>
    <row r="183" spans="2:2" ht="13">
      <c r="B183" s="1"/>
    </row>
    <row r="184" spans="2:2" ht="13">
      <c r="B184" s="1"/>
    </row>
    <row r="185" spans="2:2" ht="13">
      <c r="B185" s="1"/>
    </row>
    <row r="186" spans="2:2" ht="13">
      <c r="B186" s="1"/>
    </row>
    <row r="187" spans="2:2" ht="13">
      <c r="B187" s="1"/>
    </row>
    <row r="188" spans="2:2" ht="13">
      <c r="B188" s="1"/>
    </row>
    <row r="189" spans="2:2" ht="13">
      <c r="B189" s="1"/>
    </row>
    <row r="190" spans="2:2" ht="13">
      <c r="B190" s="1"/>
    </row>
    <row r="191" spans="2:2" ht="13">
      <c r="B191" s="1"/>
    </row>
    <row r="192" spans="2:2" ht="13">
      <c r="B192" s="1"/>
    </row>
    <row r="193" spans="2:2" ht="13">
      <c r="B193" s="1"/>
    </row>
    <row r="194" spans="2:2" ht="13">
      <c r="B194" s="1"/>
    </row>
    <row r="195" spans="2:2" ht="13">
      <c r="B195" s="1"/>
    </row>
    <row r="196" spans="2:2" ht="13">
      <c r="B196" s="1"/>
    </row>
    <row r="197" spans="2:2" ht="13">
      <c r="B197" s="1"/>
    </row>
    <row r="198" spans="2:2" ht="13">
      <c r="B198" s="1"/>
    </row>
    <row r="199" spans="2:2" ht="13">
      <c r="B199" s="1"/>
    </row>
    <row r="200" spans="2:2" ht="13">
      <c r="B200" s="1"/>
    </row>
    <row r="201" spans="2:2" ht="13">
      <c r="B201" s="1"/>
    </row>
    <row r="202" spans="2:2" ht="13">
      <c r="B202" s="1"/>
    </row>
    <row r="203" spans="2:2" ht="13">
      <c r="B203" s="1"/>
    </row>
    <row r="204" spans="2:2" ht="13">
      <c r="B204" s="1"/>
    </row>
    <row r="205" spans="2:2" ht="13">
      <c r="B205" s="1"/>
    </row>
    <row r="206" spans="2:2" ht="13">
      <c r="B206" s="1"/>
    </row>
    <row r="207" spans="2:2" ht="13">
      <c r="B207" s="1"/>
    </row>
    <row r="208" spans="2:2" ht="13">
      <c r="B208" s="1"/>
    </row>
    <row r="209" spans="2:2" ht="13">
      <c r="B209" s="1"/>
    </row>
    <row r="210" spans="2:2" ht="13">
      <c r="B210" s="1"/>
    </row>
    <row r="211" spans="2:2" ht="13">
      <c r="B211" s="1"/>
    </row>
    <row r="212" spans="2:2" ht="13">
      <c r="B212" s="1"/>
    </row>
    <row r="213" spans="2:2" ht="13">
      <c r="B213" s="1"/>
    </row>
    <row r="214" spans="2:2" ht="13">
      <c r="B214" s="1"/>
    </row>
    <row r="215" spans="2:2" ht="13">
      <c r="B215" s="1"/>
    </row>
    <row r="216" spans="2:2" ht="13">
      <c r="B216" s="1"/>
    </row>
    <row r="217" spans="2:2" ht="13">
      <c r="B217" s="1"/>
    </row>
    <row r="218" spans="2:2" ht="13">
      <c r="B218" s="1"/>
    </row>
    <row r="219" spans="2:2" ht="13">
      <c r="B219" s="1"/>
    </row>
    <row r="220" spans="2:2" ht="13">
      <c r="B220" s="1"/>
    </row>
    <row r="221" spans="2:2" ht="13">
      <c r="B221" s="1"/>
    </row>
    <row r="222" spans="2:2" ht="13">
      <c r="B222" s="1"/>
    </row>
    <row r="223" spans="2:2" ht="13">
      <c r="B223" s="1"/>
    </row>
    <row r="224" spans="2:2" ht="13">
      <c r="B224" s="1"/>
    </row>
    <row r="225" spans="2:2" ht="13">
      <c r="B225" s="1"/>
    </row>
    <row r="226" spans="2:2" ht="13">
      <c r="B226" s="1"/>
    </row>
    <row r="227" spans="2:2" ht="13">
      <c r="B227" s="1"/>
    </row>
    <row r="228" spans="2:2" ht="13">
      <c r="B228" s="1"/>
    </row>
    <row r="229" spans="2:2" ht="13">
      <c r="B229" s="1"/>
    </row>
    <row r="230" spans="2:2" ht="13">
      <c r="B230" s="1"/>
    </row>
    <row r="231" spans="2:2" ht="13">
      <c r="B231" s="1"/>
    </row>
    <row r="232" spans="2:2" ht="13">
      <c r="B232" s="1"/>
    </row>
    <row r="233" spans="2:2" ht="13">
      <c r="B233" s="1"/>
    </row>
    <row r="234" spans="2:2" ht="13">
      <c r="B234" s="1"/>
    </row>
    <row r="235" spans="2:2" ht="13">
      <c r="B235" s="1"/>
    </row>
    <row r="236" spans="2:2" ht="13">
      <c r="B236" s="1"/>
    </row>
    <row r="237" spans="2:2" ht="13">
      <c r="B237" s="1"/>
    </row>
    <row r="238" spans="2:2" ht="13">
      <c r="B238" s="1"/>
    </row>
    <row r="239" spans="2:2" ht="13">
      <c r="B239" s="1"/>
    </row>
    <row r="240" spans="2:2" ht="13">
      <c r="B240" s="1"/>
    </row>
    <row r="241" spans="2:2" ht="13">
      <c r="B241" s="1"/>
    </row>
    <row r="242" spans="2:2" ht="13">
      <c r="B242" s="1"/>
    </row>
    <row r="243" spans="2:2" ht="13">
      <c r="B243" s="1"/>
    </row>
    <row r="244" spans="2:2" ht="13">
      <c r="B244" s="1"/>
    </row>
    <row r="245" spans="2:2" ht="13">
      <c r="B245" s="1"/>
    </row>
    <row r="246" spans="2:2" ht="13">
      <c r="B246" s="1"/>
    </row>
    <row r="247" spans="2:2" ht="13">
      <c r="B247" s="1"/>
    </row>
    <row r="248" spans="2:2" ht="13">
      <c r="B248" s="1"/>
    </row>
    <row r="249" spans="2:2" ht="13">
      <c r="B249" s="1"/>
    </row>
    <row r="250" spans="2:2" ht="13">
      <c r="B250" s="1"/>
    </row>
    <row r="251" spans="2:2" ht="13">
      <c r="B251" s="1"/>
    </row>
    <row r="252" spans="2:2" ht="13">
      <c r="B252" s="1"/>
    </row>
    <row r="253" spans="2:2" ht="13">
      <c r="B253" s="1"/>
    </row>
    <row r="254" spans="2:2" ht="13">
      <c r="B254" s="1"/>
    </row>
    <row r="255" spans="2:2" ht="13">
      <c r="B255" s="1"/>
    </row>
    <row r="256" spans="2:2" ht="13">
      <c r="B256" s="1"/>
    </row>
    <row r="257" spans="2:2" ht="13">
      <c r="B257" s="1"/>
    </row>
    <row r="258" spans="2:2" ht="13">
      <c r="B258" s="1"/>
    </row>
    <row r="259" spans="2:2" ht="13">
      <c r="B259" s="1"/>
    </row>
    <row r="260" spans="2:2" ht="13">
      <c r="B260" s="1"/>
    </row>
    <row r="261" spans="2:2" ht="13">
      <c r="B261" s="1"/>
    </row>
    <row r="262" spans="2:2" ht="13">
      <c r="B262" s="1"/>
    </row>
    <row r="263" spans="2:2" ht="13">
      <c r="B263" s="1"/>
    </row>
    <row r="264" spans="2:2" ht="13">
      <c r="B264" s="1"/>
    </row>
    <row r="265" spans="2:2" ht="13">
      <c r="B265" s="1"/>
    </row>
    <row r="266" spans="2:2" ht="13">
      <c r="B266" s="1"/>
    </row>
    <row r="267" spans="2:2" ht="13">
      <c r="B267" s="1"/>
    </row>
    <row r="268" spans="2:2" ht="13">
      <c r="B268" s="1"/>
    </row>
    <row r="269" spans="2:2" ht="13">
      <c r="B269" s="1"/>
    </row>
    <row r="270" spans="2:2" ht="13">
      <c r="B270" s="1"/>
    </row>
    <row r="271" spans="2:2" ht="13">
      <c r="B271" s="1"/>
    </row>
    <row r="272" spans="2:2" ht="13">
      <c r="B272" s="1"/>
    </row>
    <row r="273" spans="2:2" ht="13">
      <c r="B273" s="1"/>
    </row>
    <row r="274" spans="2:2" ht="13">
      <c r="B274" s="1"/>
    </row>
    <row r="275" spans="2:2" ht="13">
      <c r="B275" s="1"/>
    </row>
    <row r="276" spans="2:2" ht="13">
      <c r="B276" s="1"/>
    </row>
    <row r="277" spans="2:2" ht="13">
      <c r="B277" s="1"/>
    </row>
    <row r="278" spans="2:2" ht="13">
      <c r="B278" s="1"/>
    </row>
    <row r="279" spans="2:2" ht="13">
      <c r="B279" s="1"/>
    </row>
    <row r="280" spans="2:2" ht="13">
      <c r="B280" s="1"/>
    </row>
    <row r="281" spans="2:2" ht="13">
      <c r="B281" s="1"/>
    </row>
    <row r="282" spans="2:2" ht="13">
      <c r="B282" s="1"/>
    </row>
    <row r="283" spans="2:2" ht="13">
      <c r="B283" s="1"/>
    </row>
    <row r="284" spans="2:2" ht="13">
      <c r="B284" s="1"/>
    </row>
    <row r="285" spans="2:2" ht="13">
      <c r="B285" s="1"/>
    </row>
    <row r="286" spans="2:2" ht="13">
      <c r="B286" s="1"/>
    </row>
    <row r="287" spans="2:2" ht="13">
      <c r="B287" s="1"/>
    </row>
    <row r="288" spans="2:2" ht="13">
      <c r="B288" s="1"/>
    </row>
    <row r="289" spans="2:2" ht="13">
      <c r="B289" s="1"/>
    </row>
    <row r="290" spans="2:2" ht="13">
      <c r="B290" s="1"/>
    </row>
    <row r="291" spans="2:2" ht="13">
      <c r="B291" s="1"/>
    </row>
    <row r="292" spans="2:2" ht="13">
      <c r="B292" s="1"/>
    </row>
    <row r="293" spans="2:2" ht="13">
      <c r="B293" s="1"/>
    </row>
    <row r="294" spans="2:2" ht="13">
      <c r="B294" s="1"/>
    </row>
    <row r="295" spans="2:2" ht="13">
      <c r="B295" s="1"/>
    </row>
    <row r="296" spans="2:2" ht="13">
      <c r="B296" s="1"/>
    </row>
    <row r="297" spans="2:2" ht="13">
      <c r="B297" s="1"/>
    </row>
    <row r="298" spans="2:2" ht="13">
      <c r="B298" s="1"/>
    </row>
    <row r="299" spans="2:2" ht="13">
      <c r="B299" s="1"/>
    </row>
    <row r="300" spans="2:2" ht="13">
      <c r="B300" s="1"/>
    </row>
    <row r="301" spans="2:2" ht="13">
      <c r="B301" s="1"/>
    </row>
    <row r="302" spans="2:2" ht="13">
      <c r="B302" s="1"/>
    </row>
    <row r="303" spans="2:2" ht="13">
      <c r="B303" s="1"/>
    </row>
    <row r="304" spans="2:2" ht="13">
      <c r="B304" s="1"/>
    </row>
    <row r="305" spans="2:2" ht="13">
      <c r="B305" s="1"/>
    </row>
    <row r="306" spans="2:2" ht="13">
      <c r="B306" s="1"/>
    </row>
    <row r="307" spans="2:2" ht="13">
      <c r="B307" s="1"/>
    </row>
    <row r="308" spans="2:2" ht="13">
      <c r="B308" s="1"/>
    </row>
    <row r="309" spans="2:2" ht="13">
      <c r="B309" s="1"/>
    </row>
    <row r="310" spans="2:2" ht="13">
      <c r="B310" s="1"/>
    </row>
    <row r="311" spans="2:2" ht="13">
      <c r="B311" s="1"/>
    </row>
    <row r="312" spans="2:2" ht="13">
      <c r="B312" s="1"/>
    </row>
    <row r="313" spans="2:2" ht="13">
      <c r="B313" s="1"/>
    </row>
    <row r="314" spans="2:2" ht="13">
      <c r="B314" s="1"/>
    </row>
    <row r="315" spans="2:2" ht="13">
      <c r="B315" s="1"/>
    </row>
    <row r="316" spans="2:2" ht="13">
      <c r="B316" s="1"/>
    </row>
    <row r="317" spans="2:2" ht="13">
      <c r="B317" s="1"/>
    </row>
    <row r="318" spans="2:2" ht="13">
      <c r="B318" s="1"/>
    </row>
    <row r="319" spans="2:2" ht="13">
      <c r="B319" s="1"/>
    </row>
    <row r="320" spans="2:2" ht="13">
      <c r="B320" s="1"/>
    </row>
    <row r="321" spans="2:2" ht="13">
      <c r="B321" s="1"/>
    </row>
    <row r="322" spans="2:2" ht="13">
      <c r="B322" s="1"/>
    </row>
    <row r="323" spans="2:2" ht="13">
      <c r="B323" s="1"/>
    </row>
    <row r="324" spans="2:2" ht="13">
      <c r="B324" s="1"/>
    </row>
    <row r="325" spans="2:2" ht="13">
      <c r="B325" s="1"/>
    </row>
    <row r="326" spans="2:2" ht="13">
      <c r="B326" s="1"/>
    </row>
    <row r="327" spans="2:2" ht="13">
      <c r="B327" s="1"/>
    </row>
    <row r="328" spans="2:2" ht="13">
      <c r="B328" s="1"/>
    </row>
    <row r="329" spans="2:2" ht="13">
      <c r="B329" s="1"/>
    </row>
    <row r="330" spans="2:2" ht="13">
      <c r="B330" s="1"/>
    </row>
    <row r="331" spans="2:2" ht="13">
      <c r="B331" s="1"/>
    </row>
    <row r="332" spans="2:2" ht="13">
      <c r="B332" s="1"/>
    </row>
    <row r="333" spans="2:2" ht="13">
      <c r="B333" s="1"/>
    </row>
    <row r="334" spans="2:2" ht="13">
      <c r="B334" s="1"/>
    </row>
    <row r="335" spans="2:2" ht="13">
      <c r="B335" s="1"/>
    </row>
    <row r="336" spans="2:2" ht="13">
      <c r="B336" s="1"/>
    </row>
    <row r="337" spans="2:2" ht="13">
      <c r="B337" s="1"/>
    </row>
    <row r="338" spans="2:2" ht="13">
      <c r="B338" s="1"/>
    </row>
    <row r="339" spans="2:2" ht="13">
      <c r="B339" s="1"/>
    </row>
    <row r="340" spans="2:2" ht="13">
      <c r="B340" s="1"/>
    </row>
    <row r="341" spans="2:2" ht="13">
      <c r="B341" s="1"/>
    </row>
    <row r="342" spans="2:2" ht="13">
      <c r="B342" s="1"/>
    </row>
    <row r="343" spans="2:2" ht="13">
      <c r="B343" s="1"/>
    </row>
    <row r="344" spans="2:2" ht="13">
      <c r="B344" s="1"/>
    </row>
    <row r="345" spans="2:2" ht="13">
      <c r="B345" s="1"/>
    </row>
    <row r="346" spans="2:2" ht="13">
      <c r="B346" s="1"/>
    </row>
    <row r="347" spans="2:2" ht="13">
      <c r="B347" s="1"/>
    </row>
    <row r="348" spans="2:2" ht="13">
      <c r="B348" s="1"/>
    </row>
    <row r="349" spans="2:2" ht="13">
      <c r="B349" s="1"/>
    </row>
    <row r="350" spans="2:2" ht="13">
      <c r="B350" s="1"/>
    </row>
    <row r="351" spans="2:2" ht="13">
      <c r="B351" s="1"/>
    </row>
    <row r="352" spans="2:2" ht="13">
      <c r="B352" s="1"/>
    </row>
    <row r="353" spans="2:2" ht="13">
      <c r="B353" s="1"/>
    </row>
    <row r="354" spans="2:2" ht="13">
      <c r="B354" s="1"/>
    </row>
    <row r="355" spans="2:2" ht="13">
      <c r="B355" s="1"/>
    </row>
    <row r="356" spans="2:2" ht="13">
      <c r="B356" s="1"/>
    </row>
    <row r="357" spans="2:2" ht="13">
      <c r="B357" s="1"/>
    </row>
    <row r="358" spans="2:2" ht="13">
      <c r="B358" s="1"/>
    </row>
    <row r="359" spans="2:2" ht="13">
      <c r="B359" s="1"/>
    </row>
    <row r="360" spans="2:2" ht="13">
      <c r="B360" s="1"/>
    </row>
    <row r="361" spans="2:2" ht="13">
      <c r="B361" s="1"/>
    </row>
    <row r="362" spans="2:2" ht="13">
      <c r="B362" s="1"/>
    </row>
    <row r="363" spans="2:2" ht="13">
      <c r="B363" s="1"/>
    </row>
    <row r="364" spans="2:2" ht="13">
      <c r="B364" s="1"/>
    </row>
    <row r="365" spans="2:2" ht="13">
      <c r="B365" s="1"/>
    </row>
    <row r="366" spans="2:2" ht="13">
      <c r="B366" s="1"/>
    </row>
    <row r="367" spans="2:2" ht="13">
      <c r="B367" s="1"/>
    </row>
    <row r="368" spans="2:2" ht="13">
      <c r="B368" s="1"/>
    </row>
    <row r="369" spans="2:2" ht="13">
      <c r="B369" s="1"/>
    </row>
    <row r="370" spans="2:2" ht="13">
      <c r="B370" s="1"/>
    </row>
    <row r="371" spans="2:2" ht="13">
      <c r="B371" s="1"/>
    </row>
    <row r="372" spans="2:2" ht="13">
      <c r="B372" s="1"/>
    </row>
    <row r="373" spans="2:2" ht="13">
      <c r="B373" s="1"/>
    </row>
    <row r="374" spans="2:2" ht="13">
      <c r="B374" s="1"/>
    </row>
    <row r="375" spans="2:2" ht="13">
      <c r="B375" s="1"/>
    </row>
    <row r="376" spans="2:2" ht="13">
      <c r="B376" s="1"/>
    </row>
    <row r="377" spans="2:2" ht="13">
      <c r="B377" s="1"/>
    </row>
    <row r="378" spans="2:2" ht="13">
      <c r="B378" s="1"/>
    </row>
    <row r="379" spans="2:2" ht="13">
      <c r="B379" s="1"/>
    </row>
    <row r="380" spans="2:2" ht="13">
      <c r="B380" s="1"/>
    </row>
    <row r="381" spans="2:2" ht="13">
      <c r="B381" s="1"/>
    </row>
    <row r="382" spans="2:2" ht="13">
      <c r="B382" s="1"/>
    </row>
    <row r="383" spans="2:2" ht="13">
      <c r="B383" s="1"/>
    </row>
    <row r="384" spans="2:2" ht="13">
      <c r="B384" s="1"/>
    </row>
    <row r="385" spans="2:2" ht="13">
      <c r="B385" s="1"/>
    </row>
    <row r="386" spans="2:2" ht="13">
      <c r="B386" s="1"/>
    </row>
    <row r="387" spans="2:2" ht="13">
      <c r="B387" s="1"/>
    </row>
    <row r="388" spans="2:2" ht="13">
      <c r="B388" s="1"/>
    </row>
    <row r="389" spans="2:2" ht="13">
      <c r="B389" s="1"/>
    </row>
    <row r="390" spans="2:2" ht="13">
      <c r="B390" s="1"/>
    </row>
    <row r="391" spans="2:2" ht="13">
      <c r="B391" s="1"/>
    </row>
    <row r="392" spans="2:2" ht="13">
      <c r="B392" s="1"/>
    </row>
    <row r="393" spans="2:2" ht="13">
      <c r="B393" s="1"/>
    </row>
    <row r="394" spans="2:2" ht="13">
      <c r="B394" s="1"/>
    </row>
    <row r="395" spans="2:2" ht="13">
      <c r="B395" s="1"/>
    </row>
    <row r="396" spans="2:2" ht="13">
      <c r="B396" s="1"/>
    </row>
    <row r="397" spans="2:2" ht="13">
      <c r="B397" s="1"/>
    </row>
    <row r="398" spans="2:2" ht="13">
      <c r="B398" s="1"/>
    </row>
    <row r="399" spans="2:2" ht="13">
      <c r="B399" s="1"/>
    </row>
    <row r="400" spans="2:2" ht="13">
      <c r="B400" s="1"/>
    </row>
    <row r="401" spans="2:2" ht="13">
      <c r="B401" s="1"/>
    </row>
    <row r="402" spans="2:2" ht="13">
      <c r="B402" s="1"/>
    </row>
    <row r="403" spans="2:2" ht="13">
      <c r="B403" s="1"/>
    </row>
    <row r="404" spans="2:2" ht="13">
      <c r="B404" s="1"/>
    </row>
    <row r="405" spans="2:2" ht="13">
      <c r="B405" s="1"/>
    </row>
    <row r="406" spans="2:2" ht="13">
      <c r="B406" s="1"/>
    </row>
    <row r="407" spans="2:2" ht="13">
      <c r="B407" s="1"/>
    </row>
    <row r="408" spans="2:2" ht="13">
      <c r="B408" s="1"/>
    </row>
    <row r="409" spans="2:2" ht="13">
      <c r="B409" s="1"/>
    </row>
    <row r="410" spans="2:2" ht="13">
      <c r="B410" s="1"/>
    </row>
    <row r="411" spans="2:2" ht="13">
      <c r="B411" s="1"/>
    </row>
    <row r="412" spans="2:2" ht="13">
      <c r="B412" s="1"/>
    </row>
    <row r="413" spans="2:2" ht="13">
      <c r="B413" s="1"/>
    </row>
    <row r="414" spans="2:2" ht="13">
      <c r="B414" s="1"/>
    </row>
    <row r="415" spans="2:2" ht="13">
      <c r="B415" s="1"/>
    </row>
    <row r="416" spans="2:2" ht="13">
      <c r="B416" s="1"/>
    </row>
    <row r="417" spans="2:2" ht="13">
      <c r="B417" s="1"/>
    </row>
    <row r="418" spans="2:2" ht="13">
      <c r="B418" s="1"/>
    </row>
    <row r="419" spans="2:2" ht="13">
      <c r="B419" s="1"/>
    </row>
    <row r="420" spans="2:2" ht="13">
      <c r="B420" s="1"/>
    </row>
    <row r="421" spans="2:2" ht="13">
      <c r="B421" s="1"/>
    </row>
    <row r="422" spans="2:2" ht="13">
      <c r="B422" s="1"/>
    </row>
    <row r="423" spans="2:2" ht="13">
      <c r="B423" s="1"/>
    </row>
    <row r="424" spans="2:2" ht="13">
      <c r="B424" s="1"/>
    </row>
    <row r="425" spans="2:2" ht="13">
      <c r="B425" s="1"/>
    </row>
    <row r="426" spans="2:2" ht="13">
      <c r="B426" s="1"/>
    </row>
    <row r="427" spans="2:2" ht="13">
      <c r="B427" s="1"/>
    </row>
    <row r="428" spans="2:2" ht="13">
      <c r="B428" s="1"/>
    </row>
    <row r="429" spans="2:2" ht="13">
      <c r="B429" s="1"/>
    </row>
    <row r="430" spans="2:2" ht="13">
      <c r="B430" s="1"/>
    </row>
    <row r="431" spans="2:2" ht="13">
      <c r="B431" s="1"/>
    </row>
    <row r="432" spans="2:2" ht="13">
      <c r="B432" s="1"/>
    </row>
    <row r="433" spans="2:2" ht="13">
      <c r="B433" s="1"/>
    </row>
    <row r="434" spans="2:2" ht="13">
      <c r="B434" s="1"/>
    </row>
    <row r="435" spans="2:2" ht="13">
      <c r="B435" s="1"/>
    </row>
    <row r="436" spans="2:2" ht="13">
      <c r="B436" s="1"/>
    </row>
    <row r="437" spans="2:2" ht="13">
      <c r="B437" s="1"/>
    </row>
    <row r="438" spans="2:2" ht="13">
      <c r="B438" s="1"/>
    </row>
    <row r="439" spans="2:2" ht="13">
      <c r="B439" s="1"/>
    </row>
    <row r="440" spans="2:2" ht="13">
      <c r="B440" s="1"/>
    </row>
    <row r="441" spans="2:2" ht="13">
      <c r="B441" s="1"/>
    </row>
    <row r="442" spans="2:2" ht="13">
      <c r="B442" s="1"/>
    </row>
    <row r="443" spans="2:2" ht="13">
      <c r="B443" s="1"/>
    </row>
    <row r="444" spans="2:2" ht="13">
      <c r="B444" s="1"/>
    </row>
    <row r="445" spans="2:2" ht="13">
      <c r="B445" s="1"/>
    </row>
    <row r="446" spans="2:2" ht="13">
      <c r="B446" s="1"/>
    </row>
    <row r="447" spans="2:2" ht="13">
      <c r="B447" s="1"/>
    </row>
    <row r="448" spans="2:2" ht="13">
      <c r="B448" s="1"/>
    </row>
    <row r="449" spans="2:2" ht="13">
      <c r="B449" s="1"/>
    </row>
    <row r="450" spans="2:2" ht="13">
      <c r="B450" s="1"/>
    </row>
    <row r="451" spans="2:2" ht="13">
      <c r="B451" s="1"/>
    </row>
    <row r="452" spans="2:2" ht="13">
      <c r="B452" s="1"/>
    </row>
    <row r="453" spans="2:2" ht="13">
      <c r="B453" s="1"/>
    </row>
    <row r="454" spans="2:2" ht="13">
      <c r="B454" s="1"/>
    </row>
    <row r="455" spans="2:2" ht="13">
      <c r="B455" s="1"/>
    </row>
    <row r="456" spans="2:2" ht="13">
      <c r="B456" s="1"/>
    </row>
    <row r="457" spans="2:2" ht="13">
      <c r="B457" s="1"/>
    </row>
    <row r="458" spans="2:2" ht="13">
      <c r="B458" s="1"/>
    </row>
    <row r="459" spans="2:2" ht="13">
      <c r="B459" s="1"/>
    </row>
    <row r="460" spans="2:2" ht="13">
      <c r="B460" s="1"/>
    </row>
    <row r="461" spans="2:2" ht="13">
      <c r="B461" s="1"/>
    </row>
    <row r="462" spans="2:2" ht="13">
      <c r="B462" s="1"/>
    </row>
    <row r="463" spans="2:2" ht="13">
      <c r="B463" s="1"/>
    </row>
    <row r="464" spans="2:2" ht="13">
      <c r="B464" s="1"/>
    </row>
    <row r="465" spans="2:2" ht="13">
      <c r="B465" s="1"/>
    </row>
    <row r="466" spans="2:2" ht="13">
      <c r="B466" s="1"/>
    </row>
    <row r="467" spans="2:2" ht="13">
      <c r="B467" s="1"/>
    </row>
    <row r="468" spans="2:2" ht="13">
      <c r="B468" s="1"/>
    </row>
    <row r="469" spans="2:2" ht="13">
      <c r="B469" s="1"/>
    </row>
    <row r="470" spans="2:2" ht="13">
      <c r="B470" s="1"/>
    </row>
    <row r="471" spans="2:2" ht="13">
      <c r="B471" s="1"/>
    </row>
    <row r="472" spans="2:2" ht="13">
      <c r="B472" s="1"/>
    </row>
    <row r="473" spans="2:2" ht="13">
      <c r="B473" s="1"/>
    </row>
    <row r="474" spans="2:2" ht="13">
      <c r="B474" s="1"/>
    </row>
    <row r="475" spans="2:2" ht="13">
      <c r="B475" s="1"/>
    </row>
    <row r="476" spans="2:2" ht="13">
      <c r="B476" s="1"/>
    </row>
    <row r="477" spans="2:2" ht="13">
      <c r="B477" s="1"/>
    </row>
    <row r="478" spans="2:2" ht="13">
      <c r="B478" s="1"/>
    </row>
    <row r="479" spans="2:2" ht="13">
      <c r="B479" s="1"/>
    </row>
    <row r="480" spans="2:2" ht="13">
      <c r="B480" s="1"/>
    </row>
    <row r="481" spans="2:2" ht="13">
      <c r="B481" s="1"/>
    </row>
    <row r="482" spans="2:2" ht="13">
      <c r="B482" s="1"/>
    </row>
    <row r="483" spans="2:2" ht="13">
      <c r="B483" s="1"/>
    </row>
    <row r="484" spans="2:2" ht="13">
      <c r="B484" s="1"/>
    </row>
    <row r="485" spans="2:2" ht="13">
      <c r="B485" s="1"/>
    </row>
    <row r="486" spans="2:2" ht="13">
      <c r="B486" s="1"/>
    </row>
    <row r="487" spans="2:2" ht="13">
      <c r="B487" s="1"/>
    </row>
    <row r="488" spans="2:2" ht="13">
      <c r="B488" s="1"/>
    </row>
    <row r="489" spans="2:2" ht="13">
      <c r="B489" s="1"/>
    </row>
    <row r="490" spans="2:2" ht="13">
      <c r="B490" s="1"/>
    </row>
    <row r="491" spans="2:2" ht="13">
      <c r="B491" s="1"/>
    </row>
    <row r="492" spans="2:2" ht="13">
      <c r="B492" s="1"/>
    </row>
    <row r="493" spans="2:2" ht="13">
      <c r="B493" s="1"/>
    </row>
    <row r="494" spans="2:2" ht="13">
      <c r="B494" s="1"/>
    </row>
    <row r="495" spans="2:2" ht="13">
      <c r="B495" s="1"/>
    </row>
    <row r="496" spans="2:2" ht="13">
      <c r="B496" s="1"/>
    </row>
    <row r="497" spans="2:2" ht="13">
      <c r="B497" s="1"/>
    </row>
    <row r="498" spans="2:2" ht="13">
      <c r="B498" s="1"/>
    </row>
    <row r="499" spans="2:2" ht="13">
      <c r="B499" s="1"/>
    </row>
    <row r="500" spans="2:2" ht="13">
      <c r="B500" s="1"/>
    </row>
    <row r="501" spans="2:2" ht="13">
      <c r="B501" s="1"/>
    </row>
    <row r="502" spans="2:2" ht="13">
      <c r="B502" s="1"/>
    </row>
    <row r="503" spans="2:2" ht="13">
      <c r="B503" s="1"/>
    </row>
    <row r="504" spans="2:2" ht="13">
      <c r="B504" s="1"/>
    </row>
    <row r="505" spans="2:2" ht="13">
      <c r="B505" s="1"/>
    </row>
    <row r="506" spans="2:2" ht="13">
      <c r="B506" s="1"/>
    </row>
    <row r="507" spans="2:2" ht="13">
      <c r="B507" s="1"/>
    </row>
    <row r="508" spans="2:2" ht="13">
      <c r="B508" s="1"/>
    </row>
    <row r="509" spans="2:2" ht="13">
      <c r="B509" s="1"/>
    </row>
    <row r="510" spans="2:2" ht="13">
      <c r="B510" s="1"/>
    </row>
    <row r="511" spans="2:2" ht="13">
      <c r="B511" s="1"/>
    </row>
    <row r="512" spans="2:2" ht="13">
      <c r="B512" s="1"/>
    </row>
    <row r="513" spans="2:2" ht="13">
      <c r="B513" s="1"/>
    </row>
    <row r="514" spans="2:2" ht="13">
      <c r="B514" s="1"/>
    </row>
    <row r="515" spans="2:2" ht="13">
      <c r="B515" s="1"/>
    </row>
    <row r="516" spans="2:2" ht="13">
      <c r="B516" s="1"/>
    </row>
    <row r="517" spans="2:2" ht="13">
      <c r="B517" s="1"/>
    </row>
    <row r="518" spans="2:2" ht="13">
      <c r="B518" s="1"/>
    </row>
    <row r="519" spans="2:2" ht="13">
      <c r="B519" s="1"/>
    </row>
    <row r="520" spans="2:2" ht="13">
      <c r="B520" s="1"/>
    </row>
    <row r="521" spans="2:2" ht="13">
      <c r="B521" s="1"/>
    </row>
    <row r="522" spans="2:2" ht="13">
      <c r="B522" s="1"/>
    </row>
    <row r="523" spans="2:2" ht="13">
      <c r="B523" s="1"/>
    </row>
    <row r="524" spans="2:2" ht="13">
      <c r="B524" s="1"/>
    </row>
    <row r="525" spans="2:2" ht="13">
      <c r="B525" s="1"/>
    </row>
    <row r="526" spans="2:2" ht="13">
      <c r="B526" s="1"/>
    </row>
    <row r="527" spans="2:2" ht="13">
      <c r="B527" s="1"/>
    </row>
    <row r="528" spans="2:2" ht="13">
      <c r="B528" s="1"/>
    </row>
    <row r="529" spans="2:2" ht="13">
      <c r="B529" s="1"/>
    </row>
    <row r="530" spans="2:2" ht="13">
      <c r="B530" s="1"/>
    </row>
    <row r="531" spans="2:2" ht="13">
      <c r="B531" s="1"/>
    </row>
    <row r="532" spans="2:2" ht="13">
      <c r="B532" s="1"/>
    </row>
    <row r="533" spans="2:2" ht="13">
      <c r="B533" s="1"/>
    </row>
    <row r="534" spans="2:2" ht="13">
      <c r="B534" s="1"/>
    </row>
    <row r="535" spans="2:2" ht="13">
      <c r="B535" s="1"/>
    </row>
    <row r="536" spans="2:2" ht="13">
      <c r="B536" s="1"/>
    </row>
    <row r="537" spans="2:2" ht="13">
      <c r="B537" s="1"/>
    </row>
    <row r="538" spans="2:2" ht="13">
      <c r="B538" s="1"/>
    </row>
    <row r="539" spans="2:2" ht="13">
      <c r="B539" s="1"/>
    </row>
    <row r="540" spans="2:2" ht="13">
      <c r="B540" s="1"/>
    </row>
    <row r="541" spans="2:2" ht="13">
      <c r="B541" s="1"/>
    </row>
    <row r="542" spans="2:2" ht="13">
      <c r="B542" s="1"/>
    </row>
    <row r="543" spans="2:2" ht="13">
      <c r="B543" s="1"/>
    </row>
    <row r="544" spans="2:2" ht="13">
      <c r="B544" s="1"/>
    </row>
    <row r="545" spans="2:2" ht="13">
      <c r="B545" s="1"/>
    </row>
    <row r="546" spans="2:2" ht="13">
      <c r="B546" s="1"/>
    </row>
    <row r="547" spans="2:2" ht="13">
      <c r="B547" s="1"/>
    </row>
    <row r="548" spans="2:2" ht="13">
      <c r="B548" s="1"/>
    </row>
    <row r="549" spans="2:2" ht="13">
      <c r="B549" s="1"/>
    </row>
    <row r="550" spans="2:2" ht="13">
      <c r="B550" s="1"/>
    </row>
    <row r="551" spans="2:2" ht="13">
      <c r="B551" s="1"/>
    </row>
    <row r="552" spans="2:2" ht="13">
      <c r="B552" s="1"/>
    </row>
    <row r="553" spans="2:2" ht="13">
      <c r="B553" s="1"/>
    </row>
    <row r="554" spans="2:2" ht="13">
      <c r="B554" s="1"/>
    </row>
    <row r="555" spans="2:2" ht="13">
      <c r="B555" s="1"/>
    </row>
    <row r="556" spans="2:2" ht="13">
      <c r="B556" s="1"/>
    </row>
    <row r="557" spans="2:2" ht="13">
      <c r="B557" s="1"/>
    </row>
    <row r="558" spans="2:2" ht="13">
      <c r="B558" s="1"/>
    </row>
    <row r="559" spans="2:2" ht="13">
      <c r="B559" s="1"/>
    </row>
    <row r="560" spans="2:2" ht="13">
      <c r="B560" s="1"/>
    </row>
    <row r="561" spans="2:2" ht="13">
      <c r="B561" s="1"/>
    </row>
    <row r="562" spans="2:2" ht="13">
      <c r="B562" s="1"/>
    </row>
    <row r="563" spans="2:2" ht="13">
      <c r="B563" s="1"/>
    </row>
    <row r="564" spans="2:2" ht="13">
      <c r="B564" s="1"/>
    </row>
    <row r="565" spans="2:2" ht="13">
      <c r="B565" s="1"/>
    </row>
    <row r="566" spans="2:2" ht="13">
      <c r="B566" s="1"/>
    </row>
    <row r="567" spans="2:2" ht="13">
      <c r="B567" s="1"/>
    </row>
    <row r="568" spans="2:2" ht="13">
      <c r="B568" s="1"/>
    </row>
    <row r="569" spans="2:2" ht="13">
      <c r="B569" s="1"/>
    </row>
    <row r="570" spans="2:2" ht="13">
      <c r="B570" s="1"/>
    </row>
    <row r="571" spans="2:2" ht="13">
      <c r="B571" s="1"/>
    </row>
    <row r="572" spans="2:2" ht="13">
      <c r="B572" s="1"/>
    </row>
    <row r="573" spans="2:2" ht="13">
      <c r="B573" s="1"/>
    </row>
    <row r="574" spans="2:2" ht="13">
      <c r="B574" s="1"/>
    </row>
    <row r="575" spans="2:2" ht="13">
      <c r="B575" s="1"/>
    </row>
    <row r="576" spans="2:2" ht="13">
      <c r="B576" s="1"/>
    </row>
    <row r="577" spans="2:2" ht="13">
      <c r="B577" s="1"/>
    </row>
    <row r="578" spans="2:2" ht="13">
      <c r="B578" s="1"/>
    </row>
    <row r="579" spans="2:2" ht="13">
      <c r="B579" s="1"/>
    </row>
    <row r="580" spans="2:2" ht="13">
      <c r="B580" s="1"/>
    </row>
    <row r="581" spans="2:2" ht="13">
      <c r="B581" s="1"/>
    </row>
    <row r="582" spans="2:2" ht="13">
      <c r="B582" s="1"/>
    </row>
    <row r="583" spans="2:2" ht="13">
      <c r="B583" s="1"/>
    </row>
    <row r="584" spans="2:2" ht="13">
      <c r="B584" s="1"/>
    </row>
    <row r="585" spans="2:2" ht="13">
      <c r="B585" s="1"/>
    </row>
    <row r="586" spans="2:2" ht="13">
      <c r="B586" s="1"/>
    </row>
    <row r="587" spans="2:2" ht="13">
      <c r="B587" s="1"/>
    </row>
    <row r="588" spans="2:2" ht="13">
      <c r="B588" s="1"/>
    </row>
    <row r="589" spans="2:2" ht="13">
      <c r="B589" s="1"/>
    </row>
    <row r="590" spans="2:2" ht="13">
      <c r="B590" s="1"/>
    </row>
    <row r="591" spans="2:2" ht="13">
      <c r="B591" s="1"/>
    </row>
    <row r="592" spans="2:2" ht="13">
      <c r="B592" s="1"/>
    </row>
    <row r="593" spans="2:2" ht="13">
      <c r="B593" s="1"/>
    </row>
    <row r="594" spans="2:2" ht="13">
      <c r="B594" s="1"/>
    </row>
    <row r="595" spans="2:2" ht="13">
      <c r="B595" s="1"/>
    </row>
    <row r="596" spans="2:2" ht="13">
      <c r="B596" s="1"/>
    </row>
    <row r="597" spans="2:2" ht="13">
      <c r="B597" s="1"/>
    </row>
    <row r="598" spans="2:2" ht="13">
      <c r="B598" s="1"/>
    </row>
    <row r="599" spans="2:2" ht="13">
      <c r="B599" s="1"/>
    </row>
    <row r="600" spans="2:2" ht="13">
      <c r="B600" s="1"/>
    </row>
    <row r="601" spans="2:2" ht="13">
      <c r="B601" s="1"/>
    </row>
    <row r="602" spans="2:2" ht="13">
      <c r="B602" s="1"/>
    </row>
    <row r="603" spans="2:2" ht="13">
      <c r="B603" s="1"/>
    </row>
    <row r="604" spans="2:2" ht="13">
      <c r="B604" s="1"/>
    </row>
    <row r="605" spans="2:2" ht="13">
      <c r="B605" s="1"/>
    </row>
    <row r="606" spans="2:2" ht="13">
      <c r="B606" s="1"/>
    </row>
    <row r="607" spans="2:2" ht="13">
      <c r="B607" s="1"/>
    </row>
    <row r="608" spans="2:2" ht="13">
      <c r="B608" s="1"/>
    </row>
    <row r="609" spans="2:2" ht="13">
      <c r="B609" s="1"/>
    </row>
    <row r="610" spans="2:2" ht="13">
      <c r="B610" s="1"/>
    </row>
    <row r="611" spans="2:2" ht="13">
      <c r="B611" s="1"/>
    </row>
    <row r="612" spans="2:2" ht="13">
      <c r="B612" s="1"/>
    </row>
    <row r="613" spans="2:2" ht="13">
      <c r="B613" s="1"/>
    </row>
    <row r="614" spans="2:2" ht="13">
      <c r="B614" s="1"/>
    </row>
    <row r="615" spans="2:2" ht="13">
      <c r="B615" s="1"/>
    </row>
    <row r="616" spans="2:2" ht="13">
      <c r="B616" s="1"/>
    </row>
    <row r="617" spans="2:2" ht="13">
      <c r="B617" s="1"/>
    </row>
    <row r="618" spans="2:2" ht="13">
      <c r="B618" s="1"/>
    </row>
    <row r="619" spans="2:2" ht="13">
      <c r="B619" s="1"/>
    </row>
    <row r="620" spans="2:2" ht="13">
      <c r="B620" s="1"/>
    </row>
    <row r="621" spans="2:2" ht="13">
      <c r="B621" s="1"/>
    </row>
    <row r="622" spans="2:2" ht="13">
      <c r="B622" s="1"/>
    </row>
    <row r="623" spans="2:2" ht="13">
      <c r="B623" s="1"/>
    </row>
    <row r="624" spans="2:2" ht="13">
      <c r="B624" s="1"/>
    </row>
    <row r="625" spans="2:2" ht="13">
      <c r="B625" s="1"/>
    </row>
    <row r="626" spans="2:2" ht="13">
      <c r="B626" s="1"/>
    </row>
    <row r="627" spans="2:2" ht="13">
      <c r="B627" s="1"/>
    </row>
    <row r="628" spans="2:2" ht="13">
      <c r="B628" s="1"/>
    </row>
    <row r="629" spans="2:2" ht="13">
      <c r="B629" s="1"/>
    </row>
    <row r="630" spans="2:2" ht="13">
      <c r="B630" s="1"/>
    </row>
    <row r="631" spans="2:2" ht="13">
      <c r="B631" s="1"/>
    </row>
    <row r="632" spans="2:2" ht="13">
      <c r="B632" s="1"/>
    </row>
    <row r="633" spans="2:2" ht="13">
      <c r="B633" s="1"/>
    </row>
    <row r="634" spans="2:2" ht="13">
      <c r="B634" s="1"/>
    </row>
    <row r="635" spans="2:2" ht="13">
      <c r="B635" s="1"/>
    </row>
    <row r="636" spans="2:2" ht="13">
      <c r="B636" s="1"/>
    </row>
    <row r="637" spans="2:2" ht="13">
      <c r="B637" s="1"/>
    </row>
    <row r="638" spans="2:2" ht="13">
      <c r="B638" s="1"/>
    </row>
    <row r="639" spans="2:2" ht="13">
      <c r="B639" s="1"/>
    </row>
    <row r="640" spans="2:2" ht="13">
      <c r="B640" s="1"/>
    </row>
    <row r="641" spans="2:2" ht="13">
      <c r="B641" s="1"/>
    </row>
    <row r="642" spans="2:2" ht="13">
      <c r="B642" s="1"/>
    </row>
    <row r="643" spans="2:2" ht="13">
      <c r="B643" s="1"/>
    </row>
    <row r="644" spans="2:2" ht="13">
      <c r="B644" s="1"/>
    </row>
    <row r="645" spans="2:2" ht="13">
      <c r="B645" s="1"/>
    </row>
    <row r="646" spans="2:2" ht="13">
      <c r="B646" s="1"/>
    </row>
    <row r="647" spans="2:2" ht="13">
      <c r="B647" s="1"/>
    </row>
    <row r="648" spans="2:2" ht="13">
      <c r="B648" s="1"/>
    </row>
    <row r="649" spans="2:2" ht="13">
      <c r="B649" s="1"/>
    </row>
    <row r="650" spans="2:2" ht="13">
      <c r="B650" s="1"/>
    </row>
    <row r="651" spans="2:2" ht="13">
      <c r="B651" s="1"/>
    </row>
    <row r="652" spans="2:2" ht="13">
      <c r="B652" s="1"/>
    </row>
    <row r="653" spans="2:2" ht="13">
      <c r="B653" s="1"/>
    </row>
    <row r="654" spans="2:2" ht="13">
      <c r="B654" s="1"/>
    </row>
    <row r="655" spans="2:2" ht="13">
      <c r="B655" s="1"/>
    </row>
    <row r="656" spans="2:2" ht="13">
      <c r="B656" s="1"/>
    </row>
    <row r="657" spans="2:2" ht="13">
      <c r="B657" s="1"/>
    </row>
    <row r="658" spans="2:2" ht="13">
      <c r="B658" s="1"/>
    </row>
    <row r="659" spans="2:2" ht="13">
      <c r="B659" s="1"/>
    </row>
    <row r="660" spans="2:2" ht="13">
      <c r="B660" s="1"/>
    </row>
    <row r="661" spans="2:2" ht="13">
      <c r="B661" s="1"/>
    </row>
    <row r="662" spans="2:2" ht="13">
      <c r="B662" s="1"/>
    </row>
    <row r="663" spans="2:2" ht="13">
      <c r="B663" s="1"/>
    </row>
    <row r="664" spans="2:2" ht="13">
      <c r="B664" s="1"/>
    </row>
    <row r="665" spans="2:2" ht="13">
      <c r="B665" s="1"/>
    </row>
    <row r="666" spans="2:2" ht="13">
      <c r="B666" s="1"/>
    </row>
    <row r="667" spans="2:2" ht="13">
      <c r="B667" s="1"/>
    </row>
    <row r="668" spans="2:2" ht="13">
      <c r="B668" s="1"/>
    </row>
    <row r="669" spans="2:2" ht="13">
      <c r="B669" s="1"/>
    </row>
    <row r="670" spans="2:2" ht="13">
      <c r="B670" s="1"/>
    </row>
    <row r="671" spans="2:2" ht="13">
      <c r="B671" s="1"/>
    </row>
    <row r="672" spans="2:2" ht="13">
      <c r="B672" s="1"/>
    </row>
    <row r="673" spans="2:2" ht="13">
      <c r="B673" s="1"/>
    </row>
    <row r="674" spans="2:2" ht="13">
      <c r="B674" s="1"/>
    </row>
    <row r="675" spans="2:2" ht="13">
      <c r="B675" s="1"/>
    </row>
    <row r="676" spans="2:2" ht="13">
      <c r="B676" s="1"/>
    </row>
    <row r="677" spans="2:2" ht="13">
      <c r="B677" s="1"/>
    </row>
    <row r="678" spans="2:2" ht="13">
      <c r="B678" s="1"/>
    </row>
    <row r="679" spans="2:2" ht="13">
      <c r="B679" s="1"/>
    </row>
    <row r="680" spans="2:2" ht="13">
      <c r="B680" s="1"/>
    </row>
    <row r="681" spans="2:2" ht="13">
      <c r="B681" s="1"/>
    </row>
    <row r="682" spans="2:2" ht="13">
      <c r="B682" s="1"/>
    </row>
    <row r="683" spans="2:2" ht="13">
      <c r="B683" s="1"/>
    </row>
    <row r="684" spans="2:2" ht="13">
      <c r="B684" s="1"/>
    </row>
    <row r="685" spans="2:2" ht="13">
      <c r="B685" s="1"/>
    </row>
    <row r="686" spans="2:2" ht="13">
      <c r="B686" s="1"/>
    </row>
    <row r="687" spans="2:2" ht="13">
      <c r="B687" s="1"/>
    </row>
    <row r="688" spans="2:2" ht="13">
      <c r="B688" s="1"/>
    </row>
    <row r="689" spans="2:2" ht="13">
      <c r="B689" s="1"/>
    </row>
    <row r="690" spans="2:2" ht="13">
      <c r="B690" s="1"/>
    </row>
    <row r="691" spans="2:2" ht="13">
      <c r="B691" s="1"/>
    </row>
    <row r="692" spans="2:2" ht="13">
      <c r="B692" s="1"/>
    </row>
    <row r="693" spans="2:2" ht="13">
      <c r="B693" s="1"/>
    </row>
    <row r="694" spans="2:2" ht="13">
      <c r="B694" s="1"/>
    </row>
    <row r="695" spans="2:2" ht="13">
      <c r="B695" s="1"/>
    </row>
    <row r="696" spans="2:2" ht="13">
      <c r="B696" s="1"/>
    </row>
    <row r="697" spans="2:2" ht="13">
      <c r="B697" s="1"/>
    </row>
    <row r="698" spans="2:2" ht="13">
      <c r="B698" s="1"/>
    </row>
    <row r="699" spans="2:2" ht="13">
      <c r="B699" s="1"/>
    </row>
    <row r="700" spans="2:2" ht="13">
      <c r="B700" s="1"/>
    </row>
    <row r="701" spans="2:2" ht="13">
      <c r="B701" s="1"/>
    </row>
    <row r="702" spans="2:2" ht="13">
      <c r="B702" s="1"/>
    </row>
    <row r="703" spans="2:2" ht="13">
      <c r="B703" s="1"/>
    </row>
    <row r="704" spans="2:2" ht="13">
      <c r="B704" s="1"/>
    </row>
    <row r="705" spans="2:2" ht="13">
      <c r="B705" s="1"/>
    </row>
    <row r="706" spans="2:2" ht="13">
      <c r="B706" s="1"/>
    </row>
    <row r="707" spans="2:2" ht="13">
      <c r="B707" s="1"/>
    </row>
    <row r="708" spans="2:2" ht="13">
      <c r="B708" s="1"/>
    </row>
    <row r="709" spans="2:2" ht="13">
      <c r="B709" s="1"/>
    </row>
    <row r="710" spans="2:2" ht="13">
      <c r="B710" s="1"/>
    </row>
    <row r="711" spans="2:2" ht="13">
      <c r="B711" s="1"/>
    </row>
    <row r="712" spans="2:2" ht="13">
      <c r="B712" s="1"/>
    </row>
    <row r="713" spans="2:2" ht="13">
      <c r="B713" s="1"/>
    </row>
    <row r="714" spans="2:2" ht="13">
      <c r="B714" s="1"/>
    </row>
    <row r="715" spans="2:2" ht="13">
      <c r="B715" s="1"/>
    </row>
    <row r="716" spans="2:2" ht="13">
      <c r="B716" s="1"/>
    </row>
    <row r="717" spans="2:2" ht="13">
      <c r="B717" s="1"/>
    </row>
    <row r="718" spans="2:2" ht="13">
      <c r="B718" s="1"/>
    </row>
    <row r="719" spans="2:2" ht="13">
      <c r="B719" s="1"/>
    </row>
    <row r="720" spans="2:2" ht="13">
      <c r="B720" s="1"/>
    </row>
    <row r="721" spans="2:2" ht="13">
      <c r="B721" s="1"/>
    </row>
    <row r="722" spans="2:2" ht="13">
      <c r="B722" s="1"/>
    </row>
    <row r="723" spans="2:2" ht="13">
      <c r="B723" s="1"/>
    </row>
    <row r="724" spans="2:2" ht="13">
      <c r="B724" s="1"/>
    </row>
    <row r="725" spans="2:2" ht="13">
      <c r="B725" s="1"/>
    </row>
    <row r="726" spans="2:2" ht="13">
      <c r="B726" s="1"/>
    </row>
    <row r="727" spans="2:2" ht="13">
      <c r="B727" s="1"/>
    </row>
    <row r="728" spans="2:2" ht="13">
      <c r="B728" s="1"/>
    </row>
    <row r="729" spans="2:2" ht="13">
      <c r="B729" s="1"/>
    </row>
    <row r="730" spans="2:2" ht="13">
      <c r="B730" s="1"/>
    </row>
    <row r="731" spans="2:2" ht="13">
      <c r="B731" s="1"/>
    </row>
    <row r="732" spans="2:2" ht="13">
      <c r="B732" s="1"/>
    </row>
    <row r="733" spans="2:2" ht="13">
      <c r="B733" s="1"/>
    </row>
    <row r="734" spans="2:2" ht="13">
      <c r="B734" s="1"/>
    </row>
    <row r="735" spans="2:2" ht="13">
      <c r="B735" s="1"/>
    </row>
    <row r="736" spans="2:2" ht="13">
      <c r="B736" s="1"/>
    </row>
    <row r="737" spans="2:2" ht="13">
      <c r="B737" s="1"/>
    </row>
    <row r="738" spans="2:2" ht="13">
      <c r="B738" s="1"/>
    </row>
    <row r="739" spans="2:2" ht="13">
      <c r="B739" s="1"/>
    </row>
    <row r="740" spans="2:2" ht="13">
      <c r="B740" s="1"/>
    </row>
    <row r="741" spans="2:2" ht="13">
      <c r="B741" s="1"/>
    </row>
    <row r="742" spans="2:2" ht="13">
      <c r="B742" s="1"/>
    </row>
    <row r="743" spans="2:2" ht="13">
      <c r="B743" s="1"/>
    </row>
    <row r="744" spans="2:2" ht="13">
      <c r="B744" s="1"/>
    </row>
    <row r="745" spans="2:2" ht="13">
      <c r="B745" s="1"/>
    </row>
    <row r="746" spans="2:2" ht="13">
      <c r="B746" s="1"/>
    </row>
    <row r="747" spans="2:2" ht="13">
      <c r="B747" s="1"/>
    </row>
    <row r="748" spans="2:2" ht="13">
      <c r="B748" s="1"/>
    </row>
    <row r="749" spans="2:2" ht="13">
      <c r="B749" s="1"/>
    </row>
    <row r="750" spans="2:2" ht="13">
      <c r="B750" s="1"/>
    </row>
    <row r="751" spans="2:2" ht="13">
      <c r="B751" s="1"/>
    </row>
    <row r="752" spans="2:2" ht="13">
      <c r="B752" s="1"/>
    </row>
    <row r="753" spans="2:2" ht="13">
      <c r="B753" s="1"/>
    </row>
    <row r="754" spans="2:2" ht="13">
      <c r="B754" s="1"/>
    </row>
    <row r="755" spans="2:2" ht="13">
      <c r="B755" s="1"/>
    </row>
    <row r="756" spans="2:2" ht="13">
      <c r="B756" s="1"/>
    </row>
    <row r="757" spans="2:2" ht="13">
      <c r="B757" s="1"/>
    </row>
    <row r="758" spans="2:2" ht="13">
      <c r="B758" s="1"/>
    </row>
    <row r="759" spans="2:2" ht="13">
      <c r="B759" s="1"/>
    </row>
    <row r="760" spans="2:2" ht="13">
      <c r="B760" s="1"/>
    </row>
    <row r="761" spans="2:2" ht="13">
      <c r="B761" s="1"/>
    </row>
    <row r="762" spans="2:2" ht="13">
      <c r="B762" s="1"/>
    </row>
    <row r="763" spans="2:2" ht="13">
      <c r="B763" s="1"/>
    </row>
    <row r="764" spans="2:2" ht="13">
      <c r="B764" s="1"/>
    </row>
    <row r="765" spans="2:2" ht="13">
      <c r="B765" s="1"/>
    </row>
    <row r="766" spans="2:2" ht="13">
      <c r="B766" s="1"/>
    </row>
    <row r="767" spans="2:2" ht="13">
      <c r="B767" s="1"/>
    </row>
    <row r="768" spans="2:2" ht="13">
      <c r="B768" s="1"/>
    </row>
    <row r="769" spans="2:2" ht="13">
      <c r="B769" s="1"/>
    </row>
    <row r="770" spans="2:2" ht="13">
      <c r="B770" s="1"/>
    </row>
    <row r="771" spans="2:2" ht="13">
      <c r="B771" s="1"/>
    </row>
    <row r="772" spans="2:2" ht="13">
      <c r="B772" s="1"/>
    </row>
    <row r="773" spans="2:2" ht="13">
      <c r="B773" s="1"/>
    </row>
    <row r="774" spans="2:2" ht="13">
      <c r="B774" s="1"/>
    </row>
    <row r="775" spans="2:2" ht="13">
      <c r="B775" s="1"/>
    </row>
    <row r="776" spans="2:2" ht="13">
      <c r="B776" s="1"/>
    </row>
    <row r="777" spans="2:2" ht="13">
      <c r="B777" s="1"/>
    </row>
    <row r="778" spans="2:2" ht="13">
      <c r="B778" s="1"/>
    </row>
    <row r="779" spans="2:2" ht="13">
      <c r="B779" s="1"/>
    </row>
    <row r="780" spans="2:2" ht="13">
      <c r="B780" s="1"/>
    </row>
    <row r="781" spans="2:2" ht="13">
      <c r="B781" s="1"/>
    </row>
    <row r="782" spans="2:2" ht="13">
      <c r="B782" s="1"/>
    </row>
    <row r="783" spans="2:2" ht="13">
      <c r="B783" s="1"/>
    </row>
    <row r="784" spans="2:2" ht="13">
      <c r="B784" s="1"/>
    </row>
    <row r="785" spans="2:2" ht="13">
      <c r="B785" s="1"/>
    </row>
    <row r="786" spans="2:2" ht="13">
      <c r="B786" s="1"/>
    </row>
    <row r="787" spans="2:2" ht="13">
      <c r="B787" s="1"/>
    </row>
    <row r="788" spans="2:2" ht="13">
      <c r="B788" s="1"/>
    </row>
    <row r="789" spans="2:2" ht="13">
      <c r="B789" s="1"/>
    </row>
    <row r="790" spans="2:2" ht="13">
      <c r="B790" s="1"/>
    </row>
    <row r="791" spans="2:2" ht="13">
      <c r="B791" s="1"/>
    </row>
    <row r="792" spans="2:2" ht="13">
      <c r="B792" s="1"/>
    </row>
    <row r="793" spans="2:2" ht="13">
      <c r="B793" s="1"/>
    </row>
    <row r="794" spans="2:2" ht="13">
      <c r="B794" s="1"/>
    </row>
    <row r="795" spans="2:2" ht="13">
      <c r="B795" s="1"/>
    </row>
    <row r="796" spans="2:2" ht="13">
      <c r="B796" s="1"/>
    </row>
    <row r="797" spans="2:2" ht="13">
      <c r="B797" s="1"/>
    </row>
    <row r="798" spans="2:2" ht="13">
      <c r="B798" s="1"/>
    </row>
    <row r="799" spans="2:2" ht="13">
      <c r="B799" s="1"/>
    </row>
    <row r="800" spans="2:2" ht="13">
      <c r="B800" s="1"/>
    </row>
    <row r="801" spans="2:2" ht="13">
      <c r="B801" s="1"/>
    </row>
    <row r="802" spans="2:2" ht="13">
      <c r="B802" s="1"/>
    </row>
    <row r="803" spans="2:2" ht="13">
      <c r="B803" s="1"/>
    </row>
    <row r="804" spans="2:2" ht="13">
      <c r="B804" s="1"/>
    </row>
    <row r="805" spans="2:2" ht="13">
      <c r="B805" s="1"/>
    </row>
    <row r="806" spans="2:2" ht="13">
      <c r="B806" s="1"/>
    </row>
    <row r="807" spans="2:2" ht="13">
      <c r="B807" s="1"/>
    </row>
    <row r="808" spans="2:2" ht="13">
      <c r="B808" s="1"/>
    </row>
    <row r="809" spans="2:2" ht="13">
      <c r="B809" s="1"/>
    </row>
    <row r="810" spans="2:2" ht="13">
      <c r="B810" s="1"/>
    </row>
    <row r="811" spans="2:2" ht="13">
      <c r="B811" s="1"/>
    </row>
    <row r="812" spans="2:2" ht="13">
      <c r="B812" s="1"/>
    </row>
    <row r="813" spans="2:2" ht="13">
      <c r="B813" s="1"/>
    </row>
    <row r="814" spans="2:2" ht="13">
      <c r="B814" s="1"/>
    </row>
    <row r="815" spans="2:2" ht="13">
      <c r="B815" s="1"/>
    </row>
    <row r="816" spans="2:2" ht="13">
      <c r="B816" s="1"/>
    </row>
    <row r="817" spans="2:2" ht="13">
      <c r="B817" s="1"/>
    </row>
    <row r="818" spans="2:2" ht="13">
      <c r="B818" s="1"/>
    </row>
    <row r="819" spans="2:2" ht="13">
      <c r="B819" s="1"/>
    </row>
    <row r="820" spans="2:2" ht="13">
      <c r="B820" s="1"/>
    </row>
    <row r="821" spans="2:2" ht="13">
      <c r="B821" s="1"/>
    </row>
    <row r="822" spans="2:2" ht="13">
      <c r="B822" s="1"/>
    </row>
    <row r="823" spans="2:2" ht="13">
      <c r="B823" s="1"/>
    </row>
    <row r="824" spans="2:2" ht="13">
      <c r="B824" s="1"/>
    </row>
    <row r="825" spans="2:2" ht="13">
      <c r="B825" s="1"/>
    </row>
    <row r="826" spans="2:2" ht="13">
      <c r="B826" s="1"/>
    </row>
    <row r="827" spans="2:2" ht="13">
      <c r="B827" s="1"/>
    </row>
    <row r="828" spans="2:2" ht="13">
      <c r="B828" s="1"/>
    </row>
    <row r="829" spans="2:2" ht="13">
      <c r="B829" s="1"/>
    </row>
    <row r="830" spans="2:2" ht="13">
      <c r="B830" s="1"/>
    </row>
    <row r="831" spans="2:2" ht="13">
      <c r="B831" s="1"/>
    </row>
    <row r="832" spans="2:2" ht="13">
      <c r="B832" s="1"/>
    </row>
    <row r="833" spans="2:2" ht="13">
      <c r="B833" s="1"/>
    </row>
    <row r="834" spans="2:2" ht="13">
      <c r="B834" s="1"/>
    </row>
    <row r="835" spans="2:2" ht="13">
      <c r="B835" s="1"/>
    </row>
    <row r="836" spans="2:2" ht="13">
      <c r="B836" s="1"/>
    </row>
    <row r="837" spans="2:2" ht="13">
      <c r="B837" s="1"/>
    </row>
    <row r="838" spans="2:2" ht="13">
      <c r="B838" s="1"/>
    </row>
    <row r="839" spans="2:2" ht="13">
      <c r="B839" s="1"/>
    </row>
    <row r="840" spans="2:2" ht="13">
      <c r="B840" s="1"/>
    </row>
    <row r="841" spans="2:2" ht="13">
      <c r="B841" s="1"/>
    </row>
    <row r="842" spans="2:2" ht="13">
      <c r="B842" s="1"/>
    </row>
    <row r="843" spans="2:2" ht="13">
      <c r="B843" s="1"/>
    </row>
    <row r="844" spans="2:2" ht="13">
      <c r="B844" s="1"/>
    </row>
    <row r="845" spans="2:2" ht="13">
      <c r="B845" s="1"/>
    </row>
    <row r="846" spans="2:2" ht="13">
      <c r="B846" s="1"/>
    </row>
    <row r="847" spans="2:2" ht="13">
      <c r="B847" s="1"/>
    </row>
    <row r="848" spans="2:2" ht="13">
      <c r="B848" s="1"/>
    </row>
    <row r="849" spans="2:2" ht="13">
      <c r="B849" s="1"/>
    </row>
    <row r="850" spans="2:2" ht="13">
      <c r="B850" s="1"/>
    </row>
    <row r="851" spans="2:2" ht="13">
      <c r="B851" s="1"/>
    </row>
    <row r="852" spans="2:2" ht="13">
      <c r="B852" s="1"/>
    </row>
    <row r="853" spans="2:2" ht="13">
      <c r="B853" s="1"/>
    </row>
    <row r="854" spans="2:2" ht="13">
      <c r="B854" s="1"/>
    </row>
    <row r="855" spans="2:2" ht="13">
      <c r="B855" s="1"/>
    </row>
    <row r="856" spans="2:2" ht="13">
      <c r="B856" s="1"/>
    </row>
    <row r="857" spans="2:2" ht="13">
      <c r="B857" s="1"/>
    </row>
    <row r="858" spans="2:2" ht="13">
      <c r="B858" s="1"/>
    </row>
    <row r="859" spans="2:2" ht="13">
      <c r="B859" s="1"/>
    </row>
    <row r="860" spans="2:2" ht="13">
      <c r="B860" s="1"/>
    </row>
    <row r="861" spans="2:2" ht="13">
      <c r="B861" s="1"/>
    </row>
    <row r="862" spans="2:2" ht="13">
      <c r="B862" s="1"/>
    </row>
    <row r="863" spans="2:2" ht="13">
      <c r="B863" s="1"/>
    </row>
    <row r="864" spans="2:2" ht="13">
      <c r="B864" s="1"/>
    </row>
    <row r="865" spans="2:2" ht="13">
      <c r="B865" s="1"/>
    </row>
    <row r="866" spans="2:2" ht="13">
      <c r="B866" s="1"/>
    </row>
    <row r="867" spans="2:2" ht="13">
      <c r="B867" s="1"/>
    </row>
    <row r="868" spans="2:2" ht="13">
      <c r="B868" s="1"/>
    </row>
    <row r="869" spans="2:2" ht="13">
      <c r="B869" s="1"/>
    </row>
    <row r="870" spans="2:2" ht="13">
      <c r="B870" s="1"/>
    </row>
    <row r="871" spans="2:2" ht="13">
      <c r="B871" s="1"/>
    </row>
    <row r="872" spans="2:2" ht="13">
      <c r="B872" s="1"/>
    </row>
    <row r="873" spans="2:2" ht="13">
      <c r="B873" s="1"/>
    </row>
    <row r="874" spans="2:2" ht="13">
      <c r="B874" s="1"/>
    </row>
    <row r="875" spans="2:2" ht="13">
      <c r="B875" s="1"/>
    </row>
    <row r="876" spans="2:2" ht="13">
      <c r="B876" s="1"/>
    </row>
    <row r="877" spans="2:2" ht="13">
      <c r="B877" s="1"/>
    </row>
    <row r="878" spans="2:2" ht="13">
      <c r="B878" s="1"/>
    </row>
    <row r="879" spans="2:2" ht="13">
      <c r="B879" s="1"/>
    </row>
    <row r="880" spans="2:2" ht="13">
      <c r="B880" s="1"/>
    </row>
    <row r="881" spans="2:2" ht="13">
      <c r="B881" s="1"/>
    </row>
    <row r="882" spans="2:2" ht="13">
      <c r="B882" s="1"/>
    </row>
    <row r="883" spans="2:2" ht="13">
      <c r="B883" s="1"/>
    </row>
    <row r="884" spans="2:2" ht="13">
      <c r="B884" s="1"/>
    </row>
    <row r="885" spans="2:2" ht="13">
      <c r="B885" s="1"/>
    </row>
    <row r="886" spans="2:2" ht="13">
      <c r="B886" s="1"/>
    </row>
    <row r="887" spans="2:2" ht="13">
      <c r="B887" s="1"/>
    </row>
    <row r="888" spans="2:2" ht="13">
      <c r="B888" s="1"/>
    </row>
    <row r="889" spans="2:2" ht="13">
      <c r="B889" s="1"/>
    </row>
    <row r="890" spans="2:2" ht="13">
      <c r="B890" s="1"/>
    </row>
    <row r="891" spans="2:2" ht="13">
      <c r="B891" s="1"/>
    </row>
    <row r="892" spans="2:2" ht="13">
      <c r="B892" s="1"/>
    </row>
    <row r="893" spans="2:2" ht="13">
      <c r="B893" s="1"/>
    </row>
    <row r="894" spans="2:2" ht="13">
      <c r="B894" s="1"/>
    </row>
    <row r="895" spans="2:2" ht="13">
      <c r="B895" s="1"/>
    </row>
    <row r="896" spans="2:2" ht="13">
      <c r="B896" s="1"/>
    </row>
    <row r="897" spans="2:2" ht="13">
      <c r="B897" s="1"/>
    </row>
    <row r="898" spans="2:2" ht="13">
      <c r="B898" s="1"/>
    </row>
    <row r="899" spans="2:2" ht="13">
      <c r="B899" s="1"/>
    </row>
    <row r="900" spans="2:2" ht="13">
      <c r="B900" s="1"/>
    </row>
    <row r="901" spans="2:2" ht="13">
      <c r="B901" s="1"/>
    </row>
    <row r="902" spans="2:2" ht="13">
      <c r="B902" s="1"/>
    </row>
    <row r="903" spans="2:2" ht="13">
      <c r="B903" s="1"/>
    </row>
    <row r="904" spans="2:2" ht="13">
      <c r="B904" s="1"/>
    </row>
    <row r="905" spans="2:2" ht="13">
      <c r="B905" s="1"/>
    </row>
    <row r="906" spans="2:2" ht="13">
      <c r="B906" s="1"/>
    </row>
    <row r="907" spans="2:2" ht="13">
      <c r="B907" s="1"/>
    </row>
    <row r="908" spans="2:2" ht="13">
      <c r="B908" s="1"/>
    </row>
    <row r="909" spans="2:2" ht="13">
      <c r="B909" s="1"/>
    </row>
    <row r="910" spans="2:2" ht="13">
      <c r="B910" s="1"/>
    </row>
    <row r="911" spans="2:2" ht="13">
      <c r="B911" s="1"/>
    </row>
    <row r="912" spans="2:2" ht="13">
      <c r="B912" s="1"/>
    </row>
    <row r="913" spans="2:2" ht="13">
      <c r="B913" s="1"/>
    </row>
    <row r="914" spans="2:2" ht="13">
      <c r="B914" s="1"/>
    </row>
    <row r="915" spans="2:2" ht="13">
      <c r="B915" s="1"/>
    </row>
    <row r="916" spans="2:2" ht="13">
      <c r="B916" s="1"/>
    </row>
    <row r="917" spans="2:2" ht="13">
      <c r="B917" s="1"/>
    </row>
    <row r="918" spans="2:2" ht="13">
      <c r="B918" s="1"/>
    </row>
    <row r="919" spans="2:2" ht="13">
      <c r="B919" s="1"/>
    </row>
    <row r="920" spans="2:2" ht="13">
      <c r="B920" s="1"/>
    </row>
    <row r="921" spans="2:2" ht="13">
      <c r="B921" s="1"/>
    </row>
    <row r="922" spans="2:2" ht="13">
      <c r="B922" s="1"/>
    </row>
    <row r="923" spans="2:2" ht="13">
      <c r="B923" s="1"/>
    </row>
    <row r="924" spans="2:2" ht="13">
      <c r="B924" s="1"/>
    </row>
    <row r="925" spans="2:2" ht="13">
      <c r="B925" s="1"/>
    </row>
    <row r="926" spans="2:2" ht="13">
      <c r="B926" s="1"/>
    </row>
    <row r="927" spans="2:2" ht="13">
      <c r="B927" s="1"/>
    </row>
    <row r="928" spans="2:2" ht="13">
      <c r="B928" s="1"/>
    </row>
    <row r="929" spans="2:2" ht="13">
      <c r="B929" s="1"/>
    </row>
    <row r="930" spans="2:2" ht="13">
      <c r="B930" s="1"/>
    </row>
    <row r="931" spans="2:2" ht="13">
      <c r="B931" s="1"/>
    </row>
    <row r="932" spans="2:2" ht="13">
      <c r="B932" s="1"/>
    </row>
    <row r="933" spans="2:2" ht="13">
      <c r="B933" s="1"/>
    </row>
    <row r="934" spans="2:2" ht="13">
      <c r="B934" s="1"/>
    </row>
    <row r="935" spans="2:2" ht="13">
      <c r="B935" s="1"/>
    </row>
    <row r="936" spans="2:2" ht="13">
      <c r="B936" s="1"/>
    </row>
    <row r="937" spans="2:2" ht="13">
      <c r="B937" s="1"/>
    </row>
    <row r="938" spans="2:2" ht="13">
      <c r="B938" s="1"/>
    </row>
    <row r="939" spans="2:2" ht="13">
      <c r="B939" s="1"/>
    </row>
    <row r="940" spans="2:2" ht="13">
      <c r="B940" s="1"/>
    </row>
    <row r="941" spans="2:2" ht="13">
      <c r="B941" s="1"/>
    </row>
    <row r="942" spans="2:2" ht="13">
      <c r="B942" s="1"/>
    </row>
    <row r="943" spans="2:2" ht="13">
      <c r="B943" s="1"/>
    </row>
    <row r="944" spans="2:2" ht="13">
      <c r="B944" s="1"/>
    </row>
    <row r="945" spans="2:2" ht="13">
      <c r="B945" s="1"/>
    </row>
    <row r="946" spans="2:2" ht="13">
      <c r="B946" s="1"/>
    </row>
    <row r="947" spans="2:2" ht="13">
      <c r="B947" s="1"/>
    </row>
    <row r="948" spans="2:2" ht="13">
      <c r="B948" s="1"/>
    </row>
    <row r="949" spans="2:2" ht="13">
      <c r="B949" s="1"/>
    </row>
    <row r="950" spans="2:2" ht="13">
      <c r="B950" s="1"/>
    </row>
    <row r="951" spans="2:2" ht="13">
      <c r="B951" s="1"/>
    </row>
    <row r="952" spans="2:2" ht="13">
      <c r="B952" s="1"/>
    </row>
    <row r="953" spans="2:2" ht="13">
      <c r="B953" s="1"/>
    </row>
    <row r="954" spans="2:2" ht="13">
      <c r="B954" s="1"/>
    </row>
    <row r="955" spans="2:2" ht="13">
      <c r="B955" s="1"/>
    </row>
    <row r="956" spans="2:2" ht="13">
      <c r="B956" s="1"/>
    </row>
    <row r="957" spans="2:2" ht="13">
      <c r="B957" s="1"/>
    </row>
    <row r="958" spans="2:2" ht="13">
      <c r="B958" s="1"/>
    </row>
    <row r="959" spans="2:2" ht="13">
      <c r="B959" s="1"/>
    </row>
    <row r="960" spans="2:2" ht="13">
      <c r="B960" s="1"/>
    </row>
    <row r="961" spans="2:2" ht="13">
      <c r="B961" s="1"/>
    </row>
    <row r="962" spans="2:2" ht="13">
      <c r="B962" s="1"/>
    </row>
    <row r="963" spans="2:2" ht="13">
      <c r="B963" s="1"/>
    </row>
    <row r="964" spans="2:2" ht="13">
      <c r="B964" s="1"/>
    </row>
    <row r="965" spans="2:2" ht="13">
      <c r="B965" s="1"/>
    </row>
    <row r="966" spans="2:2" ht="13">
      <c r="B966" s="1"/>
    </row>
    <row r="967" spans="2:2" ht="13">
      <c r="B967" s="1"/>
    </row>
    <row r="968" spans="2:2" ht="13">
      <c r="B968" s="1"/>
    </row>
    <row r="969" spans="2:2" ht="13">
      <c r="B969" s="1"/>
    </row>
    <row r="970" spans="2:2" ht="13">
      <c r="B970" s="1"/>
    </row>
    <row r="971" spans="2:2" ht="13">
      <c r="B971" s="1"/>
    </row>
    <row r="972" spans="2:2" ht="13">
      <c r="B972" s="1"/>
    </row>
    <row r="973" spans="2:2" ht="13">
      <c r="B973" s="1"/>
    </row>
    <row r="974" spans="2:2" ht="13">
      <c r="B974" s="1"/>
    </row>
    <row r="975" spans="2:2" ht="13">
      <c r="B975" s="1"/>
    </row>
    <row r="976" spans="2:2" ht="13">
      <c r="B976" s="1"/>
    </row>
    <row r="977" spans="2:2" ht="13">
      <c r="B977" s="1"/>
    </row>
    <row r="978" spans="2:2" ht="13">
      <c r="B978" s="1"/>
    </row>
    <row r="979" spans="2:2" ht="13">
      <c r="B979" s="1"/>
    </row>
    <row r="980" spans="2:2" ht="13">
      <c r="B980" s="1"/>
    </row>
    <row r="981" spans="2:2" ht="13">
      <c r="B981" s="1"/>
    </row>
    <row r="982" spans="2:2" ht="13">
      <c r="B982" s="1"/>
    </row>
    <row r="983" spans="2:2" ht="13">
      <c r="B983" s="1"/>
    </row>
    <row r="984" spans="2:2" ht="13">
      <c r="B984" s="1"/>
    </row>
    <row r="985" spans="2:2" ht="13">
      <c r="B985" s="1"/>
    </row>
    <row r="986" spans="2:2" ht="13">
      <c r="B986" s="1"/>
    </row>
    <row r="987" spans="2:2" ht="13">
      <c r="B987" s="1"/>
    </row>
    <row r="988" spans="2:2" ht="13">
      <c r="B988" s="1"/>
    </row>
    <row r="989" spans="2:2" ht="13">
      <c r="B989" s="1"/>
    </row>
    <row r="990" spans="2:2" ht="13">
      <c r="B990" s="1"/>
    </row>
    <row r="991" spans="2:2" ht="13">
      <c r="B991" s="1"/>
    </row>
    <row r="992" spans="2:2" ht="13">
      <c r="B992" s="1"/>
    </row>
    <row r="993" spans="2:2" ht="13">
      <c r="B993" s="1"/>
    </row>
    <row r="994" spans="2:2" ht="13">
      <c r="B994" s="1"/>
    </row>
    <row r="995" spans="2:2" ht="13">
      <c r="B995" s="1"/>
    </row>
    <row r="996" spans="2:2" ht="13">
      <c r="B996" s="1"/>
    </row>
    <row r="997" spans="2:2" ht="13">
      <c r="B997" s="1"/>
    </row>
    <row r="998" spans="2:2" ht="13">
      <c r="B998" s="1"/>
    </row>
    <row r="999" spans="2:2" ht="13">
      <c r="B999" s="1"/>
    </row>
    <row r="1000" spans="2:2" ht="13">
      <c r="B1000" s="1"/>
    </row>
    <row r="1001" spans="2:2" ht="13">
      <c r="B1001" s="1"/>
    </row>
    <row r="1002" spans="2:2" ht="13">
      <c r="B1002" s="1"/>
    </row>
    <row r="1003" spans="2:2" ht="13">
      <c r="B1003" s="1"/>
    </row>
    <row r="1004" spans="2:2" ht="13">
      <c r="B1004" s="1"/>
    </row>
    <row r="1005" spans="2:2" ht="13">
      <c r="B1005" s="1"/>
    </row>
    <row r="1006" spans="2:2" ht="13">
      <c r="B1006" s="1"/>
    </row>
    <row r="1007" spans="2:2" ht="13">
      <c r="B1007" s="1"/>
    </row>
    <row r="1008" spans="2:2" ht="13">
      <c r="B1008" s="1"/>
    </row>
    <row r="1009" spans="2:2" ht="13">
      <c r="B1009" s="1"/>
    </row>
    <row r="1010" spans="2:2" ht="13">
      <c r="B1010" s="1"/>
    </row>
    <row r="1011" spans="2:2" ht="13">
      <c r="B1011" s="1"/>
    </row>
    <row r="1012" spans="2:2" ht="13">
      <c r="B1012" s="1"/>
    </row>
    <row r="1013" spans="2:2" ht="13">
      <c r="B1013" s="1"/>
    </row>
    <row r="1014" spans="2:2" ht="13">
      <c r="B1014" s="1"/>
    </row>
    <row r="1015" spans="2:2" ht="13">
      <c r="B1015" s="1"/>
    </row>
    <row r="1016" spans="2:2" ht="13">
      <c r="B1016" s="1"/>
    </row>
    <row r="1017" spans="2:2" ht="13">
      <c r="B1017" s="1"/>
    </row>
    <row r="1018" spans="2:2" ht="13">
      <c r="B1018" s="1"/>
    </row>
    <row r="1019" spans="2:2" ht="13">
      <c r="B1019" s="1"/>
    </row>
    <row r="1020" spans="2:2" ht="13">
      <c r="B1020" s="1"/>
    </row>
    <row r="1021" spans="2:2" ht="13">
      <c r="B1021" s="1"/>
    </row>
    <row r="1022" spans="2:2" ht="13">
      <c r="B1022" s="1"/>
    </row>
    <row r="1023" spans="2:2" ht="13">
      <c r="B1023" s="1"/>
    </row>
    <row r="1024" spans="2:2" ht="13">
      <c r="B1024" s="1"/>
    </row>
    <row r="1025" spans="2:2" ht="13">
      <c r="B1025" s="1"/>
    </row>
    <row r="1026" spans="2:2" ht="13">
      <c r="B1026" s="1"/>
    </row>
    <row r="1027" spans="2:2" ht="13">
      <c r="B1027" s="1"/>
    </row>
    <row r="1028" spans="2:2" ht="13">
      <c r="B1028" s="1"/>
    </row>
    <row r="1029" spans="2:2" ht="13">
      <c r="B1029" s="1"/>
    </row>
    <row r="1030" spans="2:2" ht="13">
      <c r="B1030" s="1"/>
    </row>
    <row r="1031" spans="2:2" ht="13">
      <c r="B1031" s="1"/>
    </row>
    <row r="1032" spans="2:2" ht="13">
      <c r="B1032" s="1"/>
    </row>
    <row r="1033" spans="2:2" ht="13">
      <c r="B1033" s="1"/>
    </row>
    <row r="1034" spans="2:2" ht="13">
      <c r="B1034" s="1"/>
    </row>
    <row r="1035" spans="2:2" ht="13">
      <c r="B1035" s="1"/>
    </row>
    <row r="1036" spans="2:2" ht="13">
      <c r="B1036" s="1"/>
    </row>
    <row r="1037" spans="2:2" ht="13">
      <c r="B1037" s="1"/>
    </row>
    <row r="1038" spans="2:2" ht="13">
      <c r="B1038" s="1"/>
    </row>
    <row r="1039" spans="2:2" ht="13">
      <c r="B1039" s="1"/>
    </row>
    <row r="1040" spans="2:2" ht="13">
      <c r="B1040" s="1"/>
    </row>
    <row r="1041" spans="2:2" ht="13">
      <c r="B1041" s="1"/>
    </row>
    <row r="1042" spans="2:2" ht="13">
      <c r="B1042" s="1"/>
    </row>
    <row r="1043" spans="2:2" ht="13">
      <c r="B1043" s="1"/>
    </row>
    <row r="1044" spans="2:2" ht="13">
      <c r="B1044" s="1"/>
    </row>
    <row r="1045" spans="2:2" ht="13">
      <c r="B1045" s="1"/>
    </row>
    <row r="1046" spans="2:2" ht="13">
      <c r="B1046" s="1"/>
    </row>
    <row r="1047" spans="2:2" ht="13">
      <c r="B1047" s="1"/>
    </row>
    <row r="1048" spans="2:2" ht="13">
      <c r="B1048" s="1"/>
    </row>
    <row r="1049" spans="2:2" ht="13">
      <c r="B1049" s="1"/>
    </row>
    <row r="1050" spans="2:2" ht="13">
      <c r="B1050" s="1"/>
    </row>
    <row r="1051" spans="2:2" ht="13">
      <c r="B1051" s="1"/>
    </row>
    <row r="1052" spans="2:2" ht="13">
      <c r="B1052" s="1"/>
    </row>
    <row r="1053" spans="2:2" ht="13">
      <c r="B1053" s="1"/>
    </row>
    <row r="1054" spans="2:2" ht="13">
      <c r="B1054" s="1"/>
    </row>
    <row r="1055" spans="2:2" ht="13">
      <c r="B1055" s="1"/>
    </row>
    <row r="1056" spans="2:2" ht="13">
      <c r="B1056" s="1"/>
    </row>
    <row r="1057" spans="2:2" ht="13">
      <c r="B1057" s="1"/>
    </row>
  </sheetData>
  <mergeCells count="5">
    <mergeCell ref="A8:A18"/>
    <mergeCell ref="A19:A29"/>
    <mergeCell ref="A30:A40"/>
    <mergeCell ref="A41:A51"/>
    <mergeCell ref="C1:E1"/>
  </mergeCells>
  <hyperlinks>
    <hyperlink ref="D97" r:id="rId1" display="https://www.dropbox.com/s/gqzcc7x9ftay24x/Shah_2013.pdf?dl=0" xr:uid="{00000000-0004-0000-0200-000000000000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6"/>
  <dimension ref="B4:Z61"/>
  <sheetViews>
    <sheetView tabSelected="1" zoomScaleNormal="90" workbookViewId="0">
      <pane xSplit="2" topLeftCell="C1" activePane="topRight" state="frozen"/>
      <selection pane="topRight" activeCell="B13" sqref="B13"/>
    </sheetView>
  </sheetViews>
  <sheetFormatPr baseColWidth="10" defaultColWidth="11.5" defaultRowHeight="13"/>
  <cols>
    <col min="2" max="2" width="51.33203125" customWidth="1"/>
    <col min="3" max="5" width="11.5" customWidth="1"/>
    <col min="6" max="6" width="15.6640625" style="24" bestFit="1" customWidth="1"/>
    <col min="7" max="7" width="14.6640625" style="24" bestFit="1" customWidth="1"/>
    <col min="8" max="8" width="15.33203125" bestFit="1" customWidth="1"/>
    <col min="9" max="9" width="15.6640625" bestFit="1" customWidth="1"/>
    <col min="10" max="10" width="14.83203125" customWidth="1"/>
    <col min="11" max="11" width="13.83203125" style="36" customWidth="1"/>
    <col min="12" max="12" width="18.33203125" style="24" customWidth="1"/>
    <col min="13" max="13" width="17.83203125" style="24" customWidth="1"/>
    <col min="14" max="14" width="23.33203125" style="24" customWidth="1"/>
    <col min="15" max="15" width="15" style="24" customWidth="1"/>
    <col min="16" max="16" width="18.33203125" customWidth="1"/>
    <col min="17" max="17" width="17.83203125" customWidth="1"/>
    <col min="18" max="18" width="23.33203125" customWidth="1"/>
    <col min="19" max="19" width="7.83203125" customWidth="1"/>
    <col min="20" max="22" width="8.6640625" customWidth="1"/>
    <col min="23" max="23" width="22.1640625" customWidth="1"/>
    <col min="24" max="24" width="13.83203125" bestFit="1" customWidth="1"/>
  </cols>
  <sheetData>
    <row r="4" spans="2:23">
      <c r="K4" s="38"/>
      <c r="L4" s="95" t="str">
        <f>Results!C2</f>
        <v>Standard</v>
      </c>
      <c r="M4" s="95" t="str">
        <f>Results!D2</f>
        <v>MTB/RIF</v>
      </c>
      <c r="N4" s="95" t="str">
        <f>Results!E2</f>
        <v>LF-LAM / MTB/RIF</v>
      </c>
      <c r="O4" s="38" t="s">
        <v>27</v>
      </c>
    </row>
    <row r="5" spans="2:23">
      <c r="B5" t="s">
        <v>17</v>
      </c>
      <c r="C5" s="12" t="s">
        <v>20</v>
      </c>
      <c r="D5" t="s">
        <v>18</v>
      </c>
      <c r="E5" t="s">
        <v>19</v>
      </c>
      <c r="K5" s="96" t="s">
        <v>20</v>
      </c>
      <c r="L5" s="97">
        <f>Results!C83</f>
        <v>79.059190768686605</v>
      </c>
      <c r="M5" s="97">
        <f>Results!D83</f>
        <v>14.182333921773514</v>
      </c>
      <c r="N5" s="97">
        <f>Results!E83</f>
        <v>15.118676540920745</v>
      </c>
      <c r="O5" s="97">
        <f>Results!D85</f>
        <v>56.538759787314859</v>
      </c>
      <c r="W5" s="36"/>
    </row>
    <row r="6" spans="2:23">
      <c r="B6" t="str">
        <f>CONCATENATE("Survival for ",Parameters!A21)</f>
        <v xml:space="preserve">Survival for HIV+ and TB patient not treated for TB, years                                        </v>
      </c>
      <c r="C6" s="28">
        <f>Parameters!B21</f>
        <v>0.66500000000000004</v>
      </c>
      <c r="D6" s="28">
        <v>0.5</v>
      </c>
      <c r="E6" s="28">
        <v>2</v>
      </c>
      <c r="F6" s="26" t="b">
        <v>0</v>
      </c>
      <c r="G6" s="28">
        <f t="shared" ref="G6:G20" si="0">IF(F6=TRUE,D6,C6)</f>
        <v>0.66500000000000004</v>
      </c>
      <c r="H6">
        <f t="shared" ref="H6:H13" si="1">IF(F6=TRUE,E6,C6)</f>
        <v>0.66500000000000004</v>
      </c>
      <c r="J6" s="29"/>
      <c r="K6" s="98" t="s">
        <v>148</v>
      </c>
      <c r="L6" s="99" t="str">
        <f>CONCATENATE(TEXT(L11,"$ #,#0")," - ",TEXT(P11,"$ #,#0"))</f>
        <v>$ 79,06 - $ 79,06</v>
      </c>
      <c r="M6" s="99" t="str">
        <f>CONCATENATE(TEXT(M11,"$ #,#0")," - ",TEXT(Q11,"$ #,#0"))</f>
        <v>$ 14,18 - $ 19,93</v>
      </c>
      <c r="N6" s="99" t="str">
        <f>CONCATENATE(TEXT(N11,"$ #,#0")," - ",TEXT(R11,"$ #,#0"))</f>
        <v>$ 15,12 - $ 20,62</v>
      </c>
      <c r="O6" s="99" t="str">
        <f>CONCATENATE(TEXT(T11,"$ #,#0")," - ",TEXT(U11,"$ #,#0"))</f>
        <v>$ 56,54 - $ 98,83</v>
      </c>
      <c r="S6" s="29"/>
    </row>
    <row r="7" spans="2:23">
      <c r="B7" t="str">
        <f>Parameters!A3</f>
        <v>Risk of TB transmission (cases per year)</v>
      </c>
      <c r="C7" s="27">
        <f>Parameters!B3</f>
        <v>5</v>
      </c>
      <c r="D7" s="27">
        <v>2</v>
      </c>
      <c r="E7" s="27">
        <v>10</v>
      </c>
      <c r="F7" s="24" t="b">
        <v>0</v>
      </c>
      <c r="G7" s="28">
        <f t="shared" si="0"/>
        <v>5</v>
      </c>
      <c r="H7" s="27">
        <f t="shared" si="1"/>
        <v>5</v>
      </c>
      <c r="T7" s="45"/>
      <c r="U7" s="45"/>
      <c r="V7" s="45"/>
    </row>
    <row r="8" spans="2:23">
      <c r="B8" t="str">
        <f>CONCATENATE("Prevalence of ",Parameters!A8)</f>
        <v>Prevalence of TB among HIV patients, %</v>
      </c>
      <c r="C8" s="25">
        <f>Parameters!B8</f>
        <v>0.10100000000000001</v>
      </c>
      <c r="D8" s="25">
        <f>C8-C8*0.5</f>
        <v>5.0500000000000003E-2</v>
      </c>
      <c r="E8" s="25">
        <f>C8+C8*0.5</f>
        <v>0.15150000000000002</v>
      </c>
      <c r="F8" s="24" t="b">
        <v>0</v>
      </c>
      <c r="G8" s="28">
        <f t="shared" si="0"/>
        <v>0.10100000000000001</v>
      </c>
      <c r="H8" s="27">
        <f t="shared" si="1"/>
        <v>0.10100000000000001</v>
      </c>
    </row>
    <row r="9" spans="2:23" s="36" customFormat="1">
      <c r="B9" t="str">
        <f>CONCATENATE("Mortality ",Parameters!A13)</f>
        <v>Mortality In care (early treatment), %</v>
      </c>
      <c r="C9" s="25">
        <f>Parameters!B13</f>
        <v>0.05</v>
      </c>
      <c r="D9" s="25">
        <f>C9-C9*0.5</f>
        <v>2.5000000000000001E-2</v>
      </c>
      <c r="E9" s="25">
        <f>C9+C9*0.5</f>
        <v>7.5000000000000011E-2</v>
      </c>
      <c r="F9" s="24" t="b">
        <v>0</v>
      </c>
      <c r="G9" s="28">
        <f t="shared" si="0"/>
        <v>0.05</v>
      </c>
      <c r="H9" s="27">
        <f>IF(F9=TRUE,E9,C9)</f>
        <v>0.05</v>
      </c>
      <c r="L9" s="130" t="s">
        <v>18</v>
      </c>
      <c r="M9" s="130"/>
      <c r="N9" s="130"/>
      <c r="P9" s="130" t="s">
        <v>19</v>
      </c>
      <c r="Q9" s="130"/>
      <c r="R9" s="130"/>
    </row>
    <row r="10" spans="2:23">
      <c r="B10" t="str">
        <f>CONCATENATE("Mortality ",Parameters!A14)</f>
        <v>Mortality Among false negative (delayed treatment), %</v>
      </c>
      <c r="C10" s="25">
        <f>Parameters!B14</f>
        <v>0.2</v>
      </c>
      <c r="D10" s="25">
        <f>C10-C10*0.5</f>
        <v>0.1</v>
      </c>
      <c r="E10" s="25">
        <f>C10+C10*0.5</f>
        <v>0.30000000000000004</v>
      </c>
      <c r="F10" s="24" t="b">
        <v>0</v>
      </c>
      <c r="G10" s="28">
        <f t="shared" si="0"/>
        <v>0.2</v>
      </c>
      <c r="H10" s="27">
        <f>IF(F10=TRUE,E10,C10)</f>
        <v>0.2</v>
      </c>
      <c r="L10" s="38" t="str">
        <f>L4</f>
        <v>Standard</v>
      </c>
      <c r="M10" s="38" t="str">
        <f>M4</f>
        <v>MTB/RIF</v>
      </c>
      <c r="N10" s="38" t="str">
        <f>N4</f>
        <v>LF-LAM / MTB/RIF</v>
      </c>
      <c r="P10" s="38" t="str">
        <f>L10</f>
        <v>Standard</v>
      </c>
      <c r="Q10" s="38" t="str">
        <f>M10</f>
        <v>MTB/RIF</v>
      </c>
      <c r="R10" s="38" t="str">
        <f>N10</f>
        <v>LF-LAM / MTB/RIF</v>
      </c>
      <c r="T10" s="96" t="s">
        <v>146</v>
      </c>
      <c r="U10" s="96" t="s">
        <v>147</v>
      </c>
    </row>
    <row r="11" spans="2:23">
      <c r="B11" s="24" t="str">
        <f>Parameters!A27</f>
        <v>Discount rate</v>
      </c>
      <c r="C11" s="25">
        <f>Parameters!B27</f>
        <v>0.03</v>
      </c>
      <c r="D11" s="31">
        <v>1E-8</v>
      </c>
      <c r="E11" s="25">
        <f>C11*2</f>
        <v>0.06</v>
      </c>
      <c r="F11" s="24" t="b">
        <v>0</v>
      </c>
      <c r="G11" s="28">
        <f t="shared" si="0"/>
        <v>0.03</v>
      </c>
      <c r="H11" s="27">
        <f t="shared" si="1"/>
        <v>0.03</v>
      </c>
      <c r="L11" s="99">
        <f>[1]Results!$C$83</f>
        <v>79.059190768686605</v>
      </c>
      <c r="M11" s="99">
        <f>[1]Results!$D$83</f>
        <v>14.182333921773514</v>
      </c>
      <c r="N11" s="99">
        <f>[1]Results!$E$83</f>
        <v>15.118676540920745</v>
      </c>
      <c r="P11" s="99">
        <f>[2]Results!$C$83</f>
        <v>79.059190768686605</v>
      </c>
      <c r="Q11" s="99">
        <f>[2]Results!$D$83</f>
        <v>19.926691940766272</v>
      </c>
      <c r="R11" s="99">
        <f>[2]Results!$E$83</f>
        <v>20.617117213375103</v>
      </c>
      <c r="T11" s="99">
        <f>[1]Results!$D$85</f>
        <v>56.538759787314859</v>
      </c>
      <c r="U11" s="99">
        <f>[2]Results!$D$85</f>
        <v>98.829119685761569</v>
      </c>
    </row>
    <row r="12" spans="2:23">
      <c r="B12" t="str">
        <f>CONCATENATE("Survival for ",Parameters!A22)</f>
        <v>Survival for HIV and TB after treatment, years</v>
      </c>
      <c r="C12">
        <f>Parameters!B22</f>
        <v>12.9</v>
      </c>
      <c r="D12" s="28">
        <f>C12-C12*0.5</f>
        <v>6.45</v>
      </c>
      <c r="E12" s="28">
        <f>C12+C12*0.5</f>
        <v>19.350000000000001</v>
      </c>
      <c r="F12" s="24" t="b">
        <v>0</v>
      </c>
      <c r="G12" s="28">
        <f t="shared" si="0"/>
        <v>12.9</v>
      </c>
      <c r="H12" s="27">
        <f t="shared" si="1"/>
        <v>12.9</v>
      </c>
    </row>
    <row r="13" spans="2:23">
      <c r="B13" t="s">
        <v>25</v>
      </c>
      <c r="C13" s="29">
        <f>Parameters!B28</f>
        <v>4</v>
      </c>
      <c r="D13" s="32">
        <f>C13*0.5</f>
        <v>2</v>
      </c>
      <c r="E13" s="32">
        <f>C13*1.5</f>
        <v>6</v>
      </c>
      <c r="F13" s="24" t="b">
        <v>0</v>
      </c>
      <c r="G13" s="28">
        <f t="shared" si="0"/>
        <v>4</v>
      </c>
      <c r="H13" s="27">
        <f t="shared" si="1"/>
        <v>4</v>
      </c>
    </row>
    <row r="14" spans="2:23">
      <c r="B14" s="12" t="str">
        <f>CONCATENATE("Cost ",Parameters!A29)</f>
        <v>Cost SMEAR (per test)</v>
      </c>
      <c r="C14" s="42">
        <f>Parameters!B29</f>
        <v>3.125</v>
      </c>
      <c r="D14" s="32">
        <f t="shared" ref="D14:D20" si="2">C14*0.5</f>
        <v>1.5625</v>
      </c>
      <c r="E14" s="32">
        <f t="shared" ref="E14:E18" si="3">C14*1.5</f>
        <v>4.6875</v>
      </c>
      <c r="F14" s="24" t="b">
        <v>0</v>
      </c>
      <c r="G14" s="28">
        <f t="shared" si="0"/>
        <v>3.125</v>
      </c>
      <c r="H14" s="27">
        <f t="shared" ref="H14:H17" si="4">IF(F14=TRUE,E14,C14)</f>
        <v>3.125</v>
      </c>
    </row>
    <row r="15" spans="2:23">
      <c r="B15" s="12" t="str">
        <f>CONCATENATE("Cost ",Parameters!A30)</f>
        <v>Cost MTB/RIF (per test)</v>
      </c>
      <c r="C15" s="42">
        <f>Parameters!B30</f>
        <v>14.717045244659452</v>
      </c>
      <c r="D15" s="32">
        <f t="shared" si="2"/>
        <v>7.3585226223297262</v>
      </c>
      <c r="E15" s="32">
        <f t="shared" si="3"/>
        <v>22.075567866989179</v>
      </c>
      <c r="F15" s="24" t="b">
        <v>0</v>
      </c>
      <c r="G15" s="28">
        <f t="shared" si="0"/>
        <v>14.717045244659452</v>
      </c>
      <c r="H15" s="27">
        <f t="shared" si="4"/>
        <v>14.717045244659452</v>
      </c>
    </row>
    <row r="16" spans="2:23">
      <c r="B16" s="12" t="str">
        <f>CONCATENATE("Cost ",Parameters!A31)</f>
        <v>Cost LF-LAM (per test)</v>
      </c>
      <c r="C16" s="42">
        <f>Parameters!B31</f>
        <v>3.9849999999999999</v>
      </c>
      <c r="D16" s="32">
        <f t="shared" si="2"/>
        <v>1.9924999999999999</v>
      </c>
      <c r="E16" s="32">
        <f t="shared" si="3"/>
        <v>5.9775</v>
      </c>
      <c r="F16" s="24" t="b">
        <v>0</v>
      </c>
      <c r="G16" s="28">
        <f t="shared" si="0"/>
        <v>3.9849999999999999</v>
      </c>
      <c r="H16" s="27">
        <f t="shared" si="4"/>
        <v>3.9849999999999999</v>
      </c>
    </row>
    <row r="17" spans="2:26">
      <c r="B17" s="12" t="str">
        <f>CONCATENATE("Cost ",Parameters!A32)</f>
        <v>Cost TB therapy</v>
      </c>
      <c r="C17" s="42">
        <f>Parameters!B32</f>
        <v>9.8441666666666663</v>
      </c>
      <c r="D17" s="32">
        <f t="shared" si="2"/>
        <v>4.9220833333333331</v>
      </c>
      <c r="E17" s="32">
        <f t="shared" si="3"/>
        <v>14.766249999999999</v>
      </c>
      <c r="F17" s="24" t="b">
        <v>0</v>
      </c>
      <c r="G17" s="28">
        <f t="shared" si="0"/>
        <v>9.8441666666666663</v>
      </c>
      <c r="H17" s="27">
        <f t="shared" si="4"/>
        <v>9.8441666666666663</v>
      </c>
    </row>
    <row r="18" spans="2:26">
      <c r="B18" s="12" t="str">
        <f>Parameters!A33</f>
        <v>Economic burden of a new TB case due delayed diagnosis and treatment</v>
      </c>
      <c r="C18" s="42">
        <f>Parameters!B33</f>
        <v>847</v>
      </c>
      <c r="D18" s="32">
        <f t="shared" si="2"/>
        <v>423.5</v>
      </c>
      <c r="E18" s="32">
        <f t="shared" si="3"/>
        <v>1270.5</v>
      </c>
      <c r="F18" s="24" t="b">
        <v>0</v>
      </c>
      <c r="G18" s="28">
        <f t="shared" si="0"/>
        <v>847</v>
      </c>
      <c r="H18" s="27">
        <f t="shared" ref="H18" si="5">IF(F18=TRUE,E18,C18)</f>
        <v>847</v>
      </c>
    </row>
    <row r="19" spans="2:26">
      <c r="B19" s="45" t="str">
        <f>Parameters!A4</f>
        <v>Days of delay in treatment for undiagnosed TB case</v>
      </c>
      <c r="C19">
        <f>Parameters!B4</f>
        <v>105</v>
      </c>
      <c r="D19" s="94">
        <f t="shared" si="2"/>
        <v>52.5</v>
      </c>
      <c r="E19" s="94">
        <f t="shared" ref="E19:E20" si="6">C19*1.5</f>
        <v>157.5</v>
      </c>
      <c r="F19" s="24" t="b">
        <v>0</v>
      </c>
      <c r="G19" s="28">
        <f t="shared" si="0"/>
        <v>105</v>
      </c>
      <c r="H19" s="27">
        <f t="shared" ref="H19:H20" si="7">IF(F19=TRUE,E19,C19)</f>
        <v>105</v>
      </c>
    </row>
    <row r="20" spans="2:26">
      <c r="B20" s="45" t="str">
        <f>Parameters!A5</f>
        <v>Days of delayed treatment in timely delivery of results (Health system delay)</v>
      </c>
      <c r="C20">
        <f>Parameters!B5</f>
        <v>62</v>
      </c>
      <c r="D20" s="94">
        <f t="shared" si="2"/>
        <v>31</v>
      </c>
      <c r="E20" s="94">
        <f t="shared" si="6"/>
        <v>93</v>
      </c>
      <c r="F20" s="24" t="b">
        <v>0</v>
      </c>
      <c r="G20" s="28">
        <f t="shared" si="0"/>
        <v>62</v>
      </c>
      <c r="H20" s="27">
        <f t="shared" si="7"/>
        <v>62</v>
      </c>
    </row>
    <row r="24" spans="2:26">
      <c r="F24" s="24" t="str">
        <f t="shared" ref="F24:H25" si="8">L4</f>
        <v>Standard</v>
      </c>
      <c r="G24" s="24" t="str">
        <f t="shared" si="8"/>
        <v>MTB/RIF</v>
      </c>
      <c r="H24" s="24" t="str">
        <f t="shared" si="8"/>
        <v>LF-LAM / MTB/RIF</v>
      </c>
      <c r="I24" t="s">
        <v>28</v>
      </c>
      <c r="J24" s="36"/>
      <c r="K24" s="24"/>
      <c r="O24"/>
    </row>
    <row r="25" spans="2:26">
      <c r="C25" t="s">
        <v>20</v>
      </c>
      <c r="D25" t="s">
        <v>18</v>
      </c>
      <c r="E25" t="s">
        <v>19</v>
      </c>
      <c r="F25" s="30">
        <f t="shared" si="8"/>
        <v>79.059190768686605</v>
      </c>
      <c r="G25" s="30">
        <f t="shared" si="8"/>
        <v>14.182333921773514</v>
      </c>
      <c r="H25" s="30">
        <f t="shared" si="8"/>
        <v>15.118676540920745</v>
      </c>
      <c r="I25" s="30">
        <f>O5</f>
        <v>56.538759787314859</v>
      </c>
      <c r="J25" s="29"/>
      <c r="K25" s="24" t="str">
        <f>L4</f>
        <v>Standard</v>
      </c>
      <c r="L25" s="36" t="str">
        <f>M4</f>
        <v>MTB/RIF</v>
      </c>
      <c r="M25" s="36" t="str">
        <f>N4</f>
        <v>LF-LAM / MTB/RIF</v>
      </c>
      <c r="O25" t="str">
        <f>K25</f>
        <v>Standard</v>
      </c>
      <c r="P25" s="36" t="str">
        <f t="shared" ref="P25:Q25" si="9">L25</f>
        <v>MTB/RIF</v>
      </c>
      <c r="Q25" s="36" t="str">
        <f t="shared" si="9"/>
        <v>LF-LAM / MTB/RIF</v>
      </c>
      <c r="S25" s="12" t="s">
        <v>27</v>
      </c>
      <c r="T25" s="12" t="s">
        <v>27</v>
      </c>
    </row>
    <row r="26" spans="2:26">
      <c r="B26" t="str">
        <f>B6</f>
        <v xml:space="preserve">Survival for HIV+ and TB patient not treated for TB, years                                        </v>
      </c>
      <c r="C26" s="28">
        <f>C6</f>
        <v>0.66500000000000004</v>
      </c>
      <c r="D26" s="28">
        <f>D6</f>
        <v>0.5</v>
      </c>
      <c r="E26" s="28">
        <f>E6</f>
        <v>2</v>
      </c>
      <c r="F26" s="29" t="s">
        <v>160</v>
      </c>
      <c r="G26" s="29" t="s">
        <v>161</v>
      </c>
      <c r="H26" s="29" t="s">
        <v>153</v>
      </c>
      <c r="I26" s="29" t="s">
        <v>162</v>
      </c>
      <c r="J26" s="29"/>
      <c r="K26" s="29">
        <v>79.417898530794986</v>
      </c>
      <c r="L26" s="29">
        <v>14.26025883343161</v>
      </c>
      <c r="M26" s="29">
        <v>15.191362485829018</v>
      </c>
      <c r="N26" s="29"/>
      <c r="O26" s="29">
        <v>76.036945422185994</v>
      </c>
      <c r="P26" s="29">
        <v>13.649564052435666</v>
      </c>
      <c r="Q26" s="29">
        <v>14.53897268582409</v>
      </c>
      <c r="R26" s="36"/>
      <c r="S26" s="29">
        <v>57.196187226702243</v>
      </c>
      <c r="T26" s="29">
        <v>54.654134461071031</v>
      </c>
      <c r="W26" s="29"/>
      <c r="X26" s="36"/>
      <c r="Y26" s="29"/>
      <c r="Z26" s="29"/>
    </row>
    <row r="27" spans="2:26">
      <c r="B27" s="45" t="str">
        <f t="shared" ref="B27:E27" si="10">B7</f>
        <v>Risk of TB transmission (cases per year)</v>
      </c>
      <c r="C27" s="27">
        <f t="shared" si="10"/>
        <v>5</v>
      </c>
      <c r="D27" s="27">
        <f t="shared" si="10"/>
        <v>2</v>
      </c>
      <c r="E27" s="27">
        <f t="shared" si="10"/>
        <v>10</v>
      </c>
      <c r="F27" s="29" t="s">
        <v>163</v>
      </c>
      <c r="G27" s="29" t="s">
        <v>164</v>
      </c>
      <c r="H27" s="29" t="s">
        <v>152</v>
      </c>
      <c r="I27" s="29" t="s">
        <v>165</v>
      </c>
      <c r="J27" s="29"/>
      <c r="K27" s="29">
        <v>34.817849862126849</v>
      </c>
      <c r="L27" s="29">
        <v>13.041080833967543</v>
      </c>
      <c r="M27" s="29">
        <v>13.952851018209861</v>
      </c>
      <c r="N27" s="29"/>
      <c r="O27" s="29">
        <v>152.79475894628618</v>
      </c>
      <c r="P27" s="29">
        <v>16.084422401450137</v>
      </c>
      <c r="Q27" s="29">
        <v>17.061719078772224</v>
      </c>
      <c r="S27" s="29">
        <v>56.538759787314859</v>
      </c>
      <c r="T27" s="29">
        <v>56.538759787314859</v>
      </c>
      <c r="W27" s="29"/>
      <c r="X27" s="36"/>
      <c r="Y27" s="29"/>
      <c r="Z27" s="29"/>
    </row>
    <row r="28" spans="2:26">
      <c r="B28" s="45" t="str">
        <f t="shared" ref="B28:E28" si="11">B8</f>
        <v>Prevalence of TB among HIV patients, %</v>
      </c>
      <c r="C28" s="25">
        <f t="shared" si="11"/>
        <v>0.10100000000000001</v>
      </c>
      <c r="D28" s="25">
        <f t="shared" si="11"/>
        <v>5.0500000000000003E-2</v>
      </c>
      <c r="E28" s="25">
        <f t="shared" si="11"/>
        <v>0.15150000000000002</v>
      </c>
      <c r="F28" s="29" t="s">
        <v>166</v>
      </c>
      <c r="G28" s="29" t="s">
        <v>167</v>
      </c>
      <c r="H28" s="29" t="s">
        <v>168</v>
      </c>
      <c r="I28" s="29" t="s">
        <v>169</v>
      </c>
      <c r="J28" s="29"/>
      <c r="K28" s="29">
        <v>85.605089292049627</v>
      </c>
      <c r="L28" s="29">
        <v>26.278727404400311</v>
      </c>
      <c r="M28" s="29">
        <v>28.492906695806784</v>
      </c>
      <c r="N28" s="29"/>
      <c r="O28" s="29">
        <v>78.860246104217282</v>
      </c>
      <c r="P28" s="29">
        <v>11.041310759743689</v>
      </c>
      <c r="Q28" s="29">
        <v>10.134563999738289</v>
      </c>
      <c r="S28" s="29">
        <v>123.1783923811598</v>
      </c>
      <c r="T28" s="29">
        <v>36.820453865765735</v>
      </c>
    </row>
    <row r="29" spans="2:26">
      <c r="B29" s="45" t="str">
        <f t="shared" ref="B29:E29" si="12">B9</f>
        <v>Mortality In care (early treatment), %</v>
      </c>
      <c r="C29" s="25">
        <f t="shared" si="12"/>
        <v>0.05</v>
      </c>
      <c r="D29" s="25">
        <f t="shared" si="12"/>
        <v>2.5000000000000001E-2</v>
      </c>
      <c r="E29" s="25">
        <f t="shared" si="12"/>
        <v>7.5000000000000011E-2</v>
      </c>
      <c r="F29" s="29" t="s">
        <v>170</v>
      </c>
      <c r="G29" s="29" t="s">
        <v>171</v>
      </c>
      <c r="H29" s="29" t="s">
        <v>172</v>
      </c>
      <c r="I29" s="29" t="s">
        <v>173</v>
      </c>
      <c r="J29" s="29"/>
      <c r="K29" s="29">
        <v>77.194190929690834</v>
      </c>
      <c r="L29" s="29">
        <v>13.915270150822652</v>
      </c>
      <c r="M29" s="29">
        <v>14.535728423092028</v>
      </c>
      <c r="N29" s="29"/>
      <c r="O29" s="29">
        <v>81.995306167700164</v>
      </c>
      <c r="P29" s="29">
        <v>14.615662573563151</v>
      </c>
      <c r="Q29" s="29">
        <v>15.59249413699721</v>
      </c>
      <c r="S29" s="29">
        <v>56.865573427703964</v>
      </c>
      <c r="T29" s="29">
        <v>56.538759787314852</v>
      </c>
      <c r="W29" s="29"/>
      <c r="X29" s="36"/>
      <c r="Y29" s="29"/>
      <c r="Z29" s="29"/>
    </row>
    <row r="30" spans="2:26">
      <c r="B30" s="45" t="str">
        <f t="shared" ref="B30:E30" si="13">B10</f>
        <v>Mortality Among false negative (delayed treatment), %</v>
      </c>
      <c r="C30" s="25">
        <f t="shared" si="13"/>
        <v>0.2</v>
      </c>
      <c r="D30" s="25">
        <f t="shared" si="13"/>
        <v>0.1</v>
      </c>
      <c r="E30" s="25">
        <f t="shared" si="13"/>
        <v>0.30000000000000004</v>
      </c>
      <c r="F30" s="29" t="s">
        <v>174</v>
      </c>
      <c r="G30" s="29" t="s">
        <v>175</v>
      </c>
      <c r="H30" s="29" t="s">
        <v>176</v>
      </c>
      <c r="I30" s="29" t="s">
        <v>177</v>
      </c>
      <c r="J30" s="29"/>
      <c r="K30" s="29">
        <v>73.780614305759116</v>
      </c>
      <c r="L30" s="29">
        <v>14.182333921773514</v>
      </c>
      <c r="M30" s="29">
        <v>15.118676540920745</v>
      </c>
      <c r="N30" s="29"/>
      <c r="O30" s="29">
        <v>86.242223879950089</v>
      </c>
      <c r="P30" s="29">
        <v>14.331275127959909</v>
      </c>
      <c r="Q30" s="29">
        <v>15.269118626630092</v>
      </c>
      <c r="S30" s="29">
        <v>104.02850215949772</v>
      </c>
      <c r="T30" s="29">
        <v>39.117822936730377</v>
      </c>
      <c r="W30" s="29"/>
      <c r="X30" s="36"/>
      <c r="Y30" s="29"/>
      <c r="Z30" s="29"/>
    </row>
    <row r="31" spans="2:26">
      <c r="B31" s="45" t="str">
        <f t="shared" ref="B31:E31" si="14">B11</f>
        <v>Discount rate</v>
      </c>
      <c r="C31" s="25">
        <f t="shared" si="14"/>
        <v>0.03</v>
      </c>
      <c r="D31" s="31">
        <f t="shared" si="14"/>
        <v>1E-8</v>
      </c>
      <c r="E31" s="25">
        <f t="shared" si="14"/>
        <v>0.06</v>
      </c>
      <c r="F31" s="29" t="s">
        <v>178</v>
      </c>
      <c r="G31" s="29" t="s">
        <v>179</v>
      </c>
      <c r="H31" s="29" t="s">
        <v>154</v>
      </c>
      <c r="I31" s="29" t="s">
        <v>180</v>
      </c>
      <c r="J31" s="29"/>
      <c r="K31" s="29">
        <v>66.402522140315682</v>
      </c>
      <c r="L31" s="29">
        <v>11.913160494289752</v>
      </c>
      <c r="M31" s="29">
        <v>12.698473129480652</v>
      </c>
      <c r="N31" s="29"/>
      <c r="O31" s="29">
        <v>93.00587054297138</v>
      </c>
      <c r="P31" s="29">
        <v>16.68280050853248</v>
      </c>
      <c r="Q31" s="29">
        <v>17.785009739507142</v>
      </c>
      <c r="S31" s="29">
        <v>47.52533431397481</v>
      </c>
      <c r="T31" s="29">
        <v>66.471244614816129</v>
      </c>
      <c r="W31" s="29"/>
      <c r="X31" s="36"/>
      <c r="Y31" s="29"/>
      <c r="Z31" s="29"/>
    </row>
    <row r="32" spans="2:26">
      <c r="B32" s="45" t="str">
        <f t="shared" ref="B32:E32" si="15">B12</f>
        <v>Survival for HIV and TB after treatment, years</v>
      </c>
      <c r="C32" s="45">
        <f t="shared" si="15"/>
        <v>12.9</v>
      </c>
      <c r="D32" s="28">
        <f t="shared" si="15"/>
        <v>6.45</v>
      </c>
      <c r="E32" s="28">
        <f t="shared" si="15"/>
        <v>19.350000000000001</v>
      </c>
      <c r="F32" s="29" t="s">
        <v>178</v>
      </c>
      <c r="G32" s="29" t="s">
        <v>179</v>
      </c>
      <c r="H32" s="29" t="s">
        <v>154</v>
      </c>
      <c r="I32" s="29" t="s">
        <v>180</v>
      </c>
      <c r="J32" s="29"/>
      <c r="K32" s="29">
        <v>66.402522140315682</v>
      </c>
      <c r="L32" s="29">
        <v>11.913160494289752</v>
      </c>
      <c r="M32" s="29">
        <v>12.698473129480652</v>
      </c>
      <c r="N32" s="29"/>
      <c r="O32" s="29">
        <v>93.00587054297138</v>
      </c>
      <c r="P32" s="29">
        <v>16.68280050853248</v>
      </c>
      <c r="Q32" s="29">
        <v>17.785009739507142</v>
      </c>
      <c r="S32" s="29">
        <v>47.52533431397481</v>
      </c>
      <c r="T32" s="29">
        <v>66.471244614816129</v>
      </c>
      <c r="W32" s="29"/>
      <c r="X32" s="36"/>
      <c r="Y32" s="29"/>
      <c r="Z32" s="29"/>
    </row>
    <row r="33" spans="2:26">
      <c r="B33" s="45" t="str">
        <f t="shared" ref="B33:E33" si="16">B13</f>
        <v>Cost 4SS</v>
      </c>
      <c r="C33" s="42">
        <f t="shared" si="16"/>
        <v>4</v>
      </c>
      <c r="D33" s="32">
        <f t="shared" si="16"/>
        <v>2</v>
      </c>
      <c r="E33" s="32">
        <f t="shared" si="16"/>
        <v>6</v>
      </c>
      <c r="F33" s="29" t="s">
        <v>181</v>
      </c>
      <c r="G33" s="29" t="s">
        <v>182</v>
      </c>
      <c r="H33" s="29" t="s">
        <v>155</v>
      </c>
      <c r="I33" s="29" t="s">
        <v>183</v>
      </c>
      <c r="J33" s="29"/>
      <c r="K33" s="29">
        <v>134.64388335528628</v>
      </c>
      <c r="L33" s="29">
        <v>24.191171443131655</v>
      </c>
      <c r="M33" s="29">
        <v>25.759266823797031</v>
      </c>
      <c r="N33" s="29"/>
      <c r="O33" s="29">
        <v>60.734576114459458</v>
      </c>
      <c r="P33" s="29">
        <v>10.898362179839156</v>
      </c>
      <c r="Q33" s="29">
        <v>11.616924253869248</v>
      </c>
      <c r="S33" s="29">
        <v>97.403407950423627</v>
      </c>
      <c r="T33" s="29">
        <v>43.529841606162769</v>
      </c>
      <c r="W33" s="29"/>
      <c r="X33" s="36"/>
      <c r="Y33" s="29"/>
      <c r="Z33" s="29"/>
    </row>
    <row r="34" spans="2:26">
      <c r="B34" s="45" t="str">
        <f t="shared" ref="B34:E34" si="17">B14</f>
        <v>Cost SMEAR (per test)</v>
      </c>
      <c r="C34" s="42">
        <f t="shared" si="17"/>
        <v>3.125</v>
      </c>
      <c r="D34" s="32">
        <f t="shared" si="17"/>
        <v>1.5625</v>
      </c>
      <c r="E34" s="32">
        <f t="shared" si="17"/>
        <v>4.6875</v>
      </c>
      <c r="F34" s="29" t="s">
        <v>184</v>
      </c>
      <c r="G34" s="29" t="s">
        <v>185</v>
      </c>
      <c r="H34" s="29" t="s">
        <v>151</v>
      </c>
      <c r="I34" s="29" t="s">
        <v>186</v>
      </c>
      <c r="J34" s="29"/>
      <c r="K34" s="29">
        <v>77.252506035172601</v>
      </c>
      <c r="L34" s="29">
        <v>14.182333921773514</v>
      </c>
      <c r="M34" s="29">
        <v>15.118676540920745</v>
      </c>
      <c r="N34" s="29"/>
      <c r="O34" s="29">
        <v>80.865875502200609</v>
      </c>
      <c r="P34" s="29">
        <v>14.182333921773514</v>
      </c>
      <c r="Q34" s="29">
        <v>15.118676540920745</v>
      </c>
      <c r="R34" s="36"/>
      <c r="S34" s="29">
        <v>68.033012660878086</v>
      </c>
      <c r="T34" s="29">
        <v>45.044506913751647</v>
      </c>
      <c r="W34" s="29"/>
      <c r="X34" s="36"/>
      <c r="Y34" s="29"/>
      <c r="Z34" s="29"/>
    </row>
    <row r="35" spans="2:26">
      <c r="B35" s="45" t="str">
        <f>B15</f>
        <v>Cost MTB/RIF (per test)</v>
      </c>
      <c r="C35" s="42">
        <f t="shared" ref="C35:E35" si="18">C15</f>
        <v>14.717045244659452</v>
      </c>
      <c r="D35" s="32">
        <f t="shared" si="18"/>
        <v>7.3585226223297262</v>
      </c>
      <c r="E35" s="32">
        <f t="shared" si="18"/>
        <v>22.075567866989179</v>
      </c>
      <c r="F35" s="42" t="s">
        <v>187</v>
      </c>
      <c r="G35" s="42" t="s">
        <v>188</v>
      </c>
      <c r="H35" s="42" t="s">
        <v>156</v>
      </c>
      <c r="I35" s="42" t="s">
        <v>189</v>
      </c>
      <c r="J35" s="29"/>
      <c r="K35" s="29">
        <v>79.059190768686605</v>
      </c>
      <c r="L35" s="29">
        <v>8.4379759027807548</v>
      </c>
      <c r="M35" s="29">
        <v>9.6202358684663878</v>
      </c>
      <c r="N35" s="29"/>
      <c r="O35" s="29">
        <v>79.059190768686605</v>
      </c>
      <c r="P35" s="29">
        <v>19.926691940766272</v>
      </c>
      <c r="Q35" s="29">
        <v>20.617117213375103</v>
      </c>
      <c r="R35" s="36"/>
      <c r="S35" s="29">
        <v>14.248399888868157</v>
      </c>
      <c r="T35" s="29">
        <v>98.829119685761569</v>
      </c>
      <c r="W35" s="29"/>
      <c r="X35" s="36"/>
      <c r="Y35" s="29"/>
      <c r="Z35" s="29"/>
    </row>
    <row r="36" spans="2:26">
      <c r="B36" s="45" t="str">
        <f t="shared" ref="B36:E36" si="19">B16</f>
        <v>Cost LF-LAM (per test)</v>
      </c>
      <c r="C36" s="42">
        <f t="shared" si="19"/>
        <v>3.9849999999999999</v>
      </c>
      <c r="D36" s="32">
        <f t="shared" si="19"/>
        <v>1.9924999999999999</v>
      </c>
      <c r="E36" s="32">
        <f t="shared" si="19"/>
        <v>5.9775</v>
      </c>
      <c r="F36" s="42" t="s">
        <v>187</v>
      </c>
      <c r="G36" s="42" t="s">
        <v>185</v>
      </c>
      <c r="H36" s="42" t="s">
        <v>157</v>
      </c>
      <c r="I36" s="42" t="s">
        <v>165</v>
      </c>
      <c r="J36" s="29"/>
      <c r="K36" s="29">
        <v>79.059190768686605</v>
      </c>
      <c r="L36" s="29">
        <v>14.182333921773514</v>
      </c>
      <c r="M36" s="29">
        <v>14.543489140601766</v>
      </c>
      <c r="N36" s="29"/>
      <c r="O36" s="29">
        <v>79.059190768686605</v>
      </c>
      <c r="P36" s="29">
        <v>14.182333921773514</v>
      </c>
      <c r="Q36" s="29">
        <v>15.693863941239725</v>
      </c>
      <c r="R36" s="36"/>
      <c r="S36" s="29">
        <v>56.538759787314859</v>
      </c>
      <c r="T36" s="29">
        <v>56.538759787314859</v>
      </c>
    </row>
    <row r="37" spans="2:26">
      <c r="B37" s="45" t="str">
        <f t="shared" ref="B37:E37" si="20">B17</f>
        <v>Cost TB therapy</v>
      </c>
      <c r="C37" s="42">
        <f t="shared" si="20"/>
        <v>9.8441666666666663</v>
      </c>
      <c r="D37" s="32">
        <f t="shared" si="20"/>
        <v>4.9220833333333331</v>
      </c>
      <c r="E37" s="32">
        <f t="shared" si="20"/>
        <v>14.766249999999999</v>
      </c>
      <c r="F37" s="29" t="s">
        <v>190</v>
      </c>
      <c r="G37" s="29" t="s">
        <v>191</v>
      </c>
      <c r="H37" s="29" t="s">
        <v>158</v>
      </c>
      <c r="I37" s="29" t="s">
        <v>192</v>
      </c>
      <c r="J37" s="29"/>
      <c r="K37" s="29">
        <v>78.690145676846797</v>
      </c>
      <c r="L37" s="29">
        <v>13.786569219717828</v>
      </c>
      <c r="M37" s="29">
        <v>14.604487612159449</v>
      </c>
      <c r="N37" s="29"/>
      <c r="O37" s="29">
        <v>79.428235860526414</v>
      </c>
      <c r="P37" s="29">
        <v>14.578098623829199</v>
      </c>
      <c r="Q37" s="29">
        <v>15.632865469682041</v>
      </c>
      <c r="R37" s="36"/>
      <c r="S37" s="29">
        <v>55.973003082334017</v>
      </c>
      <c r="T37" s="29">
        <v>57.104516492295701</v>
      </c>
    </row>
    <row r="38" spans="2:26">
      <c r="B38" s="45" t="str">
        <f t="shared" ref="B38:E38" si="21">B18</f>
        <v>Economic burden of a new TB case due delayed diagnosis and treatment</v>
      </c>
      <c r="C38" s="42">
        <f t="shared" si="21"/>
        <v>847</v>
      </c>
      <c r="D38" s="32">
        <f t="shared" si="21"/>
        <v>423.5</v>
      </c>
      <c r="E38" s="32">
        <f t="shared" si="21"/>
        <v>1270.5</v>
      </c>
      <c r="F38" s="29" t="s">
        <v>193</v>
      </c>
      <c r="G38" s="29" t="s">
        <v>194</v>
      </c>
      <c r="H38" s="29" t="s">
        <v>159</v>
      </c>
      <c r="I38" s="29" t="s">
        <v>165</v>
      </c>
      <c r="J38" s="29"/>
      <c r="K38" s="29">
        <v>42.191406679886811</v>
      </c>
      <c r="L38" s="29">
        <v>13.231289681935204</v>
      </c>
      <c r="M38" s="29">
        <v>14.147155271995006</v>
      </c>
      <c r="N38" s="29"/>
      <c r="O38" s="29">
        <v>115.92697485748641</v>
      </c>
      <c r="P38" s="29">
        <v>15.133378161611825</v>
      </c>
      <c r="Q38" s="29">
        <v>16.090197809846483</v>
      </c>
      <c r="R38" s="36"/>
      <c r="S38" s="29">
        <v>56.538759787314859</v>
      </c>
      <c r="T38" s="29">
        <v>56.538759787314859</v>
      </c>
    </row>
    <row r="39" spans="2:26">
      <c r="B39" s="45" t="str">
        <f>B19</f>
        <v>Days of delay in treatment for undiagnosed TB case</v>
      </c>
      <c r="C39" s="45">
        <f t="shared" ref="C39:E39" si="22">C19</f>
        <v>105</v>
      </c>
      <c r="D39" s="94">
        <f t="shared" si="22"/>
        <v>52.5</v>
      </c>
      <c r="E39" s="94">
        <f t="shared" si="22"/>
        <v>157.5</v>
      </c>
      <c r="F39" s="29" t="s">
        <v>193</v>
      </c>
      <c r="G39" s="29" t="s">
        <v>194</v>
      </c>
      <c r="H39" s="29" t="s">
        <v>159</v>
      </c>
      <c r="I39" s="29" t="s">
        <v>165</v>
      </c>
      <c r="J39" s="29"/>
      <c r="K39" s="29">
        <v>42.191406679886811</v>
      </c>
      <c r="L39" s="29">
        <v>13.231289681935204</v>
      </c>
      <c r="M39" s="29">
        <v>14.147155271995006</v>
      </c>
      <c r="N39" s="29"/>
      <c r="O39" s="29">
        <v>115.9269748574864</v>
      </c>
      <c r="P39" s="29">
        <v>15.133378161611825</v>
      </c>
      <c r="Q39" s="29">
        <v>16.090197809846483</v>
      </c>
      <c r="R39" s="36"/>
      <c r="S39" s="29">
        <v>56.538759787314859</v>
      </c>
      <c r="T39" s="29">
        <v>56.538759787314859</v>
      </c>
    </row>
    <row r="40" spans="2:26" s="63" customFormat="1">
      <c r="D40" s="121"/>
      <c r="E40" s="121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S40" s="122"/>
      <c r="T40" s="122"/>
    </row>
    <row r="41" spans="2:26">
      <c r="B41" s="36"/>
      <c r="C41" s="28"/>
      <c r="D41" s="28"/>
      <c r="E41" s="28"/>
      <c r="I41" s="24"/>
      <c r="J41" s="29"/>
      <c r="S41" s="36"/>
    </row>
    <row r="42" spans="2:26">
      <c r="I42" s="24"/>
      <c r="S42" s="36"/>
    </row>
    <row r="43" spans="2:26">
      <c r="I43" s="24"/>
      <c r="S43" s="36"/>
    </row>
    <row r="44" spans="2:26">
      <c r="S44" s="36"/>
    </row>
    <row r="45" spans="2:26">
      <c r="S45" s="36"/>
    </row>
    <row r="46" spans="2:26">
      <c r="B46" s="41"/>
      <c r="C46" s="41"/>
      <c r="D46" s="41"/>
      <c r="E46" s="41"/>
      <c r="S46" s="36"/>
    </row>
    <row r="47" spans="2:26">
      <c r="B47" s="41"/>
      <c r="C47" s="28"/>
      <c r="D47" s="28"/>
      <c r="E47" s="28"/>
      <c r="G47" s="29"/>
      <c r="H47" s="29"/>
    </row>
    <row r="48" spans="2:26">
      <c r="B48" s="41"/>
      <c r="C48" s="27"/>
      <c r="D48" s="27"/>
      <c r="E48" s="27"/>
      <c r="G48" s="29"/>
      <c r="H48" s="29"/>
    </row>
    <row r="49" spans="2:8">
      <c r="B49" s="41"/>
      <c r="C49" s="25"/>
      <c r="D49" s="25"/>
      <c r="E49" s="25"/>
      <c r="G49" s="41"/>
      <c r="H49" s="41"/>
    </row>
    <row r="50" spans="2:8">
      <c r="B50" s="41"/>
      <c r="C50" s="25"/>
      <c r="D50" s="25"/>
      <c r="E50" s="25"/>
      <c r="G50" s="29"/>
      <c r="H50" s="29"/>
    </row>
    <row r="51" spans="2:8">
      <c r="B51" s="41"/>
      <c r="C51" s="25"/>
      <c r="D51" s="25"/>
      <c r="E51" s="25"/>
      <c r="G51" s="29"/>
      <c r="H51" s="29"/>
    </row>
    <row r="52" spans="2:8">
      <c r="B52" s="41"/>
      <c r="C52" s="25"/>
      <c r="D52" s="31"/>
      <c r="E52" s="25"/>
      <c r="G52" s="29"/>
      <c r="H52" s="29"/>
    </row>
    <row r="53" spans="2:8">
      <c r="B53" s="41"/>
      <c r="C53" s="41"/>
      <c r="D53" s="28"/>
      <c r="E53" s="28"/>
      <c r="G53" s="29"/>
      <c r="H53" s="29"/>
    </row>
    <row r="54" spans="2:8">
      <c r="B54" s="41"/>
      <c r="C54" s="29"/>
      <c r="D54" s="32"/>
      <c r="E54" s="32"/>
      <c r="G54" s="29"/>
      <c r="H54" s="29"/>
    </row>
    <row r="55" spans="2:8">
      <c r="B55" s="41"/>
      <c r="C55" s="29"/>
      <c r="D55" s="32"/>
      <c r="E55" s="32"/>
      <c r="G55" s="29"/>
      <c r="H55" s="29"/>
    </row>
    <row r="56" spans="2:8">
      <c r="B56" s="41"/>
      <c r="C56" s="29"/>
      <c r="D56" s="32"/>
      <c r="E56" s="32"/>
      <c r="G56" s="29"/>
      <c r="H56" s="29"/>
    </row>
    <row r="57" spans="2:8">
      <c r="B57" s="41"/>
      <c r="C57" s="29"/>
      <c r="D57" s="32"/>
      <c r="E57" s="32"/>
    </row>
    <row r="58" spans="2:8">
      <c r="B58" s="41"/>
      <c r="C58" s="29"/>
      <c r="D58" s="32"/>
      <c r="E58" s="32"/>
    </row>
    <row r="59" spans="2:8">
      <c r="B59" s="41"/>
      <c r="C59" s="29"/>
      <c r="D59" s="32"/>
      <c r="E59" s="32"/>
    </row>
    <row r="60" spans="2:8">
      <c r="B60" s="41"/>
      <c r="C60" s="41"/>
      <c r="D60" s="32"/>
      <c r="E60" s="32"/>
    </row>
    <row r="61" spans="2:8">
      <c r="B61" s="41"/>
      <c r="C61" s="41"/>
      <c r="D61" s="32"/>
      <c r="E61" s="32"/>
    </row>
  </sheetData>
  <mergeCells count="2">
    <mergeCell ref="L9:N9"/>
    <mergeCell ref="P9:R9"/>
  </mergeCells>
  <conditionalFormatting sqref="K26:K39">
    <cfRule type="colorScale" priority="10">
      <colorScale>
        <cfvo type="min"/>
        <cfvo type="max"/>
        <color rgb="FF92D050"/>
        <color rgb="FFFF0000"/>
      </colorScale>
    </cfRule>
  </conditionalFormatting>
  <conditionalFormatting sqref="N26:N40">
    <cfRule type="colorScale" priority="9">
      <colorScale>
        <cfvo type="min"/>
        <cfvo type="max"/>
        <color rgb="FF92D050"/>
        <color rgb="FFFF0000"/>
      </colorScale>
    </cfRule>
  </conditionalFormatting>
  <conditionalFormatting sqref="L26:L39">
    <cfRule type="colorScale" priority="8">
      <colorScale>
        <cfvo type="min"/>
        <cfvo type="max"/>
        <color rgb="FF92D050"/>
        <color rgb="FFFF0000"/>
      </colorScale>
    </cfRule>
  </conditionalFormatting>
  <conditionalFormatting sqref="M26:M39">
    <cfRule type="colorScale" priority="7">
      <colorScale>
        <cfvo type="min"/>
        <cfvo type="max"/>
        <color rgb="FF92D050"/>
        <color rgb="FFFF0000"/>
      </colorScale>
    </cfRule>
  </conditionalFormatting>
  <conditionalFormatting sqref="O26:O39">
    <cfRule type="colorScale" priority="6">
      <colorScale>
        <cfvo type="min"/>
        <cfvo type="max"/>
        <color rgb="FF92D050"/>
        <color rgb="FFFF0000"/>
      </colorScale>
    </cfRule>
  </conditionalFormatting>
  <conditionalFormatting sqref="P26:P39">
    <cfRule type="colorScale" priority="5">
      <colorScale>
        <cfvo type="min"/>
        <cfvo type="max"/>
        <color rgb="FF92D050"/>
        <color rgb="FFFF0000"/>
      </colorScale>
    </cfRule>
  </conditionalFormatting>
  <conditionalFormatting sqref="Q26:Q39">
    <cfRule type="colorScale" priority="4">
      <colorScale>
        <cfvo type="min"/>
        <cfvo type="max"/>
        <color rgb="FF92D050"/>
        <color rgb="FFFF0000"/>
      </colorScale>
    </cfRule>
  </conditionalFormatting>
  <conditionalFormatting sqref="S26:T39">
    <cfRule type="colorScale" priority="3">
      <colorScale>
        <cfvo type="min"/>
        <cfvo type="max"/>
        <color rgb="FF92D050"/>
        <color rgb="FFFF0000"/>
      </colorScale>
    </cfRule>
  </conditionalFormatting>
  <conditionalFormatting sqref="Y26:Z35">
    <cfRule type="colorScale" priority="2">
      <colorScale>
        <cfvo type="min"/>
        <cfvo type="max"/>
        <color rgb="FF92D050"/>
        <color rgb="FFFF0000"/>
      </colorScale>
    </cfRule>
  </conditionalFormatting>
  <conditionalFormatting sqref="G47:H56">
    <cfRule type="colorScale" priority="1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paperSize="9" orientation="landscape" r:id="rId1"/>
  <ignoredErrors>
    <ignoredError sqref="E1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0</xdr:col>
                    <xdr:colOff>330200</xdr:colOff>
                    <xdr:row>4</xdr:row>
                    <xdr:rowOff>127000</xdr:rowOff>
                  </from>
                  <to>
                    <xdr:col>0</xdr:col>
                    <xdr:colOff>723900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0</xdr:col>
                    <xdr:colOff>330200</xdr:colOff>
                    <xdr:row>10</xdr:row>
                    <xdr:rowOff>127000</xdr:rowOff>
                  </from>
                  <to>
                    <xdr:col>0</xdr:col>
                    <xdr:colOff>723900</xdr:colOff>
                    <xdr:row>12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0</xdr:col>
                    <xdr:colOff>342900</xdr:colOff>
                    <xdr:row>6</xdr:row>
                    <xdr:rowOff>114300</xdr:rowOff>
                  </from>
                  <to>
                    <xdr:col>0</xdr:col>
                    <xdr:colOff>736600</xdr:colOff>
                    <xdr:row>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0</xdr:col>
                    <xdr:colOff>165100</xdr:colOff>
                    <xdr:row>7</xdr:row>
                    <xdr:rowOff>114300</xdr:rowOff>
                  </from>
                  <to>
                    <xdr:col>0</xdr:col>
                    <xdr:colOff>558800</xdr:colOff>
                    <xdr:row>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0</xdr:col>
                    <xdr:colOff>165100</xdr:colOff>
                    <xdr:row>9</xdr:row>
                    <xdr:rowOff>114300</xdr:rowOff>
                  </from>
                  <to>
                    <xdr:col>0</xdr:col>
                    <xdr:colOff>558800</xdr:colOff>
                    <xdr:row>11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0</xdr:col>
                    <xdr:colOff>165100</xdr:colOff>
                    <xdr:row>5</xdr:row>
                    <xdr:rowOff>127000</xdr:rowOff>
                  </from>
                  <to>
                    <xdr:col>0</xdr:col>
                    <xdr:colOff>558800</xdr:colOff>
                    <xdr:row>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0" name="Check Box 19">
              <controlPr defaultSize="0" autoFill="0" autoLine="0" autoPict="0">
                <anchor moveWithCells="1">
                  <from>
                    <xdr:col>0</xdr:col>
                    <xdr:colOff>342900</xdr:colOff>
                    <xdr:row>8</xdr:row>
                    <xdr:rowOff>114300</xdr:rowOff>
                  </from>
                  <to>
                    <xdr:col>0</xdr:col>
                    <xdr:colOff>736600</xdr:colOff>
                    <xdr:row>10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1" name="Check Box 20">
              <controlPr defaultSize="0" autoFill="0" autoLine="0" autoPict="0">
                <anchor moveWithCells="1">
                  <from>
                    <xdr:col>0</xdr:col>
                    <xdr:colOff>139700</xdr:colOff>
                    <xdr:row>11</xdr:row>
                    <xdr:rowOff>114300</xdr:rowOff>
                  </from>
                  <to>
                    <xdr:col>0</xdr:col>
                    <xdr:colOff>533400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12" name="Check Box 21">
              <controlPr defaultSize="0" autoFill="0" autoLine="0" autoPict="0">
                <anchor moveWithCells="1">
                  <from>
                    <xdr:col>0</xdr:col>
                    <xdr:colOff>330200</xdr:colOff>
                    <xdr:row>12</xdr:row>
                    <xdr:rowOff>101600</xdr:rowOff>
                  </from>
                  <to>
                    <xdr:col>0</xdr:col>
                    <xdr:colOff>723900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13" name="Check Box 22">
              <controlPr defaultSize="0" autoFill="0" autoLine="0" autoPict="0">
                <anchor moveWithCells="1">
                  <from>
                    <xdr:col>0</xdr:col>
                    <xdr:colOff>152400</xdr:colOff>
                    <xdr:row>13</xdr:row>
                    <xdr:rowOff>114300</xdr:rowOff>
                  </from>
                  <to>
                    <xdr:col>0</xdr:col>
                    <xdr:colOff>546100</xdr:colOff>
                    <xdr:row>15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14" name="Check Box 23">
              <controlPr defaultSize="0" autoFill="0" autoLine="0" autoPict="0">
                <anchor moveWithCells="1">
                  <from>
                    <xdr:col>0</xdr:col>
                    <xdr:colOff>330200</xdr:colOff>
                    <xdr:row>14</xdr:row>
                    <xdr:rowOff>127000</xdr:rowOff>
                  </from>
                  <to>
                    <xdr:col>0</xdr:col>
                    <xdr:colOff>723900</xdr:colOff>
                    <xdr:row>16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15" name="Check Box 24">
              <controlPr defaultSize="0" autoFill="0" autoLine="0" autoPict="0">
                <anchor moveWithCells="1">
                  <from>
                    <xdr:col>0</xdr:col>
                    <xdr:colOff>152400</xdr:colOff>
                    <xdr:row>15</xdr:row>
                    <xdr:rowOff>114300</xdr:rowOff>
                  </from>
                  <to>
                    <xdr:col>0</xdr:col>
                    <xdr:colOff>546100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16" name="Check Box 25">
              <controlPr defaultSize="0" autoFill="0" autoLine="0" autoPict="0">
                <anchor moveWithCells="1">
                  <from>
                    <xdr:col>0</xdr:col>
                    <xdr:colOff>317500</xdr:colOff>
                    <xdr:row>16</xdr:row>
                    <xdr:rowOff>114300</xdr:rowOff>
                  </from>
                  <to>
                    <xdr:col>0</xdr:col>
                    <xdr:colOff>711200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17" name="Check Box 26">
              <controlPr defaultSize="0" autoFill="0" autoLine="0" autoPict="0">
                <anchor moveWithCells="1">
                  <from>
                    <xdr:col>0</xdr:col>
                    <xdr:colOff>152400</xdr:colOff>
                    <xdr:row>17</xdr:row>
                    <xdr:rowOff>114300</xdr:rowOff>
                  </from>
                  <to>
                    <xdr:col>0</xdr:col>
                    <xdr:colOff>546100</xdr:colOff>
                    <xdr:row>19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18" name="Check Box 27">
              <controlPr defaultSize="0" autoFill="0" autoLine="0" autoPict="0">
                <anchor moveWithCells="1">
                  <from>
                    <xdr:col>0</xdr:col>
                    <xdr:colOff>330200</xdr:colOff>
                    <xdr:row>18</xdr:row>
                    <xdr:rowOff>114300</xdr:rowOff>
                  </from>
                  <to>
                    <xdr:col>0</xdr:col>
                    <xdr:colOff>723900</xdr:colOff>
                    <xdr:row>20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G36" sqref="G36"/>
    </sheetView>
  </sheetViews>
  <sheetFormatPr baseColWidth="10" defaultColWidth="8.83203125" defaultRowHeight="13"/>
  <cols>
    <col min="1" max="1" width="32.1640625" customWidth="1"/>
    <col min="2" max="2" width="20" customWidth="1"/>
    <col min="3" max="3" width="18.6640625" customWidth="1"/>
    <col min="4" max="4" width="27.5" customWidth="1"/>
  </cols>
  <sheetData>
    <row r="1" spans="1:4">
      <c r="A1" t="s">
        <v>23</v>
      </c>
    </row>
    <row r="7" spans="1:4" ht="16">
      <c r="A7" s="123" t="s">
        <v>29</v>
      </c>
      <c r="B7" s="124">
        <v>5893.2502083333384</v>
      </c>
      <c r="C7" s="124">
        <v>15730.994411326119</v>
      </c>
      <c r="D7" s="124">
        <v>16522.245039848862</v>
      </c>
    </row>
    <row r="8" spans="1:4" ht="16">
      <c r="A8" s="123" t="s">
        <v>30</v>
      </c>
      <c r="B8" s="124">
        <v>81625.273972602736</v>
      </c>
      <c r="C8" s="124">
        <v>2436.5753424657532</v>
      </c>
      <c r="D8" s="124">
        <v>2436.5753424657532</v>
      </c>
    </row>
    <row r="9" spans="1:4" ht="16">
      <c r="A9" s="123" t="s">
        <v>204</v>
      </c>
      <c r="B9" s="124">
        <v>59707.698630136983</v>
      </c>
      <c r="C9" s="124">
        <v>74095.095890410958</v>
      </c>
      <c r="D9" s="124">
        <v>94237.452054794529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0"/>
  <sheetViews>
    <sheetView zoomScaleNormal="100" workbookViewId="0">
      <selection activeCell="C41" sqref="C41"/>
    </sheetView>
  </sheetViews>
  <sheetFormatPr baseColWidth="10" defaultColWidth="9.1640625" defaultRowHeight="13"/>
  <cols>
    <col min="1" max="1" width="52.33203125" style="118" bestFit="1" customWidth="1"/>
    <col min="2" max="2" width="36.1640625" style="118" customWidth="1"/>
    <col min="3" max="3" width="52.33203125" style="118" customWidth="1"/>
    <col min="4" max="4" width="9.1640625" style="118"/>
    <col min="5" max="5" width="18.83203125" style="118" customWidth="1"/>
    <col min="6" max="16384" width="9.1640625" style="118"/>
  </cols>
  <sheetData>
    <row r="1" spans="1:9">
      <c r="G1" s="118" t="s">
        <v>31</v>
      </c>
      <c r="H1" s="118" t="s">
        <v>32</v>
      </c>
      <c r="I1" s="118" t="s">
        <v>33</v>
      </c>
    </row>
    <row r="2" spans="1:9">
      <c r="A2" s="118" t="s">
        <v>17</v>
      </c>
      <c r="B2" s="118" t="s">
        <v>35</v>
      </c>
      <c r="C2" s="118" t="s">
        <v>37</v>
      </c>
      <c r="G2" s="42"/>
      <c r="H2" s="42"/>
      <c r="I2" s="42"/>
    </row>
    <row r="3" spans="1:9">
      <c r="B3" s="42"/>
      <c r="C3" s="42"/>
      <c r="D3" s="31"/>
      <c r="E3" s="31"/>
      <c r="F3" s="31"/>
      <c r="G3" s="42"/>
      <c r="H3" s="42"/>
      <c r="I3" s="42"/>
    </row>
    <row r="4" spans="1:9">
      <c r="B4" s="42"/>
      <c r="C4" s="42"/>
      <c r="D4" s="42"/>
      <c r="E4" s="42"/>
      <c r="F4" s="42"/>
      <c r="G4" s="42"/>
      <c r="H4" s="42"/>
      <c r="I4" s="42"/>
    </row>
    <row r="5" spans="1:9">
      <c r="B5" s="42"/>
      <c r="C5" s="42"/>
      <c r="D5" s="42"/>
      <c r="E5" s="42"/>
      <c r="F5" s="42"/>
      <c r="G5" s="42"/>
      <c r="H5" s="42"/>
      <c r="I5" s="42"/>
    </row>
    <row r="6" spans="1:9">
      <c r="B6" s="42"/>
      <c r="C6" s="42"/>
      <c r="D6" s="42"/>
      <c r="E6" s="42"/>
      <c r="F6" s="42"/>
      <c r="G6" s="42"/>
      <c r="H6" s="42"/>
      <c r="I6" s="42"/>
    </row>
    <row r="7" spans="1:9">
      <c r="A7" s="12" t="s">
        <v>205</v>
      </c>
      <c r="B7" s="42"/>
      <c r="C7" s="42"/>
      <c r="D7" s="42"/>
      <c r="E7" s="42"/>
      <c r="G7" s="42"/>
      <c r="H7" s="42"/>
      <c r="I7" s="42"/>
    </row>
    <row r="8" spans="1:9">
      <c r="A8" s="118" t="s">
        <v>21</v>
      </c>
      <c r="B8" s="119">
        <v>13.92</v>
      </c>
      <c r="C8" s="119">
        <v>14.62</v>
      </c>
      <c r="D8" s="31"/>
      <c r="E8" s="31"/>
      <c r="F8" s="31"/>
      <c r="G8" s="42"/>
      <c r="H8" s="42"/>
      <c r="I8" s="42"/>
    </row>
    <row r="9" spans="1:9">
      <c r="A9" s="12" t="s">
        <v>199</v>
      </c>
      <c r="B9" s="119">
        <v>14.18</v>
      </c>
      <c r="C9" s="119">
        <v>14.33</v>
      </c>
      <c r="D9" s="31"/>
      <c r="E9" s="31"/>
      <c r="F9" s="31"/>
      <c r="G9" s="42"/>
      <c r="H9" s="42"/>
      <c r="I9" s="42"/>
    </row>
    <row r="10" spans="1:9">
      <c r="A10" s="12" t="s">
        <v>206</v>
      </c>
      <c r="B10" s="119">
        <v>14.26</v>
      </c>
      <c r="C10" s="119">
        <v>13.65</v>
      </c>
      <c r="D10" s="40"/>
      <c r="E10" s="40"/>
      <c r="F10" s="40"/>
      <c r="G10" s="42"/>
      <c r="H10" s="42"/>
      <c r="I10" s="42"/>
    </row>
    <row r="11" spans="1:9">
      <c r="A11" s="12" t="s">
        <v>200</v>
      </c>
      <c r="B11" s="119">
        <v>13.79</v>
      </c>
      <c r="C11" s="119">
        <v>14.58</v>
      </c>
      <c r="D11" s="42"/>
      <c r="E11" s="42"/>
      <c r="F11" s="42"/>
      <c r="G11" s="42"/>
      <c r="H11" s="42"/>
      <c r="I11" s="42"/>
    </row>
    <row r="12" spans="1:9">
      <c r="A12" s="12" t="s">
        <v>26</v>
      </c>
      <c r="B12" s="119">
        <v>13.23</v>
      </c>
      <c r="C12" s="119">
        <v>15.13</v>
      </c>
      <c r="D12" s="42"/>
      <c r="E12" s="42"/>
      <c r="G12" s="42"/>
      <c r="H12" s="42"/>
      <c r="I12" s="42"/>
    </row>
    <row r="13" spans="1:9">
      <c r="A13" s="12" t="s">
        <v>198</v>
      </c>
      <c r="B13" s="119">
        <v>13.23</v>
      </c>
      <c r="C13" s="119">
        <v>15.13</v>
      </c>
      <c r="D13" s="42"/>
      <c r="E13" s="42"/>
      <c r="F13" s="42"/>
      <c r="G13" s="42"/>
      <c r="H13" s="42"/>
      <c r="I13" s="42"/>
    </row>
    <row r="14" spans="1:9">
      <c r="A14" s="118" t="s">
        <v>201</v>
      </c>
      <c r="B14" s="119">
        <v>13.04</v>
      </c>
      <c r="C14" s="119">
        <v>16.079999999999998</v>
      </c>
      <c r="D14" s="27"/>
      <c r="E14" s="27"/>
      <c r="F14" s="27"/>
      <c r="G14" s="42"/>
      <c r="H14" s="42"/>
      <c r="I14" s="42"/>
    </row>
    <row r="15" spans="1:9">
      <c r="A15" s="118" t="s">
        <v>14</v>
      </c>
      <c r="B15" s="119">
        <v>11.91</v>
      </c>
      <c r="C15" s="119">
        <v>16.68</v>
      </c>
      <c r="D15" s="31"/>
      <c r="E15" s="31"/>
      <c r="F15" s="31"/>
      <c r="G15" s="42"/>
      <c r="H15" s="42"/>
      <c r="I15" s="42"/>
    </row>
    <row r="16" spans="1:9">
      <c r="A16" s="118" t="s">
        <v>203</v>
      </c>
      <c r="B16" s="119">
        <v>8.44</v>
      </c>
      <c r="C16" s="119">
        <v>19.93</v>
      </c>
      <c r="D16" s="42"/>
      <c r="E16" s="42"/>
      <c r="F16" s="42"/>
      <c r="G16" s="42"/>
      <c r="H16" s="42"/>
      <c r="I16" s="42"/>
    </row>
    <row r="17" spans="1:9">
      <c r="A17" s="12" t="s">
        <v>207</v>
      </c>
      <c r="B17" s="119">
        <v>11.91</v>
      </c>
      <c r="C17" s="119">
        <v>16.68</v>
      </c>
      <c r="D17" s="40"/>
      <c r="E17" s="40"/>
      <c r="G17" s="42"/>
      <c r="H17" s="42"/>
      <c r="I17" s="42"/>
    </row>
    <row r="18" spans="1:9" s="120" customFormat="1">
      <c r="A18" s="12" t="s">
        <v>25</v>
      </c>
      <c r="B18" s="119">
        <v>24.19</v>
      </c>
      <c r="C18" s="119">
        <v>10.9</v>
      </c>
      <c r="D18" s="40"/>
      <c r="E18" s="40"/>
      <c r="G18" s="117"/>
      <c r="H18" s="117"/>
      <c r="I18" s="117"/>
    </row>
    <row r="19" spans="1:9">
      <c r="A19" s="118" t="s">
        <v>36</v>
      </c>
      <c r="B19" s="119">
        <v>26.28</v>
      </c>
      <c r="C19" s="119">
        <v>11.04</v>
      </c>
    </row>
    <row r="21" spans="1:9">
      <c r="D21" s="37"/>
    </row>
    <row r="22" spans="1:9">
      <c r="A22" s="118" t="s">
        <v>34</v>
      </c>
      <c r="B22" s="37">
        <v>14.18</v>
      </c>
    </row>
    <row r="24" spans="1:9">
      <c r="A24" s="118" t="s">
        <v>27</v>
      </c>
    </row>
    <row r="25" spans="1:9">
      <c r="A25" s="12"/>
      <c r="B25" s="42"/>
      <c r="C25" s="42"/>
    </row>
    <row r="26" spans="1:9">
      <c r="A26" s="12" t="s">
        <v>206</v>
      </c>
      <c r="B26" s="42">
        <v>57.2</v>
      </c>
      <c r="C26" s="42">
        <v>54.65</v>
      </c>
    </row>
    <row r="27" spans="1:9">
      <c r="A27" s="12" t="s">
        <v>25</v>
      </c>
      <c r="B27" s="42">
        <v>97.4</v>
      </c>
      <c r="C27" s="42">
        <v>43.53</v>
      </c>
    </row>
    <row r="28" spans="1:9">
      <c r="A28" s="12" t="s">
        <v>199</v>
      </c>
      <c r="B28" s="42">
        <v>104.03</v>
      </c>
      <c r="C28" s="42">
        <v>39.119999999999997</v>
      </c>
    </row>
    <row r="29" spans="1:9">
      <c r="A29" s="12" t="s">
        <v>207</v>
      </c>
      <c r="B29" s="42">
        <v>47.53</v>
      </c>
      <c r="C29" s="42">
        <v>66.47</v>
      </c>
    </row>
    <row r="30" spans="1:9">
      <c r="A30" s="12" t="s">
        <v>14</v>
      </c>
      <c r="B30" s="42">
        <v>47.53</v>
      </c>
      <c r="C30" s="42">
        <v>66.47</v>
      </c>
    </row>
    <row r="31" spans="1:9">
      <c r="A31" s="12" t="s">
        <v>208</v>
      </c>
      <c r="B31" s="42">
        <v>68.03</v>
      </c>
      <c r="C31" s="42">
        <v>45.04</v>
      </c>
    </row>
    <row r="32" spans="1:9" s="120" customFormat="1">
      <c r="A32" s="12" t="s">
        <v>203</v>
      </c>
      <c r="B32" s="117">
        <v>14.25</v>
      </c>
      <c r="C32" s="117">
        <v>98.83</v>
      </c>
    </row>
    <row r="33" spans="1:3">
      <c r="A33" s="118" t="s">
        <v>36</v>
      </c>
      <c r="B33" s="42">
        <v>123.17839238115985</v>
      </c>
      <c r="C33" s="42">
        <v>36.820453865765714</v>
      </c>
    </row>
    <row r="34" spans="1:3">
      <c r="B34" s="42"/>
      <c r="C34" s="42"/>
    </row>
    <row r="36" spans="1:3">
      <c r="A36" s="118" t="s">
        <v>34</v>
      </c>
      <c r="B36" s="30">
        <v>56.54</v>
      </c>
    </row>
    <row r="40" spans="1:3">
      <c r="A40" s="12"/>
      <c r="B40" s="42"/>
      <c r="C40" s="42"/>
    </row>
    <row r="42" spans="1:3">
      <c r="B42" s="42"/>
      <c r="C42" s="42"/>
    </row>
    <row r="43" spans="1:3" ht="16">
      <c r="A43" s="43"/>
      <c r="B43" s="42"/>
      <c r="C43" s="42"/>
    </row>
    <row r="44" spans="1:3">
      <c r="B44" s="42"/>
      <c r="C44" s="42"/>
    </row>
    <row r="45" spans="1:3">
      <c r="B45" s="42"/>
      <c r="C45" s="42"/>
    </row>
    <row r="46" spans="1:3">
      <c r="B46" s="42"/>
      <c r="C46" s="42"/>
    </row>
    <row r="47" spans="1:3">
      <c r="B47" s="42"/>
      <c r="C47" s="42"/>
    </row>
    <row r="48" spans="1:3">
      <c r="B48" s="42"/>
      <c r="C48" s="42"/>
    </row>
    <row r="49" spans="2:3">
      <c r="B49" s="42"/>
      <c r="C49" s="42"/>
    </row>
    <row r="69" spans="2:18">
      <c r="F69" s="42"/>
      <c r="G69" s="42"/>
    </row>
    <row r="70" spans="2:18">
      <c r="F70" s="42"/>
      <c r="G70" s="42"/>
      <c r="Q70" s="42"/>
      <c r="R70" s="42"/>
    </row>
    <row r="71" spans="2:18">
      <c r="F71" s="42"/>
      <c r="Q71" s="42"/>
      <c r="R71" s="42"/>
    </row>
    <row r="72" spans="2:18">
      <c r="B72" s="42"/>
      <c r="C72" s="42"/>
      <c r="F72" s="42"/>
    </row>
    <row r="73" spans="2:18">
      <c r="B73" s="42"/>
      <c r="C73" s="42"/>
      <c r="F73" s="42"/>
      <c r="Q73" s="42"/>
      <c r="R73" s="42"/>
    </row>
    <row r="74" spans="2:18">
      <c r="B74" s="42"/>
      <c r="C74" s="42"/>
      <c r="F74" s="42"/>
      <c r="G74" s="42"/>
      <c r="Q74" s="42"/>
      <c r="R74" s="42"/>
    </row>
    <row r="75" spans="2:18">
      <c r="B75" s="42"/>
      <c r="C75" s="42"/>
      <c r="F75" s="42"/>
      <c r="Q75" s="42"/>
      <c r="R75" s="42"/>
    </row>
    <row r="76" spans="2:18">
      <c r="B76" s="42"/>
      <c r="C76" s="42"/>
      <c r="F76" s="42"/>
      <c r="Q76" s="42"/>
      <c r="R76" s="42"/>
    </row>
    <row r="77" spans="2:18">
      <c r="B77" s="42"/>
      <c r="C77" s="42"/>
      <c r="F77" s="42"/>
      <c r="Q77" s="42"/>
      <c r="R77" s="42"/>
    </row>
    <row r="78" spans="2:18">
      <c r="B78" s="42"/>
      <c r="C78" s="42"/>
      <c r="F78" s="42"/>
      <c r="Q78" s="42"/>
      <c r="R78" s="42"/>
    </row>
    <row r="79" spans="2:18">
      <c r="B79" s="42"/>
      <c r="C79" s="42"/>
    </row>
    <row r="80" spans="2:18">
      <c r="B80" s="42"/>
      <c r="C80" s="42"/>
    </row>
    <row r="81" spans="2:3">
      <c r="B81" s="42"/>
      <c r="C81" s="42"/>
    </row>
    <row r="82" spans="2:3">
      <c r="B82" s="42"/>
      <c r="C82" s="42"/>
    </row>
    <row r="83" spans="2:3">
      <c r="B83" s="42"/>
      <c r="C83" s="42"/>
    </row>
    <row r="84" spans="2:3">
      <c r="B84" s="42"/>
      <c r="C84" s="42"/>
    </row>
    <row r="85" spans="2:3">
      <c r="B85" s="42"/>
      <c r="C85" s="42"/>
    </row>
    <row r="86" spans="2:3">
      <c r="B86" s="42"/>
      <c r="C86" s="42"/>
    </row>
    <row r="90" spans="2:3">
      <c r="B90" s="30"/>
    </row>
  </sheetData>
  <conditionalFormatting sqref="B83:C86">
    <cfRule type="colorScale" priority="49">
      <colorScale>
        <cfvo type="min"/>
        <cfvo type="max"/>
        <color rgb="FF92D050"/>
        <color rgb="FFFF0000"/>
      </colorScale>
    </cfRule>
  </conditionalFormatting>
  <conditionalFormatting sqref="B3">
    <cfRule type="colorScale" priority="48">
      <colorScale>
        <cfvo type="min"/>
        <cfvo type="max"/>
        <color rgb="FF92D050"/>
        <color rgb="FFFF0000"/>
      </colorScale>
    </cfRule>
  </conditionalFormatting>
  <conditionalFormatting sqref="C3">
    <cfRule type="colorScale" priority="47">
      <colorScale>
        <cfvo type="min"/>
        <cfvo type="max"/>
        <color rgb="FF92D050"/>
        <color rgb="FFFF0000"/>
      </colorScale>
    </cfRule>
  </conditionalFormatting>
  <conditionalFormatting sqref="B17:B18">
    <cfRule type="colorScale" priority="46">
      <colorScale>
        <cfvo type="min"/>
        <cfvo type="max"/>
        <color rgb="FF92D050"/>
        <color rgb="FFFF0000"/>
      </colorScale>
    </cfRule>
  </conditionalFormatting>
  <conditionalFormatting sqref="C17:C18">
    <cfRule type="colorScale" priority="45">
      <colorScale>
        <cfvo type="min"/>
        <cfvo type="max"/>
        <color rgb="FF92D050"/>
        <color rgb="FFFF0000"/>
      </colorScale>
    </cfRule>
  </conditionalFormatting>
  <conditionalFormatting sqref="B16">
    <cfRule type="colorScale" priority="43">
      <colorScale>
        <cfvo type="min"/>
        <cfvo type="max"/>
        <color rgb="FF92D050"/>
        <color rgb="FFFF0000"/>
      </colorScale>
    </cfRule>
  </conditionalFormatting>
  <conditionalFormatting sqref="C16">
    <cfRule type="colorScale" priority="44">
      <colorScale>
        <cfvo type="min"/>
        <cfvo type="max"/>
        <color rgb="FF92D050"/>
        <color rgb="FFFF0000"/>
      </colorScale>
    </cfRule>
  </conditionalFormatting>
  <conditionalFormatting sqref="B15">
    <cfRule type="colorScale" priority="41">
      <colorScale>
        <cfvo type="min"/>
        <cfvo type="max"/>
        <color rgb="FF92D050"/>
        <color rgb="FFFF0000"/>
      </colorScale>
    </cfRule>
  </conditionalFormatting>
  <conditionalFormatting sqref="C15">
    <cfRule type="colorScale" priority="42">
      <colorScale>
        <cfvo type="min"/>
        <cfvo type="max"/>
        <color rgb="FF92D050"/>
        <color rgb="FFFF0000"/>
      </colorScale>
    </cfRule>
  </conditionalFormatting>
  <conditionalFormatting sqref="B14">
    <cfRule type="colorScale" priority="39">
      <colorScale>
        <cfvo type="min"/>
        <cfvo type="max"/>
        <color rgb="FF92D050"/>
        <color rgb="FFFF0000"/>
      </colorScale>
    </cfRule>
  </conditionalFormatting>
  <conditionalFormatting sqref="C14">
    <cfRule type="colorScale" priority="40">
      <colorScale>
        <cfvo type="min"/>
        <cfvo type="max"/>
        <color rgb="FF92D050"/>
        <color rgb="FFFF0000"/>
      </colorScale>
    </cfRule>
  </conditionalFormatting>
  <conditionalFormatting sqref="B13">
    <cfRule type="colorScale" priority="37">
      <colorScale>
        <cfvo type="min"/>
        <cfvo type="max"/>
        <color rgb="FF92D050"/>
        <color rgb="FFFF0000"/>
      </colorScale>
    </cfRule>
  </conditionalFormatting>
  <conditionalFormatting sqref="C13">
    <cfRule type="colorScale" priority="38">
      <colorScale>
        <cfvo type="min"/>
        <cfvo type="max"/>
        <color rgb="FF92D050"/>
        <color rgb="FFFF0000"/>
      </colorScale>
    </cfRule>
  </conditionalFormatting>
  <conditionalFormatting sqref="B12">
    <cfRule type="colorScale" priority="35">
      <colorScale>
        <cfvo type="min"/>
        <cfvo type="max"/>
        <color rgb="FF92D050"/>
        <color rgb="FFFF0000"/>
      </colorScale>
    </cfRule>
  </conditionalFormatting>
  <conditionalFormatting sqref="C12">
    <cfRule type="colorScale" priority="36">
      <colorScale>
        <cfvo type="min"/>
        <cfvo type="max"/>
        <color rgb="FF92D050"/>
        <color rgb="FFFF0000"/>
      </colorScale>
    </cfRule>
  </conditionalFormatting>
  <conditionalFormatting sqref="B11">
    <cfRule type="colorScale" priority="33">
      <colorScale>
        <cfvo type="min"/>
        <cfvo type="max"/>
        <color rgb="FF92D050"/>
        <color rgb="FFFF0000"/>
      </colorScale>
    </cfRule>
  </conditionalFormatting>
  <conditionalFormatting sqref="C11">
    <cfRule type="colorScale" priority="34">
      <colorScale>
        <cfvo type="min"/>
        <cfvo type="max"/>
        <color rgb="FF92D050"/>
        <color rgb="FFFF0000"/>
      </colorScale>
    </cfRule>
  </conditionalFormatting>
  <conditionalFormatting sqref="B10">
    <cfRule type="colorScale" priority="31">
      <colorScale>
        <cfvo type="min"/>
        <cfvo type="max"/>
        <color rgb="FF92D050"/>
        <color rgb="FFFF0000"/>
      </colorScale>
    </cfRule>
  </conditionalFormatting>
  <conditionalFormatting sqref="C10">
    <cfRule type="colorScale" priority="32">
      <colorScale>
        <cfvo type="min"/>
        <cfvo type="max"/>
        <color rgb="FF92D050"/>
        <color rgb="FFFF0000"/>
      </colorScale>
    </cfRule>
  </conditionalFormatting>
  <conditionalFormatting sqref="B9">
    <cfRule type="colorScale" priority="29">
      <colorScale>
        <cfvo type="min"/>
        <cfvo type="max"/>
        <color rgb="FF92D050"/>
        <color rgb="FFFF0000"/>
      </colorScale>
    </cfRule>
  </conditionalFormatting>
  <conditionalFormatting sqref="C9">
    <cfRule type="colorScale" priority="30">
      <colorScale>
        <cfvo type="min"/>
        <cfvo type="max"/>
        <color rgb="FF92D050"/>
        <color rgb="FFFF0000"/>
      </colorScale>
    </cfRule>
  </conditionalFormatting>
  <conditionalFormatting sqref="B81:C81">
    <cfRule type="colorScale" priority="28">
      <colorScale>
        <cfvo type="min"/>
        <cfvo type="max"/>
        <color rgb="FF92D050"/>
        <color rgb="FFFF0000"/>
      </colorScale>
    </cfRule>
  </conditionalFormatting>
  <conditionalFormatting sqref="B80:C80">
    <cfRule type="colorScale" priority="27">
      <colorScale>
        <cfvo type="min"/>
        <cfvo type="max"/>
        <color rgb="FF92D050"/>
        <color rgb="FFFF0000"/>
      </colorScale>
    </cfRule>
  </conditionalFormatting>
  <conditionalFormatting sqref="B76:C76">
    <cfRule type="colorScale" priority="26">
      <colorScale>
        <cfvo type="min"/>
        <cfvo type="max"/>
        <color rgb="FF92D050"/>
        <color rgb="FFFF0000"/>
      </colorScale>
    </cfRule>
  </conditionalFormatting>
  <conditionalFormatting sqref="B75:C75">
    <cfRule type="colorScale" priority="25">
      <colorScale>
        <cfvo type="min"/>
        <cfvo type="max"/>
        <color rgb="FF92D050"/>
        <color rgb="FFFF0000"/>
      </colorScale>
    </cfRule>
  </conditionalFormatting>
  <conditionalFormatting sqref="B74:C74">
    <cfRule type="colorScale" priority="50">
      <colorScale>
        <cfvo type="min"/>
        <cfvo type="max"/>
        <color rgb="FF92D050"/>
        <color rgb="FFFF0000"/>
      </colorScale>
    </cfRule>
  </conditionalFormatting>
  <conditionalFormatting sqref="F74:G74">
    <cfRule type="colorScale" priority="24">
      <colorScale>
        <cfvo type="min"/>
        <cfvo type="max"/>
        <color rgb="FF92D050"/>
        <color rgb="FFFF0000"/>
      </colorScale>
    </cfRule>
  </conditionalFormatting>
  <conditionalFormatting sqref="B77:C77">
    <cfRule type="colorScale" priority="23">
      <colorScale>
        <cfvo type="min"/>
        <cfvo type="max"/>
        <color rgb="FF92D050"/>
        <color rgb="FFFF0000"/>
      </colorScale>
    </cfRule>
  </conditionalFormatting>
  <conditionalFormatting sqref="F70:G70">
    <cfRule type="colorScale" priority="22">
      <colorScale>
        <cfvo type="min"/>
        <cfvo type="max"/>
        <color rgb="FF92D050"/>
        <color rgb="FFFF0000"/>
      </colorScale>
    </cfRule>
  </conditionalFormatting>
  <conditionalFormatting sqref="B73:C73">
    <cfRule type="colorScale" priority="21">
      <colorScale>
        <cfvo type="min"/>
        <cfvo type="max"/>
        <color rgb="FF92D050"/>
        <color rgb="FFFF0000"/>
      </colorScale>
    </cfRule>
  </conditionalFormatting>
  <conditionalFormatting sqref="F69:G69">
    <cfRule type="colorScale" priority="20">
      <colorScale>
        <cfvo type="min"/>
        <cfvo type="max"/>
        <color rgb="FF92D050"/>
        <color rgb="FFFF0000"/>
      </colorScale>
    </cfRule>
  </conditionalFormatting>
  <conditionalFormatting sqref="B72:C72">
    <cfRule type="colorScale" priority="19">
      <colorScale>
        <cfvo type="min"/>
        <cfvo type="max"/>
        <color rgb="FF92D050"/>
        <color rgb="FFFF0000"/>
      </colorScale>
    </cfRule>
  </conditionalFormatting>
  <conditionalFormatting sqref="B79:C79">
    <cfRule type="colorScale" priority="18">
      <colorScale>
        <cfvo type="min"/>
        <cfvo type="max"/>
        <color rgb="FF92D050"/>
        <color rgb="FFFF0000"/>
      </colorScale>
    </cfRule>
  </conditionalFormatting>
  <conditionalFormatting sqref="B78:C78">
    <cfRule type="colorScale" priority="17">
      <colorScale>
        <cfvo type="min"/>
        <cfvo type="max"/>
        <color rgb="FF92D050"/>
        <color rgb="FFFF0000"/>
      </colorScale>
    </cfRule>
  </conditionalFormatting>
  <conditionalFormatting sqref="B82:C82">
    <cfRule type="colorScale" priority="16">
      <colorScale>
        <cfvo type="min"/>
        <cfvo type="max"/>
        <color rgb="FF92D050"/>
        <color rgb="FFFF0000"/>
      </colorScale>
    </cfRule>
  </conditionalFormatting>
  <conditionalFormatting sqref="Q70:R78">
    <cfRule type="colorScale" priority="51">
      <colorScale>
        <cfvo type="min"/>
        <cfvo type="max"/>
        <color rgb="FF92D050"/>
        <color rgb="FFFF0000"/>
      </colorScale>
    </cfRule>
  </conditionalFormatting>
  <conditionalFormatting sqref="B8">
    <cfRule type="colorScale" priority="14">
      <colorScale>
        <cfvo type="min"/>
        <cfvo type="max"/>
        <color rgb="FF92D050"/>
        <color rgb="FFFF0000"/>
      </colorScale>
    </cfRule>
  </conditionalFormatting>
  <conditionalFormatting sqref="C8">
    <cfRule type="colorScale" priority="15">
      <colorScale>
        <cfvo type="min"/>
        <cfvo type="max"/>
        <color rgb="FF92D050"/>
        <color rgb="FFFF0000"/>
      </colorScale>
    </cfRule>
  </conditionalFormatting>
  <conditionalFormatting sqref="B4:B7">
    <cfRule type="colorScale" priority="52">
      <colorScale>
        <cfvo type="min"/>
        <cfvo type="max"/>
        <color rgb="FF92D050"/>
        <color rgb="FFFF0000"/>
      </colorScale>
    </cfRule>
  </conditionalFormatting>
  <conditionalFormatting sqref="C4:C7">
    <cfRule type="colorScale" priority="53">
      <colorScale>
        <cfvo type="min"/>
        <cfvo type="max"/>
        <color rgb="FF92D050"/>
        <color rgb="FFFF0000"/>
      </colorScale>
    </cfRule>
  </conditionalFormatting>
  <conditionalFormatting sqref="B27:C27">
    <cfRule type="colorScale" priority="12">
      <colorScale>
        <cfvo type="min"/>
        <cfvo type="max"/>
        <color rgb="FF92D050"/>
        <color rgb="FFFF0000"/>
      </colorScale>
    </cfRule>
  </conditionalFormatting>
  <conditionalFormatting sqref="B26:C26">
    <cfRule type="colorScale" priority="11">
      <colorScale>
        <cfvo type="min"/>
        <cfvo type="max"/>
        <color rgb="FF92D050"/>
        <color rgb="FFFF0000"/>
      </colorScale>
    </cfRule>
  </conditionalFormatting>
  <conditionalFormatting sqref="B25:C25">
    <cfRule type="colorScale" priority="13">
      <colorScale>
        <cfvo type="min"/>
        <cfvo type="max"/>
        <color rgb="FF92D050"/>
        <color rgb="FFFF0000"/>
      </colorScale>
    </cfRule>
  </conditionalFormatting>
  <conditionalFormatting sqref="B28:C28">
    <cfRule type="colorScale" priority="10">
      <colorScale>
        <cfvo type="min"/>
        <cfvo type="max"/>
        <color rgb="FF92D050"/>
        <color rgb="FFFF0000"/>
      </colorScale>
    </cfRule>
  </conditionalFormatting>
  <conditionalFormatting sqref="B30:C30">
    <cfRule type="colorScale" priority="9">
      <colorScale>
        <cfvo type="min"/>
        <cfvo type="max"/>
        <color rgb="FF92D050"/>
        <color rgb="FFFF0000"/>
      </colorScale>
    </cfRule>
  </conditionalFormatting>
  <conditionalFormatting sqref="B29:C29">
    <cfRule type="colorScale" priority="8">
      <colorScale>
        <cfvo type="min"/>
        <cfvo type="max"/>
        <color rgb="FF92D050"/>
        <color rgb="FFFF0000"/>
      </colorScale>
    </cfRule>
  </conditionalFormatting>
  <conditionalFormatting sqref="B31:C31">
    <cfRule type="colorScale" priority="7">
      <colorScale>
        <cfvo type="min"/>
        <cfvo type="max"/>
        <color rgb="FF92D050"/>
        <color rgb="FFFF0000"/>
      </colorScale>
    </cfRule>
  </conditionalFormatting>
  <conditionalFormatting sqref="B19">
    <cfRule type="colorScale" priority="6">
      <colorScale>
        <cfvo type="min"/>
        <cfvo type="max"/>
        <color rgb="FF92D050"/>
        <color rgb="FFFF0000"/>
      </colorScale>
    </cfRule>
  </conditionalFormatting>
  <conditionalFormatting sqref="C19">
    <cfRule type="colorScale" priority="5">
      <colorScale>
        <cfvo type="min"/>
        <cfvo type="max"/>
        <color rgb="FF92D050"/>
        <color rgb="FFFF0000"/>
      </colorScale>
    </cfRule>
  </conditionalFormatting>
  <conditionalFormatting sqref="B40:C40 B42:C49">
    <cfRule type="colorScale" priority="4">
      <colorScale>
        <cfvo type="min"/>
        <cfvo type="max"/>
        <color rgb="FF92D050"/>
        <color rgb="FFFF0000"/>
      </colorScale>
    </cfRule>
  </conditionalFormatting>
  <conditionalFormatting sqref="B34:C34">
    <cfRule type="colorScale" priority="3">
      <colorScale>
        <cfvo type="min"/>
        <cfvo type="max"/>
        <color rgb="FF92D050"/>
        <color rgb="FFFF0000"/>
      </colorScale>
    </cfRule>
  </conditionalFormatting>
  <conditionalFormatting sqref="B33:C33">
    <cfRule type="colorScale" priority="2">
      <colorScale>
        <cfvo type="min"/>
        <cfvo type="max"/>
        <color rgb="FF92D050"/>
        <color rgb="FFFF0000"/>
      </colorScale>
    </cfRule>
  </conditionalFormatting>
  <conditionalFormatting sqref="B32:C32">
    <cfRule type="colorScale" priority="1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Parameters</vt:lpstr>
      <vt:lpstr>Costs details</vt:lpstr>
      <vt:lpstr>Results</vt:lpstr>
      <vt:lpstr>Sensitivity</vt:lpstr>
      <vt:lpstr>figure</vt:lpstr>
      <vt:lpstr>Tornado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Orlando</cp:lastModifiedBy>
  <cp:lastPrinted>2018-03-13T14:11:37Z</cp:lastPrinted>
  <dcterms:created xsi:type="dcterms:W3CDTF">2017-11-02T13:05:43Z</dcterms:created>
  <dcterms:modified xsi:type="dcterms:W3CDTF">2018-06-01T16:19:57Z</dcterms:modified>
</cp:coreProperties>
</file>