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4" rupBuild="10210"/>
  <workbookPr filterPrivacy="1" codeName="ThisWorkbook" defaultThemeVersion="124226"/>
  <bookViews>
    <workbookView xWindow="0" yWindow="460" windowWidth="25600" windowHeight="14180" activeTab="3"/>
  </bookViews>
  <sheets>
    <sheet name="s_raw" sheetId="26" r:id="rId1"/>
    <sheet name="b_raw" sheetId="27" r:id="rId2"/>
    <sheet name="Control or Bcas" sheetId="24" r:id="rId3"/>
    <sheet name="raw_data" sheetId="1" r:id="rId4"/>
    <sheet name="★stats" sheetId="25" r:id="rId5"/>
    <sheet name="★tables" sheetId="23" r:id="rId6"/>
    <sheet name="thigmo" sheetId="2" r:id="rId7"/>
    <sheet name="Sheet1" sheetId="28" r:id="rId8"/>
    <sheet name="direct" sheetId="3" r:id="rId9"/>
    <sheet name="circ" sheetId="12" r:id="rId10"/>
    <sheet name="rotating" sheetId="14" r:id="rId11"/>
    <sheet name="focal" sheetId="16" r:id="rId12"/>
    <sheet name="scan" sheetId="18" r:id="rId13"/>
    <sheet name="★graphs" sheetId="20" r:id="rId14"/>
  </sheets>
  <definedNames>
    <definedName name="_xlchart.v1.0" hidden="1">b_raw!$Q$135:$Q$140</definedName>
    <definedName name="_xlchart.v1.1" hidden="1">b_raw!$R$134</definedName>
    <definedName name="_xlchart.v1.2" hidden="1">b_raw!$R$135:$R$140</definedName>
    <definedName name="_xlchart.v1.3" hidden="1">b_raw!$S$134</definedName>
    <definedName name="_xlchart.v1.4" hidden="1">b_raw!$S$135:$S$140</definedName>
  </definedNames>
  <calcPr calcId="162913"/>
</workbook>
</file>

<file path=xl/calcChain.xml><?xml version="1.0" encoding="utf-8"?>
<calcChain xmlns="http://schemas.openxmlformats.org/spreadsheetml/2006/main">
  <c r="AB36" i="1" l="1"/>
  <c r="AE36" i="1"/>
  <c r="AD31" i="1"/>
  <c r="AE31" i="1"/>
  <c r="AD32" i="1"/>
  <c r="AE32" i="1"/>
  <c r="AD33" i="1"/>
  <c r="AD34" i="1" s="1"/>
  <c r="AE33" i="1"/>
  <c r="AE34" i="1"/>
  <c r="AB31" i="1"/>
  <c r="AB32" i="1"/>
  <c r="AB33" i="1"/>
  <c r="AB34" i="1"/>
  <c r="AA34" i="1"/>
  <c r="AA31" i="1"/>
  <c r="AA33" i="1"/>
  <c r="AA32" i="1"/>
  <c r="E116" i="26"/>
  <c r="E117" i="26"/>
  <c r="E118" i="26"/>
  <c r="E119" i="26"/>
  <c r="E120" i="26"/>
  <c r="E121" i="26"/>
  <c r="H122" i="26"/>
  <c r="G122" i="26"/>
  <c r="H117" i="26"/>
  <c r="H118" i="26"/>
  <c r="H119" i="26"/>
  <c r="H120" i="26"/>
  <c r="H121" i="26"/>
  <c r="H116" i="26"/>
  <c r="G117" i="26"/>
  <c r="G118" i="26"/>
  <c r="G119" i="26"/>
  <c r="G120" i="26"/>
  <c r="G121" i="26"/>
  <c r="G116" i="26"/>
  <c r="D122" i="26"/>
  <c r="G162" i="27"/>
  <c r="H162" i="27" s="1"/>
  <c r="G157" i="27"/>
  <c r="H157" i="27"/>
  <c r="G158" i="27"/>
  <c r="H158" i="27"/>
  <c r="G159" i="27"/>
  <c r="H159" i="27"/>
  <c r="G160" i="27"/>
  <c r="H160" i="27"/>
  <c r="G161" i="27"/>
  <c r="H161" i="27"/>
  <c r="H156" i="27"/>
  <c r="G156" i="27"/>
  <c r="F147" i="27"/>
  <c r="G147" i="27" s="1"/>
  <c r="D147" i="27"/>
  <c r="E147" i="27" s="1"/>
  <c r="F146" i="27"/>
  <c r="D146" i="27"/>
  <c r="E146" i="27" s="1"/>
  <c r="M146" i="27"/>
  <c r="L146" i="27"/>
  <c r="L152" i="27" s="1"/>
  <c r="K149" i="27"/>
  <c r="K147" i="27"/>
  <c r="K148" i="27"/>
  <c r="K150" i="27"/>
  <c r="K151" i="27"/>
  <c r="K146" i="27"/>
  <c r="I149" i="27"/>
  <c r="I147" i="27"/>
  <c r="I148" i="27"/>
  <c r="I150" i="27"/>
  <c r="I151" i="27"/>
  <c r="I146" i="27"/>
  <c r="J146" i="27"/>
  <c r="J152" i="27" s="1"/>
  <c r="H152" i="27"/>
  <c r="D157" i="27" l="1"/>
  <c r="E157" i="27" s="1"/>
  <c r="I152" i="27"/>
  <c r="K152" i="27"/>
  <c r="L147" i="27"/>
  <c r="M147" i="27" s="1"/>
  <c r="L148" i="27"/>
  <c r="M148" i="27" s="1"/>
  <c r="J147" i="27"/>
  <c r="H147" i="27"/>
  <c r="H148" i="27"/>
  <c r="H150" i="27"/>
  <c r="H151" i="27"/>
  <c r="D120" i="26"/>
  <c r="D121" i="26"/>
  <c r="D119" i="26"/>
  <c r="D117" i="26"/>
  <c r="D118" i="26"/>
  <c r="D116" i="26"/>
  <c r="J111" i="26"/>
  <c r="L111" i="26"/>
  <c r="L110" i="26"/>
  <c r="J110" i="26"/>
  <c r="H110" i="26"/>
  <c r="F110" i="26"/>
  <c r="D110" i="26"/>
  <c r="L151" i="27"/>
  <c r="M151" i="27" s="1"/>
  <c r="J151" i="27"/>
  <c r="F151" i="27"/>
  <c r="D151" i="27"/>
  <c r="E151" i="27" s="1"/>
  <c r="L150" i="27"/>
  <c r="M150" i="27" s="1"/>
  <c r="L149" i="27"/>
  <c r="M149" i="27" s="1"/>
  <c r="H146" i="27"/>
  <c r="F149" i="27"/>
  <c r="H149" i="27"/>
  <c r="J149" i="27"/>
  <c r="F148" i="27"/>
  <c r="J148" i="27"/>
  <c r="F150" i="27"/>
  <c r="J150" i="27"/>
  <c r="D150" i="27"/>
  <c r="E150" i="27" s="1"/>
  <c r="D148" i="27"/>
  <c r="E148" i="27" s="1"/>
  <c r="D149" i="27"/>
  <c r="E149" i="27" s="1"/>
  <c r="E152" i="27" l="1"/>
  <c r="D160" i="27"/>
  <c r="E160" i="27" s="1"/>
  <c r="G150" i="27"/>
  <c r="D161" i="27"/>
  <c r="E161" i="27" s="1"/>
  <c r="G151" i="27"/>
  <c r="G149" i="27"/>
  <c r="D159" i="27"/>
  <c r="E159" i="27" s="1"/>
  <c r="D158" i="27"/>
  <c r="E158" i="27" s="1"/>
  <c r="G148" i="27"/>
  <c r="G146" i="27"/>
  <c r="D156" i="27"/>
  <c r="F152" i="27"/>
  <c r="D152" i="27"/>
  <c r="M152" i="27"/>
  <c r="F105" i="26"/>
  <c r="H105" i="26"/>
  <c r="J105" i="26"/>
  <c r="L105" i="26"/>
  <c r="F108" i="26"/>
  <c r="H108" i="26"/>
  <c r="J108" i="26"/>
  <c r="L108" i="26"/>
  <c r="F106" i="26"/>
  <c r="H106" i="26"/>
  <c r="J106" i="26"/>
  <c r="L106" i="26"/>
  <c r="F107" i="26"/>
  <c r="H107" i="26"/>
  <c r="J107" i="26"/>
  <c r="L107" i="26"/>
  <c r="F109" i="26"/>
  <c r="H109" i="26"/>
  <c r="J109" i="26"/>
  <c r="L109" i="26"/>
  <c r="D105" i="26"/>
  <c r="D109" i="26"/>
  <c r="D107" i="26"/>
  <c r="D106" i="26"/>
  <c r="D108" i="26"/>
  <c r="D162" i="27" l="1"/>
  <c r="E162" i="27" s="1"/>
  <c r="E156" i="27"/>
  <c r="G152" i="27"/>
  <c r="H111" i="26"/>
  <c r="F111" i="26"/>
  <c r="D111" i="26"/>
  <c r="P55" i="25"/>
  <c r="P56" i="25" s="1"/>
  <c r="O55" i="25"/>
  <c r="O56" i="25" s="1"/>
  <c r="N55" i="25"/>
  <c r="N56" i="25" s="1"/>
  <c r="P54" i="25"/>
  <c r="O54" i="25"/>
  <c r="N54" i="25"/>
  <c r="L55" i="25"/>
  <c r="L56" i="25" s="1"/>
  <c r="N62" i="25" s="1"/>
  <c r="K55" i="25"/>
  <c r="K56" i="25" s="1"/>
  <c r="L54" i="25"/>
  <c r="N61" i="25" s="1"/>
  <c r="K54" i="25"/>
  <c r="G54" i="25" l="1"/>
  <c r="H54" i="25"/>
  <c r="G55" i="25"/>
  <c r="G56" i="25" s="1"/>
  <c r="H55" i="25"/>
  <c r="H56" i="25" s="1"/>
  <c r="F55" i="25"/>
  <c r="F56" i="25" s="1"/>
  <c r="F54" i="25"/>
  <c r="C54" i="25"/>
  <c r="C55" i="25"/>
  <c r="C56" i="25" s="1"/>
  <c r="D55" i="25"/>
  <c r="D56" i="25" s="1"/>
  <c r="D54" i="25"/>
  <c r="Y50" i="1"/>
  <c r="Y51" i="1" s="1"/>
  <c r="L53" i="1"/>
  <c r="M53" i="1"/>
  <c r="M51" i="1" s="1"/>
  <c r="C50" i="1"/>
  <c r="D50" i="1"/>
  <c r="R50" i="1"/>
  <c r="S50" i="1"/>
  <c r="L50" i="1"/>
  <c r="L51" i="1" s="1"/>
  <c r="M50" i="1"/>
  <c r="I50" i="1"/>
  <c r="J50" i="1"/>
  <c r="F50" i="1"/>
  <c r="G50" i="1"/>
  <c r="O50" i="1"/>
  <c r="P50" i="1"/>
  <c r="C53" i="1"/>
  <c r="D53" i="1"/>
  <c r="D51" i="1" s="1"/>
  <c r="R53" i="1"/>
  <c r="S53" i="1"/>
  <c r="I53" i="1"/>
  <c r="J53" i="1"/>
  <c r="F53" i="1"/>
  <c r="G53" i="1"/>
  <c r="O53" i="1"/>
  <c r="P53" i="1"/>
  <c r="V50" i="1"/>
  <c r="V51" i="1" s="1"/>
  <c r="W50" i="1"/>
  <c r="X50" i="1"/>
  <c r="X51" i="1" s="1"/>
  <c r="W51" i="1"/>
  <c r="V53" i="1"/>
  <c r="W53" i="1"/>
  <c r="W52" i="1" s="1"/>
  <c r="X53" i="1"/>
  <c r="Y53" i="1"/>
  <c r="U53" i="1"/>
  <c r="U50" i="1"/>
  <c r="U51" i="1" s="1"/>
  <c r="AC33" i="24"/>
  <c r="AD33" i="24"/>
  <c r="AF33" i="24"/>
  <c r="AG33" i="24"/>
  <c r="AL33" i="24"/>
  <c r="AM33" i="24"/>
  <c r="AI33" i="24"/>
  <c r="AJ33" i="24"/>
  <c r="AO33" i="24"/>
  <c r="AP33" i="24"/>
  <c r="AR33" i="24"/>
  <c r="AS33" i="24"/>
  <c r="C33" i="24"/>
  <c r="D33" i="24"/>
  <c r="F33" i="24"/>
  <c r="G33" i="24"/>
  <c r="L33" i="24"/>
  <c r="M33" i="24"/>
  <c r="I33" i="24"/>
  <c r="J33" i="24"/>
  <c r="O33" i="24"/>
  <c r="P33" i="24"/>
  <c r="R33" i="24"/>
  <c r="S33" i="24"/>
  <c r="AV33" i="24"/>
  <c r="AW33" i="24"/>
  <c r="AX33" i="24"/>
  <c r="AY33" i="24"/>
  <c r="AU33" i="24"/>
  <c r="AU31" i="24"/>
  <c r="AU32" i="24" s="1"/>
  <c r="V33" i="24"/>
  <c r="W33" i="24"/>
  <c r="X33" i="24"/>
  <c r="Y33" i="24"/>
  <c r="U33" i="24"/>
  <c r="AY30" i="24"/>
  <c r="AY31" i="24" s="1"/>
  <c r="AU30" i="24"/>
  <c r="AX30" i="24"/>
  <c r="AX31" i="24" s="1"/>
  <c r="AW30" i="24"/>
  <c r="AW31" i="24" s="1"/>
  <c r="AV30" i="24"/>
  <c r="AV31" i="24" s="1"/>
  <c r="V30" i="24"/>
  <c r="V31" i="24" s="1"/>
  <c r="W30" i="24"/>
  <c r="W31" i="24" s="1"/>
  <c r="X30" i="24"/>
  <c r="X31" i="24" s="1"/>
  <c r="Y30" i="24"/>
  <c r="Y31" i="24" s="1"/>
  <c r="U30" i="24"/>
  <c r="U31" i="24" s="1"/>
  <c r="AC30" i="24"/>
  <c r="AC31" i="24" s="1"/>
  <c r="AD30" i="24"/>
  <c r="AR30" i="24"/>
  <c r="AR31" i="24" s="1"/>
  <c r="AS30" i="24"/>
  <c r="AL30" i="24"/>
  <c r="AL31" i="24" s="1"/>
  <c r="AM30" i="24"/>
  <c r="AI30" i="24"/>
  <c r="AI31" i="24" s="1"/>
  <c r="AJ30" i="24"/>
  <c r="AF30" i="24"/>
  <c r="AG30" i="24"/>
  <c r="AO30" i="24"/>
  <c r="AO31" i="24" s="1"/>
  <c r="AP30" i="24"/>
  <c r="D30" i="24"/>
  <c r="D31" i="24" s="1"/>
  <c r="R30" i="24"/>
  <c r="R31" i="24" s="1"/>
  <c r="S30" i="24"/>
  <c r="S31" i="24" s="1"/>
  <c r="L30" i="24"/>
  <c r="L31" i="24" s="1"/>
  <c r="M30" i="24"/>
  <c r="M31" i="24" s="1"/>
  <c r="I30" i="24"/>
  <c r="I31" i="24" s="1"/>
  <c r="J30" i="24"/>
  <c r="J31" i="24" s="1"/>
  <c r="F30" i="24"/>
  <c r="G30" i="24"/>
  <c r="O30" i="24"/>
  <c r="O31" i="24" s="1"/>
  <c r="P30" i="24"/>
  <c r="P31" i="24" s="1"/>
  <c r="C30" i="24"/>
  <c r="C31" i="24" s="1"/>
  <c r="AQ21" i="24"/>
  <c r="AH21" i="24"/>
  <c r="AK21" i="24"/>
  <c r="AN21" i="24"/>
  <c r="AT21" i="24"/>
  <c r="AE21" i="24"/>
  <c r="AQ20" i="24"/>
  <c r="AH20" i="24"/>
  <c r="AK20" i="24"/>
  <c r="AN20" i="24"/>
  <c r="AT20" i="24"/>
  <c r="AE20" i="24"/>
  <c r="AQ19" i="24"/>
  <c r="AH19" i="24"/>
  <c r="AK19" i="24"/>
  <c r="AN19" i="24"/>
  <c r="AT19" i="24"/>
  <c r="AE19" i="24"/>
  <c r="AQ18" i="24"/>
  <c r="AH18" i="24"/>
  <c r="AK18" i="24"/>
  <c r="AN18" i="24"/>
  <c r="AT18" i="24"/>
  <c r="AE18" i="24"/>
  <c r="AQ17" i="24"/>
  <c r="AH17" i="24"/>
  <c r="AK17" i="24"/>
  <c r="AN17" i="24"/>
  <c r="AT17" i="24"/>
  <c r="AE17" i="24"/>
  <c r="AQ16" i="24"/>
  <c r="AH16" i="24"/>
  <c r="AK16" i="24"/>
  <c r="AN16" i="24"/>
  <c r="AT16" i="24"/>
  <c r="AE16" i="24"/>
  <c r="AQ15" i="24"/>
  <c r="AH15" i="24"/>
  <c r="AK15" i="24"/>
  <c r="AN15" i="24"/>
  <c r="AT15" i="24"/>
  <c r="AE15" i="24"/>
  <c r="AQ14" i="24"/>
  <c r="AH14" i="24"/>
  <c r="AK14" i="24"/>
  <c r="AN14" i="24"/>
  <c r="AT14" i="24"/>
  <c r="AE14" i="24"/>
  <c r="AQ13" i="24"/>
  <c r="AH13" i="24"/>
  <c r="AK13" i="24"/>
  <c r="AN13" i="24"/>
  <c r="AT13" i="24"/>
  <c r="AE13" i="24"/>
  <c r="AQ12" i="24"/>
  <c r="AH12" i="24"/>
  <c r="AK12" i="24"/>
  <c r="AN12" i="24"/>
  <c r="AT12" i="24"/>
  <c r="AE12" i="24"/>
  <c r="AQ11" i="24"/>
  <c r="AH11" i="24"/>
  <c r="AK11" i="24"/>
  <c r="AN11" i="24"/>
  <c r="AT11" i="24"/>
  <c r="AE11" i="24"/>
  <c r="AQ10" i="24"/>
  <c r="AH10" i="24"/>
  <c r="AK10" i="24"/>
  <c r="AN10" i="24"/>
  <c r="AT10" i="24"/>
  <c r="AE10" i="24"/>
  <c r="AQ9" i="24"/>
  <c r="AH9" i="24"/>
  <c r="AK9" i="24"/>
  <c r="AN9" i="24"/>
  <c r="AT9" i="24"/>
  <c r="AE9" i="24"/>
  <c r="AQ8" i="24"/>
  <c r="AH8" i="24"/>
  <c r="AK8" i="24"/>
  <c r="AN8" i="24"/>
  <c r="AT8" i="24"/>
  <c r="AE8" i="24"/>
  <c r="AQ7" i="24"/>
  <c r="AH7" i="24"/>
  <c r="AK7" i="24"/>
  <c r="AN7" i="24"/>
  <c r="AT7" i="24"/>
  <c r="AE7" i="24"/>
  <c r="AQ6" i="24"/>
  <c r="AH6" i="24"/>
  <c r="AK6" i="24"/>
  <c r="AN6" i="24"/>
  <c r="AT6" i="24"/>
  <c r="AE6" i="24"/>
  <c r="AQ5" i="24"/>
  <c r="AH5" i="24"/>
  <c r="AK5" i="24"/>
  <c r="AN5" i="24"/>
  <c r="AT5" i="24"/>
  <c r="AE5" i="24"/>
  <c r="AQ4" i="24"/>
  <c r="AH4" i="24"/>
  <c r="AK4" i="24"/>
  <c r="AN4" i="24"/>
  <c r="AT4" i="24"/>
  <c r="AE4" i="24"/>
  <c r="AQ3" i="24"/>
  <c r="AH3" i="24"/>
  <c r="AK3" i="24"/>
  <c r="AN3" i="24"/>
  <c r="AT3" i="24"/>
  <c r="AE3" i="24"/>
  <c r="AQ2" i="24"/>
  <c r="AH2" i="24"/>
  <c r="AK2" i="24"/>
  <c r="AN2" i="24"/>
  <c r="AN30" i="24" s="1"/>
  <c r="AT2" i="24"/>
  <c r="AE2" i="24"/>
  <c r="Q29" i="24"/>
  <c r="H29" i="24"/>
  <c r="K29" i="24"/>
  <c r="N29" i="24"/>
  <c r="T29" i="24"/>
  <c r="E29" i="24"/>
  <c r="Q28" i="24"/>
  <c r="H28" i="24"/>
  <c r="K28" i="24"/>
  <c r="N28" i="24"/>
  <c r="T28" i="24"/>
  <c r="E28" i="24"/>
  <c r="Q27" i="24"/>
  <c r="H27" i="24"/>
  <c r="K27" i="24"/>
  <c r="N27" i="24"/>
  <c r="T27" i="24"/>
  <c r="E27" i="24"/>
  <c r="Q26" i="24"/>
  <c r="H26" i="24"/>
  <c r="K26" i="24"/>
  <c r="N26" i="24"/>
  <c r="T26" i="24"/>
  <c r="E26" i="24"/>
  <c r="Q25" i="24"/>
  <c r="H25" i="24"/>
  <c r="K25" i="24"/>
  <c r="N25" i="24"/>
  <c r="T25" i="24"/>
  <c r="E25" i="24"/>
  <c r="Q24" i="24"/>
  <c r="H24" i="24"/>
  <c r="K24" i="24"/>
  <c r="N24" i="24"/>
  <c r="T24" i="24"/>
  <c r="E24" i="24"/>
  <c r="Q23" i="24"/>
  <c r="H23" i="24"/>
  <c r="K23" i="24"/>
  <c r="N23" i="24"/>
  <c r="T23" i="24"/>
  <c r="E23" i="24"/>
  <c r="Q22" i="24"/>
  <c r="H22" i="24"/>
  <c r="K22" i="24"/>
  <c r="N22" i="24"/>
  <c r="T22" i="24"/>
  <c r="E22" i="24"/>
  <c r="Q21" i="24"/>
  <c r="H21" i="24"/>
  <c r="K21" i="24"/>
  <c r="N21" i="24"/>
  <c r="T21" i="24"/>
  <c r="E21" i="24"/>
  <c r="Q20" i="24"/>
  <c r="H20" i="24"/>
  <c r="K20" i="24"/>
  <c r="N20" i="24"/>
  <c r="T20" i="24"/>
  <c r="E20" i="24"/>
  <c r="Q19" i="24"/>
  <c r="H19" i="24"/>
  <c r="K19" i="24"/>
  <c r="N19" i="24"/>
  <c r="T19" i="24"/>
  <c r="E19" i="24"/>
  <c r="Q18" i="24"/>
  <c r="H18" i="24"/>
  <c r="K18" i="24"/>
  <c r="N18" i="24"/>
  <c r="T18" i="24"/>
  <c r="E18" i="24"/>
  <c r="Q17" i="24"/>
  <c r="H17" i="24"/>
  <c r="K17" i="24"/>
  <c r="N17" i="24"/>
  <c r="T17" i="24"/>
  <c r="E17" i="24"/>
  <c r="Q16" i="24"/>
  <c r="H16" i="24"/>
  <c r="K16" i="24"/>
  <c r="N16" i="24"/>
  <c r="T16" i="24"/>
  <c r="E16" i="24"/>
  <c r="Q15" i="24"/>
  <c r="H15" i="24"/>
  <c r="K15" i="24"/>
  <c r="N15" i="24"/>
  <c r="T15" i="24"/>
  <c r="E15" i="24"/>
  <c r="Q14" i="24"/>
  <c r="H14" i="24"/>
  <c r="K14" i="24"/>
  <c r="N14" i="24"/>
  <c r="T14" i="24"/>
  <c r="E14" i="24"/>
  <c r="Q13" i="24"/>
  <c r="H13" i="24"/>
  <c r="K13" i="24"/>
  <c r="N13" i="24"/>
  <c r="T13" i="24"/>
  <c r="E13" i="24"/>
  <c r="Q12" i="24"/>
  <c r="H12" i="24"/>
  <c r="K12" i="24"/>
  <c r="N12" i="24"/>
  <c r="T12" i="24"/>
  <c r="E12" i="24"/>
  <c r="Q11" i="24"/>
  <c r="H11" i="24"/>
  <c r="K11" i="24"/>
  <c r="N11" i="24"/>
  <c r="T11" i="24"/>
  <c r="E11" i="24"/>
  <c r="Q10" i="24"/>
  <c r="H10" i="24"/>
  <c r="K10" i="24"/>
  <c r="N10" i="24"/>
  <c r="T10" i="24"/>
  <c r="E10" i="24"/>
  <c r="Q9" i="24"/>
  <c r="H9" i="24"/>
  <c r="K9" i="24"/>
  <c r="N9" i="24"/>
  <c r="T9" i="24"/>
  <c r="E9" i="24"/>
  <c r="Q8" i="24"/>
  <c r="H8" i="24"/>
  <c r="K8" i="24"/>
  <c r="N8" i="24"/>
  <c r="T8" i="24"/>
  <c r="E8" i="24"/>
  <c r="Q7" i="24"/>
  <c r="H7" i="24"/>
  <c r="K7" i="24"/>
  <c r="N7" i="24"/>
  <c r="T7" i="24"/>
  <c r="E7" i="24"/>
  <c r="Q6" i="24"/>
  <c r="H6" i="24"/>
  <c r="K6" i="24"/>
  <c r="N6" i="24"/>
  <c r="T6" i="24"/>
  <c r="E6" i="24"/>
  <c r="Q5" i="24"/>
  <c r="H5" i="24"/>
  <c r="K5" i="24"/>
  <c r="N5" i="24"/>
  <c r="T5" i="24"/>
  <c r="E5" i="24"/>
  <c r="Q4" i="24"/>
  <c r="H4" i="24"/>
  <c r="K4" i="24"/>
  <c r="N4" i="24"/>
  <c r="T4" i="24"/>
  <c r="E4" i="24"/>
  <c r="Q3" i="24"/>
  <c r="H3" i="24"/>
  <c r="K3" i="24"/>
  <c r="N3" i="24"/>
  <c r="T3" i="24"/>
  <c r="E3" i="24"/>
  <c r="Q2" i="24"/>
  <c r="H2" i="24"/>
  <c r="K2" i="24"/>
  <c r="N2" i="24"/>
  <c r="N30" i="24" s="1"/>
  <c r="T2" i="24"/>
  <c r="E2" i="24"/>
  <c r="N11" i="1"/>
  <c r="N12" i="1"/>
  <c r="N13" i="1"/>
  <c r="N14" i="1"/>
  <c r="N15" i="1"/>
  <c r="N16" i="1"/>
  <c r="N17" i="1"/>
  <c r="N18" i="1"/>
  <c r="N19" i="1"/>
  <c r="N20" i="1"/>
  <c r="N3" i="1"/>
  <c r="N21" i="1"/>
  <c r="N22" i="1"/>
  <c r="N23" i="1"/>
  <c r="N24" i="1"/>
  <c r="N25" i="1"/>
  <c r="N26" i="1"/>
  <c r="N27" i="1"/>
  <c r="N28" i="1"/>
  <c r="N29" i="1"/>
  <c r="N4" i="1"/>
  <c r="N5" i="1"/>
  <c r="N6" i="1"/>
  <c r="N7" i="1"/>
  <c r="N8" i="1"/>
  <c r="N9" i="1"/>
  <c r="N10" i="1"/>
  <c r="N30" i="1"/>
  <c r="N39" i="1"/>
  <c r="N40" i="1"/>
  <c r="N41" i="1"/>
  <c r="N42" i="1"/>
  <c r="N43" i="1"/>
  <c r="N44" i="1"/>
  <c r="N45" i="1"/>
  <c r="N46" i="1"/>
  <c r="N47" i="1"/>
  <c r="N48" i="1"/>
  <c r="N31" i="1"/>
  <c r="N49" i="1"/>
  <c r="N32" i="1"/>
  <c r="N33" i="1"/>
  <c r="N34" i="1"/>
  <c r="N35" i="1"/>
  <c r="N36" i="1"/>
  <c r="N37" i="1"/>
  <c r="N38" i="1"/>
  <c r="N2" i="1"/>
  <c r="N53" i="1" s="1"/>
  <c r="K11" i="1"/>
  <c r="K12" i="1"/>
  <c r="K13" i="1"/>
  <c r="K14" i="1"/>
  <c r="K15" i="1"/>
  <c r="K16" i="1"/>
  <c r="K17" i="1"/>
  <c r="K18" i="1"/>
  <c r="K19" i="1"/>
  <c r="K20" i="1"/>
  <c r="K3" i="1"/>
  <c r="K21" i="1"/>
  <c r="K22" i="1"/>
  <c r="K23" i="1"/>
  <c r="K24" i="1"/>
  <c r="K25" i="1"/>
  <c r="K26" i="1"/>
  <c r="K27" i="1"/>
  <c r="K28" i="1"/>
  <c r="K29" i="1"/>
  <c r="K4" i="1"/>
  <c r="K5" i="1"/>
  <c r="K6" i="1"/>
  <c r="K7" i="1"/>
  <c r="K8" i="1"/>
  <c r="K9" i="1"/>
  <c r="K10" i="1"/>
  <c r="K30" i="1"/>
  <c r="K39" i="1"/>
  <c r="K40" i="1"/>
  <c r="K41" i="1"/>
  <c r="K42" i="1"/>
  <c r="K43" i="1"/>
  <c r="K44" i="1"/>
  <c r="K45" i="1"/>
  <c r="K46" i="1"/>
  <c r="K47" i="1"/>
  <c r="K48" i="1"/>
  <c r="K31" i="1"/>
  <c r="K49" i="1"/>
  <c r="K32" i="1"/>
  <c r="K33" i="1"/>
  <c r="K34" i="1"/>
  <c r="K35" i="1"/>
  <c r="K36" i="1"/>
  <c r="K37" i="1"/>
  <c r="K38" i="1"/>
  <c r="K2" i="1"/>
  <c r="H11" i="1"/>
  <c r="H12" i="1"/>
  <c r="H13" i="1"/>
  <c r="H14" i="1"/>
  <c r="H15" i="1"/>
  <c r="H16" i="1"/>
  <c r="H17" i="1"/>
  <c r="H18" i="1"/>
  <c r="H19" i="1"/>
  <c r="H20" i="1"/>
  <c r="H3" i="1"/>
  <c r="H21" i="1"/>
  <c r="H22" i="1"/>
  <c r="H23" i="1"/>
  <c r="H24" i="1"/>
  <c r="H25" i="1"/>
  <c r="H26" i="1"/>
  <c r="H27" i="1"/>
  <c r="H28" i="1"/>
  <c r="H29" i="1"/>
  <c r="H4" i="1"/>
  <c r="H5" i="1"/>
  <c r="H6" i="1"/>
  <c r="H7" i="1"/>
  <c r="H8" i="1"/>
  <c r="H9" i="1"/>
  <c r="H10" i="1"/>
  <c r="H30" i="1"/>
  <c r="H39" i="1"/>
  <c r="H40" i="1"/>
  <c r="H41" i="1"/>
  <c r="H42" i="1"/>
  <c r="H43" i="1"/>
  <c r="H44" i="1"/>
  <c r="H45" i="1"/>
  <c r="H46" i="1"/>
  <c r="H47" i="1"/>
  <c r="H48" i="1"/>
  <c r="H31" i="1"/>
  <c r="H49" i="1"/>
  <c r="H32" i="1"/>
  <c r="H33" i="1"/>
  <c r="H34" i="1"/>
  <c r="H35" i="1"/>
  <c r="H36" i="1"/>
  <c r="H37" i="1"/>
  <c r="H38" i="1"/>
  <c r="H2" i="1"/>
  <c r="Q11" i="1"/>
  <c r="Q12" i="1"/>
  <c r="Q13" i="1"/>
  <c r="Q14" i="1"/>
  <c r="Q15" i="1"/>
  <c r="Q16" i="1"/>
  <c r="Q17" i="1"/>
  <c r="Q18" i="1"/>
  <c r="Q19" i="1"/>
  <c r="Q20" i="1"/>
  <c r="Q3" i="1"/>
  <c r="Q21" i="1"/>
  <c r="Q22" i="1"/>
  <c r="Q23" i="1"/>
  <c r="Q24" i="1"/>
  <c r="Q25" i="1"/>
  <c r="Q26" i="1"/>
  <c r="Q27" i="1"/>
  <c r="Q28" i="1"/>
  <c r="Q29" i="1"/>
  <c r="Q4" i="1"/>
  <c r="Q5" i="1"/>
  <c r="Q6" i="1"/>
  <c r="Q7" i="1"/>
  <c r="Q8" i="1"/>
  <c r="Q9" i="1"/>
  <c r="Q10" i="1"/>
  <c r="Q30" i="1"/>
  <c r="Q39" i="1"/>
  <c r="Q40" i="1"/>
  <c r="Q41" i="1"/>
  <c r="Q42" i="1"/>
  <c r="Q43" i="1"/>
  <c r="Q44" i="1"/>
  <c r="Q45" i="1"/>
  <c r="Q46" i="1"/>
  <c r="Q47" i="1"/>
  <c r="Q48" i="1"/>
  <c r="Q31" i="1"/>
  <c r="Q49" i="1"/>
  <c r="Q32" i="1"/>
  <c r="Q33" i="1"/>
  <c r="Q34" i="1"/>
  <c r="Q35" i="1"/>
  <c r="Q36" i="1"/>
  <c r="Q37" i="1"/>
  <c r="Q38" i="1"/>
  <c r="Q2" i="1"/>
  <c r="V42" i="2"/>
  <c r="W44" i="3"/>
  <c r="V44" i="3"/>
  <c r="W42" i="3"/>
  <c r="V42" i="3"/>
  <c r="W41" i="3"/>
  <c r="V41" i="3"/>
  <c r="M44" i="3"/>
  <c r="L44" i="3"/>
  <c r="M42" i="3"/>
  <c r="M43" i="3" s="1"/>
  <c r="L42" i="3"/>
  <c r="L43" i="3" s="1"/>
  <c r="M41" i="3"/>
  <c r="L41" i="3"/>
  <c r="C44" i="3"/>
  <c r="B44" i="3"/>
  <c r="C42" i="3"/>
  <c r="B42" i="3"/>
  <c r="C41" i="3"/>
  <c r="B41" i="3"/>
  <c r="C42" i="2"/>
  <c r="C43" i="2"/>
  <c r="C45" i="2"/>
  <c r="B45" i="2"/>
  <c r="B43" i="2"/>
  <c r="B42" i="2"/>
  <c r="M42" i="2"/>
  <c r="M43" i="2"/>
  <c r="M45" i="2"/>
  <c r="L42" i="2"/>
  <c r="L45" i="2"/>
  <c r="L43" i="2"/>
  <c r="W42" i="2"/>
  <c r="W43" i="2"/>
  <c r="W45" i="2"/>
  <c r="V45" i="2"/>
  <c r="V44" i="2" s="1"/>
  <c r="V43" i="2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AG31" i="24" l="1"/>
  <c r="W44" i="2"/>
  <c r="B43" i="3"/>
  <c r="V43" i="3"/>
  <c r="K30" i="24"/>
  <c r="G31" i="24"/>
  <c r="AF31" i="24"/>
  <c r="I51" i="1"/>
  <c r="B44" i="2"/>
  <c r="C43" i="3"/>
  <c r="W43" i="3"/>
  <c r="H50" i="1"/>
  <c r="K53" i="1"/>
  <c r="E30" i="24"/>
  <c r="H30" i="24"/>
  <c r="AE30" i="24"/>
  <c r="AH30" i="24"/>
  <c r="F31" i="24"/>
  <c r="AJ31" i="24"/>
  <c r="U32" i="24"/>
  <c r="X52" i="1"/>
  <c r="G51" i="1"/>
  <c r="Q30" i="24"/>
  <c r="AT30" i="24"/>
  <c r="AQ33" i="24"/>
  <c r="T30" i="24"/>
  <c r="AP31" i="24"/>
  <c r="AS31" i="24"/>
  <c r="AM31" i="24"/>
  <c r="AD31" i="24"/>
  <c r="X32" i="24"/>
  <c r="AV32" i="24"/>
  <c r="Q33" i="24"/>
  <c r="E33" i="24"/>
  <c r="E31" i="24" s="1"/>
  <c r="AN33" i="24"/>
  <c r="AN31" i="24" s="1"/>
  <c r="AK30" i="24"/>
  <c r="W32" i="24"/>
  <c r="AY32" i="24"/>
  <c r="T33" i="24"/>
  <c r="T31" i="24" s="1"/>
  <c r="H33" i="24"/>
  <c r="H31" i="24" s="1"/>
  <c r="AK33" i="24"/>
  <c r="V32" i="24"/>
  <c r="AX32" i="24"/>
  <c r="N33" i="24"/>
  <c r="N31" i="24" s="1"/>
  <c r="AE33" i="24"/>
  <c r="Y32" i="24"/>
  <c r="AW32" i="24"/>
  <c r="K33" i="24"/>
  <c r="K31" i="24" s="1"/>
  <c r="AT33" i="24"/>
  <c r="AH33" i="24"/>
  <c r="AH31" i="24" s="1"/>
  <c r="Q53" i="1"/>
  <c r="N50" i="1"/>
  <c r="N51" i="1" s="1"/>
  <c r="U52" i="1"/>
  <c r="V52" i="1"/>
  <c r="O51" i="1"/>
  <c r="R51" i="1"/>
  <c r="T50" i="1"/>
  <c r="E53" i="1"/>
  <c r="H53" i="1"/>
  <c r="K50" i="1"/>
  <c r="K51" i="1" s="1"/>
  <c r="E50" i="1"/>
  <c r="T53" i="1"/>
  <c r="T51" i="1" s="1"/>
  <c r="J51" i="1"/>
  <c r="Q50" i="1"/>
  <c r="Q51" i="1" s="1"/>
  <c r="Y52" i="1"/>
  <c r="P51" i="1"/>
  <c r="F51" i="1"/>
  <c r="S51" i="1"/>
  <c r="C51" i="1"/>
  <c r="AQ30" i="24"/>
  <c r="AQ31" i="24" s="1"/>
  <c r="L44" i="2"/>
  <c r="C44" i="2"/>
  <c r="M44" i="2"/>
  <c r="E122" i="26" l="1"/>
  <c r="H51" i="1"/>
  <c r="AT31" i="24"/>
  <c r="AE31" i="24"/>
  <c r="Q31" i="24"/>
  <c r="AK31" i="24"/>
  <c r="E51" i="1"/>
</calcChain>
</file>

<file path=xl/sharedStrings.xml><?xml version="1.0" encoding="utf-8"?>
<sst xmlns="http://schemas.openxmlformats.org/spreadsheetml/2006/main" count="2144" uniqueCount="325">
  <si>
    <t>id</t>
    <phoneticPr fontId="1"/>
  </si>
  <si>
    <t>thig_1</t>
    <phoneticPr fontId="1"/>
  </si>
  <si>
    <t>thig_2</t>
    <phoneticPr fontId="1"/>
  </si>
  <si>
    <t>thig_all</t>
    <phoneticPr fontId="1"/>
  </si>
  <si>
    <t>dir_1</t>
    <phoneticPr fontId="1"/>
  </si>
  <si>
    <t>dir_2</t>
    <phoneticPr fontId="1"/>
  </si>
  <si>
    <t>dir_all</t>
    <phoneticPr fontId="1"/>
  </si>
  <si>
    <t>day5</t>
  </si>
  <si>
    <t>date</t>
    <phoneticPr fontId="1"/>
  </si>
  <si>
    <t>day1</t>
    <phoneticPr fontId="1"/>
  </si>
  <si>
    <t>day2</t>
    <phoneticPr fontId="1"/>
  </si>
  <si>
    <t>day3</t>
  </si>
  <si>
    <t>day4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</si>
  <si>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</si>
  <si>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</si>
  <si>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</si>
  <si>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</si>
  <si>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</si>
  <si>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</si>
  <si>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</si>
  <si>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</si>
  <si>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</si>
  <si>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</si>
  <si>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</si>
  <si>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</si>
  <si>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</si>
  <si>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</si>
  <si>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</si>
  <si>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</si>
  <si>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</si>
  <si>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</si>
  <si>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</si>
  <si>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</si>
  <si>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</si>
  <si>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</si>
  <si>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</si>
  <si>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</si>
  <si>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</si>
  <si>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</si>
  <si>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b25</t>
  </si>
  <si>
    <t>b26</t>
  </si>
  <si>
    <t>b27</t>
  </si>
  <si>
    <t>b28</t>
  </si>
  <si>
    <t>独立した２群の母平均の差の検定と推定</t>
  </si>
  <si>
    <t>検定と推定の結果</t>
  </si>
  <si>
    <t>データ数</t>
  </si>
  <si>
    <t>平均値</t>
  </si>
  <si>
    <t>不偏分散</t>
  </si>
  <si>
    <t>標準偏差</t>
  </si>
  <si>
    <t>標準誤差</t>
  </si>
  <si>
    <t>スチューデントのｔ検定(等分散を仮定したとき)</t>
  </si>
  <si>
    <t>平均値の差</t>
  </si>
  <si>
    <t>自由度</t>
  </si>
  <si>
    <t>ｔ値</t>
  </si>
  <si>
    <t>Ｐ値(両側確率)</t>
  </si>
  <si>
    <t>ｔ(0.975)</t>
  </si>
  <si>
    <t>母平均の差の区間推定(等分散を仮定したとき)</t>
  </si>
  <si>
    <t>信頼度</t>
  </si>
  <si>
    <t>下限値</t>
  </si>
  <si>
    <t>上限値</t>
  </si>
  <si>
    <t>ウェルチのｔ検定(等分散を仮定しないとき)</t>
  </si>
  <si>
    <t>母平均の差の区間推定(等分散を仮定しないとき)</t>
  </si>
  <si>
    <t>e_thig(-)</t>
  </si>
  <si>
    <t>e_thig(-)</t>
    <phoneticPr fontId="1"/>
  </si>
  <si>
    <t>e_thig(+)</t>
  </si>
  <si>
    <t>e_thig(+)</t>
    <phoneticPr fontId="1"/>
  </si>
  <si>
    <t>e_thig(-),e_thig(+)</t>
  </si>
  <si>
    <t>d1_thig(+)</t>
  </si>
  <si>
    <t>d1_thig(+)</t>
    <phoneticPr fontId="1"/>
  </si>
  <si>
    <t>d1_thig(-)</t>
  </si>
  <si>
    <t>d1_thig(-)</t>
    <phoneticPr fontId="1"/>
  </si>
  <si>
    <t>d1_thig(+),d1_thig(-)</t>
  </si>
  <si>
    <t>d2_thig(+)</t>
  </si>
  <si>
    <t>d2_thig(+)</t>
    <phoneticPr fontId="1"/>
  </si>
  <si>
    <t>d2_thig(-)</t>
  </si>
  <si>
    <t>d2_thig(-)</t>
    <phoneticPr fontId="1"/>
  </si>
  <si>
    <t>d2_thig(+),d2_thig(-)</t>
  </si>
  <si>
    <t>mean</t>
  </si>
  <si>
    <t>mean</t>
    <phoneticPr fontId="1"/>
  </si>
  <si>
    <t>sd</t>
  </si>
  <si>
    <t>sd</t>
    <phoneticPr fontId="1"/>
  </si>
  <si>
    <t>se</t>
  </si>
  <si>
    <t>se</t>
    <phoneticPr fontId="1"/>
  </si>
  <si>
    <t>num</t>
  </si>
  <si>
    <t>num</t>
    <phoneticPr fontId="1"/>
  </si>
  <si>
    <t>e dir(-)</t>
  </si>
  <si>
    <t>e dir(-)</t>
    <phoneticPr fontId="1"/>
  </si>
  <si>
    <t>e dir(+)</t>
  </si>
  <si>
    <t>e dir(+)</t>
    <phoneticPr fontId="1"/>
  </si>
  <si>
    <t>e dir(-),e dir(+)</t>
  </si>
  <si>
    <t>d1_dir(-)</t>
  </si>
  <si>
    <t>d1_dir(-)</t>
    <phoneticPr fontId="1"/>
  </si>
  <si>
    <t>d1_dir(+)</t>
  </si>
  <si>
    <t>d1_dir(+)</t>
    <phoneticPr fontId="1"/>
  </si>
  <si>
    <t>d1_dir(-),d1_dir(+)</t>
  </si>
  <si>
    <t>d2_dir(-)</t>
  </si>
  <si>
    <t>d2_dir(-)</t>
    <phoneticPr fontId="1"/>
  </si>
  <si>
    <t>d2_dir(+)</t>
  </si>
  <si>
    <t>d2_dir(+)</t>
    <phoneticPr fontId="1"/>
  </si>
  <si>
    <t>d2_dir(-),d2_dir(+)</t>
  </si>
  <si>
    <t>scan_1</t>
    <phoneticPr fontId="1"/>
  </si>
  <si>
    <t>scan_2</t>
    <phoneticPr fontId="1"/>
  </si>
  <si>
    <t>scan_all</t>
    <phoneticPr fontId="1"/>
  </si>
  <si>
    <t>focal_1</t>
    <phoneticPr fontId="1"/>
  </si>
  <si>
    <t>focal_2</t>
    <phoneticPr fontId="1"/>
  </si>
  <si>
    <t>focal_all</t>
    <phoneticPr fontId="1"/>
  </si>
  <si>
    <t>rotor_1</t>
    <phoneticPr fontId="1"/>
  </si>
  <si>
    <t>rotor_2</t>
    <phoneticPr fontId="1"/>
  </si>
  <si>
    <t>rotor_all</t>
    <phoneticPr fontId="1"/>
  </si>
  <si>
    <t>circ_1</t>
    <phoneticPr fontId="1"/>
  </si>
  <si>
    <t>circ_2</t>
    <phoneticPr fontId="1"/>
  </si>
  <si>
    <t>circ_all</t>
    <phoneticPr fontId="1"/>
  </si>
  <si>
    <t>e_circ(-)</t>
  </si>
  <si>
    <t>e_circ(-)</t>
    <phoneticPr fontId="1"/>
  </si>
  <si>
    <t>e_circ(+)</t>
  </si>
  <si>
    <t>e_circ(+)</t>
    <phoneticPr fontId="1"/>
  </si>
  <si>
    <t>e_circ(-),e_circ(+)</t>
  </si>
  <si>
    <t>e rotor(-)</t>
  </si>
  <si>
    <t>e rotor(-)</t>
    <phoneticPr fontId="1"/>
  </si>
  <si>
    <t>e rotor(+)</t>
  </si>
  <si>
    <t>e rotor(+)</t>
    <phoneticPr fontId="1"/>
  </si>
  <si>
    <t>e rotor(-),e rotor(+)</t>
  </si>
  <si>
    <t>e focal(-)</t>
  </si>
  <si>
    <t>e focal(-)</t>
    <phoneticPr fontId="1"/>
  </si>
  <si>
    <t>e focal (+)</t>
  </si>
  <si>
    <t>e focal (+)</t>
    <phoneticPr fontId="1"/>
  </si>
  <si>
    <t>e focal(-),e focal (+)</t>
  </si>
  <si>
    <t>b01</t>
    <phoneticPr fontId="1"/>
  </si>
  <si>
    <t>b02</t>
    <phoneticPr fontId="1"/>
  </si>
  <si>
    <t>b03</t>
    <phoneticPr fontId="1"/>
  </si>
  <si>
    <t>b04</t>
    <phoneticPr fontId="1"/>
  </si>
  <si>
    <t>b05</t>
  </si>
  <si>
    <t>b06</t>
  </si>
  <si>
    <t>b07</t>
  </si>
  <si>
    <t>b08</t>
  </si>
  <si>
    <t>b09</t>
  </si>
  <si>
    <t>s01</t>
    <phoneticPr fontId="1"/>
  </si>
  <si>
    <t>s02</t>
    <phoneticPr fontId="1"/>
  </si>
  <si>
    <t>s03</t>
    <phoneticPr fontId="1"/>
  </si>
  <si>
    <t>s04</t>
    <phoneticPr fontId="1"/>
  </si>
  <si>
    <t>s05</t>
  </si>
  <si>
    <t>s06</t>
  </si>
  <si>
    <t>s07</t>
  </si>
  <si>
    <t>s08</t>
  </si>
  <si>
    <t>s09</t>
  </si>
  <si>
    <t>e scan(-)</t>
  </si>
  <si>
    <t>e scan(-)</t>
    <phoneticPr fontId="1"/>
  </si>
  <si>
    <t>e scan(+)</t>
  </si>
  <si>
    <t>e scan(+)</t>
    <phoneticPr fontId="1"/>
  </si>
  <si>
    <t>e scan(-),e scan(+)</t>
  </si>
  <si>
    <t>e_dir(-)</t>
    <phoneticPr fontId="1"/>
  </si>
  <si>
    <t>e_dir(+)</t>
    <phoneticPr fontId="1"/>
  </si>
  <si>
    <t>母分散の比の検定と推定</t>
  </si>
  <si>
    <t>Ｆ検定</t>
  </si>
  <si>
    <t>分散比</t>
  </si>
  <si>
    <t>分子自由度</t>
  </si>
  <si>
    <t>分母自由度</t>
  </si>
  <si>
    <t>Ｆ値</t>
  </si>
  <si>
    <t>Ｆ(0.025)</t>
  </si>
  <si>
    <t>Ｆ(0.975)</t>
  </si>
  <si>
    <t>母分散の比の区間推定</t>
  </si>
  <si>
    <t>F検定の帰無仮説は「2群は等分散である」</t>
    <rPh sb="1" eb="3">
      <t>ケンテイ</t>
    </rPh>
    <rPh sb="4" eb="8">
      <t>キムカセツ</t>
    </rPh>
    <rPh sb="11" eb="12">
      <t>ム</t>
    </rPh>
    <rPh sb="13" eb="16">
      <t>トウブンサン</t>
    </rPh>
    <phoneticPr fontId="1"/>
  </si>
  <si>
    <t>仮説が棄却されないので、等分散が仮定できる</t>
    <rPh sb="0" eb="2">
      <t>カセツ</t>
    </rPh>
    <rPh sb="3" eb="5">
      <t>キキャク</t>
    </rPh>
    <rPh sb="12" eb="15">
      <t>トウブンサン</t>
    </rPh>
    <rPh sb="16" eb="18">
      <t>カテイ</t>
    </rPh>
    <phoneticPr fontId="1"/>
  </si>
  <si>
    <t>p=0.003</t>
    <phoneticPr fontId="1"/>
  </si>
  <si>
    <t>p=0.010</t>
    <phoneticPr fontId="1"/>
  </si>
  <si>
    <t>p=0.040</t>
    <phoneticPr fontId="1"/>
  </si>
  <si>
    <t>p=0.002</t>
    <phoneticPr fontId="1"/>
  </si>
  <si>
    <t>p=0.0002</t>
    <phoneticPr fontId="1"/>
  </si>
  <si>
    <t>p=0.0025</t>
    <phoneticPr fontId="1"/>
  </si>
  <si>
    <t>sum or ave</t>
    <phoneticPr fontId="1"/>
  </si>
  <si>
    <t>BCAS</t>
  </si>
  <si>
    <t>thigmotaxis</t>
    <phoneticPr fontId="1"/>
  </si>
  <si>
    <t>rotating</t>
    <phoneticPr fontId="1"/>
  </si>
  <si>
    <t>focal search</t>
    <phoneticPr fontId="1"/>
  </si>
  <si>
    <t>scanning</t>
    <phoneticPr fontId="1"/>
  </si>
  <si>
    <t>circulating</t>
    <phoneticPr fontId="1"/>
  </si>
  <si>
    <t>direct swim</t>
    <phoneticPr fontId="1"/>
  </si>
  <si>
    <t>escape latency</t>
    <phoneticPr fontId="1"/>
  </si>
  <si>
    <t>BCAS</t>
    <phoneticPr fontId="1"/>
  </si>
  <si>
    <t>number</t>
    <phoneticPr fontId="1"/>
  </si>
  <si>
    <t>50.2 ± 34.1</t>
    <phoneticPr fontId="1"/>
  </si>
  <si>
    <t>36.7 ± 29.4</t>
    <phoneticPr fontId="1"/>
  </si>
  <si>
    <t>19(39.6)</t>
    <phoneticPr fontId="1"/>
  </si>
  <si>
    <t>35(72.9)</t>
    <phoneticPr fontId="1"/>
  </si>
  <si>
    <t>42(87.5)</t>
    <phoneticPr fontId="1"/>
  </si>
  <si>
    <t>38(79.1)</t>
    <phoneticPr fontId="1"/>
  </si>
  <si>
    <t>29(60.4)</t>
    <phoneticPr fontId="1"/>
  </si>
  <si>
    <t>7(35.0)</t>
    <phoneticPr fontId="1"/>
  </si>
  <si>
    <t>11(55.0)</t>
    <phoneticPr fontId="1"/>
  </si>
  <si>
    <t>12(60.0)</t>
    <phoneticPr fontId="1"/>
  </si>
  <si>
    <t>17(85.0)</t>
    <phoneticPr fontId="1"/>
  </si>
  <si>
    <t>16(80.0)</t>
    <phoneticPr fontId="1"/>
  </si>
  <si>
    <t>59.8 ± 34.0</t>
    <phoneticPr fontId="1"/>
  </si>
  <si>
    <t>12(42.8)</t>
    <phoneticPr fontId="1"/>
  </si>
  <si>
    <t>8(28.6)</t>
    <phoneticPr fontId="1"/>
  </si>
  <si>
    <t>23(82.1)</t>
    <phoneticPr fontId="1"/>
  </si>
  <si>
    <t>25(89.3)</t>
    <phoneticPr fontId="1"/>
  </si>
  <si>
    <t>22(78.6)</t>
    <phoneticPr fontId="1"/>
  </si>
  <si>
    <t>17(60.7)</t>
    <phoneticPr fontId="1"/>
  </si>
  <si>
    <t>Control</t>
    <phoneticPr fontId="1"/>
  </si>
  <si>
    <t>All mice</t>
    <phoneticPr fontId="1"/>
  </si>
  <si>
    <t>Cntrol</t>
  </si>
  <si>
    <t>Cntrol</t>
    <phoneticPr fontId="1"/>
  </si>
  <si>
    <t>BCAS</t>
    <phoneticPr fontId="1"/>
  </si>
  <si>
    <t>Latency</t>
    <phoneticPr fontId="1"/>
  </si>
  <si>
    <t>Cntrol,BCAS</t>
  </si>
  <si>
    <t>２×２分割表</t>
  </si>
  <si>
    <t xml:space="preserve">観察度数 </t>
  </si>
  <si>
    <t>合計</t>
  </si>
  <si>
    <t>期待度数</t>
  </si>
  <si>
    <t>検定の結果</t>
  </si>
  <si>
    <t>χ2値</t>
  </si>
  <si>
    <t>Ｐ値(上側確率)</t>
  </si>
  <si>
    <t>分割表分析係数</t>
  </si>
  <si>
    <t>Φ係数</t>
  </si>
  <si>
    <t>イェーツの補正χ2値</t>
  </si>
  <si>
    <t>イェーツの補正Ｐ値(上側確率)</t>
  </si>
  <si>
    <t>フィッシャーの直接確率Ｐ値</t>
  </si>
  <si>
    <t>オッズ比</t>
  </si>
  <si>
    <t>χ2(0.95)</t>
  </si>
  <si>
    <t>focal</t>
    <phoneticPr fontId="1"/>
  </si>
  <si>
    <t>3class</t>
    <phoneticPr fontId="1"/>
  </si>
  <si>
    <t>6class</t>
    <phoneticPr fontId="1"/>
  </si>
  <si>
    <t>trial1</t>
    <phoneticPr fontId="1"/>
  </si>
  <si>
    <t>trial2</t>
  </si>
  <si>
    <t>trial3</t>
  </si>
  <si>
    <t>trial4</t>
  </si>
  <si>
    <t>trial5</t>
  </si>
  <si>
    <t>trial6</t>
  </si>
  <si>
    <t>trial7</t>
  </si>
  <si>
    <t>trial8</t>
  </si>
  <si>
    <t>trial9</t>
  </si>
  <si>
    <t>trial10</t>
  </si>
  <si>
    <t>30 epoch</t>
    <phoneticPr fontId="1"/>
  </si>
  <si>
    <t>ave</t>
    <phoneticPr fontId="1"/>
  </si>
  <si>
    <t>sd</t>
    <phoneticPr fontId="1"/>
  </si>
  <si>
    <t>se</t>
    <phoneticPr fontId="1"/>
  </si>
  <si>
    <t>sensitivity</t>
    <phoneticPr fontId="1"/>
  </si>
  <si>
    <t>specificity</t>
    <phoneticPr fontId="1"/>
  </si>
  <si>
    <t>accuracy</t>
    <phoneticPr fontId="1"/>
  </si>
  <si>
    <t>2 classes</t>
    <phoneticPr fontId="1"/>
  </si>
  <si>
    <t>6 classes</t>
    <phoneticPr fontId="1"/>
  </si>
  <si>
    <t>3 classes</t>
    <phoneticPr fontId="1"/>
  </si>
  <si>
    <t>Accuracy</t>
    <phoneticPr fontId="1"/>
  </si>
  <si>
    <t>64.8 ± 1.3</t>
    <phoneticPr fontId="1"/>
  </si>
  <si>
    <t>89.6 ± 1.2</t>
    <phoneticPr fontId="1"/>
  </si>
  <si>
    <t>93.7 ± 1.2</t>
    <phoneticPr fontId="1"/>
  </si>
  <si>
    <t>Sensitivity</t>
    <phoneticPr fontId="1"/>
  </si>
  <si>
    <t>Specificity</t>
    <phoneticPr fontId="1"/>
  </si>
  <si>
    <t>N/A</t>
    <phoneticPr fontId="1"/>
  </si>
  <si>
    <t>Number of clusters</t>
    <phoneticPr fontId="1"/>
  </si>
  <si>
    <t>2-class</t>
    <phoneticPr fontId="1"/>
  </si>
  <si>
    <t>3-class</t>
    <phoneticPr fontId="1"/>
  </si>
  <si>
    <t>6-class</t>
    <phoneticPr fontId="1"/>
  </si>
  <si>
    <t>2class_30e</t>
    <phoneticPr fontId="1"/>
  </si>
  <si>
    <t>2class_50e</t>
    <phoneticPr fontId="1"/>
  </si>
  <si>
    <t>2class_50e + 80%</t>
    <phoneticPr fontId="1"/>
  </si>
  <si>
    <t>30-90</t>
    <phoneticPr fontId="1"/>
  </si>
  <si>
    <t>50-80</t>
    <phoneticPr fontId="1"/>
  </si>
  <si>
    <t>6class</t>
    <phoneticPr fontId="1"/>
  </si>
  <si>
    <t>3class</t>
    <phoneticPr fontId="1"/>
  </si>
  <si>
    <t>thigmo_freq</t>
    <phoneticPr fontId="1"/>
  </si>
  <si>
    <t>rotation_freq</t>
    <phoneticPr fontId="1"/>
  </si>
  <si>
    <t>e rota(-)</t>
    <phoneticPr fontId="1"/>
  </si>
  <si>
    <t>e rota(+)</t>
    <phoneticPr fontId="1"/>
  </si>
  <si>
    <t>day3</t>
    <phoneticPr fontId="1"/>
  </si>
  <si>
    <t>day4</t>
    <phoneticPr fontId="1"/>
  </si>
  <si>
    <t>day5</t>
    <phoneticPr fontId="1"/>
  </si>
  <si>
    <t>trajectory</t>
    <phoneticPr fontId="1"/>
  </si>
  <si>
    <t>b05</t>
    <phoneticPr fontId="1"/>
  </si>
  <si>
    <t>b06</t>
    <phoneticPr fontId="1"/>
  </si>
  <si>
    <t>b07</t>
    <phoneticPr fontId="1"/>
  </si>
  <si>
    <t>b08</t>
    <phoneticPr fontId="1"/>
  </si>
  <si>
    <t>b09</t>
    <phoneticPr fontId="1"/>
  </si>
  <si>
    <t>b10</t>
    <phoneticPr fontId="1"/>
  </si>
  <si>
    <t>b11</t>
    <phoneticPr fontId="1"/>
  </si>
  <si>
    <t>b12</t>
    <phoneticPr fontId="1"/>
  </si>
  <si>
    <t>b13</t>
    <phoneticPr fontId="1"/>
  </si>
  <si>
    <t>b15</t>
    <phoneticPr fontId="1"/>
  </si>
  <si>
    <t>b14</t>
    <phoneticPr fontId="1"/>
  </si>
  <si>
    <t>b16</t>
    <phoneticPr fontId="1"/>
  </si>
  <si>
    <t>b17</t>
    <phoneticPr fontId="1"/>
  </si>
  <si>
    <t>b18</t>
    <phoneticPr fontId="1"/>
  </si>
  <si>
    <t>b19</t>
    <phoneticPr fontId="1"/>
  </si>
  <si>
    <t>b20</t>
    <phoneticPr fontId="1"/>
  </si>
  <si>
    <t>b21</t>
    <phoneticPr fontId="1"/>
  </si>
  <si>
    <t>b22</t>
    <phoneticPr fontId="1"/>
  </si>
  <si>
    <t>b23</t>
    <phoneticPr fontId="1"/>
  </si>
  <si>
    <t>b24</t>
    <phoneticPr fontId="1"/>
  </si>
  <si>
    <t>b25</t>
    <phoneticPr fontId="1"/>
  </si>
  <si>
    <t>b26</t>
    <phoneticPr fontId="1"/>
  </si>
  <si>
    <t>b27</t>
    <phoneticPr fontId="1"/>
  </si>
  <si>
    <t>b28</t>
    <phoneticPr fontId="1"/>
  </si>
  <si>
    <t>s05</t>
    <phoneticPr fontId="1"/>
  </si>
  <si>
    <t>s06</t>
    <phoneticPr fontId="1"/>
  </si>
  <si>
    <t>s07</t>
    <phoneticPr fontId="1"/>
  </si>
  <si>
    <t>s08</t>
    <phoneticPr fontId="1"/>
  </si>
  <si>
    <t>s09</t>
    <phoneticPr fontId="1"/>
  </si>
  <si>
    <t>s10</t>
    <phoneticPr fontId="1"/>
  </si>
  <si>
    <t>s11</t>
    <phoneticPr fontId="1"/>
  </si>
  <si>
    <t>s12</t>
    <phoneticPr fontId="1"/>
  </si>
  <si>
    <t>s13</t>
    <phoneticPr fontId="1"/>
  </si>
  <si>
    <t>s14</t>
    <phoneticPr fontId="1"/>
  </si>
  <si>
    <t>s15</t>
    <phoneticPr fontId="1"/>
  </si>
  <si>
    <t>s16</t>
    <phoneticPr fontId="1"/>
  </si>
  <si>
    <t>s17</t>
    <phoneticPr fontId="1"/>
  </si>
  <si>
    <t>s18</t>
    <phoneticPr fontId="1"/>
  </si>
  <si>
    <t>s19</t>
    <phoneticPr fontId="1"/>
  </si>
  <si>
    <t>s20</t>
    <phoneticPr fontId="1"/>
  </si>
  <si>
    <t>circ</t>
    <phoneticPr fontId="1"/>
  </si>
  <si>
    <t>rota</t>
    <phoneticPr fontId="1"/>
  </si>
  <si>
    <t>scan</t>
    <phoneticPr fontId="1"/>
  </si>
  <si>
    <t>thigmo</t>
    <phoneticPr fontId="1"/>
  </si>
  <si>
    <t>cirdling</t>
    <phoneticPr fontId="1"/>
  </si>
  <si>
    <t>dire</t>
  </si>
  <si>
    <t>circling</t>
    <phoneticPr fontId="1"/>
  </si>
  <si>
    <t>dire</t>
    <phoneticPr fontId="1"/>
  </si>
  <si>
    <t>trials</t>
    <phoneticPr fontId="1"/>
  </si>
  <si>
    <t>day1-2</t>
    <phoneticPr fontId="1"/>
  </si>
  <si>
    <t>day4-5</t>
    <phoneticPr fontId="1"/>
  </si>
  <si>
    <t>Early</t>
    <phoneticPr fontId="1"/>
  </si>
  <si>
    <t>Late</t>
    <phoneticPr fontId="1"/>
  </si>
  <si>
    <t>con</t>
    <phoneticPr fontId="1"/>
  </si>
  <si>
    <t>bca</t>
    <phoneticPr fontId="1"/>
  </si>
  <si>
    <t>p-value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</si>
</sst>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"/>
  </numFmts>
  <fonts count="2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medium">
        <color indexed="1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>
      <alignment vertical="center"/>
    </xf>
    <xf numFmtId="0" fontId="0" fillId="0" borderId="0" xfId="0" applyBorder="1" applyAlignment="1">
      <alignment vertical="center"/>
    </xf>
    <xf numFmtId="0" fontId="0" fillId="0" borderId="0" xfId="0" applyBorder="1"/>
    <xf numFmtId="0" fontId="0" fillId="0" borderId="0" xfId="0" applyFill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0" xfId="0" applyAlignment="1">
      <alignment horizontal="center"/>
    </xf>
    <xf numFmtId="0" fontId="0" fillId="0" borderId="5" xfId="0" applyFill="1" applyBorder="1" applyAlignment="1">
      <alignment horizontal="center"/>
    </xf>
    <xf numFmtId="9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4" borderId="1" xfId="0" applyFill="1" applyBorder="1"/>
    <xf numFmtId="0" fontId="0" fillId="4" borderId="0" xfId="0" applyFill="1" applyBorder="1"/>
    <xf numFmtId="176" fontId="0" fillId="0" borderId="0" xfId="0" applyNumberFormat="1"/>
    <xf numFmtId="176" fontId="0" fillId="0" borderId="1" xfId="0" applyNumberFormat="1" applyBorder="1"/>
    <xf numFmtId="176" fontId="0" fillId="0" borderId="2" xfId="0" applyNumberFormat="1" applyBorder="1"/>
    <xf numFmtId="176" fontId="0" fillId="0" borderId="3" xfId="0" applyNumberFormat="1" applyBorder="1"/>
    <xf numFmtId="0" fontId="0" fillId="5" borderId="0" xfId="0" applyFill="1"/>
    <xf numFmtId="0" fontId="0" fillId="0" borderId="6" xfId="0" applyBorder="1"/>
    <xf numFmtId="0" fontId="0" fillId="0" borderId="8" xfId="0" applyBorder="1"/>
    <xf numFmtId="0" fontId="0" fillId="0" borderId="9" xfId="0" applyBorder="1"/>
    <xf numFmtId="176" fontId="0" fillId="0" borderId="7" xfId="0" applyNumberFormat="1" applyBorder="1"/>
    <xf numFmtId="176" fontId="0" fillId="0" borderId="0" xfId="0" applyNumberFormat="1" applyBorder="1"/>
    <xf numFmtId="176" fontId="0" fillId="0" borderId="4" xfId="0" applyNumberFormat="1" applyBorder="1"/>
    <xf numFmtId="176" fontId="0" fillId="0" borderId="0" xfId="0" applyNumberFormat="1" applyAlignment="1">
      <alignment horizontal="center"/>
    </xf>
    <xf numFmtId="9" fontId="0" fillId="0" borderId="0" xfId="0" applyNumberFormat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標準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s_raw!$Q$103</c:f>
              <c:strCache>
                <c:ptCount val="1"/>
                <c:pt idx="0">
                  <c:v>Early</c:v>
                </c:pt>
              </c:strCache>
            </c:strRef>
          </c:tx>
          <c:spPr>
            <a:solidFill>
              <a:schemeClr val="bg1"/>
            </a:solidFill>
            <a:ln>
              <a:solidFill>
                <a:schemeClr val="tx1"/>
              </a:solidFill>
            </a:ln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5-2A4A-FA42-BC37-B8F2B4A54F63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6-2A4A-FA42-BC37-B8F2B4A54F63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7-2A4A-FA42-BC37-B8F2B4A54F63}"/>
              </c:ext>
            </c:extLst>
          </c:dPt>
          <c:dPt>
            <c:idx val="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8-2A4A-FA42-BC37-B8F2B4A54F63}"/>
              </c:ext>
            </c:extLst>
          </c:dPt>
          <c:dPt>
            <c:idx val="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9-2A4A-FA42-BC37-B8F2B4A54F63}"/>
              </c:ext>
            </c:extLst>
          </c:dPt>
          <c:dPt>
            <c:idx val="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A-2A4A-FA42-BC37-B8F2B4A54F63}"/>
              </c:ext>
            </c:extLst>
          </c:dPt>
          <c:dPt>
            <c:idx val="6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B-2A4A-FA42-BC37-B8F2B4A54F63}"/>
              </c:ext>
            </c:extLst>
          </c:dPt>
          <c:dPt>
            <c:idx val="7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C-2A4A-FA42-BC37-B8F2B4A54F63}"/>
              </c:ext>
            </c:extLst>
          </c:dPt>
          <c:dPt>
            <c:idx val="8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D-2A4A-FA42-BC37-B8F2B4A54F63}"/>
              </c:ext>
            </c:extLst>
          </c:dPt>
          <c:dPt>
            <c:idx val="9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E-2A4A-FA42-BC37-B8F2B4A54F63}"/>
              </c:ext>
            </c:extLst>
          </c:dPt>
          <c:dPt>
            <c:idx val="1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F-2A4A-FA42-BC37-B8F2B4A54F63}"/>
              </c:ext>
            </c:extLst>
          </c:dPt>
          <c:dPt>
            <c:idx val="1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20-2A4A-FA42-BC37-B8F2B4A54F63}"/>
              </c:ext>
            </c:extLst>
          </c:dPt>
          <c:cat>
            <c:strRef>
              <c:f>s_raw!$P$104:$P$109</c:f>
              <c:strCache>
                <c:ptCount val="6"/>
                <c:pt idx="0">
                  <c:v>thigmotaxis</c:v>
                </c:pt>
                <c:pt idx="1">
                  <c:v>rotating</c:v>
                </c:pt>
                <c:pt idx="2">
                  <c:v>focal search</c:v>
                </c:pt>
                <c:pt idx="3">
                  <c:v>scanning</c:v>
                </c:pt>
                <c:pt idx="4">
                  <c:v>circling</c:v>
                </c:pt>
                <c:pt idx="5">
                  <c:v>direct swim</c:v>
                </c:pt>
              </c:strCache>
            </c:strRef>
          </c:cat>
          <c:val>
            <c:numRef>
              <c:f>s_raw!$Q$104:$Q$109</c:f>
              <c:numCache>
                <c:formatCode>General</c:formatCode>
                <c:ptCount val="6"/>
                <c:pt idx="0">
                  <c:v>7</c:v>
                </c:pt>
                <c:pt idx="1">
                  <c:v>17</c:v>
                </c:pt>
                <c:pt idx="2">
                  <c:v>14.5</c:v>
                </c:pt>
                <c:pt idx="3">
                  <c:v>35.5</c:v>
                </c:pt>
                <c:pt idx="4">
                  <c:v>17</c:v>
                </c:pt>
                <c:pt idx="5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2A4A-FA42-BC37-B8F2B4A54F63}"/>
            </c:ext>
          </c:extLst>
        </c:ser>
        <c:ser>
          <c:idx val="1"/>
          <c:order val="1"/>
          <c:tx>
            <c:strRef>
              <c:f>s_raw!$R$103</c:f>
              <c:strCache>
                <c:ptCount val="1"/>
                <c:pt idx="0">
                  <c:v>Late</c:v>
                </c:pt>
              </c:strCache>
            </c:strRef>
          </c:tx>
          <c:spPr>
            <a:solidFill>
              <a:schemeClr val="tx1"/>
            </a:solidFill>
            <a:ln>
              <a:solidFill>
                <a:schemeClr val="tx1"/>
              </a:solidFill>
            </a:ln>
          </c:spPr>
          <c:invertIfNegative val="0"/>
          <c:cat>
            <c:strRef>
              <c:f>s_raw!$P$104:$P$109</c:f>
              <c:strCache>
                <c:ptCount val="6"/>
                <c:pt idx="0">
                  <c:v>thigmotaxis</c:v>
                </c:pt>
                <c:pt idx="1">
                  <c:v>rotating</c:v>
                </c:pt>
                <c:pt idx="2">
                  <c:v>focal search</c:v>
                </c:pt>
                <c:pt idx="3">
                  <c:v>scanning</c:v>
                </c:pt>
                <c:pt idx="4">
                  <c:v>circling</c:v>
                </c:pt>
                <c:pt idx="5">
                  <c:v>direct swim</c:v>
                </c:pt>
              </c:strCache>
            </c:strRef>
          </c:cat>
          <c:val>
            <c:numRef>
              <c:f>s_raw!$R$104:$R$109</c:f>
              <c:numCache>
                <c:formatCode>General</c:formatCode>
                <c:ptCount val="6"/>
                <c:pt idx="0">
                  <c:v>12</c:v>
                </c:pt>
                <c:pt idx="1">
                  <c:v>24</c:v>
                </c:pt>
                <c:pt idx="2">
                  <c:v>21.5</c:v>
                </c:pt>
                <c:pt idx="3">
                  <c:v>8.5</c:v>
                </c:pt>
                <c:pt idx="4">
                  <c:v>7</c:v>
                </c:pt>
                <c:pt idx="5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2A4A-FA42-BC37-B8F2B4A54F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92993536"/>
        <c:axId val="201523200"/>
      </c:barChart>
      <c:catAx>
        <c:axId val="19299353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ja-JP"/>
          </a:p>
        </c:txPr>
        <c:crossAx val="201523200"/>
        <c:crosses val="autoZero"/>
        <c:auto val="1"/>
        <c:lblAlgn val="ctr"/>
        <c:lblOffset val="100"/>
        <c:noMultiLvlLbl val="0"/>
      </c:catAx>
      <c:valAx>
        <c:axId val="201523200"/>
        <c:scaling>
          <c:orientation val="minMax"/>
          <c:max val="50"/>
          <c:min val="0"/>
        </c:scaling>
        <c:delete val="0"/>
        <c:axPos val="l"/>
        <c:majorGridlines>
          <c:spPr>
            <a:ln>
              <a:noFill/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altLang="ja-JP" baseline="0">
                    <a:latin typeface="Arial" panose="020B0604020202020204" pitchFamily="34" charset="0"/>
                    <a:cs typeface="Arial" panose="020B0604020202020204" pitchFamily="34" charset="0"/>
                  </a:rPr>
                  <a:t>Frequency of specific strategy </a:t>
                </a:r>
              </a:p>
              <a:p>
                <a:pPr>
                  <a:defRPr/>
                </a:pPr>
                <a:r>
                  <a:rPr lang="en-US" altLang="ja-JP" baseline="0">
                    <a:latin typeface="Arial" panose="020B0604020202020204" pitchFamily="34" charset="0"/>
                    <a:cs typeface="Arial" panose="020B0604020202020204" pitchFamily="34" charset="0"/>
                  </a:rPr>
                  <a:t>in control group (%)</a:t>
                </a:r>
                <a:endParaRPr lang="ja-JP" altLang="en-US"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latin typeface="Arial" panose="020B0604020202020204" pitchFamily="34" charset="0"/>
                <a:ea typeface="Arial Unicode MS" panose="020B0604020202020204" pitchFamily="50" charset="-128"/>
                <a:cs typeface="Arial" panose="020B0604020202020204" pitchFamily="34" charset="0"/>
              </a:defRPr>
            </a:pPr>
            <a:endParaRPr lang="ja-JP"/>
          </a:p>
        </c:txPr>
        <c:crossAx val="192993536"/>
        <c:crosses val="autoZero"/>
        <c:crossBetween val="between"/>
      </c:valAx>
      <c:spPr>
        <a:ln>
          <a:solidFill>
            <a:schemeClr val="tx1"/>
          </a:solidFill>
        </a:ln>
      </c:spPr>
    </c:plotArea>
    <c:legend>
      <c:legendPos val="t"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b_raw!$R$134</c:f>
              <c:strCache>
                <c:ptCount val="1"/>
                <c:pt idx="0">
                  <c:v>Early</c:v>
                </c:pt>
              </c:strCache>
            </c:strRef>
          </c:tx>
          <c:spPr>
            <a:solidFill>
              <a:schemeClr val="bg1"/>
            </a:solidFill>
            <a:ln>
              <a:solidFill>
                <a:schemeClr val="tx1"/>
              </a:solidFill>
            </a:ln>
          </c:spPr>
          <c:invertIfNegative val="0"/>
          <c:dPt>
            <c:idx val="0"/>
            <c:invertIfNegative val="0"/>
            <c:bubble3D val="0"/>
            <c:spPr>
              <a:solidFill>
                <a:schemeClr val="bg1"/>
              </a:solidFill>
              <a:ln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4-5736-344F-B5AB-88560616F91A}"/>
              </c:ext>
            </c:extLst>
          </c:dPt>
          <c:dPt>
            <c:idx val="1"/>
            <c:invertIfNegative val="0"/>
            <c:bubble3D val="0"/>
            <c:spPr>
              <a:solidFill>
                <a:schemeClr val="bg1"/>
              </a:solidFill>
              <a:ln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6-5736-344F-B5AB-88560616F91A}"/>
              </c:ext>
            </c:extLst>
          </c:dPt>
          <c:dPt>
            <c:idx val="2"/>
            <c:invertIfNegative val="0"/>
            <c:bubble3D val="0"/>
            <c:spPr>
              <a:solidFill>
                <a:schemeClr val="bg1"/>
              </a:solidFill>
              <a:ln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8-5736-344F-B5AB-88560616F91A}"/>
              </c:ext>
            </c:extLst>
          </c:dPt>
          <c:dPt>
            <c:idx val="3"/>
            <c:invertIfNegative val="0"/>
            <c:bubble3D val="0"/>
            <c:spPr>
              <a:solidFill>
                <a:schemeClr val="bg1"/>
              </a:solidFill>
              <a:ln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A-5736-344F-B5AB-88560616F91A}"/>
              </c:ext>
            </c:extLst>
          </c:dPt>
          <c:dPt>
            <c:idx val="4"/>
            <c:invertIfNegative val="0"/>
            <c:bubble3D val="0"/>
            <c:spPr>
              <a:solidFill>
                <a:schemeClr val="bg1"/>
              </a:solidFill>
              <a:ln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C-5736-344F-B5AB-88560616F91A}"/>
              </c:ext>
            </c:extLst>
          </c:dPt>
          <c:dPt>
            <c:idx val="5"/>
            <c:invertIfNegative val="0"/>
            <c:bubble3D val="0"/>
            <c:spPr>
              <a:solidFill>
                <a:schemeClr val="bg1"/>
              </a:solidFill>
              <a:ln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E-5736-344F-B5AB-88560616F91A}"/>
              </c:ext>
            </c:extLst>
          </c:dPt>
          <c:dPt>
            <c:idx val="6"/>
            <c:invertIfNegative val="0"/>
            <c:bubble3D val="0"/>
            <c:spPr>
              <a:solidFill>
                <a:schemeClr val="bg1"/>
              </a:solidFill>
              <a:ln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10-5736-344F-B5AB-88560616F91A}"/>
              </c:ext>
            </c:extLst>
          </c:dPt>
          <c:dPt>
            <c:idx val="7"/>
            <c:invertIfNegative val="0"/>
            <c:bubble3D val="0"/>
            <c:spPr>
              <a:solidFill>
                <a:schemeClr val="bg1"/>
              </a:solidFill>
              <a:ln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12-5736-344F-B5AB-88560616F91A}"/>
              </c:ext>
            </c:extLst>
          </c:dPt>
          <c:dPt>
            <c:idx val="8"/>
            <c:invertIfNegative val="0"/>
            <c:bubble3D val="0"/>
            <c:spPr>
              <a:solidFill>
                <a:schemeClr val="bg1"/>
              </a:solidFill>
              <a:ln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14-5736-344F-B5AB-88560616F91A}"/>
              </c:ext>
            </c:extLst>
          </c:dPt>
          <c:dPt>
            <c:idx val="9"/>
            <c:invertIfNegative val="0"/>
            <c:bubble3D val="0"/>
            <c:spPr>
              <a:solidFill>
                <a:schemeClr val="bg1"/>
              </a:solidFill>
              <a:ln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16-5736-344F-B5AB-88560616F91A}"/>
              </c:ext>
            </c:extLst>
          </c:dPt>
          <c:dPt>
            <c:idx val="10"/>
            <c:invertIfNegative val="0"/>
            <c:bubble3D val="0"/>
            <c:spPr>
              <a:solidFill>
                <a:schemeClr val="bg1"/>
              </a:solidFill>
              <a:ln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18-5736-344F-B5AB-88560616F91A}"/>
              </c:ext>
            </c:extLst>
          </c:dPt>
          <c:dPt>
            <c:idx val="11"/>
            <c:invertIfNegative val="0"/>
            <c:bubble3D val="0"/>
            <c:spPr>
              <a:solidFill>
                <a:schemeClr val="bg1"/>
              </a:solidFill>
              <a:ln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1A-5736-344F-B5AB-88560616F91A}"/>
              </c:ext>
            </c:extLst>
          </c:dPt>
          <c:cat>
            <c:strRef>
              <c:f>b_raw!$Q$135:$Q$140</c:f>
              <c:strCache>
                <c:ptCount val="6"/>
                <c:pt idx="0">
                  <c:v>thigmotaxis</c:v>
                </c:pt>
                <c:pt idx="1">
                  <c:v>rotating</c:v>
                </c:pt>
                <c:pt idx="2">
                  <c:v>focal search</c:v>
                </c:pt>
                <c:pt idx="3">
                  <c:v>scanning</c:v>
                </c:pt>
                <c:pt idx="4">
                  <c:v>circling</c:v>
                </c:pt>
                <c:pt idx="5">
                  <c:v>direct swim</c:v>
                </c:pt>
              </c:strCache>
            </c:strRef>
          </c:cat>
          <c:val>
            <c:numRef>
              <c:f>b_raw!$R$135:$R$140</c:f>
              <c:numCache>
                <c:formatCode>General</c:formatCode>
                <c:ptCount val="6"/>
                <c:pt idx="0">
                  <c:v>10</c:v>
                </c:pt>
                <c:pt idx="1">
                  <c:v>15.7</c:v>
                </c:pt>
                <c:pt idx="2">
                  <c:v>17.899999999999999</c:v>
                </c:pt>
                <c:pt idx="3">
                  <c:v>26.1</c:v>
                </c:pt>
                <c:pt idx="4">
                  <c:v>19.600000000000001</c:v>
                </c:pt>
                <c:pt idx="5">
                  <c:v>10.7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5736-344F-B5AB-88560616F91A}"/>
            </c:ext>
          </c:extLst>
        </c:ser>
        <c:ser>
          <c:idx val="1"/>
          <c:order val="1"/>
          <c:tx>
            <c:strRef>
              <c:f>b_raw!$S$134</c:f>
              <c:strCache>
                <c:ptCount val="1"/>
                <c:pt idx="0">
                  <c:v>Late</c:v>
                </c:pt>
              </c:strCache>
            </c:strRef>
          </c:tx>
          <c:spPr>
            <a:solidFill>
              <a:schemeClr val="tx1"/>
            </a:solidFill>
            <a:ln>
              <a:solidFill>
                <a:schemeClr val="tx1"/>
              </a:solidFill>
            </a:ln>
          </c:spPr>
          <c:invertIfNegative val="0"/>
          <c:cat>
            <c:strRef>
              <c:f>b_raw!$Q$135:$Q$140</c:f>
              <c:strCache>
                <c:ptCount val="6"/>
                <c:pt idx="0">
                  <c:v>thigmotaxis</c:v>
                </c:pt>
                <c:pt idx="1">
                  <c:v>rotating</c:v>
                </c:pt>
                <c:pt idx="2">
                  <c:v>focal search</c:v>
                </c:pt>
                <c:pt idx="3">
                  <c:v>scanning</c:v>
                </c:pt>
                <c:pt idx="4">
                  <c:v>circling</c:v>
                </c:pt>
                <c:pt idx="5">
                  <c:v>direct swim</c:v>
                </c:pt>
              </c:strCache>
            </c:strRef>
          </c:cat>
          <c:val>
            <c:numRef>
              <c:f>b_raw!$S$135:$S$140</c:f>
              <c:numCache>
                <c:formatCode>General</c:formatCode>
                <c:ptCount val="6"/>
                <c:pt idx="0">
                  <c:v>5.7</c:v>
                </c:pt>
                <c:pt idx="1">
                  <c:v>20.399999999999999</c:v>
                </c:pt>
                <c:pt idx="2">
                  <c:v>18.899999999999999</c:v>
                </c:pt>
                <c:pt idx="3">
                  <c:v>14.3</c:v>
                </c:pt>
                <c:pt idx="4">
                  <c:v>13.2</c:v>
                </c:pt>
                <c:pt idx="5">
                  <c:v>27.5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5736-344F-B5AB-88560616F9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92993536"/>
        <c:axId val="201523200"/>
      </c:barChart>
      <c:catAx>
        <c:axId val="19299353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ja-JP"/>
          </a:p>
        </c:txPr>
        <c:crossAx val="201523200"/>
        <c:crosses val="autoZero"/>
        <c:auto val="1"/>
        <c:lblAlgn val="ctr"/>
        <c:lblOffset val="100"/>
        <c:noMultiLvlLbl val="0"/>
      </c:catAx>
      <c:valAx>
        <c:axId val="201523200"/>
        <c:scaling>
          <c:orientation val="minMax"/>
          <c:max val="50"/>
          <c:min val="0"/>
        </c:scaling>
        <c:delete val="0"/>
        <c:axPos val="l"/>
        <c:majorGridlines>
          <c:spPr>
            <a:ln>
              <a:noFill/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altLang="ja-JP" baseline="0">
                    <a:latin typeface="Arial" panose="020B0604020202020204" pitchFamily="34" charset="0"/>
                    <a:cs typeface="Arial" panose="020B0604020202020204" pitchFamily="34" charset="0"/>
                  </a:rPr>
                  <a:t>Frequency of specific strategy </a:t>
                </a:r>
              </a:p>
              <a:p>
                <a:pPr>
                  <a:defRPr/>
                </a:pPr>
                <a:r>
                  <a:rPr lang="en-US" altLang="ja-JP" baseline="0">
                    <a:latin typeface="Arial" panose="020B0604020202020204" pitchFamily="34" charset="0"/>
                    <a:cs typeface="Arial" panose="020B0604020202020204" pitchFamily="34" charset="0"/>
                  </a:rPr>
                  <a:t>in BCAS group (%)</a:t>
                </a:r>
                <a:endParaRPr lang="ja-JP" altLang="en-US"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latin typeface="Arial" panose="020B0604020202020204" pitchFamily="34" charset="0"/>
                <a:ea typeface="Arial Unicode MS" panose="020B0604020202020204" pitchFamily="50" charset="-128"/>
                <a:cs typeface="Arial" panose="020B0604020202020204" pitchFamily="34" charset="0"/>
              </a:defRPr>
            </a:pPr>
            <a:endParaRPr lang="ja-JP"/>
          </a:p>
        </c:txPr>
        <c:crossAx val="192993536"/>
        <c:crosses val="autoZero"/>
        <c:crossBetween val="between"/>
      </c:valAx>
      <c:spPr>
        <a:ln>
          <a:solidFill>
            <a:schemeClr val="tx1"/>
          </a:solidFill>
        </a:ln>
      </c:spPr>
    </c:plotArea>
    <c:legend>
      <c:legendPos val="t"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dPt>
            <c:idx val="0"/>
            <c:invertIfNegative val="0"/>
            <c:bubble3D val="0"/>
            <c:spPr>
              <a:noFill/>
              <a:ln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1-394F-5143-A8BC-BBCCC76858F0}"/>
              </c:ext>
            </c:extLst>
          </c:dPt>
          <c:dPt>
            <c:idx val="1"/>
            <c:invertIfNegative val="0"/>
            <c:bubble3D val="0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394F-5143-A8BC-BBCCC76858F0}"/>
              </c:ext>
            </c:extLst>
          </c:dPt>
          <c:dPt>
            <c:idx val="2"/>
            <c:invertIfNegative val="0"/>
            <c:bubble3D val="0"/>
            <c:spPr>
              <a:pattFill prst="ltDnDiag">
                <a:fgClr>
                  <a:schemeClr val="tx1"/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5-394F-5143-A8BC-BBCCC76858F0}"/>
              </c:ext>
            </c:extLst>
          </c:dPt>
          <c:dPt>
            <c:idx val="3"/>
            <c:invertIfNegative val="0"/>
            <c:bubble3D val="0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7-394F-5143-A8BC-BBCCC76858F0}"/>
              </c:ext>
            </c:extLst>
          </c:dPt>
          <c:errBars>
            <c:errBarType val="plus"/>
            <c:errValType val="cust"/>
            <c:noEndCap val="0"/>
            <c:plus>
              <c:numRef>
                <c:f>★stats!$B$62:$D$62</c:f>
                <c:numCache>
                  <c:formatCode>General</c:formatCode>
                  <c:ptCount val="3"/>
                  <c:pt idx="0">
                    <c:v>1.246270034944273</c:v>
                  </c:pt>
                  <c:pt idx="1">
                    <c:v>1.3694279422039295</c:v>
                  </c:pt>
                  <c:pt idx="2">
                    <c:v>1.2425091548958502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</c:errBars>
          <c:cat>
            <c:strRef>
              <c:f>★stats!$B$60:$D$60</c:f>
              <c:strCache>
                <c:ptCount val="3"/>
                <c:pt idx="0">
                  <c:v>2-class</c:v>
                </c:pt>
                <c:pt idx="1">
                  <c:v>6-class</c:v>
                </c:pt>
                <c:pt idx="2">
                  <c:v>3-class</c:v>
                </c:pt>
              </c:strCache>
            </c:strRef>
          </c:cat>
          <c:val>
            <c:numRef>
              <c:f>★stats!$B$61:$D$61</c:f>
              <c:numCache>
                <c:formatCode>General</c:formatCode>
                <c:ptCount val="3"/>
                <c:pt idx="0">
                  <c:v>93.722999999999985</c:v>
                </c:pt>
                <c:pt idx="1">
                  <c:v>64.792000000000002</c:v>
                </c:pt>
                <c:pt idx="2">
                  <c:v>89.582999999999998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94F-5143-A8BC-BBCCC76858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213315968"/>
        <c:axId val="213317504"/>
      </c:barChart>
      <c:catAx>
        <c:axId val="21331596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ja-JP"/>
          </a:p>
        </c:txPr>
        <c:crossAx val="213317504"/>
        <c:crosses val="autoZero"/>
        <c:auto val="1"/>
        <c:lblAlgn val="ctr"/>
        <c:lblOffset val="100"/>
        <c:noMultiLvlLbl val="0"/>
      </c:catAx>
      <c:valAx>
        <c:axId val="213317504"/>
        <c:scaling>
          <c:orientation val="minMax"/>
          <c:max val="100"/>
          <c:min val="0"/>
        </c:scaling>
        <c:delete val="0"/>
        <c:axPos val="l"/>
        <c:majorGridlines>
          <c:spPr>
            <a:ln>
              <a:noFill/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altLang="ja-JP">
                    <a:latin typeface="Arial" panose="020B0604020202020204" pitchFamily="34" charset="0"/>
                    <a:cs typeface="Arial" panose="020B0604020202020204" pitchFamily="34" charset="0"/>
                  </a:rPr>
                  <a:t>Recogntion</a:t>
                </a:r>
                <a:r>
                  <a:rPr lang="en-US" altLang="ja-JP" baseline="0">
                    <a:latin typeface="Arial" panose="020B0604020202020204" pitchFamily="34" charset="0"/>
                    <a:cs typeface="Arial" panose="020B0604020202020204" pitchFamily="34" charset="0"/>
                  </a:rPr>
                  <a:t> accuracy (%)</a:t>
                </a:r>
                <a:endParaRPr lang="ja-JP" altLang="en-US"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latin typeface="Arial" panose="020B0604020202020204" pitchFamily="34" charset="0"/>
                <a:ea typeface="Arial Unicode MS" panose="020B0604020202020204" pitchFamily="50" charset="-128"/>
                <a:cs typeface="Arial" panose="020B0604020202020204" pitchFamily="34" charset="0"/>
              </a:defRPr>
            </a:pPr>
            <a:endParaRPr lang="ja-JP"/>
          </a:p>
        </c:txPr>
        <c:crossAx val="213315968"/>
        <c:crosses val="autoZero"/>
        <c:crossBetween val="between"/>
      </c:valAx>
      <c:spPr>
        <a:ln>
          <a:solidFill>
            <a:schemeClr val="tx1"/>
          </a:solidFill>
        </a:ln>
      </c:spPr>
    </c:plotArea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dPt>
            <c:idx val="0"/>
            <c:invertIfNegative val="0"/>
            <c:bubble3D val="0"/>
            <c:spPr>
              <a:noFill/>
              <a:ln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1-9332-C74A-A778-259CB2A83EA7}"/>
              </c:ext>
            </c:extLst>
          </c:dPt>
          <c:dPt>
            <c:idx val="1"/>
            <c:invertIfNegative val="0"/>
            <c:bubble3D val="0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9332-C74A-A778-259CB2A83EA7}"/>
              </c:ext>
            </c:extLst>
          </c:dPt>
          <c:dPt>
            <c:idx val="2"/>
            <c:invertIfNegative val="0"/>
            <c:bubble3D val="0"/>
            <c:spPr>
              <a:pattFill prst="ltDnDiag">
                <a:fgClr>
                  <a:schemeClr val="tx1"/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5-9332-C74A-A778-259CB2A83EA7}"/>
              </c:ext>
            </c:extLst>
          </c:dPt>
          <c:dPt>
            <c:idx val="3"/>
            <c:invertIfNegative val="0"/>
            <c:bubble3D val="0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7-9332-C74A-A778-259CB2A83EA7}"/>
              </c:ext>
            </c:extLst>
          </c:dPt>
          <c:errBars>
            <c:errBarType val="plus"/>
            <c:errValType val="cust"/>
            <c:noEndCap val="0"/>
            <c:plus>
              <c:numRef>
                <c:f>★stats!$B$62:$D$62</c:f>
                <c:numCache>
                  <c:formatCode>General</c:formatCode>
                  <c:ptCount val="3"/>
                  <c:pt idx="0">
                    <c:v>1.246270034944273</c:v>
                  </c:pt>
                  <c:pt idx="1">
                    <c:v>1.3694279422039295</c:v>
                  </c:pt>
                  <c:pt idx="2">
                    <c:v>1.2425091548958502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</c:errBars>
          <c:cat>
            <c:strRef>
              <c:f>★stats!$L$60:$N$60</c:f>
              <c:strCache>
                <c:ptCount val="3"/>
                <c:pt idx="0">
                  <c:v>2-class</c:v>
                </c:pt>
                <c:pt idx="1">
                  <c:v>6-class</c:v>
                </c:pt>
                <c:pt idx="2">
                  <c:v>3-class</c:v>
                </c:pt>
              </c:strCache>
            </c:strRef>
          </c:cat>
          <c:val>
            <c:numRef>
              <c:f>★stats!$L$61:$N$61</c:f>
              <c:numCache>
                <c:formatCode>General</c:formatCode>
                <c:ptCount val="3"/>
                <c:pt idx="0">
                  <c:v>95.990000000000009</c:v>
                </c:pt>
                <c:pt idx="1">
                  <c:v>63.7</c:v>
                </c:pt>
                <c:pt idx="2" formatCode="0.0">
                  <c:v>91.240000000000009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332-C74A-A778-259CB2A83E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68438016"/>
        <c:axId val="168452096"/>
      </c:barChart>
      <c:catAx>
        <c:axId val="16843801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ja-JP"/>
          </a:p>
        </c:txPr>
        <c:crossAx val="168452096"/>
        <c:crosses val="autoZero"/>
        <c:auto val="1"/>
        <c:lblAlgn val="ctr"/>
        <c:lblOffset val="100"/>
        <c:noMultiLvlLbl val="0"/>
      </c:catAx>
      <c:valAx>
        <c:axId val="168452096"/>
        <c:scaling>
          <c:orientation val="minMax"/>
          <c:max val="100"/>
          <c:min val="0"/>
        </c:scaling>
        <c:delete val="0"/>
        <c:axPos val="l"/>
        <c:majorGridlines>
          <c:spPr>
            <a:ln>
              <a:noFill/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altLang="ja-JP">
                    <a:latin typeface="Arial" panose="020B0604020202020204" pitchFamily="34" charset="0"/>
                    <a:cs typeface="Arial" panose="020B0604020202020204" pitchFamily="34" charset="0"/>
                  </a:rPr>
                  <a:t>Recogntion</a:t>
                </a:r>
                <a:r>
                  <a:rPr lang="en-US" altLang="ja-JP" baseline="0">
                    <a:latin typeface="Arial" panose="020B0604020202020204" pitchFamily="34" charset="0"/>
                    <a:cs typeface="Arial" panose="020B0604020202020204" pitchFamily="34" charset="0"/>
                  </a:rPr>
                  <a:t> accuracy (%)</a:t>
                </a:r>
                <a:endParaRPr lang="ja-JP" altLang="en-US"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latin typeface="Arial" panose="020B0604020202020204" pitchFamily="34" charset="0"/>
                <a:ea typeface="Arial Unicode MS" panose="020B0604020202020204" pitchFamily="50" charset="-128"/>
                <a:cs typeface="Arial" panose="020B0604020202020204" pitchFamily="34" charset="0"/>
              </a:defRPr>
            </a:pPr>
            <a:endParaRPr lang="ja-JP"/>
          </a:p>
        </c:txPr>
        <c:crossAx val="168438016"/>
        <c:crosses val="autoZero"/>
        <c:crossBetween val="between"/>
      </c:valAx>
      <c:spPr>
        <a:ln>
          <a:solidFill>
            <a:schemeClr val="tx1"/>
          </a:solidFill>
        </a:ln>
      </c:spPr>
    </c:plotArea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dPt>
            <c:idx val="0"/>
            <c:invertIfNegative val="0"/>
            <c:bubble3D val="0"/>
            <c:spPr>
              <a:noFill/>
              <a:ln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1-FEAC-9C4F-B948-43761DF3BE5D}"/>
              </c:ext>
            </c:extLst>
          </c:dPt>
          <c:dPt>
            <c:idx val="1"/>
            <c:invertIfNegative val="0"/>
            <c:bubble3D val="0"/>
            <c:spPr>
              <a:noFill/>
              <a:ln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FEAC-9C4F-B948-43761DF3BE5D}"/>
              </c:ext>
            </c:extLst>
          </c:dPt>
          <c:dPt>
            <c:idx val="2"/>
            <c:invertIfNegative val="0"/>
            <c:bubble3D val="0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5-FEAC-9C4F-B948-43761DF3BE5D}"/>
              </c:ext>
            </c:extLst>
          </c:dPt>
          <c:dPt>
            <c:idx val="3"/>
            <c:invertIfNegative val="0"/>
            <c:bubble3D val="0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7-FEAC-9C4F-B948-43761DF3BE5D}"/>
              </c:ext>
            </c:extLst>
          </c:dPt>
          <c:errBars>
            <c:errBarType val="plus"/>
            <c:errValType val="cust"/>
            <c:noEndCap val="0"/>
            <c:plus>
              <c:numRef>
                <c:f>★graphs!$B$5:$E$5</c:f>
                <c:numCache>
                  <c:formatCode>General</c:formatCode>
                  <c:ptCount val="4"/>
                  <c:pt idx="0">
                    <c:v>5.4650438576054636</c:v>
                  </c:pt>
                  <c:pt idx="1">
                    <c:v>7.9903522619809886</c:v>
                  </c:pt>
                  <c:pt idx="2">
                    <c:v>8.2449299529595059</c:v>
                  </c:pt>
                  <c:pt idx="3">
                    <c:v>5.259694168070431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</c:errBars>
          <c:cat>
            <c:strRef>
              <c:f>★graphs!$B$2:$E$2</c:f>
              <c:strCache>
                <c:ptCount val="4"/>
                <c:pt idx="0">
                  <c:v>e_thig(-)</c:v>
                </c:pt>
                <c:pt idx="1">
                  <c:v>e_thig(+)</c:v>
                </c:pt>
                <c:pt idx="2">
                  <c:v>e_dir(-)</c:v>
                </c:pt>
                <c:pt idx="3">
                  <c:v>e_dir(+)</c:v>
                </c:pt>
              </c:strCache>
            </c:strRef>
          </c:cat>
          <c:val>
            <c:numRef>
              <c:f>★graphs!$B$3:$E$3</c:f>
              <c:numCache>
                <c:formatCode>General</c:formatCode>
                <c:ptCount val="4"/>
                <c:pt idx="0">
                  <c:v>38.658620689655166</c:v>
                </c:pt>
                <c:pt idx="1">
                  <c:v>67.843157894736848</c:v>
                </c:pt>
                <c:pt idx="2">
                  <c:v>68.17789473684212</c:v>
                </c:pt>
                <c:pt idx="3">
                  <c:v>38.439310344827589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EAC-9C4F-B948-43761DF3BE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213811584"/>
        <c:axId val="213813120"/>
      </c:barChart>
      <c:catAx>
        <c:axId val="21381158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ja-JP"/>
          </a:p>
        </c:txPr>
        <c:crossAx val="213813120"/>
        <c:crosses val="autoZero"/>
        <c:auto val="1"/>
        <c:lblAlgn val="ctr"/>
        <c:lblOffset val="100"/>
        <c:noMultiLvlLbl val="0"/>
      </c:catAx>
      <c:valAx>
        <c:axId val="213813120"/>
        <c:scaling>
          <c:orientation val="minMax"/>
          <c:max val="120"/>
          <c:min val="0"/>
        </c:scaling>
        <c:delete val="0"/>
        <c:axPos val="l"/>
        <c:majorGridlines>
          <c:spPr>
            <a:ln>
              <a:noFill/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altLang="ja-JP">
                    <a:latin typeface="Arial" panose="020B0604020202020204" pitchFamily="34" charset="0"/>
                    <a:cs typeface="Arial" panose="020B0604020202020204" pitchFamily="34" charset="0"/>
                  </a:rPr>
                  <a:t>Mean</a:t>
                </a:r>
                <a:r>
                  <a:rPr lang="en-US" altLang="ja-JP" baseline="0">
                    <a:latin typeface="Arial" panose="020B0604020202020204" pitchFamily="34" charset="0"/>
                    <a:cs typeface="Arial" panose="020B0604020202020204" pitchFamily="34" charset="0"/>
                  </a:rPr>
                  <a:t> escape latency at day 5 (sec)</a:t>
                </a:r>
                <a:endParaRPr lang="ja-JP" altLang="en-US"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latin typeface="Arial" panose="020B0604020202020204" pitchFamily="34" charset="0"/>
                <a:ea typeface="Arial Unicode MS" panose="020B0604020202020204" pitchFamily="50" charset="-128"/>
                <a:cs typeface="Arial" panose="020B0604020202020204" pitchFamily="34" charset="0"/>
              </a:defRPr>
            </a:pPr>
            <a:endParaRPr lang="ja-JP"/>
          </a:p>
        </c:txPr>
        <c:crossAx val="213811584"/>
        <c:crosses val="autoZero"/>
        <c:crossBetween val="between"/>
      </c:valAx>
      <c:spPr>
        <a:ln>
          <a:solidFill>
            <a:schemeClr val="tx1"/>
          </a:solidFill>
        </a:ln>
      </c:spPr>
    </c:plotArea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dPt>
            <c:idx val="0"/>
            <c:invertIfNegative val="0"/>
            <c:bubble3D val="0"/>
            <c:spPr>
              <a:noFill/>
              <a:ln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1-D0C2-2E44-BC92-1E3918132594}"/>
              </c:ext>
            </c:extLst>
          </c:dPt>
          <c:dPt>
            <c:idx val="1"/>
            <c:invertIfNegative val="0"/>
            <c:bubble3D val="0"/>
            <c:spPr>
              <a:noFill/>
              <a:ln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D0C2-2E44-BC92-1E3918132594}"/>
              </c:ext>
            </c:extLst>
          </c:dPt>
          <c:dPt>
            <c:idx val="2"/>
            <c:invertIfNegative val="0"/>
            <c:bubble3D val="0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5-D0C2-2E44-BC92-1E3918132594}"/>
              </c:ext>
            </c:extLst>
          </c:dPt>
          <c:dPt>
            <c:idx val="3"/>
            <c:invertIfNegative val="0"/>
            <c:bubble3D val="0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7-D0C2-2E44-BC92-1E3918132594}"/>
              </c:ext>
            </c:extLst>
          </c:dPt>
          <c:errBars>
            <c:errBarType val="plus"/>
            <c:errValType val="cust"/>
            <c:noEndCap val="0"/>
            <c:plus>
              <c:numRef>
                <c:f>★graphs!$I$5:$L$5</c:f>
                <c:numCache>
                  <c:formatCode>General</c:formatCode>
                  <c:ptCount val="4"/>
                  <c:pt idx="0">
                    <c:v>5.5315683193489837</c:v>
                  </c:pt>
                  <c:pt idx="1">
                    <c:v>8.7686060067485787</c:v>
                  </c:pt>
                  <c:pt idx="2">
                    <c:v>6.9233625350887547</c:v>
                  </c:pt>
                  <c:pt idx="3">
                    <c:v>3.8320305449347614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</c:errBars>
          <c:cat>
            <c:strRef>
              <c:f>★graphs!$I$2:$L$2</c:f>
              <c:strCache>
                <c:ptCount val="4"/>
                <c:pt idx="0">
                  <c:v>d1_thig(-)</c:v>
                </c:pt>
                <c:pt idx="1">
                  <c:v>d1_thig(+)</c:v>
                </c:pt>
                <c:pt idx="2">
                  <c:v>d1_dir(-)</c:v>
                </c:pt>
                <c:pt idx="3">
                  <c:v>d1_dir(+)</c:v>
                </c:pt>
              </c:strCache>
            </c:strRef>
          </c:cat>
          <c:val>
            <c:numRef>
              <c:f>★graphs!$I$3:$L$3</c:f>
              <c:numCache>
                <c:formatCode>General</c:formatCode>
                <c:ptCount val="4"/>
                <c:pt idx="0">
                  <c:v>41.836363636363636</c:v>
                </c:pt>
                <c:pt idx="1">
                  <c:v>68.634666666666661</c:v>
                </c:pt>
                <c:pt idx="2">
                  <c:v>62.896666666666654</c:v>
                </c:pt>
                <c:pt idx="3">
                  <c:v>28.388888888888889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0C2-2E44-BC92-1E39181325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214900096"/>
        <c:axId val="214905984"/>
      </c:barChart>
      <c:catAx>
        <c:axId val="21490009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ja-JP"/>
          </a:p>
        </c:txPr>
        <c:crossAx val="214905984"/>
        <c:crosses val="autoZero"/>
        <c:auto val="1"/>
        <c:lblAlgn val="ctr"/>
        <c:lblOffset val="100"/>
        <c:noMultiLvlLbl val="0"/>
      </c:catAx>
      <c:valAx>
        <c:axId val="214905984"/>
        <c:scaling>
          <c:orientation val="minMax"/>
          <c:max val="120"/>
          <c:min val="0"/>
        </c:scaling>
        <c:delete val="0"/>
        <c:axPos val="l"/>
        <c:majorGridlines>
          <c:spPr>
            <a:ln>
              <a:noFill/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altLang="ja-JP">
                    <a:latin typeface="Arial" panose="020B0604020202020204" pitchFamily="34" charset="0"/>
                    <a:cs typeface="Arial" panose="020B0604020202020204" pitchFamily="34" charset="0"/>
                  </a:rPr>
                  <a:t>Mean</a:t>
                </a:r>
                <a:r>
                  <a:rPr lang="en-US" altLang="ja-JP" baseline="0">
                    <a:latin typeface="Arial" panose="020B0604020202020204" pitchFamily="34" charset="0"/>
                    <a:cs typeface="Arial" panose="020B0604020202020204" pitchFamily="34" charset="0"/>
                  </a:rPr>
                  <a:t> escape latency at day 5 (sec)</a:t>
                </a:r>
                <a:endParaRPr lang="ja-JP" altLang="en-US"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latin typeface="Arial" panose="020B0604020202020204" pitchFamily="34" charset="0"/>
                <a:ea typeface="Arial Unicode MS" panose="020B0604020202020204" pitchFamily="50" charset="-128"/>
                <a:cs typeface="Arial" panose="020B0604020202020204" pitchFamily="34" charset="0"/>
              </a:defRPr>
            </a:pPr>
            <a:endParaRPr lang="ja-JP"/>
          </a:p>
        </c:txPr>
        <c:crossAx val="214900096"/>
        <c:crosses val="autoZero"/>
        <c:crossBetween val="between"/>
      </c:valAx>
      <c:spPr>
        <a:ln>
          <a:solidFill>
            <a:schemeClr val="tx1"/>
          </a:solidFill>
        </a:ln>
      </c:spPr>
    </c:plotArea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dPt>
            <c:idx val="0"/>
            <c:invertIfNegative val="0"/>
            <c:bubble3D val="0"/>
            <c:spPr>
              <a:noFill/>
              <a:ln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1-B3CA-114B-B0E6-B45631DB47EA}"/>
              </c:ext>
            </c:extLst>
          </c:dPt>
          <c:dPt>
            <c:idx val="1"/>
            <c:invertIfNegative val="0"/>
            <c:bubble3D val="0"/>
            <c:spPr>
              <a:noFill/>
              <a:ln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B3CA-114B-B0E6-B45631DB47EA}"/>
              </c:ext>
            </c:extLst>
          </c:dPt>
          <c:dPt>
            <c:idx val="2"/>
            <c:invertIfNegative val="0"/>
            <c:bubble3D val="0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5-B3CA-114B-B0E6-B45631DB47EA}"/>
              </c:ext>
            </c:extLst>
          </c:dPt>
          <c:dPt>
            <c:idx val="3"/>
            <c:invertIfNegative val="0"/>
            <c:bubble3D val="0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7-B3CA-114B-B0E6-B45631DB47EA}"/>
              </c:ext>
            </c:extLst>
          </c:dPt>
          <c:errBars>
            <c:errBarType val="plus"/>
            <c:errValType val="cust"/>
            <c:noEndCap val="0"/>
            <c:plus>
              <c:numRef>
                <c:f>★graphs!$B$5:$E$5</c:f>
                <c:numCache>
                  <c:formatCode>General</c:formatCode>
                  <c:ptCount val="4"/>
                  <c:pt idx="0">
                    <c:v>5.4650438576054636</c:v>
                  </c:pt>
                  <c:pt idx="1">
                    <c:v>7.9903522619809886</c:v>
                  </c:pt>
                  <c:pt idx="2">
                    <c:v>8.2449299529595059</c:v>
                  </c:pt>
                  <c:pt idx="3">
                    <c:v>5.259694168070431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</c:errBars>
          <c:cat>
            <c:strRef>
              <c:f>★graphs!$P$2:$S$2</c:f>
              <c:strCache>
                <c:ptCount val="4"/>
                <c:pt idx="0">
                  <c:v>d2_thig(-)</c:v>
                </c:pt>
                <c:pt idx="1">
                  <c:v>d2_thig(+)</c:v>
                </c:pt>
                <c:pt idx="2">
                  <c:v>d2_dir(-)</c:v>
                </c:pt>
                <c:pt idx="3">
                  <c:v>d2_dir(+)</c:v>
                </c:pt>
              </c:strCache>
            </c:strRef>
          </c:cat>
          <c:val>
            <c:numRef>
              <c:f>★graphs!$P$3:$S$3</c:f>
              <c:numCache>
                <c:formatCode>General</c:formatCode>
                <c:ptCount val="4"/>
                <c:pt idx="0">
                  <c:v>45.35230769230769</c:v>
                </c:pt>
                <c:pt idx="1">
                  <c:v>71.26444444444445</c:v>
                </c:pt>
                <c:pt idx="2">
                  <c:v>68.17789473684212</c:v>
                </c:pt>
                <c:pt idx="3">
                  <c:v>38.439310344827597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3CA-114B-B0E6-B45631DB47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214932096"/>
        <c:axId val="214937984"/>
      </c:barChart>
      <c:catAx>
        <c:axId val="21493209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ja-JP"/>
          </a:p>
        </c:txPr>
        <c:crossAx val="214937984"/>
        <c:crosses val="autoZero"/>
        <c:auto val="1"/>
        <c:lblAlgn val="ctr"/>
        <c:lblOffset val="100"/>
        <c:noMultiLvlLbl val="0"/>
      </c:catAx>
      <c:valAx>
        <c:axId val="214937984"/>
        <c:scaling>
          <c:orientation val="minMax"/>
          <c:max val="120"/>
          <c:min val="0"/>
        </c:scaling>
        <c:delete val="0"/>
        <c:axPos val="l"/>
        <c:majorGridlines>
          <c:spPr>
            <a:ln>
              <a:noFill/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altLang="ja-JP">
                    <a:latin typeface="Arial" panose="020B0604020202020204" pitchFamily="34" charset="0"/>
                    <a:cs typeface="Arial" panose="020B0604020202020204" pitchFamily="34" charset="0"/>
                  </a:rPr>
                  <a:t>Mean</a:t>
                </a:r>
                <a:r>
                  <a:rPr lang="en-US" altLang="ja-JP" baseline="0">
                    <a:latin typeface="Arial" panose="020B0604020202020204" pitchFamily="34" charset="0"/>
                    <a:cs typeface="Arial" panose="020B0604020202020204" pitchFamily="34" charset="0"/>
                  </a:rPr>
                  <a:t> escape latency at day 5 (sec)</a:t>
                </a:r>
                <a:endParaRPr lang="ja-JP" altLang="en-US"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latin typeface="Arial" panose="020B0604020202020204" pitchFamily="34" charset="0"/>
                <a:ea typeface="Arial Unicode MS" panose="020B0604020202020204" pitchFamily="50" charset="-128"/>
                <a:cs typeface="Arial" panose="020B0604020202020204" pitchFamily="34" charset="0"/>
              </a:defRPr>
            </a:pPr>
            <a:endParaRPr lang="ja-JP"/>
          </a:p>
        </c:txPr>
        <c:crossAx val="214932096"/>
        <c:crosses val="autoZero"/>
        <c:crossBetween val="between"/>
      </c:valAx>
      <c:spPr>
        <a:ln>
          <a:solidFill>
            <a:schemeClr val="tx1"/>
          </a:solidFill>
        </a:ln>
      </c:spPr>
    </c:plotArea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dPt>
            <c:idx val="0"/>
            <c:invertIfNegative val="0"/>
            <c:bubble3D val="0"/>
            <c:spPr>
              <a:noFill/>
              <a:ln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1-2788-5048-9049-67195C64D56B}"/>
              </c:ext>
            </c:extLst>
          </c:dPt>
          <c:dPt>
            <c:idx val="1"/>
            <c:invertIfNegative val="0"/>
            <c:bubble3D val="0"/>
            <c:spPr>
              <a:noFill/>
              <a:ln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2788-5048-9049-67195C64D56B}"/>
              </c:ext>
            </c:extLst>
          </c:dPt>
          <c:dPt>
            <c:idx val="2"/>
            <c:invertIfNegative val="0"/>
            <c:bubble3D val="0"/>
            <c:spPr>
              <a:pattFill prst="ltDnDiag">
                <a:fgClr>
                  <a:schemeClr val="tx1"/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5-2788-5048-9049-67195C64D56B}"/>
              </c:ext>
            </c:extLst>
          </c:dPt>
          <c:dPt>
            <c:idx val="3"/>
            <c:invertIfNegative val="0"/>
            <c:bubble3D val="0"/>
            <c:spPr>
              <a:pattFill prst="ltDnDiag">
                <a:fgClr>
                  <a:schemeClr val="tx1"/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7-2788-5048-9049-67195C64D56B}"/>
              </c:ext>
            </c:extLst>
          </c:dPt>
          <c:dPt>
            <c:idx val="4"/>
            <c:invertIfNegative val="0"/>
            <c:bubble3D val="0"/>
            <c:spPr>
              <a:pattFill prst="pct50">
                <a:fgClr>
                  <a:schemeClr val="tx1"/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9-2788-5048-9049-67195C64D56B}"/>
              </c:ext>
            </c:extLst>
          </c:dPt>
          <c:dPt>
            <c:idx val="5"/>
            <c:invertIfNegative val="0"/>
            <c:bubble3D val="0"/>
            <c:spPr>
              <a:pattFill prst="pct50">
                <a:fgClr>
                  <a:schemeClr val="tx1"/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B-2788-5048-9049-67195C64D56B}"/>
              </c:ext>
            </c:extLst>
          </c:dPt>
          <c:dPt>
            <c:idx val="6"/>
            <c:invertIfNegative val="0"/>
            <c:bubble3D val="0"/>
            <c:spPr>
              <a:pattFill prst="pct5">
                <a:fgClr>
                  <a:schemeClr val="tx1"/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D-2788-5048-9049-67195C64D56B}"/>
              </c:ext>
            </c:extLst>
          </c:dPt>
          <c:dPt>
            <c:idx val="7"/>
            <c:invertIfNegative val="0"/>
            <c:bubble3D val="0"/>
            <c:spPr>
              <a:pattFill prst="pct5">
                <a:fgClr>
                  <a:schemeClr val="tx1"/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F-2788-5048-9049-67195C64D56B}"/>
              </c:ext>
            </c:extLst>
          </c:dPt>
          <c:dPt>
            <c:idx val="8"/>
            <c:invertIfNegative val="0"/>
            <c:bubble3D val="0"/>
            <c:spPr>
              <a:pattFill prst="zigZag">
                <a:fgClr>
                  <a:schemeClr val="tx1"/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11-2788-5048-9049-67195C64D56B}"/>
              </c:ext>
            </c:extLst>
          </c:dPt>
          <c:dPt>
            <c:idx val="9"/>
            <c:invertIfNegative val="0"/>
            <c:bubble3D val="0"/>
            <c:spPr>
              <a:pattFill prst="zigZag">
                <a:fgClr>
                  <a:schemeClr val="tx1"/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13-2788-5048-9049-67195C64D56B}"/>
              </c:ext>
            </c:extLst>
          </c:dPt>
          <c:dPt>
            <c:idx val="10"/>
            <c:invertIfNegative val="0"/>
            <c:bubble3D val="0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15-2788-5048-9049-67195C64D56B}"/>
              </c:ext>
            </c:extLst>
          </c:dPt>
          <c:dPt>
            <c:idx val="11"/>
            <c:invertIfNegative val="0"/>
            <c:bubble3D val="0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17-2788-5048-9049-67195C64D56B}"/>
              </c:ext>
            </c:extLst>
          </c:dPt>
          <c:errBars>
            <c:errBarType val="plus"/>
            <c:errValType val="cust"/>
            <c:noEndCap val="0"/>
            <c:plus>
              <c:numRef>
                <c:f>★graphs!$B$36:$M$36</c:f>
                <c:numCache>
                  <c:formatCode>General</c:formatCode>
                  <c:ptCount val="12"/>
                  <c:pt idx="0">
                    <c:v>5.4650438576054636</c:v>
                  </c:pt>
                  <c:pt idx="1">
                    <c:v>7.9903522619809886</c:v>
                  </c:pt>
                  <c:pt idx="2">
                    <c:v>6.5282652146720155</c:v>
                  </c:pt>
                  <c:pt idx="3">
                    <c:v>7.7313280665031305</c:v>
                  </c:pt>
                  <c:pt idx="4">
                    <c:v>8.8357120536530047</c:v>
                  </c:pt>
                  <c:pt idx="5">
                    <c:v>6.0184296277079961</c:v>
                  </c:pt>
                  <c:pt idx="6">
                    <c:v>10.798064538507722</c:v>
                  </c:pt>
                  <c:pt idx="7">
                    <c:v>5.4458260498264837</c:v>
                  </c:pt>
                  <c:pt idx="8">
                    <c:v>10.850485375728073</c:v>
                  </c:pt>
                  <c:pt idx="9">
                    <c:v>5.4907514718558232</c:v>
                  </c:pt>
                  <c:pt idx="10">
                    <c:v>8.2449299529595059</c:v>
                  </c:pt>
                  <c:pt idx="11">
                    <c:v>5.259694168070431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</c:errBars>
          <c:cat>
            <c:strRef>
              <c:f>★graphs!$B$33:$M$33</c:f>
              <c:strCache>
                <c:ptCount val="12"/>
                <c:pt idx="0">
                  <c:v>e_thig(-)</c:v>
                </c:pt>
                <c:pt idx="1">
                  <c:v>e_thig(+)</c:v>
                </c:pt>
                <c:pt idx="2">
                  <c:v>e rota(-)</c:v>
                </c:pt>
                <c:pt idx="3">
                  <c:v>e rota(+)</c:v>
                </c:pt>
                <c:pt idx="4">
                  <c:v>e focal(-)</c:v>
                </c:pt>
                <c:pt idx="5">
                  <c:v>e focal (+)</c:v>
                </c:pt>
                <c:pt idx="6">
                  <c:v>e scan(-)</c:v>
                </c:pt>
                <c:pt idx="7">
                  <c:v>e scan(+)</c:v>
                </c:pt>
                <c:pt idx="8">
                  <c:v>e_circ(-)</c:v>
                </c:pt>
                <c:pt idx="9">
                  <c:v>e_circ(+)</c:v>
                </c:pt>
                <c:pt idx="10">
                  <c:v>e_dir(-)</c:v>
                </c:pt>
                <c:pt idx="11">
                  <c:v>e_dir(+)</c:v>
                </c:pt>
              </c:strCache>
            </c:strRef>
          </c:cat>
          <c:val>
            <c:numRef>
              <c:f>★graphs!$B$34:$M$34</c:f>
              <c:numCache>
                <c:formatCode>General</c:formatCode>
                <c:ptCount val="12"/>
                <c:pt idx="0">
                  <c:v>38.658620689655166</c:v>
                </c:pt>
                <c:pt idx="1">
                  <c:v>67.843157894736848</c:v>
                </c:pt>
                <c:pt idx="2">
                  <c:v>53.547586206896547</c:v>
                </c:pt>
                <c:pt idx="3">
                  <c:v>45.117894736842111</c:v>
                </c:pt>
                <c:pt idx="4">
                  <c:v>44.498461538461541</c:v>
                </c:pt>
                <c:pt idx="5">
                  <c:v>52.332571428571434</c:v>
                </c:pt>
                <c:pt idx="6">
                  <c:v>63.963333333333331</c:v>
                </c:pt>
                <c:pt idx="7">
                  <c:v>48.246190476190471</c:v>
                </c:pt>
                <c:pt idx="8">
                  <c:v>35.112000000000009</c:v>
                </c:pt>
                <c:pt idx="9">
                  <c:v>54.184210526315788</c:v>
                </c:pt>
                <c:pt idx="10">
                  <c:v>68.17789473684212</c:v>
                </c:pt>
                <c:pt idx="11">
                  <c:v>38.439310344827589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2788-5048-9049-67195C64D5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92993536"/>
        <c:axId val="201523200"/>
      </c:barChart>
      <c:catAx>
        <c:axId val="19299353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ja-JP"/>
          </a:p>
        </c:txPr>
        <c:crossAx val="201523200"/>
        <c:crosses val="autoZero"/>
        <c:auto val="1"/>
        <c:lblAlgn val="ctr"/>
        <c:lblOffset val="100"/>
        <c:noMultiLvlLbl val="0"/>
      </c:catAx>
      <c:valAx>
        <c:axId val="201523200"/>
        <c:scaling>
          <c:orientation val="minMax"/>
          <c:max val="120"/>
          <c:min val="0"/>
        </c:scaling>
        <c:delete val="0"/>
        <c:axPos val="l"/>
        <c:majorGridlines>
          <c:spPr>
            <a:ln>
              <a:noFill/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altLang="ja-JP">
                    <a:latin typeface="Arial" panose="020B0604020202020204" pitchFamily="34" charset="0"/>
                    <a:cs typeface="Arial" panose="020B0604020202020204" pitchFamily="34" charset="0"/>
                  </a:rPr>
                  <a:t>Mean</a:t>
                </a:r>
                <a:r>
                  <a:rPr lang="en-US" altLang="ja-JP" baseline="0">
                    <a:latin typeface="Arial" panose="020B0604020202020204" pitchFamily="34" charset="0"/>
                    <a:cs typeface="Arial" panose="020B0604020202020204" pitchFamily="34" charset="0"/>
                  </a:rPr>
                  <a:t> escape latency at day 5 (sec)</a:t>
                </a:r>
                <a:endParaRPr lang="ja-JP" altLang="en-US"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latin typeface="Arial" panose="020B0604020202020204" pitchFamily="34" charset="0"/>
                <a:ea typeface="Arial Unicode MS" panose="020B0604020202020204" pitchFamily="50" charset="-128"/>
                <a:cs typeface="Arial" panose="020B0604020202020204" pitchFamily="34" charset="0"/>
              </a:defRPr>
            </a:pPr>
            <a:endParaRPr lang="ja-JP"/>
          </a:p>
        </c:txPr>
        <c:crossAx val="192993536"/>
        <c:crosses val="autoZero"/>
        <c:crossBetween val="between"/>
      </c:valAx>
      <c:spPr>
        <a:ln>
          <a:solidFill>
            <a:schemeClr val="tx1"/>
          </a:solidFill>
        </a:ln>
      </c:spPr>
    </c:plotArea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349250</xdr:colOff>
      <xdr:row>110</xdr:row>
      <xdr:rowOff>88899</xdr:rowOff>
    </xdr:from>
    <xdr:to>
      <xdr:col>19</xdr:col>
      <xdr:colOff>174625</xdr:colOff>
      <xdr:row>130</xdr:row>
      <xdr:rowOff>142874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F46CF3F9-6A8B-B64C-8674-9FE7C784B0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746125</xdr:colOff>
      <xdr:row>141</xdr:row>
      <xdr:rowOff>25400</xdr:rowOff>
    </xdr:from>
    <xdr:to>
      <xdr:col>20</xdr:col>
      <xdr:colOff>476250</xdr:colOff>
      <xdr:row>161</xdr:row>
      <xdr:rowOff>79376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A9A36662-D002-E045-BA12-CFAC92F608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438151</xdr:colOff>
      <xdr:row>63</xdr:row>
      <xdr:rowOff>100012</xdr:rowOff>
    </xdr:from>
    <xdr:to>
      <xdr:col>8</xdr:col>
      <xdr:colOff>416719</xdr:colOff>
      <xdr:row>81</xdr:row>
      <xdr:rowOff>52387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642938</xdr:colOff>
      <xdr:row>63</xdr:row>
      <xdr:rowOff>83344</xdr:rowOff>
    </xdr:from>
    <xdr:to>
      <xdr:col>14</xdr:col>
      <xdr:colOff>607220</xdr:colOff>
      <xdr:row>81</xdr:row>
      <xdr:rowOff>44053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133350</xdr:colOff>
      <xdr:row>8</xdr:row>
      <xdr:rowOff>33337</xdr:rowOff>
    </xdr:from>
    <xdr:to>
      <xdr:col>6</xdr:col>
      <xdr:colOff>590550</xdr:colOff>
      <xdr:row>24</xdr:row>
      <xdr:rowOff>33337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38100</xdr:colOff>
      <xdr:row>8</xdr:row>
      <xdr:rowOff>47625</xdr:rowOff>
    </xdr:from>
    <xdr:to>
      <xdr:col>13</xdr:col>
      <xdr:colOff>495300</xdr:colOff>
      <xdr:row>24</xdr:row>
      <xdr:rowOff>114300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664368</xdr:colOff>
      <xdr:row>8</xdr:row>
      <xdr:rowOff>80963</xdr:rowOff>
    </xdr:from>
    <xdr:to>
      <xdr:col>20</xdr:col>
      <xdr:colOff>431006</xdr:colOff>
      <xdr:row>24</xdr:row>
      <xdr:rowOff>80963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11906</xdr:colOff>
      <xdr:row>38</xdr:row>
      <xdr:rowOff>3572</xdr:rowOff>
    </xdr:from>
    <xdr:to>
      <xdr:col>8</xdr:col>
      <xdr:colOff>440531</xdr:colOff>
      <xdr:row>54</xdr:row>
      <xdr:rowOff>79772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22"/>
  <sheetViews>
    <sheetView zoomScale="80" zoomScaleNormal="80" workbookViewId="0">
      <selection activeCell="M121" sqref="M121"/>
    </sheetView>
  </sheetViews>
  <sheetFormatPr baseColWidth="10" defaultRowHeight="14"/>
  <sheetData>
    <row r="1" spans="1:13">
      <c r="D1" s="30" t="s">
        <v>9</v>
      </c>
      <c r="E1" s="30"/>
      <c r="F1" s="30" t="s">
        <v>10</v>
      </c>
      <c r="G1" s="30"/>
      <c r="H1" s="30" t="s">
        <v>265</v>
      </c>
      <c r="I1" s="30"/>
      <c r="J1" s="30" t="s">
        <v>266</v>
      </c>
      <c r="K1" s="30"/>
      <c r="L1" s="30" t="s">
        <v>267</v>
      </c>
      <c r="M1" s="30"/>
    </row>
    <row r="2" spans="1:13">
      <c r="D2" t="s">
        <v>268</v>
      </c>
      <c r="F2" t="s">
        <v>268</v>
      </c>
      <c r="H2" t="s">
        <v>268</v>
      </c>
      <c r="J2" t="s">
        <v>268</v>
      </c>
      <c r="L2" t="s">
        <v>268</v>
      </c>
    </row>
    <row r="3" spans="1:13">
      <c r="A3">
        <v>160103</v>
      </c>
      <c r="B3" t="s">
        <v>136</v>
      </c>
      <c r="C3">
        <v>1</v>
      </c>
      <c r="D3" t="s">
        <v>312</v>
      </c>
      <c r="F3" t="s">
        <v>311</v>
      </c>
      <c r="H3" t="s">
        <v>314</v>
      </c>
      <c r="J3" t="s">
        <v>220</v>
      </c>
      <c r="L3" t="s">
        <v>220</v>
      </c>
    </row>
    <row r="4" spans="1:13">
      <c r="C4">
        <v>2</v>
      </c>
      <c r="D4" t="s">
        <v>312</v>
      </c>
      <c r="F4" t="s">
        <v>311</v>
      </c>
      <c r="H4" t="s">
        <v>310</v>
      </c>
      <c r="J4" t="s">
        <v>314</v>
      </c>
      <c r="L4" t="s">
        <v>314</v>
      </c>
    </row>
    <row r="5" spans="1:13">
      <c r="C5">
        <v>3</v>
      </c>
      <c r="D5" t="s">
        <v>312</v>
      </c>
      <c r="F5" t="s">
        <v>220</v>
      </c>
      <c r="H5" t="s">
        <v>310</v>
      </c>
      <c r="J5" t="s">
        <v>314</v>
      </c>
      <c r="L5" t="s">
        <v>220</v>
      </c>
    </row>
    <row r="6" spans="1:13">
      <c r="C6">
        <v>4</v>
      </c>
      <c r="D6" t="s">
        <v>309</v>
      </c>
      <c r="F6" t="s">
        <v>311</v>
      </c>
      <c r="H6" t="s">
        <v>310</v>
      </c>
      <c r="J6" t="s">
        <v>314</v>
      </c>
      <c r="L6" t="s">
        <v>314</v>
      </c>
    </row>
    <row r="7" spans="1:13">
      <c r="C7">
        <v>5</v>
      </c>
      <c r="D7" t="s">
        <v>309</v>
      </c>
      <c r="F7" t="s">
        <v>310</v>
      </c>
      <c r="H7" t="s">
        <v>220</v>
      </c>
      <c r="J7" t="s">
        <v>220</v>
      </c>
      <c r="L7" t="s">
        <v>220</v>
      </c>
    </row>
    <row r="8" spans="1:13">
      <c r="B8" t="s">
        <v>137</v>
      </c>
      <c r="C8">
        <v>1</v>
      </c>
      <c r="D8" t="s">
        <v>311</v>
      </c>
      <c r="F8" t="s">
        <v>314</v>
      </c>
      <c r="H8" t="s">
        <v>314</v>
      </c>
      <c r="J8" t="s">
        <v>311</v>
      </c>
      <c r="L8" t="s">
        <v>312</v>
      </c>
    </row>
    <row r="9" spans="1:13">
      <c r="C9">
        <v>2</v>
      </c>
      <c r="D9" t="s">
        <v>312</v>
      </c>
      <c r="F9" t="s">
        <v>311</v>
      </c>
      <c r="H9" t="s">
        <v>311</v>
      </c>
      <c r="J9" t="s">
        <v>311</v>
      </c>
      <c r="L9" t="s">
        <v>312</v>
      </c>
    </row>
    <row r="10" spans="1:13">
      <c r="C10">
        <v>3</v>
      </c>
      <c r="D10" t="s">
        <v>312</v>
      </c>
      <c r="F10" t="s">
        <v>311</v>
      </c>
      <c r="H10" t="s">
        <v>309</v>
      </c>
      <c r="J10" t="s">
        <v>309</v>
      </c>
      <c r="L10" t="s">
        <v>309</v>
      </c>
    </row>
    <row r="11" spans="1:13">
      <c r="C11">
        <v>4</v>
      </c>
      <c r="D11" t="s">
        <v>309</v>
      </c>
      <c r="F11" t="s">
        <v>314</v>
      </c>
      <c r="H11" t="s">
        <v>220</v>
      </c>
      <c r="J11" t="s">
        <v>309</v>
      </c>
      <c r="L11" t="s">
        <v>220</v>
      </c>
    </row>
    <row r="12" spans="1:13">
      <c r="C12">
        <v>5</v>
      </c>
      <c r="D12" t="s">
        <v>312</v>
      </c>
      <c r="F12" t="s">
        <v>310</v>
      </c>
      <c r="H12" t="s">
        <v>314</v>
      </c>
      <c r="J12" t="s">
        <v>310</v>
      </c>
      <c r="L12" t="s">
        <v>309</v>
      </c>
    </row>
    <row r="13" spans="1:13">
      <c r="B13" t="s">
        <v>138</v>
      </c>
      <c r="C13">
        <v>1</v>
      </c>
      <c r="D13" t="s">
        <v>309</v>
      </c>
      <c r="F13" t="s">
        <v>309</v>
      </c>
      <c r="H13" t="s">
        <v>309</v>
      </c>
      <c r="J13" t="s">
        <v>309</v>
      </c>
      <c r="L13" t="s">
        <v>314</v>
      </c>
    </row>
    <row r="14" spans="1:13">
      <c r="C14">
        <v>2</v>
      </c>
      <c r="D14" t="s">
        <v>309</v>
      </c>
      <c r="F14" t="s">
        <v>309</v>
      </c>
      <c r="H14" t="s">
        <v>310</v>
      </c>
      <c r="J14" t="s">
        <v>314</v>
      </c>
      <c r="L14" t="s">
        <v>220</v>
      </c>
    </row>
    <row r="15" spans="1:13">
      <c r="C15">
        <v>3</v>
      </c>
      <c r="D15" t="s">
        <v>309</v>
      </c>
      <c r="F15" t="s">
        <v>309</v>
      </c>
      <c r="H15" t="s">
        <v>314</v>
      </c>
      <c r="J15" t="s">
        <v>309</v>
      </c>
      <c r="L15" t="s">
        <v>314</v>
      </c>
    </row>
    <row r="16" spans="1:13">
      <c r="C16">
        <v>4</v>
      </c>
      <c r="D16" t="s">
        <v>309</v>
      </c>
      <c r="F16" t="s">
        <v>311</v>
      </c>
      <c r="H16" t="s">
        <v>220</v>
      </c>
      <c r="J16" t="s">
        <v>220</v>
      </c>
      <c r="L16" t="s">
        <v>220</v>
      </c>
    </row>
    <row r="17" spans="1:12">
      <c r="C17">
        <v>5</v>
      </c>
      <c r="D17" t="s">
        <v>309</v>
      </c>
      <c r="F17" t="s">
        <v>314</v>
      </c>
      <c r="H17" t="s">
        <v>311</v>
      </c>
      <c r="J17" t="s">
        <v>314</v>
      </c>
      <c r="L17" t="s">
        <v>314</v>
      </c>
    </row>
    <row r="18" spans="1:12">
      <c r="A18">
        <v>160113</v>
      </c>
      <c r="B18" t="s">
        <v>139</v>
      </c>
      <c r="C18">
        <v>1</v>
      </c>
      <c r="D18" t="s">
        <v>311</v>
      </c>
      <c r="F18" t="s">
        <v>220</v>
      </c>
      <c r="H18" t="s">
        <v>311</v>
      </c>
      <c r="J18" t="s">
        <v>314</v>
      </c>
      <c r="L18" t="s">
        <v>311</v>
      </c>
    </row>
    <row r="19" spans="1:12">
      <c r="C19">
        <v>2</v>
      </c>
      <c r="D19" t="s">
        <v>311</v>
      </c>
      <c r="F19" t="s">
        <v>309</v>
      </c>
      <c r="H19" t="s">
        <v>220</v>
      </c>
      <c r="J19" t="s">
        <v>220</v>
      </c>
      <c r="L19" t="s">
        <v>314</v>
      </c>
    </row>
    <row r="20" spans="1:12">
      <c r="C20">
        <v>3</v>
      </c>
      <c r="D20" t="s">
        <v>311</v>
      </c>
      <c r="F20" t="s">
        <v>312</v>
      </c>
      <c r="H20" t="s">
        <v>220</v>
      </c>
      <c r="J20" t="s">
        <v>314</v>
      </c>
      <c r="L20" t="s">
        <v>314</v>
      </c>
    </row>
    <row r="21" spans="1:12">
      <c r="C21">
        <v>4</v>
      </c>
      <c r="D21" t="s">
        <v>310</v>
      </c>
      <c r="F21" t="s">
        <v>314</v>
      </c>
      <c r="H21" t="s">
        <v>314</v>
      </c>
      <c r="J21" t="s">
        <v>314</v>
      </c>
      <c r="L21" t="s">
        <v>220</v>
      </c>
    </row>
    <row r="22" spans="1:12">
      <c r="C22">
        <v>5</v>
      </c>
      <c r="D22" t="s">
        <v>310</v>
      </c>
      <c r="F22" t="s">
        <v>310</v>
      </c>
      <c r="H22" t="s">
        <v>311</v>
      </c>
      <c r="J22" t="s">
        <v>314</v>
      </c>
      <c r="L22" t="s">
        <v>310</v>
      </c>
    </row>
    <row r="23" spans="1:12">
      <c r="B23" t="s">
        <v>293</v>
      </c>
      <c r="C23">
        <v>1</v>
      </c>
      <c r="D23" t="s">
        <v>311</v>
      </c>
      <c r="F23" t="s">
        <v>310</v>
      </c>
      <c r="H23" t="s">
        <v>220</v>
      </c>
      <c r="J23" t="s">
        <v>310</v>
      </c>
      <c r="L23" t="s">
        <v>220</v>
      </c>
    </row>
    <row r="24" spans="1:12">
      <c r="C24">
        <v>2</v>
      </c>
      <c r="D24" t="s">
        <v>311</v>
      </c>
      <c r="F24" t="s">
        <v>310</v>
      </c>
      <c r="H24" t="s">
        <v>220</v>
      </c>
      <c r="J24" t="s">
        <v>314</v>
      </c>
      <c r="L24" t="s">
        <v>314</v>
      </c>
    </row>
    <row r="25" spans="1:12">
      <c r="C25">
        <v>3</v>
      </c>
      <c r="D25" t="s">
        <v>310</v>
      </c>
      <c r="F25" t="s">
        <v>310</v>
      </c>
      <c r="H25" t="s">
        <v>314</v>
      </c>
      <c r="J25" t="s">
        <v>220</v>
      </c>
      <c r="L25" t="s">
        <v>314</v>
      </c>
    </row>
    <row r="26" spans="1:12">
      <c r="C26">
        <v>4</v>
      </c>
      <c r="D26" t="s">
        <v>310</v>
      </c>
      <c r="F26" t="s">
        <v>310</v>
      </c>
      <c r="H26" t="s">
        <v>220</v>
      </c>
      <c r="J26" t="s">
        <v>314</v>
      </c>
      <c r="L26" t="s">
        <v>220</v>
      </c>
    </row>
    <row r="27" spans="1:12">
      <c r="C27">
        <v>5</v>
      </c>
      <c r="D27" t="s">
        <v>314</v>
      </c>
      <c r="F27" t="s">
        <v>310</v>
      </c>
      <c r="H27" t="s">
        <v>316</v>
      </c>
      <c r="J27" t="s">
        <v>314</v>
      </c>
      <c r="L27" t="s">
        <v>220</v>
      </c>
    </row>
    <row r="28" spans="1:12">
      <c r="B28" t="s">
        <v>294</v>
      </c>
      <c r="C28">
        <v>1</v>
      </c>
      <c r="D28" t="s">
        <v>311</v>
      </c>
      <c r="F28" t="s">
        <v>310</v>
      </c>
      <c r="H28" t="s">
        <v>310</v>
      </c>
      <c r="J28" t="s">
        <v>220</v>
      </c>
      <c r="L28" t="s">
        <v>220</v>
      </c>
    </row>
    <row r="29" spans="1:12">
      <c r="C29">
        <v>2</v>
      </c>
      <c r="D29" t="s">
        <v>311</v>
      </c>
      <c r="F29" t="s">
        <v>310</v>
      </c>
      <c r="H29" t="s">
        <v>310</v>
      </c>
      <c r="J29" t="s">
        <v>310</v>
      </c>
      <c r="L29" t="s">
        <v>220</v>
      </c>
    </row>
    <row r="30" spans="1:12">
      <c r="C30">
        <v>3</v>
      </c>
      <c r="D30" t="s">
        <v>311</v>
      </c>
      <c r="F30" t="s">
        <v>310</v>
      </c>
      <c r="H30" t="s">
        <v>220</v>
      </c>
      <c r="J30" t="s">
        <v>314</v>
      </c>
      <c r="L30" t="s">
        <v>314</v>
      </c>
    </row>
    <row r="31" spans="1:12">
      <c r="C31">
        <v>4</v>
      </c>
      <c r="D31" t="s">
        <v>311</v>
      </c>
      <c r="F31" t="s">
        <v>310</v>
      </c>
      <c r="H31" t="s">
        <v>314</v>
      </c>
      <c r="J31" t="s">
        <v>310</v>
      </c>
      <c r="L31" t="s">
        <v>314</v>
      </c>
    </row>
    <row r="32" spans="1:12">
      <c r="C32">
        <v>5</v>
      </c>
      <c r="D32" t="s">
        <v>310</v>
      </c>
      <c r="F32" t="s">
        <v>310</v>
      </c>
      <c r="H32" t="s">
        <v>220</v>
      </c>
      <c r="J32" t="s">
        <v>314</v>
      </c>
      <c r="L32" t="s">
        <v>220</v>
      </c>
    </row>
    <row r="33" spans="1:12">
      <c r="A33">
        <v>160425</v>
      </c>
      <c r="B33" t="s">
        <v>295</v>
      </c>
      <c r="C33">
        <v>1</v>
      </c>
      <c r="D33" t="s">
        <v>311</v>
      </c>
      <c r="F33" t="s">
        <v>310</v>
      </c>
      <c r="H33" t="s">
        <v>311</v>
      </c>
      <c r="J33" t="s">
        <v>311</v>
      </c>
      <c r="L33" t="s">
        <v>310</v>
      </c>
    </row>
    <row r="34" spans="1:12">
      <c r="C34">
        <v>2</v>
      </c>
      <c r="D34" t="s">
        <v>309</v>
      </c>
      <c r="F34" t="s">
        <v>310</v>
      </c>
      <c r="H34" t="s">
        <v>220</v>
      </c>
      <c r="J34" t="s">
        <v>310</v>
      </c>
      <c r="L34" t="s">
        <v>314</v>
      </c>
    </row>
    <row r="35" spans="1:12">
      <c r="C35">
        <v>3</v>
      </c>
      <c r="D35" t="s">
        <v>314</v>
      </c>
      <c r="F35" t="s">
        <v>314</v>
      </c>
      <c r="H35" t="s">
        <v>220</v>
      </c>
      <c r="J35" t="s">
        <v>220</v>
      </c>
      <c r="L35" t="s">
        <v>220</v>
      </c>
    </row>
    <row r="36" spans="1:12">
      <c r="C36">
        <v>4</v>
      </c>
      <c r="D36" t="s">
        <v>220</v>
      </c>
      <c r="F36" t="s">
        <v>314</v>
      </c>
      <c r="H36" t="s">
        <v>220</v>
      </c>
      <c r="J36" t="s">
        <v>310</v>
      </c>
      <c r="L36" t="s">
        <v>310</v>
      </c>
    </row>
    <row r="37" spans="1:12">
      <c r="C37">
        <v>5</v>
      </c>
      <c r="D37" t="s">
        <v>314</v>
      </c>
      <c r="F37" t="s">
        <v>310</v>
      </c>
      <c r="H37" t="s">
        <v>310</v>
      </c>
      <c r="J37" t="s">
        <v>314</v>
      </c>
      <c r="L37" t="s">
        <v>311</v>
      </c>
    </row>
    <row r="38" spans="1:12">
      <c r="B38" t="s">
        <v>296</v>
      </c>
      <c r="C38">
        <v>1</v>
      </c>
      <c r="D38" t="s">
        <v>311</v>
      </c>
      <c r="F38" t="s">
        <v>220</v>
      </c>
      <c r="H38" t="s">
        <v>311</v>
      </c>
      <c r="J38" t="s">
        <v>311</v>
      </c>
      <c r="L38" t="s">
        <v>220</v>
      </c>
    </row>
    <row r="39" spans="1:12">
      <c r="C39">
        <v>2</v>
      </c>
      <c r="D39" t="s">
        <v>314</v>
      </c>
      <c r="F39" t="s">
        <v>309</v>
      </c>
      <c r="H39" t="s">
        <v>309</v>
      </c>
      <c r="J39" t="s">
        <v>314</v>
      </c>
      <c r="L39" t="s">
        <v>310</v>
      </c>
    </row>
    <row r="40" spans="1:12">
      <c r="C40">
        <v>3</v>
      </c>
      <c r="D40" t="s">
        <v>310</v>
      </c>
      <c r="F40" t="s">
        <v>220</v>
      </c>
      <c r="H40" t="s">
        <v>310</v>
      </c>
      <c r="J40" t="s">
        <v>314</v>
      </c>
      <c r="L40" t="s">
        <v>310</v>
      </c>
    </row>
    <row r="41" spans="1:12">
      <c r="C41">
        <v>4</v>
      </c>
      <c r="D41" t="s">
        <v>310</v>
      </c>
      <c r="F41" t="s">
        <v>220</v>
      </c>
      <c r="H41" t="s">
        <v>314</v>
      </c>
      <c r="J41" t="s">
        <v>314</v>
      </c>
      <c r="L41" t="s">
        <v>310</v>
      </c>
    </row>
    <row r="42" spans="1:12">
      <c r="C42">
        <v>5</v>
      </c>
      <c r="D42" t="s">
        <v>311</v>
      </c>
      <c r="F42" t="s">
        <v>310</v>
      </c>
      <c r="H42" t="s">
        <v>220</v>
      </c>
      <c r="J42" t="s">
        <v>310</v>
      </c>
      <c r="L42" t="s">
        <v>310</v>
      </c>
    </row>
    <row r="43" spans="1:12">
      <c r="B43" t="s">
        <v>297</v>
      </c>
      <c r="C43">
        <v>1</v>
      </c>
      <c r="D43" t="s">
        <v>311</v>
      </c>
      <c r="F43" t="s">
        <v>311</v>
      </c>
      <c r="H43" t="s">
        <v>220</v>
      </c>
      <c r="J43" t="s">
        <v>310</v>
      </c>
      <c r="L43" t="s">
        <v>314</v>
      </c>
    </row>
    <row r="44" spans="1:12">
      <c r="C44">
        <v>2</v>
      </c>
      <c r="D44" t="s">
        <v>311</v>
      </c>
      <c r="F44" t="s">
        <v>220</v>
      </c>
      <c r="H44" t="s">
        <v>311</v>
      </c>
      <c r="J44" t="s">
        <v>310</v>
      </c>
      <c r="L44" t="s">
        <v>310</v>
      </c>
    </row>
    <row r="45" spans="1:12">
      <c r="C45">
        <v>3</v>
      </c>
      <c r="D45" t="s">
        <v>314</v>
      </c>
      <c r="F45" t="s">
        <v>314</v>
      </c>
      <c r="H45" t="s">
        <v>309</v>
      </c>
      <c r="J45" t="s">
        <v>310</v>
      </c>
      <c r="L45" t="s">
        <v>310</v>
      </c>
    </row>
    <row r="46" spans="1:12">
      <c r="C46">
        <v>4</v>
      </c>
      <c r="D46" t="s">
        <v>314</v>
      </c>
      <c r="F46" t="s">
        <v>220</v>
      </c>
      <c r="H46" t="s">
        <v>310</v>
      </c>
      <c r="J46" t="s">
        <v>314</v>
      </c>
      <c r="L46" t="s">
        <v>314</v>
      </c>
    </row>
    <row r="47" spans="1:12">
      <c r="C47">
        <v>5</v>
      </c>
      <c r="D47" t="s">
        <v>310</v>
      </c>
      <c r="F47" t="s">
        <v>309</v>
      </c>
      <c r="H47" t="s">
        <v>220</v>
      </c>
      <c r="J47" t="s">
        <v>314</v>
      </c>
      <c r="L47" t="s">
        <v>310</v>
      </c>
    </row>
    <row r="48" spans="1:12">
      <c r="B48" t="s">
        <v>298</v>
      </c>
      <c r="C48">
        <v>1</v>
      </c>
      <c r="D48" t="s">
        <v>311</v>
      </c>
      <c r="F48" t="s">
        <v>311</v>
      </c>
      <c r="H48" t="s">
        <v>310</v>
      </c>
      <c r="J48" t="s">
        <v>309</v>
      </c>
      <c r="L48" t="s">
        <v>314</v>
      </c>
    </row>
    <row r="49" spans="1:12">
      <c r="C49">
        <v>2</v>
      </c>
      <c r="D49" t="s">
        <v>311</v>
      </c>
      <c r="F49" t="s">
        <v>314</v>
      </c>
      <c r="H49" t="s">
        <v>310</v>
      </c>
      <c r="J49" t="s">
        <v>310</v>
      </c>
      <c r="L49" t="s">
        <v>314</v>
      </c>
    </row>
    <row r="50" spans="1:12">
      <c r="C50">
        <v>3</v>
      </c>
      <c r="D50" t="s">
        <v>309</v>
      </c>
      <c r="F50" t="s">
        <v>311</v>
      </c>
      <c r="H50" t="s">
        <v>314</v>
      </c>
      <c r="J50" t="s">
        <v>314</v>
      </c>
      <c r="L50" t="s">
        <v>310</v>
      </c>
    </row>
    <row r="51" spans="1:12">
      <c r="C51">
        <v>4</v>
      </c>
      <c r="D51" t="s">
        <v>220</v>
      </c>
      <c r="F51" t="s">
        <v>311</v>
      </c>
      <c r="H51" t="s">
        <v>314</v>
      </c>
      <c r="J51" t="s">
        <v>310</v>
      </c>
      <c r="L51" t="s">
        <v>314</v>
      </c>
    </row>
    <row r="52" spans="1:12">
      <c r="C52">
        <v>5</v>
      </c>
      <c r="D52" t="s">
        <v>311</v>
      </c>
      <c r="F52" t="s">
        <v>311</v>
      </c>
      <c r="H52" t="s">
        <v>314</v>
      </c>
      <c r="J52" t="s">
        <v>314</v>
      </c>
      <c r="L52" t="s">
        <v>314</v>
      </c>
    </row>
    <row r="53" spans="1:12">
      <c r="B53" t="s">
        <v>299</v>
      </c>
      <c r="C53">
        <v>1</v>
      </c>
      <c r="D53" t="s">
        <v>311</v>
      </c>
      <c r="F53" t="s">
        <v>220</v>
      </c>
      <c r="H53" t="s">
        <v>312</v>
      </c>
      <c r="J53" t="s">
        <v>310</v>
      </c>
      <c r="L53" t="s">
        <v>220</v>
      </c>
    </row>
    <row r="54" spans="1:12">
      <c r="C54">
        <v>2</v>
      </c>
      <c r="D54" t="s">
        <v>311</v>
      </c>
      <c r="F54" t="s">
        <v>314</v>
      </c>
      <c r="H54" t="s">
        <v>311</v>
      </c>
      <c r="J54" t="s">
        <v>310</v>
      </c>
      <c r="L54" t="s">
        <v>310</v>
      </c>
    </row>
    <row r="55" spans="1:12">
      <c r="C55">
        <v>3</v>
      </c>
      <c r="D55" t="s">
        <v>311</v>
      </c>
      <c r="F55" t="s">
        <v>311</v>
      </c>
      <c r="H55" t="s">
        <v>220</v>
      </c>
      <c r="J55" t="s">
        <v>312</v>
      </c>
      <c r="L55" t="s">
        <v>310</v>
      </c>
    </row>
    <row r="56" spans="1:12">
      <c r="C56">
        <v>4</v>
      </c>
      <c r="D56" t="s">
        <v>311</v>
      </c>
      <c r="F56" t="s">
        <v>311</v>
      </c>
      <c r="H56" t="s">
        <v>220</v>
      </c>
      <c r="J56" t="s">
        <v>310</v>
      </c>
      <c r="L56" t="s">
        <v>220</v>
      </c>
    </row>
    <row r="57" spans="1:12">
      <c r="C57">
        <v>5</v>
      </c>
      <c r="D57" t="s">
        <v>311</v>
      </c>
      <c r="F57" t="s">
        <v>220</v>
      </c>
      <c r="H57" t="s">
        <v>220</v>
      </c>
      <c r="J57" t="s">
        <v>310</v>
      </c>
      <c r="L57" t="s">
        <v>310</v>
      </c>
    </row>
    <row r="58" spans="1:12">
      <c r="A58">
        <v>160801</v>
      </c>
      <c r="B58" t="s">
        <v>300</v>
      </c>
      <c r="C58">
        <v>1</v>
      </c>
      <c r="D58" t="s">
        <v>312</v>
      </c>
      <c r="F58" t="s">
        <v>220</v>
      </c>
      <c r="H58" t="s">
        <v>309</v>
      </c>
      <c r="J58" t="s">
        <v>309</v>
      </c>
      <c r="L58" t="s">
        <v>309</v>
      </c>
    </row>
    <row r="59" spans="1:12">
      <c r="C59">
        <v>2</v>
      </c>
      <c r="D59" t="s">
        <v>309</v>
      </c>
      <c r="F59" t="s">
        <v>311</v>
      </c>
      <c r="H59" t="s">
        <v>309</v>
      </c>
      <c r="J59" t="s">
        <v>309</v>
      </c>
      <c r="L59" t="s">
        <v>311</v>
      </c>
    </row>
    <row r="60" spans="1:12">
      <c r="C60">
        <v>3</v>
      </c>
      <c r="D60" t="s">
        <v>309</v>
      </c>
      <c r="F60" t="s">
        <v>311</v>
      </c>
      <c r="H60" t="s">
        <v>309</v>
      </c>
      <c r="J60" t="s">
        <v>311</v>
      </c>
      <c r="L60" t="s">
        <v>314</v>
      </c>
    </row>
    <row r="61" spans="1:12">
      <c r="C61">
        <v>4</v>
      </c>
      <c r="D61" t="s">
        <v>220</v>
      </c>
      <c r="F61" t="s">
        <v>220</v>
      </c>
      <c r="H61" t="s">
        <v>316</v>
      </c>
      <c r="J61" t="s">
        <v>311</v>
      </c>
      <c r="L61" t="s">
        <v>311</v>
      </c>
    </row>
    <row r="62" spans="1:12">
      <c r="C62">
        <v>5</v>
      </c>
      <c r="D62" t="s">
        <v>309</v>
      </c>
      <c r="F62" t="s">
        <v>311</v>
      </c>
      <c r="H62" t="s">
        <v>311</v>
      </c>
      <c r="J62" t="s">
        <v>314</v>
      </c>
      <c r="L62" t="s">
        <v>311</v>
      </c>
    </row>
    <row r="63" spans="1:12">
      <c r="B63" t="s">
        <v>301</v>
      </c>
      <c r="C63">
        <v>1</v>
      </c>
      <c r="D63" t="s">
        <v>312</v>
      </c>
      <c r="F63" t="s">
        <v>311</v>
      </c>
      <c r="H63" t="s">
        <v>220</v>
      </c>
      <c r="J63" t="s">
        <v>311</v>
      </c>
      <c r="L63" t="s">
        <v>311</v>
      </c>
    </row>
    <row r="64" spans="1:12">
      <c r="C64">
        <v>2</v>
      </c>
      <c r="D64" t="s">
        <v>309</v>
      </c>
      <c r="F64" t="s">
        <v>220</v>
      </c>
      <c r="H64" t="s">
        <v>220</v>
      </c>
      <c r="J64" t="s">
        <v>220</v>
      </c>
      <c r="L64" t="s">
        <v>314</v>
      </c>
    </row>
    <row r="65" spans="2:12">
      <c r="C65">
        <v>3</v>
      </c>
      <c r="D65" t="s">
        <v>311</v>
      </c>
      <c r="F65" t="s">
        <v>220</v>
      </c>
      <c r="H65" t="s">
        <v>310</v>
      </c>
      <c r="J65" t="s">
        <v>309</v>
      </c>
      <c r="L65" t="s">
        <v>310</v>
      </c>
    </row>
    <row r="66" spans="2:12">
      <c r="C66">
        <v>4</v>
      </c>
      <c r="D66" t="s">
        <v>309</v>
      </c>
      <c r="F66" t="s">
        <v>220</v>
      </c>
      <c r="H66" t="s">
        <v>311</v>
      </c>
      <c r="J66" t="s">
        <v>314</v>
      </c>
      <c r="L66" t="s">
        <v>310</v>
      </c>
    </row>
    <row r="67" spans="2:12">
      <c r="C67">
        <v>5</v>
      </c>
      <c r="D67" t="s">
        <v>311</v>
      </c>
      <c r="F67" t="s">
        <v>220</v>
      </c>
      <c r="H67" t="s">
        <v>311</v>
      </c>
      <c r="J67" t="s">
        <v>220</v>
      </c>
      <c r="L67" t="s">
        <v>314</v>
      </c>
    </row>
    <row r="68" spans="2:12">
      <c r="B68" t="s">
        <v>302</v>
      </c>
      <c r="C68">
        <v>1</v>
      </c>
      <c r="D68" t="s">
        <v>311</v>
      </c>
      <c r="F68" t="s">
        <v>310</v>
      </c>
      <c r="H68" t="s">
        <v>310</v>
      </c>
      <c r="J68" t="s">
        <v>311</v>
      </c>
      <c r="L68" t="s">
        <v>220</v>
      </c>
    </row>
    <row r="69" spans="2:12">
      <c r="C69">
        <v>2</v>
      </c>
      <c r="D69" t="s">
        <v>220</v>
      </c>
      <c r="F69" t="s">
        <v>310</v>
      </c>
      <c r="H69" t="s">
        <v>311</v>
      </c>
      <c r="J69" t="s">
        <v>311</v>
      </c>
      <c r="L69" t="s">
        <v>220</v>
      </c>
    </row>
    <row r="70" spans="2:12">
      <c r="C70">
        <v>3</v>
      </c>
      <c r="D70" t="s">
        <v>311</v>
      </c>
      <c r="F70" t="s">
        <v>310</v>
      </c>
      <c r="H70" t="s">
        <v>310</v>
      </c>
      <c r="J70" t="s">
        <v>220</v>
      </c>
      <c r="L70" t="s">
        <v>314</v>
      </c>
    </row>
    <row r="71" spans="2:12">
      <c r="C71">
        <v>4</v>
      </c>
      <c r="D71" t="s">
        <v>316</v>
      </c>
      <c r="F71" t="s">
        <v>311</v>
      </c>
      <c r="H71" t="s">
        <v>311</v>
      </c>
      <c r="J71" t="s">
        <v>310</v>
      </c>
      <c r="L71" t="s">
        <v>310</v>
      </c>
    </row>
    <row r="72" spans="2:12">
      <c r="C72">
        <v>5</v>
      </c>
      <c r="D72" t="s">
        <v>310</v>
      </c>
      <c r="F72" t="s">
        <v>310</v>
      </c>
      <c r="H72" t="s">
        <v>309</v>
      </c>
      <c r="J72" t="s">
        <v>314</v>
      </c>
      <c r="L72" t="s">
        <v>310</v>
      </c>
    </row>
    <row r="73" spans="2:12">
      <c r="B73" t="s">
        <v>303</v>
      </c>
      <c r="C73">
        <v>1</v>
      </c>
      <c r="D73" t="s">
        <v>309</v>
      </c>
      <c r="F73" t="s">
        <v>311</v>
      </c>
      <c r="H73" t="s">
        <v>312</v>
      </c>
      <c r="J73" t="s">
        <v>312</v>
      </c>
      <c r="L73" t="s">
        <v>312</v>
      </c>
    </row>
    <row r="74" spans="2:12">
      <c r="C74">
        <v>2</v>
      </c>
      <c r="D74" t="s">
        <v>311</v>
      </c>
      <c r="F74" t="s">
        <v>311</v>
      </c>
      <c r="H74" t="s">
        <v>312</v>
      </c>
      <c r="J74" t="s">
        <v>312</v>
      </c>
      <c r="L74" t="s">
        <v>312</v>
      </c>
    </row>
    <row r="75" spans="2:12">
      <c r="C75">
        <v>3</v>
      </c>
      <c r="D75" t="s">
        <v>311</v>
      </c>
      <c r="F75" t="s">
        <v>316</v>
      </c>
      <c r="H75" t="s">
        <v>309</v>
      </c>
      <c r="J75" t="s">
        <v>312</v>
      </c>
      <c r="L75" t="s">
        <v>312</v>
      </c>
    </row>
    <row r="76" spans="2:12">
      <c r="C76">
        <v>4</v>
      </c>
      <c r="D76" t="s">
        <v>311</v>
      </c>
      <c r="F76" t="s">
        <v>311</v>
      </c>
      <c r="H76" t="s">
        <v>311</v>
      </c>
      <c r="J76" t="s">
        <v>312</v>
      </c>
      <c r="L76" t="s">
        <v>312</v>
      </c>
    </row>
    <row r="77" spans="2:12">
      <c r="C77">
        <v>5</v>
      </c>
      <c r="D77" t="s">
        <v>311</v>
      </c>
      <c r="F77" t="s">
        <v>309</v>
      </c>
      <c r="H77" t="s">
        <v>312</v>
      </c>
      <c r="J77" t="s">
        <v>220</v>
      </c>
      <c r="L77" t="s">
        <v>310</v>
      </c>
    </row>
    <row r="78" spans="2:12">
      <c r="B78" t="s">
        <v>304</v>
      </c>
      <c r="C78">
        <v>1</v>
      </c>
      <c r="D78" t="s">
        <v>311</v>
      </c>
      <c r="F78" t="s">
        <v>220</v>
      </c>
      <c r="H78" t="s">
        <v>220</v>
      </c>
      <c r="J78" t="s">
        <v>220</v>
      </c>
      <c r="L78" t="s">
        <v>220</v>
      </c>
    </row>
    <row r="79" spans="2:12">
      <c r="C79">
        <v>2</v>
      </c>
      <c r="D79" t="s">
        <v>309</v>
      </c>
      <c r="F79" t="s">
        <v>311</v>
      </c>
      <c r="H79" t="s">
        <v>220</v>
      </c>
      <c r="J79" t="s">
        <v>220</v>
      </c>
      <c r="L79" t="s">
        <v>310</v>
      </c>
    </row>
    <row r="80" spans="2:12">
      <c r="C80">
        <v>3</v>
      </c>
      <c r="D80" t="s">
        <v>311</v>
      </c>
      <c r="F80" t="s">
        <v>310</v>
      </c>
      <c r="H80" t="s">
        <v>220</v>
      </c>
      <c r="J80" t="s">
        <v>310</v>
      </c>
      <c r="L80" t="s">
        <v>314</v>
      </c>
    </row>
    <row r="81" spans="1:12">
      <c r="C81">
        <v>4</v>
      </c>
      <c r="D81" t="s">
        <v>311</v>
      </c>
      <c r="F81" t="s">
        <v>220</v>
      </c>
      <c r="H81" t="s">
        <v>220</v>
      </c>
      <c r="J81" t="s">
        <v>314</v>
      </c>
      <c r="L81" t="s">
        <v>220</v>
      </c>
    </row>
    <row r="82" spans="1:12">
      <c r="C82">
        <v>5</v>
      </c>
      <c r="D82" t="s">
        <v>311</v>
      </c>
      <c r="F82" t="s">
        <v>220</v>
      </c>
      <c r="H82" t="s">
        <v>220</v>
      </c>
      <c r="J82" t="s">
        <v>314</v>
      </c>
      <c r="L82" t="s">
        <v>310</v>
      </c>
    </row>
    <row r="83" spans="1:12">
      <c r="A83">
        <v>170206</v>
      </c>
      <c r="B83" t="s">
        <v>305</v>
      </c>
      <c r="C83">
        <v>1</v>
      </c>
      <c r="D83" t="s">
        <v>311</v>
      </c>
      <c r="F83" t="s">
        <v>220</v>
      </c>
      <c r="H83" t="s">
        <v>312</v>
      </c>
      <c r="J83" t="s">
        <v>312</v>
      </c>
      <c r="L83" t="s">
        <v>314</v>
      </c>
    </row>
    <row r="84" spans="1:12">
      <c r="C84">
        <v>2</v>
      </c>
      <c r="D84" t="s">
        <v>309</v>
      </c>
      <c r="F84" t="s">
        <v>309</v>
      </c>
      <c r="H84" t="s">
        <v>311</v>
      </c>
      <c r="J84" t="s">
        <v>309</v>
      </c>
      <c r="L84" t="s">
        <v>314</v>
      </c>
    </row>
    <row r="85" spans="1:12">
      <c r="C85">
        <v>3</v>
      </c>
      <c r="D85" t="s">
        <v>220</v>
      </c>
      <c r="F85" t="s">
        <v>309</v>
      </c>
      <c r="H85" t="s">
        <v>311</v>
      </c>
      <c r="J85" t="s">
        <v>309</v>
      </c>
      <c r="L85" t="s">
        <v>310</v>
      </c>
    </row>
    <row r="86" spans="1:12">
      <c r="C86">
        <v>4</v>
      </c>
      <c r="D86" t="s">
        <v>311</v>
      </c>
      <c r="F86" t="s">
        <v>309</v>
      </c>
      <c r="H86" t="s">
        <v>311</v>
      </c>
      <c r="J86" t="s">
        <v>309</v>
      </c>
      <c r="L86" t="s">
        <v>310</v>
      </c>
    </row>
    <row r="87" spans="1:12">
      <c r="C87">
        <v>5</v>
      </c>
      <c r="D87" t="s">
        <v>309</v>
      </c>
      <c r="F87" t="s">
        <v>309</v>
      </c>
      <c r="H87" t="s">
        <v>314</v>
      </c>
      <c r="J87" t="s">
        <v>314</v>
      </c>
      <c r="L87" t="s">
        <v>314</v>
      </c>
    </row>
    <row r="88" spans="1:12">
      <c r="B88" t="s">
        <v>306</v>
      </c>
      <c r="C88">
        <v>1</v>
      </c>
      <c r="D88" t="s">
        <v>309</v>
      </c>
      <c r="F88" t="s">
        <v>220</v>
      </c>
      <c r="H88" t="s">
        <v>312</v>
      </c>
      <c r="J88" t="s">
        <v>312</v>
      </c>
      <c r="L88" t="s">
        <v>312</v>
      </c>
    </row>
    <row r="89" spans="1:12">
      <c r="C89">
        <v>2</v>
      </c>
      <c r="D89" t="s">
        <v>311</v>
      </c>
      <c r="F89" t="s">
        <v>220</v>
      </c>
      <c r="H89" t="s">
        <v>220</v>
      </c>
      <c r="J89" t="s">
        <v>312</v>
      </c>
      <c r="L89" t="s">
        <v>312</v>
      </c>
    </row>
    <row r="90" spans="1:12">
      <c r="C90">
        <v>3</v>
      </c>
      <c r="D90" t="s">
        <v>309</v>
      </c>
      <c r="F90" t="s">
        <v>309</v>
      </c>
      <c r="H90" t="s">
        <v>220</v>
      </c>
      <c r="J90" t="s">
        <v>220</v>
      </c>
      <c r="L90" t="s">
        <v>310</v>
      </c>
    </row>
    <row r="91" spans="1:12">
      <c r="C91">
        <v>4</v>
      </c>
      <c r="D91" t="s">
        <v>309</v>
      </c>
      <c r="F91" t="s">
        <v>312</v>
      </c>
      <c r="H91" t="s">
        <v>220</v>
      </c>
      <c r="J91" t="s">
        <v>220</v>
      </c>
      <c r="L91" t="s">
        <v>220</v>
      </c>
    </row>
    <row r="92" spans="1:12">
      <c r="C92">
        <v>5</v>
      </c>
      <c r="D92" t="s">
        <v>220</v>
      </c>
      <c r="F92" t="s">
        <v>220</v>
      </c>
      <c r="H92" t="s">
        <v>220</v>
      </c>
      <c r="J92" t="s">
        <v>220</v>
      </c>
      <c r="L92" t="s">
        <v>312</v>
      </c>
    </row>
    <row r="93" spans="1:12">
      <c r="B93" t="s">
        <v>307</v>
      </c>
      <c r="C93">
        <v>1</v>
      </c>
      <c r="D93" t="s">
        <v>311</v>
      </c>
      <c r="F93" t="s">
        <v>312</v>
      </c>
      <c r="H93" t="s">
        <v>312</v>
      </c>
      <c r="J93" t="s">
        <v>312</v>
      </c>
      <c r="L93" t="s">
        <v>312</v>
      </c>
    </row>
    <row r="94" spans="1:12">
      <c r="C94">
        <v>2</v>
      </c>
      <c r="D94" t="s">
        <v>311</v>
      </c>
      <c r="F94" t="s">
        <v>310</v>
      </c>
      <c r="H94" t="s">
        <v>220</v>
      </c>
      <c r="J94" t="s">
        <v>220</v>
      </c>
      <c r="L94" t="s">
        <v>312</v>
      </c>
    </row>
    <row r="95" spans="1:12">
      <c r="C95">
        <v>3</v>
      </c>
      <c r="D95" t="s">
        <v>310</v>
      </c>
      <c r="F95" t="s">
        <v>312</v>
      </c>
      <c r="H95" t="s">
        <v>220</v>
      </c>
      <c r="J95" t="s">
        <v>311</v>
      </c>
      <c r="L95" t="s">
        <v>310</v>
      </c>
    </row>
    <row r="96" spans="1:12">
      <c r="C96">
        <v>4</v>
      </c>
      <c r="D96" t="s">
        <v>311</v>
      </c>
      <c r="F96" t="s">
        <v>312</v>
      </c>
      <c r="H96" t="s">
        <v>220</v>
      </c>
      <c r="J96" t="s">
        <v>312</v>
      </c>
      <c r="L96" t="s">
        <v>311</v>
      </c>
    </row>
    <row r="97" spans="2:18">
      <c r="C97">
        <v>5</v>
      </c>
      <c r="D97" t="s">
        <v>311</v>
      </c>
      <c r="F97" t="s">
        <v>312</v>
      </c>
      <c r="H97" t="s">
        <v>220</v>
      </c>
      <c r="J97" t="s">
        <v>312</v>
      </c>
      <c r="L97" t="s">
        <v>312</v>
      </c>
    </row>
    <row r="98" spans="2:18">
      <c r="B98" t="s">
        <v>308</v>
      </c>
      <c r="C98">
        <v>1</v>
      </c>
      <c r="D98" t="s">
        <v>311</v>
      </c>
      <c r="F98" t="s">
        <v>311</v>
      </c>
      <c r="H98" t="s">
        <v>310</v>
      </c>
      <c r="J98" t="s">
        <v>310</v>
      </c>
      <c r="L98" t="s">
        <v>310</v>
      </c>
    </row>
    <row r="99" spans="2:18">
      <c r="C99">
        <v>2</v>
      </c>
      <c r="D99" t="s">
        <v>311</v>
      </c>
      <c r="F99" t="s">
        <v>311</v>
      </c>
      <c r="H99" t="s">
        <v>311</v>
      </c>
      <c r="J99" t="s">
        <v>220</v>
      </c>
      <c r="L99" t="s">
        <v>310</v>
      </c>
    </row>
    <row r="100" spans="2:18">
      <c r="C100">
        <v>3</v>
      </c>
      <c r="D100" t="s">
        <v>220</v>
      </c>
      <c r="F100" t="s">
        <v>316</v>
      </c>
      <c r="H100" t="s">
        <v>311</v>
      </c>
      <c r="J100" t="s">
        <v>220</v>
      </c>
      <c r="L100" t="s">
        <v>310</v>
      </c>
    </row>
    <row r="101" spans="2:18">
      <c r="C101">
        <v>4</v>
      </c>
      <c r="D101" t="s">
        <v>311</v>
      </c>
      <c r="F101" t="s">
        <v>311</v>
      </c>
      <c r="H101" t="s">
        <v>311</v>
      </c>
      <c r="J101" t="s">
        <v>312</v>
      </c>
      <c r="L101" t="s">
        <v>310</v>
      </c>
    </row>
    <row r="102" spans="2:18">
      <c r="C102">
        <v>5</v>
      </c>
      <c r="D102" t="s">
        <v>311</v>
      </c>
      <c r="F102" t="s">
        <v>310</v>
      </c>
      <c r="H102" t="s">
        <v>310</v>
      </c>
      <c r="J102" t="s">
        <v>220</v>
      </c>
      <c r="L102" t="s">
        <v>220</v>
      </c>
    </row>
    <row r="103" spans="2:18">
      <c r="Q103" t="s">
        <v>320</v>
      </c>
      <c r="R103" t="s">
        <v>321</v>
      </c>
    </row>
    <row r="104" spans="2:18">
      <c r="P104" t="s">
        <v>171</v>
      </c>
      <c r="Q104">
        <v>7</v>
      </c>
      <c r="R104">
        <v>12</v>
      </c>
    </row>
    <row r="105" spans="2:18">
      <c r="C105" t="s">
        <v>312</v>
      </c>
      <c r="D105">
        <f>COUNTIF(D$3:D$102, "thigmo")</f>
        <v>8</v>
      </c>
      <c r="F105">
        <f t="shared" ref="F105:L105" si="0">COUNTIF(F$3:F$102, "thigmo")</f>
        <v>6</v>
      </c>
      <c r="H105">
        <f t="shared" si="0"/>
        <v>7</v>
      </c>
      <c r="J105">
        <f t="shared" si="0"/>
        <v>12</v>
      </c>
      <c r="L105">
        <f t="shared" si="0"/>
        <v>12</v>
      </c>
      <c r="P105" t="s">
        <v>172</v>
      </c>
      <c r="Q105">
        <v>17</v>
      </c>
      <c r="R105">
        <v>24</v>
      </c>
    </row>
    <row r="106" spans="2:18">
      <c r="C106" t="s">
        <v>172</v>
      </c>
      <c r="D106">
        <f>COUNTIF(D$3:D$102, "rota")</f>
        <v>10</v>
      </c>
      <c r="F106">
        <f t="shared" ref="F106:L107" si="1">COUNTIF(F$3:F$102, "rota")</f>
        <v>24</v>
      </c>
      <c r="H106">
        <f t="shared" si="1"/>
        <v>16</v>
      </c>
      <c r="J106">
        <f t="shared" si="1"/>
        <v>19</v>
      </c>
      <c r="L106">
        <f t="shared" si="1"/>
        <v>29</v>
      </c>
      <c r="P106" t="s">
        <v>173</v>
      </c>
      <c r="Q106">
        <v>14.5</v>
      </c>
      <c r="R106">
        <v>21.5</v>
      </c>
    </row>
    <row r="107" spans="2:18">
      <c r="C107" t="s">
        <v>220</v>
      </c>
      <c r="D107">
        <f>COUNTIF(D$3:D$102, "focal")</f>
        <v>7</v>
      </c>
      <c r="F107">
        <f t="shared" ref="F107:L108" si="2">COUNTIF(F$3:F$102, "focal")</f>
        <v>22</v>
      </c>
      <c r="H107">
        <f t="shared" si="2"/>
        <v>34</v>
      </c>
      <c r="J107">
        <f t="shared" si="2"/>
        <v>20</v>
      </c>
      <c r="L107">
        <f t="shared" si="2"/>
        <v>23</v>
      </c>
      <c r="P107" t="s">
        <v>174</v>
      </c>
      <c r="Q107">
        <v>35.5</v>
      </c>
      <c r="R107">
        <v>8.5</v>
      </c>
    </row>
    <row r="108" spans="2:18">
      <c r="C108" t="s">
        <v>174</v>
      </c>
      <c r="D108">
        <f>COUNTIF(D$3:D$102, "scan")</f>
        <v>46</v>
      </c>
      <c r="F108">
        <f t="shared" ref="F106:L113" si="3">COUNTIF(F$3:F$102, "scan")</f>
        <v>25</v>
      </c>
      <c r="H108">
        <f t="shared" si="3"/>
        <v>20</v>
      </c>
      <c r="J108">
        <f t="shared" si="3"/>
        <v>10</v>
      </c>
      <c r="L108">
        <f t="shared" si="3"/>
        <v>7</v>
      </c>
      <c r="P108" t="s">
        <v>315</v>
      </c>
      <c r="Q108">
        <v>17</v>
      </c>
      <c r="R108">
        <v>7</v>
      </c>
    </row>
    <row r="109" spans="2:18">
      <c r="C109" t="s">
        <v>313</v>
      </c>
      <c r="D109">
        <f>COUNTIF(D$3:D$102, "circ")</f>
        <v>22</v>
      </c>
      <c r="F109">
        <f t="shared" ref="F109:L109" si="4">COUNTIF(F$3:F$102, "circ")</f>
        <v>12</v>
      </c>
      <c r="H109">
        <f t="shared" si="4"/>
        <v>9</v>
      </c>
      <c r="J109">
        <f t="shared" si="4"/>
        <v>11</v>
      </c>
      <c r="L109">
        <f t="shared" si="4"/>
        <v>3</v>
      </c>
      <c r="P109" t="s">
        <v>176</v>
      </c>
      <c r="Q109">
        <v>9</v>
      </c>
      <c r="R109">
        <v>27</v>
      </c>
    </row>
    <row r="110" spans="2:18">
      <c r="C110" t="s">
        <v>314</v>
      </c>
      <c r="D110">
        <f>COUNTIF(D$3:D$102, "dire")</f>
        <v>7</v>
      </c>
      <c r="F110">
        <f>COUNTIF(F$3:F$102, "dire")</f>
        <v>11</v>
      </c>
      <c r="H110">
        <f>COUNTIF(H$3:H$102, "dire")</f>
        <v>14</v>
      </c>
      <c r="J110">
        <f>COUNTIF(J$3:J$102, "dire")</f>
        <v>28</v>
      </c>
      <c r="L110">
        <f>COUNTIF(L$3:L$102, "dire")</f>
        <v>26</v>
      </c>
    </row>
    <row r="111" spans="2:18">
      <c r="D111">
        <f t="shared" ref="D111:J111" si="5">SUM(D105:D110)</f>
        <v>100</v>
      </c>
      <c r="F111">
        <f t="shared" si="5"/>
        <v>100</v>
      </c>
      <c r="H111">
        <f t="shared" si="5"/>
        <v>100</v>
      </c>
      <c r="J111">
        <f t="shared" si="5"/>
        <v>100</v>
      </c>
      <c r="L111">
        <f>SUM(L105:L110)</f>
        <v>100</v>
      </c>
    </row>
    <row r="115" spans="3:8">
      <c r="E115" t="s">
        <v>318</v>
      </c>
      <c r="H115" t="s">
        <v>319</v>
      </c>
    </row>
    <row r="116" spans="3:8">
      <c r="C116" t="s">
        <v>171</v>
      </c>
      <c r="D116">
        <f>SUM($D105,$F105)</f>
        <v>14</v>
      </c>
      <c r="E116">
        <f>D116/2</f>
        <v>7</v>
      </c>
      <c r="G116">
        <f>SUM(J105,L105)</f>
        <v>24</v>
      </c>
      <c r="H116">
        <f>G116/2</f>
        <v>12</v>
      </c>
    </row>
    <row r="117" spans="3:8">
      <c r="C117" t="s">
        <v>172</v>
      </c>
      <c r="D117">
        <f>SUM($D106,$F106)</f>
        <v>34</v>
      </c>
      <c r="E117">
        <f>D117/2</f>
        <v>17</v>
      </c>
      <c r="G117">
        <f t="shared" ref="G117:G121" si="6">SUM(J106,L106)</f>
        <v>48</v>
      </c>
      <c r="H117">
        <f t="shared" ref="H117:H121" si="7">G117/2</f>
        <v>24</v>
      </c>
    </row>
    <row r="118" spans="3:8">
      <c r="C118" t="s">
        <v>173</v>
      </c>
      <c r="D118">
        <f>SUM($D107,$F107)</f>
        <v>29</v>
      </c>
      <c r="E118">
        <f>D118/2</f>
        <v>14.5</v>
      </c>
      <c r="G118">
        <f t="shared" si="6"/>
        <v>43</v>
      </c>
      <c r="H118">
        <f t="shared" si="7"/>
        <v>21.5</v>
      </c>
    </row>
    <row r="119" spans="3:8">
      <c r="C119" t="s">
        <v>174</v>
      </c>
      <c r="D119">
        <f>SUM($D108,$F108)</f>
        <v>71</v>
      </c>
      <c r="E119">
        <f>D119/2</f>
        <v>35.5</v>
      </c>
      <c r="G119">
        <f t="shared" si="6"/>
        <v>17</v>
      </c>
      <c r="H119">
        <f t="shared" si="7"/>
        <v>8.5</v>
      </c>
    </row>
    <row r="120" spans="3:8">
      <c r="C120" t="s">
        <v>315</v>
      </c>
      <c r="D120">
        <f>SUM($D109,$F109)</f>
        <v>34</v>
      </c>
      <c r="E120">
        <f t="shared" ref="E120:E121" si="8">D120/2</f>
        <v>17</v>
      </c>
      <c r="G120">
        <f t="shared" si="6"/>
        <v>14</v>
      </c>
      <c r="H120">
        <f t="shared" si="7"/>
        <v>7</v>
      </c>
    </row>
    <row r="121" spans="3:8">
      <c r="C121" t="s">
        <v>176</v>
      </c>
      <c r="D121">
        <f>SUM($D110,$F110)</f>
        <v>18</v>
      </c>
      <c r="E121">
        <f t="shared" si="8"/>
        <v>9</v>
      </c>
      <c r="G121">
        <f t="shared" si="6"/>
        <v>54</v>
      </c>
      <c r="H121">
        <f t="shared" si="7"/>
        <v>27</v>
      </c>
    </row>
    <row r="122" spans="3:8">
      <c r="D122">
        <f>SUM($D116:$D121)</f>
        <v>200</v>
      </c>
      <c r="E122">
        <f>SUM($E116:$E121)</f>
        <v>100</v>
      </c>
      <c r="G122">
        <f>SUM($G116:$G121)</f>
        <v>200</v>
      </c>
      <c r="H122">
        <f>SUM($H116:$H121)</f>
        <v>100</v>
      </c>
    </row>
  </sheetData>
  <mergeCells count="5">
    <mergeCell ref="D1:E1"/>
    <mergeCell ref="F1:G1"/>
    <mergeCell ref="H1:I1"/>
    <mergeCell ref="J1:K1"/>
    <mergeCell ref="L1:M1"/>
  </mergeCells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74"/>
  <sheetViews>
    <sheetView topLeftCell="A124" zoomScale="80" zoomScaleNormal="80" workbookViewId="0">
      <selection activeCell="W148" sqref="W148"/>
    </sheetView>
  </sheetViews>
  <sheetFormatPr baseColWidth="10" defaultRowHeight="14"/>
  <cols>
    <col min="5" max="6" width="13.33203125" bestFit="1" customWidth="1"/>
    <col min="8" max="8" width="13.33203125" bestFit="1" customWidth="1"/>
  </cols>
  <sheetData>
    <row r="1" spans="1:13">
      <c r="D1" s="30" t="s">
        <v>9</v>
      </c>
      <c r="E1" s="30"/>
      <c r="F1" s="30" t="s">
        <v>10</v>
      </c>
      <c r="G1" s="30"/>
      <c r="H1" s="30" t="s">
        <v>265</v>
      </c>
      <c r="I1" s="30"/>
      <c r="J1" s="30" t="s">
        <v>266</v>
      </c>
      <c r="K1" s="30"/>
      <c r="L1" s="30" t="s">
        <v>267</v>
      </c>
      <c r="M1" s="30"/>
    </row>
    <row r="2" spans="1:13">
      <c r="D2" t="s">
        <v>268</v>
      </c>
      <c r="F2" t="s">
        <v>268</v>
      </c>
      <c r="H2" t="s">
        <v>268</v>
      </c>
      <c r="J2" t="s">
        <v>268</v>
      </c>
      <c r="L2" t="s">
        <v>268</v>
      </c>
    </row>
    <row r="3" spans="1:13">
      <c r="A3">
        <v>160113</v>
      </c>
      <c r="B3" t="s">
        <v>127</v>
      </c>
      <c r="C3">
        <v>1</v>
      </c>
      <c r="D3" t="s">
        <v>311</v>
      </c>
      <c r="F3" t="s">
        <v>310</v>
      </c>
      <c r="H3" t="s">
        <v>220</v>
      </c>
      <c r="J3" t="s">
        <v>314</v>
      </c>
      <c r="L3" t="s">
        <v>220</v>
      </c>
    </row>
    <row r="4" spans="1:13">
      <c r="C4">
        <v>2</v>
      </c>
      <c r="D4" t="s">
        <v>311</v>
      </c>
      <c r="F4" t="s">
        <v>310</v>
      </c>
      <c r="H4" t="s">
        <v>220</v>
      </c>
      <c r="J4" t="s">
        <v>310</v>
      </c>
      <c r="L4" t="s">
        <v>311</v>
      </c>
    </row>
    <row r="5" spans="1:13">
      <c r="C5">
        <v>3</v>
      </c>
      <c r="D5" t="s">
        <v>311</v>
      </c>
      <c r="F5" t="s">
        <v>220</v>
      </c>
      <c r="H5" t="s">
        <v>311</v>
      </c>
      <c r="J5" t="s">
        <v>310</v>
      </c>
      <c r="L5" t="s">
        <v>310</v>
      </c>
    </row>
    <row r="6" spans="1:13">
      <c r="C6">
        <v>4</v>
      </c>
      <c r="D6" t="s">
        <v>310</v>
      </c>
      <c r="F6" t="s">
        <v>220</v>
      </c>
      <c r="H6" t="s">
        <v>220</v>
      </c>
      <c r="J6" t="s">
        <v>314</v>
      </c>
      <c r="L6" t="s">
        <v>311</v>
      </c>
    </row>
    <row r="7" spans="1:13">
      <c r="C7">
        <v>5</v>
      </c>
      <c r="D7" t="s">
        <v>310</v>
      </c>
      <c r="F7" t="s">
        <v>310</v>
      </c>
      <c r="H7" t="s">
        <v>310</v>
      </c>
      <c r="J7" t="s">
        <v>309</v>
      </c>
      <c r="L7" t="s">
        <v>310</v>
      </c>
    </row>
    <row r="8" spans="1:13">
      <c r="B8" t="s">
        <v>128</v>
      </c>
      <c r="C8">
        <v>1</v>
      </c>
      <c r="D8" t="s">
        <v>220</v>
      </c>
      <c r="F8" t="s">
        <v>310</v>
      </c>
      <c r="H8" t="s">
        <v>316</v>
      </c>
      <c r="J8" t="s">
        <v>310</v>
      </c>
      <c r="L8" t="s">
        <v>220</v>
      </c>
    </row>
    <row r="9" spans="1:13">
      <c r="C9">
        <v>2</v>
      </c>
      <c r="D9" t="s">
        <v>220</v>
      </c>
      <c r="F9" t="s">
        <v>314</v>
      </c>
      <c r="H9" t="s">
        <v>220</v>
      </c>
      <c r="J9" t="s">
        <v>314</v>
      </c>
      <c r="L9" t="s">
        <v>220</v>
      </c>
    </row>
    <row r="10" spans="1:13">
      <c r="C10">
        <v>3</v>
      </c>
      <c r="D10" t="s">
        <v>314</v>
      </c>
      <c r="F10" t="s">
        <v>309</v>
      </c>
      <c r="H10" t="s">
        <v>220</v>
      </c>
      <c r="J10" t="s">
        <v>314</v>
      </c>
      <c r="L10" t="s">
        <v>314</v>
      </c>
    </row>
    <row r="11" spans="1:13">
      <c r="C11">
        <v>4</v>
      </c>
      <c r="D11" t="s">
        <v>310</v>
      </c>
      <c r="F11" t="s">
        <v>310</v>
      </c>
      <c r="H11" t="s">
        <v>220</v>
      </c>
      <c r="J11" t="s">
        <v>314</v>
      </c>
      <c r="L11" t="s">
        <v>310</v>
      </c>
    </row>
    <row r="12" spans="1:13">
      <c r="C12">
        <v>5</v>
      </c>
      <c r="D12" t="s">
        <v>314</v>
      </c>
      <c r="F12" t="s">
        <v>314</v>
      </c>
      <c r="H12" t="s">
        <v>316</v>
      </c>
      <c r="J12" t="s">
        <v>314</v>
      </c>
      <c r="L12" t="s">
        <v>314</v>
      </c>
    </row>
    <row r="13" spans="1:13">
      <c r="B13" t="s">
        <v>129</v>
      </c>
      <c r="C13">
        <v>1</v>
      </c>
      <c r="D13" t="s">
        <v>311</v>
      </c>
      <c r="F13" t="s">
        <v>311</v>
      </c>
      <c r="H13" t="s">
        <v>311</v>
      </c>
      <c r="J13" t="s">
        <v>311</v>
      </c>
      <c r="L13" t="s">
        <v>311</v>
      </c>
    </row>
    <row r="14" spans="1:13">
      <c r="C14">
        <v>2</v>
      </c>
      <c r="D14" t="s">
        <v>311</v>
      </c>
      <c r="F14" t="s">
        <v>310</v>
      </c>
      <c r="H14" t="s">
        <v>310</v>
      </c>
      <c r="J14" t="s">
        <v>310</v>
      </c>
      <c r="L14" t="s">
        <v>311</v>
      </c>
    </row>
    <row r="15" spans="1:13">
      <c r="C15">
        <v>3</v>
      </c>
      <c r="D15" t="s">
        <v>314</v>
      </c>
      <c r="F15" t="s">
        <v>314</v>
      </c>
      <c r="H15" t="s">
        <v>220</v>
      </c>
      <c r="J15" t="s">
        <v>220</v>
      </c>
      <c r="L15" t="s">
        <v>311</v>
      </c>
    </row>
    <row r="16" spans="1:13">
      <c r="C16">
        <v>4</v>
      </c>
      <c r="D16" t="s">
        <v>314</v>
      </c>
      <c r="F16" t="s">
        <v>310</v>
      </c>
      <c r="H16" t="s">
        <v>310</v>
      </c>
      <c r="J16" t="s">
        <v>220</v>
      </c>
      <c r="L16" t="s">
        <v>220</v>
      </c>
    </row>
    <row r="17" spans="1:12">
      <c r="C17">
        <v>5</v>
      </c>
      <c r="D17" t="s">
        <v>311</v>
      </c>
      <c r="F17" t="s">
        <v>314</v>
      </c>
      <c r="H17" t="s">
        <v>310</v>
      </c>
      <c r="J17" t="s">
        <v>314</v>
      </c>
      <c r="L17" t="s">
        <v>314</v>
      </c>
    </row>
    <row r="18" spans="1:12">
      <c r="B18" t="s">
        <v>130</v>
      </c>
      <c r="C18">
        <v>1</v>
      </c>
      <c r="D18" t="s">
        <v>311</v>
      </c>
      <c r="F18" t="s">
        <v>310</v>
      </c>
      <c r="H18" t="s">
        <v>311</v>
      </c>
      <c r="J18" t="s">
        <v>220</v>
      </c>
      <c r="L18" t="s">
        <v>314</v>
      </c>
    </row>
    <row r="19" spans="1:12">
      <c r="C19">
        <v>2</v>
      </c>
      <c r="D19" t="s">
        <v>314</v>
      </c>
      <c r="F19" t="s">
        <v>311</v>
      </c>
      <c r="H19" t="s">
        <v>309</v>
      </c>
      <c r="J19" t="s">
        <v>314</v>
      </c>
      <c r="L19" t="s">
        <v>220</v>
      </c>
    </row>
    <row r="20" spans="1:12">
      <c r="C20">
        <v>3</v>
      </c>
      <c r="D20" t="s">
        <v>311</v>
      </c>
      <c r="F20" t="s">
        <v>314</v>
      </c>
      <c r="H20" t="s">
        <v>311</v>
      </c>
      <c r="J20" t="s">
        <v>310</v>
      </c>
      <c r="L20" t="s">
        <v>220</v>
      </c>
    </row>
    <row r="21" spans="1:12">
      <c r="C21">
        <v>4</v>
      </c>
      <c r="D21" t="s">
        <v>311</v>
      </c>
      <c r="F21" t="s">
        <v>314</v>
      </c>
      <c r="H21" t="s">
        <v>220</v>
      </c>
      <c r="J21" t="s">
        <v>314</v>
      </c>
      <c r="L21" t="s">
        <v>311</v>
      </c>
    </row>
    <row r="22" spans="1:12">
      <c r="C22">
        <v>5</v>
      </c>
      <c r="D22" t="s">
        <v>314</v>
      </c>
      <c r="F22" t="s">
        <v>310</v>
      </c>
      <c r="H22" t="s">
        <v>316</v>
      </c>
      <c r="J22" t="s">
        <v>220</v>
      </c>
      <c r="L22" t="s">
        <v>314</v>
      </c>
    </row>
    <row r="23" spans="1:12">
      <c r="A23">
        <v>160314</v>
      </c>
      <c r="B23" t="s">
        <v>269</v>
      </c>
      <c r="C23">
        <v>1</v>
      </c>
      <c r="D23" t="s">
        <v>311</v>
      </c>
      <c r="F23" t="s">
        <v>311</v>
      </c>
      <c r="H23" t="s">
        <v>311</v>
      </c>
      <c r="J23" t="s">
        <v>309</v>
      </c>
      <c r="L23" t="s">
        <v>309</v>
      </c>
    </row>
    <row r="24" spans="1:12">
      <c r="C24">
        <v>2</v>
      </c>
      <c r="D24" t="s">
        <v>312</v>
      </c>
      <c r="F24" t="s">
        <v>311</v>
      </c>
      <c r="H24" t="s">
        <v>309</v>
      </c>
      <c r="J24" t="s">
        <v>309</v>
      </c>
      <c r="L24" t="s">
        <v>314</v>
      </c>
    </row>
    <row r="25" spans="1:12">
      <c r="C25">
        <v>3</v>
      </c>
      <c r="D25" t="s">
        <v>309</v>
      </c>
      <c r="F25" t="s">
        <v>311</v>
      </c>
      <c r="H25" t="s">
        <v>309</v>
      </c>
      <c r="J25" t="s">
        <v>314</v>
      </c>
      <c r="L25" t="s">
        <v>314</v>
      </c>
    </row>
    <row r="26" spans="1:12">
      <c r="C26">
        <v>4</v>
      </c>
      <c r="D26" t="s">
        <v>312</v>
      </c>
      <c r="F26" t="s">
        <v>311</v>
      </c>
      <c r="H26" t="s">
        <v>311</v>
      </c>
      <c r="J26" t="s">
        <v>309</v>
      </c>
      <c r="L26" t="s">
        <v>309</v>
      </c>
    </row>
    <row r="27" spans="1:12">
      <c r="C27">
        <v>5</v>
      </c>
      <c r="D27" t="s">
        <v>312</v>
      </c>
      <c r="F27" t="s">
        <v>311</v>
      </c>
      <c r="H27" t="s">
        <v>309</v>
      </c>
      <c r="J27" t="s">
        <v>314</v>
      </c>
      <c r="L27" t="s">
        <v>309</v>
      </c>
    </row>
    <row r="28" spans="1:12">
      <c r="B28" t="s">
        <v>270</v>
      </c>
      <c r="C28">
        <v>1</v>
      </c>
      <c r="D28" t="s">
        <v>311</v>
      </c>
      <c r="F28" t="s">
        <v>311</v>
      </c>
      <c r="H28" t="s">
        <v>311</v>
      </c>
      <c r="J28" t="s">
        <v>311</v>
      </c>
      <c r="L28" t="s">
        <v>309</v>
      </c>
    </row>
    <row r="29" spans="1:12">
      <c r="C29">
        <v>2</v>
      </c>
      <c r="D29" t="s">
        <v>220</v>
      </c>
      <c r="F29" t="s">
        <v>220</v>
      </c>
      <c r="H29" t="s">
        <v>220</v>
      </c>
      <c r="J29" t="s">
        <v>311</v>
      </c>
      <c r="L29" t="s">
        <v>309</v>
      </c>
    </row>
    <row r="30" spans="1:12">
      <c r="C30">
        <v>3</v>
      </c>
      <c r="D30" t="s">
        <v>311</v>
      </c>
      <c r="F30" t="s">
        <v>311</v>
      </c>
      <c r="H30" t="s">
        <v>309</v>
      </c>
      <c r="J30" t="s">
        <v>311</v>
      </c>
      <c r="L30" t="s">
        <v>309</v>
      </c>
    </row>
    <row r="31" spans="1:12">
      <c r="C31">
        <v>4</v>
      </c>
      <c r="D31" t="s">
        <v>311</v>
      </c>
      <c r="F31" t="s">
        <v>311</v>
      </c>
      <c r="H31" t="s">
        <v>309</v>
      </c>
      <c r="J31" t="s">
        <v>220</v>
      </c>
      <c r="L31" t="s">
        <v>314</v>
      </c>
    </row>
    <row r="32" spans="1:12">
      <c r="C32">
        <v>5</v>
      </c>
      <c r="D32" t="s">
        <v>220</v>
      </c>
      <c r="F32" t="s">
        <v>311</v>
      </c>
      <c r="H32" t="s">
        <v>311</v>
      </c>
      <c r="J32" t="s">
        <v>311</v>
      </c>
      <c r="L32" t="s">
        <v>311</v>
      </c>
    </row>
    <row r="33" spans="1:12">
      <c r="B33" t="s">
        <v>271</v>
      </c>
      <c r="C33">
        <v>1</v>
      </c>
      <c r="D33" t="s">
        <v>309</v>
      </c>
      <c r="F33" t="s">
        <v>309</v>
      </c>
      <c r="H33" t="s">
        <v>309</v>
      </c>
      <c r="J33" t="s">
        <v>309</v>
      </c>
      <c r="L33" t="s">
        <v>309</v>
      </c>
    </row>
    <row r="34" spans="1:12">
      <c r="C34">
        <v>2</v>
      </c>
      <c r="D34" t="s">
        <v>309</v>
      </c>
      <c r="F34" t="s">
        <v>309</v>
      </c>
      <c r="H34" t="s">
        <v>310</v>
      </c>
      <c r="J34" t="s">
        <v>312</v>
      </c>
      <c r="L34" t="s">
        <v>312</v>
      </c>
    </row>
    <row r="35" spans="1:12">
      <c r="C35">
        <v>3</v>
      </c>
      <c r="D35" t="s">
        <v>309</v>
      </c>
      <c r="F35" t="s">
        <v>309</v>
      </c>
      <c r="H35" t="s">
        <v>310</v>
      </c>
      <c r="J35" t="s">
        <v>312</v>
      </c>
      <c r="L35" t="s">
        <v>309</v>
      </c>
    </row>
    <row r="36" spans="1:12">
      <c r="C36">
        <v>4</v>
      </c>
      <c r="D36" t="s">
        <v>312</v>
      </c>
      <c r="F36" t="s">
        <v>311</v>
      </c>
      <c r="H36" t="s">
        <v>220</v>
      </c>
      <c r="J36" t="s">
        <v>310</v>
      </c>
      <c r="L36" t="s">
        <v>311</v>
      </c>
    </row>
    <row r="37" spans="1:12">
      <c r="C37">
        <v>5</v>
      </c>
      <c r="D37" t="s">
        <v>311</v>
      </c>
      <c r="F37" t="s">
        <v>310</v>
      </c>
      <c r="H37" t="s">
        <v>310</v>
      </c>
      <c r="J37" t="s">
        <v>310</v>
      </c>
      <c r="L37" t="s">
        <v>310</v>
      </c>
    </row>
    <row r="38" spans="1:12">
      <c r="A38">
        <v>160425</v>
      </c>
      <c r="B38" t="s">
        <v>272</v>
      </c>
      <c r="C38">
        <v>1</v>
      </c>
      <c r="D38" t="s">
        <v>309</v>
      </c>
      <c r="F38" t="s">
        <v>309</v>
      </c>
      <c r="H38" t="s">
        <v>311</v>
      </c>
      <c r="J38" t="s">
        <v>220</v>
      </c>
      <c r="L38" t="s">
        <v>314</v>
      </c>
    </row>
    <row r="39" spans="1:12">
      <c r="C39">
        <v>2</v>
      </c>
      <c r="D39" t="s">
        <v>309</v>
      </c>
      <c r="F39" t="s">
        <v>310</v>
      </c>
      <c r="H39" t="s">
        <v>220</v>
      </c>
      <c r="J39" t="s">
        <v>220</v>
      </c>
      <c r="L39" t="s">
        <v>311</v>
      </c>
    </row>
    <row r="40" spans="1:12">
      <c r="C40">
        <v>3</v>
      </c>
      <c r="D40" t="s">
        <v>316</v>
      </c>
      <c r="F40" t="s">
        <v>220</v>
      </c>
      <c r="H40" t="s">
        <v>311</v>
      </c>
      <c r="J40" t="s">
        <v>310</v>
      </c>
      <c r="L40" t="s">
        <v>314</v>
      </c>
    </row>
    <row r="41" spans="1:12">
      <c r="C41">
        <v>4</v>
      </c>
      <c r="D41" t="s">
        <v>312</v>
      </c>
      <c r="F41" t="s">
        <v>316</v>
      </c>
      <c r="H41" t="s">
        <v>220</v>
      </c>
      <c r="J41" t="s">
        <v>311</v>
      </c>
      <c r="L41" t="s">
        <v>310</v>
      </c>
    </row>
    <row r="42" spans="1:12">
      <c r="C42">
        <v>5</v>
      </c>
      <c r="D42" t="s">
        <v>309</v>
      </c>
      <c r="F42" t="s">
        <v>309</v>
      </c>
      <c r="H42" t="s">
        <v>309</v>
      </c>
      <c r="J42" t="s">
        <v>311</v>
      </c>
      <c r="L42" t="s">
        <v>310</v>
      </c>
    </row>
    <row r="43" spans="1:12">
      <c r="B43" t="s">
        <v>273</v>
      </c>
      <c r="C43">
        <v>1</v>
      </c>
      <c r="D43" t="s">
        <v>312</v>
      </c>
      <c r="F43" t="s">
        <v>310</v>
      </c>
      <c r="H43" t="s">
        <v>220</v>
      </c>
      <c r="J43" t="s">
        <v>311</v>
      </c>
      <c r="L43" t="s">
        <v>309</v>
      </c>
    </row>
    <row r="44" spans="1:12">
      <c r="C44">
        <v>2</v>
      </c>
      <c r="D44" t="s">
        <v>311</v>
      </c>
      <c r="F44" t="s">
        <v>311</v>
      </c>
      <c r="H44" t="s">
        <v>309</v>
      </c>
      <c r="J44" t="s">
        <v>314</v>
      </c>
      <c r="L44" t="s">
        <v>310</v>
      </c>
    </row>
    <row r="45" spans="1:12">
      <c r="C45">
        <v>3</v>
      </c>
      <c r="D45" t="s">
        <v>316</v>
      </c>
      <c r="F45" t="s">
        <v>311</v>
      </c>
      <c r="H45" t="s">
        <v>310</v>
      </c>
      <c r="J45" t="s">
        <v>314</v>
      </c>
      <c r="L45" t="s">
        <v>310</v>
      </c>
    </row>
    <row r="46" spans="1:12">
      <c r="C46">
        <v>4</v>
      </c>
      <c r="D46" t="s">
        <v>309</v>
      </c>
      <c r="F46" t="s">
        <v>309</v>
      </c>
      <c r="H46" t="s">
        <v>311</v>
      </c>
      <c r="J46" t="s">
        <v>310</v>
      </c>
      <c r="L46" t="s">
        <v>314</v>
      </c>
    </row>
    <row r="47" spans="1:12">
      <c r="C47">
        <v>5</v>
      </c>
      <c r="D47" t="s">
        <v>311</v>
      </c>
      <c r="F47" t="s">
        <v>309</v>
      </c>
      <c r="H47" t="s">
        <v>311</v>
      </c>
      <c r="J47" t="s">
        <v>314</v>
      </c>
      <c r="L47" t="s">
        <v>314</v>
      </c>
    </row>
    <row r="48" spans="1:12">
      <c r="B48" t="s">
        <v>274</v>
      </c>
      <c r="C48">
        <v>1</v>
      </c>
      <c r="D48" t="s">
        <v>311</v>
      </c>
      <c r="F48" t="s">
        <v>309</v>
      </c>
      <c r="H48" t="s">
        <v>310</v>
      </c>
      <c r="J48" t="s">
        <v>309</v>
      </c>
      <c r="L48" t="s">
        <v>309</v>
      </c>
    </row>
    <row r="49" spans="1:12">
      <c r="C49">
        <v>2</v>
      </c>
      <c r="D49" t="s">
        <v>309</v>
      </c>
      <c r="F49" t="s">
        <v>309</v>
      </c>
      <c r="H49" t="s">
        <v>316</v>
      </c>
      <c r="J49" t="s">
        <v>314</v>
      </c>
      <c r="L49" t="s">
        <v>220</v>
      </c>
    </row>
    <row r="50" spans="1:12">
      <c r="C50">
        <v>3</v>
      </c>
      <c r="D50" t="s">
        <v>309</v>
      </c>
      <c r="F50" t="s">
        <v>311</v>
      </c>
      <c r="H50" t="s">
        <v>220</v>
      </c>
      <c r="J50" t="s">
        <v>220</v>
      </c>
      <c r="L50" t="s">
        <v>314</v>
      </c>
    </row>
    <row r="51" spans="1:12">
      <c r="C51">
        <v>4</v>
      </c>
      <c r="D51" t="s">
        <v>309</v>
      </c>
      <c r="F51" t="s">
        <v>309</v>
      </c>
      <c r="H51" t="s">
        <v>311</v>
      </c>
      <c r="J51" t="s">
        <v>310</v>
      </c>
      <c r="L51" t="s">
        <v>220</v>
      </c>
    </row>
    <row r="52" spans="1:12">
      <c r="C52">
        <v>5</v>
      </c>
      <c r="D52" t="s">
        <v>310</v>
      </c>
      <c r="F52" t="s">
        <v>220</v>
      </c>
      <c r="H52" t="s">
        <v>311</v>
      </c>
      <c r="J52" t="s">
        <v>314</v>
      </c>
      <c r="L52" t="s">
        <v>314</v>
      </c>
    </row>
    <row r="53" spans="1:12">
      <c r="B53" t="s">
        <v>275</v>
      </c>
      <c r="C53">
        <v>1</v>
      </c>
      <c r="D53" t="s">
        <v>311</v>
      </c>
      <c r="F53" t="s">
        <v>310</v>
      </c>
      <c r="H53" t="s">
        <v>311</v>
      </c>
      <c r="J53" t="s">
        <v>220</v>
      </c>
      <c r="L53" t="s">
        <v>220</v>
      </c>
    </row>
    <row r="54" spans="1:12">
      <c r="C54">
        <v>2</v>
      </c>
      <c r="D54" t="s">
        <v>311</v>
      </c>
      <c r="F54" t="s">
        <v>311</v>
      </c>
      <c r="H54" t="s">
        <v>310</v>
      </c>
      <c r="J54" t="s">
        <v>311</v>
      </c>
      <c r="L54" t="s">
        <v>220</v>
      </c>
    </row>
    <row r="55" spans="1:12">
      <c r="C55">
        <v>3</v>
      </c>
      <c r="D55" t="s">
        <v>220</v>
      </c>
      <c r="F55" t="s">
        <v>220</v>
      </c>
      <c r="H55" t="s">
        <v>310</v>
      </c>
      <c r="J55" t="s">
        <v>314</v>
      </c>
      <c r="L55" t="s">
        <v>220</v>
      </c>
    </row>
    <row r="56" spans="1:12">
      <c r="C56">
        <v>4</v>
      </c>
      <c r="D56" t="s">
        <v>310</v>
      </c>
      <c r="F56" t="s">
        <v>310</v>
      </c>
      <c r="H56" t="s">
        <v>220</v>
      </c>
      <c r="J56" t="s">
        <v>310</v>
      </c>
      <c r="L56" t="s">
        <v>220</v>
      </c>
    </row>
    <row r="57" spans="1:12">
      <c r="C57">
        <v>5</v>
      </c>
      <c r="D57" t="s">
        <v>310</v>
      </c>
      <c r="F57" t="s">
        <v>310</v>
      </c>
      <c r="H57" t="s">
        <v>316</v>
      </c>
      <c r="J57" t="s">
        <v>314</v>
      </c>
      <c r="L57" t="s">
        <v>309</v>
      </c>
    </row>
    <row r="58" spans="1:12">
      <c r="A58">
        <v>160801</v>
      </c>
      <c r="B58" t="s">
        <v>276</v>
      </c>
      <c r="C58">
        <v>1</v>
      </c>
      <c r="D58" t="s">
        <v>309</v>
      </c>
      <c r="F58" t="s">
        <v>220</v>
      </c>
      <c r="H58" t="s">
        <v>316</v>
      </c>
      <c r="J58" t="s">
        <v>314</v>
      </c>
      <c r="L58" t="s">
        <v>314</v>
      </c>
    </row>
    <row r="59" spans="1:12">
      <c r="C59">
        <v>2</v>
      </c>
      <c r="D59" t="s">
        <v>309</v>
      </c>
      <c r="F59" t="s">
        <v>310</v>
      </c>
      <c r="H59" t="s">
        <v>309</v>
      </c>
      <c r="J59" t="s">
        <v>314</v>
      </c>
      <c r="L59" t="s">
        <v>314</v>
      </c>
    </row>
    <row r="60" spans="1:12">
      <c r="C60">
        <v>3</v>
      </c>
      <c r="D60" t="s">
        <v>311</v>
      </c>
      <c r="F60" t="s">
        <v>310</v>
      </c>
      <c r="H60" t="s">
        <v>220</v>
      </c>
      <c r="J60" t="s">
        <v>310</v>
      </c>
      <c r="L60" t="s">
        <v>310</v>
      </c>
    </row>
    <row r="61" spans="1:12">
      <c r="C61">
        <v>4</v>
      </c>
      <c r="D61" t="s">
        <v>311</v>
      </c>
      <c r="F61" t="s">
        <v>311</v>
      </c>
      <c r="H61" t="s">
        <v>316</v>
      </c>
      <c r="J61" t="s">
        <v>309</v>
      </c>
      <c r="L61" t="s">
        <v>220</v>
      </c>
    </row>
    <row r="62" spans="1:12">
      <c r="C62">
        <v>5</v>
      </c>
      <c r="D62" t="s">
        <v>220</v>
      </c>
      <c r="F62" t="s">
        <v>310</v>
      </c>
      <c r="H62" t="s">
        <v>220</v>
      </c>
      <c r="J62" t="s">
        <v>314</v>
      </c>
      <c r="L62" t="s">
        <v>311</v>
      </c>
    </row>
    <row r="63" spans="1:12">
      <c r="B63" t="s">
        <v>277</v>
      </c>
      <c r="C63">
        <v>1</v>
      </c>
      <c r="D63" t="s">
        <v>312</v>
      </c>
      <c r="F63" t="s">
        <v>220</v>
      </c>
      <c r="H63" t="s">
        <v>309</v>
      </c>
      <c r="J63" t="s">
        <v>220</v>
      </c>
      <c r="L63" t="s">
        <v>220</v>
      </c>
    </row>
    <row r="64" spans="1:12">
      <c r="C64">
        <v>2</v>
      </c>
      <c r="D64" t="s">
        <v>312</v>
      </c>
      <c r="F64" t="s">
        <v>312</v>
      </c>
      <c r="H64" t="s">
        <v>309</v>
      </c>
      <c r="J64" t="s">
        <v>312</v>
      </c>
      <c r="L64" t="s">
        <v>220</v>
      </c>
    </row>
    <row r="65" spans="1:12">
      <c r="C65">
        <v>3</v>
      </c>
      <c r="D65" t="s">
        <v>309</v>
      </c>
      <c r="F65" t="s">
        <v>220</v>
      </c>
      <c r="H65" t="s">
        <v>310</v>
      </c>
      <c r="J65" t="s">
        <v>220</v>
      </c>
      <c r="L65" t="s">
        <v>220</v>
      </c>
    </row>
    <row r="66" spans="1:12">
      <c r="C66">
        <v>4</v>
      </c>
      <c r="D66" t="s">
        <v>309</v>
      </c>
      <c r="F66" t="s">
        <v>309</v>
      </c>
      <c r="H66" t="s">
        <v>310</v>
      </c>
      <c r="J66" t="s">
        <v>220</v>
      </c>
      <c r="L66" t="s">
        <v>220</v>
      </c>
    </row>
    <row r="67" spans="1:12">
      <c r="C67">
        <v>5</v>
      </c>
      <c r="D67" t="s">
        <v>309</v>
      </c>
      <c r="F67" t="s">
        <v>309</v>
      </c>
      <c r="H67" t="s">
        <v>310</v>
      </c>
      <c r="J67" t="s">
        <v>310</v>
      </c>
      <c r="L67" t="s">
        <v>310</v>
      </c>
    </row>
    <row r="68" spans="1:12">
      <c r="B68" t="s">
        <v>279</v>
      </c>
      <c r="C68">
        <v>1</v>
      </c>
      <c r="D68" t="s">
        <v>309</v>
      </c>
      <c r="F68" t="s">
        <v>220</v>
      </c>
      <c r="H68" t="s">
        <v>311</v>
      </c>
      <c r="J68" t="s">
        <v>309</v>
      </c>
      <c r="L68" t="s">
        <v>220</v>
      </c>
    </row>
    <row r="69" spans="1:12">
      <c r="C69">
        <v>2</v>
      </c>
      <c r="D69" t="s">
        <v>311</v>
      </c>
      <c r="F69" t="s">
        <v>314</v>
      </c>
      <c r="H69" t="s">
        <v>316</v>
      </c>
      <c r="J69" t="s">
        <v>312</v>
      </c>
      <c r="L69" t="s">
        <v>311</v>
      </c>
    </row>
    <row r="70" spans="1:12">
      <c r="C70">
        <v>3</v>
      </c>
      <c r="D70" t="s">
        <v>311</v>
      </c>
      <c r="F70" t="s">
        <v>309</v>
      </c>
      <c r="H70" t="s">
        <v>309</v>
      </c>
      <c r="J70" t="s">
        <v>310</v>
      </c>
      <c r="L70" t="s">
        <v>314</v>
      </c>
    </row>
    <row r="71" spans="1:12">
      <c r="C71">
        <v>4</v>
      </c>
      <c r="D71" t="s">
        <v>311</v>
      </c>
      <c r="F71" t="s">
        <v>311</v>
      </c>
      <c r="H71" t="s">
        <v>309</v>
      </c>
      <c r="J71" t="s">
        <v>314</v>
      </c>
      <c r="L71" t="s">
        <v>310</v>
      </c>
    </row>
    <row r="72" spans="1:12">
      <c r="C72">
        <v>5</v>
      </c>
      <c r="D72" t="s">
        <v>310</v>
      </c>
      <c r="F72" t="s">
        <v>310</v>
      </c>
      <c r="H72" t="s">
        <v>309</v>
      </c>
      <c r="J72" t="s">
        <v>310</v>
      </c>
      <c r="L72" t="s">
        <v>311</v>
      </c>
    </row>
    <row r="73" spans="1:12">
      <c r="B73" t="s">
        <v>278</v>
      </c>
      <c r="C73">
        <v>1</v>
      </c>
      <c r="D73" t="s">
        <v>312</v>
      </c>
      <c r="F73" t="s">
        <v>220</v>
      </c>
      <c r="H73" t="s">
        <v>312</v>
      </c>
      <c r="J73" t="s">
        <v>314</v>
      </c>
      <c r="L73" t="s">
        <v>220</v>
      </c>
    </row>
    <row r="74" spans="1:12">
      <c r="C74">
        <v>2</v>
      </c>
      <c r="D74" t="s">
        <v>220</v>
      </c>
      <c r="F74" t="s">
        <v>309</v>
      </c>
      <c r="H74" t="s">
        <v>309</v>
      </c>
      <c r="J74" t="s">
        <v>309</v>
      </c>
      <c r="L74" t="s">
        <v>312</v>
      </c>
    </row>
    <row r="75" spans="1:12">
      <c r="C75">
        <v>3</v>
      </c>
      <c r="D75" t="s">
        <v>312</v>
      </c>
      <c r="F75" t="s">
        <v>309</v>
      </c>
      <c r="H75" t="s">
        <v>312</v>
      </c>
      <c r="J75" t="s">
        <v>311</v>
      </c>
      <c r="L75" t="s">
        <v>309</v>
      </c>
    </row>
    <row r="76" spans="1:12">
      <c r="C76">
        <v>4</v>
      </c>
      <c r="D76" t="s">
        <v>309</v>
      </c>
      <c r="F76" t="s">
        <v>312</v>
      </c>
      <c r="H76" t="s">
        <v>316</v>
      </c>
      <c r="J76" t="s">
        <v>314</v>
      </c>
      <c r="L76" t="s">
        <v>220</v>
      </c>
    </row>
    <row r="77" spans="1:12">
      <c r="C77">
        <v>5</v>
      </c>
      <c r="D77" t="s">
        <v>311</v>
      </c>
      <c r="F77" t="s">
        <v>309</v>
      </c>
      <c r="H77" t="s">
        <v>311</v>
      </c>
      <c r="J77" t="s">
        <v>311</v>
      </c>
      <c r="L77" t="s">
        <v>314</v>
      </c>
    </row>
    <row r="78" spans="1:12">
      <c r="A78">
        <v>161031</v>
      </c>
      <c r="B78" t="s">
        <v>280</v>
      </c>
      <c r="C78">
        <v>1</v>
      </c>
      <c r="D78" t="s">
        <v>309</v>
      </c>
      <c r="F78" t="s">
        <v>311</v>
      </c>
      <c r="H78" t="s">
        <v>316</v>
      </c>
      <c r="J78" t="s">
        <v>314</v>
      </c>
      <c r="L78" t="s">
        <v>309</v>
      </c>
    </row>
    <row r="79" spans="1:12">
      <c r="C79">
        <v>2</v>
      </c>
      <c r="D79" t="s">
        <v>309</v>
      </c>
      <c r="F79" t="s">
        <v>316</v>
      </c>
      <c r="H79" t="s">
        <v>316</v>
      </c>
      <c r="J79" t="s">
        <v>310</v>
      </c>
      <c r="L79" t="s">
        <v>311</v>
      </c>
    </row>
    <row r="80" spans="1:12">
      <c r="C80">
        <v>3</v>
      </c>
      <c r="D80" t="s">
        <v>311</v>
      </c>
      <c r="F80" t="s">
        <v>220</v>
      </c>
      <c r="H80" t="s">
        <v>310</v>
      </c>
      <c r="J80" t="s">
        <v>314</v>
      </c>
      <c r="L80" t="s">
        <v>314</v>
      </c>
    </row>
    <row r="81" spans="1:12">
      <c r="C81">
        <v>4</v>
      </c>
      <c r="D81" t="s">
        <v>310</v>
      </c>
      <c r="F81" t="s">
        <v>311</v>
      </c>
      <c r="H81" t="s">
        <v>316</v>
      </c>
      <c r="J81" t="s">
        <v>314</v>
      </c>
      <c r="L81" t="s">
        <v>311</v>
      </c>
    </row>
    <row r="82" spans="1:12">
      <c r="C82">
        <v>5</v>
      </c>
      <c r="D82" t="s">
        <v>220</v>
      </c>
      <c r="F82" t="s">
        <v>316</v>
      </c>
      <c r="H82" t="s">
        <v>316</v>
      </c>
      <c r="J82" t="s">
        <v>314</v>
      </c>
      <c r="L82" t="s">
        <v>309</v>
      </c>
    </row>
    <row r="83" spans="1:12">
      <c r="B83" t="s">
        <v>281</v>
      </c>
      <c r="C83">
        <v>1</v>
      </c>
      <c r="D83" t="s">
        <v>311</v>
      </c>
      <c r="F83" t="s">
        <v>312</v>
      </c>
      <c r="H83" t="s">
        <v>309</v>
      </c>
      <c r="J83" t="s">
        <v>311</v>
      </c>
      <c r="L83" t="s">
        <v>309</v>
      </c>
    </row>
    <row r="84" spans="1:12">
      <c r="C84">
        <v>2</v>
      </c>
      <c r="D84" t="s">
        <v>311</v>
      </c>
      <c r="F84" t="s">
        <v>311</v>
      </c>
      <c r="H84" t="s">
        <v>309</v>
      </c>
      <c r="J84" t="s">
        <v>310</v>
      </c>
      <c r="L84" t="s">
        <v>310</v>
      </c>
    </row>
    <row r="85" spans="1:12">
      <c r="C85">
        <v>3</v>
      </c>
      <c r="D85" t="s">
        <v>309</v>
      </c>
      <c r="F85" t="s">
        <v>312</v>
      </c>
      <c r="H85" t="s">
        <v>220</v>
      </c>
      <c r="J85" t="s">
        <v>311</v>
      </c>
      <c r="L85" t="s">
        <v>309</v>
      </c>
    </row>
    <row r="86" spans="1:12">
      <c r="C86">
        <v>4</v>
      </c>
      <c r="D86" t="s">
        <v>220</v>
      </c>
      <c r="F86" t="s">
        <v>220</v>
      </c>
      <c r="H86" t="s">
        <v>310</v>
      </c>
      <c r="J86" t="s">
        <v>309</v>
      </c>
      <c r="L86" t="s">
        <v>311</v>
      </c>
    </row>
    <row r="87" spans="1:12">
      <c r="C87">
        <v>5</v>
      </c>
      <c r="D87" t="s">
        <v>311</v>
      </c>
      <c r="F87" t="s">
        <v>310</v>
      </c>
      <c r="H87" t="s">
        <v>309</v>
      </c>
      <c r="J87" t="s">
        <v>309</v>
      </c>
      <c r="L87" t="s">
        <v>314</v>
      </c>
    </row>
    <row r="88" spans="1:12">
      <c r="B88" t="s">
        <v>282</v>
      </c>
      <c r="C88">
        <v>1</v>
      </c>
      <c r="D88" t="s">
        <v>311</v>
      </c>
      <c r="F88" t="s">
        <v>310</v>
      </c>
      <c r="H88" t="s">
        <v>316</v>
      </c>
      <c r="J88" t="s">
        <v>310</v>
      </c>
      <c r="L88" t="s">
        <v>314</v>
      </c>
    </row>
    <row r="89" spans="1:12">
      <c r="C89">
        <v>2</v>
      </c>
      <c r="D89" t="s">
        <v>311</v>
      </c>
      <c r="F89" t="s">
        <v>316</v>
      </c>
      <c r="H89" t="s">
        <v>311</v>
      </c>
      <c r="J89" t="s">
        <v>311</v>
      </c>
      <c r="L89" t="s">
        <v>311</v>
      </c>
    </row>
    <row r="90" spans="1:12">
      <c r="C90">
        <v>3</v>
      </c>
      <c r="D90" t="s">
        <v>220</v>
      </c>
      <c r="F90" t="s">
        <v>310</v>
      </c>
      <c r="H90" t="s">
        <v>220</v>
      </c>
      <c r="J90" t="s">
        <v>310</v>
      </c>
      <c r="L90" t="s">
        <v>311</v>
      </c>
    </row>
    <row r="91" spans="1:12">
      <c r="C91">
        <v>4</v>
      </c>
      <c r="D91" t="s">
        <v>310</v>
      </c>
      <c r="F91" t="s">
        <v>310</v>
      </c>
      <c r="H91" t="s">
        <v>310</v>
      </c>
      <c r="J91" t="s">
        <v>314</v>
      </c>
      <c r="L91" t="s">
        <v>310</v>
      </c>
    </row>
    <row r="92" spans="1:12">
      <c r="C92">
        <v>5</v>
      </c>
      <c r="D92" t="s">
        <v>310</v>
      </c>
      <c r="F92" t="s">
        <v>316</v>
      </c>
      <c r="H92" t="s">
        <v>220</v>
      </c>
      <c r="J92" t="s">
        <v>310</v>
      </c>
      <c r="L92" t="s">
        <v>310</v>
      </c>
    </row>
    <row r="93" spans="1:12">
      <c r="A93">
        <v>170206</v>
      </c>
      <c r="B93" t="s">
        <v>283</v>
      </c>
      <c r="C93">
        <v>1</v>
      </c>
      <c r="D93" t="s">
        <v>311</v>
      </c>
      <c r="F93" t="s">
        <v>311</v>
      </c>
      <c r="H93" t="s">
        <v>316</v>
      </c>
      <c r="J93" t="s">
        <v>310</v>
      </c>
      <c r="L93" t="s">
        <v>310</v>
      </c>
    </row>
    <row r="94" spans="1:12">
      <c r="C94">
        <v>2</v>
      </c>
      <c r="D94" t="s">
        <v>311</v>
      </c>
      <c r="F94" t="s">
        <v>316</v>
      </c>
      <c r="H94" t="s">
        <v>310</v>
      </c>
      <c r="J94" t="s">
        <v>310</v>
      </c>
      <c r="L94" t="s">
        <v>310</v>
      </c>
    </row>
    <row r="95" spans="1:12">
      <c r="C95">
        <v>3</v>
      </c>
      <c r="D95" t="s">
        <v>311</v>
      </c>
      <c r="F95" t="s">
        <v>310</v>
      </c>
      <c r="H95" t="s">
        <v>310</v>
      </c>
      <c r="J95" t="s">
        <v>314</v>
      </c>
      <c r="L95" t="s">
        <v>310</v>
      </c>
    </row>
    <row r="96" spans="1:12">
      <c r="C96">
        <v>4</v>
      </c>
      <c r="D96" t="s">
        <v>309</v>
      </c>
      <c r="F96" t="s">
        <v>220</v>
      </c>
      <c r="H96" t="s">
        <v>316</v>
      </c>
      <c r="J96" t="s">
        <v>310</v>
      </c>
      <c r="L96" t="s">
        <v>314</v>
      </c>
    </row>
    <row r="97" spans="2:12">
      <c r="C97">
        <v>5</v>
      </c>
      <c r="D97" t="s">
        <v>220</v>
      </c>
      <c r="F97" t="s">
        <v>316</v>
      </c>
      <c r="H97" t="s">
        <v>316</v>
      </c>
      <c r="J97" t="s">
        <v>310</v>
      </c>
      <c r="L97" t="s">
        <v>314</v>
      </c>
    </row>
    <row r="98" spans="2:12">
      <c r="B98" t="s">
        <v>284</v>
      </c>
      <c r="C98">
        <v>1</v>
      </c>
      <c r="D98" t="s">
        <v>311</v>
      </c>
      <c r="F98" t="s">
        <v>312</v>
      </c>
      <c r="H98" t="s">
        <v>309</v>
      </c>
      <c r="J98" t="s">
        <v>312</v>
      </c>
      <c r="L98" t="s">
        <v>312</v>
      </c>
    </row>
    <row r="99" spans="2:12">
      <c r="C99">
        <v>2</v>
      </c>
      <c r="D99" t="s">
        <v>312</v>
      </c>
      <c r="F99" t="s">
        <v>312</v>
      </c>
      <c r="H99" t="s">
        <v>312</v>
      </c>
      <c r="J99" t="s">
        <v>312</v>
      </c>
      <c r="L99" t="s">
        <v>312</v>
      </c>
    </row>
    <row r="100" spans="2:12">
      <c r="C100">
        <v>3</v>
      </c>
      <c r="D100" t="s">
        <v>312</v>
      </c>
      <c r="F100" t="s">
        <v>309</v>
      </c>
      <c r="H100" t="s">
        <v>312</v>
      </c>
      <c r="J100" t="s">
        <v>312</v>
      </c>
      <c r="L100" t="s">
        <v>309</v>
      </c>
    </row>
    <row r="101" spans="2:12">
      <c r="C101">
        <v>4</v>
      </c>
      <c r="D101" t="s">
        <v>312</v>
      </c>
      <c r="F101" t="s">
        <v>312</v>
      </c>
      <c r="H101" t="s">
        <v>312</v>
      </c>
      <c r="J101" t="s">
        <v>310</v>
      </c>
      <c r="L101" t="s">
        <v>220</v>
      </c>
    </row>
    <row r="102" spans="2:12">
      <c r="C102">
        <v>5</v>
      </c>
      <c r="D102" t="s">
        <v>309</v>
      </c>
      <c r="F102" t="s">
        <v>312</v>
      </c>
      <c r="H102" t="s">
        <v>309</v>
      </c>
      <c r="J102" t="s">
        <v>312</v>
      </c>
      <c r="L102" t="s">
        <v>312</v>
      </c>
    </row>
    <row r="103" spans="2:12">
      <c r="B103" t="s">
        <v>285</v>
      </c>
      <c r="C103">
        <v>1</v>
      </c>
      <c r="D103" t="s">
        <v>311</v>
      </c>
      <c r="F103" t="s">
        <v>220</v>
      </c>
      <c r="H103" t="s">
        <v>311</v>
      </c>
      <c r="J103" t="s">
        <v>314</v>
      </c>
      <c r="L103" t="s">
        <v>310</v>
      </c>
    </row>
    <row r="104" spans="2:12">
      <c r="C104">
        <v>2</v>
      </c>
      <c r="D104" t="s">
        <v>311</v>
      </c>
      <c r="F104" t="s">
        <v>311</v>
      </c>
      <c r="H104" t="s">
        <v>311</v>
      </c>
      <c r="J104" t="s">
        <v>311</v>
      </c>
      <c r="L104" t="s">
        <v>314</v>
      </c>
    </row>
    <row r="105" spans="2:12">
      <c r="C105">
        <v>3</v>
      </c>
      <c r="D105" t="s">
        <v>220</v>
      </c>
      <c r="F105" t="s">
        <v>220</v>
      </c>
      <c r="H105" t="s">
        <v>311</v>
      </c>
      <c r="J105" t="s">
        <v>311</v>
      </c>
      <c r="L105" t="s">
        <v>314</v>
      </c>
    </row>
    <row r="106" spans="2:12">
      <c r="C106">
        <v>4</v>
      </c>
      <c r="D106" t="s">
        <v>316</v>
      </c>
      <c r="F106" t="s">
        <v>316</v>
      </c>
      <c r="H106" t="s">
        <v>220</v>
      </c>
      <c r="J106" t="s">
        <v>314</v>
      </c>
      <c r="L106" t="s">
        <v>310</v>
      </c>
    </row>
    <row r="107" spans="2:12">
      <c r="C107">
        <v>5</v>
      </c>
      <c r="D107" t="s">
        <v>220</v>
      </c>
      <c r="F107" t="s">
        <v>220</v>
      </c>
      <c r="H107" t="s">
        <v>220</v>
      </c>
      <c r="J107" t="s">
        <v>314</v>
      </c>
      <c r="L107" t="s">
        <v>314</v>
      </c>
    </row>
    <row r="108" spans="2:12">
      <c r="B108" t="s">
        <v>286</v>
      </c>
      <c r="C108">
        <v>1</v>
      </c>
      <c r="D108" t="s">
        <v>311</v>
      </c>
      <c r="F108" t="s">
        <v>220</v>
      </c>
      <c r="H108" t="s">
        <v>220</v>
      </c>
      <c r="J108" t="s">
        <v>310</v>
      </c>
      <c r="L108" t="s">
        <v>310</v>
      </c>
    </row>
    <row r="109" spans="2:12">
      <c r="C109">
        <v>2</v>
      </c>
      <c r="D109" t="s">
        <v>309</v>
      </c>
      <c r="F109" t="s">
        <v>309</v>
      </c>
      <c r="H109" t="s">
        <v>220</v>
      </c>
      <c r="J109" t="s">
        <v>310</v>
      </c>
      <c r="L109" t="s">
        <v>314</v>
      </c>
    </row>
    <row r="110" spans="2:12">
      <c r="C110">
        <v>3</v>
      </c>
      <c r="D110" t="s">
        <v>309</v>
      </c>
      <c r="F110" t="s">
        <v>311</v>
      </c>
      <c r="H110" t="s">
        <v>220</v>
      </c>
      <c r="J110" t="s">
        <v>314</v>
      </c>
      <c r="L110" t="s">
        <v>311</v>
      </c>
    </row>
    <row r="111" spans="2:12">
      <c r="C111">
        <v>4</v>
      </c>
      <c r="D111" t="s">
        <v>311</v>
      </c>
      <c r="F111" t="s">
        <v>220</v>
      </c>
      <c r="H111" t="s">
        <v>310</v>
      </c>
      <c r="J111" t="s">
        <v>314</v>
      </c>
      <c r="L111" t="s">
        <v>310</v>
      </c>
    </row>
    <row r="112" spans="2:12">
      <c r="C112">
        <v>5</v>
      </c>
      <c r="D112" t="s">
        <v>310</v>
      </c>
      <c r="F112" t="s">
        <v>310</v>
      </c>
      <c r="H112" t="s">
        <v>220</v>
      </c>
      <c r="J112" t="s">
        <v>220</v>
      </c>
      <c r="L112" t="s">
        <v>314</v>
      </c>
    </row>
    <row r="113" spans="1:12">
      <c r="B113" t="s">
        <v>287</v>
      </c>
      <c r="C113">
        <v>1</v>
      </c>
      <c r="D113" t="s">
        <v>312</v>
      </c>
      <c r="F113" t="s">
        <v>311</v>
      </c>
      <c r="H113" t="s">
        <v>310</v>
      </c>
      <c r="J113" t="s">
        <v>314</v>
      </c>
      <c r="L113" t="s">
        <v>310</v>
      </c>
    </row>
    <row r="114" spans="1:12">
      <c r="C114">
        <v>2</v>
      </c>
      <c r="D114" t="s">
        <v>309</v>
      </c>
      <c r="F114" t="s">
        <v>310</v>
      </c>
      <c r="H114" t="s">
        <v>310</v>
      </c>
      <c r="J114" t="s">
        <v>220</v>
      </c>
      <c r="L114" t="s">
        <v>310</v>
      </c>
    </row>
    <row r="115" spans="1:12">
      <c r="C115">
        <v>3</v>
      </c>
      <c r="D115" t="s">
        <v>220</v>
      </c>
      <c r="F115" t="s">
        <v>220</v>
      </c>
      <c r="H115" t="s">
        <v>311</v>
      </c>
      <c r="J115" t="s">
        <v>310</v>
      </c>
      <c r="L115" t="s">
        <v>314</v>
      </c>
    </row>
    <row r="116" spans="1:12">
      <c r="C116">
        <v>4</v>
      </c>
      <c r="D116" t="s">
        <v>220</v>
      </c>
      <c r="F116" t="s">
        <v>311</v>
      </c>
      <c r="H116" t="s">
        <v>314</v>
      </c>
      <c r="J116" t="s">
        <v>314</v>
      </c>
      <c r="L116" t="s">
        <v>314</v>
      </c>
    </row>
    <row r="117" spans="1:12">
      <c r="C117">
        <v>5</v>
      </c>
      <c r="D117" t="s">
        <v>311</v>
      </c>
      <c r="F117" t="s">
        <v>310</v>
      </c>
      <c r="H117" t="s">
        <v>311</v>
      </c>
      <c r="J117" t="s">
        <v>314</v>
      </c>
      <c r="L117" t="s">
        <v>309</v>
      </c>
    </row>
    <row r="118" spans="1:12">
      <c r="A118">
        <v>170716</v>
      </c>
      <c r="B118" t="s">
        <v>288</v>
      </c>
      <c r="C118">
        <v>1</v>
      </c>
      <c r="D118" t="s">
        <v>310</v>
      </c>
      <c r="F118" t="s">
        <v>220</v>
      </c>
      <c r="H118" t="s">
        <v>309</v>
      </c>
      <c r="J118" t="s">
        <v>310</v>
      </c>
      <c r="L118" t="s">
        <v>311</v>
      </c>
    </row>
    <row r="119" spans="1:12">
      <c r="C119">
        <v>2</v>
      </c>
      <c r="D119" t="s">
        <v>316</v>
      </c>
      <c r="F119" t="s">
        <v>312</v>
      </c>
      <c r="H119" t="s">
        <v>309</v>
      </c>
      <c r="J119" t="s">
        <v>310</v>
      </c>
      <c r="L119" t="s">
        <v>309</v>
      </c>
    </row>
    <row r="120" spans="1:12">
      <c r="C120">
        <v>3</v>
      </c>
      <c r="D120" t="s">
        <v>309</v>
      </c>
      <c r="F120" t="s">
        <v>220</v>
      </c>
      <c r="H120" t="s">
        <v>310</v>
      </c>
      <c r="J120" t="s">
        <v>220</v>
      </c>
      <c r="L120" t="s">
        <v>220</v>
      </c>
    </row>
    <row r="121" spans="1:12">
      <c r="C121">
        <v>4</v>
      </c>
      <c r="D121" t="s">
        <v>311</v>
      </c>
      <c r="F121" t="s">
        <v>316</v>
      </c>
      <c r="H121" t="s">
        <v>309</v>
      </c>
      <c r="J121" t="s">
        <v>309</v>
      </c>
      <c r="L121" t="s">
        <v>309</v>
      </c>
    </row>
    <row r="122" spans="1:12">
      <c r="C122">
        <v>5</v>
      </c>
      <c r="D122" t="s">
        <v>311</v>
      </c>
      <c r="F122" t="s">
        <v>316</v>
      </c>
      <c r="H122" t="s">
        <v>310</v>
      </c>
      <c r="J122" t="s">
        <v>310</v>
      </c>
      <c r="L122" t="s">
        <v>314</v>
      </c>
    </row>
    <row r="123" spans="1:12">
      <c r="B123" t="s">
        <v>289</v>
      </c>
      <c r="C123">
        <v>1</v>
      </c>
      <c r="D123" t="s">
        <v>220</v>
      </c>
      <c r="F123" t="s">
        <v>310</v>
      </c>
      <c r="H123" t="s">
        <v>220</v>
      </c>
      <c r="J123" t="s">
        <v>310</v>
      </c>
      <c r="L123" t="s">
        <v>220</v>
      </c>
    </row>
    <row r="124" spans="1:12">
      <c r="C124">
        <v>2</v>
      </c>
      <c r="D124" t="s">
        <v>309</v>
      </c>
      <c r="F124" t="s">
        <v>309</v>
      </c>
      <c r="H124" t="s">
        <v>310</v>
      </c>
      <c r="J124" t="s">
        <v>310</v>
      </c>
      <c r="L124" t="s">
        <v>314</v>
      </c>
    </row>
    <row r="125" spans="1:12">
      <c r="C125">
        <v>3</v>
      </c>
      <c r="D125" t="s">
        <v>309</v>
      </c>
      <c r="F125" t="s">
        <v>309</v>
      </c>
      <c r="H125" t="s">
        <v>310</v>
      </c>
      <c r="J125" t="s">
        <v>220</v>
      </c>
      <c r="L125" t="s">
        <v>220</v>
      </c>
    </row>
    <row r="126" spans="1:12">
      <c r="C126">
        <v>4</v>
      </c>
      <c r="D126" t="s">
        <v>220</v>
      </c>
      <c r="F126" t="s">
        <v>310</v>
      </c>
      <c r="H126" t="s">
        <v>314</v>
      </c>
      <c r="J126" t="s">
        <v>314</v>
      </c>
      <c r="L126" t="s">
        <v>310</v>
      </c>
    </row>
    <row r="127" spans="1:12">
      <c r="C127">
        <v>5</v>
      </c>
      <c r="D127" t="s">
        <v>309</v>
      </c>
      <c r="F127" t="s">
        <v>220</v>
      </c>
      <c r="H127" t="s">
        <v>311</v>
      </c>
      <c r="J127" t="s">
        <v>220</v>
      </c>
      <c r="L127" t="s">
        <v>314</v>
      </c>
    </row>
    <row r="128" spans="1:12">
      <c r="B128" t="s">
        <v>290</v>
      </c>
      <c r="C128">
        <v>1</v>
      </c>
      <c r="D128" t="s">
        <v>312</v>
      </c>
      <c r="F128" t="s">
        <v>309</v>
      </c>
      <c r="H128" t="s">
        <v>220</v>
      </c>
      <c r="J128" t="s">
        <v>309</v>
      </c>
      <c r="L128" t="s">
        <v>311</v>
      </c>
    </row>
    <row r="129" spans="2:19">
      <c r="C129">
        <v>2</v>
      </c>
      <c r="D129" t="s">
        <v>312</v>
      </c>
      <c r="F129" t="s">
        <v>309</v>
      </c>
      <c r="H129" t="s">
        <v>220</v>
      </c>
      <c r="J129" t="s">
        <v>312</v>
      </c>
      <c r="L129" t="s">
        <v>311</v>
      </c>
    </row>
    <row r="130" spans="2:19">
      <c r="C130">
        <v>3</v>
      </c>
      <c r="D130" t="s">
        <v>312</v>
      </c>
      <c r="F130" t="s">
        <v>220</v>
      </c>
      <c r="H130" t="s">
        <v>220</v>
      </c>
      <c r="J130" t="s">
        <v>309</v>
      </c>
      <c r="L130" t="s">
        <v>220</v>
      </c>
    </row>
    <row r="131" spans="2:19">
      <c r="C131">
        <v>4</v>
      </c>
      <c r="D131" t="s">
        <v>309</v>
      </c>
      <c r="F131" t="s">
        <v>310</v>
      </c>
      <c r="H131" t="s">
        <v>309</v>
      </c>
      <c r="J131" t="s">
        <v>309</v>
      </c>
      <c r="L131" t="s">
        <v>220</v>
      </c>
    </row>
    <row r="132" spans="2:19">
      <c r="C132">
        <v>5</v>
      </c>
      <c r="D132" t="s">
        <v>309</v>
      </c>
      <c r="F132" t="s">
        <v>310</v>
      </c>
      <c r="H132" t="s">
        <v>309</v>
      </c>
      <c r="J132" t="s">
        <v>311</v>
      </c>
      <c r="L132" t="s">
        <v>309</v>
      </c>
    </row>
    <row r="133" spans="2:19">
      <c r="B133" t="s">
        <v>291</v>
      </c>
      <c r="C133">
        <v>1</v>
      </c>
      <c r="D133" t="s">
        <v>311</v>
      </c>
      <c r="F133" t="s">
        <v>220</v>
      </c>
      <c r="H133" t="s">
        <v>220</v>
      </c>
      <c r="J133" t="s">
        <v>311</v>
      </c>
      <c r="L133" t="s">
        <v>314</v>
      </c>
    </row>
    <row r="134" spans="2:19">
      <c r="C134">
        <v>2</v>
      </c>
      <c r="D134" t="s">
        <v>311</v>
      </c>
      <c r="F134" t="s">
        <v>220</v>
      </c>
      <c r="H134" t="s">
        <v>311</v>
      </c>
      <c r="J134" t="s">
        <v>314</v>
      </c>
      <c r="L134" t="s">
        <v>314</v>
      </c>
      <c r="R134" t="s">
        <v>320</v>
      </c>
      <c r="S134" t="s">
        <v>321</v>
      </c>
    </row>
    <row r="135" spans="2:19">
      <c r="C135">
        <v>3</v>
      </c>
      <c r="D135" t="s">
        <v>220</v>
      </c>
      <c r="F135" t="s">
        <v>316</v>
      </c>
      <c r="H135" t="s">
        <v>314</v>
      </c>
      <c r="J135" t="s">
        <v>220</v>
      </c>
      <c r="L135" t="s">
        <v>220</v>
      </c>
      <c r="Q135" t="s">
        <v>171</v>
      </c>
      <c r="R135">
        <v>10</v>
      </c>
      <c r="S135">
        <v>5.7</v>
      </c>
    </row>
    <row r="136" spans="2:19">
      <c r="C136">
        <v>4</v>
      </c>
      <c r="D136" t="s">
        <v>316</v>
      </c>
      <c r="F136" t="s">
        <v>220</v>
      </c>
      <c r="H136" t="s">
        <v>311</v>
      </c>
      <c r="J136" t="s">
        <v>314</v>
      </c>
      <c r="L136" t="s">
        <v>311</v>
      </c>
      <c r="Q136" t="s">
        <v>172</v>
      </c>
      <c r="R136">
        <v>15.7</v>
      </c>
      <c r="S136">
        <v>20.399999999999999</v>
      </c>
    </row>
    <row r="137" spans="2:19">
      <c r="C137">
        <v>5</v>
      </c>
      <c r="D137" t="s">
        <v>220</v>
      </c>
      <c r="F137" t="s">
        <v>220</v>
      </c>
      <c r="H137" t="s">
        <v>220</v>
      </c>
      <c r="J137" t="s">
        <v>314</v>
      </c>
      <c r="L137" t="s">
        <v>220</v>
      </c>
      <c r="Q137" t="s">
        <v>173</v>
      </c>
      <c r="R137">
        <v>17.899999999999999</v>
      </c>
      <c r="S137">
        <v>18.899999999999999</v>
      </c>
    </row>
    <row r="138" spans="2:19">
      <c r="B138" t="s">
        <v>292</v>
      </c>
      <c r="C138">
        <v>1</v>
      </c>
      <c r="D138" t="s">
        <v>311</v>
      </c>
      <c r="F138" t="s">
        <v>220</v>
      </c>
      <c r="H138" t="s">
        <v>310</v>
      </c>
      <c r="J138" t="s">
        <v>309</v>
      </c>
      <c r="L138" t="s">
        <v>220</v>
      </c>
      <c r="Q138" t="s">
        <v>174</v>
      </c>
      <c r="R138">
        <v>26.1</v>
      </c>
      <c r="S138">
        <v>14.3</v>
      </c>
    </row>
    <row r="139" spans="2:19">
      <c r="C139">
        <v>2</v>
      </c>
      <c r="D139" t="s">
        <v>312</v>
      </c>
      <c r="F139" t="s">
        <v>316</v>
      </c>
      <c r="H139" t="s">
        <v>309</v>
      </c>
      <c r="J139" t="s">
        <v>220</v>
      </c>
      <c r="L139" t="s">
        <v>220</v>
      </c>
      <c r="Q139" t="s">
        <v>315</v>
      </c>
      <c r="R139">
        <v>19.600000000000001</v>
      </c>
      <c r="S139">
        <v>13.2</v>
      </c>
    </row>
    <row r="140" spans="2:19">
      <c r="C140">
        <v>3</v>
      </c>
      <c r="D140" t="s">
        <v>312</v>
      </c>
      <c r="F140" t="s">
        <v>220</v>
      </c>
      <c r="H140" t="s">
        <v>309</v>
      </c>
      <c r="J140" t="s">
        <v>220</v>
      </c>
      <c r="L140" t="s">
        <v>312</v>
      </c>
      <c r="Q140" t="s">
        <v>176</v>
      </c>
      <c r="R140">
        <v>10.7</v>
      </c>
      <c r="S140">
        <v>27.5</v>
      </c>
    </row>
    <row r="141" spans="2:19">
      <c r="C141">
        <v>4</v>
      </c>
      <c r="D141" t="s">
        <v>311</v>
      </c>
      <c r="F141" t="s">
        <v>310</v>
      </c>
      <c r="H141" t="s">
        <v>309</v>
      </c>
      <c r="J141" t="s">
        <v>220</v>
      </c>
      <c r="L141" t="s">
        <v>220</v>
      </c>
    </row>
    <row r="142" spans="2:19">
      <c r="C142">
        <v>5</v>
      </c>
      <c r="D142" t="s">
        <v>311</v>
      </c>
      <c r="F142" t="s">
        <v>220</v>
      </c>
      <c r="H142" t="s">
        <v>309</v>
      </c>
      <c r="J142" t="s">
        <v>220</v>
      </c>
      <c r="L142" t="s">
        <v>312</v>
      </c>
    </row>
    <row r="146" spans="3:13">
      <c r="C146" t="s">
        <v>312</v>
      </c>
      <c r="D146">
        <f>COUNTIF(D$3:D$142, "thigmo")</f>
        <v>19</v>
      </c>
      <c r="E146" s="16">
        <f>100*$D146/140</f>
        <v>13.571428571428571</v>
      </c>
      <c r="F146">
        <f>COUNTIF(F$3:F$142, "thigmo")</f>
        <v>9</v>
      </c>
      <c r="G146" s="16">
        <f>100*$F146/140</f>
        <v>6.4285714285714288</v>
      </c>
      <c r="H146">
        <f>COUNTIF(H$3:H$142, "thigmo")</f>
        <v>5</v>
      </c>
      <c r="I146" s="16">
        <f>100*$H146/140</f>
        <v>3.5714285714285716</v>
      </c>
      <c r="J146">
        <f>COUNTIF(J$3:J$142, "thigmo")</f>
        <v>9</v>
      </c>
      <c r="K146" s="16">
        <f>100*$J146/140</f>
        <v>6.4285714285714288</v>
      </c>
      <c r="L146">
        <f>COUNTIF(L$3:L$142, "thigmo")</f>
        <v>7</v>
      </c>
      <c r="M146" s="16">
        <f>(L146/140)*100</f>
        <v>5</v>
      </c>
    </row>
    <row r="147" spans="3:13">
      <c r="C147" t="s">
        <v>172</v>
      </c>
      <c r="D147">
        <f>COUNTIF(D$3:D$142, "rota")</f>
        <v>12</v>
      </c>
      <c r="E147" s="16">
        <f>100*$D147/140</f>
        <v>8.5714285714285712</v>
      </c>
      <c r="F147">
        <f>COUNTIF(F$3:F$142, "rota")</f>
        <v>32</v>
      </c>
      <c r="G147" s="16">
        <f>100*$F147/140</f>
        <v>22.857142857142858</v>
      </c>
      <c r="H147">
        <f>COUNTIF(H$3:H$142, "rota")</f>
        <v>27</v>
      </c>
      <c r="I147" s="16">
        <f>100*$H147/140</f>
        <v>19.285714285714285</v>
      </c>
      <c r="J147">
        <f>COUNTIF(J$3:J$142, "rota")</f>
        <v>33</v>
      </c>
      <c r="K147" s="16">
        <f>100*$J147/140</f>
        <v>23.571428571428573</v>
      </c>
      <c r="L147">
        <f>COUNTIF(L$3:L$142, "rota")</f>
        <v>24</v>
      </c>
      <c r="M147" s="16">
        <f t="shared" ref="M147" si="0">(L147/140)*100</f>
        <v>17.142857142857142</v>
      </c>
    </row>
    <row r="148" spans="3:13">
      <c r="C148" t="s">
        <v>220</v>
      </c>
      <c r="D148">
        <f>COUNTIF(D$3:D$142, "focal")</f>
        <v>19</v>
      </c>
      <c r="E148" s="16">
        <f>100*$D148/140</f>
        <v>13.571428571428571</v>
      </c>
      <c r="F148">
        <f t="shared" ref="F148:J149" si="1">COUNTIF(F$3:F$142, "focal")</f>
        <v>31</v>
      </c>
      <c r="G148" s="16">
        <f>100*$F148/140</f>
        <v>22.142857142857142</v>
      </c>
      <c r="H148">
        <f>COUNTIF(H$3:H$142, "focal")</f>
        <v>32</v>
      </c>
      <c r="I148" s="16">
        <f>100*$H148/140</f>
        <v>22.857142857142858</v>
      </c>
      <c r="J148">
        <f t="shared" si="1"/>
        <v>22</v>
      </c>
      <c r="K148" s="16">
        <f>100*$J148/140</f>
        <v>15.714285714285714</v>
      </c>
      <c r="L148">
        <f>COUNTIF(L$3:L$142, "focal")</f>
        <v>31</v>
      </c>
      <c r="M148" s="16">
        <f t="shared" ref="M148" si="2">(L148/140)*100</f>
        <v>22.142857142857142</v>
      </c>
    </row>
    <row r="149" spans="3:13">
      <c r="C149" t="s">
        <v>174</v>
      </c>
      <c r="D149">
        <f>COUNTIF(D$3:D$142, "scan")</f>
        <v>47</v>
      </c>
      <c r="E149" s="16">
        <f>100*$D149/140</f>
        <v>33.571428571428569</v>
      </c>
      <c r="F149">
        <f t="shared" ref="F147:J154" si="3">COUNTIF(F$3:F$142, "scan")</f>
        <v>26</v>
      </c>
      <c r="G149" s="16">
        <f>100*$F149/140</f>
        <v>18.571428571428573</v>
      </c>
      <c r="H149">
        <f t="shared" si="3"/>
        <v>26</v>
      </c>
      <c r="I149" s="16">
        <f>100*$H149/140</f>
        <v>18.571428571428573</v>
      </c>
      <c r="J149">
        <f t="shared" si="3"/>
        <v>18</v>
      </c>
      <c r="K149" s="16">
        <f>100*$J149/140</f>
        <v>12.857142857142858</v>
      </c>
      <c r="L149">
        <f>COUNTIF(L$3:L$142, "scan")</f>
        <v>22</v>
      </c>
      <c r="M149" s="16">
        <f t="shared" ref="M149" si="4">(L149/140)*100</f>
        <v>15.714285714285714</v>
      </c>
    </row>
    <row r="150" spans="3:13">
      <c r="C150" t="s">
        <v>315</v>
      </c>
      <c r="D150">
        <f>COUNTIF(D$3:D$142, "circ")</f>
        <v>32</v>
      </c>
      <c r="E150" s="16">
        <f t="shared" ref="E147:K152" si="5">100*$D150/140</f>
        <v>22.857142857142858</v>
      </c>
      <c r="F150">
        <f t="shared" ref="F150:J150" si="6">COUNTIF(F$3:F$142, "circ")</f>
        <v>23</v>
      </c>
      <c r="G150" s="16">
        <f t="shared" ref="G147:G151" si="7">100*$F150/140</f>
        <v>16.428571428571427</v>
      </c>
      <c r="H150">
        <f>COUNTIF(H$3:H$142, "circ")</f>
        <v>30</v>
      </c>
      <c r="I150" s="16">
        <f t="shared" ref="I147:I151" si="8">100*$H150/140</f>
        <v>21.428571428571427</v>
      </c>
      <c r="J150">
        <f t="shared" si="6"/>
        <v>16</v>
      </c>
      <c r="K150" s="16">
        <f t="shared" ref="K147:K151" si="9">100*$J150/140</f>
        <v>11.428571428571429</v>
      </c>
      <c r="L150">
        <f>COUNTIF(L$3:L$142, "circ")</f>
        <v>21</v>
      </c>
      <c r="M150" s="16">
        <f t="shared" ref="M150" si="10">(L150/140)*100</f>
        <v>15</v>
      </c>
    </row>
    <row r="151" spans="3:13">
      <c r="C151" t="s">
        <v>314</v>
      </c>
      <c r="D151">
        <f>COUNTIF(D$3:D$142, "dire")</f>
        <v>11</v>
      </c>
      <c r="E151" s="16">
        <f t="shared" si="5"/>
        <v>7.8571428571428568</v>
      </c>
      <c r="F151">
        <f>COUNTIF(F$3:F$142, "dire")</f>
        <v>19</v>
      </c>
      <c r="G151" s="16">
        <f>100*$F151/140</f>
        <v>13.571428571428571</v>
      </c>
      <c r="H151">
        <f>COUNTIF(H$3:H$142, "dire")</f>
        <v>20</v>
      </c>
      <c r="I151" s="16">
        <f t="shared" si="8"/>
        <v>14.285714285714286</v>
      </c>
      <c r="J151">
        <f>COUNTIF(J$3:J$142, "dire")</f>
        <v>42</v>
      </c>
      <c r="K151" s="16">
        <f t="shared" si="9"/>
        <v>30</v>
      </c>
      <c r="L151">
        <f>COUNTIF(L$3:L$142, "dire")</f>
        <v>35</v>
      </c>
      <c r="M151" s="16">
        <f t="shared" ref="M151" si="11">(L151/140)*100</f>
        <v>25</v>
      </c>
    </row>
    <row r="152" spans="3:13">
      <c r="D152" s="16">
        <f t="shared" ref="D152:M152" si="12">SUM(D146:D151)</f>
        <v>140</v>
      </c>
      <c r="E152" s="16">
        <f t="shared" si="12"/>
        <v>100</v>
      </c>
      <c r="F152" s="16">
        <f t="shared" si="12"/>
        <v>140</v>
      </c>
      <c r="G152" s="16">
        <f t="shared" si="12"/>
        <v>100</v>
      </c>
      <c r="H152" s="16">
        <f t="shared" si="12"/>
        <v>140</v>
      </c>
      <c r="I152" s="16">
        <f t="shared" si="12"/>
        <v>100.00000000000001</v>
      </c>
      <c r="J152" s="16">
        <f t="shared" si="12"/>
        <v>140</v>
      </c>
      <c r="K152" s="16">
        <f t="shared" si="12"/>
        <v>100</v>
      </c>
      <c r="L152" s="16">
        <f t="shared" si="12"/>
        <v>140</v>
      </c>
      <c r="M152" s="16">
        <f t="shared" si="12"/>
        <v>100</v>
      </c>
    </row>
    <row r="155" spans="3:13">
      <c r="E155" t="s">
        <v>318</v>
      </c>
      <c r="H155" t="s">
        <v>319</v>
      </c>
    </row>
    <row r="156" spans="3:13">
      <c r="C156" t="s">
        <v>312</v>
      </c>
      <c r="D156">
        <f>SUM(D146,F146)</f>
        <v>28</v>
      </c>
      <c r="E156" s="16">
        <f>100*D156/280</f>
        <v>10</v>
      </c>
      <c r="G156">
        <f>SUM(J146,L146)</f>
        <v>16</v>
      </c>
      <c r="H156" s="16">
        <f>100*G156/280</f>
        <v>5.7142857142857144</v>
      </c>
    </row>
    <row r="157" spans="3:13">
      <c r="C157" t="s">
        <v>172</v>
      </c>
      <c r="D157">
        <f t="shared" ref="D157:D161" si="13">SUM(D147,F147)</f>
        <v>44</v>
      </c>
      <c r="E157" s="16">
        <f t="shared" ref="E157:E162" si="14">100*D157/280</f>
        <v>15.714285714285714</v>
      </c>
      <c r="G157">
        <f t="shared" ref="G157:G161" si="15">SUM(J147,L147)</f>
        <v>57</v>
      </c>
      <c r="H157" s="16">
        <f t="shared" ref="H157:H162" si="16">100*G157/280</f>
        <v>20.357142857142858</v>
      </c>
    </row>
    <row r="158" spans="3:13">
      <c r="C158" t="s">
        <v>220</v>
      </c>
      <c r="D158">
        <f t="shared" si="13"/>
        <v>50</v>
      </c>
      <c r="E158" s="16">
        <f t="shared" si="14"/>
        <v>17.857142857142858</v>
      </c>
      <c r="G158">
        <f t="shared" si="15"/>
        <v>53</v>
      </c>
      <c r="H158" s="16">
        <f t="shared" si="16"/>
        <v>18.928571428571427</v>
      </c>
    </row>
    <row r="159" spans="3:13">
      <c r="C159" t="s">
        <v>174</v>
      </c>
      <c r="D159">
        <f t="shared" si="13"/>
        <v>73</v>
      </c>
      <c r="E159" s="16">
        <f t="shared" si="14"/>
        <v>26.071428571428573</v>
      </c>
      <c r="G159">
        <f t="shared" si="15"/>
        <v>40</v>
      </c>
      <c r="H159" s="16">
        <f t="shared" si="16"/>
        <v>14.285714285714286</v>
      </c>
    </row>
    <row r="160" spans="3:13">
      <c r="C160" t="s">
        <v>315</v>
      </c>
      <c r="D160">
        <f t="shared" si="13"/>
        <v>55</v>
      </c>
      <c r="E160" s="16">
        <f t="shared" si="14"/>
        <v>19.642857142857142</v>
      </c>
      <c r="G160">
        <f t="shared" si="15"/>
        <v>37</v>
      </c>
      <c r="H160" s="16">
        <f t="shared" si="16"/>
        <v>13.214285714285714</v>
      </c>
    </row>
    <row r="161" spans="3:8">
      <c r="C161" t="s">
        <v>314</v>
      </c>
      <c r="D161">
        <f t="shared" si="13"/>
        <v>30</v>
      </c>
      <c r="E161" s="16">
        <f t="shared" si="14"/>
        <v>10.714285714285714</v>
      </c>
      <c r="G161">
        <f t="shared" si="15"/>
        <v>77</v>
      </c>
      <c r="H161" s="16">
        <f t="shared" si="16"/>
        <v>27.5</v>
      </c>
    </row>
    <row r="162" spans="3:8">
      <c r="D162">
        <f>SUM(D156:D161)</f>
        <v>280</v>
      </c>
      <c r="E162" s="16">
        <f t="shared" si="14"/>
        <v>100</v>
      </c>
      <c r="G162">
        <f>SUM(G156:G161)</f>
        <v>280</v>
      </c>
      <c r="H162" s="16">
        <f t="shared" si="16"/>
        <v>100</v>
      </c>
    </row>
    <row r="166" spans="3:8">
      <c r="F166" s="16"/>
    </row>
    <row r="167" spans="3:8">
      <c r="F167" s="16"/>
    </row>
    <row r="168" spans="3:8">
      <c r="F168" s="16"/>
    </row>
    <row r="169" spans="3:8">
      <c r="F169" s="16"/>
    </row>
    <row r="170" spans="3:8">
      <c r="F170" s="16"/>
    </row>
    <row r="171" spans="3:8">
      <c r="F171" s="16"/>
    </row>
    <row r="172" spans="3:8">
      <c r="F172" s="16"/>
    </row>
    <row r="173" spans="3:8">
      <c r="F173" s="16"/>
    </row>
    <row r="174" spans="3:8">
      <c r="F174" s="16"/>
    </row>
  </sheetData>
  <mergeCells count="5">
    <mergeCell ref="D1:E1"/>
    <mergeCell ref="F1:G1"/>
    <mergeCell ref="H1:I1"/>
    <mergeCell ref="J1:K1"/>
    <mergeCell ref="L1:M1"/>
  </mergeCells>
  <phoneticPr fontId="1"/>
  <pageMargins left="0.7" right="0.7" top="0.75" bottom="0.75" header="0.3" footer="0.3"/>
  <pageSetup paperSize="9" orientation="portrait" horizontalDpi="0" verticalDpi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33"/>
  <sheetViews>
    <sheetView zoomScale="70" zoomScaleNormal="70" workbookViewId="0">
      <pane xSplit="1" topLeftCell="B1" activePane="topRight" state="frozen"/>
      <selection pane="topRight" activeCell="B13" sqref="B13"/>
    </sheetView>
  </sheetViews>
  <sheetFormatPr baseColWidth="10" defaultColWidth="8.83203125" defaultRowHeight="14"/>
  <sheetData>
    <row r="1" spans="1:51">
      <c r="A1" s="13" t="s">
        <v>0</v>
      </c>
      <c r="B1" s="13" t="s">
        <v>8</v>
      </c>
      <c r="C1" s="13" t="s">
        <v>1</v>
      </c>
      <c r="D1" s="13" t="s">
        <v>2</v>
      </c>
      <c r="E1" s="14" t="s">
        <v>3</v>
      </c>
      <c r="F1" s="15" t="s">
        <v>106</v>
      </c>
      <c r="G1" s="15" t="s">
        <v>107</v>
      </c>
      <c r="H1" s="14" t="s">
        <v>108</v>
      </c>
      <c r="I1" s="15" t="s">
        <v>103</v>
      </c>
      <c r="J1" s="15" t="s">
        <v>104</v>
      </c>
      <c r="K1" s="14" t="s">
        <v>105</v>
      </c>
      <c r="L1" s="15" t="s">
        <v>100</v>
      </c>
      <c r="M1" s="15" t="s">
        <v>101</v>
      </c>
      <c r="N1" s="14" t="s">
        <v>102</v>
      </c>
      <c r="O1" s="15" t="s">
        <v>109</v>
      </c>
      <c r="P1" s="15" t="s">
        <v>110</v>
      </c>
      <c r="Q1" s="14" t="s">
        <v>111</v>
      </c>
      <c r="R1" s="13" t="s">
        <v>4</v>
      </c>
      <c r="S1" s="13" t="s">
        <v>5</v>
      </c>
      <c r="T1" s="14" t="s">
        <v>6</v>
      </c>
      <c r="U1" s="13" t="s">
        <v>9</v>
      </c>
      <c r="V1" s="13" t="s">
        <v>10</v>
      </c>
      <c r="W1" s="13" t="s">
        <v>11</v>
      </c>
      <c r="X1" s="13" t="s">
        <v>12</v>
      </c>
      <c r="Y1" s="13" t="s">
        <v>7</v>
      </c>
      <c r="AA1" s="13" t="s">
        <v>0</v>
      </c>
      <c r="AB1" s="13" t="s">
        <v>8</v>
      </c>
      <c r="AC1" s="13" t="s">
        <v>1</v>
      </c>
      <c r="AD1" s="13" t="s">
        <v>2</v>
      </c>
      <c r="AE1" s="14" t="s">
        <v>3</v>
      </c>
      <c r="AF1" s="15" t="s">
        <v>106</v>
      </c>
      <c r="AG1" s="15" t="s">
        <v>107</v>
      </c>
      <c r="AH1" s="14" t="s">
        <v>108</v>
      </c>
      <c r="AI1" s="15" t="s">
        <v>103</v>
      </c>
      <c r="AJ1" s="15" t="s">
        <v>104</v>
      </c>
      <c r="AK1" s="14" t="s">
        <v>105</v>
      </c>
      <c r="AL1" s="15" t="s">
        <v>100</v>
      </c>
      <c r="AM1" s="15" t="s">
        <v>101</v>
      </c>
      <c r="AN1" s="14" t="s">
        <v>102</v>
      </c>
      <c r="AO1" s="15" t="s">
        <v>109</v>
      </c>
      <c r="AP1" s="15" t="s">
        <v>110</v>
      </c>
      <c r="AQ1" s="14" t="s">
        <v>111</v>
      </c>
      <c r="AR1" s="13" t="s">
        <v>4</v>
      </c>
      <c r="AS1" s="13" t="s">
        <v>5</v>
      </c>
      <c r="AT1" s="14" t="s">
        <v>6</v>
      </c>
      <c r="AU1" s="13" t="s">
        <v>9</v>
      </c>
      <c r="AV1" s="13" t="s">
        <v>10</v>
      </c>
      <c r="AW1" s="13" t="s">
        <v>11</v>
      </c>
      <c r="AX1" s="13" t="s">
        <v>12</v>
      </c>
      <c r="AY1" s="13" t="s">
        <v>7</v>
      </c>
    </row>
    <row r="2" spans="1:51">
      <c r="A2" t="s">
        <v>127</v>
      </c>
      <c r="B2">
        <v>160113</v>
      </c>
      <c r="C2">
        <v>0</v>
      </c>
      <c r="D2">
        <v>0</v>
      </c>
      <c r="E2" s="6">
        <f t="shared" ref="E2:E29" si="0">IF(C2+D2&gt;=1,1,0)</f>
        <v>0</v>
      </c>
      <c r="F2">
        <v>1</v>
      </c>
      <c r="G2">
        <v>1</v>
      </c>
      <c r="H2" s="6">
        <f t="shared" ref="H2:H29" si="1">IF(F2+G2&gt;=1,1,0)</f>
        <v>1</v>
      </c>
      <c r="I2">
        <v>1</v>
      </c>
      <c r="J2">
        <v>1</v>
      </c>
      <c r="K2" s="6">
        <f t="shared" ref="K2:K29" si="2">IF(I2+J2&gt;=1,1,0)</f>
        <v>1</v>
      </c>
      <c r="L2" s="4">
        <v>1</v>
      </c>
      <c r="M2" s="4">
        <v>0</v>
      </c>
      <c r="N2" s="6">
        <f t="shared" ref="N2:N29" si="3">IF(L2+M2&gt;=1,1,0)</f>
        <v>1</v>
      </c>
      <c r="O2">
        <v>0</v>
      </c>
      <c r="P2">
        <v>0</v>
      </c>
      <c r="Q2" s="6">
        <f t="shared" ref="Q2:Q29" si="4">IF(O2+P2&gt;=1,1,0)</f>
        <v>0</v>
      </c>
      <c r="R2" s="4">
        <v>0</v>
      </c>
      <c r="S2">
        <v>1</v>
      </c>
      <c r="T2" s="6">
        <f t="shared" ref="T2:T29" si="5">IF(R2+S2&gt;=1,1,0)</f>
        <v>1</v>
      </c>
      <c r="U2">
        <v>120</v>
      </c>
      <c r="V2">
        <v>96.8</v>
      </c>
      <c r="W2">
        <v>120</v>
      </c>
      <c r="X2">
        <v>120</v>
      </c>
      <c r="Y2">
        <v>120</v>
      </c>
      <c r="AA2" t="s">
        <v>136</v>
      </c>
      <c r="AB2">
        <v>160103</v>
      </c>
      <c r="AC2">
        <v>1</v>
      </c>
      <c r="AD2">
        <v>0</v>
      </c>
      <c r="AE2" s="6">
        <f t="shared" ref="AE2:AE21" si="6">IF(AC2+AD2&gt;=1,1,0)</f>
        <v>1</v>
      </c>
      <c r="AF2">
        <v>0</v>
      </c>
      <c r="AG2">
        <v>1</v>
      </c>
      <c r="AH2" s="6">
        <f t="shared" ref="AH2:AH21" si="7">IF(AF2+AG2&gt;=1,1,0)</f>
        <v>1</v>
      </c>
      <c r="AI2">
        <v>0</v>
      </c>
      <c r="AJ2">
        <v>1</v>
      </c>
      <c r="AK2" s="6">
        <f t="shared" ref="AK2:AK21" si="8">IF(AI2+AJ2&gt;=1,1,0)</f>
        <v>1</v>
      </c>
      <c r="AL2" s="4">
        <v>0</v>
      </c>
      <c r="AM2" s="4">
        <v>1</v>
      </c>
      <c r="AN2" s="6">
        <f t="shared" ref="AN2:AN21" si="9">IF(AL2+AM2&gt;=1,1,0)</f>
        <v>1</v>
      </c>
      <c r="AO2">
        <v>0</v>
      </c>
      <c r="AP2">
        <v>1</v>
      </c>
      <c r="AQ2" s="6">
        <f t="shared" ref="AQ2:AQ21" si="10">IF(AO2+AP2&gt;=1,1,0)</f>
        <v>1</v>
      </c>
      <c r="AR2" s="4">
        <v>0</v>
      </c>
      <c r="AS2" s="4">
        <v>0</v>
      </c>
      <c r="AT2" s="6">
        <f t="shared" ref="AT2:AT21" si="11">IF(AR2+AS2&gt;=1,1,0)</f>
        <v>0</v>
      </c>
      <c r="AU2" s="1">
        <v>120</v>
      </c>
      <c r="AV2" s="1">
        <v>78</v>
      </c>
      <c r="AW2" s="1">
        <v>77.8</v>
      </c>
      <c r="AX2" s="1">
        <v>100.8</v>
      </c>
      <c r="AY2" s="1">
        <v>104.8</v>
      </c>
    </row>
    <row r="3" spans="1:51">
      <c r="A3" t="s">
        <v>128</v>
      </c>
      <c r="B3">
        <v>160113</v>
      </c>
      <c r="C3">
        <v>0</v>
      </c>
      <c r="D3">
        <v>0</v>
      </c>
      <c r="E3" s="6">
        <f t="shared" si="0"/>
        <v>0</v>
      </c>
      <c r="F3">
        <v>0</v>
      </c>
      <c r="G3">
        <v>0</v>
      </c>
      <c r="H3" s="6">
        <f t="shared" si="1"/>
        <v>0</v>
      </c>
      <c r="I3">
        <v>0</v>
      </c>
      <c r="J3">
        <v>0</v>
      </c>
      <c r="K3" s="6">
        <f t="shared" si="2"/>
        <v>0</v>
      </c>
      <c r="L3" s="4">
        <v>1</v>
      </c>
      <c r="M3" s="4">
        <v>1</v>
      </c>
      <c r="N3" s="6">
        <f t="shared" si="3"/>
        <v>1</v>
      </c>
      <c r="O3">
        <v>0</v>
      </c>
      <c r="P3">
        <v>0</v>
      </c>
      <c r="Q3" s="6">
        <f t="shared" si="4"/>
        <v>0</v>
      </c>
      <c r="R3" s="4">
        <v>1</v>
      </c>
      <c r="S3" s="4">
        <v>1</v>
      </c>
      <c r="T3" s="6">
        <f t="shared" si="5"/>
        <v>1</v>
      </c>
      <c r="U3">
        <v>103.5</v>
      </c>
      <c r="V3">
        <v>120</v>
      </c>
      <c r="W3">
        <v>90.740000000000009</v>
      </c>
      <c r="X3">
        <v>93.8</v>
      </c>
      <c r="Y3">
        <v>60.959999999999994</v>
      </c>
      <c r="AA3" t="s">
        <v>137</v>
      </c>
      <c r="AB3">
        <v>160103</v>
      </c>
      <c r="AC3">
        <v>1</v>
      </c>
      <c r="AD3">
        <v>0</v>
      </c>
      <c r="AE3" s="6">
        <f t="shared" si="6"/>
        <v>1</v>
      </c>
      <c r="AF3" s="4">
        <v>0</v>
      </c>
      <c r="AG3">
        <v>0</v>
      </c>
      <c r="AH3" s="6">
        <f t="shared" si="7"/>
        <v>0</v>
      </c>
      <c r="AI3">
        <v>0</v>
      </c>
      <c r="AJ3">
        <v>0</v>
      </c>
      <c r="AK3" s="6">
        <f t="shared" si="8"/>
        <v>0</v>
      </c>
      <c r="AL3" s="4">
        <v>0</v>
      </c>
      <c r="AM3" s="4">
        <v>0</v>
      </c>
      <c r="AN3" s="6">
        <f t="shared" si="9"/>
        <v>0</v>
      </c>
      <c r="AO3">
        <v>1</v>
      </c>
      <c r="AP3">
        <v>1</v>
      </c>
      <c r="AQ3" s="6">
        <f t="shared" si="10"/>
        <v>1</v>
      </c>
      <c r="AR3" s="4">
        <v>0</v>
      </c>
      <c r="AS3">
        <v>1</v>
      </c>
      <c r="AT3" s="6">
        <f t="shared" si="11"/>
        <v>1</v>
      </c>
      <c r="AU3" s="1">
        <v>79.38</v>
      </c>
      <c r="AV3" s="1">
        <v>73.14</v>
      </c>
      <c r="AW3" s="1">
        <v>62.92</v>
      </c>
      <c r="AX3" s="1">
        <v>60.64</v>
      </c>
      <c r="AY3" s="1">
        <v>41.1</v>
      </c>
    </row>
    <row r="4" spans="1:51">
      <c r="A4" t="s">
        <v>129</v>
      </c>
      <c r="B4">
        <v>160113</v>
      </c>
      <c r="C4">
        <v>0</v>
      </c>
      <c r="D4">
        <v>0</v>
      </c>
      <c r="E4" s="6">
        <f t="shared" si="0"/>
        <v>0</v>
      </c>
      <c r="F4">
        <v>0</v>
      </c>
      <c r="G4">
        <v>0</v>
      </c>
      <c r="H4" s="6">
        <f t="shared" si="1"/>
        <v>0</v>
      </c>
      <c r="I4">
        <v>0</v>
      </c>
      <c r="J4">
        <v>0</v>
      </c>
      <c r="K4" s="6">
        <f t="shared" si="2"/>
        <v>0</v>
      </c>
      <c r="L4" s="4">
        <v>1</v>
      </c>
      <c r="M4" s="4">
        <v>1</v>
      </c>
      <c r="N4" s="6">
        <f t="shared" si="3"/>
        <v>1</v>
      </c>
      <c r="O4">
        <v>0</v>
      </c>
      <c r="P4">
        <v>0</v>
      </c>
      <c r="Q4" s="6">
        <f t="shared" si="4"/>
        <v>0</v>
      </c>
      <c r="R4" s="4">
        <v>1</v>
      </c>
      <c r="S4" s="4">
        <v>1</v>
      </c>
      <c r="T4" s="6">
        <f t="shared" si="5"/>
        <v>1</v>
      </c>
      <c r="U4" s="1">
        <v>88.66</v>
      </c>
      <c r="V4" s="1">
        <v>65.900000000000006</v>
      </c>
      <c r="W4" s="1">
        <v>18.68</v>
      </c>
      <c r="X4" s="1">
        <v>21.759999999999998</v>
      </c>
      <c r="Y4" s="1">
        <v>11.58</v>
      </c>
      <c r="AA4" t="s">
        <v>138</v>
      </c>
      <c r="AB4">
        <v>160103</v>
      </c>
      <c r="AC4">
        <v>0</v>
      </c>
      <c r="AD4">
        <v>0</v>
      </c>
      <c r="AE4" s="6">
        <f t="shared" si="6"/>
        <v>0</v>
      </c>
      <c r="AF4">
        <v>0</v>
      </c>
      <c r="AG4">
        <v>0</v>
      </c>
      <c r="AH4" s="6">
        <f t="shared" si="7"/>
        <v>0</v>
      </c>
      <c r="AI4">
        <v>0</v>
      </c>
      <c r="AJ4">
        <v>0</v>
      </c>
      <c r="AK4" s="6">
        <f t="shared" si="8"/>
        <v>0</v>
      </c>
      <c r="AL4" s="4">
        <v>0</v>
      </c>
      <c r="AM4">
        <v>0</v>
      </c>
      <c r="AN4" s="6">
        <f t="shared" si="9"/>
        <v>0</v>
      </c>
      <c r="AO4">
        <v>1</v>
      </c>
      <c r="AP4">
        <v>1</v>
      </c>
      <c r="AQ4" s="6">
        <f t="shared" si="10"/>
        <v>1</v>
      </c>
      <c r="AR4" s="4">
        <v>0</v>
      </c>
      <c r="AS4">
        <v>1</v>
      </c>
      <c r="AT4" s="6">
        <f t="shared" si="11"/>
        <v>1</v>
      </c>
      <c r="AU4" s="2">
        <v>82.4</v>
      </c>
      <c r="AV4" s="2">
        <v>15</v>
      </c>
      <c r="AW4" s="2">
        <v>29</v>
      </c>
      <c r="AX4" s="2">
        <v>26.4</v>
      </c>
      <c r="AY4" s="2">
        <v>55.2</v>
      </c>
    </row>
    <row r="5" spans="1:51">
      <c r="A5" t="s">
        <v>130</v>
      </c>
      <c r="B5">
        <v>160113</v>
      </c>
      <c r="C5">
        <v>0</v>
      </c>
      <c r="D5">
        <v>0</v>
      </c>
      <c r="E5" s="6">
        <f t="shared" si="0"/>
        <v>0</v>
      </c>
      <c r="F5">
        <v>0</v>
      </c>
      <c r="G5">
        <v>1</v>
      </c>
      <c r="H5" s="6">
        <f t="shared" si="1"/>
        <v>1</v>
      </c>
      <c r="I5">
        <v>0</v>
      </c>
      <c r="J5">
        <v>0</v>
      </c>
      <c r="K5" s="6">
        <f t="shared" si="2"/>
        <v>0</v>
      </c>
      <c r="L5" s="4">
        <v>1</v>
      </c>
      <c r="M5" s="4">
        <v>1</v>
      </c>
      <c r="N5" s="6">
        <f t="shared" si="3"/>
        <v>1</v>
      </c>
      <c r="O5">
        <v>0</v>
      </c>
      <c r="P5">
        <v>0</v>
      </c>
      <c r="Q5" s="6">
        <f t="shared" si="4"/>
        <v>0</v>
      </c>
      <c r="R5" s="4">
        <v>1</v>
      </c>
      <c r="S5" s="4">
        <v>1</v>
      </c>
      <c r="T5" s="6">
        <f t="shared" si="5"/>
        <v>1</v>
      </c>
      <c r="U5">
        <v>120</v>
      </c>
      <c r="V5">
        <v>81</v>
      </c>
      <c r="W5">
        <v>109.6</v>
      </c>
      <c r="X5">
        <v>40</v>
      </c>
      <c r="Y5">
        <v>48.6</v>
      </c>
      <c r="AA5" t="s">
        <v>139</v>
      </c>
      <c r="AB5">
        <v>160113</v>
      </c>
      <c r="AC5">
        <v>0</v>
      </c>
      <c r="AD5">
        <v>0</v>
      </c>
      <c r="AE5" s="6">
        <f t="shared" si="6"/>
        <v>0</v>
      </c>
      <c r="AF5">
        <v>1</v>
      </c>
      <c r="AG5">
        <v>1</v>
      </c>
      <c r="AH5" s="6">
        <f t="shared" si="7"/>
        <v>1</v>
      </c>
      <c r="AI5">
        <v>1</v>
      </c>
      <c r="AJ5">
        <v>1</v>
      </c>
      <c r="AK5" s="6">
        <f t="shared" si="8"/>
        <v>1</v>
      </c>
      <c r="AL5" s="4">
        <v>1</v>
      </c>
      <c r="AM5" s="4">
        <v>0</v>
      </c>
      <c r="AN5" s="6">
        <f t="shared" si="9"/>
        <v>1</v>
      </c>
      <c r="AO5">
        <v>0</v>
      </c>
      <c r="AP5">
        <v>0</v>
      </c>
      <c r="AQ5" s="6">
        <f t="shared" si="10"/>
        <v>0</v>
      </c>
      <c r="AR5" s="4">
        <v>0</v>
      </c>
      <c r="AS5">
        <v>1</v>
      </c>
      <c r="AT5" s="6">
        <f t="shared" si="11"/>
        <v>1</v>
      </c>
      <c r="AU5" s="1">
        <v>99.6</v>
      </c>
      <c r="AV5" s="1">
        <v>100.2</v>
      </c>
      <c r="AW5" s="1">
        <v>93.4</v>
      </c>
      <c r="AX5" s="1">
        <v>46.6</v>
      </c>
      <c r="AY5" s="1">
        <v>10.6</v>
      </c>
    </row>
    <row r="6" spans="1:51">
      <c r="A6" t="s">
        <v>131</v>
      </c>
      <c r="B6">
        <v>160314</v>
      </c>
      <c r="C6">
        <v>1</v>
      </c>
      <c r="D6">
        <v>0</v>
      </c>
      <c r="E6" s="6">
        <f t="shared" si="0"/>
        <v>1</v>
      </c>
      <c r="F6">
        <v>0</v>
      </c>
      <c r="G6">
        <v>0</v>
      </c>
      <c r="H6" s="6">
        <f t="shared" si="1"/>
        <v>0</v>
      </c>
      <c r="I6">
        <v>0</v>
      </c>
      <c r="J6">
        <v>1</v>
      </c>
      <c r="K6" s="6">
        <f t="shared" si="2"/>
        <v>1</v>
      </c>
      <c r="L6" s="4">
        <v>1</v>
      </c>
      <c r="M6" s="4">
        <v>1</v>
      </c>
      <c r="N6" s="6">
        <f t="shared" si="3"/>
        <v>1</v>
      </c>
      <c r="O6">
        <v>0</v>
      </c>
      <c r="P6">
        <v>1</v>
      </c>
      <c r="Q6" s="6">
        <f t="shared" si="4"/>
        <v>1</v>
      </c>
      <c r="R6" s="4">
        <v>0</v>
      </c>
      <c r="S6" s="4">
        <v>0</v>
      </c>
      <c r="T6" s="6">
        <f t="shared" si="5"/>
        <v>0</v>
      </c>
      <c r="U6">
        <v>109.3</v>
      </c>
      <c r="V6">
        <v>59.98</v>
      </c>
      <c r="W6">
        <v>26.72</v>
      </c>
      <c r="X6">
        <v>20.22</v>
      </c>
      <c r="Y6">
        <v>40.879999999999995</v>
      </c>
      <c r="AA6" t="s">
        <v>140</v>
      </c>
      <c r="AB6">
        <v>160113</v>
      </c>
      <c r="AC6">
        <v>0</v>
      </c>
      <c r="AD6">
        <v>0</v>
      </c>
      <c r="AE6" s="6">
        <f t="shared" si="6"/>
        <v>0</v>
      </c>
      <c r="AF6">
        <v>1</v>
      </c>
      <c r="AG6">
        <v>1</v>
      </c>
      <c r="AH6" s="6">
        <f t="shared" si="7"/>
        <v>1</v>
      </c>
      <c r="AI6">
        <v>0</v>
      </c>
      <c r="AJ6">
        <v>1</v>
      </c>
      <c r="AK6" s="6">
        <f t="shared" si="8"/>
        <v>1</v>
      </c>
      <c r="AL6" s="4">
        <v>1</v>
      </c>
      <c r="AM6" s="4">
        <v>0</v>
      </c>
      <c r="AN6" s="6">
        <f t="shared" si="9"/>
        <v>1</v>
      </c>
      <c r="AO6">
        <v>1</v>
      </c>
      <c r="AP6">
        <v>0</v>
      </c>
      <c r="AQ6" s="6">
        <f t="shared" si="10"/>
        <v>1</v>
      </c>
      <c r="AR6" s="4">
        <v>1</v>
      </c>
      <c r="AS6" s="4">
        <v>1</v>
      </c>
      <c r="AT6" s="6">
        <f t="shared" si="11"/>
        <v>1</v>
      </c>
      <c r="AU6" s="1">
        <v>97.2</v>
      </c>
      <c r="AV6" s="1">
        <v>77.8</v>
      </c>
      <c r="AW6" s="1">
        <v>79.400000000000006</v>
      </c>
      <c r="AX6" s="1">
        <v>94.4</v>
      </c>
      <c r="AY6" s="1">
        <v>60</v>
      </c>
    </row>
    <row r="7" spans="1:51">
      <c r="A7" t="s">
        <v>132</v>
      </c>
      <c r="B7">
        <v>160314</v>
      </c>
      <c r="C7">
        <v>1</v>
      </c>
      <c r="D7">
        <v>0</v>
      </c>
      <c r="E7" s="6">
        <f t="shared" si="0"/>
        <v>1</v>
      </c>
      <c r="F7">
        <v>0</v>
      </c>
      <c r="G7">
        <v>0</v>
      </c>
      <c r="H7" s="6">
        <f t="shared" si="1"/>
        <v>0</v>
      </c>
      <c r="I7">
        <v>1</v>
      </c>
      <c r="J7">
        <v>0</v>
      </c>
      <c r="K7" s="6">
        <f t="shared" si="2"/>
        <v>1</v>
      </c>
      <c r="L7" s="4">
        <v>1</v>
      </c>
      <c r="M7" s="4">
        <v>1</v>
      </c>
      <c r="N7" s="6">
        <f t="shared" si="3"/>
        <v>1</v>
      </c>
      <c r="O7">
        <v>1</v>
      </c>
      <c r="P7">
        <v>0</v>
      </c>
      <c r="Q7" s="6">
        <f t="shared" si="4"/>
        <v>1</v>
      </c>
      <c r="R7" s="4">
        <v>0</v>
      </c>
      <c r="S7" s="4">
        <v>0</v>
      </c>
      <c r="T7" s="6">
        <f t="shared" si="5"/>
        <v>0</v>
      </c>
      <c r="U7">
        <v>101.22</v>
      </c>
      <c r="V7">
        <v>65.08</v>
      </c>
      <c r="W7">
        <v>52.580000000000005</v>
      </c>
      <c r="X7">
        <v>32.26</v>
      </c>
      <c r="Y7">
        <v>65.28</v>
      </c>
      <c r="AA7" t="s">
        <v>141</v>
      </c>
      <c r="AB7">
        <v>160113</v>
      </c>
      <c r="AC7">
        <v>0</v>
      </c>
      <c r="AD7">
        <v>0</v>
      </c>
      <c r="AE7" s="6">
        <f t="shared" si="6"/>
        <v>0</v>
      </c>
      <c r="AF7" s="3">
        <v>0</v>
      </c>
      <c r="AG7">
        <v>1</v>
      </c>
      <c r="AH7" s="6">
        <f t="shared" si="7"/>
        <v>1</v>
      </c>
      <c r="AI7">
        <v>0</v>
      </c>
      <c r="AJ7">
        <v>0</v>
      </c>
      <c r="AK7" s="6">
        <f t="shared" si="8"/>
        <v>0</v>
      </c>
      <c r="AL7" s="4">
        <v>1</v>
      </c>
      <c r="AM7" s="4">
        <v>0</v>
      </c>
      <c r="AN7" s="6">
        <f t="shared" si="9"/>
        <v>1</v>
      </c>
      <c r="AO7">
        <v>0</v>
      </c>
      <c r="AP7">
        <v>0</v>
      </c>
      <c r="AQ7" s="6">
        <f t="shared" si="10"/>
        <v>0</v>
      </c>
      <c r="AR7" s="4">
        <v>1</v>
      </c>
      <c r="AS7" s="4">
        <v>1</v>
      </c>
      <c r="AT7" s="6">
        <f t="shared" si="11"/>
        <v>1</v>
      </c>
      <c r="AU7" s="1">
        <v>94.2</v>
      </c>
      <c r="AV7" s="1">
        <v>69.2</v>
      </c>
      <c r="AW7" s="1">
        <v>66.599999999999994</v>
      </c>
      <c r="AX7" s="1">
        <v>24.6</v>
      </c>
      <c r="AY7" s="1">
        <v>29.8</v>
      </c>
    </row>
    <row r="8" spans="1:51">
      <c r="A8" t="s">
        <v>133</v>
      </c>
      <c r="B8">
        <v>160314</v>
      </c>
      <c r="C8">
        <v>1</v>
      </c>
      <c r="D8">
        <v>1</v>
      </c>
      <c r="E8" s="6">
        <f t="shared" si="0"/>
        <v>1</v>
      </c>
      <c r="F8">
        <v>0</v>
      </c>
      <c r="G8">
        <v>0</v>
      </c>
      <c r="H8" s="6">
        <f t="shared" si="1"/>
        <v>0</v>
      </c>
      <c r="I8">
        <v>0</v>
      </c>
      <c r="J8">
        <v>1</v>
      </c>
      <c r="K8" s="6">
        <f t="shared" si="2"/>
        <v>1</v>
      </c>
      <c r="L8" s="4">
        <v>1</v>
      </c>
      <c r="M8" s="4">
        <v>1</v>
      </c>
      <c r="N8" s="6">
        <f t="shared" si="3"/>
        <v>1</v>
      </c>
      <c r="O8">
        <v>1</v>
      </c>
      <c r="P8">
        <v>1</v>
      </c>
      <c r="Q8" s="6">
        <f t="shared" si="4"/>
        <v>1</v>
      </c>
      <c r="R8" s="4">
        <v>0</v>
      </c>
      <c r="S8" s="4">
        <v>0</v>
      </c>
      <c r="T8" s="6">
        <f t="shared" si="5"/>
        <v>0</v>
      </c>
      <c r="U8" s="1">
        <v>120</v>
      </c>
      <c r="V8" s="1">
        <v>63.2</v>
      </c>
      <c r="W8" s="1">
        <v>17.600000000000001</v>
      </c>
      <c r="X8" s="1">
        <v>47.6</v>
      </c>
      <c r="Y8" s="1">
        <v>49.6</v>
      </c>
      <c r="AA8" t="s">
        <v>142</v>
      </c>
      <c r="AB8">
        <v>160425</v>
      </c>
      <c r="AC8">
        <v>0</v>
      </c>
      <c r="AD8">
        <v>0</v>
      </c>
      <c r="AE8" s="6">
        <f t="shared" si="6"/>
        <v>0</v>
      </c>
      <c r="AF8" s="3">
        <v>0</v>
      </c>
      <c r="AG8">
        <v>1</v>
      </c>
      <c r="AH8" s="6">
        <f t="shared" si="7"/>
        <v>1</v>
      </c>
      <c r="AI8">
        <v>0</v>
      </c>
      <c r="AJ8">
        <v>0</v>
      </c>
      <c r="AK8" s="6">
        <f t="shared" si="8"/>
        <v>0</v>
      </c>
      <c r="AL8" s="4">
        <v>0</v>
      </c>
      <c r="AM8">
        <v>0</v>
      </c>
      <c r="AN8" s="6">
        <f t="shared" si="9"/>
        <v>0</v>
      </c>
      <c r="AO8">
        <v>1</v>
      </c>
      <c r="AP8">
        <v>0</v>
      </c>
      <c r="AQ8" s="6">
        <f t="shared" si="10"/>
        <v>1</v>
      </c>
      <c r="AR8" s="4">
        <v>1</v>
      </c>
      <c r="AS8" s="4">
        <v>1</v>
      </c>
      <c r="AT8" s="6">
        <f t="shared" si="11"/>
        <v>1</v>
      </c>
      <c r="AU8" s="1">
        <v>88.1</v>
      </c>
      <c r="AV8" s="1">
        <v>96.14</v>
      </c>
      <c r="AW8" s="1">
        <v>47.9</v>
      </c>
      <c r="AX8" s="1">
        <v>53.14</v>
      </c>
      <c r="AY8" s="1">
        <v>34.96</v>
      </c>
    </row>
    <row r="9" spans="1:51">
      <c r="A9" t="s">
        <v>134</v>
      </c>
      <c r="B9">
        <v>160425</v>
      </c>
      <c r="C9">
        <v>1</v>
      </c>
      <c r="D9">
        <v>1</v>
      </c>
      <c r="E9" s="6">
        <f t="shared" si="0"/>
        <v>1</v>
      </c>
      <c r="F9">
        <v>0</v>
      </c>
      <c r="G9">
        <v>0</v>
      </c>
      <c r="H9" s="6">
        <f t="shared" si="1"/>
        <v>0</v>
      </c>
      <c r="I9">
        <v>0</v>
      </c>
      <c r="J9">
        <v>1</v>
      </c>
      <c r="K9" s="6">
        <f t="shared" si="2"/>
        <v>1</v>
      </c>
      <c r="L9" s="4">
        <v>1</v>
      </c>
      <c r="M9" s="4">
        <v>0</v>
      </c>
      <c r="N9" s="6">
        <f t="shared" si="3"/>
        <v>1</v>
      </c>
      <c r="O9">
        <v>1</v>
      </c>
      <c r="P9">
        <v>1</v>
      </c>
      <c r="Q9" s="6">
        <f t="shared" si="4"/>
        <v>1</v>
      </c>
      <c r="R9" s="4">
        <v>1</v>
      </c>
      <c r="S9" s="4">
        <v>1</v>
      </c>
      <c r="T9" s="6">
        <f t="shared" si="5"/>
        <v>1</v>
      </c>
      <c r="U9">
        <v>120</v>
      </c>
      <c r="V9">
        <v>55.2</v>
      </c>
      <c r="W9">
        <v>25.2</v>
      </c>
      <c r="X9">
        <v>42.2</v>
      </c>
      <c r="Y9">
        <v>47</v>
      </c>
      <c r="AA9" t="s">
        <v>143</v>
      </c>
      <c r="AB9">
        <v>160425</v>
      </c>
      <c r="AC9">
        <v>0</v>
      </c>
      <c r="AD9">
        <v>0</v>
      </c>
      <c r="AE9" s="6">
        <f t="shared" si="6"/>
        <v>0</v>
      </c>
      <c r="AF9" s="3">
        <v>1</v>
      </c>
      <c r="AG9">
        <v>1</v>
      </c>
      <c r="AH9" s="6">
        <f t="shared" si="7"/>
        <v>1</v>
      </c>
      <c r="AI9">
        <v>0</v>
      </c>
      <c r="AJ9">
        <v>0</v>
      </c>
      <c r="AK9" s="6">
        <f t="shared" si="8"/>
        <v>0</v>
      </c>
      <c r="AL9" s="4">
        <v>1</v>
      </c>
      <c r="AM9" s="4">
        <v>0</v>
      </c>
      <c r="AN9" s="6">
        <f t="shared" si="9"/>
        <v>1</v>
      </c>
      <c r="AO9">
        <v>1</v>
      </c>
      <c r="AP9">
        <v>0</v>
      </c>
      <c r="AQ9" s="6">
        <f t="shared" si="10"/>
        <v>1</v>
      </c>
      <c r="AR9" s="4">
        <v>1</v>
      </c>
      <c r="AS9" s="4">
        <v>1</v>
      </c>
      <c r="AT9" s="6">
        <f t="shared" si="11"/>
        <v>1</v>
      </c>
      <c r="AU9" s="1">
        <v>98.3</v>
      </c>
      <c r="AV9" s="1">
        <v>101.86</v>
      </c>
      <c r="AW9" s="1">
        <v>57.94</v>
      </c>
      <c r="AX9" s="1">
        <v>41.7</v>
      </c>
      <c r="AY9" s="1">
        <v>21.699999999999996</v>
      </c>
    </row>
    <row r="10" spans="1:51">
      <c r="A10" t="s">
        <v>135</v>
      </c>
      <c r="B10">
        <v>160425</v>
      </c>
      <c r="C10">
        <v>1</v>
      </c>
      <c r="D10">
        <v>0</v>
      </c>
      <c r="E10" s="6">
        <f t="shared" si="0"/>
        <v>1</v>
      </c>
      <c r="F10">
        <v>0</v>
      </c>
      <c r="G10">
        <v>0</v>
      </c>
      <c r="H10" s="6">
        <f t="shared" si="1"/>
        <v>0</v>
      </c>
      <c r="I10">
        <v>0</v>
      </c>
      <c r="J10">
        <v>0</v>
      </c>
      <c r="K10" s="6">
        <f t="shared" si="2"/>
        <v>0</v>
      </c>
      <c r="L10" s="4">
        <v>1</v>
      </c>
      <c r="M10" s="4">
        <v>1</v>
      </c>
      <c r="N10" s="6">
        <f t="shared" si="3"/>
        <v>1</v>
      </c>
      <c r="O10">
        <v>1</v>
      </c>
      <c r="P10">
        <v>1</v>
      </c>
      <c r="Q10" s="6">
        <f t="shared" si="4"/>
        <v>1</v>
      </c>
      <c r="R10" s="4">
        <v>1</v>
      </c>
      <c r="S10" s="4">
        <v>1</v>
      </c>
      <c r="T10" s="6">
        <f t="shared" si="5"/>
        <v>1</v>
      </c>
      <c r="U10" s="1">
        <v>120</v>
      </c>
      <c r="V10" s="1">
        <v>98.4</v>
      </c>
      <c r="W10" s="1">
        <v>120</v>
      </c>
      <c r="X10" s="1">
        <v>111.2</v>
      </c>
      <c r="Y10" s="1">
        <v>85.8</v>
      </c>
      <c r="AA10" t="s">
        <v>144</v>
      </c>
      <c r="AB10">
        <v>160425</v>
      </c>
      <c r="AC10">
        <v>0</v>
      </c>
      <c r="AD10">
        <v>0</v>
      </c>
      <c r="AE10" s="6">
        <f t="shared" si="6"/>
        <v>0</v>
      </c>
      <c r="AF10" s="4">
        <v>0</v>
      </c>
      <c r="AG10">
        <v>1</v>
      </c>
      <c r="AH10" s="6">
        <f t="shared" si="7"/>
        <v>1</v>
      </c>
      <c r="AI10">
        <v>0</v>
      </c>
      <c r="AJ10">
        <v>1</v>
      </c>
      <c r="AK10" s="6">
        <f t="shared" si="8"/>
        <v>1</v>
      </c>
      <c r="AL10" s="4">
        <v>1</v>
      </c>
      <c r="AM10" s="4">
        <v>1</v>
      </c>
      <c r="AN10" s="6">
        <f t="shared" si="9"/>
        <v>1</v>
      </c>
      <c r="AO10">
        <v>0</v>
      </c>
      <c r="AP10">
        <v>0</v>
      </c>
      <c r="AQ10" s="6">
        <f t="shared" si="10"/>
        <v>0</v>
      </c>
      <c r="AR10" s="4">
        <v>1</v>
      </c>
      <c r="AS10" s="4">
        <v>1</v>
      </c>
      <c r="AT10" s="6">
        <f t="shared" si="11"/>
        <v>1</v>
      </c>
      <c r="AU10" s="1">
        <v>97.86</v>
      </c>
      <c r="AV10" s="1">
        <v>76.960000000000008</v>
      </c>
      <c r="AW10" s="1">
        <v>68.16</v>
      </c>
      <c r="AX10" s="1">
        <v>62.54</v>
      </c>
      <c r="AY10" s="1">
        <v>23.98</v>
      </c>
    </row>
    <row r="11" spans="1:51">
      <c r="A11" t="s">
        <v>24</v>
      </c>
      <c r="B11">
        <v>160425</v>
      </c>
      <c r="C11">
        <v>0</v>
      </c>
      <c r="D11">
        <v>1</v>
      </c>
      <c r="E11" s="6">
        <f t="shared" si="0"/>
        <v>1</v>
      </c>
      <c r="F11">
        <v>0</v>
      </c>
      <c r="G11">
        <v>0</v>
      </c>
      <c r="H11" s="6">
        <f t="shared" si="1"/>
        <v>0</v>
      </c>
      <c r="I11">
        <v>0</v>
      </c>
      <c r="J11">
        <v>1</v>
      </c>
      <c r="K11" s="6">
        <f t="shared" si="2"/>
        <v>1</v>
      </c>
      <c r="L11" s="4">
        <v>1</v>
      </c>
      <c r="M11" s="4">
        <v>1</v>
      </c>
      <c r="N11" s="6">
        <f t="shared" si="3"/>
        <v>1</v>
      </c>
      <c r="O11">
        <v>1</v>
      </c>
      <c r="P11">
        <v>1</v>
      </c>
      <c r="Q11" s="6">
        <f t="shared" si="4"/>
        <v>1</v>
      </c>
      <c r="R11" s="4">
        <v>1</v>
      </c>
      <c r="S11" s="4">
        <v>1</v>
      </c>
      <c r="T11" s="6">
        <f t="shared" si="5"/>
        <v>1</v>
      </c>
      <c r="U11">
        <v>116</v>
      </c>
      <c r="V11">
        <v>82.8</v>
      </c>
      <c r="W11">
        <v>97.6</v>
      </c>
      <c r="X11">
        <v>55.8</v>
      </c>
      <c r="Y11">
        <v>42.8</v>
      </c>
      <c r="AA11" t="s">
        <v>13</v>
      </c>
      <c r="AB11">
        <v>160425</v>
      </c>
      <c r="AC11">
        <v>0</v>
      </c>
      <c r="AD11">
        <v>0</v>
      </c>
      <c r="AE11" s="6">
        <f t="shared" si="6"/>
        <v>0</v>
      </c>
      <c r="AF11">
        <v>0</v>
      </c>
      <c r="AG11">
        <v>0</v>
      </c>
      <c r="AH11" s="6">
        <f t="shared" si="7"/>
        <v>0</v>
      </c>
      <c r="AI11">
        <v>1</v>
      </c>
      <c r="AJ11">
        <v>0</v>
      </c>
      <c r="AK11" s="6">
        <f t="shared" si="8"/>
        <v>1</v>
      </c>
      <c r="AL11" s="4">
        <v>1</v>
      </c>
      <c r="AM11" s="4">
        <v>1</v>
      </c>
      <c r="AN11" s="6">
        <f t="shared" si="9"/>
        <v>1</v>
      </c>
      <c r="AO11">
        <v>1</v>
      </c>
      <c r="AP11">
        <v>1</v>
      </c>
      <c r="AQ11" s="6">
        <f t="shared" si="10"/>
        <v>1</v>
      </c>
      <c r="AR11" s="4">
        <v>0</v>
      </c>
      <c r="AS11" s="4">
        <v>1</v>
      </c>
      <c r="AT11" s="6">
        <f t="shared" si="11"/>
        <v>1</v>
      </c>
      <c r="AU11" s="1">
        <v>120</v>
      </c>
      <c r="AV11" s="1">
        <v>97.47999999999999</v>
      </c>
      <c r="AW11" s="1">
        <v>120</v>
      </c>
      <c r="AX11" s="1">
        <v>120</v>
      </c>
      <c r="AY11" s="1">
        <v>120</v>
      </c>
    </row>
    <row r="12" spans="1:51">
      <c r="A12" t="s">
        <v>25</v>
      </c>
      <c r="B12">
        <v>160425</v>
      </c>
      <c r="C12">
        <v>0</v>
      </c>
      <c r="D12">
        <v>0</v>
      </c>
      <c r="E12" s="6">
        <f t="shared" si="0"/>
        <v>0</v>
      </c>
      <c r="F12">
        <v>0</v>
      </c>
      <c r="G12">
        <v>1</v>
      </c>
      <c r="H12" s="6">
        <f t="shared" si="1"/>
        <v>1</v>
      </c>
      <c r="I12">
        <v>0</v>
      </c>
      <c r="J12">
        <v>1</v>
      </c>
      <c r="K12" s="6">
        <f t="shared" si="2"/>
        <v>1</v>
      </c>
      <c r="L12" s="4">
        <v>1</v>
      </c>
      <c r="M12" s="4">
        <v>1</v>
      </c>
      <c r="N12" s="6">
        <f t="shared" si="3"/>
        <v>1</v>
      </c>
      <c r="O12">
        <v>0</v>
      </c>
      <c r="P12">
        <v>0</v>
      </c>
      <c r="Q12" s="6">
        <f t="shared" si="4"/>
        <v>0</v>
      </c>
      <c r="R12" s="4">
        <v>1</v>
      </c>
      <c r="S12" s="4">
        <v>1</v>
      </c>
      <c r="T12" s="6">
        <f t="shared" si="5"/>
        <v>1</v>
      </c>
      <c r="U12" s="1">
        <v>120</v>
      </c>
      <c r="V12" s="1">
        <v>120</v>
      </c>
      <c r="W12" s="1">
        <v>97.8</v>
      </c>
      <c r="X12" s="1">
        <v>65.2</v>
      </c>
      <c r="Y12" s="1">
        <v>12.6</v>
      </c>
      <c r="AA12" t="s">
        <v>14</v>
      </c>
      <c r="AB12">
        <v>160425</v>
      </c>
      <c r="AC12">
        <v>0</v>
      </c>
      <c r="AD12">
        <v>1</v>
      </c>
      <c r="AE12" s="6">
        <f t="shared" si="6"/>
        <v>1</v>
      </c>
      <c r="AF12">
        <v>1</v>
      </c>
      <c r="AG12">
        <v>1</v>
      </c>
      <c r="AH12" s="6">
        <f t="shared" si="7"/>
        <v>1</v>
      </c>
      <c r="AI12">
        <v>0</v>
      </c>
      <c r="AJ12">
        <v>1</v>
      </c>
      <c r="AK12" s="6">
        <f t="shared" si="8"/>
        <v>1</v>
      </c>
      <c r="AL12" s="4">
        <v>1</v>
      </c>
      <c r="AM12" s="4">
        <v>1</v>
      </c>
      <c r="AN12" s="6">
        <f t="shared" si="9"/>
        <v>1</v>
      </c>
      <c r="AO12">
        <v>1</v>
      </c>
      <c r="AP12">
        <v>0</v>
      </c>
      <c r="AQ12" s="6">
        <f t="shared" si="10"/>
        <v>1</v>
      </c>
      <c r="AR12" s="4">
        <v>0</v>
      </c>
      <c r="AS12" s="4">
        <v>1</v>
      </c>
      <c r="AT12" s="6">
        <f t="shared" si="11"/>
        <v>1</v>
      </c>
      <c r="AU12" s="1">
        <v>62.8</v>
      </c>
      <c r="AV12" s="1">
        <v>37.200000000000003</v>
      </c>
      <c r="AW12" s="1">
        <v>26.4</v>
      </c>
      <c r="AX12" s="1">
        <v>19.8</v>
      </c>
      <c r="AY12" s="1">
        <v>13.2</v>
      </c>
    </row>
    <row r="13" spans="1:51">
      <c r="A13" t="s">
        <v>26</v>
      </c>
      <c r="B13">
        <v>160801</v>
      </c>
      <c r="C13">
        <v>0</v>
      </c>
      <c r="D13">
        <v>0</v>
      </c>
      <c r="E13" s="6">
        <f t="shared" si="0"/>
        <v>0</v>
      </c>
      <c r="F13">
        <v>0</v>
      </c>
      <c r="G13">
        <v>0</v>
      </c>
      <c r="H13" s="6">
        <f t="shared" si="1"/>
        <v>0</v>
      </c>
      <c r="I13">
        <v>1</v>
      </c>
      <c r="J13">
        <v>1</v>
      </c>
      <c r="K13" s="6">
        <f t="shared" si="2"/>
        <v>1</v>
      </c>
      <c r="L13" s="4">
        <v>1</v>
      </c>
      <c r="M13" s="4">
        <v>0</v>
      </c>
      <c r="N13" s="6">
        <f t="shared" si="3"/>
        <v>1</v>
      </c>
      <c r="O13">
        <v>1</v>
      </c>
      <c r="P13">
        <v>1</v>
      </c>
      <c r="Q13" s="6">
        <f t="shared" si="4"/>
        <v>1</v>
      </c>
      <c r="R13" s="4">
        <v>0</v>
      </c>
      <c r="S13" s="4">
        <v>1</v>
      </c>
      <c r="T13" s="6">
        <f t="shared" si="5"/>
        <v>1</v>
      </c>
      <c r="U13" s="1">
        <v>120</v>
      </c>
      <c r="V13" s="1">
        <v>120</v>
      </c>
      <c r="W13" s="1">
        <v>120</v>
      </c>
      <c r="X13" s="1">
        <v>120</v>
      </c>
      <c r="Y13" s="1">
        <v>115.6</v>
      </c>
      <c r="AA13" t="s">
        <v>15</v>
      </c>
      <c r="AB13">
        <v>160801</v>
      </c>
      <c r="AC13">
        <v>1</v>
      </c>
      <c r="AD13">
        <v>0</v>
      </c>
      <c r="AE13" s="6">
        <f t="shared" si="6"/>
        <v>1</v>
      </c>
      <c r="AF13">
        <v>0</v>
      </c>
      <c r="AG13">
        <v>0</v>
      </c>
      <c r="AH13" s="6">
        <f t="shared" si="7"/>
        <v>0</v>
      </c>
      <c r="AI13">
        <v>0</v>
      </c>
      <c r="AJ13">
        <v>0</v>
      </c>
      <c r="AK13" s="6">
        <f t="shared" si="8"/>
        <v>0</v>
      </c>
      <c r="AL13" s="4">
        <v>0</v>
      </c>
      <c r="AM13" s="4">
        <v>1</v>
      </c>
      <c r="AN13" s="6">
        <f t="shared" si="9"/>
        <v>1</v>
      </c>
      <c r="AO13">
        <v>1</v>
      </c>
      <c r="AP13">
        <v>1</v>
      </c>
      <c r="AQ13" s="6">
        <f t="shared" si="10"/>
        <v>1</v>
      </c>
      <c r="AR13" s="4">
        <v>0</v>
      </c>
      <c r="AS13" s="4">
        <v>0</v>
      </c>
      <c r="AT13" s="6">
        <f t="shared" si="11"/>
        <v>0</v>
      </c>
      <c r="AU13" s="1">
        <v>95.2</v>
      </c>
      <c r="AV13" s="1">
        <v>17.8</v>
      </c>
      <c r="AW13" s="1">
        <v>14</v>
      </c>
      <c r="AX13" s="1">
        <v>14.8</v>
      </c>
      <c r="AY13" s="1">
        <v>10.4</v>
      </c>
    </row>
    <row r="14" spans="1:51">
      <c r="A14" t="s">
        <v>27</v>
      </c>
      <c r="B14">
        <v>160801</v>
      </c>
      <c r="C14">
        <v>1</v>
      </c>
      <c r="D14">
        <v>1</v>
      </c>
      <c r="E14" s="6">
        <f t="shared" si="0"/>
        <v>1</v>
      </c>
      <c r="F14">
        <v>0</v>
      </c>
      <c r="G14">
        <v>1</v>
      </c>
      <c r="H14" s="6">
        <f t="shared" si="1"/>
        <v>1</v>
      </c>
      <c r="I14">
        <v>0</v>
      </c>
      <c r="J14">
        <v>1</v>
      </c>
      <c r="K14" s="6">
        <f t="shared" si="2"/>
        <v>1</v>
      </c>
      <c r="L14" s="4">
        <v>0</v>
      </c>
      <c r="M14" s="4">
        <v>0</v>
      </c>
      <c r="N14" s="6">
        <f t="shared" si="3"/>
        <v>0</v>
      </c>
      <c r="O14">
        <v>1</v>
      </c>
      <c r="P14">
        <v>1</v>
      </c>
      <c r="Q14" s="6">
        <f t="shared" si="4"/>
        <v>1</v>
      </c>
      <c r="R14" s="4">
        <v>0</v>
      </c>
      <c r="S14" s="4">
        <v>0</v>
      </c>
      <c r="T14" s="6">
        <f t="shared" si="5"/>
        <v>0</v>
      </c>
      <c r="U14" s="1">
        <v>120</v>
      </c>
      <c r="V14" s="1">
        <v>109.6</v>
      </c>
      <c r="W14" s="1">
        <v>120</v>
      </c>
      <c r="X14" s="1">
        <v>77</v>
      </c>
      <c r="Y14" s="1">
        <v>79.8</v>
      </c>
      <c r="AA14" t="s">
        <v>16</v>
      </c>
      <c r="AB14">
        <v>160801</v>
      </c>
      <c r="AC14">
        <v>1</v>
      </c>
      <c r="AD14">
        <v>0</v>
      </c>
      <c r="AE14" s="6">
        <f t="shared" si="6"/>
        <v>1</v>
      </c>
      <c r="AF14">
        <v>0</v>
      </c>
      <c r="AG14">
        <v>1</v>
      </c>
      <c r="AH14" s="6">
        <f t="shared" si="7"/>
        <v>1</v>
      </c>
      <c r="AI14">
        <v>0</v>
      </c>
      <c r="AJ14">
        <v>1</v>
      </c>
      <c r="AK14" s="6">
        <f t="shared" si="8"/>
        <v>1</v>
      </c>
      <c r="AL14" s="4">
        <v>1</v>
      </c>
      <c r="AM14" s="4">
        <v>1</v>
      </c>
      <c r="AN14" s="6">
        <f t="shared" si="9"/>
        <v>1</v>
      </c>
      <c r="AO14">
        <v>1</v>
      </c>
      <c r="AP14">
        <v>0</v>
      </c>
      <c r="AQ14" s="6">
        <f t="shared" si="10"/>
        <v>1</v>
      </c>
      <c r="AR14" s="4">
        <v>0</v>
      </c>
      <c r="AS14" s="4">
        <v>0</v>
      </c>
      <c r="AT14" s="6">
        <f t="shared" si="11"/>
        <v>0</v>
      </c>
      <c r="AU14" s="1">
        <v>45.42</v>
      </c>
      <c r="AV14" s="1">
        <v>21.619999999999997</v>
      </c>
      <c r="AW14" s="1">
        <v>72.11999999999999</v>
      </c>
      <c r="AX14" s="1">
        <v>41.24</v>
      </c>
      <c r="AY14" s="1">
        <v>9.36</v>
      </c>
    </row>
    <row r="15" spans="1:51">
      <c r="A15" t="s">
        <v>28</v>
      </c>
      <c r="B15">
        <v>160801</v>
      </c>
      <c r="C15">
        <v>0</v>
      </c>
      <c r="D15">
        <v>0</v>
      </c>
      <c r="E15" s="6">
        <f t="shared" si="0"/>
        <v>0</v>
      </c>
      <c r="F15">
        <v>1</v>
      </c>
      <c r="G15">
        <v>0</v>
      </c>
      <c r="H15" s="6">
        <f t="shared" si="1"/>
        <v>1</v>
      </c>
      <c r="I15">
        <v>0</v>
      </c>
      <c r="J15">
        <v>1</v>
      </c>
      <c r="K15" s="6">
        <f t="shared" si="2"/>
        <v>1</v>
      </c>
      <c r="L15" s="4">
        <v>1</v>
      </c>
      <c r="M15" s="4">
        <v>1</v>
      </c>
      <c r="N15" s="6">
        <f t="shared" si="3"/>
        <v>1</v>
      </c>
      <c r="O15">
        <v>1</v>
      </c>
      <c r="P15">
        <v>1</v>
      </c>
      <c r="Q15" s="6">
        <f t="shared" si="4"/>
        <v>1</v>
      </c>
      <c r="R15" s="4">
        <v>0</v>
      </c>
      <c r="S15">
        <v>1</v>
      </c>
      <c r="T15" s="6">
        <f t="shared" si="5"/>
        <v>1</v>
      </c>
      <c r="U15" s="1">
        <v>120</v>
      </c>
      <c r="V15" s="1">
        <v>83.2</v>
      </c>
      <c r="W15" s="1">
        <v>79.599999999999994</v>
      </c>
      <c r="X15" s="1">
        <v>23.4</v>
      </c>
      <c r="Y15" s="1">
        <v>18.8</v>
      </c>
      <c r="AA15" t="s">
        <v>17</v>
      </c>
      <c r="AB15">
        <v>160801</v>
      </c>
      <c r="AC15">
        <v>0</v>
      </c>
      <c r="AD15">
        <v>0</v>
      </c>
      <c r="AE15" s="6">
        <f t="shared" si="6"/>
        <v>0</v>
      </c>
      <c r="AF15" s="3">
        <v>1</v>
      </c>
      <c r="AG15">
        <v>1</v>
      </c>
      <c r="AH15" s="6">
        <f t="shared" si="7"/>
        <v>1</v>
      </c>
      <c r="AI15">
        <v>1</v>
      </c>
      <c r="AJ15">
        <v>0</v>
      </c>
      <c r="AK15" s="6">
        <f t="shared" si="8"/>
        <v>1</v>
      </c>
      <c r="AL15" s="4">
        <v>1</v>
      </c>
      <c r="AM15" s="4">
        <v>1</v>
      </c>
      <c r="AN15" s="6">
        <f t="shared" si="9"/>
        <v>1</v>
      </c>
      <c r="AO15">
        <v>0</v>
      </c>
      <c r="AP15">
        <v>1</v>
      </c>
      <c r="AQ15" s="6">
        <f t="shared" si="10"/>
        <v>1</v>
      </c>
      <c r="AR15" s="4">
        <v>1</v>
      </c>
      <c r="AS15" s="4">
        <v>1</v>
      </c>
      <c r="AT15" s="6">
        <f t="shared" si="11"/>
        <v>1</v>
      </c>
      <c r="AU15" s="1">
        <v>56.039999999999985</v>
      </c>
      <c r="AV15" s="1">
        <v>28.080000000000002</v>
      </c>
      <c r="AW15" s="1">
        <v>35.22</v>
      </c>
      <c r="AX15" s="1">
        <v>20.78</v>
      </c>
      <c r="AY15" s="1">
        <v>25.119999999999997</v>
      </c>
    </row>
    <row r="16" spans="1:51">
      <c r="A16" t="s">
        <v>29</v>
      </c>
      <c r="B16">
        <v>160801</v>
      </c>
      <c r="C16">
        <v>1</v>
      </c>
      <c r="D16">
        <v>1</v>
      </c>
      <c r="E16" s="6">
        <f t="shared" si="0"/>
        <v>1</v>
      </c>
      <c r="F16">
        <v>0</v>
      </c>
      <c r="G16">
        <v>0</v>
      </c>
      <c r="H16" s="6">
        <f t="shared" si="1"/>
        <v>0</v>
      </c>
      <c r="I16">
        <v>1</v>
      </c>
      <c r="J16">
        <v>1</v>
      </c>
      <c r="K16" s="6">
        <f t="shared" si="2"/>
        <v>1</v>
      </c>
      <c r="L16" s="4">
        <v>1</v>
      </c>
      <c r="M16" s="4">
        <v>1</v>
      </c>
      <c r="N16" s="6">
        <f t="shared" si="3"/>
        <v>1</v>
      </c>
      <c r="O16">
        <v>1</v>
      </c>
      <c r="P16">
        <v>1</v>
      </c>
      <c r="Q16" s="6">
        <f t="shared" si="4"/>
        <v>1</v>
      </c>
      <c r="R16" s="4">
        <v>0</v>
      </c>
      <c r="S16" s="4">
        <v>0</v>
      </c>
      <c r="T16" s="6">
        <f t="shared" si="5"/>
        <v>0</v>
      </c>
      <c r="U16" s="1">
        <v>120</v>
      </c>
      <c r="V16" s="1">
        <v>113</v>
      </c>
      <c r="W16" s="1">
        <v>104.8</v>
      </c>
      <c r="X16" s="1">
        <v>40.799999999999997</v>
      </c>
      <c r="Y16" s="1">
        <v>55</v>
      </c>
      <c r="AA16" t="s">
        <v>18</v>
      </c>
      <c r="AB16">
        <v>160801</v>
      </c>
      <c r="AC16">
        <v>0</v>
      </c>
      <c r="AD16">
        <v>0</v>
      </c>
      <c r="AE16" s="6">
        <f t="shared" si="6"/>
        <v>0</v>
      </c>
      <c r="AF16" s="4">
        <v>0</v>
      </c>
      <c r="AG16">
        <v>0</v>
      </c>
      <c r="AH16" s="6">
        <f t="shared" si="7"/>
        <v>0</v>
      </c>
      <c r="AI16">
        <v>0</v>
      </c>
      <c r="AJ16">
        <v>0</v>
      </c>
      <c r="AK16" s="6">
        <f t="shared" si="8"/>
        <v>0</v>
      </c>
      <c r="AL16" s="4">
        <v>1</v>
      </c>
      <c r="AM16" s="4">
        <v>1</v>
      </c>
      <c r="AN16" s="6">
        <f t="shared" si="9"/>
        <v>1</v>
      </c>
      <c r="AO16">
        <v>1</v>
      </c>
      <c r="AP16">
        <v>1</v>
      </c>
      <c r="AQ16" s="6">
        <f t="shared" si="10"/>
        <v>1</v>
      </c>
      <c r="AR16" s="4">
        <v>0</v>
      </c>
      <c r="AS16" s="4">
        <v>0</v>
      </c>
      <c r="AT16" s="6">
        <f t="shared" si="11"/>
        <v>0</v>
      </c>
      <c r="AU16" s="1">
        <v>53.120000000000005</v>
      </c>
      <c r="AV16" s="1">
        <v>59.519999999999996</v>
      </c>
      <c r="AW16" s="1">
        <v>43.32</v>
      </c>
      <c r="AX16" s="1">
        <v>13.48</v>
      </c>
      <c r="AY16" s="1">
        <v>8.98</v>
      </c>
    </row>
    <row r="17" spans="1:51">
      <c r="A17" t="s">
        <v>30</v>
      </c>
      <c r="B17">
        <v>161031</v>
      </c>
      <c r="C17">
        <v>0</v>
      </c>
      <c r="D17">
        <v>0</v>
      </c>
      <c r="E17" s="6">
        <f t="shared" si="0"/>
        <v>0</v>
      </c>
      <c r="F17">
        <v>0</v>
      </c>
      <c r="G17">
        <v>0</v>
      </c>
      <c r="H17" s="6">
        <f t="shared" si="1"/>
        <v>0</v>
      </c>
      <c r="I17">
        <v>1</v>
      </c>
      <c r="J17">
        <v>1</v>
      </c>
      <c r="K17" s="6">
        <f t="shared" si="2"/>
        <v>1</v>
      </c>
      <c r="L17" s="4">
        <v>1</v>
      </c>
      <c r="M17" s="4">
        <v>1</v>
      </c>
      <c r="N17" s="6">
        <f t="shared" si="3"/>
        <v>1</v>
      </c>
      <c r="O17">
        <v>1</v>
      </c>
      <c r="P17">
        <v>0</v>
      </c>
      <c r="Q17" s="6">
        <f t="shared" si="4"/>
        <v>1</v>
      </c>
      <c r="R17" s="4">
        <v>1</v>
      </c>
      <c r="S17" s="4">
        <v>1</v>
      </c>
      <c r="T17" s="6">
        <f t="shared" si="5"/>
        <v>1</v>
      </c>
      <c r="U17">
        <v>120</v>
      </c>
      <c r="V17">
        <v>66</v>
      </c>
      <c r="W17">
        <v>13.2</v>
      </c>
      <c r="X17">
        <v>11.8</v>
      </c>
      <c r="Y17">
        <v>17.8</v>
      </c>
      <c r="AA17" t="s">
        <v>19</v>
      </c>
      <c r="AB17">
        <v>160801</v>
      </c>
      <c r="AC17">
        <v>0</v>
      </c>
      <c r="AD17">
        <v>0</v>
      </c>
      <c r="AE17" s="6">
        <f t="shared" si="6"/>
        <v>0</v>
      </c>
      <c r="AF17" s="4">
        <v>0</v>
      </c>
      <c r="AG17">
        <v>1</v>
      </c>
      <c r="AH17" s="6">
        <f t="shared" si="7"/>
        <v>1</v>
      </c>
      <c r="AI17">
        <v>0</v>
      </c>
      <c r="AJ17">
        <v>1</v>
      </c>
      <c r="AK17" s="6">
        <f t="shared" si="8"/>
        <v>1</v>
      </c>
      <c r="AL17" s="4">
        <v>1</v>
      </c>
      <c r="AM17" s="4">
        <v>1</v>
      </c>
      <c r="AN17" s="6">
        <f t="shared" si="9"/>
        <v>1</v>
      </c>
      <c r="AO17">
        <v>1</v>
      </c>
      <c r="AP17">
        <v>0</v>
      </c>
      <c r="AQ17" s="6">
        <f t="shared" si="10"/>
        <v>1</v>
      </c>
      <c r="AR17" s="4">
        <v>0</v>
      </c>
      <c r="AS17" s="4">
        <v>0</v>
      </c>
      <c r="AT17" s="6">
        <f t="shared" si="11"/>
        <v>0</v>
      </c>
      <c r="AU17">
        <v>97.6</v>
      </c>
      <c r="AV17">
        <v>73.599999999999994</v>
      </c>
      <c r="AW17">
        <v>79</v>
      </c>
      <c r="AX17">
        <v>54.6</v>
      </c>
      <c r="AY17">
        <v>40.4</v>
      </c>
    </row>
    <row r="18" spans="1:51">
      <c r="A18" t="s">
        <v>31</v>
      </c>
      <c r="B18">
        <v>161031</v>
      </c>
      <c r="C18">
        <v>0</v>
      </c>
      <c r="D18">
        <v>1</v>
      </c>
      <c r="E18" s="6">
        <f t="shared" si="0"/>
        <v>1</v>
      </c>
      <c r="F18">
        <v>0</v>
      </c>
      <c r="G18">
        <v>0</v>
      </c>
      <c r="H18" s="6">
        <f t="shared" si="1"/>
        <v>0</v>
      </c>
      <c r="I18">
        <v>1</v>
      </c>
      <c r="J18">
        <v>1</v>
      </c>
      <c r="K18" s="6">
        <f t="shared" si="2"/>
        <v>1</v>
      </c>
      <c r="L18" s="4">
        <v>1</v>
      </c>
      <c r="M18" s="4">
        <v>1</v>
      </c>
      <c r="N18" s="6">
        <f t="shared" si="3"/>
        <v>1</v>
      </c>
      <c r="O18">
        <v>1</v>
      </c>
      <c r="P18">
        <v>1</v>
      </c>
      <c r="Q18" s="6">
        <f t="shared" si="4"/>
        <v>1</v>
      </c>
      <c r="R18" s="4">
        <v>0</v>
      </c>
      <c r="S18" s="4">
        <v>0</v>
      </c>
      <c r="T18" s="6">
        <f t="shared" si="5"/>
        <v>0</v>
      </c>
      <c r="U18">
        <v>120</v>
      </c>
      <c r="V18">
        <v>120</v>
      </c>
      <c r="W18">
        <v>97.4</v>
      </c>
      <c r="X18">
        <v>100</v>
      </c>
      <c r="Y18">
        <v>101.4</v>
      </c>
      <c r="AA18" t="s">
        <v>20</v>
      </c>
      <c r="AB18" s="3">
        <v>170206</v>
      </c>
      <c r="AC18">
        <v>0</v>
      </c>
      <c r="AD18">
        <v>0</v>
      </c>
      <c r="AE18" s="6">
        <f t="shared" si="6"/>
        <v>0</v>
      </c>
      <c r="AF18" s="4">
        <v>0</v>
      </c>
      <c r="AG18">
        <v>0</v>
      </c>
      <c r="AH18" s="6">
        <f t="shared" si="7"/>
        <v>0</v>
      </c>
      <c r="AI18">
        <v>0</v>
      </c>
      <c r="AJ18">
        <v>1</v>
      </c>
      <c r="AK18" s="6">
        <f t="shared" si="8"/>
        <v>1</v>
      </c>
      <c r="AL18" s="4">
        <v>1</v>
      </c>
      <c r="AM18" s="4">
        <v>0</v>
      </c>
      <c r="AN18" s="6">
        <f t="shared" si="9"/>
        <v>1</v>
      </c>
      <c r="AO18">
        <v>0</v>
      </c>
      <c r="AP18">
        <v>1</v>
      </c>
      <c r="AQ18" s="6">
        <f t="shared" si="10"/>
        <v>1</v>
      </c>
      <c r="AR18" s="4">
        <v>0</v>
      </c>
      <c r="AS18" s="4">
        <v>0</v>
      </c>
      <c r="AT18" s="6">
        <f t="shared" si="11"/>
        <v>0</v>
      </c>
      <c r="AU18">
        <v>48</v>
      </c>
      <c r="AV18">
        <v>18.399999999999999</v>
      </c>
      <c r="AW18">
        <v>37.6</v>
      </c>
      <c r="AX18">
        <v>7.2</v>
      </c>
      <c r="AY18">
        <v>17.2</v>
      </c>
    </row>
    <row r="19" spans="1:51">
      <c r="A19" t="s">
        <v>32</v>
      </c>
      <c r="B19">
        <v>161031</v>
      </c>
      <c r="C19">
        <v>0</v>
      </c>
      <c r="D19">
        <v>0</v>
      </c>
      <c r="E19" s="6">
        <f t="shared" si="0"/>
        <v>0</v>
      </c>
      <c r="F19">
        <v>0</v>
      </c>
      <c r="G19">
        <v>1</v>
      </c>
      <c r="H19" s="6">
        <f t="shared" si="1"/>
        <v>1</v>
      </c>
      <c r="I19">
        <v>1</v>
      </c>
      <c r="J19">
        <v>0</v>
      </c>
      <c r="K19" s="6">
        <f t="shared" si="2"/>
        <v>1</v>
      </c>
      <c r="L19" s="4">
        <v>1</v>
      </c>
      <c r="M19" s="4">
        <v>0</v>
      </c>
      <c r="N19" s="6">
        <f t="shared" si="3"/>
        <v>1</v>
      </c>
      <c r="O19">
        <v>1</v>
      </c>
      <c r="P19">
        <v>0</v>
      </c>
      <c r="Q19" s="6">
        <f t="shared" si="4"/>
        <v>1</v>
      </c>
      <c r="R19" s="4">
        <v>1</v>
      </c>
      <c r="S19" s="4">
        <v>1</v>
      </c>
      <c r="T19" s="6">
        <f t="shared" si="5"/>
        <v>1</v>
      </c>
      <c r="U19">
        <v>108</v>
      </c>
      <c r="V19">
        <v>104.2</v>
      </c>
      <c r="W19">
        <v>87.4</v>
      </c>
      <c r="X19">
        <v>60.4</v>
      </c>
      <c r="Y19">
        <v>43.2</v>
      </c>
      <c r="AA19" t="s">
        <v>21</v>
      </c>
      <c r="AB19" s="3">
        <v>170206</v>
      </c>
      <c r="AC19">
        <v>0</v>
      </c>
      <c r="AD19">
        <v>0</v>
      </c>
      <c r="AE19" s="6">
        <f t="shared" si="6"/>
        <v>0</v>
      </c>
      <c r="AF19" s="4">
        <v>0</v>
      </c>
      <c r="AG19">
        <v>0</v>
      </c>
      <c r="AH19" s="6">
        <f t="shared" si="7"/>
        <v>0</v>
      </c>
      <c r="AI19">
        <v>0</v>
      </c>
      <c r="AJ19">
        <v>1</v>
      </c>
      <c r="AK19" s="6">
        <f t="shared" si="8"/>
        <v>1</v>
      </c>
      <c r="AL19" s="4">
        <v>1</v>
      </c>
      <c r="AM19" s="4">
        <v>0</v>
      </c>
      <c r="AN19" s="6">
        <f t="shared" si="9"/>
        <v>1</v>
      </c>
      <c r="AO19">
        <v>1</v>
      </c>
      <c r="AP19">
        <v>1</v>
      </c>
      <c r="AQ19" s="6">
        <f t="shared" si="10"/>
        <v>1</v>
      </c>
      <c r="AR19" s="4">
        <v>0</v>
      </c>
      <c r="AS19" s="4">
        <v>0</v>
      </c>
      <c r="AT19" s="6">
        <f t="shared" si="11"/>
        <v>0</v>
      </c>
      <c r="AU19">
        <v>74.8</v>
      </c>
      <c r="AV19">
        <v>19.600000000000001</v>
      </c>
      <c r="AW19">
        <v>42</v>
      </c>
      <c r="AX19">
        <v>27.2</v>
      </c>
      <c r="AY19">
        <v>39</v>
      </c>
    </row>
    <row r="20" spans="1:51">
      <c r="A20" t="s">
        <v>33</v>
      </c>
      <c r="B20" s="3">
        <v>170206</v>
      </c>
      <c r="C20">
        <v>0</v>
      </c>
      <c r="D20">
        <v>0</v>
      </c>
      <c r="E20" s="6">
        <f t="shared" si="0"/>
        <v>0</v>
      </c>
      <c r="F20">
        <v>0</v>
      </c>
      <c r="G20">
        <v>0</v>
      </c>
      <c r="H20" s="6">
        <f t="shared" si="1"/>
        <v>0</v>
      </c>
      <c r="I20">
        <v>1</v>
      </c>
      <c r="J20">
        <v>1</v>
      </c>
      <c r="K20" s="6">
        <f t="shared" si="2"/>
        <v>1</v>
      </c>
      <c r="L20" s="4">
        <v>1</v>
      </c>
      <c r="M20" s="4">
        <v>0</v>
      </c>
      <c r="N20" s="6">
        <f t="shared" si="3"/>
        <v>1</v>
      </c>
      <c r="O20">
        <v>1</v>
      </c>
      <c r="P20">
        <v>1</v>
      </c>
      <c r="Q20" s="6">
        <f t="shared" si="4"/>
        <v>1</v>
      </c>
      <c r="R20" s="4">
        <v>0</v>
      </c>
      <c r="S20">
        <v>1</v>
      </c>
      <c r="T20" s="6">
        <f t="shared" si="5"/>
        <v>1</v>
      </c>
      <c r="U20">
        <v>120</v>
      </c>
      <c r="V20">
        <v>120</v>
      </c>
      <c r="W20">
        <v>88.22</v>
      </c>
      <c r="X20">
        <v>46.739999999999995</v>
      </c>
      <c r="Y20">
        <v>31.72</v>
      </c>
      <c r="AA20" t="s">
        <v>22</v>
      </c>
      <c r="AB20" s="3">
        <v>170206</v>
      </c>
      <c r="AC20">
        <v>0</v>
      </c>
      <c r="AD20">
        <v>1</v>
      </c>
      <c r="AE20" s="6">
        <f t="shared" si="6"/>
        <v>1</v>
      </c>
      <c r="AF20" s="4">
        <v>0</v>
      </c>
      <c r="AG20">
        <v>0</v>
      </c>
      <c r="AH20" s="6">
        <f t="shared" si="7"/>
        <v>0</v>
      </c>
      <c r="AI20">
        <v>0</v>
      </c>
      <c r="AJ20">
        <v>1</v>
      </c>
      <c r="AK20" s="6">
        <f t="shared" si="8"/>
        <v>1</v>
      </c>
      <c r="AL20" s="4">
        <v>1</v>
      </c>
      <c r="AM20" s="4">
        <v>1</v>
      </c>
      <c r="AN20" s="6">
        <f t="shared" si="9"/>
        <v>1</v>
      </c>
      <c r="AO20">
        <v>0</v>
      </c>
      <c r="AP20">
        <v>0</v>
      </c>
      <c r="AQ20" s="6">
        <f t="shared" si="10"/>
        <v>0</v>
      </c>
      <c r="AR20" s="4">
        <v>0</v>
      </c>
      <c r="AS20" s="4">
        <v>0</v>
      </c>
      <c r="AT20" s="6">
        <f t="shared" si="11"/>
        <v>0</v>
      </c>
      <c r="AU20">
        <v>68.2</v>
      </c>
      <c r="AV20">
        <v>42.2</v>
      </c>
      <c r="AW20">
        <v>53.4</v>
      </c>
      <c r="AX20">
        <v>11.6</v>
      </c>
      <c r="AY20">
        <v>20.6</v>
      </c>
    </row>
    <row r="21" spans="1:51">
      <c r="A21" t="s">
        <v>34</v>
      </c>
      <c r="B21" s="3">
        <v>170206</v>
      </c>
      <c r="C21">
        <v>1</v>
      </c>
      <c r="D21">
        <v>1</v>
      </c>
      <c r="E21" s="6">
        <f t="shared" si="0"/>
        <v>1</v>
      </c>
      <c r="F21">
        <v>0</v>
      </c>
      <c r="G21">
        <v>0</v>
      </c>
      <c r="H21" s="6">
        <f t="shared" si="1"/>
        <v>0</v>
      </c>
      <c r="I21">
        <v>0</v>
      </c>
      <c r="J21">
        <v>0</v>
      </c>
      <c r="K21" s="6">
        <f t="shared" si="2"/>
        <v>0</v>
      </c>
      <c r="L21" s="4">
        <v>1</v>
      </c>
      <c r="M21" s="4">
        <v>0</v>
      </c>
      <c r="N21" s="6">
        <f t="shared" si="3"/>
        <v>1</v>
      </c>
      <c r="O21">
        <v>1</v>
      </c>
      <c r="P21">
        <v>1</v>
      </c>
      <c r="Q21" s="6">
        <f t="shared" si="4"/>
        <v>1</v>
      </c>
      <c r="R21" s="4">
        <v>0</v>
      </c>
      <c r="S21" s="4">
        <v>0</v>
      </c>
      <c r="T21" s="6">
        <f t="shared" si="5"/>
        <v>0</v>
      </c>
      <c r="U21" s="1">
        <v>120</v>
      </c>
      <c r="V21" s="1">
        <v>89.4</v>
      </c>
      <c r="W21" s="1">
        <v>106.4</v>
      </c>
      <c r="X21" s="1">
        <v>102.4</v>
      </c>
      <c r="Y21" s="1">
        <v>120</v>
      </c>
      <c r="AA21" t="s">
        <v>23</v>
      </c>
      <c r="AB21" s="3">
        <v>170206</v>
      </c>
      <c r="AC21">
        <v>1</v>
      </c>
      <c r="AD21">
        <v>0</v>
      </c>
      <c r="AE21" s="6">
        <f t="shared" si="6"/>
        <v>1</v>
      </c>
      <c r="AF21" s="4">
        <v>0</v>
      </c>
      <c r="AG21">
        <v>0</v>
      </c>
      <c r="AH21" s="6">
        <f t="shared" si="7"/>
        <v>0</v>
      </c>
      <c r="AI21">
        <v>0</v>
      </c>
      <c r="AJ21">
        <v>0</v>
      </c>
      <c r="AK21" s="6">
        <f t="shared" si="8"/>
        <v>0</v>
      </c>
      <c r="AL21" s="4">
        <v>1</v>
      </c>
      <c r="AM21" s="4">
        <v>1</v>
      </c>
      <c r="AN21" s="6">
        <f t="shared" si="9"/>
        <v>1</v>
      </c>
      <c r="AO21">
        <v>1</v>
      </c>
      <c r="AP21">
        <v>0</v>
      </c>
      <c r="AQ21" s="6">
        <f t="shared" si="10"/>
        <v>1</v>
      </c>
      <c r="AR21" s="4">
        <v>0</v>
      </c>
      <c r="AS21">
        <v>1</v>
      </c>
      <c r="AT21" s="6">
        <f t="shared" si="11"/>
        <v>1</v>
      </c>
      <c r="AU21" s="2">
        <v>72.400000000000006</v>
      </c>
      <c r="AV21" s="2">
        <v>73.400000000000006</v>
      </c>
      <c r="AW21" s="2">
        <v>11.8</v>
      </c>
      <c r="AX21" s="2">
        <v>14.4</v>
      </c>
      <c r="AY21" s="2">
        <v>49.4</v>
      </c>
    </row>
    <row r="22" spans="1:51">
      <c r="A22" t="s">
        <v>35</v>
      </c>
      <c r="B22" s="3">
        <v>170206</v>
      </c>
      <c r="C22">
        <v>0</v>
      </c>
      <c r="D22">
        <v>0</v>
      </c>
      <c r="E22" s="6">
        <f t="shared" si="0"/>
        <v>0</v>
      </c>
      <c r="F22">
        <v>0</v>
      </c>
      <c r="G22">
        <v>0</v>
      </c>
      <c r="H22" s="6">
        <f t="shared" si="1"/>
        <v>0</v>
      </c>
      <c r="I22">
        <v>1</v>
      </c>
      <c r="J22">
        <v>1</v>
      </c>
      <c r="K22" s="6">
        <f t="shared" si="2"/>
        <v>1</v>
      </c>
      <c r="L22" s="4">
        <v>1</v>
      </c>
      <c r="M22" s="4">
        <v>1</v>
      </c>
      <c r="N22" s="6">
        <f t="shared" si="3"/>
        <v>1</v>
      </c>
      <c r="O22">
        <v>0</v>
      </c>
      <c r="P22">
        <v>1</v>
      </c>
      <c r="Q22" s="6">
        <f t="shared" si="4"/>
        <v>1</v>
      </c>
      <c r="R22" s="4">
        <v>1</v>
      </c>
      <c r="S22" s="4">
        <v>1</v>
      </c>
      <c r="T22" s="6">
        <f t="shared" si="5"/>
        <v>1</v>
      </c>
      <c r="U22" s="1">
        <v>120</v>
      </c>
      <c r="V22" s="1">
        <v>120</v>
      </c>
      <c r="W22" s="1">
        <v>119.6</v>
      </c>
      <c r="X22" s="1">
        <v>120</v>
      </c>
      <c r="Y22" s="1">
        <v>77.2</v>
      </c>
    </row>
    <row r="23" spans="1:51">
      <c r="A23" t="s">
        <v>36</v>
      </c>
      <c r="B23" s="3">
        <v>170206</v>
      </c>
      <c r="C23">
        <v>0</v>
      </c>
      <c r="D23">
        <v>0</v>
      </c>
      <c r="E23" s="6">
        <f t="shared" si="0"/>
        <v>0</v>
      </c>
      <c r="F23">
        <v>0</v>
      </c>
      <c r="G23">
        <v>0</v>
      </c>
      <c r="H23" s="6">
        <f t="shared" si="1"/>
        <v>0</v>
      </c>
      <c r="I23">
        <v>1</v>
      </c>
      <c r="J23">
        <v>1</v>
      </c>
      <c r="K23" s="6">
        <f t="shared" si="2"/>
        <v>1</v>
      </c>
      <c r="L23" s="4">
        <v>1</v>
      </c>
      <c r="M23" s="4">
        <v>1</v>
      </c>
      <c r="N23" s="6">
        <f t="shared" si="3"/>
        <v>1</v>
      </c>
      <c r="O23">
        <v>1</v>
      </c>
      <c r="P23">
        <v>1</v>
      </c>
      <c r="Q23" s="6">
        <f t="shared" si="4"/>
        <v>1</v>
      </c>
      <c r="R23" s="4">
        <v>0</v>
      </c>
      <c r="S23" s="4">
        <v>0</v>
      </c>
      <c r="T23" s="6">
        <f t="shared" si="5"/>
        <v>0</v>
      </c>
      <c r="U23" s="2">
        <v>120</v>
      </c>
      <c r="V23" s="2">
        <v>115.8</v>
      </c>
      <c r="W23" s="2">
        <v>66.400000000000006</v>
      </c>
      <c r="X23" s="2">
        <v>70.8</v>
      </c>
      <c r="Y23" s="2">
        <v>40.6</v>
      </c>
    </row>
    <row r="24" spans="1:51">
      <c r="A24" t="s">
        <v>37</v>
      </c>
      <c r="B24" s="3">
        <v>170206</v>
      </c>
      <c r="C24">
        <v>0</v>
      </c>
      <c r="D24">
        <v>0</v>
      </c>
      <c r="E24" s="6">
        <f t="shared" si="0"/>
        <v>0</v>
      </c>
      <c r="F24">
        <v>0</v>
      </c>
      <c r="G24">
        <v>1</v>
      </c>
      <c r="H24" s="6">
        <f t="shared" si="1"/>
        <v>1</v>
      </c>
      <c r="I24">
        <v>1</v>
      </c>
      <c r="J24">
        <v>1</v>
      </c>
      <c r="K24" s="6">
        <f t="shared" si="2"/>
        <v>1</v>
      </c>
      <c r="L24" s="4">
        <v>1</v>
      </c>
      <c r="M24" s="4">
        <v>1</v>
      </c>
      <c r="N24" s="6">
        <f t="shared" si="3"/>
        <v>1</v>
      </c>
      <c r="O24">
        <v>1</v>
      </c>
      <c r="P24">
        <v>1</v>
      </c>
      <c r="Q24" s="6">
        <f t="shared" si="4"/>
        <v>1</v>
      </c>
      <c r="R24" s="4">
        <v>0</v>
      </c>
      <c r="S24" s="4">
        <v>0</v>
      </c>
      <c r="T24" s="6">
        <f t="shared" si="5"/>
        <v>0</v>
      </c>
      <c r="U24">
        <v>120</v>
      </c>
      <c r="V24">
        <v>120</v>
      </c>
      <c r="W24">
        <v>120</v>
      </c>
      <c r="X24">
        <v>120</v>
      </c>
      <c r="Y24">
        <v>94</v>
      </c>
    </row>
    <row r="25" spans="1:51">
      <c r="A25" t="s">
        <v>38</v>
      </c>
      <c r="B25">
        <v>170716</v>
      </c>
      <c r="C25">
        <v>0</v>
      </c>
      <c r="D25">
        <v>0</v>
      </c>
      <c r="E25" s="6">
        <f t="shared" si="0"/>
        <v>0</v>
      </c>
      <c r="F25">
        <v>0</v>
      </c>
      <c r="G25">
        <v>0</v>
      </c>
      <c r="H25" s="6">
        <f t="shared" si="1"/>
        <v>0</v>
      </c>
      <c r="I25">
        <v>1</v>
      </c>
      <c r="J25">
        <v>1</v>
      </c>
      <c r="K25" s="6">
        <f t="shared" si="2"/>
        <v>1</v>
      </c>
      <c r="L25" s="4">
        <v>1</v>
      </c>
      <c r="M25" s="4">
        <v>0</v>
      </c>
      <c r="N25" s="6">
        <f t="shared" si="3"/>
        <v>1</v>
      </c>
      <c r="O25">
        <v>1</v>
      </c>
      <c r="P25">
        <v>0</v>
      </c>
      <c r="Q25" s="6">
        <f t="shared" si="4"/>
        <v>1</v>
      </c>
      <c r="R25" s="4">
        <v>1</v>
      </c>
      <c r="S25" s="4">
        <v>1</v>
      </c>
      <c r="T25" s="6">
        <f t="shared" si="5"/>
        <v>1</v>
      </c>
      <c r="U25">
        <v>120</v>
      </c>
      <c r="V25">
        <v>100.26</v>
      </c>
      <c r="W25">
        <v>61.720000000000006</v>
      </c>
      <c r="X25">
        <v>68.760000000000005</v>
      </c>
      <c r="Y25">
        <v>91.179999999999993</v>
      </c>
    </row>
    <row r="26" spans="1:51">
      <c r="A26" t="s">
        <v>39</v>
      </c>
      <c r="B26">
        <v>170716</v>
      </c>
      <c r="C26">
        <v>0</v>
      </c>
      <c r="D26">
        <v>0</v>
      </c>
      <c r="E26" s="6">
        <f t="shared" si="0"/>
        <v>0</v>
      </c>
      <c r="F26">
        <v>1</v>
      </c>
      <c r="G26">
        <v>0</v>
      </c>
      <c r="H26" s="6">
        <f t="shared" si="1"/>
        <v>1</v>
      </c>
      <c r="I26">
        <v>0</v>
      </c>
      <c r="J26">
        <v>1</v>
      </c>
      <c r="K26" s="6">
        <f t="shared" si="2"/>
        <v>1</v>
      </c>
      <c r="L26" s="4">
        <v>0</v>
      </c>
      <c r="M26" s="4">
        <v>0</v>
      </c>
      <c r="N26" s="6">
        <f t="shared" si="3"/>
        <v>0</v>
      </c>
      <c r="O26">
        <v>1</v>
      </c>
      <c r="P26">
        <v>1</v>
      </c>
      <c r="Q26" s="6">
        <f t="shared" si="4"/>
        <v>1</v>
      </c>
      <c r="R26" s="4">
        <v>0</v>
      </c>
      <c r="S26" s="4">
        <v>0</v>
      </c>
      <c r="T26" s="6">
        <f t="shared" si="5"/>
        <v>0</v>
      </c>
      <c r="U26">
        <v>120</v>
      </c>
      <c r="V26">
        <v>120</v>
      </c>
      <c r="W26">
        <v>98.34</v>
      </c>
      <c r="X26">
        <v>57.720000000000006</v>
      </c>
      <c r="Y26">
        <v>66.320000000000007</v>
      </c>
    </row>
    <row r="27" spans="1:51">
      <c r="A27" t="s">
        <v>40</v>
      </c>
      <c r="B27">
        <v>170716</v>
      </c>
      <c r="C27">
        <v>1</v>
      </c>
      <c r="D27">
        <v>0</v>
      </c>
      <c r="E27" s="6">
        <f t="shared" si="0"/>
        <v>1</v>
      </c>
      <c r="F27">
        <v>0</v>
      </c>
      <c r="G27">
        <v>0</v>
      </c>
      <c r="H27" s="6">
        <f t="shared" si="1"/>
        <v>0</v>
      </c>
      <c r="I27">
        <v>0</v>
      </c>
      <c r="J27">
        <v>1</v>
      </c>
      <c r="K27" s="6">
        <f t="shared" si="2"/>
        <v>1</v>
      </c>
      <c r="L27" s="4">
        <v>0</v>
      </c>
      <c r="M27" s="4">
        <v>0</v>
      </c>
      <c r="N27" s="6">
        <f t="shared" si="3"/>
        <v>0</v>
      </c>
      <c r="O27">
        <v>1</v>
      </c>
      <c r="P27">
        <v>1</v>
      </c>
      <c r="Q27" s="6">
        <f t="shared" si="4"/>
        <v>1</v>
      </c>
      <c r="R27" s="4">
        <v>0</v>
      </c>
      <c r="S27" s="4">
        <v>0</v>
      </c>
      <c r="T27" s="6">
        <f t="shared" si="5"/>
        <v>0</v>
      </c>
      <c r="U27" s="1">
        <v>120</v>
      </c>
      <c r="V27" s="1">
        <v>108.8</v>
      </c>
      <c r="W27" s="1">
        <v>108.6</v>
      </c>
      <c r="X27" s="1">
        <v>105.4</v>
      </c>
      <c r="Y27" s="1">
        <v>106.4</v>
      </c>
    </row>
    <row r="28" spans="1:51">
      <c r="A28" t="s">
        <v>41</v>
      </c>
      <c r="B28">
        <v>170716</v>
      </c>
      <c r="C28">
        <v>0</v>
      </c>
      <c r="D28">
        <v>0</v>
      </c>
      <c r="E28" s="6">
        <f t="shared" si="0"/>
        <v>0</v>
      </c>
      <c r="F28">
        <v>0</v>
      </c>
      <c r="G28">
        <v>0</v>
      </c>
      <c r="H28" s="6">
        <f t="shared" si="1"/>
        <v>0</v>
      </c>
      <c r="I28">
        <v>1</v>
      </c>
      <c r="J28">
        <v>1</v>
      </c>
      <c r="K28" s="6">
        <f t="shared" si="2"/>
        <v>1</v>
      </c>
      <c r="L28" s="4">
        <v>1</v>
      </c>
      <c r="M28" s="4">
        <v>0</v>
      </c>
      <c r="N28" s="6">
        <f t="shared" si="3"/>
        <v>1</v>
      </c>
      <c r="O28">
        <v>0</v>
      </c>
      <c r="P28">
        <v>0</v>
      </c>
      <c r="Q28" s="6">
        <f t="shared" si="4"/>
        <v>0</v>
      </c>
      <c r="R28" s="4">
        <v>1</v>
      </c>
      <c r="S28" s="4">
        <v>1</v>
      </c>
      <c r="T28" s="6">
        <f t="shared" si="5"/>
        <v>1</v>
      </c>
      <c r="U28">
        <v>120</v>
      </c>
      <c r="V28">
        <v>98.2</v>
      </c>
      <c r="W28">
        <v>32</v>
      </c>
      <c r="X28">
        <v>19.2</v>
      </c>
      <c r="Y28">
        <v>12.4</v>
      </c>
    </row>
    <row r="29" spans="1:51" ht="15" thickBot="1">
      <c r="A29" t="s">
        <v>42</v>
      </c>
      <c r="B29">
        <v>170716</v>
      </c>
      <c r="C29">
        <v>1</v>
      </c>
      <c r="D29">
        <v>0</v>
      </c>
      <c r="E29" s="6">
        <f t="shared" si="0"/>
        <v>1</v>
      </c>
      <c r="F29">
        <v>0</v>
      </c>
      <c r="G29">
        <v>0</v>
      </c>
      <c r="H29" s="6">
        <f t="shared" si="1"/>
        <v>0</v>
      </c>
      <c r="I29">
        <v>0</v>
      </c>
      <c r="J29">
        <v>1</v>
      </c>
      <c r="K29" s="6">
        <f t="shared" si="2"/>
        <v>1</v>
      </c>
      <c r="L29" s="4">
        <v>0</v>
      </c>
      <c r="M29" s="4">
        <v>1</v>
      </c>
      <c r="N29" s="6">
        <f t="shared" si="3"/>
        <v>1</v>
      </c>
      <c r="O29">
        <v>1</v>
      </c>
      <c r="P29">
        <v>1</v>
      </c>
      <c r="Q29" s="6">
        <f t="shared" si="4"/>
        <v>1</v>
      </c>
      <c r="R29" s="4">
        <v>0</v>
      </c>
      <c r="S29">
        <v>1</v>
      </c>
      <c r="T29" s="6">
        <f t="shared" si="5"/>
        <v>1</v>
      </c>
      <c r="U29" s="1">
        <v>76.400000000000006</v>
      </c>
      <c r="V29" s="1">
        <v>24</v>
      </c>
      <c r="W29" s="1">
        <v>30.2</v>
      </c>
      <c r="X29" s="1">
        <v>11.6</v>
      </c>
      <c r="Y29" s="1">
        <v>17.8</v>
      </c>
    </row>
    <row r="30" spans="1:51">
      <c r="A30" t="s">
        <v>169</v>
      </c>
      <c r="C30">
        <f>SUM(C2:C29)</f>
        <v>10</v>
      </c>
      <c r="D30">
        <f t="shared" ref="D30:E30" si="12">SUM(D2:D29)</f>
        <v>7</v>
      </c>
      <c r="E30" s="5">
        <f t="shared" si="12"/>
        <v>12</v>
      </c>
      <c r="F30">
        <f t="shared" ref="F30:T30" si="13">SUM(F2:F29)</f>
        <v>3</v>
      </c>
      <c r="G30">
        <f t="shared" si="13"/>
        <v>6</v>
      </c>
      <c r="H30" s="5">
        <f t="shared" si="13"/>
        <v>8</v>
      </c>
      <c r="I30">
        <f t="shared" si="13"/>
        <v>13</v>
      </c>
      <c r="J30">
        <f t="shared" si="13"/>
        <v>21</v>
      </c>
      <c r="K30" s="5">
        <f t="shared" si="13"/>
        <v>23</v>
      </c>
      <c r="L30">
        <f t="shared" si="13"/>
        <v>24</v>
      </c>
      <c r="M30">
        <f t="shared" si="13"/>
        <v>17</v>
      </c>
      <c r="N30" s="5">
        <f t="shared" si="13"/>
        <v>25</v>
      </c>
      <c r="O30">
        <f t="shared" si="13"/>
        <v>20</v>
      </c>
      <c r="P30">
        <f t="shared" si="13"/>
        <v>18</v>
      </c>
      <c r="Q30" s="5">
        <f t="shared" si="13"/>
        <v>22</v>
      </c>
      <c r="R30">
        <f t="shared" si="13"/>
        <v>12</v>
      </c>
      <c r="S30">
        <f t="shared" si="13"/>
        <v>17</v>
      </c>
      <c r="T30" s="5">
        <f t="shared" si="13"/>
        <v>17</v>
      </c>
      <c r="U30">
        <f>AVERAGE(U2:U29)</f>
        <v>115.11</v>
      </c>
      <c r="V30">
        <f t="shared" ref="V30:Y30" si="14">AVERAGE(V2:V29)</f>
        <v>94.315000000000026</v>
      </c>
      <c r="W30">
        <f t="shared" si="14"/>
        <v>79.657142857142858</v>
      </c>
      <c r="X30">
        <f t="shared" si="14"/>
        <v>64.502142857142857</v>
      </c>
      <c r="Y30" s="5">
        <f t="shared" si="14"/>
        <v>59.797142857142852</v>
      </c>
      <c r="AC30" s="16">
        <f t="shared" ref="AC30" si="15">SUM(AC2:AC29)</f>
        <v>5</v>
      </c>
      <c r="AD30" s="16">
        <f t="shared" ref="AD30" si="16">SUM(AD2:AD29)</f>
        <v>2</v>
      </c>
      <c r="AE30" s="17">
        <f t="shared" ref="AE30" si="17">SUM(AE2:AE29)</f>
        <v>7</v>
      </c>
      <c r="AF30" s="16">
        <f t="shared" ref="AF30" si="18">SUM(AF2:AF29)</f>
        <v>5</v>
      </c>
      <c r="AG30" s="16">
        <f t="shared" ref="AG30" si="19">SUM(AG2:AG29)</f>
        <v>11</v>
      </c>
      <c r="AH30" s="17">
        <f t="shared" ref="AH30" si="20">SUM(AH2:AH29)</f>
        <v>11</v>
      </c>
      <c r="AI30" s="16">
        <f t="shared" ref="AI30" si="21">SUM(AI2:AI29)</f>
        <v>3</v>
      </c>
      <c r="AJ30" s="16">
        <f t="shared" ref="AJ30" si="22">SUM(AJ2:AJ29)</f>
        <v>10</v>
      </c>
      <c r="AK30" s="17">
        <f t="shared" ref="AK30" si="23">SUM(AK2:AK29)</f>
        <v>12</v>
      </c>
      <c r="AL30" s="16">
        <f t="shared" ref="AL30" si="24">SUM(AL2:AL29)</f>
        <v>15</v>
      </c>
      <c r="AM30" s="16">
        <f t="shared" ref="AM30" si="25">SUM(AM2:AM29)</f>
        <v>11</v>
      </c>
      <c r="AN30" s="17">
        <f t="shared" ref="AN30" si="26">SUM(AN2:AN29)</f>
        <v>17</v>
      </c>
      <c r="AO30" s="16">
        <f t="shared" ref="AO30" si="27">SUM(AO2:AO29)</f>
        <v>13</v>
      </c>
      <c r="AP30" s="16">
        <f t="shared" ref="AP30" si="28">SUM(AP2:AP29)</f>
        <v>9</v>
      </c>
      <c r="AQ30" s="17">
        <f t="shared" ref="AQ30" si="29">SUM(AQ2:AQ29)</f>
        <v>16</v>
      </c>
      <c r="AR30" s="16">
        <f t="shared" ref="AR30" si="30">SUM(AR2:AR29)</f>
        <v>6</v>
      </c>
      <c r="AS30" s="16">
        <f t="shared" ref="AS30" si="31">SUM(AS2:AS29)</f>
        <v>12</v>
      </c>
      <c r="AT30" s="17">
        <f t="shared" ref="AT30" si="32">SUM(AT2:AT29)</f>
        <v>12</v>
      </c>
      <c r="AU30" s="16">
        <f>AVERAGE(AU2:AU29)</f>
        <v>82.530999999999992</v>
      </c>
      <c r="AV30" s="16">
        <f t="shared" ref="AV30" si="33">AVERAGE(AV2:AV29)</f>
        <v>58.86</v>
      </c>
      <c r="AW30" s="16">
        <f t="shared" ref="AW30" si="34">AVERAGE(AW2:AW29)</f>
        <v>55.899000000000015</v>
      </c>
      <c r="AX30" s="16">
        <f t="shared" ref="AX30" si="35">AVERAGE(AX2:AX29)</f>
        <v>42.796000000000006</v>
      </c>
      <c r="AY30" s="17">
        <f t="shared" ref="AY30" si="36">AVERAGE(AY2:AY29)</f>
        <v>36.790000000000006</v>
      </c>
    </row>
    <row r="31" spans="1:51">
      <c r="C31" s="16">
        <f t="shared" ref="C31:S31" si="37">100*C30/C33</f>
        <v>35.714285714285715</v>
      </c>
      <c r="D31" s="16">
        <f t="shared" si="37"/>
        <v>25</v>
      </c>
      <c r="E31" s="18">
        <f t="shared" si="37"/>
        <v>42.857142857142854</v>
      </c>
      <c r="F31" s="16">
        <f t="shared" si="37"/>
        <v>10.714285714285714</v>
      </c>
      <c r="G31" s="16">
        <f t="shared" si="37"/>
        <v>21.428571428571427</v>
      </c>
      <c r="H31" s="18">
        <f t="shared" si="37"/>
        <v>28.571428571428573</v>
      </c>
      <c r="I31" s="16">
        <f t="shared" ref="I31:N31" si="38">100*I30/I33</f>
        <v>46.428571428571431</v>
      </c>
      <c r="J31" s="16">
        <f t="shared" si="38"/>
        <v>75</v>
      </c>
      <c r="K31" s="18">
        <f t="shared" si="38"/>
        <v>82.142857142857139</v>
      </c>
      <c r="L31" s="16">
        <f t="shared" si="38"/>
        <v>85.714285714285708</v>
      </c>
      <c r="M31" s="16">
        <f t="shared" si="38"/>
        <v>60.714285714285715</v>
      </c>
      <c r="N31" s="18">
        <f t="shared" si="38"/>
        <v>89.285714285714292</v>
      </c>
      <c r="O31" s="16">
        <f t="shared" si="37"/>
        <v>71.428571428571431</v>
      </c>
      <c r="P31" s="16">
        <f t="shared" si="37"/>
        <v>64.285714285714292</v>
      </c>
      <c r="Q31" s="18">
        <f t="shared" si="37"/>
        <v>78.571428571428569</v>
      </c>
      <c r="R31" s="16">
        <f t="shared" si="37"/>
        <v>42.857142857142854</v>
      </c>
      <c r="S31" s="16">
        <f t="shared" si="37"/>
        <v>60.714285714285715</v>
      </c>
      <c r="T31" s="18">
        <f>100*T30/T33</f>
        <v>60.714285714285715</v>
      </c>
      <c r="U31" s="16">
        <f>_xlfn.STDEV.S(U2:U30)</f>
        <v>10.544201520944377</v>
      </c>
      <c r="V31" s="16">
        <f t="shared" ref="V31:Y31" si="39">_xlfn.STDEV.S(V2:V30)</f>
        <v>25.527006777136982</v>
      </c>
      <c r="W31" s="16">
        <f t="shared" si="39"/>
        <v>36.881807251305474</v>
      </c>
      <c r="X31" s="16">
        <f t="shared" si="39"/>
        <v>36.098573909024516</v>
      </c>
      <c r="Y31" s="18">
        <f t="shared" si="39"/>
        <v>34.003997544106362</v>
      </c>
      <c r="AC31" s="16">
        <f>100*AC30/AC33</f>
        <v>25</v>
      </c>
      <c r="AD31" s="16">
        <f t="shared" ref="AD31:AT31" si="40">100*AD30/AD33</f>
        <v>10</v>
      </c>
      <c r="AE31" s="18">
        <f t="shared" si="40"/>
        <v>35</v>
      </c>
      <c r="AF31" s="16">
        <f t="shared" si="40"/>
        <v>25</v>
      </c>
      <c r="AG31" s="16">
        <f t="shared" si="40"/>
        <v>55</v>
      </c>
      <c r="AH31" s="18">
        <f t="shared" si="40"/>
        <v>55</v>
      </c>
      <c r="AI31" s="16">
        <f t="shared" ref="AI31:AN31" si="41">100*AI30/AI33</f>
        <v>15</v>
      </c>
      <c r="AJ31" s="16">
        <f t="shared" si="41"/>
        <v>50</v>
      </c>
      <c r="AK31" s="18">
        <f t="shared" si="41"/>
        <v>60</v>
      </c>
      <c r="AL31" s="16">
        <f t="shared" si="41"/>
        <v>75</v>
      </c>
      <c r="AM31" s="16">
        <f t="shared" si="41"/>
        <v>55</v>
      </c>
      <c r="AN31" s="18">
        <f t="shared" si="41"/>
        <v>85</v>
      </c>
      <c r="AO31" s="16">
        <f t="shared" si="40"/>
        <v>65</v>
      </c>
      <c r="AP31" s="16">
        <f t="shared" si="40"/>
        <v>45</v>
      </c>
      <c r="AQ31" s="18">
        <f t="shared" si="40"/>
        <v>80</v>
      </c>
      <c r="AR31" s="16">
        <f t="shared" si="40"/>
        <v>30</v>
      </c>
      <c r="AS31" s="16">
        <f t="shared" si="40"/>
        <v>60</v>
      </c>
      <c r="AT31" s="18">
        <f t="shared" si="40"/>
        <v>60</v>
      </c>
      <c r="AU31" s="16">
        <f t="shared" ref="AU31" si="42">_xlfn.STDEV.S(AU2:AU30)</f>
        <v>21.513039278539896</v>
      </c>
      <c r="AV31" s="16">
        <f t="shared" ref="AV31" si="43">_xlfn.STDEV.S(AV2:AV30)</f>
        <v>30.083915968503831</v>
      </c>
      <c r="AW31" s="16">
        <f t="shared" ref="AW31" si="44">_xlfn.STDEV.S(AW2:AW30)</f>
        <v>26.58985406127681</v>
      </c>
      <c r="AX31" s="16">
        <f t="shared" ref="AX31" si="45">_xlfn.STDEV.S(AX2:AX30)</f>
        <v>31.230621895825251</v>
      </c>
      <c r="AY31" s="18">
        <f t="shared" ref="AY31" si="46">_xlfn.STDEV.S(AY2:AY30)</f>
        <v>29.422036299345422</v>
      </c>
    </row>
    <row r="32" spans="1:51">
      <c r="C32" s="16"/>
      <c r="D32" s="16"/>
      <c r="E32" s="18"/>
      <c r="F32" s="16"/>
      <c r="G32" s="16"/>
      <c r="H32" s="18"/>
      <c r="I32" s="16"/>
      <c r="J32" s="16"/>
      <c r="K32" s="18"/>
      <c r="L32" s="16"/>
      <c r="M32" s="16"/>
      <c r="N32" s="18"/>
      <c r="O32" s="16"/>
      <c r="P32" s="16"/>
      <c r="Q32" s="18"/>
      <c r="R32" s="16"/>
      <c r="S32" s="16"/>
      <c r="T32" s="18"/>
      <c r="U32" s="16">
        <f>U31/U33^0.5</f>
        <v>1.9926667855834166</v>
      </c>
      <c r="V32" s="16">
        <f t="shared" ref="V32:Y32" si="47">V31/V33^0.5</f>
        <v>4.8241508320117754</v>
      </c>
      <c r="W32" s="16">
        <f t="shared" si="47"/>
        <v>6.9700064206837844</v>
      </c>
      <c r="X32" s="16">
        <f t="shared" si="47"/>
        <v>6.8219892319545448</v>
      </c>
      <c r="Y32" s="18">
        <f t="shared" si="47"/>
        <v>6.4261515059826086</v>
      </c>
      <c r="AE32" s="6"/>
      <c r="AH32" s="6"/>
      <c r="AK32" s="6"/>
      <c r="AN32" s="6"/>
      <c r="AQ32" s="6"/>
      <c r="AT32" s="6"/>
      <c r="AU32" s="16">
        <f t="shared" ref="AU32" si="48">AU31/AU33^0.5</f>
        <v>4.8104618229438234</v>
      </c>
      <c r="AV32" s="16">
        <f t="shared" ref="AV32" si="49">AV31/AV33^0.5</f>
        <v>6.7269681134965982</v>
      </c>
      <c r="AW32" s="16">
        <f t="shared" ref="AW32" si="50">AW31/AW33^0.5</f>
        <v>5.9456721192813804</v>
      </c>
      <c r="AX32" s="16">
        <f t="shared" ref="AX32" si="51">AX31/AX33^0.5</f>
        <v>6.9833793538658613</v>
      </c>
      <c r="AY32" s="18">
        <f t="shared" ref="AY32" si="52">AY31/AY33^0.5</f>
        <v>6.5789673201802712</v>
      </c>
    </row>
    <row r="33" spans="3:51" ht="15" thickBot="1">
      <c r="C33" s="16">
        <f t="shared" ref="C33:T33" si="53">COUNT(C2:C29)</f>
        <v>28</v>
      </c>
      <c r="D33" s="16">
        <f t="shared" si="53"/>
        <v>28</v>
      </c>
      <c r="E33" s="19">
        <f t="shared" si="53"/>
        <v>28</v>
      </c>
      <c r="F33" s="16">
        <f t="shared" si="53"/>
        <v>28</v>
      </c>
      <c r="G33" s="16">
        <f t="shared" si="53"/>
        <v>28</v>
      </c>
      <c r="H33" s="19">
        <f t="shared" si="53"/>
        <v>28</v>
      </c>
      <c r="I33" s="16">
        <f t="shared" ref="I33:N33" si="54">COUNT(I2:I29)</f>
        <v>28</v>
      </c>
      <c r="J33" s="16">
        <f t="shared" si="54"/>
        <v>28</v>
      </c>
      <c r="K33" s="19">
        <f t="shared" si="54"/>
        <v>28</v>
      </c>
      <c r="L33" s="16">
        <f t="shared" si="54"/>
        <v>28</v>
      </c>
      <c r="M33" s="16">
        <f t="shared" si="54"/>
        <v>28</v>
      </c>
      <c r="N33" s="19">
        <f t="shared" si="54"/>
        <v>28</v>
      </c>
      <c r="O33" s="16">
        <f t="shared" si="53"/>
        <v>28</v>
      </c>
      <c r="P33" s="16">
        <f t="shared" si="53"/>
        <v>28</v>
      </c>
      <c r="Q33" s="19">
        <f t="shared" si="53"/>
        <v>28</v>
      </c>
      <c r="R33" s="16">
        <f t="shared" si="53"/>
        <v>28</v>
      </c>
      <c r="S33" s="16">
        <f t="shared" si="53"/>
        <v>28</v>
      </c>
      <c r="T33" s="19">
        <f t="shared" si="53"/>
        <v>28</v>
      </c>
      <c r="U33" s="16">
        <f>COUNT(U2:U29)</f>
        <v>28</v>
      </c>
      <c r="V33" s="16">
        <f t="shared" ref="V33:Y33" si="55">COUNT(V2:V29)</f>
        <v>28</v>
      </c>
      <c r="W33" s="16">
        <f t="shared" si="55"/>
        <v>28</v>
      </c>
      <c r="X33" s="16">
        <f t="shared" si="55"/>
        <v>28</v>
      </c>
      <c r="Y33" s="19">
        <f t="shared" si="55"/>
        <v>28</v>
      </c>
      <c r="AC33">
        <f t="shared" ref="AC33:AT33" si="56">COUNT(AC2:AC29)</f>
        <v>20</v>
      </c>
      <c r="AD33">
        <f t="shared" si="56"/>
        <v>20</v>
      </c>
      <c r="AE33" s="7">
        <f t="shared" si="56"/>
        <v>20</v>
      </c>
      <c r="AF33">
        <f t="shared" si="56"/>
        <v>20</v>
      </c>
      <c r="AG33">
        <f t="shared" si="56"/>
        <v>20</v>
      </c>
      <c r="AH33" s="7">
        <f t="shared" si="56"/>
        <v>20</v>
      </c>
      <c r="AI33">
        <f t="shared" ref="AI33:AN33" si="57">COUNT(AI2:AI29)</f>
        <v>20</v>
      </c>
      <c r="AJ33">
        <f t="shared" si="57"/>
        <v>20</v>
      </c>
      <c r="AK33" s="7">
        <f t="shared" si="57"/>
        <v>20</v>
      </c>
      <c r="AL33">
        <f t="shared" si="57"/>
        <v>20</v>
      </c>
      <c r="AM33">
        <f t="shared" si="57"/>
        <v>20</v>
      </c>
      <c r="AN33" s="7">
        <f t="shared" si="57"/>
        <v>20</v>
      </c>
      <c r="AO33">
        <f t="shared" si="56"/>
        <v>20</v>
      </c>
      <c r="AP33">
        <f t="shared" si="56"/>
        <v>20</v>
      </c>
      <c r="AQ33" s="7">
        <f t="shared" si="56"/>
        <v>20</v>
      </c>
      <c r="AR33">
        <f t="shared" si="56"/>
        <v>20</v>
      </c>
      <c r="AS33">
        <f t="shared" si="56"/>
        <v>20</v>
      </c>
      <c r="AT33" s="7">
        <f t="shared" si="56"/>
        <v>20</v>
      </c>
      <c r="AU33" s="16">
        <f t="shared" ref="AU33:AY33" si="58">COUNT(AU2:AU29)</f>
        <v>20</v>
      </c>
      <c r="AV33" s="16">
        <f t="shared" si="58"/>
        <v>20</v>
      </c>
      <c r="AW33" s="16">
        <f t="shared" si="58"/>
        <v>20</v>
      </c>
      <c r="AX33" s="16">
        <f t="shared" si="58"/>
        <v>20</v>
      </c>
      <c r="AY33" s="19">
        <f t="shared" si="58"/>
        <v>20</v>
      </c>
    </row>
  </sheetData>
  <phoneticPr fontId="1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E122"/>
  <sheetViews>
    <sheetView tabSelected="1" zoomScale="70" zoomScaleNormal="70" workbookViewId="0">
      <pane xSplit="1" topLeftCell="M1" activePane="topRight" state="frozen"/>
      <selection pane="topRight" activeCell="AI17" sqref="AI17"/>
    </sheetView>
  </sheetViews>
  <sheetFormatPr baseColWidth="10" defaultColWidth="8.83203125" defaultRowHeight="14"/>
  <cols>
    <col min="6" max="23" width="11" bestFit="1" customWidth="1"/>
  </cols>
  <sheetData>
    <row r="1" spans="1:31">
      <c r="A1" s="13" t="s">
        <v>0</v>
      </c>
      <c r="B1" s="13" t="s">
        <v>8</v>
      </c>
      <c r="C1" s="13" t="s">
        <v>1</v>
      </c>
      <c r="D1" s="13" t="s">
        <v>2</v>
      </c>
      <c r="E1" s="14" t="s">
        <v>3</v>
      </c>
      <c r="F1" s="15" t="s">
        <v>106</v>
      </c>
      <c r="G1" s="15" t="s">
        <v>107</v>
      </c>
      <c r="H1" s="14" t="s">
        <v>108</v>
      </c>
      <c r="I1" s="15" t="s">
        <v>103</v>
      </c>
      <c r="J1" s="15" t="s">
        <v>104</v>
      </c>
      <c r="K1" s="14" t="s">
        <v>105</v>
      </c>
      <c r="L1" s="15" t="s">
        <v>100</v>
      </c>
      <c r="M1" s="15" t="s">
        <v>101</v>
      </c>
      <c r="N1" s="14" t="s">
        <v>102</v>
      </c>
      <c r="O1" s="15" t="s">
        <v>109</v>
      </c>
      <c r="P1" s="15" t="s">
        <v>110</v>
      </c>
      <c r="Q1" s="14" t="s">
        <v>111</v>
      </c>
      <c r="R1" s="13" t="s">
        <v>4</v>
      </c>
      <c r="S1" s="13" t="s">
        <v>5</v>
      </c>
      <c r="T1" s="14" t="s">
        <v>6</v>
      </c>
      <c r="U1" s="13" t="s">
        <v>9</v>
      </c>
      <c r="V1" s="13" t="s">
        <v>10</v>
      </c>
      <c r="W1" s="13" t="s">
        <v>11</v>
      </c>
      <c r="X1" s="13" t="s">
        <v>12</v>
      </c>
      <c r="Y1" s="13" t="s">
        <v>7</v>
      </c>
      <c r="AA1" s="13" t="s">
        <v>322</v>
      </c>
      <c r="AB1" s="13" t="s">
        <v>323</v>
      </c>
      <c r="AD1" s="13" t="s">
        <v>322</v>
      </c>
      <c r="AE1" s="13" t="s">
        <v>323</v>
      </c>
    </row>
    <row r="2" spans="1:31">
      <c r="A2" s="12" t="s">
        <v>127</v>
      </c>
      <c r="B2">
        <v>160113</v>
      </c>
      <c r="C2">
        <v>0</v>
      </c>
      <c r="D2">
        <v>0</v>
      </c>
      <c r="E2" s="6">
        <f t="shared" ref="E2:E49" si="0">IF(C2+D2&gt;=1,1,0)</f>
        <v>0</v>
      </c>
      <c r="F2">
        <v>1</v>
      </c>
      <c r="G2">
        <v>1</v>
      </c>
      <c r="H2" s="6">
        <f t="shared" ref="H2:H49" si="1">IF(F2+G2&gt;=1,1,0)</f>
        <v>1</v>
      </c>
      <c r="I2">
        <v>1</v>
      </c>
      <c r="J2">
        <v>1</v>
      </c>
      <c r="K2" s="6">
        <f t="shared" ref="K2:K49" si="2">IF(I2+J2&gt;=1,1,0)</f>
        <v>1</v>
      </c>
      <c r="L2" s="4">
        <v>1</v>
      </c>
      <c r="M2" s="4">
        <v>0</v>
      </c>
      <c r="N2" s="6">
        <f t="shared" ref="N2:N49" si="3">IF(L2+M2&gt;=1,1,0)</f>
        <v>1</v>
      </c>
      <c r="O2">
        <v>0</v>
      </c>
      <c r="P2">
        <v>0</v>
      </c>
      <c r="Q2" s="6">
        <f t="shared" ref="Q2:Q49" si="4">IF(O2+P2&gt;=1,1,0)</f>
        <v>0</v>
      </c>
      <c r="R2" s="4">
        <v>0</v>
      </c>
      <c r="S2">
        <v>1</v>
      </c>
      <c r="T2" s="6">
        <f t="shared" ref="T2:T49" si="5">IF(R2+S2&gt;=1,1,0)</f>
        <v>1</v>
      </c>
      <c r="U2">
        <v>120</v>
      </c>
      <c r="V2">
        <v>96.8</v>
      </c>
      <c r="W2">
        <v>120</v>
      </c>
      <c r="X2">
        <v>120</v>
      </c>
      <c r="Y2">
        <v>120</v>
      </c>
      <c r="AA2" s="1">
        <v>78</v>
      </c>
      <c r="AB2">
        <v>96.8</v>
      </c>
      <c r="AD2" s="1">
        <v>104.8</v>
      </c>
      <c r="AE2">
        <v>120</v>
      </c>
    </row>
    <row r="3" spans="1:31">
      <c r="A3" s="12" t="s">
        <v>128</v>
      </c>
      <c r="B3">
        <v>160113</v>
      </c>
      <c r="C3">
        <v>0</v>
      </c>
      <c r="D3">
        <v>0</v>
      </c>
      <c r="E3" s="6">
        <f t="shared" si="0"/>
        <v>0</v>
      </c>
      <c r="F3">
        <v>0</v>
      </c>
      <c r="G3">
        <v>0</v>
      </c>
      <c r="H3" s="6">
        <f t="shared" si="1"/>
        <v>0</v>
      </c>
      <c r="I3">
        <v>0</v>
      </c>
      <c r="J3">
        <v>0</v>
      </c>
      <c r="K3" s="6">
        <f t="shared" si="2"/>
        <v>0</v>
      </c>
      <c r="L3" s="4">
        <v>1</v>
      </c>
      <c r="M3" s="4">
        <v>1</v>
      </c>
      <c r="N3" s="6">
        <f t="shared" si="3"/>
        <v>1</v>
      </c>
      <c r="O3">
        <v>0</v>
      </c>
      <c r="P3">
        <v>0</v>
      </c>
      <c r="Q3" s="6">
        <f t="shared" si="4"/>
        <v>0</v>
      </c>
      <c r="R3" s="4">
        <v>1</v>
      </c>
      <c r="S3" s="4">
        <v>1</v>
      </c>
      <c r="T3" s="6">
        <f t="shared" si="5"/>
        <v>1</v>
      </c>
      <c r="U3">
        <v>103.5</v>
      </c>
      <c r="V3">
        <v>120</v>
      </c>
      <c r="W3">
        <v>90.740000000000009</v>
      </c>
      <c r="X3">
        <v>93.8</v>
      </c>
      <c r="Y3">
        <v>60.959999999999994</v>
      </c>
      <c r="AA3" s="1">
        <v>73.14</v>
      </c>
      <c r="AB3">
        <v>120</v>
      </c>
      <c r="AD3" s="1">
        <v>41.1</v>
      </c>
      <c r="AE3">
        <v>60.959999999999994</v>
      </c>
    </row>
    <row r="4" spans="1:31">
      <c r="A4" s="12" t="s">
        <v>129</v>
      </c>
      <c r="B4">
        <v>160113</v>
      </c>
      <c r="C4">
        <v>0</v>
      </c>
      <c r="D4">
        <v>0</v>
      </c>
      <c r="E4" s="6">
        <f t="shared" si="0"/>
        <v>0</v>
      </c>
      <c r="F4">
        <v>0</v>
      </c>
      <c r="G4">
        <v>0</v>
      </c>
      <c r="H4" s="6">
        <f t="shared" si="1"/>
        <v>0</v>
      </c>
      <c r="I4">
        <v>0</v>
      </c>
      <c r="J4">
        <v>0</v>
      </c>
      <c r="K4" s="6">
        <f t="shared" si="2"/>
        <v>0</v>
      </c>
      <c r="L4" s="4">
        <v>1</v>
      </c>
      <c r="M4" s="4">
        <v>1</v>
      </c>
      <c r="N4" s="6">
        <f t="shared" si="3"/>
        <v>1</v>
      </c>
      <c r="O4">
        <v>0</v>
      </c>
      <c r="P4">
        <v>0</v>
      </c>
      <c r="Q4" s="6">
        <f t="shared" si="4"/>
        <v>0</v>
      </c>
      <c r="R4" s="4">
        <v>1</v>
      </c>
      <c r="S4" s="4">
        <v>1</v>
      </c>
      <c r="T4" s="6">
        <f t="shared" si="5"/>
        <v>1</v>
      </c>
      <c r="U4" s="1">
        <v>88.66</v>
      </c>
      <c r="V4" s="1">
        <v>65.900000000000006</v>
      </c>
      <c r="W4" s="1">
        <v>18.68</v>
      </c>
      <c r="X4" s="1">
        <v>21.759999999999998</v>
      </c>
      <c r="Y4" s="1">
        <v>11.58</v>
      </c>
      <c r="AA4" s="2">
        <v>15</v>
      </c>
      <c r="AB4" s="1">
        <v>65.900000000000006</v>
      </c>
      <c r="AD4" s="2">
        <v>55.2</v>
      </c>
      <c r="AE4" s="1">
        <v>11.58</v>
      </c>
    </row>
    <row r="5" spans="1:31">
      <c r="A5" s="12" t="s">
        <v>130</v>
      </c>
      <c r="B5">
        <v>160113</v>
      </c>
      <c r="C5">
        <v>0</v>
      </c>
      <c r="D5">
        <v>0</v>
      </c>
      <c r="E5" s="6">
        <f t="shared" si="0"/>
        <v>0</v>
      </c>
      <c r="F5">
        <v>0</v>
      </c>
      <c r="G5">
        <v>1</v>
      </c>
      <c r="H5" s="6">
        <f t="shared" si="1"/>
        <v>1</v>
      </c>
      <c r="I5">
        <v>0</v>
      </c>
      <c r="J5">
        <v>0</v>
      </c>
      <c r="K5" s="6">
        <f t="shared" si="2"/>
        <v>0</v>
      </c>
      <c r="L5" s="4">
        <v>1</v>
      </c>
      <c r="M5" s="4">
        <v>1</v>
      </c>
      <c r="N5" s="6">
        <f t="shared" si="3"/>
        <v>1</v>
      </c>
      <c r="O5">
        <v>0</v>
      </c>
      <c r="P5">
        <v>0</v>
      </c>
      <c r="Q5" s="6">
        <f t="shared" si="4"/>
        <v>0</v>
      </c>
      <c r="R5" s="4">
        <v>1</v>
      </c>
      <c r="S5" s="4">
        <v>1</v>
      </c>
      <c r="T5" s="6">
        <f t="shared" si="5"/>
        <v>1</v>
      </c>
      <c r="U5">
        <v>120</v>
      </c>
      <c r="V5">
        <v>81</v>
      </c>
      <c r="W5">
        <v>109.6</v>
      </c>
      <c r="X5">
        <v>40</v>
      </c>
      <c r="Y5">
        <v>48.6</v>
      </c>
      <c r="AA5" s="1">
        <v>100.2</v>
      </c>
      <c r="AB5">
        <v>81</v>
      </c>
      <c r="AD5" s="1">
        <v>10.6</v>
      </c>
      <c r="AE5">
        <v>48.6</v>
      </c>
    </row>
    <row r="6" spans="1:31">
      <c r="A6" s="12" t="s">
        <v>131</v>
      </c>
      <c r="B6">
        <v>160314</v>
      </c>
      <c r="C6">
        <v>1</v>
      </c>
      <c r="D6">
        <v>0</v>
      </c>
      <c r="E6" s="6">
        <f t="shared" si="0"/>
        <v>1</v>
      </c>
      <c r="F6">
        <v>0</v>
      </c>
      <c r="G6">
        <v>0</v>
      </c>
      <c r="H6" s="6">
        <f t="shared" si="1"/>
        <v>0</v>
      </c>
      <c r="I6">
        <v>0</v>
      </c>
      <c r="J6">
        <v>1</v>
      </c>
      <c r="K6" s="6">
        <f t="shared" si="2"/>
        <v>1</v>
      </c>
      <c r="L6" s="4">
        <v>1</v>
      </c>
      <c r="M6" s="4">
        <v>1</v>
      </c>
      <c r="N6" s="6">
        <f t="shared" si="3"/>
        <v>1</v>
      </c>
      <c r="O6">
        <v>0</v>
      </c>
      <c r="P6">
        <v>1</v>
      </c>
      <c r="Q6" s="6">
        <f t="shared" si="4"/>
        <v>1</v>
      </c>
      <c r="R6" s="4">
        <v>0</v>
      </c>
      <c r="S6" s="4">
        <v>0</v>
      </c>
      <c r="T6" s="6">
        <f t="shared" si="5"/>
        <v>0</v>
      </c>
      <c r="U6">
        <v>109.3</v>
      </c>
      <c r="V6">
        <v>59.98</v>
      </c>
      <c r="W6">
        <v>26.72</v>
      </c>
      <c r="X6">
        <v>20.22</v>
      </c>
      <c r="Y6">
        <v>40.879999999999995</v>
      </c>
      <c r="AA6" s="1">
        <v>77.8</v>
      </c>
      <c r="AB6">
        <v>59.98</v>
      </c>
      <c r="AD6" s="1">
        <v>60</v>
      </c>
      <c r="AE6">
        <v>40.879999999999995</v>
      </c>
    </row>
    <row r="7" spans="1:31">
      <c r="A7" s="12" t="s">
        <v>132</v>
      </c>
      <c r="B7">
        <v>160314</v>
      </c>
      <c r="C7">
        <v>1</v>
      </c>
      <c r="D7">
        <v>0</v>
      </c>
      <c r="E7" s="6">
        <f t="shared" si="0"/>
        <v>1</v>
      </c>
      <c r="F7">
        <v>0</v>
      </c>
      <c r="G7">
        <v>0</v>
      </c>
      <c r="H7" s="6">
        <f t="shared" si="1"/>
        <v>0</v>
      </c>
      <c r="I7">
        <v>1</v>
      </c>
      <c r="J7">
        <v>0</v>
      </c>
      <c r="K7" s="6">
        <f t="shared" si="2"/>
        <v>1</v>
      </c>
      <c r="L7" s="4">
        <v>1</v>
      </c>
      <c r="M7" s="4">
        <v>1</v>
      </c>
      <c r="N7" s="6">
        <f t="shared" si="3"/>
        <v>1</v>
      </c>
      <c r="O7">
        <v>1</v>
      </c>
      <c r="P7">
        <v>0</v>
      </c>
      <c r="Q7" s="6">
        <f t="shared" si="4"/>
        <v>1</v>
      </c>
      <c r="R7" s="4">
        <v>0</v>
      </c>
      <c r="S7" s="4">
        <v>0</v>
      </c>
      <c r="T7" s="6">
        <f t="shared" si="5"/>
        <v>0</v>
      </c>
      <c r="U7">
        <v>101.22</v>
      </c>
      <c r="V7">
        <v>65.08</v>
      </c>
      <c r="W7">
        <v>52.580000000000005</v>
      </c>
      <c r="X7">
        <v>32.26</v>
      </c>
      <c r="Y7">
        <v>65.28</v>
      </c>
      <c r="AA7" s="1">
        <v>69.2</v>
      </c>
      <c r="AB7">
        <v>65.08</v>
      </c>
      <c r="AD7" s="1">
        <v>29.8</v>
      </c>
      <c r="AE7">
        <v>65.28</v>
      </c>
    </row>
    <row r="8" spans="1:31">
      <c r="A8" s="12" t="s">
        <v>133</v>
      </c>
      <c r="B8">
        <v>160314</v>
      </c>
      <c r="C8">
        <v>1</v>
      </c>
      <c r="D8">
        <v>1</v>
      </c>
      <c r="E8" s="6">
        <f t="shared" si="0"/>
        <v>1</v>
      </c>
      <c r="F8">
        <v>0</v>
      </c>
      <c r="G8">
        <v>0</v>
      </c>
      <c r="H8" s="6">
        <f t="shared" si="1"/>
        <v>0</v>
      </c>
      <c r="I8">
        <v>0</v>
      </c>
      <c r="J8">
        <v>1</v>
      </c>
      <c r="K8" s="6">
        <f t="shared" si="2"/>
        <v>1</v>
      </c>
      <c r="L8" s="4">
        <v>1</v>
      </c>
      <c r="M8" s="4">
        <v>1</v>
      </c>
      <c r="N8" s="6">
        <f t="shared" si="3"/>
        <v>1</v>
      </c>
      <c r="O8">
        <v>1</v>
      </c>
      <c r="P8">
        <v>1</v>
      </c>
      <c r="Q8" s="6">
        <f t="shared" si="4"/>
        <v>1</v>
      </c>
      <c r="R8" s="4">
        <v>0</v>
      </c>
      <c r="S8" s="4">
        <v>0</v>
      </c>
      <c r="T8" s="6">
        <f t="shared" si="5"/>
        <v>0</v>
      </c>
      <c r="U8" s="1">
        <v>120</v>
      </c>
      <c r="V8" s="1">
        <v>63.2</v>
      </c>
      <c r="W8" s="1">
        <v>17.600000000000001</v>
      </c>
      <c r="X8" s="1">
        <v>47.6</v>
      </c>
      <c r="Y8" s="1">
        <v>49.6</v>
      </c>
      <c r="AA8" s="1">
        <v>96.14</v>
      </c>
      <c r="AB8" s="1">
        <v>63.2</v>
      </c>
      <c r="AD8" s="1">
        <v>34.96</v>
      </c>
      <c r="AE8" s="1">
        <v>49.6</v>
      </c>
    </row>
    <row r="9" spans="1:31">
      <c r="A9" s="12" t="s">
        <v>134</v>
      </c>
      <c r="B9">
        <v>160425</v>
      </c>
      <c r="C9">
        <v>1</v>
      </c>
      <c r="D9">
        <v>1</v>
      </c>
      <c r="E9" s="6">
        <f t="shared" si="0"/>
        <v>1</v>
      </c>
      <c r="F9">
        <v>0</v>
      </c>
      <c r="G9">
        <v>0</v>
      </c>
      <c r="H9" s="6">
        <f t="shared" si="1"/>
        <v>0</v>
      </c>
      <c r="I9">
        <v>0</v>
      </c>
      <c r="J9">
        <v>1</v>
      </c>
      <c r="K9" s="6">
        <f t="shared" si="2"/>
        <v>1</v>
      </c>
      <c r="L9" s="4">
        <v>1</v>
      </c>
      <c r="M9" s="4">
        <v>0</v>
      </c>
      <c r="N9" s="6">
        <f t="shared" si="3"/>
        <v>1</v>
      </c>
      <c r="O9">
        <v>1</v>
      </c>
      <c r="P9">
        <v>1</v>
      </c>
      <c r="Q9" s="6">
        <f t="shared" si="4"/>
        <v>1</v>
      </c>
      <c r="R9" s="4">
        <v>1</v>
      </c>
      <c r="S9" s="4">
        <v>1</v>
      </c>
      <c r="T9" s="6">
        <f t="shared" si="5"/>
        <v>1</v>
      </c>
      <c r="U9">
        <v>120</v>
      </c>
      <c r="V9">
        <v>55.2</v>
      </c>
      <c r="W9">
        <v>25.2</v>
      </c>
      <c r="X9">
        <v>42.2</v>
      </c>
      <c r="Y9">
        <v>47</v>
      </c>
      <c r="AA9" s="1">
        <v>101.86</v>
      </c>
      <c r="AB9">
        <v>55.2</v>
      </c>
      <c r="AD9" s="1">
        <v>21.699999999999996</v>
      </c>
      <c r="AE9">
        <v>47</v>
      </c>
    </row>
    <row r="10" spans="1:31">
      <c r="A10" s="12" t="s">
        <v>135</v>
      </c>
      <c r="B10">
        <v>160425</v>
      </c>
      <c r="C10">
        <v>1</v>
      </c>
      <c r="D10">
        <v>0</v>
      </c>
      <c r="E10" s="6">
        <f t="shared" si="0"/>
        <v>1</v>
      </c>
      <c r="F10">
        <v>0</v>
      </c>
      <c r="G10">
        <v>0</v>
      </c>
      <c r="H10" s="6">
        <f t="shared" si="1"/>
        <v>0</v>
      </c>
      <c r="I10">
        <v>0</v>
      </c>
      <c r="J10">
        <v>0</v>
      </c>
      <c r="K10" s="6">
        <f t="shared" si="2"/>
        <v>0</v>
      </c>
      <c r="L10" s="4">
        <v>1</v>
      </c>
      <c r="M10" s="4">
        <v>1</v>
      </c>
      <c r="N10" s="6">
        <f t="shared" si="3"/>
        <v>1</v>
      </c>
      <c r="O10">
        <v>1</v>
      </c>
      <c r="P10">
        <v>1</v>
      </c>
      <c r="Q10" s="6">
        <f t="shared" si="4"/>
        <v>1</v>
      </c>
      <c r="R10" s="4">
        <v>1</v>
      </c>
      <c r="S10" s="4">
        <v>1</v>
      </c>
      <c r="T10" s="6">
        <f t="shared" si="5"/>
        <v>1</v>
      </c>
      <c r="U10" s="1">
        <v>120</v>
      </c>
      <c r="V10" s="1">
        <v>98.4</v>
      </c>
      <c r="W10" s="1">
        <v>120</v>
      </c>
      <c r="X10" s="1">
        <v>111.2</v>
      </c>
      <c r="Y10" s="1">
        <v>85.8</v>
      </c>
      <c r="AA10" s="1">
        <v>76.960000000000008</v>
      </c>
      <c r="AB10" s="1">
        <v>98.4</v>
      </c>
      <c r="AD10" s="1">
        <v>23.98</v>
      </c>
      <c r="AE10" s="1">
        <v>85.8</v>
      </c>
    </row>
    <row r="11" spans="1:31">
      <c r="A11" s="12" t="s">
        <v>24</v>
      </c>
      <c r="B11">
        <v>160425</v>
      </c>
      <c r="C11">
        <v>0</v>
      </c>
      <c r="D11">
        <v>1</v>
      </c>
      <c r="E11" s="6">
        <f t="shared" si="0"/>
        <v>1</v>
      </c>
      <c r="F11">
        <v>0</v>
      </c>
      <c r="G11">
        <v>0</v>
      </c>
      <c r="H11" s="6">
        <f t="shared" si="1"/>
        <v>0</v>
      </c>
      <c r="I11">
        <v>0</v>
      </c>
      <c r="J11">
        <v>1</v>
      </c>
      <c r="K11" s="6">
        <f t="shared" si="2"/>
        <v>1</v>
      </c>
      <c r="L11" s="4">
        <v>1</v>
      </c>
      <c r="M11" s="4">
        <v>1</v>
      </c>
      <c r="N11" s="6">
        <f t="shared" si="3"/>
        <v>1</v>
      </c>
      <c r="O11">
        <v>1</v>
      </c>
      <c r="P11">
        <v>1</v>
      </c>
      <c r="Q11" s="6">
        <f t="shared" si="4"/>
        <v>1</v>
      </c>
      <c r="R11" s="4">
        <v>1</v>
      </c>
      <c r="S11" s="4">
        <v>1</v>
      </c>
      <c r="T11" s="6">
        <f t="shared" si="5"/>
        <v>1</v>
      </c>
      <c r="U11">
        <v>116</v>
      </c>
      <c r="V11">
        <v>82.8</v>
      </c>
      <c r="W11">
        <v>97.6</v>
      </c>
      <c r="X11">
        <v>55.8</v>
      </c>
      <c r="Y11">
        <v>42.8</v>
      </c>
      <c r="AA11" s="1">
        <v>97.47999999999999</v>
      </c>
      <c r="AB11">
        <v>82.8</v>
      </c>
      <c r="AD11" s="1">
        <v>120</v>
      </c>
      <c r="AE11">
        <v>42.8</v>
      </c>
    </row>
    <row r="12" spans="1:31">
      <c r="A12" s="12" t="s">
        <v>25</v>
      </c>
      <c r="B12">
        <v>160425</v>
      </c>
      <c r="C12">
        <v>0</v>
      </c>
      <c r="D12">
        <v>0</v>
      </c>
      <c r="E12" s="6">
        <f t="shared" si="0"/>
        <v>0</v>
      </c>
      <c r="F12">
        <v>0</v>
      </c>
      <c r="G12">
        <v>1</v>
      </c>
      <c r="H12" s="6">
        <f t="shared" si="1"/>
        <v>1</v>
      </c>
      <c r="I12">
        <v>0</v>
      </c>
      <c r="J12">
        <v>1</v>
      </c>
      <c r="K12" s="6">
        <f t="shared" si="2"/>
        <v>1</v>
      </c>
      <c r="L12" s="4">
        <v>1</v>
      </c>
      <c r="M12" s="4">
        <v>1</v>
      </c>
      <c r="N12" s="6">
        <f t="shared" si="3"/>
        <v>1</v>
      </c>
      <c r="O12">
        <v>0</v>
      </c>
      <c r="P12">
        <v>0</v>
      </c>
      <c r="Q12" s="6">
        <f t="shared" si="4"/>
        <v>0</v>
      </c>
      <c r="R12" s="4">
        <v>1</v>
      </c>
      <c r="S12" s="4">
        <v>1</v>
      </c>
      <c r="T12" s="6">
        <f t="shared" si="5"/>
        <v>1</v>
      </c>
      <c r="U12" s="1">
        <v>120</v>
      </c>
      <c r="V12" s="1">
        <v>120</v>
      </c>
      <c r="W12" s="1">
        <v>97.8</v>
      </c>
      <c r="X12" s="1">
        <v>65.2</v>
      </c>
      <c r="Y12" s="1">
        <v>12.6</v>
      </c>
      <c r="AA12" s="1">
        <v>37.200000000000003</v>
      </c>
      <c r="AB12" s="1">
        <v>120</v>
      </c>
      <c r="AD12" s="1">
        <v>13.2</v>
      </c>
      <c r="AE12" s="1">
        <v>12.6</v>
      </c>
    </row>
    <row r="13" spans="1:31">
      <c r="A13" s="12" t="s">
        <v>26</v>
      </c>
      <c r="B13">
        <v>160801</v>
      </c>
      <c r="C13">
        <v>0</v>
      </c>
      <c r="D13">
        <v>0</v>
      </c>
      <c r="E13" s="6">
        <f t="shared" si="0"/>
        <v>0</v>
      </c>
      <c r="F13">
        <v>0</v>
      </c>
      <c r="G13">
        <v>0</v>
      </c>
      <c r="H13" s="6">
        <f t="shared" si="1"/>
        <v>0</v>
      </c>
      <c r="I13">
        <v>1</v>
      </c>
      <c r="J13">
        <v>1</v>
      </c>
      <c r="K13" s="6">
        <f t="shared" si="2"/>
        <v>1</v>
      </c>
      <c r="L13" s="4">
        <v>1</v>
      </c>
      <c r="M13" s="4">
        <v>0</v>
      </c>
      <c r="N13" s="6">
        <f t="shared" si="3"/>
        <v>1</v>
      </c>
      <c r="O13">
        <v>1</v>
      </c>
      <c r="P13">
        <v>1</v>
      </c>
      <c r="Q13" s="6">
        <f t="shared" si="4"/>
        <v>1</v>
      </c>
      <c r="R13" s="4">
        <v>0</v>
      </c>
      <c r="S13" s="4">
        <v>1</v>
      </c>
      <c r="T13" s="6">
        <f t="shared" si="5"/>
        <v>1</v>
      </c>
      <c r="U13" s="1">
        <v>120</v>
      </c>
      <c r="V13" s="1">
        <v>120</v>
      </c>
      <c r="W13" s="1">
        <v>120</v>
      </c>
      <c r="X13" s="1">
        <v>120</v>
      </c>
      <c r="Y13" s="1">
        <v>115.6</v>
      </c>
      <c r="AA13" s="1">
        <v>17.8</v>
      </c>
      <c r="AB13" s="1">
        <v>120</v>
      </c>
      <c r="AD13" s="1">
        <v>10.4</v>
      </c>
      <c r="AE13" s="1">
        <v>115.6</v>
      </c>
    </row>
    <row r="14" spans="1:31">
      <c r="A14" s="12" t="s">
        <v>27</v>
      </c>
      <c r="B14">
        <v>160801</v>
      </c>
      <c r="C14">
        <v>1</v>
      </c>
      <c r="D14">
        <v>1</v>
      </c>
      <c r="E14" s="6">
        <f t="shared" si="0"/>
        <v>1</v>
      </c>
      <c r="F14">
        <v>0</v>
      </c>
      <c r="G14">
        <v>1</v>
      </c>
      <c r="H14" s="6">
        <f t="shared" si="1"/>
        <v>1</v>
      </c>
      <c r="I14">
        <v>0</v>
      </c>
      <c r="J14">
        <v>1</v>
      </c>
      <c r="K14" s="6">
        <f t="shared" si="2"/>
        <v>1</v>
      </c>
      <c r="L14" s="4">
        <v>0</v>
      </c>
      <c r="M14" s="4">
        <v>0</v>
      </c>
      <c r="N14" s="6">
        <f t="shared" si="3"/>
        <v>0</v>
      </c>
      <c r="O14">
        <v>1</v>
      </c>
      <c r="P14">
        <v>1</v>
      </c>
      <c r="Q14" s="6">
        <f t="shared" si="4"/>
        <v>1</v>
      </c>
      <c r="R14" s="4">
        <v>0</v>
      </c>
      <c r="S14" s="4">
        <v>0</v>
      </c>
      <c r="T14" s="6">
        <f t="shared" si="5"/>
        <v>0</v>
      </c>
      <c r="U14" s="1">
        <v>120</v>
      </c>
      <c r="V14" s="1">
        <v>109.6</v>
      </c>
      <c r="W14" s="1">
        <v>120</v>
      </c>
      <c r="X14" s="1">
        <v>77</v>
      </c>
      <c r="Y14" s="1">
        <v>79.8</v>
      </c>
      <c r="AA14" s="1">
        <v>21.619999999999997</v>
      </c>
      <c r="AB14" s="1">
        <v>109.6</v>
      </c>
      <c r="AD14" s="1">
        <v>9.36</v>
      </c>
      <c r="AE14" s="1">
        <v>79.8</v>
      </c>
    </row>
    <row r="15" spans="1:31">
      <c r="A15" s="12" t="s">
        <v>28</v>
      </c>
      <c r="B15">
        <v>160801</v>
      </c>
      <c r="C15">
        <v>0</v>
      </c>
      <c r="D15">
        <v>0</v>
      </c>
      <c r="E15" s="6">
        <f t="shared" si="0"/>
        <v>0</v>
      </c>
      <c r="F15">
        <v>1</v>
      </c>
      <c r="G15">
        <v>0</v>
      </c>
      <c r="H15" s="6">
        <f t="shared" si="1"/>
        <v>1</v>
      </c>
      <c r="I15">
        <v>0</v>
      </c>
      <c r="J15">
        <v>1</v>
      </c>
      <c r="K15" s="6">
        <f t="shared" si="2"/>
        <v>1</v>
      </c>
      <c r="L15" s="4">
        <v>1</v>
      </c>
      <c r="M15" s="4">
        <v>1</v>
      </c>
      <c r="N15" s="6">
        <f t="shared" si="3"/>
        <v>1</v>
      </c>
      <c r="O15">
        <v>1</v>
      </c>
      <c r="P15">
        <v>1</v>
      </c>
      <c r="Q15" s="6">
        <f t="shared" si="4"/>
        <v>1</v>
      </c>
      <c r="R15" s="4">
        <v>0</v>
      </c>
      <c r="S15">
        <v>1</v>
      </c>
      <c r="T15" s="6">
        <f t="shared" si="5"/>
        <v>1</v>
      </c>
      <c r="U15" s="1">
        <v>120</v>
      </c>
      <c r="V15" s="1">
        <v>83.2</v>
      </c>
      <c r="W15" s="1">
        <v>79.599999999999994</v>
      </c>
      <c r="X15" s="1">
        <v>23.4</v>
      </c>
      <c r="Y15" s="1">
        <v>18.8</v>
      </c>
      <c r="AA15" s="1">
        <v>28.080000000000002</v>
      </c>
      <c r="AB15" s="1">
        <v>83.2</v>
      </c>
      <c r="AD15" s="1">
        <v>25.119999999999997</v>
      </c>
      <c r="AE15" s="1">
        <v>18.8</v>
      </c>
    </row>
    <row r="16" spans="1:31">
      <c r="A16" s="12" t="s">
        <v>29</v>
      </c>
      <c r="B16">
        <v>160801</v>
      </c>
      <c r="C16">
        <v>1</v>
      </c>
      <c r="D16">
        <v>1</v>
      </c>
      <c r="E16" s="6">
        <f t="shared" si="0"/>
        <v>1</v>
      </c>
      <c r="F16">
        <v>0</v>
      </c>
      <c r="G16">
        <v>0</v>
      </c>
      <c r="H16" s="6">
        <f t="shared" si="1"/>
        <v>0</v>
      </c>
      <c r="I16">
        <v>1</v>
      </c>
      <c r="J16">
        <v>1</v>
      </c>
      <c r="K16" s="6">
        <f t="shared" si="2"/>
        <v>1</v>
      </c>
      <c r="L16" s="4">
        <v>1</v>
      </c>
      <c r="M16" s="4">
        <v>1</v>
      </c>
      <c r="N16" s="6">
        <f t="shared" si="3"/>
        <v>1</v>
      </c>
      <c r="O16">
        <v>1</v>
      </c>
      <c r="P16">
        <v>1</v>
      </c>
      <c r="Q16" s="6">
        <f t="shared" si="4"/>
        <v>1</v>
      </c>
      <c r="R16" s="4">
        <v>0</v>
      </c>
      <c r="S16" s="4">
        <v>0</v>
      </c>
      <c r="T16" s="6">
        <f t="shared" si="5"/>
        <v>0</v>
      </c>
      <c r="U16" s="1">
        <v>120</v>
      </c>
      <c r="V16" s="1">
        <v>113</v>
      </c>
      <c r="W16" s="1">
        <v>104.8</v>
      </c>
      <c r="X16" s="1">
        <v>40.799999999999997</v>
      </c>
      <c r="Y16" s="1">
        <v>55</v>
      </c>
      <c r="AA16" s="1">
        <v>59.519999999999996</v>
      </c>
      <c r="AB16" s="1">
        <v>113</v>
      </c>
      <c r="AD16" s="1">
        <v>8.98</v>
      </c>
      <c r="AE16" s="1">
        <v>55</v>
      </c>
    </row>
    <row r="17" spans="1:31">
      <c r="A17" s="12" t="s">
        <v>30</v>
      </c>
      <c r="B17">
        <v>161031</v>
      </c>
      <c r="C17">
        <v>0</v>
      </c>
      <c r="D17">
        <v>0</v>
      </c>
      <c r="E17" s="6">
        <f t="shared" si="0"/>
        <v>0</v>
      </c>
      <c r="F17">
        <v>0</v>
      </c>
      <c r="G17">
        <v>0</v>
      </c>
      <c r="H17" s="6">
        <f t="shared" si="1"/>
        <v>0</v>
      </c>
      <c r="I17">
        <v>1</v>
      </c>
      <c r="J17">
        <v>1</v>
      </c>
      <c r="K17" s="6">
        <f t="shared" si="2"/>
        <v>1</v>
      </c>
      <c r="L17" s="4">
        <v>1</v>
      </c>
      <c r="M17" s="4">
        <v>1</v>
      </c>
      <c r="N17" s="6">
        <f t="shared" si="3"/>
        <v>1</v>
      </c>
      <c r="O17">
        <v>1</v>
      </c>
      <c r="P17">
        <v>0</v>
      </c>
      <c r="Q17" s="6">
        <f t="shared" si="4"/>
        <v>1</v>
      </c>
      <c r="R17" s="4">
        <v>1</v>
      </c>
      <c r="S17" s="4">
        <v>1</v>
      </c>
      <c r="T17" s="6">
        <f t="shared" si="5"/>
        <v>1</v>
      </c>
      <c r="U17">
        <v>120</v>
      </c>
      <c r="V17">
        <v>66</v>
      </c>
      <c r="W17">
        <v>13.2</v>
      </c>
      <c r="X17">
        <v>11.8</v>
      </c>
      <c r="Y17">
        <v>17.8</v>
      </c>
      <c r="AA17">
        <v>73.599999999999994</v>
      </c>
      <c r="AB17">
        <v>66</v>
      </c>
      <c r="AD17">
        <v>40.4</v>
      </c>
      <c r="AE17">
        <v>17.8</v>
      </c>
    </row>
    <row r="18" spans="1:31">
      <c r="A18" s="12" t="s">
        <v>31</v>
      </c>
      <c r="B18">
        <v>161031</v>
      </c>
      <c r="C18">
        <v>0</v>
      </c>
      <c r="D18">
        <v>1</v>
      </c>
      <c r="E18" s="6">
        <f t="shared" si="0"/>
        <v>1</v>
      </c>
      <c r="F18">
        <v>0</v>
      </c>
      <c r="G18">
        <v>0</v>
      </c>
      <c r="H18" s="6">
        <f t="shared" si="1"/>
        <v>0</v>
      </c>
      <c r="I18">
        <v>1</v>
      </c>
      <c r="J18">
        <v>1</v>
      </c>
      <c r="K18" s="6">
        <f t="shared" si="2"/>
        <v>1</v>
      </c>
      <c r="L18" s="4">
        <v>1</v>
      </c>
      <c r="M18" s="4">
        <v>1</v>
      </c>
      <c r="N18" s="6">
        <f t="shared" si="3"/>
        <v>1</v>
      </c>
      <c r="O18">
        <v>1</v>
      </c>
      <c r="P18">
        <v>1</v>
      </c>
      <c r="Q18" s="6">
        <f t="shared" si="4"/>
        <v>1</v>
      </c>
      <c r="R18" s="4">
        <v>0</v>
      </c>
      <c r="S18" s="4">
        <v>0</v>
      </c>
      <c r="T18" s="6">
        <f t="shared" si="5"/>
        <v>0</v>
      </c>
      <c r="U18">
        <v>120</v>
      </c>
      <c r="V18">
        <v>120</v>
      </c>
      <c r="W18">
        <v>97.4</v>
      </c>
      <c r="X18">
        <v>100</v>
      </c>
      <c r="Y18">
        <v>101.4</v>
      </c>
      <c r="AA18">
        <v>18.399999999999999</v>
      </c>
      <c r="AB18">
        <v>120</v>
      </c>
      <c r="AD18">
        <v>17.2</v>
      </c>
      <c r="AE18">
        <v>101.4</v>
      </c>
    </row>
    <row r="19" spans="1:31">
      <c r="A19" s="12" t="s">
        <v>32</v>
      </c>
      <c r="B19">
        <v>161031</v>
      </c>
      <c r="C19">
        <v>0</v>
      </c>
      <c r="D19">
        <v>0</v>
      </c>
      <c r="E19" s="6">
        <f t="shared" si="0"/>
        <v>0</v>
      </c>
      <c r="F19">
        <v>0</v>
      </c>
      <c r="G19">
        <v>1</v>
      </c>
      <c r="H19" s="6">
        <f t="shared" si="1"/>
        <v>1</v>
      </c>
      <c r="I19">
        <v>1</v>
      </c>
      <c r="J19">
        <v>0</v>
      </c>
      <c r="K19" s="6">
        <f t="shared" si="2"/>
        <v>1</v>
      </c>
      <c r="L19" s="4">
        <v>1</v>
      </c>
      <c r="M19" s="4">
        <v>0</v>
      </c>
      <c r="N19" s="6">
        <f t="shared" si="3"/>
        <v>1</v>
      </c>
      <c r="O19">
        <v>1</v>
      </c>
      <c r="P19">
        <v>0</v>
      </c>
      <c r="Q19" s="6">
        <f t="shared" si="4"/>
        <v>1</v>
      </c>
      <c r="R19" s="4">
        <v>1</v>
      </c>
      <c r="S19" s="4">
        <v>1</v>
      </c>
      <c r="T19" s="6">
        <f t="shared" si="5"/>
        <v>1</v>
      </c>
      <c r="U19">
        <v>108</v>
      </c>
      <c r="V19">
        <v>104.2</v>
      </c>
      <c r="W19">
        <v>87.4</v>
      </c>
      <c r="X19">
        <v>60.4</v>
      </c>
      <c r="Y19">
        <v>43.2</v>
      </c>
      <c r="AA19">
        <v>19.600000000000001</v>
      </c>
      <c r="AB19">
        <v>104.2</v>
      </c>
      <c r="AD19">
        <v>39</v>
      </c>
      <c r="AE19">
        <v>43.2</v>
      </c>
    </row>
    <row r="20" spans="1:31">
      <c r="A20" s="12" t="s">
        <v>33</v>
      </c>
      <c r="B20" s="3">
        <v>170206</v>
      </c>
      <c r="C20">
        <v>0</v>
      </c>
      <c r="D20">
        <v>0</v>
      </c>
      <c r="E20" s="6">
        <f t="shared" si="0"/>
        <v>0</v>
      </c>
      <c r="F20">
        <v>0</v>
      </c>
      <c r="G20">
        <v>0</v>
      </c>
      <c r="H20" s="6">
        <f t="shared" si="1"/>
        <v>0</v>
      </c>
      <c r="I20">
        <v>1</v>
      </c>
      <c r="J20">
        <v>1</v>
      </c>
      <c r="K20" s="6">
        <f t="shared" si="2"/>
        <v>1</v>
      </c>
      <c r="L20" s="4">
        <v>1</v>
      </c>
      <c r="M20" s="4">
        <v>0</v>
      </c>
      <c r="N20" s="6">
        <f t="shared" si="3"/>
        <v>1</v>
      </c>
      <c r="O20">
        <v>1</v>
      </c>
      <c r="P20">
        <v>1</v>
      </c>
      <c r="Q20" s="6">
        <f t="shared" si="4"/>
        <v>1</v>
      </c>
      <c r="R20" s="4">
        <v>0</v>
      </c>
      <c r="S20">
        <v>1</v>
      </c>
      <c r="T20" s="6">
        <f t="shared" si="5"/>
        <v>1</v>
      </c>
      <c r="U20">
        <v>120</v>
      </c>
      <c r="V20">
        <v>120</v>
      </c>
      <c r="W20">
        <v>88.22</v>
      </c>
      <c r="X20">
        <v>46.739999999999995</v>
      </c>
      <c r="Y20">
        <v>31.72</v>
      </c>
      <c r="AA20">
        <v>42.2</v>
      </c>
      <c r="AB20">
        <v>120</v>
      </c>
      <c r="AD20">
        <v>20.6</v>
      </c>
      <c r="AE20">
        <v>31.72</v>
      </c>
    </row>
    <row r="21" spans="1:31">
      <c r="A21" s="12" t="s">
        <v>34</v>
      </c>
      <c r="B21" s="3">
        <v>170206</v>
      </c>
      <c r="C21">
        <v>1</v>
      </c>
      <c r="D21">
        <v>1</v>
      </c>
      <c r="E21" s="6">
        <f t="shared" si="0"/>
        <v>1</v>
      </c>
      <c r="F21">
        <v>0</v>
      </c>
      <c r="G21">
        <v>0</v>
      </c>
      <c r="H21" s="6">
        <f t="shared" si="1"/>
        <v>0</v>
      </c>
      <c r="I21">
        <v>0</v>
      </c>
      <c r="J21">
        <v>0</v>
      </c>
      <c r="K21" s="6">
        <f t="shared" si="2"/>
        <v>0</v>
      </c>
      <c r="L21" s="4">
        <v>1</v>
      </c>
      <c r="M21" s="4">
        <v>0</v>
      </c>
      <c r="N21" s="6">
        <f t="shared" si="3"/>
        <v>1</v>
      </c>
      <c r="O21">
        <v>1</v>
      </c>
      <c r="P21">
        <v>1</v>
      </c>
      <c r="Q21" s="6">
        <f t="shared" si="4"/>
        <v>1</v>
      </c>
      <c r="R21" s="4">
        <v>0</v>
      </c>
      <c r="S21" s="4">
        <v>0</v>
      </c>
      <c r="T21" s="6">
        <f t="shared" si="5"/>
        <v>0</v>
      </c>
      <c r="U21" s="1">
        <v>120</v>
      </c>
      <c r="V21" s="1">
        <v>89.4</v>
      </c>
      <c r="W21" s="1">
        <v>106.4</v>
      </c>
      <c r="X21" s="1">
        <v>102.4</v>
      </c>
      <c r="Y21" s="1">
        <v>120</v>
      </c>
      <c r="AA21" s="2">
        <v>73.400000000000006</v>
      </c>
      <c r="AB21" s="1">
        <v>89.4</v>
      </c>
      <c r="AD21" s="2">
        <v>49.4</v>
      </c>
      <c r="AE21" s="1">
        <v>120</v>
      </c>
    </row>
    <row r="22" spans="1:31">
      <c r="A22" s="12" t="s">
        <v>35</v>
      </c>
      <c r="B22" s="3">
        <v>170206</v>
      </c>
      <c r="C22">
        <v>0</v>
      </c>
      <c r="D22">
        <v>0</v>
      </c>
      <c r="E22" s="6">
        <f t="shared" si="0"/>
        <v>0</v>
      </c>
      <c r="F22">
        <v>0</v>
      </c>
      <c r="G22">
        <v>0</v>
      </c>
      <c r="H22" s="6">
        <f t="shared" si="1"/>
        <v>0</v>
      </c>
      <c r="I22">
        <v>1</v>
      </c>
      <c r="J22">
        <v>1</v>
      </c>
      <c r="K22" s="6">
        <f t="shared" si="2"/>
        <v>1</v>
      </c>
      <c r="L22" s="4">
        <v>1</v>
      </c>
      <c r="M22" s="4">
        <v>1</v>
      </c>
      <c r="N22" s="6">
        <f t="shared" si="3"/>
        <v>1</v>
      </c>
      <c r="O22">
        <v>0</v>
      </c>
      <c r="P22">
        <v>1</v>
      </c>
      <c r="Q22" s="6">
        <f t="shared" si="4"/>
        <v>1</v>
      </c>
      <c r="R22" s="4">
        <v>1</v>
      </c>
      <c r="S22" s="4">
        <v>1</v>
      </c>
      <c r="T22" s="6">
        <f t="shared" si="5"/>
        <v>1</v>
      </c>
      <c r="U22" s="1">
        <v>120</v>
      </c>
      <c r="V22" s="1">
        <v>120</v>
      </c>
      <c r="W22" s="1">
        <v>119.6</v>
      </c>
      <c r="X22" s="1">
        <v>120</v>
      </c>
      <c r="Y22" s="1">
        <v>77.2</v>
      </c>
      <c r="AB22" s="1">
        <v>120</v>
      </c>
      <c r="AE22" s="1">
        <v>77.2</v>
      </c>
    </row>
    <row r="23" spans="1:31">
      <c r="A23" s="12" t="s">
        <v>36</v>
      </c>
      <c r="B23" s="3">
        <v>170206</v>
      </c>
      <c r="C23">
        <v>0</v>
      </c>
      <c r="D23">
        <v>0</v>
      </c>
      <c r="E23" s="6">
        <f t="shared" si="0"/>
        <v>0</v>
      </c>
      <c r="F23">
        <v>0</v>
      </c>
      <c r="G23">
        <v>0</v>
      </c>
      <c r="H23" s="6">
        <f t="shared" si="1"/>
        <v>0</v>
      </c>
      <c r="I23">
        <v>1</v>
      </c>
      <c r="J23">
        <v>1</v>
      </c>
      <c r="K23" s="6">
        <f t="shared" si="2"/>
        <v>1</v>
      </c>
      <c r="L23" s="4">
        <v>1</v>
      </c>
      <c r="M23" s="4">
        <v>1</v>
      </c>
      <c r="N23" s="6">
        <f t="shared" si="3"/>
        <v>1</v>
      </c>
      <c r="O23">
        <v>1</v>
      </c>
      <c r="P23">
        <v>1</v>
      </c>
      <c r="Q23" s="6">
        <f t="shared" si="4"/>
        <v>1</v>
      </c>
      <c r="R23" s="4">
        <v>0</v>
      </c>
      <c r="S23" s="4">
        <v>0</v>
      </c>
      <c r="T23" s="6">
        <f t="shared" si="5"/>
        <v>0</v>
      </c>
      <c r="U23" s="2">
        <v>120</v>
      </c>
      <c r="V23" s="2">
        <v>115.8</v>
      </c>
      <c r="W23" s="2">
        <v>66.400000000000006</v>
      </c>
      <c r="X23" s="2">
        <v>70.8</v>
      </c>
      <c r="Y23" s="2">
        <v>40.6</v>
      </c>
      <c r="AB23" s="2">
        <v>115.8</v>
      </c>
      <c r="AE23" s="2">
        <v>40.6</v>
      </c>
    </row>
    <row r="24" spans="1:31">
      <c r="A24" s="12" t="s">
        <v>37</v>
      </c>
      <c r="B24" s="3">
        <v>170206</v>
      </c>
      <c r="C24">
        <v>0</v>
      </c>
      <c r="D24">
        <v>0</v>
      </c>
      <c r="E24" s="6">
        <f t="shared" si="0"/>
        <v>0</v>
      </c>
      <c r="F24">
        <v>0</v>
      </c>
      <c r="G24">
        <v>1</v>
      </c>
      <c r="H24" s="6">
        <f t="shared" si="1"/>
        <v>1</v>
      </c>
      <c r="I24">
        <v>1</v>
      </c>
      <c r="J24">
        <v>1</v>
      </c>
      <c r="K24" s="6">
        <f t="shared" si="2"/>
        <v>1</v>
      </c>
      <c r="L24" s="4">
        <v>1</v>
      </c>
      <c r="M24" s="4">
        <v>1</v>
      </c>
      <c r="N24" s="6">
        <f t="shared" si="3"/>
        <v>1</v>
      </c>
      <c r="O24">
        <v>1</v>
      </c>
      <c r="P24">
        <v>1</v>
      </c>
      <c r="Q24" s="6">
        <f t="shared" si="4"/>
        <v>1</v>
      </c>
      <c r="R24" s="4">
        <v>0</v>
      </c>
      <c r="S24" s="4">
        <v>0</v>
      </c>
      <c r="T24" s="6">
        <f t="shared" si="5"/>
        <v>0</v>
      </c>
      <c r="U24">
        <v>120</v>
      </c>
      <c r="V24">
        <v>120</v>
      </c>
      <c r="W24">
        <v>120</v>
      </c>
      <c r="X24">
        <v>120</v>
      </c>
      <c r="Y24">
        <v>94</v>
      </c>
      <c r="AB24">
        <v>120</v>
      </c>
      <c r="AE24">
        <v>94</v>
      </c>
    </row>
    <row r="25" spans="1:31">
      <c r="A25" s="12" t="s">
        <v>38</v>
      </c>
      <c r="B25">
        <v>170716</v>
      </c>
      <c r="C25">
        <v>0</v>
      </c>
      <c r="D25">
        <v>0</v>
      </c>
      <c r="E25" s="6">
        <f t="shared" si="0"/>
        <v>0</v>
      </c>
      <c r="F25">
        <v>0</v>
      </c>
      <c r="G25">
        <v>0</v>
      </c>
      <c r="H25" s="6">
        <f t="shared" si="1"/>
        <v>0</v>
      </c>
      <c r="I25">
        <v>1</v>
      </c>
      <c r="J25">
        <v>1</v>
      </c>
      <c r="K25" s="6">
        <f t="shared" si="2"/>
        <v>1</v>
      </c>
      <c r="L25" s="4">
        <v>1</v>
      </c>
      <c r="M25" s="4">
        <v>0</v>
      </c>
      <c r="N25" s="6">
        <f t="shared" si="3"/>
        <v>1</v>
      </c>
      <c r="O25">
        <v>1</v>
      </c>
      <c r="P25">
        <v>0</v>
      </c>
      <c r="Q25" s="6">
        <f t="shared" si="4"/>
        <v>1</v>
      </c>
      <c r="R25" s="4">
        <v>1</v>
      </c>
      <c r="S25" s="4">
        <v>1</v>
      </c>
      <c r="T25" s="6">
        <f t="shared" si="5"/>
        <v>1</v>
      </c>
      <c r="U25">
        <v>120</v>
      </c>
      <c r="V25">
        <v>100.26</v>
      </c>
      <c r="W25">
        <v>61.720000000000006</v>
      </c>
      <c r="X25">
        <v>68.760000000000005</v>
      </c>
      <c r="Y25">
        <v>91.179999999999993</v>
      </c>
      <c r="AB25">
        <v>100.26</v>
      </c>
      <c r="AE25">
        <v>91.179999999999993</v>
      </c>
    </row>
    <row r="26" spans="1:31">
      <c r="A26" s="12" t="s">
        <v>39</v>
      </c>
      <c r="B26">
        <v>170716</v>
      </c>
      <c r="C26">
        <v>0</v>
      </c>
      <c r="D26">
        <v>0</v>
      </c>
      <c r="E26" s="6">
        <f t="shared" si="0"/>
        <v>0</v>
      </c>
      <c r="F26">
        <v>1</v>
      </c>
      <c r="G26">
        <v>0</v>
      </c>
      <c r="H26" s="6">
        <f t="shared" si="1"/>
        <v>1</v>
      </c>
      <c r="I26">
        <v>0</v>
      </c>
      <c r="J26">
        <v>1</v>
      </c>
      <c r="K26" s="6">
        <f t="shared" si="2"/>
        <v>1</v>
      </c>
      <c r="L26" s="4">
        <v>0</v>
      </c>
      <c r="M26" s="4">
        <v>0</v>
      </c>
      <c r="N26" s="6">
        <f t="shared" si="3"/>
        <v>0</v>
      </c>
      <c r="O26">
        <v>1</v>
      </c>
      <c r="P26">
        <v>1</v>
      </c>
      <c r="Q26" s="6">
        <f t="shared" si="4"/>
        <v>1</v>
      </c>
      <c r="R26" s="4">
        <v>0</v>
      </c>
      <c r="S26" s="4">
        <v>0</v>
      </c>
      <c r="T26" s="6">
        <f t="shared" si="5"/>
        <v>0</v>
      </c>
      <c r="U26">
        <v>120</v>
      </c>
      <c r="V26">
        <v>120</v>
      </c>
      <c r="W26">
        <v>98.34</v>
      </c>
      <c r="X26">
        <v>57.720000000000006</v>
      </c>
      <c r="Y26">
        <v>66.320000000000007</v>
      </c>
      <c r="AB26">
        <v>120</v>
      </c>
      <c r="AE26">
        <v>66.320000000000007</v>
      </c>
    </row>
    <row r="27" spans="1:31">
      <c r="A27" s="12" t="s">
        <v>40</v>
      </c>
      <c r="B27">
        <v>170716</v>
      </c>
      <c r="C27">
        <v>1</v>
      </c>
      <c r="D27">
        <v>0</v>
      </c>
      <c r="E27" s="6">
        <f t="shared" si="0"/>
        <v>1</v>
      </c>
      <c r="F27">
        <v>0</v>
      </c>
      <c r="G27">
        <v>0</v>
      </c>
      <c r="H27" s="6">
        <f t="shared" si="1"/>
        <v>0</v>
      </c>
      <c r="I27">
        <v>0</v>
      </c>
      <c r="J27">
        <v>1</v>
      </c>
      <c r="K27" s="6">
        <f t="shared" si="2"/>
        <v>1</v>
      </c>
      <c r="L27" s="4">
        <v>0</v>
      </c>
      <c r="M27" s="4">
        <v>0</v>
      </c>
      <c r="N27" s="6">
        <f t="shared" si="3"/>
        <v>0</v>
      </c>
      <c r="O27">
        <v>1</v>
      </c>
      <c r="P27">
        <v>1</v>
      </c>
      <c r="Q27" s="6">
        <f t="shared" si="4"/>
        <v>1</v>
      </c>
      <c r="R27" s="4">
        <v>0</v>
      </c>
      <c r="S27" s="4">
        <v>0</v>
      </c>
      <c r="T27" s="6">
        <f t="shared" si="5"/>
        <v>0</v>
      </c>
      <c r="U27" s="1">
        <v>120</v>
      </c>
      <c r="V27" s="1">
        <v>108.8</v>
      </c>
      <c r="W27" s="1">
        <v>108.6</v>
      </c>
      <c r="X27" s="1">
        <v>105.4</v>
      </c>
      <c r="Y27" s="1">
        <v>106.4</v>
      </c>
      <c r="AB27" s="1">
        <v>108.8</v>
      </c>
      <c r="AE27" s="1">
        <v>106.4</v>
      </c>
    </row>
    <row r="28" spans="1:31">
      <c r="A28" s="12" t="s">
        <v>41</v>
      </c>
      <c r="B28">
        <v>170716</v>
      </c>
      <c r="C28">
        <v>0</v>
      </c>
      <c r="D28">
        <v>0</v>
      </c>
      <c r="E28" s="6">
        <f t="shared" si="0"/>
        <v>0</v>
      </c>
      <c r="F28">
        <v>0</v>
      </c>
      <c r="G28">
        <v>0</v>
      </c>
      <c r="H28" s="6">
        <f t="shared" si="1"/>
        <v>0</v>
      </c>
      <c r="I28">
        <v>1</v>
      </c>
      <c r="J28">
        <v>1</v>
      </c>
      <c r="K28" s="6">
        <f t="shared" si="2"/>
        <v>1</v>
      </c>
      <c r="L28" s="4">
        <v>1</v>
      </c>
      <c r="M28" s="4">
        <v>0</v>
      </c>
      <c r="N28" s="6">
        <f t="shared" si="3"/>
        <v>1</v>
      </c>
      <c r="O28">
        <v>0</v>
      </c>
      <c r="P28">
        <v>0</v>
      </c>
      <c r="Q28" s="6">
        <f t="shared" si="4"/>
        <v>0</v>
      </c>
      <c r="R28" s="4">
        <v>1</v>
      </c>
      <c r="S28" s="4">
        <v>1</v>
      </c>
      <c r="T28" s="6">
        <f t="shared" si="5"/>
        <v>1</v>
      </c>
      <c r="U28">
        <v>120</v>
      </c>
      <c r="V28">
        <v>98.2</v>
      </c>
      <c r="W28">
        <v>32</v>
      </c>
      <c r="X28">
        <v>19.2</v>
      </c>
      <c r="Y28">
        <v>12.4</v>
      </c>
      <c r="AB28">
        <v>98.2</v>
      </c>
      <c r="AE28">
        <v>12.4</v>
      </c>
    </row>
    <row r="29" spans="1:31">
      <c r="A29" s="12" t="s">
        <v>42</v>
      </c>
      <c r="B29">
        <v>170716</v>
      </c>
      <c r="C29">
        <v>1</v>
      </c>
      <c r="D29">
        <v>0</v>
      </c>
      <c r="E29" s="6">
        <f t="shared" si="0"/>
        <v>1</v>
      </c>
      <c r="F29">
        <v>0</v>
      </c>
      <c r="G29">
        <v>0</v>
      </c>
      <c r="H29" s="6">
        <f t="shared" si="1"/>
        <v>0</v>
      </c>
      <c r="I29">
        <v>0</v>
      </c>
      <c r="J29">
        <v>1</v>
      </c>
      <c r="K29" s="6">
        <f t="shared" si="2"/>
        <v>1</v>
      </c>
      <c r="L29" s="4">
        <v>0</v>
      </c>
      <c r="M29" s="4">
        <v>1</v>
      </c>
      <c r="N29" s="6">
        <f t="shared" si="3"/>
        <v>1</v>
      </c>
      <c r="O29">
        <v>1</v>
      </c>
      <c r="P29">
        <v>1</v>
      </c>
      <c r="Q29" s="6">
        <f t="shared" si="4"/>
        <v>1</v>
      </c>
      <c r="R29" s="4">
        <v>0</v>
      </c>
      <c r="S29">
        <v>1</v>
      </c>
      <c r="T29" s="6">
        <f t="shared" si="5"/>
        <v>1</v>
      </c>
      <c r="U29" s="1">
        <v>76.400000000000006</v>
      </c>
      <c r="V29" s="1">
        <v>24</v>
      </c>
      <c r="W29" s="1">
        <v>30.2</v>
      </c>
      <c r="X29" s="1">
        <v>11.6</v>
      </c>
      <c r="Y29" s="1">
        <v>17.8</v>
      </c>
      <c r="AB29" s="1">
        <v>24</v>
      </c>
      <c r="AE29" s="1">
        <v>17.8</v>
      </c>
    </row>
    <row r="30" spans="1:31">
      <c r="A30" s="20" t="s">
        <v>136</v>
      </c>
      <c r="B30">
        <v>160103</v>
      </c>
      <c r="C30">
        <v>1</v>
      </c>
      <c r="D30">
        <v>0</v>
      </c>
      <c r="E30" s="6">
        <f t="shared" si="0"/>
        <v>1</v>
      </c>
      <c r="F30">
        <v>0</v>
      </c>
      <c r="G30">
        <v>1</v>
      </c>
      <c r="H30" s="6">
        <f t="shared" si="1"/>
        <v>1</v>
      </c>
      <c r="I30">
        <v>0</v>
      </c>
      <c r="J30">
        <v>1</v>
      </c>
      <c r="K30" s="6">
        <f t="shared" si="2"/>
        <v>1</v>
      </c>
      <c r="L30" s="4">
        <v>0</v>
      </c>
      <c r="M30" s="4">
        <v>1</v>
      </c>
      <c r="N30" s="6">
        <f t="shared" si="3"/>
        <v>1</v>
      </c>
      <c r="O30">
        <v>0</v>
      </c>
      <c r="P30">
        <v>1</v>
      </c>
      <c r="Q30" s="6">
        <f t="shared" si="4"/>
        <v>1</v>
      </c>
      <c r="R30" s="4">
        <v>0</v>
      </c>
      <c r="S30" s="4">
        <v>0</v>
      </c>
      <c r="T30" s="6">
        <f t="shared" si="5"/>
        <v>0</v>
      </c>
      <c r="U30" s="1">
        <v>120</v>
      </c>
      <c r="V30" s="1">
        <v>78</v>
      </c>
      <c r="W30" s="1">
        <v>77.8</v>
      </c>
      <c r="X30" s="1">
        <v>100.8</v>
      </c>
      <c r="Y30" s="1">
        <v>104.8</v>
      </c>
    </row>
    <row r="31" spans="1:31">
      <c r="A31" s="20" t="s">
        <v>137</v>
      </c>
      <c r="B31">
        <v>160103</v>
      </c>
      <c r="C31">
        <v>1</v>
      </c>
      <c r="D31">
        <v>0</v>
      </c>
      <c r="E31" s="6">
        <f t="shared" si="0"/>
        <v>1</v>
      </c>
      <c r="F31" s="4">
        <v>0</v>
      </c>
      <c r="G31">
        <v>0</v>
      </c>
      <c r="H31" s="6">
        <f t="shared" si="1"/>
        <v>0</v>
      </c>
      <c r="I31">
        <v>0</v>
      </c>
      <c r="J31">
        <v>0</v>
      </c>
      <c r="K31" s="6">
        <f t="shared" si="2"/>
        <v>0</v>
      </c>
      <c r="L31" s="4">
        <v>0</v>
      </c>
      <c r="M31" s="4">
        <v>0</v>
      </c>
      <c r="N31" s="6">
        <f t="shared" si="3"/>
        <v>0</v>
      </c>
      <c r="O31">
        <v>1</v>
      </c>
      <c r="P31">
        <v>1</v>
      </c>
      <c r="Q31" s="6">
        <f t="shared" si="4"/>
        <v>1</v>
      </c>
      <c r="R31" s="4">
        <v>0</v>
      </c>
      <c r="S31">
        <v>1</v>
      </c>
      <c r="T31" s="6">
        <f t="shared" si="5"/>
        <v>1</v>
      </c>
      <c r="U31" s="1">
        <v>79.38</v>
      </c>
      <c r="V31" s="1">
        <v>73.14</v>
      </c>
      <c r="W31" s="1">
        <v>62.92</v>
      </c>
      <c r="X31" s="1">
        <v>60.64</v>
      </c>
      <c r="Y31" s="1">
        <v>41.1</v>
      </c>
      <c r="AA31" s="16">
        <f>AVERAGE(AA2:AA29)</f>
        <v>58.86</v>
      </c>
      <c r="AB31" s="16">
        <f>AVERAGE(AB2:AB29)</f>
        <v>94.315000000000026</v>
      </c>
      <c r="AC31" s="16"/>
      <c r="AD31" s="16">
        <f t="shared" ref="AC31:AE31" si="6">AVERAGE(AD2:AD29)</f>
        <v>36.790000000000006</v>
      </c>
      <c r="AE31" s="16">
        <f t="shared" si="6"/>
        <v>59.797142857142852</v>
      </c>
    </row>
    <row r="32" spans="1:31">
      <c r="A32" s="20" t="s">
        <v>138</v>
      </c>
      <c r="B32">
        <v>160103</v>
      </c>
      <c r="C32">
        <v>0</v>
      </c>
      <c r="D32">
        <v>0</v>
      </c>
      <c r="E32" s="6">
        <f t="shared" si="0"/>
        <v>0</v>
      </c>
      <c r="F32">
        <v>0</v>
      </c>
      <c r="G32">
        <v>0</v>
      </c>
      <c r="H32" s="6">
        <f t="shared" si="1"/>
        <v>0</v>
      </c>
      <c r="I32">
        <v>0</v>
      </c>
      <c r="J32">
        <v>0</v>
      </c>
      <c r="K32" s="6">
        <f t="shared" si="2"/>
        <v>0</v>
      </c>
      <c r="L32" s="4">
        <v>0</v>
      </c>
      <c r="M32">
        <v>0</v>
      </c>
      <c r="N32" s="6">
        <f t="shared" si="3"/>
        <v>0</v>
      </c>
      <c r="O32">
        <v>1</v>
      </c>
      <c r="P32">
        <v>1</v>
      </c>
      <c r="Q32" s="6">
        <f t="shared" si="4"/>
        <v>1</v>
      </c>
      <c r="R32" s="4">
        <v>0</v>
      </c>
      <c r="S32">
        <v>1</v>
      </c>
      <c r="T32" s="6">
        <f t="shared" si="5"/>
        <v>1</v>
      </c>
      <c r="U32" s="2">
        <v>82.4</v>
      </c>
      <c r="V32" s="2">
        <v>15</v>
      </c>
      <c r="W32" s="2">
        <v>29</v>
      </c>
      <c r="X32" s="2">
        <v>26.4</v>
      </c>
      <c r="Y32" s="2">
        <v>55.2</v>
      </c>
      <c r="AA32" s="16">
        <f>_xlfn.STDEV.S(AA2:AA29)</f>
        <v>30.865446529633815</v>
      </c>
      <c r="AB32" s="16">
        <f>_xlfn.STDEV.S(AB2:AB29)</f>
        <v>25.995431293751341</v>
      </c>
      <c r="AC32" s="16"/>
      <c r="AD32" s="16">
        <f t="shared" ref="AC32:AE32" si="7">_xlfn.STDEV.S(AD2:AD29)</f>
        <v>30.186372317391999</v>
      </c>
      <c r="AE32" s="16">
        <f t="shared" si="7"/>
        <v>34.627976150435543</v>
      </c>
    </row>
    <row r="33" spans="1:31">
      <c r="A33" s="20" t="s">
        <v>139</v>
      </c>
      <c r="B33">
        <v>160113</v>
      </c>
      <c r="C33">
        <v>0</v>
      </c>
      <c r="D33">
        <v>0</v>
      </c>
      <c r="E33" s="6">
        <f t="shared" si="0"/>
        <v>0</v>
      </c>
      <c r="F33">
        <v>1</v>
      </c>
      <c r="G33">
        <v>1</v>
      </c>
      <c r="H33" s="6">
        <f t="shared" si="1"/>
        <v>1</v>
      </c>
      <c r="I33">
        <v>1</v>
      </c>
      <c r="J33">
        <v>1</v>
      </c>
      <c r="K33" s="6">
        <f t="shared" si="2"/>
        <v>1</v>
      </c>
      <c r="L33" s="4">
        <v>1</v>
      </c>
      <c r="M33" s="4">
        <v>0</v>
      </c>
      <c r="N33" s="6">
        <f t="shared" si="3"/>
        <v>1</v>
      </c>
      <c r="O33">
        <v>0</v>
      </c>
      <c r="P33">
        <v>0</v>
      </c>
      <c r="Q33" s="6">
        <f t="shared" si="4"/>
        <v>0</v>
      </c>
      <c r="R33" s="4">
        <v>0</v>
      </c>
      <c r="S33">
        <v>1</v>
      </c>
      <c r="T33" s="6">
        <f t="shared" si="5"/>
        <v>1</v>
      </c>
      <c r="U33" s="1">
        <v>99.6</v>
      </c>
      <c r="V33" s="1">
        <v>100.2</v>
      </c>
      <c r="W33" s="1">
        <v>93.4</v>
      </c>
      <c r="X33" s="1">
        <v>46.6</v>
      </c>
      <c r="Y33" s="1">
        <v>10.6</v>
      </c>
      <c r="AA33" s="16">
        <f>COUNT(AA2:AA29)</f>
        <v>20</v>
      </c>
      <c r="AB33" s="16">
        <f>COUNT(AB2:AB29)</f>
        <v>28</v>
      </c>
      <c r="AC33" s="16"/>
      <c r="AD33" s="16">
        <f t="shared" ref="AC33:AE33" si="8">COUNT(AD2:AD29)</f>
        <v>20</v>
      </c>
      <c r="AE33" s="16">
        <f t="shared" si="8"/>
        <v>28</v>
      </c>
    </row>
    <row r="34" spans="1:31">
      <c r="A34" s="20" t="s">
        <v>140</v>
      </c>
      <c r="B34">
        <v>160113</v>
      </c>
      <c r="C34">
        <v>0</v>
      </c>
      <c r="D34">
        <v>0</v>
      </c>
      <c r="E34" s="6">
        <f t="shared" si="0"/>
        <v>0</v>
      </c>
      <c r="F34">
        <v>1</v>
      </c>
      <c r="G34">
        <v>1</v>
      </c>
      <c r="H34" s="6">
        <f t="shared" si="1"/>
        <v>1</v>
      </c>
      <c r="I34">
        <v>0</v>
      </c>
      <c r="J34">
        <v>1</v>
      </c>
      <c r="K34" s="6">
        <f t="shared" si="2"/>
        <v>1</v>
      </c>
      <c r="L34" s="4">
        <v>1</v>
      </c>
      <c r="M34" s="4">
        <v>0</v>
      </c>
      <c r="N34" s="6">
        <f t="shared" si="3"/>
        <v>1</v>
      </c>
      <c r="O34">
        <v>1</v>
      </c>
      <c r="P34">
        <v>0</v>
      </c>
      <c r="Q34" s="6">
        <f t="shared" si="4"/>
        <v>1</v>
      </c>
      <c r="R34" s="4">
        <v>1</v>
      </c>
      <c r="S34" s="4">
        <v>1</v>
      </c>
      <c r="T34" s="6">
        <f t="shared" si="5"/>
        <v>1</v>
      </c>
      <c r="U34" s="1">
        <v>97.2</v>
      </c>
      <c r="V34" s="1">
        <v>77.8</v>
      </c>
      <c r="W34" s="1">
        <v>79.400000000000006</v>
      </c>
      <c r="X34" s="1">
        <v>94.4</v>
      </c>
      <c r="Y34" s="1">
        <v>60</v>
      </c>
      <c r="AA34" s="16">
        <f>AA32/AA33^0.5</f>
        <v>6.9017236596146185</v>
      </c>
      <c r="AB34" s="16">
        <f>AB32/AB33^0.5</f>
        <v>4.91267474479515</v>
      </c>
      <c r="AC34" s="16"/>
      <c r="AD34" s="16">
        <f t="shared" ref="AC34:AE34" si="9">AD32/AD33^0.5</f>
        <v>6.7498780495806363</v>
      </c>
      <c r="AE34" s="16">
        <f t="shared" si="9"/>
        <v>6.5440723785377291</v>
      </c>
    </row>
    <row r="35" spans="1:31">
      <c r="A35" s="20" t="s">
        <v>141</v>
      </c>
      <c r="B35">
        <v>160113</v>
      </c>
      <c r="C35">
        <v>0</v>
      </c>
      <c r="D35">
        <v>0</v>
      </c>
      <c r="E35" s="6">
        <f t="shared" si="0"/>
        <v>0</v>
      </c>
      <c r="F35" s="3">
        <v>0</v>
      </c>
      <c r="G35">
        <v>1</v>
      </c>
      <c r="H35" s="6">
        <f t="shared" si="1"/>
        <v>1</v>
      </c>
      <c r="I35">
        <v>0</v>
      </c>
      <c r="J35">
        <v>0</v>
      </c>
      <c r="K35" s="6">
        <f t="shared" si="2"/>
        <v>0</v>
      </c>
      <c r="L35" s="4">
        <v>1</v>
      </c>
      <c r="M35" s="4">
        <v>0</v>
      </c>
      <c r="N35" s="6">
        <f t="shared" si="3"/>
        <v>1</v>
      </c>
      <c r="O35">
        <v>0</v>
      </c>
      <c r="P35">
        <v>0</v>
      </c>
      <c r="Q35" s="6">
        <f t="shared" si="4"/>
        <v>0</v>
      </c>
      <c r="R35" s="4">
        <v>1</v>
      </c>
      <c r="S35" s="4">
        <v>1</v>
      </c>
      <c r="T35" s="6">
        <f t="shared" si="5"/>
        <v>1</v>
      </c>
      <c r="U35" s="1">
        <v>94.2</v>
      </c>
      <c r="V35" s="1">
        <v>69.2</v>
      </c>
      <c r="W35" s="1">
        <v>66.599999999999994</v>
      </c>
      <c r="X35" s="1">
        <v>24.6</v>
      </c>
      <c r="Y35" s="1">
        <v>29.8</v>
      </c>
      <c r="AB35" t="s">
        <v>324</v>
      </c>
      <c r="AE35" t="s">
        <v>324</v>
      </c>
    </row>
    <row r="36" spans="1:31">
      <c r="A36" s="20" t="s">
        <v>142</v>
      </c>
      <c r="B36">
        <v>160425</v>
      </c>
      <c r="C36">
        <v>0</v>
      </c>
      <c r="D36">
        <v>0</v>
      </c>
      <c r="E36" s="6">
        <f t="shared" si="0"/>
        <v>0</v>
      </c>
      <c r="F36" s="3">
        <v>0</v>
      </c>
      <c r="G36">
        <v>1</v>
      </c>
      <c r="H36" s="6">
        <f t="shared" si="1"/>
        <v>1</v>
      </c>
      <c r="I36">
        <v>0</v>
      </c>
      <c r="J36">
        <v>0</v>
      </c>
      <c r="K36" s="6">
        <f t="shared" si="2"/>
        <v>0</v>
      </c>
      <c r="L36" s="4">
        <v>0</v>
      </c>
      <c r="M36">
        <v>0</v>
      </c>
      <c r="N36" s="6">
        <f t="shared" si="3"/>
        <v>0</v>
      </c>
      <c r="O36">
        <v>1</v>
      </c>
      <c r="P36">
        <v>0</v>
      </c>
      <c r="Q36" s="6">
        <f t="shared" si="4"/>
        <v>1</v>
      </c>
      <c r="R36" s="4">
        <v>1</v>
      </c>
      <c r="S36" s="4">
        <v>1</v>
      </c>
      <c r="T36" s="6">
        <f t="shared" si="5"/>
        <v>1</v>
      </c>
      <c r="U36" s="1">
        <v>88.1</v>
      </c>
      <c r="V36" s="1">
        <v>96.14</v>
      </c>
      <c r="W36" s="1">
        <v>47.9</v>
      </c>
      <c r="X36" s="1">
        <v>53.14</v>
      </c>
      <c r="Y36" s="1">
        <v>34.96</v>
      </c>
      <c r="AB36">
        <f>TTEST(AA2:AA21,AB2:AB29,2,3)</f>
        <v>1.7146171507661433E-4</v>
      </c>
      <c r="AE36">
        <f>TTEST(AD2:AD21,AE2:AE29,2,3)</f>
        <v>1.8449809525577683E-2</v>
      </c>
    </row>
    <row r="37" spans="1:31">
      <c r="A37" s="20" t="s">
        <v>143</v>
      </c>
      <c r="B37">
        <v>160425</v>
      </c>
      <c r="C37">
        <v>0</v>
      </c>
      <c r="D37">
        <v>0</v>
      </c>
      <c r="E37" s="6">
        <f t="shared" si="0"/>
        <v>0</v>
      </c>
      <c r="F37" s="3">
        <v>1</v>
      </c>
      <c r="G37">
        <v>1</v>
      </c>
      <c r="H37" s="6">
        <f t="shared" si="1"/>
        <v>1</v>
      </c>
      <c r="I37">
        <v>0</v>
      </c>
      <c r="J37">
        <v>0</v>
      </c>
      <c r="K37" s="6">
        <f t="shared" si="2"/>
        <v>0</v>
      </c>
      <c r="L37" s="4">
        <v>1</v>
      </c>
      <c r="M37" s="4">
        <v>0</v>
      </c>
      <c r="N37" s="6">
        <f t="shared" si="3"/>
        <v>1</v>
      </c>
      <c r="O37">
        <v>1</v>
      </c>
      <c r="P37">
        <v>0</v>
      </c>
      <c r="Q37" s="6">
        <f t="shared" si="4"/>
        <v>1</v>
      </c>
      <c r="R37" s="4">
        <v>1</v>
      </c>
      <c r="S37" s="4">
        <v>1</v>
      </c>
      <c r="T37" s="6">
        <f t="shared" si="5"/>
        <v>1</v>
      </c>
      <c r="U37" s="1">
        <v>98.3</v>
      </c>
      <c r="V37" s="1">
        <v>101.86</v>
      </c>
      <c r="W37" s="1">
        <v>57.94</v>
      </c>
      <c r="X37" s="1">
        <v>41.7</v>
      </c>
      <c r="Y37" s="1">
        <v>21.699999999999996</v>
      </c>
    </row>
    <row r="38" spans="1:31">
      <c r="A38" s="20" t="s">
        <v>144</v>
      </c>
      <c r="B38">
        <v>160425</v>
      </c>
      <c r="C38">
        <v>0</v>
      </c>
      <c r="D38">
        <v>0</v>
      </c>
      <c r="E38" s="6">
        <f t="shared" si="0"/>
        <v>0</v>
      </c>
      <c r="F38" s="4">
        <v>0</v>
      </c>
      <c r="G38">
        <v>1</v>
      </c>
      <c r="H38" s="6">
        <f t="shared" si="1"/>
        <v>1</v>
      </c>
      <c r="I38">
        <v>0</v>
      </c>
      <c r="J38">
        <v>1</v>
      </c>
      <c r="K38" s="6">
        <f t="shared" si="2"/>
        <v>1</v>
      </c>
      <c r="L38" s="4">
        <v>1</v>
      </c>
      <c r="M38" s="4">
        <v>1</v>
      </c>
      <c r="N38" s="6">
        <f t="shared" si="3"/>
        <v>1</v>
      </c>
      <c r="O38">
        <v>0</v>
      </c>
      <c r="P38">
        <v>0</v>
      </c>
      <c r="Q38" s="6">
        <f t="shared" si="4"/>
        <v>0</v>
      </c>
      <c r="R38" s="4">
        <v>1</v>
      </c>
      <c r="S38" s="4">
        <v>1</v>
      </c>
      <c r="T38" s="6">
        <f t="shared" si="5"/>
        <v>1</v>
      </c>
      <c r="U38" s="1">
        <v>97.86</v>
      </c>
      <c r="V38" s="1">
        <v>76.960000000000008</v>
      </c>
      <c r="W38" s="1">
        <v>68.16</v>
      </c>
      <c r="X38" s="1">
        <v>62.54</v>
      </c>
      <c r="Y38" s="1">
        <v>23.98</v>
      </c>
    </row>
    <row r="39" spans="1:31">
      <c r="A39" s="20" t="s">
        <v>13</v>
      </c>
      <c r="B39">
        <v>160425</v>
      </c>
      <c r="C39">
        <v>0</v>
      </c>
      <c r="D39">
        <v>0</v>
      </c>
      <c r="E39" s="6">
        <f t="shared" si="0"/>
        <v>0</v>
      </c>
      <c r="F39">
        <v>0</v>
      </c>
      <c r="G39">
        <v>0</v>
      </c>
      <c r="H39" s="6">
        <f t="shared" si="1"/>
        <v>0</v>
      </c>
      <c r="I39">
        <v>1</v>
      </c>
      <c r="J39">
        <v>0</v>
      </c>
      <c r="K39" s="6">
        <f t="shared" si="2"/>
        <v>1</v>
      </c>
      <c r="L39" s="4">
        <v>1</v>
      </c>
      <c r="M39" s="4">
        <v>1</v>
      </c>
      <c r="N39" s="6">
        <f t="shared" si="3"/>
        <v>1</v>
      </c>
      <c r="O39">
        <v>1</v>
      </c>
      <c r="P39">
        <v>1</v>
      </c>
      <c r="Q39" s="6">
        <f t="shared" si="4"/>
        <v>1</v>
      </c>
      <c r="R39" s="4">
        <v>0</v>
      </c>
      <c r="S39" s="4">
        <v>1</v>
      </c>
      <c r="T39" s="6">
        <f t="shared" si="5"/>
        <v>1</v>
      </c>
      <c r="U39" s="1">
        <v>120</v>
      </c>
      <c r="V39" s="1">
        <v>97.47999999999999</v>
      </c>
      <c r="W39" s="1">
        <v>120</v>
      </c>
      <c r="X39" s="1">
        <v>120</v>
      </c>
      <c r="Y39" s="1">
        <v>120</v>
      </c>
    </row>
    <row r="40" spans="1:31">
      <c r="A40" s="20" t="s">
        <v>14</v>
      </c>
      <c r="B40">
        <v>160425</v>
      </c>
      <c r="C40">
        <v>0</v>
      </c>
      <c r="D40">
        <v>1</v>
      </c>
      <c r="E40" s="6">
        <f t="shared" si="0"/>
        <v>1</v>
      </c>
      <c r="F40">
        <v>1</v>
      </c>
      <c r="G40">
        <v>1</v>
      </c>
      <c r="H40" s="6">
        <f t="shared" si="1"/>
        <v>1</v>
      </c>
      <c r="I40">
        <v>0</v>
      </c>
      <c r="J40">
        <v>1</v>
      </c>
      <c r="K40" s="6">
        <f t="shared" si="2"/>
        <v>1</v>
      </c>
      <c r="L40" s="4">
        <v>1</v>
      </c>
      <c r="M40" s="4">
        <v>1</v>
      </c>
      <c r="N40" s="6">
        <f t="shared" si="3"/>
        <v>1</v>
      </c>
      <c r="O40">
        <v>1</v>
      </c>
      <c r="P40">
        <v>0</v>
      </c>
      <c r="Q40" s="6">
        <f t="shared" si="4"/>
        <v>1</v>
      </c>
      <c r="R40" s="4">
        <v>0</v>
      </c>
      <c r="S40" s="4">
        <v>1</v>
      </c>
      <c r="T40" s="6">
        <f t="shared" si="5"/>
        <v>1</v>
      </c>
      <c r="U40" s="1">
        <v>62.8</v>
      </c>
      <c r="V40" s="1">
        <v>37.200000000000003</v>
      </c>
      <c r="W40" s="1">
        <v>26.4</v>
      </c>
      <c r="X40" s="1">
        <v>19.8</v>
      </c>
      <c r="Y40" s="1">
        <v>13.2</v>
      </c>
    </row>
    <row r="41" spans="1:31">
      <c r="A41" s="20" t="s">
        <v>15</v>
      </c>
      <c r="B41">
        <v>160801</v>
      </c>
      <c r="C41">
        <v>1</v>
      </c>
      <c r="D41">
        <v>0</v>
      </c>
      <c r="E41" s="6">
        <f t="shared" si="0"/>
        <v>1</v>
      </c>
      <c r="F41">
        <v>0</v>
      </c>
      <c r="G41">
        <v>0</v>
      </c>
      <c r="H41" s="6">
        <f t="shared" si="1"/>
        <v>0</v>
      </c>
      <c r="I41">
        <v>0</v>
      </c>
      <c r="J41">
        <v>0</v>
      </c>
      <c r="K41" s="6">
        <f t="shared" si="2"/>
        <v>0</v>
      </c>
      <c r="L41" s="4">
        <v>0</v>
      </c>
      <c r="M41" s="4">
        <v>1</v>
      </c>
      <c r="N41" s="6">
        <f t="shared" si="3"/>
        <v>1</v>
      </c>
      <c r="O41">
        <v>1</v>
      </c>
      <c r="P41">
        <v>1</v>
      </c>
      <c r="Q41" s="6">
        <f t="shared" si="4"/>
        <v>1</v>
      </c>
      <c r="R41" s="4">
        <v>0</v>
      </c>
      <c r="S41" s="4">
        <v>0</v>
      </c>
      <c r="T41" s="6">
        <f t="shared" si="5"/>
        <v>0</v>
      </c>
      <c r="U41" s="1">
        <v>95.2</v>
      </c>
      <c r="V41" s="1">
        <v>17.8</v>
      </c>
      <c r="W41" s="1">
        <v>14</v>
      </c>
      <c r="X41" s="1">
        <v>14.8</v>
      </c>
      <c r="Y41" s="1">
        <v>10.4</v>
      </c>
    </row>
    <row r="42" spans="1:31">
      <c r="A42" s="20" t="s">
        <v>16</v>
      </c>
      <c r="B42">
        <v>160801</v>
      </c>
      <c r="C42">
        <v>1</v>
      </c>
      <c r="D42">
        <v>0</v>
      </c>
      <c r="E42" s="6">
        <f t="shared" si="0"/>
        <v>1</v>
      </c>
      <c r="F42">
        <v>0</v>
      </c>
      <c r="G42">
        <v>1</v>
      </c>
      <c r="H42" s="6">
        <f t="shared" si="1"/>
        <v>1</v>
      </c>
      <c r="I42">
        <v>0</v>
      </c>
      <c r="J42">
        <v>1</v>
      </c>
      <c r="K42" s="6">
        <f t="shared" si="2"/>
        <v>1</v>
      </c>
      <c r="L42" s="4">
        <v>1</v>
      </c>
      <c r="M42" s="4">
        <v>1</v>
      </c>
      <c r="N42" s="6">
        <f t="shared" si="3"/>
        <v>1</v>
      </c>
      <c r="O42">
        <v>1</v>
      </c>
      <c r="P42">
        <v>0</v>
      </c>
      <c r="Q42" s="6">
        <f t="shared" si="4"/>
        <v>1</v>
      </c>
      <c r="R42" s="4">
        <v>0</v>
      </c>
      <c r="S42" s="4">
        <v>0</v>
      </c>
      <c r="T42" s="6">
        <f t="shared" si="5"/>
        <v>0</v>
      </c>
      <c r="U42" s="1">
        <v>45.42</v>
      </c>
      <c r="V42" s="1">
        <v>21.619999999999997</v>
      </c>
      <c r="W42" s="1">
        <v>72.11999999999999</v>
      </c>
      <c r="X42" s="1">
        <v>41.24</v>
      </c>
      <c r="Y42" s="1">
        <v>9.36</v>
      </c>
    </row>
    <row r="43" spans="1:31">
      <c r="A43" s="20" t="s">
        <v>17</v>
      </c>
      <c r="B43">
        <v>160801</v>
      </c>
      <c r="C43">
        <v>0</v>
      </c>
      <c r="D43">
        <v>0</v>
      </c>
      <c r="E43" s="6">
        <f t="shared" si="0"/>
        <v>0</v>
      </c>
      <c r="F43" s="3">
        <v>1</v>
      </c>
      <c r="G43">
        <v>1</v>
      </c>
      <c r="H43" s="6">
        <f t="shared" si="1"/>
        <v>1</v>
      </c>
      <c r="I43">
        <v>1</v>
      </c>
      <c r="J43">
        <v>0</v>
      </c>
      <c r="K43" s="6">
        <f t="shared" si="2"/>
        <v>1</v>
      </c>
      <c r="L43" s="4">
        <v>1</v>
      </c>
      <c r="M43" s="4">
        <v>1</v>
      </c>
      <c r="N43" s="6">
        <f t="shared" si="3"/>
        <v>1</v>
      </c>
      <c r="O43">
        <v>0</v>
      </c>
      <c r="P43">
        <v>1</v>
      </c>
      <c r="Q43" s="6">
        <f t="shared" si="4"/>
        <v>1</v>
      </c>
      <c r="R43" s="4">
        <v>1</v>
      </c>
      <c r="S43" s="4">
        <v>1</v>
      </c>
      <c r="T43" s="6">
        <f t="shared" si="5"/>
        <v>1</v>
      </c>
      <c r="U43" s="1">
        <v>56.039999999999985</v>
      </c>
      <c r="V43" s="1">
        <v>28.080000000000002</v>
      </c>
      <c r="W43" s="1">
        <v>35.22</v>
      </c>
      <c r="X43" s="1">
        <v>20.78</v>
      </c>
      <c r="Y43" s="1">
        <v>25.119999999999997</v>
      </c>
    </row>
    <row r="44" spans="1:31">
      <c r="A44" s="20" t="s">
        <v>18</v>
      </c>
      <c r="B44">
        <v>160801</v>
      </c>
      <c r="C44">
        <v>0</v>
      </c>
      <c r="D44">
        <v>0</v>
      </c>
      <c r="E44" s="6">
        <f t="shared" si="0"/>
        <v>0</v>
      </c>
      <c r="F44" s="4">
        <v>0</v>
      </c>
      <c r="G44">
        <v>0</v>
      </c>
      <c r="H44" s="6">
        <f t="shared" si="1"/>
        <v>0</v>
      </c>
      <c r="I44">
        <v>0</v>
      </c>
      <c r="J44">
        <v>0</v>
      </c>
      <c r="K44" s="6">
        <f t="shared" si="2"/>
        <v>0</v>
      </c>
      <c r="L44" s="4">
        <v>1</v>
      </c>
      <c r="M44" s="4">
        <v>1</v>
      </c>
      <c r="N44" s="6">
        <f t="shared" si="3"/>
        <v>1</v>
      </c>
      <c r="O44">
        <v>1</v>
      </c>
      <c r="P44">
        <v>1</v>
      </c>
      <c r="Q44" s="6">
        <f t="shared" si="4"/>
        <v>1</v>
      </c>
      <c r="R44" s="4">
        <v>0</v>
      </c>
      <c r="S44" s="4">
        <v>0</v>
      </c>
      <c r="T44" s="6">
        <f t="shared" si="5"/>
        <v>0</v>
      </c>
      <c r="U44" s="1">
        <v>53.120000000000005</v>
      </c>
      <c r="V44" s="1">
        <v>59.519999999999996</v>
      </c>
      <c r="W44" s="1">
        <v>43.32</v>
      </c>
      <c r="X44" s="1">
        <v>13.48</v>
      </c>
      <c r="Y44" s="1">
        <v>8.98</v>
      </c>
    </row>
    <row r="45" spans="1:31">
      <c r="A45" s="20" t="s">
        <v>19</v>
      </c>
      <c r="B45">
        <v>160801</v>
      </c>
      <c r="C45">
        <v>0</v>
      </c>
      <c r="D45">
        <v>0</v>
      </c>
      <c r="E45" s="6">
        <f t="shared" si="0"/>
        <v>0</v>
      </c>
      <c r="F45" s="4">
        <v>0</v>
      </c>
      <c r="G45">
        <v>1</v>
      </c>
      <c r="H45" s="6">
        <f t="shared" si="1"/>
        <v>1</v>
      </c>
      <c r="I45">
        <v>0</v>
      </c>
      <c r="J45">
        <v>1</v>
      </c>
      <c r="K45" s="6">
        <f t="shared" si="2"/>
        <v>1</v>
      </c>
      <c r="L45" s="4">
        <v>1</v>
      </c>
      <c r="M45" s="4">
        <v>1</v>
      </c>
      <c r="N45" s="6">
        <f t="shared" si="3"/>
        <v>1</v>
      </c>
      <c r="O45">
        <v>1</v>
      </c>
      <c r="P45">
        <v>0</v>
      </c>
      <c r="Q45" s="6">
        <f t="shared" si="4"/>
        <v>1</v>
      </c>
      <c r="R45" s="4">
        <v>0</v>
      </c>
      <c r="S45" s="4">
        <v>0</v>
      </c>
      <c r="T45" s="6">
        <f t="shared" si="5"/>
        <v>0</v>
      </c>
      <c r="U45">
        <v>97.6</v>
      </c>
      <c r="V45">
        <v>73.599999999999994</v>
      </c>
      <c r="W45">
        <v>79</v>
      </c>
      <c r="X45">
        <v>54.6</v>
      </c>
      <c r="Y45">
        <v>40.4</v>
      </c>
    </row>
    <row r="46" spans="1:31">
      <c r="A46" s="20" t="s">
        <v>20</v>
      </c>
      <c r="B46" s="3">
        <v>170206</v>
      </c>
      <c r="C46">
        <v>0</v>
      </c>
      <c r="D46">
        <v>0</v>
      </c>
      <c r="E46" s="6">
        <f t="shared" si="0"/>
        <v>0</v>
      </c>
      <c r="F46" s="4">
        <v>0</v>
      </c>
      <c r="G46">
        <v>0</v>
      </c>
      <c r="H46" s="6">
        <f t="shared" si="1"/>
        <v>0</v>
      </c>
      <c r="I46">
        <v>0</v>
      </c>
      <c r="J46">
        <v>1</v>
      </c>
      <c r="K46" s="6">
        <f t="shared" si="2"/>
        <v>1</v>
      </c>
      <c r="L46" s="4">
        <v>1</v>
      </c>
      <c r="M46" s="4">
        <v>0</v>
      </c>
      <c r="N46" s="6">
        <f t="shared" si="3"/>
        <v>1</v>
      </c>
      <c r="O46">
        <v>0</v>
      </c>
      <c r="P46">
        <v>1</v>
      </c>
      <c r="Q46" s="6">
        <f t="shared" si="4"/>
        <v>1</v>
      </c>
      <c r="R46" s="4">
        <v>0</v>
      </c>
      <c r="S46" s="4">
        <v>0</v>
      </c>
      <c r="T46" s="6">
        <f t="shared" si="5"/>
        <v>0</v>
      </c>
      <c r="U46">
        <v>48</v>
      </c>
      <c r="V46">
        <v>18.399999999999999</v>
      </c>
      <c r="W46">
        <v>37.6</v>
      </c>
      <c r="X46">
        <v>7.2</v>
      </c>
      <c r="Y46">
        <v>17.2</v>
      </c>
    </row>
    <row r="47" spans="1:31">
      <c r="A47" s="20" t="s">
        <v>21</v>
      </c>
      <c r="B47" s="3">
        <v>170206</v>
      </c>
      <c r="C47">
        <v>0</v>
      </c>
      <c r="D47">
        <v>0</v>
      </c>
      <c r="E47" s="6">
        <f t="shared" si="0"/>
        <v>0</v>
      </c>
      <c r="F47" s="4">
        <v>0</v>
      </c>
      <c r="G47">
        <v>0</v>
      </c>
      <c r="H47" s="6">
        <f t="shared" si="1"/>
        <v>0</v>
      </c>
      <c r="I47">
        <v>0</v>
      </c>
      <c r="J47">
        <v>1</v>
      </c>
      <c r="K47" s="6">
        <f t="shared" si="2"/>
        <v>1</v>
      </c>
      <c r="L47" s="4">
        <v>1</v>
      </c>
      <c r="M47" s="4">
        <v>0</v>
      </c>
      <c r="N47" s="6">
        <f t="shared" si="3"/>
        <v>1</v>
      </c>
      <c r="O47">
        <v>1</v>
      </c>
      <c r="P47">
        <v>1</v>
      </c>
      <c r="Q47" s="6">
        <f t="shared" si="4"/>
        <v>1</v>
      </c>
      <c r="R47" s="4">
        <v>0</v>
      </c>
      <c r="S47" s="4">
        <v>0</v>
      </c>
      <c r="T47" s="6">
        <f t="shared" si="5"/>
        <v>0</v>
      </c>
      <c r="U47">
        <v>74.8</v>
      </c>
      <c r="V47">
        <v>19.600000000000001</v>
      </c>
      <c r="W47">
        <v>42</v>
      </c>
      <c r="X47">
        <v>27.2</v>
      </c>
      <c r="Y47">
        <v>39</v>
      </c>
    </row>
    <row r="48" spans="1:31">
      <c r="A48" s="20" t="s">
        <v>22</v>
      </c>
      <c r="B48" s="3">
        <v>170206</v>
      </c>
      <c r="C48">
        <v>0</v>
      </c>
      <c r="D48">
        <v>1</v>
      </c>
      <c r="E48" s="6">
        <f t="shared" si="0"/>
        <v>1</v>
      </c>
      <c r="F48" s="4">
        <v>0</v>
      </c>
      <c r="G48">
        <v>0</v>
      </c>
      <c r="H48" s="6">
        <f t="shared" si="1"/>
        <v>0</v>
      </c>
      <c r="I48">
        <v>0</v>
      </c>
      <c r="J48">
        <v>1</v>
      </c>
      <c r="K48" s="6">
        <f t="shared" si="2"/>
        <v>1</v>
      </c>
      <c r="L48" s="4">
        <v>1</v>
      </c>
      <c r="M48" s="4">
        <v>1</v>
      </c>
      <c r="N48" s="6">
        <f t="shared" si="3"/>
        <v>1</v>
      </c>
      <c r="O48">
        <v>0</v>
      </c>
      <c r="P48">
        <v>0</v>
      </c>
      <c r="Q48" s="6">
        <f t="shared" si="4"/>
        <v>0</v>
      </c>
      <c r="R48" s="4">
        <v>0</v>
      </c>
      <c r="S48" s="4">
        <v>0</v>
      </c>
      <c r="T48" s="6">
        <f t="shared" si="5"/>
        <v>0</v>
      </c>
      <c r="U48">
        <v>68.2</v>
      </c>
      <c r="V48">
        <v>42.2</v>
      </c>
      <c r="W48">
        <v>53.4</v>
      </c>
      <c r="X48">
        <v>11.6</v>
      </c>
      <c r="Y48">
        <v>20.6</v>
      </c>
    </row>
    <row r="49" spans="1:25" ht="15" thickBot="1">
      <c r="A49" s="20" t="s">
        <v>23</v>
      </c>
      <c r="B49" s="3">
        <v>170206</v>
      </c>
      <c r="C49">
        <v>1</v>
      </c>
      <c r="D49">
        <v>0</v>
      </c>
      <c r="E49" s="6">
        <f t="shared" si="0"/>
        <v>1</v>
      </c>
      <c r="F49" s="4">
        <v>0</v>
      </c>
      <c r="G49">
        <v>0</v>
      </c>
      <c r="H49" s="6">
        <f t="shared" si="1"/>
        <v>0</v>
      </c>
      <c r="I49">
        <v>0</v>
      </c>
      <c r="J49">
        <v>0</v>
      </c>
      <c r="K49" s="6">
        <f t="shared" si="2"/>
        <v>0</v>
      </c>
      <c r="L49" s="4">
        <v>1</v>
      </c>
      <c r="M49" s="4">
        <v>1</v>
      </c>
      <c r="N49" s="6">
        <f t="shared" si="3"/>
        <v>1</v>
      </c>
      <c r="O49">
        <v>1</v>
      </c>
      <c r="P49">
        <v>0</v>
      </c>
      <c r="Q49" s="6">
        <f t="shared" si="4"/>
        <v>1</v>
      </c>
      <c r="R49" s="4">
        <v>0</v>
      </c>
      <c r="S49">
        <v>1</v>
      </c>
      <c r="T49" s="6">
        <f t="shared" si="5"/>
        <v>1</v>
      </c>
      <c r="U49" s="2">
        <v>72.400000000000006</v>
      </c>
      <c r="V49" s="2">
        <v>73.400000000000006</v>
      </c>
      <c r="W49" s="2">
        <v>11.8</v>
      </c>
      <c r="X49" s="2">
        <v>14.4</v>
      </c>
      <c r="Y49" s="2">
        <v>49.4</v>
      </c>
    </row>
    <row r="50" spans="1:25">
      <c r="C50" s="16">
        <f t="shared" ref="C50:E50" si="10">SUM(C2:C49)</f>
        <v>15</v>
      </c>
      <c r="D50" s="16">
        <f t="shared" si="10"/>
        <v>9</v>
      </c>
      <c r="E50" s="17">
        <f t="shared" si="10"/>
        <v>19</v>
      </c>
      <c r="F50" s="16">
        <f t="shared" ref="F50:T50" si="11">SUM(F2:F49)</f>
        <v>8</v>
      </c>
      <c r="G50" s="16">
        <f t="shared" si="11"/>
        <v>17</v>
      </c>
      <c r="H50" s="17">
        <f t="shared" si="11"/>
        <v>19</v>
      </c>
      <c r="I50" s="16">
        <f t="shared" si="11"/>
        <v>16</v>
      </c>
      <c r="J50" s="16">
        <f t="shared" si="11"/>
        <v>31</v>
      </c>
      <c r="K50" s="17">
        <f t="shared" si="11"/>
        <v>35</v>
      </c>
      <c r="L50" s="16">
        <f t="shared" si="11"/>
        <v>39</v>
      </c>
      <c r="M50" s="16">
        <f t="shared" si="11"/>
        <v>28</v>
      </c>
      <c r="N50" s="17">
        <f t="shared" si="11"/>
        <v>42</v>
      </c>
      <c r="O50" s="16">
        <f t="shared" si="11"/>
        <v>33</v>
      </c>
      <c r="P50" s="16">
        <f t="shared" si="11"/>
        <v>27</v>
      </c>
      <c r="Q50" s="17">
        <f t="shared" si="11"/>
        <v>38</v>
      </c>
      <c r="R50" s="16">
        <f t="shared" si="11"/>
        <v>18</v>
      </c>
      <c r="S50" s="16">
        <f t="shared" si="11"/>
        <v>29</v>
      </c>
      <c r="T50" s="17">
        <f t="shared" si="11"/>
        <v>29</v>
      </c>
      <c r="U50" s="16">
        <f>AVERAGE(U2:U49)</f>
        <v>101.53541666666666</v>
      </c>
      <c r="V50" s="16">
        <f t="shared" ref="V50:X50" si="12">AVERAGE(V2:V49)</f>
        <v>79.542083333333338</v>
      </c>
      <c r="W50" s="16">
        <f t="shared" si="12"/>
        <v>69.757916666666674</v>
      </c>
      <c r="X50" s="16">
        <f t="shared" si="12"/>
        <v>55.457916666666655</v>
      </c>
      <c r="Y50" s="17">
        <f>AVERAGE(Y2:Y49)</f>
        <v>50.210833333333319</v>
      </c>
    </row>
    <row r="51" spans="1:25">
      <c r="C51" s="16">
        <f t="shared" ref="C51:E51" si="13">100*C50/C53</f>
        <v>31.25</v>
      </c>
      <c r="D51" s="16">
        <f t="shared" si="13"/>
        <v>18.75</v>
      </c>
      <c r="E51" s="18">
        <f t="shared" si="13"/>
        <v>39.583333333333336</v>
      </c>
      <c r="F51" s="16">
        <f t="shared" ref="F51:L51" si="14">100*F50/F53</f>
        <v>16.666666666666668</v>
      </c>
      <c r="G51" s="16">
        <f t="shared" si="14"/>
        <v>35.416666666666664</v>
      </c>
      <c r="H51" s="18">
        <f t="shared" si="14"/>
        <v>39.583333333333336</v>
      </c>
      <c r="I51" s="16">
        <f t="shared" si="14"/>
        <v>33.333333333333336</v>
      </c>
      <c r="J51" s="16">
        <f t="shared" si="14"/>
        <v>64.583333333333329</v>
      </c>
      <c r="K51" s="18">
        <f t="shared" si="14"/>
        <v>72.916666666666671</v>
      </c>
      <c r="L51" s="16">
        <f t="shared" si="14"/>
        <v>81.25</v>
      </c>
      <c r="M51" s="16">
        <f t="shared" ref="M51:N51" si="15">100*M50/M53</f>
        <v>58.333333333333336</v>
      </c>
      <c r="N51" s="18">
        <f t="shared" si="15"/>
        <v>87.5</v>
      </c>
      <c r="O51" s="16">
        <f t="shared" ref="O51:T51" si="16">100*O50/O53</f>
        <v>68.75</v>
      </c>
      <c r="P51" s="16">
        <f t="shared" si="16"/>
        <v>56.25</v>
      </c>
      <c r="Q51" s="18">
        <f t="shared" si="16"/>
        <v>79.166666666666671</v>
      </c>
      <c r="R51" s="16">
        <f t="shared" si="16"/>
        <v>37.5</v>
      </c>
      <c r="S51" s="16">
        <f t="shared" si="16"/>
        <v>60.416666666666664</v>
      </c>
      <c r="T51" s="18">
        <f t="shared" si="16"/>
        <v>60.416666666666664</v>
      </c>
      <c r="U51" s="16">
        <f>_xlfn.STDEV.S(U2:U50)</f>
        <v>22.708368589422236</v>
      </c>
      <c r="V51" s="16">
        <f t="shared" ref="V51:Y51" si="17">_xlfn.STDEV.S(V2:V50)</f>
        <v>32.599875827877923</v>
      </c>
      <c r="W51" s="16">
        <f t="shared" si="17"/>
        <v>35.003911981277966</v>
      </c>
      <c r="X51" s="16">
        <f t="shared" si="17"/>
        <v>35.791892526935804</v>
      </c>
      <c r="Y51" s="18">
        <f t="shared" si="17"/>
        <v>34.115073881969273</v>
      </c>
    </row>
    <row r="52" spans="1:25">
      <c r="C52" s="16"/>
      <c r="D52" s="16"/>
      <c r="E52" s="18"/>
      <c r="F52" s="16"/>
      <c r="G52" s="16"/>
      <c r="H52" s="18"/>
      <c r="I52" s="16"/>
      <c r="J52" s="16"/>
      <c r="K52" s="18"/>
      <c r="L52" s="16"/>
      <c r="M52" s="16"/>
      <c r="N52" s="18"/>
      <c r="O52" s="16"/>
      <c r="P52" s="16"/>
      <c r="Q52" s="18"/>
      <c r="R52" s="16"/>
      <c r="S52" s="16"/>
      <c r="T52" s="18"/>
      <c r="U52" s="16">
        <f>U51/U53^0.5</f>
        <v>3.2776706794900425</v>
      </c>
      <c r="V52" s="16">
        <f t="shared" ref="V52:Y52" si="18">V51/V53^0.5</f>
        <v>4.7053867711934236</v>
      </c>
      <c r="W52" s="16">
        <f t="shared" si="18"/>
        <v>5.0523795012702006</v>
      </c>
      <c r="X52" s="16">
        <f t="shared" si="18"/>
        <v>5.1661146963081359</v>
      </c>
      <c r="Y52" s="18">
        <f t="shared" si="18"/>
        <v>4.924086772294733</v>
      </c>
    </row>
    <row r="53" spans="1:25" ht="15" thickBot="1">
      <c r="C53">
        <f t="shared" ref="C53:E53" si="19">COUNT(C2:C49)</f>
        <v>48</v>
      </c>
      <c r="D53">
        <f t="shared" si="19"/>
        <v>48</v>
      </c>
      <c r="E53" s="7">
        <f t="shared" si="19"/>
        <v>48</v>
      </c>
      <c r="F53">
        <f t="shared" ref="F53:K53" si="20">COUNT(F2:F49)</f>
        <v>48</v>
      </c>
      <c r="G53">
        <f t="shared" si="20"/>
        <v>48</v>
      </c>
      <c r="H53" s="7">
        <f t="shared" si="20"/>
        <v>48</v>
      </c>
      <c r="I53">
        <f t="shared" si="20"/>
        <v>48</v>
      </c>
      <c r="J53">
        <f t="shared" si="20"/>
        <v>48</v>
      </c>
      <c r="K53" s="7">
        <f t="shared" si="20"/>
        <v>48</v>
      </c>
      <c r="L53">
        <f t="shared" ref="L53:N53" si="21">COUNT(L2:L49)</f>
        <v>48</v>
      </c>
      <c r="M53">
        <f t="shared" si="21"/>
        <v>48</v>
      </c>
      <c r="N53" s="7">
        <f t="shared" si="21"/>
        <v>48</v>
      </c>
      <c r="O53">
        <f t="shared" ref="O53:U53" si="22">COUNT(O2:O49)</f>
        <v>48</v>
      </c>
      <c r="P53">
        <f t="shared" si="22"/>
        <v>48</v>
      </c>
      <c r="Q53" s="7">
        <f t="shared" si="22"/>
        <v>48</v>
      </c>
      <c r="R53">
        <f t="shared" si="22"/>
        <v>48</v>
      </c>
      <c r="S53">
        <f t="shared" si="22"/>
        <v>48</v>
      </c>
      <c r="T53" s="7">
        <f t="shared" si="22"/>
        <v>48</v>
      </c>
      <c r="U53">
        <f t="shared" si="22"/>
        <v>48</v>
      </c>
      <c r="V53">
        <f t="shared" ref="V53:Y53" si="23">COUNT(V2:V49)</f>
        <v>48</v>
      </c>
      <c r="W53">
        <f t="shared" si="23"/>
        <v>48</v>
      </c>
      <c r="X53">
        <f t="shared" si="23"/>
        <v>48</v>
      </c>
      <c r="Y53" s="7">
        <f t="shared" si="23"/>
        <v>48</v>
      </c>
    </row>
    <row r="65" spans="12:23"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</row>
    <row r="66" spans="12:23"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</row>
    <row r="67" spans="12:23"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</row>
    <row r="69" spans="12:23"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</row>
    <row r="118" spans="6:11">
      <c r="F118" s="16"/>
      <c r="G118" s="16"/>
      <c r="H118" s="16"/>
      <c r="I118" s="16"/>
      <c r="J118" s="16"/>
      <c r="K118" s="16"/>
    </row>
    <row r="119" spans="6:11">
      <c r="F119" s="16"/>
      <c r="G119" s="16"/>
      <c r="H119" s="16"/>
      <c r="I119" s="16"/>
      <c r="J119" s="16"/>
      <c r="K119" s="16"/>
    </row>
    <row r="120" spans="6:11">
      <c r="F120" s="16"/>
      <c r="G120" s="16"/>
      <c r="H120" s="16"/>
      <c r="I120" s="16"/>
      <c r="J120" s="16"/>
      <c r="K120" s="16"/>
    </row>
    <row r="122" spans="6:11">
      <c r="F122" s="16"/>
      <c r="G122" s="16"/>
      <c r="H122" s="16"/>
      <c r="I122" s="16"/>
      <c r="J122" s="16"/>
      <c r="K122" s="16"/>
    </row>
  </sheetData>
  <sortState ref="A2:Y49">
    <sortCondition ref="A2:A49"/>
  </sortState>
  <phoneticPr fontId="1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77"/>
  <sheetViews>
    <sheetView topLeftCell="B1" zoomScale="80" zoomScaleNormal="80" workbookViewId="0">
      <selection activeCell="L54" sqref="L54"/>
    </sheetView>
  </sheetViews>
  <sheetFormatPr baseColWidth="10" defaultColWidth="8.83203125" defaultRowHeight="14"/>
  <sheetData>
    <row r="1" spans="1:45">
      <c r="A1" t="s">
        <v>204</v>
      </c>
      <c r="K1" t="s">
        <v>261</v>
      </c>
      <c r="W1" t="s">
        <v>262</v>
      </c>
      <c r="AI1" t="s">
        <v>220</v>
      </c>
    </row>
    <row r="2" spans="1:45">
      <c r="A2" t="s">
        <v>202</v>
      </c>
      <c r="B2" t="s">
        <v>203</v>
      </c>
      <c r="D2" t="s">
        <v>43</v>
      </c>
      <c r="K2" t="s">
        <v>202</v>
      </c>
      <c r="L2" t="s">
        <v>203</v>
      </c>
      <c r="N2" t="s">
        <v>206</v>
      </c>
      <c r="W2" t="s">
        <v>202</v>
      </c>
      <c r="X2" t="s">
        <v>203</v>
      </c>
      <c r="Z2" t="s">
        <v>206</v>
      </c>
      <c r="AI2" t="s">
        <v>202</v>
      </c>
      <c r="AJ2" t="s">
        <v>203</v>
      </c>
      <c r="AL2" t="s">
        <v>206</v>
      </c>
    </row>
    <row r="3" spans="1:45">
      <c r="A3" s="1">
        <v>104.8</v>
      </c>
      <c r="B3">
        <v>120</v>
      </c>
      <c r="K3">
        <v>1</v>
      </c>
      <c r="L3">
        <v>0</v>
      </c>
      <c r="W3">
        <v>1</v>
      </c>
      <c r="X3">
        <v>1</v>
      </c>
      <c r="AI3">
        <v>1</v>
      </c>
      <c r="AJ3">
        <v>1</v>
      </c>
    </row>
    <row r="4" spans="1:45">
      <c r="A4" s="1">
        <v>41.1</v>
      </c>
      <c r="B4">
        <v>60.959999999999994</v>
      </c>
      <c r="K4">
        <v>1</v>
      </c>
      <c r="L4">
        <v>0</v>
      </c>
      <c r="N4" t="s">
        <v>207</v>
      </c>
      <c r="S4" t="s">
        <v>209</v>
      </c>
      <c r="W4">
        <v>0</v>
      </c>
      <c r="X4">
        <v>0</v>
      </c>
      <c r="Z4" t="s">
        <v>207</v>
      </c>
      <c r="AE4" t="s">
        <v>209</v>
      </c>
      <c r="AI4">
        <v>0</v>
      </c>
      <c r="AJ4">
        <v>0</v>
      </c>
      <c r="AL4" t="s">
        <v>207</v>
      </c>
      <c r="AQ4" t="s">
        <v>209</v>
      </c>
    </row>
    <row r="5" spans="1:45">
      <c r="A5" s="2">
        <v>55.2</v>
      </c>
      <c r="B5" s="1">
        <v>11.58</v>
      </c>
      <c r="E5" s="8" t="s">
        <v>45</v>
      </c>
      <c r="F5" s="8" t="s">
        <v>46</v>
      </c>
      <c r="G5" s="8" t="s">
        <v>47</v>
      </c>
      <c r="H5" s="8" t="s">
        <v>48</v>
      </c>
      <c r="I5" s="8" t="s">
        <v>49</v>
      </c>
      <c r="K5">
        <v>0</v>
      </c>
      <c r="L5">
        <v>0</v>
      </c>
      <c r="W5">
        <v>0</v>
      </c>
      <c r="X5">
        <v>0</v>
      </c>
      <c r="AI5">
        <v>0</v>
      </c>
      <c r="AJ5">
        <v>0</v>
      </c>
    </row>
    <row r="6" spans="1:45">
      <c r="A6" s="1">
        <v>10.6</v>
      </c>
      <c r="B6">
        <v>48.6</v>
      </c>
      <c r="D6" t="s">
        <v>201</v>
      </c>
      <c r="E6">
        <v>20</v>
      </c>
      <c r="F6">
        <v>36.790000000000006</v>
      </c>
      <c r="G6">
        <v>911.21707368420994</v>
      </c>
      <c r="H6">
        <v>30.186372317391999</v>
      </c>
      <c r="I6">
        <v>6.7498780495806363</v>
      </c>
      <c r="K6">
        <v>0</v>
      </c>
      <c r="L6">
        <v>0</v>
      </c>
      <c r="O6">
        <v>0</v>
      </c>
      <c r="P6">
        <v>1</v>
      </c>
      <c r="Q6" t="s">
        <v>208</v>
      </c>
      <c r="T6">
        <v>0</v>
      </c>
      <c r="U6">
        <v>1</v>
      </c>
      <c r="W6">
        <v>1</v>
      </c>
      <c r="X6">
        <v>1</v>
      </c>
      <c r="AA6">
        <v>0</v>
      </c>
      <c r="AB6">
        <v>1</v>
      </c>
      <c r="AC6" t="s">
        <v>208</v>
      </c>
      <c r="AF6">
        <v>0</v>
      </c>
      <c r="AG6">
        <v>1</v>
      </c>
      <c r="AI6">
        <v>1</v>
      </c>
      <c r="AJ6">
        <v>0</v>
      </c>
      <c r="AM6">
        <v>0</v>
      </c>
      <c r="AN6">
        <v>1</v>
      </c>
      <c r="AO6" t="s">
        <v>208</v>
      </c>
      <c r="AR6">
        <v>0</v>
      </c>
      <c r="AS6">
        <v>1</v>
      </c>
    </row>
    <row r="7" spans="1:45">
      <c r="A7" s="1">
        <v>60</v>
      </c>
      <c r="B7">
        <v>40.879999999999995</v>
      </c>
      <c r="D7" t="s">
        <v>170</v>
      </c>
      <c r="E7">
        <v>28</v>
      </c>
      <c r="F7">
        <v>59.797142857142852</v>
      </c>
      <c r="G7">
        <v>1199.0967322751326</v>
      </c>
      <c r="H7">
        <v>34.627976150435543</v>
      </c>
      <c r="I7">
        <v>6.5440723785377291</v>
      </c>
      <c r="K7">
        <v>0</v>
      </c>
      <c r="L7">
        <v>1</v>
      </c>
      <c r="N7" t="s">
        <v>170</v>
      </c>
      <c r="O7">
        <v>16</v>
      </c>
      <c r="P7">
        <v>12</v>
      </c>
      <c r="Q7">
        <v>28</v>
      </c>
      <c r="S7" t="s">
        <v>170</v>
      </c>
      <c r="T7">
        <v>16.916666666666668</v>
      </c>
      <c r="U7">
        <v>11.083333333333334</v>
      </c>
      <c r="W7">
        <v>1</v>
      </c>
      <c r="X7">
        <v>0</v>
      </c>
      <c r="Z7" t="s">
        <v>170</v>
      </c>
      <c r="AA7">
        <v>20</v>
      </c>
      <c r="AB7">
        <v>8</v>
      </c>
      <c r="AC7">
        <v>28</v>
      </c>
      <c r="AE7" t="s">
        <v>170</v>
      </c>
      <c r="AF7">
        <v>16.916666666666668</v>
      </c>
      <c r="AG7">
        <v>11.083333333333334</v>
      </c>
      <c r="AI7">
        <v>1</v>
      </c>
      <c r="AJ7">
        <v>1</v>
      </c>
      <c r="AL7" t="s">
        <v>170</v>
      </c>
      <c r="AM7">
        <v>5</v>
      </c>
      <c r="AN7">
        <v>23</v>
      </c>
      <c r="AO7">
        <v>28</v>
      </c>
      <c r="AQ7" t="s">
        <v>170</v>
      </c>
      <c r="AR7">
        <v>7.583333333333333</v>
      </c>
      <c r="AS7">
        <v>20.416666666666668</v>
      </c>
    </row>
    <row r="8" spans="1:45">
      <c r="A8" s="1">
        <v>29.8</v>
      </c>
      <c r="B8">
        <v>65.28</v>
      </c>
      <c r="K8">
        <v>0</v>
      </c>
      <c r="L8">
        <v>1</v>
      </c>
      <c r="N8" t="s">
        <v>201</v>
      </c>
      <c r="O8">
        <v>13</v>
      </c>
      <c r="P8">
        <v>7</v>
      </c>
      <c r="Q8">
        <v>20</v>
      </c>
      <c r="S8" t="s">
        <v>201</v>
      </c>
      <c r="T8">
        <v>12.083333333333334</v>
      </c>
      <c r="U8">
        <v>7.916666666666667</v>
      </c>
      <c r="W8">
        <v>1</v>
      </c>
      <c r="X8">
        <v>0</v>
      </c>
      <c r="Z8" t="s">
        <v>201</v>
      </c>
      <c r="AA8">
        <v>9</v>
      </c>
      <c r="AB8">
        <v>11</v>
      </c>
      <c r="AC8">
        <v>20</v>
      </c>
      <c r="AE8" t="s">
        <v>201</v>
      </c>
      <c r="AF8">
        <v>12.083333333333334</v>
      </c>
      <c r="AG8">
        <v>7.916666666666667</v>
      </c>
      <c r="AI8">
        <v>0</v>
      </c>
      <c r="AJ8">
        <v>1</v>
      </c>
      <c r="AL8" t="s">
        <v>201</v>
      </c>
      <c r="AM8">
        <v>8</v>
      </c>
      <c r="AN8">
        <v>12</v>
      </c>
      <c r="AO8">
        <v>20</v>
      </c>
      <c r="AQ8" t="s">
        <v>201</v>
      </c>
      <c r="AR8">
        <v>5.416666666666667</v>
      </c>
      <c r="AS8">
        <v>14.583333333333334</v>
      </c>
    </row>
    <row r="9" spans="1:45">
      <c r="A9" s="1">
        <v>34.96</v>
      </c>
      <c r="B9" s="1">
        <v>49.6</v>
      </c>
      <c r="K9">
        <v>0</v>
      </c>
      <c r="L9">
        <v>1</v>
      </c>
      <c r="N9" t="s">
        <v>208</v>
      </c>
      <c r="O9">
        <v>29</v>
      </c>
      <c r="P9">
        <v>19</v>
      </c>
      <c r="Q9">
        <v>48</v>
      </c>
      <c r="W9">
        <v>1</v>
      </c>
      <c r="X9">
        <v>0</v>
      </c>
      <c r="Z9" t="s">
        <v>208</v>
      </c>
      <c r="AA9">
        <v>29</v>
      </c>
      <c r="AB9">
        <v>19</v>
      </c>
      <c r="AC9">
        <v>48</v>
      </c>
      <c r="AI9">
        <v>0</v>
      </c>
      <c r="AJ9">
        <v>1</v>
      </c>
      <c r="AL9" t="s">
        <v>208</v>
      </c>
      <c r="AM9">
        <v>13</v>
      </c>
      <c r="AN9">
        <v>35</v>
      </c>
      <c r="AO9">
        <v>48</v>
      </c>
    </row>
    <row r="10" spans="1:45">
      <c r="A10" s="1">
        <v>21.699999999999996</v>
      </c>
      <c r="B10">
        <v>47</v>
      </c>
      <c r="K10">
        <v>0</v>
      </c>
      <c r="L10">
        <v>1</v>
      </c>
      <c r="W10">
        <v>1</v>
      </c>
      <c r="X10">
        <v>0</v>
      </c>
      <c r="AI10">
        <v>0</v>
      </c>
      <c r="AJ10">
        <v>1</v>
      </c>
    </row>
    <row r="11" spans="1:45">
      <c r="A11" s="1">
        <v>23.98</v>
      </c>
      <c r="B11" s="1">
        <v>85.8</v>
      </c>
      <c r="D11" t="s">
        <v>44</v>
      </c>
      <c r="K11">
        <v>0</v>
      </c>
      <c r="L11">
        <v>1</v>
      </c>
      <c r="W11">
        <v>1</v>
      </c>
      <c r="X11">
        <v>0</v>
      </c>
      <c r="AI11">
        <v>1</v>
      </c>
      <c r="AJ11">
        <v>0</v>
      </c>
    </row>
    <row r="12" spans="1:45">
      <c r="A12" s="1">
        <v>120</v>
      </c>
      <c r="B12">
        <v>42.8</v>
      </c>
      <c r="K12">
        <v>0</v>
      </c>
      <c r="L12">
        <v>1</v>
      </c>
      <c r="W12">
        <v>0</v>
      </c>
      <c r="X12">
        <v>0</v>
      </c>
      <c r="AI12">
        <v>1</v>
      </c>
      <c r="AJ12">
        <v>1</v>
      </c>
    </row>
    <row r="13" spans="1:45">
      <c r="A13" s="1">
        <v>13.2</v>
      </c>
      <c r="B13" s="1">
        <v>12.6</v>
      </c>
      <c r="K13">
        <v>1</v>
      </c>
      <c r="L13">
        <v>0</v>
      </c>
      <c r="N13" t="s">
        <v>210</v>
      </c>
      <c r="W13">
        <v>1</v>
      </c>
      <c r="X13">
        <v>1</v>
      </c>
      <c r="Z13" t="s">
        <v>210</v>
      </c>
      <c r="AI13">
        <v>1</v>
      </c>
      <c r="AJ13">
        <v>1</v>
      </c>
      <c r="AL13" t="s">
        <v>210</v>
      </c>
    </row>
    <row r="14" spans="1:45">
      <c r="A14" s="1">
        <v>10.4</v>
      </c>
      <c r="B14" s="1">
        <v>115.6</v>
      </c>
      <c r="D14" t="s">
        <v>50</v>
      </c>
      <c r="K14">
        <v>1</v>
      </c>
      <c r="L14">
        <v>0</v>
      </c>
      <c r="W14">
        <v>0</v>
      </c>
      <c r="X14">
        <v>0</v>
      </c>
      <c r="AI14">
        <v>0</v>
      </c>
      <c r="AJ14">
        <v>1</v>
      </c>
    </row>
    <row r="15" spans="1:45">
      <c r="A15" s="1">
        <v>9.36</v>
      </c>
      <c r="B15" s="1">
        <v>79.8</v>
      </c>
      <c r="K15">
        <v>1</v>
      </c>
      <c r="L15">
        <v>1</v>
      </c>
      <c r="W15">
        <v>1</v>
      </c>
      <c r="X15">
        <v>1</v>
      </c>
      <c r="AI15">
        <v>1</v>
      </c>
      <c r="AJ15">
        <v>1</v>
      </c>
    </row>
    <row r="16" spans="1:45" ht="15" thickBot="1">
      <c r="A16" s="1">
        <v>25.119999999999997</v>
      </c>
      <c r="B16" s="1">
        <v>18.8</v>
      </c>
      <c r="E16" s="9" t="s">
        <v>51</v>
      </c>
      <c r="F16" s="9" t="s">
        <v>52</v>
      </c>
      <c r="G16" s="9" t="s">
        <v>53</v>
      </c>
      <c r="H16" s="9" t="s">
        <v>54</v>
      </c>
      <c r="I16" s="9" t="s">
        <v>55</v>
      </c>
      <c r="K16">
        <v>0</v>
      </c>
      <c r="L16">
        <v>0</v>
      </c>
      <c r="N16" t="s">
        <v>52</v>
      </c>
      <c r="Q16">
        <v>1</v>
      </c>
      <c r="W16">
        <v>1</v>
      </c>
      <c r="X16">
        <v>1</v>
      </c>
      <c r="Z16" t="s">
        <v>52</v>
      </c>
      <c r="AC16">
        <v>1</v>
      </c>
      <c r="AI16">
        <v>1</v>
      </c>
      <c r="AJ16">
        <v>1</v>
      </c>
      <c r="AL16" t="s">
        <v>52</v>
      </c>
      <c r="AO16">
        <v>1</v>
      </c>
    </row>
    <row r="17" spans="1:41">
      <c r="A17" s="1">
        <v>8.98</v>
      </c>
      <c r="B17" s="1">
        <v>55</v>
      </c>
      <c r="D17" t="s">
        <v>205</v>
      </c>
      <c r="E17">
        <v>-23.007142857142846</v>
      </c>
      <c r="F17">
        <v>46</v>
      </c>
      <c r="G17">
        <v>-2.3910355015838136</v>
      </c>
      <c r="H17">
        <v>2.0948853311649699E-2</v>
      </c>
      <c r="I17">
        <v>2.0128955989194299</v>
      </c>
      <c r="K17">
        <v>0</v>
      </c>
      <c r="L17">
        <v>1</v>
      </c>
      <c r="N17" t="s">
        <v>211</v>
      </c>
      <c r="Q17">
        <v>0.30116670987814365</v>
      </c>
      <c r="W17">
        <v>0</v>
      </c>
      <c r="X17">
        <v>0</v>
      </c>
      <c r="Z17" t="s">
        <v>211</v>
      </c>
      <c r="AC17">
        <v>3.4074150894477575</v>
      </c>
      <c r="AI17">
        <v>0</v>
      </c>
      <c r="AJ17">
        <v>1</v>
      </c>
      <c r="AL17" t="s">
        <v>211</v>
      </c>
      <c r="AO17">
        <v>2.8965777080062796</v>
      </c>
    </row>
    <row r="18" spans="1:41">
      <c r="A18">
        <v>40.4</v>
      </c>
      <c r="B18">
        <v>17.8</v>
      </c>
      <c r="K18">
        <v>0</v>
      </c>
      <c r="L18">
        <v>0</v>
      </c>
      <c r="N18" t="s">
        <v>212</v>
      </c>
      <c r="Q18">
        <v>0.58315192133869664</v>
      </c>
      <c r="W18">
        <v>1</v>
      </c>
      <c r="X18">
        <v>0</v>
      </c>
      <c r="Z18" t="s">
        <v>212</v>
      </c>
      <c r="AC18" s="20">
        <v>6.4904040803865054E-2</v>
      </c>
      <c r="AI18">
        <v>1</v>
      </c>
      <c r="AJ18">
        <v>1</v>
      </c>
      <c r="AL18" t="s">
        <v>212</v>
      </c>
      <c r="AO18" s="20">
        <v>8.876783118575006E-2</v>
      </c>
    </row>
    <row r="19" spans="1:41">
      <c r="A19">
        <v>17.2</v>
      </c>
      <c r="B19">
        <v>101.4</v>
      </c>
      <c r="K19">
        <v>0</v>
      </c>
      <c r="L19">
        <v>1</v>
      </c>
      <c r="N19" t="s">
        <v>213</v>
      </c>
      <c r="Q19">
        <v>7.8963187589734821E-2</v>
      </c>
      <c r="W19">
        <v>0</v>
      </c>
      <c r="X19">
        <v>0</v>
      </c>
      <c r="Z19" t="s">
        <v>213</v>
      </c>
      <c r="AC19">
        <v>0.25745399643214051</v>
      </c>
      <c r="AI19">
        <v>1</v>
      </c>
      <c r="AJ19">
        <v>1</v>
      </c>
      <c r="AL19" t="s">
        <v>213</v>
      </c>
      <c r="AO19">
        <v>0.23856037092199611</v>
      </c>
    </row>
    <row r="20" spans="1:41">
      <c r="A20">
        <v>39</v>
      </c>
      <c r="B20">
        <v>43.2</v>
      </c>
      <c r="D20" t="s">
        <v>56</v>
      </c>
      <c r="K20">
        <v>0</v>
      </c>
      <c r="L20">
        <v>0</v>
      </c>
      <c r="N20" t="s">
        <v>214</v>
      </c>
      <c r="Q20">
        <v>7.9210519855601624E-2</v>
      </c>
      <c r="W20">
        <v>0</v>
      </c>
      <c r="X20">
        <v>1</v>
      </c>
      <c r="Z20" t="s">
        <v>214</v>
      </c>
      <c r="AC20">
        <v>0.26643538496884184</v>
      </c>
      <c r="AI20">
        <v>1</v>
      </c>
      <c r="AJ20">
        <v>1</v>
      </c>
      <c r="AL20" t="s">
        <v>214</v>
      </c>
      <c r="AO20">
        <v>0.24565294404260146</v>
      </c>
    </row>
    <row r="21" spans="1:41">
      <c r="A21">
        <v>20.6</v>
      </c>
      <c r="B21">
        <v>31.72</v>
      </c>
      <c r="K21">
        <v>1</v>
      </c>
      <c r="L21">
        <v>0</v>
      </c>
      <c r="N21" t="s">
        <v>215</v>
      </c>
      <c r="Q21">
        <v>6.22245268343272E-2</v>
      </c>
      <c r="W21">
        <v>0</v>
      </c>
      <c r="X21">
        <v>0</v>
      </c>
      <c r="Z21" t="s">
        <v>215</v>
      </c>
      <c r="AC21">
        <v>2.3919108115115373</v>
      </c>
      <c r="AI21">
        <v>1</v>
      </c>
      <c r="AJ21">
        <v>1</v>
      </c>
      <c r="AL21" t="s">
        <v>215</v>
      </c>
      <c r="AO21">
        <v>1.8838304552590266</v>
      </c>
    </row>
    <row r="22" spans="1:41">
      <c r="A22" s="2">
        <v>49.4</v>
      </c>
      <c r="B22" s="1">
        <v>120</v>
      </c>
      <c r="D22" t="s">
        <v>57</v>
      </c>
      <c r="F22" s="10">
        <v>0.95</v>
      </c>
      <c r="K22">
        <v>1</v>
      </c>
      <c r="L22">
        <v>1</v>
      </c>
      <c r="N22" t="s">
        <v>216</v>
      </c>
      <c r="Q22">
        <v>0.80301391529933974</v>
      </c>
      <c r="W22">
        <v>0</v>
      </c>
      <c r="X22">
        <v>0</v>
      </c>
      <c r="Z22" t="s">
        <v>216</v>
      </c>
      <c r="AC22">
        <v>0.12196446851747819</v>
      </c>
      <c r="AI22">
        <v>0</v>
      </c>
      <c r="AJ22">
        <v>0</v>
      </c>
      <c r="AL22" t="s">
        <v>216</v>
      </c>
      <c r="AO22">
        <v>0.16989942943490921</v>
      </c>
    </row>
    <row r="23" spans="1:41">
      <c r="B23" s="1">
        <v>77.2</v>
      </c>
      <c r="D23" t="s">
        <v>58</v>
      </c>
      <c r="F23">
        <v>-42.375728798329085</v>
      </c>
      <c r="L23">
        <v>0</v>
      </c>
      <c r="N23" t="s">
        <v>217</v>
      </c>
      <c r="Q23">
        <v>0.40305139233542842</v>
      </c>
      <c r="X23">
        <v>0</v>
      </c>
      <c r="Z23" t="s">
        <v>217</v>
      </c>
      <c r="AC23">
        <v>6.1042114867487403E-2</v>
      </c>
      <c r="AJ23">
        <v>1</v>
      </c>
      <c r="AL23" t="s">
        <v>217</v>
      </c>
      <c r="AO23">
        <v>8.5480829666876187E-2</v>
      </c>
    </row>
    <row r="24" spans="1:41">
      <c r="B24" s="2">
        <v>40.6</v>
      </c>
      <c r="D24" t="s">
        <v>59</v>
      </c>
      <c r="F24">
        <v>-3.6385569159566087</v>
      </c>
      <c r="L24">
        <v>0</v>
      </c>
      <c r="N24" t="s">
        <v>218</v>
      </c>
      <c r="Q24">
        <v>0.71794871794871795</v>
      </c>
      <c r="X24">
        <v>0</v>
      </c>
      <c r="Z24" t="s">
        <v>218</v>
      </c>
      <c r="AC24">
        <v>3.0555555555555554</v>
      </c>
      <c r="AJ24">
        <v>1</v>
      </c>
      <c r="AL24" t="s">
        <v>218</v>
      </c>
      <c r="AO24">
        <v>0.32608695652173914</v>
      </c>
    </row>
    <row r="25" spans="1:41">
      <c r="B25">
        <v>94</v>
      </c>
      <c r="L25">
        <v>0</v>
      </c>
      <c r="N25" t="s">
        <v>219</v>
      </c>
      <c r="Q25">
        <v>3.8414588206941236</v>
      </c>
      <c r="X25">
        <v>1</v>
      </c>
      <c r="Z25" t="s">
        <v>219</v>
      </c>
      <c r="AC25">
        <v>3.8414588206941236</v>
      </c>
      <c r="AJ25">
        <v>1</v>
      </c>
      <c r="AL25" t="s">
        <v>219</v>
      </c>
      <c r="AO25">
        <v>3.8414588206941236</v>
      </c>
    </row>
    <row r="26" spans="1:41">
      <c r="B26">
        <v>91.179999999999993</v>
      </c>
      <c r="L26">
        <v>0</v>
      </c>
      <c r="X26">
        <v>0</v>
      </c>
      <c r="AJ26">
        <v>1</v>
      </c>
    </row>
    <row r="27" spans="1:41">
      <c r="B27">
        <v>66.320000000000007</v>
      </c>
      <c r="L27">
        <v>0</v>
      </c>
      <c r="X27">
        <v>1</v>
      </c>
      <c r="AJ27">
        <v>1</v>
      </c>
    </row>
    <row r="28" spans="1:41">
      <c r="B28" s="1">
        <v>106.4</v>
      </c>
      <c r="D28" t="s">
        <v>60</v>
      </c>
      <c r="L28">
        <v>1</v>
      </c>
      <c r="X28">
        <v>0</v>
      </c>
      <c r="AJ28">
        <v>1</v>
      </c>
    </row>
    <row r="29" spans="1:41">
      <c r="B29">
        <v>12.4</v>
      </c>
      <c r="L29">
        <v>0</v>
      </c>
      <c r="X29">
        <v>0</v>
      </c>
      <c r="AJ29">
        <v>1</v>
      </c>
    </row>
    <row r="30" spans="1:41" ht="15" thickBot="1">
      <c r="B30" s="1">
        <v>17.8</v>
      </c>
      <c r="E30" s="9" t="s">
        <v>51</v>
      </c>
      <c r="F30" s="9" t="s">
        <v>52</v>
      </c>
      <c r="G30" s="9" t="s">
        <v>53</v>
      </c>
      <c r="H30" s="9" t="s">
        <v>54</v>
      </c>
      <c r="I30" s="9" t="s">
        <v>55</v>
      </c>
      <c r="L30">
        <v>1</v>
      </c>
      <c r="X30">
        <v>0</v>
      </c>
      <c r="AJ30">
        <v>1</v>
      </c>
    </row>
    <row r="31" spans="1:41">
      <c r="D31" t="s">
        <v>205</v>
      </c>
      <c r="E31">
        <v>-23.007142857142846</v>
      </c>
      <c r="F31">
        <v>44.091714927470676</v>
      </c>
      <c r="G31">
        <v>-2.4472120102651309</v>
      </c>
      <c r="H31">
        <v>1.8458613777280673E-2</v>
      </c>
      <c r="I31">
        <v>2.0153675744437649</v>
      </c>
    </row>
    <row r="34" spans="2:36">
      <c r="D34" t="s">
        <v>61</v>
      </c>
    </row>
    <row r="36" spans="2:36">
      <c r="D36" t="s">
        <v>57</v>
      </c>
      <c r="F36" s="10">
        <v>0.95</v>
      </c>
    </row>
    <row r="37" spans="2:36">
      <c r="D37" t="s">
        <v>58</v>
      </c>
      <c r="F37">
        <v>-41.95435687063474</v>
      </c>
    </row>
    <row r="38" spans="2:36">
      <c r="D38" t="s">
        <v>59</v>
      </c>
      <c r="F38">
        <v>-4.0599288436509475</v>
      </c>
    </row>
    <row r="42" spans="2:36">
      <c r="C42" t="s">
        <v>233</v>
      </c>
      <c r="F42" t="s">
        <v>254</v>
      </c>
      <c r="K42" t="s">
        <v>255</v>
      </c>
      <c r="N42" t="s">
        <v>256</v>
      </c>
    </row>
    <row r="43" spans="2:36">
      <c r="C43" t="s">
        <v>222</v>
      </c>
      <c r="D43" t="s">
        <v>221</v>
      </c>
      <c r="F43" t="s">
        <v>239</v>
      </c>
      <c r="G43" t="s">
        <v>237</v>
      </c>
      <c r="H43" t="s">
        <v>238</v>
      </c>
      <c r="K43" t="s">
        <v>259</v>
      </c>
      <c r="L43" t="s">
        <v>260</v>
      </c>
      <c r="N43" t="s">
        <v>239</v>
      </c>
      <c r="O43" t="s">
        <v>237</v>
      </c>
      <c r="P43" t="s">
        <v>238</v>
      </c>
    </row>
    <row r="44" spans="2:36">
      <c r="B44" t="s">
        <v>223</v>
      </c>
      <c r="C44">
        <v>64.58</v>
      </c>
      <c r="D44">
        <v>85.41</v>
      </c>
      <c r="F44">
        <v>89.5</v>
      </c>
      <c r="G44">
        <v>16.600000000000001</v>
      </c>
      <c r="H44">
        <v>100</v>
      </c>
      <c r="J44" t="s">
        <v>223</v>
      </c>
      <c r="K44">
        <v>56.2</v>
      </c>
      <c r="L44">
        <v>89.5</v>
      </c>
      <c r="N44">
        <v>95.8</v>
      </c>
      <c r="O44">
        <v>83.3</v>
      </c>
      <c r="P44">
        <v>96.6</v>
      </c>
    </row>
    <row r="45" spans="2:36">
      <c r="B45" t="s">
        <v>224</v>
      </c>
      <c r="C45">
        <v>68.75</v>
      </c>
      <c r="D45">
        <v>93.75</v>
      </c>
      <c r="F45">
        <v>89.5</v>
      </c>
      <c r="G45">
        <v>20</v>
      </c>
      <c r="H45">
        <v>97.6</v>
      </c>
      <c r="J45" t="s">
        <v>224</v>
      </c>
      <c r="K45">
        <v>65.599999999999994</v>
      </c>
      <c r="L45">
        <v>89.5</v>
      </c>
      <c r="N45">
        <v>98.9</v>
      </c>
      <c r="O45">
        <v>80</v>
      </c>
      <c r="P45">
        <v>100</v>
      </c>
      <c r="AE45" s="8"/>
      <c r="AF45" s="8"/>
      <c r="AG45" s="8"/>
      <c r="AH45" s="8"/>
      <c r="AI45" s="28"/>
      <c r="AJ45" s="28"/>
    </row>
    <row r="46" spans="2:36">
      <c r="B46" t="s">
        <v>225</v>
      </c>
      <c r="C46">
        <v>66.66</v>
      </c>
      <c r="D46">
        <v>91.67</v>
      </c>
      <c r="F46">
        <v>93.75</v>
      </c>
      <c r="G46">
        <v>50</v>
      </c>
      <c r="H46">
        <v>100</v>
      </c>
      <c r="J46" t="s">
        <v>225</v>
      </c>
      <c r="K46">
        <v>63.5</v>
      </c>
      <c r="L46">
        <v>92.1</v>
      </c>
      <c r="N46">
        <v>96.8</v>
      </c>
      <c r="O46">
        <v>66.599999999999994</v>
      </c>
      <c r="P46">
        <v>98.8</v>
      </c>
      <c r="W46" s="8"/>
      <c r="X46" s="8"/>
      <c r="Y46" s="8"/>
      <c r="Z46" s="8"/>
      <c r="AA46" s="8"/>
      <c r="AE46" s="8"/>
      <c r="AF46" s="8"/>
      <c r="AG46" s="8"/>
      <c r="AH46" s="8"/>
      <c r="AI46" s="8"/>
      <c r="AJ46" s="8"/>
    </row>
    <row r="47" spans="2:36">
      <c r="B47" t="s">
        <v>226</v>
      </c>
      <c r="C47">
        <v>60.42</v>
      </c>
      <c r="D47">
        <v>85.42</v>
      </c>
      <c r="F47">
        <v>95.8</v>
      </c>
      <c r="G47">
        <v>75</v>
      </c>
      <c r="H47">
        <v>100</v>
      </c>
      <c r="J47" t="s">
        <v>226</v>
      </c>
      <c r="K47">
        <v>67.7</v>
      </c>
      <c r="L47">
        <v>91.6</v>
      </c>
      <c r="N47">
        <v>97.9</v>
      </c>
      <c r="O47">
        <v>83.3</v>
      </c>
      <c r="P47">
        <v>98.8</v>
      </c>
    </row>
    <row r="48" spans="2:36">
      <c r="B48" t="s">
        <v>227</v>
      </c>
      <c r="C48">
        <v>72.92</v>
      </c>
      <c r="D48">
        <v>85.42</v>
      </c>
      <c r="F48">
        <v>91.66</v>
      </c>
      <c r="G48">
        <v>33.299999999999997</v>
      </c>
      <c r="H48">
        <v>95.5</v>
      </c>
      <c r="J48" t="s">
        <v>227</v>
      </c>
      <c r="K48">
        <v>60.4</v>
      </c>
      <c r="L48">
        <v>95.7</v>
      </c>
      <c r="N48">
        <v>94.7</v>
      </c>
      <c r="O48">
        <v>62.5</v>
      </c>
      <c r="P48">
        <v>97.7</v>
      </c>
    </row>
    <row r="49" spans="2:29">
      <c r="B49" t="s">
        <v>228</v>
      </c>
      <c r="C49">
        <v>60.42</v>
      </c>
      <c r="D49">
        <v>91.67</v>
      </c>
      <c r="F49">
        <v>87.5</v>
      </c>
      <c r="G49">
        <v>50</v>
      </c>
      <c r="H49">
        <v>95</v>
      </c>
      <c r="J49" t="s">
        <v>228</v>
      </c>
      <c r="K49">
        <v>66.599999999999994</v>
      </c>
      <c r="L49">
        <v>90.6</v>
      </c>
      <c r="N49">
        <v>97.9</v>
      </c>
      <c r="O49">
        <v>85.7</v>
      </c>
      <c r="P49">
        <v>98.8</v>
      </c>
    </row>
    <row r="50" spans="2:29">
      <c r="B50" t="s">
        <v>229</v>
      </c>
      <c r="C50">
        <v>62.5</v>
      </c>
      <c r="D50">
        <v>85.41</v>
      </c>
      <c r="F50">
        <v>97.9</v>
      </c>
      <c r="G50">
        <v>100</v>
      </c>
      <c r="H50">
        <v>97.7</v>
      </c>
      <c r="J50" t="s">
        <v>229</v>
      </c>
      <c r="K50">
        <v>65.599999999999994</v>
      </c>
      <c r="L50">
        <v>92.7</v>
      </c>
      <c r="N50">
        <v>96.8</v>
      </c>
      <c r="O50">
        <v>80</v>
      </c>
      <c r="P50">
        <v>97.8</v>
      </c>
    </row>
    <row r="51" spans="2:29">
      <c r="B51" t="s">
        <v>230</v>
      </c>
      <c r="C51">
        <v>68.75</v>
      </c>
      <c r="D51">
        <v>89.58</v>
      </c>
      <c r="F51">
        <v>95.8</v>
      </c>
      <c r="G51">
        <v>50</v>
      </c>
      <c r="H51">
        <v>100</v>
      </c>
      <c r="J51" t="s">
        <v>230</v>
      </c>
      <c r="K51">
        <v>68.7</v>
      </c>
      <c r="L51">
        <v>86.4</v>
      </c>
      <c r="N51">
        <v>94.7</v>
      </c>
      <c r="O51">
        <v>66.599999999999994</v>
      </c>
      <c r="P51">
        <v>96.6</v>
      </c>
    </row>
    <row r="52" spans="2:29">
      <c r="B52" t="s">
        <v>231</v>
      </c>
      <c r="C52">
        <v>60.42</v>
      </c>
      <c r="D52">
        <v>95.83</v>
      </c>
      <c r="F52">
        <v>97.91</v>
      </c>
      <c r="G52">
        <v>50</v>
      </c>
      <c r="H52">
        <v>100</v>
      </c>
      <c r="J52" t="s">
        <v>231</v>
      </c>
      <c r="K52">
        <v>60.4</v>
      </c>
      <c r="L52">
        <v>92.7</v>
      </c>
      <c r="N52">
        <v>92.7</v>
      </c>
      <c r="O52">
        <v>62.5</v>
      </c>
      <c r="P52">
        <v>95.4</v>
      </c>
    </row>
    <row r="53" spans="2:29" ht="15" thickBot="1">
      <c r="B53" t="s">
        <v>232</v>
      </c>
      <c r="C53">
        <v>62.5</v>
      </c>
      <c r="D53">
        <v>91.67</v>
      </c>
      <c r="F53">
        <v>97.91</v>
      </c>
      <c r="G53">
        <v>100</v>
      </c>
      <c r="H53">
        <v>97.8</v>
      </c>
      <c r="J53" t="s">
        <v>232</v>
      </c>
      <c r="K53">
        <v>62.5</v>
      </c>
      <c r="L53">
        <v>91.6</v>
      </c>
      <c r="M53" s="3"/>
      <c r="N53">
        <v>93.7</v>
      </c>
      <c r="O53">
        <v>50</v>
      </c>
      <c r="P53">
        <v>96.6</v>
      </c>
    </row>
    <row r="54" spans="2:29">
      <c r="B54" s="21" t="s">
        <v>234</v>
      </c>
      <c r="C54" s="24">
        <f>AVERAGE(C44:C53)</f>
        <v>64.792000000000002</v>
      </c>
      <c r="D54" s="24">
        <f>AVERAGE(D44:D53)</f>
        <v>89.582999999999998</v>
      </c>
      <c r="F54" s="24">
        <f>AVERAGE(F44:F53)</f>
        <v>93.722999999999985</v>
      </c>
      <c r="G54" s="24">
        <f>AVERAGE(G44:G53)</f>
        <v>54.489999999999995</v>
      </c>
      <c r="H54" s="24">
        <f t="shared" ref="H54" si="0">AVERAGE(H44:H53)</f>
        <v>98.36</v>
      </c>
      <c r="J54" s="21" t="s">
        <v>234</v>
      </c>
      <c r="K54" s="24">
        <f>AVERAGE(K44:K53)</f>
        <v>63.720000000000006</v>
      </c>
      <c r="L54" s="24">
        <f>AVERAGE(L44:L53)</f>
        <v>91.240000000000009</v>
      </c>
      <c r="M54" s="25"/>
      <c r="N54" s="24">
        <f>AVERAGE(N44:N53)</f>
        <v>95.990000000000009</v>
      </c>
      <c r="O54" s="24">
        <f>AVERAGE(O44:O53)</f>
        <v>72.05</v>
      </c>
      <c r="P54" s="24">
        <f t="shared" ref="P54" si="1">AVERAGE(P44:P53)</f>
        <v>97.71</v>
      </c>
    </row>
    <row r="55" spans="2:29">
      <c r="B55" s="22" t="s">
        <v>235</v>
      </c>
      <c r="C55" s="25">
        <f>_xlfn.STDEV.S(C44:C53)</f>
        <v>4.3305113888418409</v>
      </c>
      <c r="D55" s="25">
        <f>_xlfn.STDEV.S(D44:D53)</f>
        <v>3.9291589430818399</v>
      </c>
      <c r="F55" s="25">
        <f>_xlfn.STDEV.S(F44:F53)</f>
        <v>3.9410518900415403</v>
      </c>
      <c r="G55" s="25">
        <f t="shared" ref="G55:H55" si="2">_xlfn.STDEV.S(G44:G53)</f>
        <v>29.283763039913058</v>
      </c>
      <c r="H55" s="25">
        <f t="shared" si="2"/>
        <v>1.9506124394376474</v>
      </c>
      <c r="J55" s="22" t="s">
        <v>80</v>
      </c>
      <c r="K55" s="25">
        <f>_xlfn.STDEV.S(K44:K53)</f>
        <v>3.8892444281919611</v>
      </c>
      <c r="L55" s="25">
        <f t="shared" ref="L55" si="3">_xlfn.STDEV.S(L44:L53)</f>
        <v>2.47305479114394</v>
      </c>
      <c r="M55" s="25"/>
      <c r="N55" s="25">
        <f>_xlfn.STDEV.S(N44:N53)</f>
        <v>2.014089262062523</v>
      </c>
      <c r="O55" s="25">
        <f t="shared" ref="O55:P55" si="4">_xlfn.STDEV.S(O44:O53)</f>
        <v>11.990111666609979</v>
      </c>
      <c r="P55" s="25">
        <f t="shared" si="4"/>
        <v>1.4082692293102983</v>
      </c>
    </row>
    <row r="56" spans="2:29" ht="15" thickBot="1">
      <c r="B56" s="23" t="s">
        <v>236</v>
      </c>
      <c r="C56" s="26">
        <f>C55/(10^0.5)</f>
        <v>1.3694279422039295</v>
      </c>
      <c r="D56" s="26">
        <f>D55/(10^0.5)</f>
        <v>1.2425091548958502</v>
      </c>
      <c r="F56" s="26">
        <f>F55/(10^0.5)</f>
        <v>1.246270034944273</v>
      </c>
      <c r="G56" s="26">
        <f t="shared" ref="G56:H56" si="5">G55/(10^0.5)</f>
        <v>9.2603389666781535</v>
      </c>
      <c r="H56" s="26">
        <f t="shared" si="5"/>
        <v>0.61683781408802174</v>
      </c>
      <c r="J56" s="23" t="s">
        <v>236</v>
      </c>
      <c r="K56" s="26">
        <f>K55/(10^0.5)</f>
        <v>1.2298870770205781</v>
      </c>
      <c r="L56" s="26">
        <f t="shared" ref="L56" si="6">L55/(10^0.5)</f>
        <v>0.78204859184068587</v>
      </c>
      <c r="M56" s="25"/>
      <c r="N56" s="26">
        <f>N55/(10^0.5)</f>
        <v>0.63691094790053326</v>
      </c>
      <c r="O56" s="26">
        <f t="shared" ref="O56:P56" si="7">O55/(10^0.5)</f>
        <v>3.791606226624499</v>
      </c>
      <c r="P56" s="26">
        <f t="shared" si="7"/>
        <v>0.4453338323350497</v>
      </c>
    </row>
    <row r="57" spans="2:29">
      <c r="L57" s="29"/>
      <c r="M57" s="29"/>
      <c r="N57" s="29"/>
      <c r="O57" s="29"/>
      <c r="P57" s="29"/>
      <c r="Q57" s="3"/>
      <c r="R57" s="3"/>
      <c r="S57" s="3"/>
      <c r="T57" s="3"/>
      <c r="U57" s="3"/>
      <c r="V57" s="29"/>
      <c r="W57" s="29"/>
      <c r="X57" s="29"/>
      <c r="Y57" s="29"/>
      <c r="Z57" s="29"/>
      <c r="AA57" s="29"/>
      <c r="AB57" s="29"/>
      <c r="AC57" s="29"/>
    </row>
    <row r="59" spans="2:29">
      <c r="B59" t="s">
        <v>257</v>
      </c>
      <c r="L59" t="s">
        <v>258</v>
      </c>
    </row>
    <row r="60" spans="2:29">
      <c r="B60" t="s">
        <v>251</v>
      </c>
      <c r="C60" t="s">
        <v>253</v>
      </c>
      <c r="D60" t="s">
        <v>252</v>
      </c>
      <c r="L60" t="s">
        <v>251</v>
      </c>
      <c r="M60" t="s">
        <v>253</v>
      </c>
      <c r="N60" t="s">
        <v>252</v>
      </c>
    </row>
    <row r="61" spans="2:29">
      <c r="B61">
        <v>93.722999999999985</v>
      </c>
      <c r="C61">
        <v>64.792000000000002</v>
      </c>
      <c r="D61">
        <v>89.582999999999998</v>
      </c>
      <c r="L61">
        <v>95.990000000000009</v>
      </c>
      <c r="M61">
        <v>63.7</v>
      </c>
      <c r="N61" s="16">
        <f>L54</f>
        <v>91.240000000000009</v>
      </c>
    </row>
    <row r="62" spans="2:29">
      <c r="B62">
        <v>1.246270034944273</v>
      </c>
      <c r="C62">
        <v>1.3694279422039295</v>
      </c>
      <c r="D62">
        <v>1.2425091548958502</v>
      </c>
      <c r="L62">
        <v>0.63691094790053326</v>
      </c>
      <c r="M62">
        <v>1.2</v>
      </c>
      <c r="N62" s="16">
        <f>L56</f>
        <v>0.78204859184068587</v>
      </c>
    </row>
    <row r="63" spans="2:29">
      <c r="M63" s="10"/>
    </row>
    <row r="71" spans="12:18">
      <c r="L71" s="29"/>
      <c r="M71" s="29"/>
      <c r="N71" s="29"/>
      <c r="O71" s="29"/>
      <c r="P71" s="29"/>
      <c r="Q71" s="3"/>
      <c r="R71" s="3"/>
    </row>
    <row r="77" spans="12:18">
      <c r="M77" s="10"/>
    </row>
  </sheetData>
  <phoneticPr fontId="1"/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T11"/>
  <sheetViews>
    <sheetView workbookViewId="0">
      <selection activeCell="G8" sqref="G8"/>
    </sheetView>
  </sheetViews>
  <sheetFormatPr baseColWidth="10" defaultColWidth="8.83203125" defaultRowHeight="14"/>
  <sheetData>
    <row r="2" spans="2:20">
      <c r="C2" t="s">
        <v>179</v>
      </c>
      <c r="D2" t="s">
        <v>317</v>
      </c>
      <c r="E2" t="s">
        <v>171</v>
      </c>
      <c r="F2" t="s">
        <v>172</v>
      </c>
      <c r="G2" t="s">
        <v>173</v>
      </c>
      <c r="H2" t="s">
        <v>174</v>
      </c>
      <c r="I2" t="s">
        <v>175</v>
      </c>
      <c r="J2" t="s">
        <v>176</v>
      </c>
      <c r="K2" t="s">
        <v>177</v>
      </c>
    </row>
    <row r="3" spans="2:20">
      <c r="B3" t="s">
        <v>200</v>
      </c>
      <c r="C3" s="8">
        <v>48</v>
      </c>
      <c r="D3">
        <v>480</v>
      </c>
      <c r="E3" s="8" t="s">
        <v>182</v>
      </c>
      <c r="F3" s="8" t="s">
        <v>182</v>
      </c>
      <c r="G3" s="8" t="s">
        <v>183</v>
      </c>
      <c r="H3" s="8" t="s">
        <v>184</v>
      </c>
      <c r="I3" s="8" t="s">
        <v>185</v>
      </c>
      <c r="J3" s="8" t="s">
        <v>186</v>
      </c>
      <c r="K3" s="8" t="s">
        <v>180</v>
      </c>
    </row>
    <row r="4" spans="2:20">
      <c r="B4" t="s">
        <v>199</v>
      </c>
      <c r="C4" s="8">
        <v>20</v>
      </c>
      <c r="D4">
        <v>200</v>
      </c>
      <c r="E4" s="8" t="s">
        <v>187</v>
      </c>
      <c r="F4" s="8" t="s">
        <v>188</v>
      </c>
      <c r="G4" s="8" t="s">
        <v>189</v>
      </c>
      <c r="H4" s="8" t="s">
        <v>190</v>
      </c>
      <c r="I4" s="8" t="s">
        <v>191</v>
      </c>
      <c r="J4" s="8" t="s">
        <v>189</v>
      </c>
      <c r="K4" s="8" t="s">
        <v>181</v>
      </c>
    </row>
    <row r="5" spans="2:20">
      <c r="B5" t="s">
        <v>178</v>
      </c>
      <c r="C5" s="8">
        <v>28</v>
      </c>
      <c r="D5">
        <v>280</v>
      </c>
      <c r="E5" s="8" t="s">
        <v>193</v>
      </c>
      <c r="F5" s="8" t="s">
        <v>194</v>
      </c>
      <c r="G5" s="8" t="s">
        <v>195</v>
      </c>
      <c r="H5" s="8" t="s">
        <v>196</v>
      </c>
      <c r="I5" s="8" t="s">
        <v>197</v>
      </c>
      <c r="J5" s="8" t="s">
        <v>198</v>
      </c>
      <c r="K5" s="8" t="s">
        <v>192</v>
      </c>
    </row>
    <row r="6" spans="2:20">
      <c r="P6" s="16"/>
      <c r="Q6" s="16"/>
      <c r="S6" s="16"/>
    </row>
    <row r="7" spans="2:20">
      <c r="D7" s="16"/>
      <c r="E7" s="16"/>
      <c r="G7" s="16"/>
      <c r="H7" s="16"/>
      <c r="J7" s="16"/>
      <c r="K7" s="16"/>
      <c r="M7" s="16"/>
      <c r="N7" s="16"/>
      <c r="P7" s="16"/>
      <c r="Q7" s="16"/>
      <c r="S7" s="16"/>
    </row>
    <row r="8" spans="2:20">
      <c r="B8" s="8" t="s">
        <v>250</v>
      </c>
      <c r="C8" s="8" t="s">
        <v>243</v>
      </c>
      <c r="D8" s="27" t="s">
        <v>247</v>
      </c>
      <c r="E8" s="27" t="s">
        <v>248</v>
      </c>
      <c r="G8" s="16"/>
      <c r="H8" s="16"/>
      <c r="J8" s="16"/>
      <c r="K8" s="16"/>
      <c r="M8" s="16"/>
      <c r="N8" s="16"/>
      <c r="P8" s="16"/>
      <c r="Q8" s="16"/>
      <c r="S8" s="16"/>
    </row>
    <row r="9" spans="2:20">
      <c r="B9" s="8" t="s">
        <v>240</v>
      </c>
      <c r="C9" s="8" t="s">
        <v>246</v>
      </c>
      <c r="D9" s="8">
        <v>0.54</v>
      </c>
      <c r="E9" s="8">
        <v>0.98</v>
      </c>
    </row>
    <row r="10" spans="2:20">
      <c r="B10" s="8" t="s">
        <v>241</v>
      </c>
      <c r="C10" s="8" t="s">
        <v>244</v>
      </c>
      <c r="D10" s="27" t="s">
        <v>249</v>
      </c>
      <c r="E10" s="27" t="s">
        <v>249</v>
      </c>
      <c r="G10" s="16"/>
      <c r="H10" s="16"/>
      <c r="J10" s="16"/>
      <c r="K10" s="16"/>
      <c r="M10" s="16"/>
      <c r="N10" s="16"/>
      <c r="P10" s="16"/>
      <c r="Q10" s="16"/>
      <c r="S10" s="16"/>
      <c r="T10" s="16"/>
    </row>
    <row r="11" spans="2:20">
      <c r="B11" s="8" t="s">
        <v>242</v>
      </c>
      <c r="C11" s="8" t="s">
        <v>245</v>
      </c>
      <c r="D11" s="8" t="s">
        <v>249</v>
      </c>
      <c r="E11" s="8" t="s">
        <v>249</v>
      </c>
    </row>
  </sheetData>
  <phoneticPr fontId="1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N45"/>
  <sheetViews>
    <sheetView zoomScale="80" zoomScaleNormal="80" workbookViewId="0">
      <selection activeCell="S16" sqref="S16"/>
    </sheetView>
  </sheetViews>
  <sheetFormatPr baseColWidth="10" defaultColWidth="8.83203125" defaultRowHeight="14"/>
  <sheetData>
    <row r="1" spans="2:39">
      <c r="B1" t="s">
        <v>63</v>
      </c>
      <c r="C1" t="s">
        <v>65</v>
      </c>
      <c r="E1" t="s">
        <v>43</v>
      </c>
      <c r="L1" t="s">
        <v>68</v>
      </c>
      <c r="M1" t="s">
        <v>70</v>
      </c>
      <c r="O1" t="s">
        <v>43</v>
      </c>
      <c r="V1" t="s">
        <v>73</v>
      </c>
      <c r="W1" t="s">
        <v>75</v>
      </c>
      <c r="Y1" t="s">
        <v>43</v>
      </c>
    </row>
    <row r="2" spans="2:39">
      <c r="B2">
        <v>12.4</v>
      </c>
      <c r="C2">
        <v>17.8</v>
      </c>
      <c r="L2">
        <v>17.8</v>
      </c>
      <c r="M2">
        <v>12.4</v>
      </c>
      <c r="V2" s="1">
        <v>120</v>
      </c>
      <c r="W2">
        <v>12.4</v>
      </c>
    </row>
    <row r="3" spans="2:39">
      <c r="B3" s="1">
        <v>17.8</v>
      </c>
      <c r="C3">
        <v>47</v>
      </c>
      <c r="L3">
        <v>47</v>
      </c>
      <c r="M3" s="1">
        <v>17.8</v>
      </c>
      <c r="V3" s="1">
        <v>77.2</v>
      </c>
      <c r="W3" s="1">
        <v>17.8</v>
      </c>
    </row>
    <row r="4" spans="2:39">
      <c r="B4" s="1">
        <v>13.2</v>
      </c>
      <c r="C4" s="1">
        <v>120</v>
      </c>
      <c r="F4" s="8" t="s">
        <v>45</v>
      </c>
      <c r="G4" s="8" t="s">
        <v>46</v>
      </c>
      <c r="H4" s="8" t="s">
        <v>47</v>
      </c>
      <c r="I4" s="8" t="s">
        <v>48</v>
      </c>
      <c r="J4" s="8" t="s">
        <v>49</v>
      </c>
      <c r="L4">
        <v>101.4</v>
      </c>
      <c r="M4" s="1">
        <v>13.2</v>
      </c>
      <c r="P4" s="8" t="s">
        <v>45</v>
      </c>
      <c r="Q4" s="8" t="s">
        <v>46</v>
      </c>
      <c r="R4" s="8" t="s">
        <v>47</v>
      </c>
      <c r="S4" s="8" t="s">
        <v>48</v>
      </c>
      <c r="T4" s="8" t="s">
        <v>49</v>
      </c>
      <c r="V4" s="1">
        <v>21.699999999999996</v>
      </c>
      <c r="W4" s="1">
        <v>13.2</v>
      </c>
      <c r="Z4" s="8" t="s">
        <v>45</v>
      </c>
      <c r="AA4" s="8" t="s">
        <v>46</v>
      </c>
      <c r="AB4" s="8" t="s">
        <v>47</v>
      </c>
      <c r="AC4" s="8" t="s">
        <v>48</v>
      </c>
      <c r="AD4" s="8" t="s">
        <v>49</v>
      </c>
    </row>
    <row r="5" spans="2:39">
      <c r="B5" s="1">
        <v>10.4</v>
      </c>
      <c r="C5">
        <v>101.4</v>
      </c>
      <c r="E5" t="s">
        <v>62</v>
      </c>
      <c r="F5">
        <v>29</v>
      </c>
      <c r="G5">
        <v>38.658620689655166</v>
      </c>
      <c r="H5">
        <v>866.13442660098497</v>
      </c>
      <c r="I5">
        <v>29.430161851423531</v>
      </c>
      <c r="J5">
        <v>5.4650438576054636</v>
      </c>
      <c r="L5">
        <v>43.2</v>
      </c>
      <c r="M5" s="1">
        <v>10.4</v>
      </c>
      <c r="O5" t="s">
        <v>67</v>
      </c>
      <c r="P5">
        <v>15</v>
      </c>
      <c r="Q5">
        <v>68.634666666666661</v>
      </c>
      <c r="R5">
        <v>1153.3267695238089</v>
      </c>
      <c r="S5">
        <v>33.960665033591567</v>
      </c>
      <c r="T5">
        <v>8.7686060067485787</v>
      </c>
      <c r="V5" s="2">
        <v>40.6</v>
      </c>
      <c r="W5" s="1">
        <v>10.4</v>
      </c>
      <c r="Y5" t="s">
        <v>72</v>
      </c>
      <c r="Z5">
        <v>9</v>
      </c>
      <c r="AA5">
        <v>71.26444444444445</v>
      </c>
      <c r="AB5">
        <v>1276.9544777777774</v>
      </c>
      <c r="AC5">
        <v>35.73449982548766</v>
      </c>
      <c r="AD5">
        <v>11.911499941829218</v>
      </c>
    </row>
    <row r="6" spans="2:39">
      <c r="B6" s="1">
        <v>9.36</v>
      </c>
      <c r="C6">
        <v>43.2</v>
      </c>
      <c r="E6" t="s">
        <v>64</v>
      </c>
      <c r="F6">
        <v>19</v>
      </c>
      <c r="G6">
        <v>67.843157894736848</v>
      </c>
      <c r="H6">
        <v>1213.0688561403497</v>
      </c>
      <c r="I6">
        <v>34.829138033266766</v>
      </c>
      <c r="J6">
        <v>7.9903522619809904</v>
      </c>
      <c r="L6" s="1">
        <v>85.8</v>
      </c>
      <c r="M6" s="1">
        <v>9.36</v>
      </c>
      <c r="O6" t="s">
        <v>69</v>
      </c>
      <c r="P6">
        <v>33</v>
      </c>
      <c r="Q6">
        <v>41.836363636363636</v>
      </c>
      <c r="R6">
        <v>1009.7421863636362</v>
      </c>
      <c r="S6">
        <v>31.776440744105312</v>
      </c>
      <c r="T6">
        <v>5.5315683193489837</v>
      </c>
      <c r="V6">
        <v>94</v>
      </c>
      <c r="W6" s="1">
        <v>9.36</v>
      </c>
      <c r="Y6" t="s">
        <v>74</v>
      </c>
      <c r="Z6">
        <v>39</v>
      </c>
      <c r="AA6">
        <v>45.35230769230769</v>
      </c>
      <c r="AB6">
        <v>1072.071170850202</v>
      </c>
      <c r="AC6">
        <v>32.742497932353942</v>
      </c>
      <c r="AD6">
        <v>5.2429957448747189</v>
      </c>
    </row>
    <row r="7" spans="2:39">
      <c r="B7" s="1">
        <v>25.119999999999997</v>
      </c>
      <c r="C7" s="1">
        <v>77.2</v>
      </c>
      <c r="L7">
        <v>31.72</v>
      </c>
      <c r="M7" s="1">
        <v>25.119999999999997</v>
      </c>
      <c r="V7" s="1">
        <v>23.98</v>
      </c>
      <c r="W7" s="1">
        <v>25.119999999999997</v>
      </c>
    </row>
    <row r="8" spans="2:39">
      <c r="B8" s="1">
        <v>8.98</v>
      </c>
      <c r="C8" s="1">
        <v>85.8</v>
      </c>
      <c r="L8">
        <v>60.959999999999994</v>
      </c>
      <c r="M8" s="1">
        <v>8.98</v>
      </c>
      <c r="V8">
        <v>91.179999999999993</v>
      </c>
      <c r="W8" s="1">
        <v>8.98</v>
      </c>
    </row>
    <row r="9" spans="2:39">
      <c r="B9" s="1">
        <v>11.58</v>
      </c>
      <c r="C9">
        <v>31.72</v>
      </c>
      <c r="L9">
        <v>94</v>
      </c>
      <c r="M9" s="1">
        <v>11.58</v>
      </c>
      <c r="V9">
        <v>66.320000000000007</v>
      </c>
      <c r="W9" s="1">
        <v>11.58</v>
      </c>
      <c r="AG9" t="s">
        <v>152</v>
      </c>
    </row>
    <row r="10" spans="2:39">
      <c r="B10">
        <v>40.4</v>
      </c>
      <c r="C10">
        <v>60.959999999999994</v>
      </c>
      <c r="E10" t="s">
        <v>44</v>
      </c>
      <c r="L10" s="1">
        <v>23.98</v>
      </c>
      <c r="M10">
        <v>40.4</v>
      </c>
      <c r="O10" t="s">
        <v>44</v>
      </c>
      <c r="V10" s="1">
        <v>106.4</v>
      </c>
      <c r="W10">
        <v>40.4</v>
      </c>
      <c r="Y10" t="s">
        <v>44</v>
      </c>
      <c r="AM10" t="s">
        <v>161</v>
      </c>
    </row>
    <row r="11" spans="2:39">
      <c r="B11">
        <v>120</v>
      </c>
      <c r="C11">
        <v>94</v>
      </c>
      <c r="L11" s="1">
        <v>34.96</v>
      </c>
      <c r="M11">
        <v>120</v>
      </c>
      <c r="W11">
        <v>120</v>
      </c>
    </row>
    <row r="12" spans="2:39">
      <c r="B12">
        <v>42.8</v>
      </c>
      <c r="C12" s="1">
        <v>23.98</v>
      </c>
      <c r="L12">
        <v>91.179999999999993</v>
      </c>
      <c r="M12">
        <v>42.8</v>
      </c>
      <c r="W12">
        <v>42.8</v>
      </c>
      <c r="AH12" s="8" t="s">
        <v>45</v>
      </c>
      <c r="AI12" s="8" t="s">
        <v>46</v>
      </c>
      <c r="AJ12" s="8" t="s">
        <v>47</v>
      </c>
      <c r="AK12" s="8" t="s">
        <v>48</v>
      </c>
      <c r="AL12" s="8" t="s">
        <v>49</v>
      </c>
    </row>
    <row r="13" spans="2:39">
      <c r="B13" s="1">
        <v>12.6</v>
      </c>
      <c r="C13" s="1">
        <v>34.96</v>
      </c>
      <c r="E13" t="s">
        <v>50</v>
      </c>
      <c r="L13">
        <v>66.320000000000007</v>
      </c>
      <c r="M13" s="1">
        <v>12.6</v>
      </c>
      <c r="O13" t="s">
        <v>50</v>
      </c>
      <c r="W13" s="1">
        <v>12.6</v>
      </c>
      <c r="Y13" s="13" t="s">
        <v>50</v>
      </c>
      <c r="Z13" s="13"/>
      <c r="AA13" s="13"/>
      <c r="AB13" s="13"/>
      <c r="AC13" s="13"/>
      <c r="AG13" t="s">
        <v>72</v>
      </c>
      <c r="AH13">
        <v>9</v>
      </c>
      <c r="AI13">
        <v>71.26444444444445</v>
      </c>
      <c r="AJ13">
        <v>1276.9544777777774</v>
      </c>
      <c r="AK13">
        <v>35.73449982548766</v>
      </c>
      <c r="AL13">
        <v>11.911499941829218</v>
      </c>
    </row>
    <row r="14" spans="2:39">
      <c r="B14" s="1">
        <v>115.6</v>
      </c>
      <c r="C14" s="1">
        <v>21.699999999999996</v>
      </c>
      <c r="L14" s="1">
        <v>106.4</v>
      </c>
      <c r="M14" s="1">
        <v>115.6</v>
      </c>
      <c r="W14" s="1">
        <v>115.6</v>
      </c>
      <c r="AG14" t="s">
        <v>74</v>
      </c>
      <c r="AH14">
        <v>39</v>
      </c>
      <c r="AI14">
        <v>45.35230769230769</v>
      </c>
      <c r="AJ14">
        <v>1072.071170850202</v>
      </c>
      <c r="AK14">
        <v>32.742497932353942</v>
      </c>
      <c r="AL14">
        <v>5.2429957448747189</v>
      </c>
    </row>
    <row r="15" spans="2:39" ht="15" thickBot="1">
      <c r="B15">
        <v>48.6</v>
      </c>
      <c r="C15">
        <v>91.179999999999993</v>
      </c>
      <c r="F15" s="9" t="s">
        <v>51</v>
      </c>
      <c r="G15" s="9" t="s">
        <v>52</v>
      </c>
      <c r="H15" s="9" t="s">
        <v>53</v>
      </c>
      <c r="I15" s="9" t="s">
        <v>54</v>
      </c>
      <c r="J15" s="9" t="s">
        <v>55</v>
      </c>
      <c r="L15" s="1">
        <v>120</v>
      </c>
      <c r="M15">
        <v>48.6</v>
      </c>
      <c r="P15" s="9" t="s">
        <v>51</v>
      </c>
      <c r="Q15" s="9" t="s">
        <v>52</v>
      </c>
      <c r="R15" s="9" t="s">
        <v>53</v>
      </c>
      <c r="S15" s="9" t="s">
        <v>54</v>
      </c>
      <c r="T15" s="9" t="s">
        <v>55</v>
      </c>
      <c r="W15">
        <v>48.6</v>
      </c>
      <c r="Z15" s="9" t="s">
        <v>51</v>
      </c>
      <c r="AA15" s="9" t="s">
        <v>52</v>
      </c>
      <c r="AB15" s="9" t="s">
        <v>53</v>
      </c>
      <c r="AC15" s="9" t="s">
        <v>54</v>
      </c>
      <c r="AD15" s="9" t="s">
        <v>55</v>
      </c>
    </row>
    <row r="16" spans="2:39">
      <c r="B16">
        <v>17.2</v>
      </c>
      <c r="C16">
        <v>66.320000000000007</v>
      </c>
      <c r="E16" t="s">
        <v>66</v>
      </c>
      <c r="F16">
        <v>-29.184537205081682</v>
      </c>
      <c r="G16">
        <v>46</v>
      </c>
      <c r="H16">
        <v>-3.1239039492635188</v>
      </c>
      <c r="I16" s="11">
        <v>3.0859019973558843E-3</v>
      </c>
      <c r="J16">
        <v>2.0128955989194299</v>
      </c>
      <c r="L16" s="1">
        <v>104.8</v>
      </c>
      <c r="M16">
        <v>17.2</v>
      </c>
      <c r="O16" t="s">
        <v>71</v>
      </c>
      <c r="P16">
        <v>26.798303030303025</v>
      </c>
      <c r="Q16">
        <v>46</v>
      </c>
      <c r="R16">
        <v>2.651453361451094</v>
      </c>
      <c r="S16" s="11">
        <v>1.095714343642616E-2</v>
      </c>
      <c r="T16">
        <v>2.0128955989194299</v>
      </c>
      <c r="W16">
        <v>17.2</v>
      </c>
      <c r="Y16" t="s">
        <v>76</v>
      </c>
      <c r="Z16">
        <v>25.91213675213676</v>
      </c>
      <c r="AA16">
        <v>46</v>
      </c>
      <c r="AB16">
        <v>2.1053509020768839</v>
      </c>
      <c r="AC16" s="11">
        <v>4.0750670850503594E-2</v>
      </c>
      <c r="AD16">
        <v>2.0128955989194299</v>
      </c>
    </row>
    <row r="17" spans="2:40">
      <c r="B17">
        <v>39</v>
      </c>
      <c r="C17" s="2">
        <v>40.6</v>
      </c>
      <c r="M17">
        <v>39</v>
      </c>
      <c r="W17">
        <v>39</v>
      </c>
    </row>
    <row r="18" spans="2:40">
      <c r="B18">
        <v>20.6</v>
      </c>
      <c r="C18" s="1">
        <v>106.4</v>
      </c>
      <c r="M18">
        <v>20.6</v>
      </c>
      <c r="W18">
        <v>20.6</v>
      </c>
      <c r="AG18" t="s">
        <v>153</v>
      </c>
    </row>
    <row r="19" spans="2:40">
      <c r="B19" s="1">
        <v>41.1</v>
      </c>
      <c r="C19" s="1">
        <v>120</v>
      </c>
      <c r="E19" t="s">
        <v>56</v>
      </c>
      <c r="M19" s="1">
        <v>41.1</v>
      </c>
      <c r="O19" t="s">
        <v>56</v>
      </c>
      <c r="W19" s="1">
        <v>41.1</v>
      </c>
      <c r="Y19" t="s">
        <v>56</v>
      </c>
    </row>
    <row r="20" spans="2:40">
      <c r="B20">
        <v>40.879999999999995</v>
      </c>
      <c r="C20" s="1">
        <v>104.8</v>
      </c>
      <c r="M20">
        <v>40.879999999999995</v>
      </c>
      <c r="W20">
        <v>40.879999999999995</v>
      </c>
    </row>
    <row r="21" spans="2:40" ht="15" thickBot="1">
      <c r="B21">
        <v>65.28</v>
      </c>
      <c r="E21" t="s">
        <v>57</v>
      </c>
      <c r="G21" s="10">
        <v>0.95</v>
      </c>
      <c r="M21">
        <v>65.28</v>
      </c>
      <c r="O21" t="s">
        <v>57</v>
      </c>
      <c r="Q21" s="10">
        <v>0.95</v>
      </c>
      <c r="W21">
        <v>65.28</v>
      </c>
      <c r="Y21" t="s">
        <v>57</v>
      </c>
      <c r="AA21" s="10">
        <v>0.95</v>
      </c>
      <c r="AH21" s="9" t="s">
        <v>154</v>
      </c>
      <c r="AI21" s="9" t="s">
        <v>155</v>
      </c>
      <c r="AJ21" s="9" t="s">
        <v>156</v>
      </c>
      <c r="AK21" s="9" t="s">
        <v>157</v>
      </c>
      <c r="AL21" s="9" t="s">
        <v>54</v>
      </c>
      <c r="AM21" s="9" t="s">
        <v>158</v>
      </c>
      <c r="AN21" s="9" t="s">
        <v>159</v>
      </c>
    </row>
    <row r="22" spans="2:40">
      <c r="B22" s="2">
        <v>49.4</v>
      </c>
      <c r="E22" t="s">
        <v>58</v>
      </c>
      <c r="G22">
        <v>-47.989669325247831</v>
      </c>
      <c r="M22" s="2">
        <v>49.4</v>
      </c>
      <c r="O22" t="s">
        <v>58</v>
      </c>
      <c r="Q22">
        <v>6.4539186966164737</v>
      </c>
      <c r="W22" s="2">
        <v>49.4</v>
      </c>
      <c r="Y22" t="s">
        <v>58</v>
      </c>
      <c r="AA22">
        <v>1.1379169413103016</v>
      </c>
      <c r="AG22" t="s">
        <v>76</v>
      </c>
      <c r="AH22">
        <v>1.1911097998886524</v>
      </c>
      <c r="AI22">
        <v>8</v>
      </c>
      <c r="AJ22">
        <v>38</v>
      </c>
      <c r="AK22">
        <v>1.1911097998886524</v>
      </c>
      <c r="AL22">
        <v>0.65999087302961545</v>
      </c>
      <c r="AM22">
        <v>0.25984724665167053</v>
      </c>
      <c r="AN22">
        <v>2.5478357077187823</v>
      </c>
    </row>
    <row r="23" spans="2:40">
      <c r="B23" s="2">
        <v>55.2</v>
      </c>
      <c r="E23" t="s">
        <v>59</v>
      </c>
      <c r="G23">
        <v>-10.379405084915534</v>
      </c>
      <c r="M23" s="2">
        <v>55.2</v>
      </c>
      <c r="O23" t="s">
        <v>59</v>
      </c>
      <c r="Q23">
        <v>47.142687363989573</v>
      </c>
      <c r="W23" s="2">
        <v>55.2</v>
      </c>
      <c r="Y23" t="s">
        <v>59</v>
      </c>
      <c r="AA23">
        <v>50.686356562963219</v>
      </c>
    </row>
    <row r="24" spans="2:40">
      <c r="B24" s="1">
        <v>49.6</v>
      </c>
      <c r="M24" s="1">
        <v>49.6</v>
      </c>
      <c r="W24" s="1">
        <v>49.6</v>
      </c>
      <c r="AL24" t="s">
        <v>162</v>
      </c>
    </row>
    <row r="25" spans="2:40">
      <c r="B25" s="1">
        <v>10.6</v>
      </c>
      <c r="M25" s="1">
        <v>10.6</v>
      </c>
      <c r="W25" s="1">
        <v>10.6</v>
      </c>
    </row>
    <row r="26" spans="2:40">
      <c r="B26" s="1">
        <v>79.8</v>
      </c>
      <c r="M26" s="1">
        <v>79.8</v>
      </c>
      <c r="W26" s="1">
        <v>79.8</v>
      </c>
      <c r="AG26" t="s">
        <v>160</v>
      </c>
    </row>
    <row r="27" spans="2:40">
      <c r="B27" s="1">
        <v>18.8</v>
      </c>
      <c r="E27" t="s">
        <v>60</v>
      </c>
      <c r="M27" s="1">
        <v>18.8</v>
      </c>
      <c r="O27" t="s">
        <v>60</v>
      </c>
      <c r="W27" s="1">
        <v>18.8</v>
      </c>
      <c r="Y27" t="s">
        <v>60</v>
      </c>
    </row>
    <row r="28" spans="2:40">
      <c r="B28" s="1">
        <v>60</v>
      </c>
      <c r="M28" s="1">
        <v>60</v>
      </c>
      <c r="W28" s="1">
        <v>60</v>
      </c>
      <c r="AG28" t="s">
        <v>57</v>
      </c>
      <c r="AI28" s="10">
        <v>0.95</v>
      </c>
    </row>
    <row r="29" spans="2:40" ht="15" thickBot="1">
      <c r="B29" s="1">
        <v>55</v>
      </c>
      <c r="F29" s="9" t="s">
        <v>51</v>
      </c>
      <c r="G29" s="9" t="s">
        <v>52</v>
      </c>
      <c r="H29" s="9" t="s">
        <v>53</v>
      </c>
      <c r="I29" s="9" t="s">
        <v>54</v>
      </c>
      <c r="J29" s="9" t="s">
        <v>55</v>
      </c>
      <c r="M29" s="1">
        <v>55</v>
      </c>
      <c r="P29" s="9" t="s">
        <v>51</v>
      </c>
      <c r="Q29" s="9" t="s">
        <v>52</v>
      </c>
      <c r="R29" s="9" t="s">
        <v>53</v>
      </c>
      <c r="S29" s="9" t="s">
        <v>54</v>
      </c>
      <c r="T29" s="9" t="s">
        <v>55</v>
      </c>
      <c r="W29" s="1">
        <v>55</v>
      </c>
      <c r="Z29" s="9" t="s">
        <v>51</v>
      </c>
      <c r="AA29" s="9" t="s">
        <v>52</v>
      </c>
      <c r="AB29" s="9" t="s">
        <v>53</v>
      </c>
      <c r="AC29" s="9" t="s">
        <v>54</v>
      </c>
      <c r="AD29" s="9" t="s">
        <v>55</v>
      </c>
      <c r="AG29" t="s">
        <v>58</v>
      </c>
      <c r="AI29">
        <v>0.46749866809705665</v>
      </c>
    </row>
    <row r="30" spans="2:40">
      <c r="B30" s="1">
        <v>29.8</v>
      </c>
      <c r="E30" t="s">
        <v>66</v>
      </c>
      <c r="F30">
        <v>-29.184537205081682</v>
      </c>
      <c r="G30">
        <v>33.99697438406254</v>
      </c>
      <c r="H30">
        <v>-3.0147701232507149</v>
      </c>
      <c r="I30" s="11">
        <v>4.8367580879131421E-3</v>
      </c>
      <c r="J30">
        <v>2.0322445093177191</v>
      </c>
      <c r="M30" s="1">
        <v>29.8</v>
      </c>
      <c r="O30" t="s">
        <v>71</v>
      </c>
      <c r="P30">
        <v>26.798303030303025</v>
      </c>
      <c r="Q30">
        <v>25.587105390690738</v>
      </c>
      <c r="R30">
        <v>2.5848177670535075</v>
      </c>
      <c r="S30" s="11">
        <v>1.5707742546674036E-2</v>
      </c>
      <c r="T30">
        <v>2.0555294386428731</v>
      </c>
      <c r="W30" s="1">
        <v>29.8</v>
      </c>
      <c r="Y30" t="s">
        <v>76</v>
      </c>
      <c r="Z30">
        <v>25.91213675213676</v>
      </c>
      <c r="AA30">
        <v>11.310797159685611</v>
      </c>
      <c r="AB30">
        <v>1.9910462494318093</v>
      </c>
      <c r="AC30" s="11">
        <v>7.1897934433479083E-2</v>
      </c>
      <c r="AD30">
        <v>2.2009851600916384</v>
      </c>
      <c r="AG30" t="s">
        <v>59</v>
      </c>
      <c r="AI30">
        <v>4.5838846292851221</v>
      </c>
    </row>
    <row r="31" spans="2:40">
      <c r="M31" s="1">
        <v>120</v>
      </c>
      <c r="W31">
        <v>17.8</v>
      </c>
    </row>
    <row r="32" spans="2:40">
      <c r="M32" s="1">
        <v>77.2</v>
      </c>
      <c r="W32">
        <v>47</v>
      </c>
    </row>
    <row r="33" spans="1:27">
      <c r="E33" t="s">
        <v>61</v>
      </c>
      <c r="M33" s="1">
        <v>21.699999999999996</v>
      </c>
      <c r="O33" t="s">
        <v>61</v>
      </c>
      <c r="W33">
        <v>101.4</v>
      </c>
      <c r="Y33" t="s">
        <v>61</v>
      </c>
    </row>
    <row r="34" spans="1:27">
      <c r="M34" s="2">
        <v>40.6</v>
      </c>
      <c r="W34">
        <v>43.2</v>
      </c>
    </row>
    <row r="35" spans="1:27">
      <c r="E35" t="s">
        <v>57</v>
      </c>
      <c r="G35" s="10">
        <v>0.95</v>
      </c>
      <c r="O35" t="s">
        <v>57</v>
      </c>
      <c r="Q35" s="10">
        <v>0.95</v>
      </c>
      <c r="W35" s="1">
        <v>85.8</v>
      </c>
      <c r="Y35" t="s">
        <v>57</v>
      </c>
      <c r="AA35" s="10">
        <v>0.95</v>
      </c>
    </row>
    <row r="36" spans="1:27">
      <c r="E36" t="s">
        <v>58</v>
      </c>
      <c r="G36">
        <v>-48.857717270981375</v>
      </c>
      <c r="O36" t="s">
        <v>58</v>
      </c>
      <c r="Q36">
        <v>5.487438687532479</v>
      </c>
      <c r="W36">
        <v>31.72</v>
      </c>
      <c r="Y36" t="s">
        <v>58</v>
      </c>
      <c r="AA36">
        <v>-2.7322146656133834</v>
      </c>
    </row>
    <row r="37" spans="1:27">
      <c r="E37" t="s">
        <v>59</v>
      </c>
      <c r="G37">
        <v>-9.5113571391819853</v>
      </c>
      <c r="O37" t="s">
        <v>59</v>
      </c>
      <c r="Q37">
        <v>48.109167373073568</v>
      </c>
      <c r="W37">
        <v>60.959999999999994</v>
      </c>
      <c r="Y37" t="s">
        <v>59</v>
      </c>
      <c r="AA37">
        <v>54.556488169886904</v>
      </c>
    </row>
    <row r="38" spans="1:27">
      <c r="W38" s="1">
        <v>34.96</v>
      </c>
    </row>
    <row r="39" spans="1:27">
      <c r="W39" s="1">
        <v>120</v>
      </c>
    </row>
    <row r="40" spans="1:27">
      <c r="W40" s="1">
        <v>104.8</v>
      </c>
    </row>
    <row r="41" spans="1:27">
      <c r="B41" t="s">
        <v>63</v>
      </c>
      <c r="C41" t="s">
        <v>65</v>
      </c>
      <c r="L41" t="s">
        <v>68</v>
      </c>
      <c r="M41" t="s">
        <v>70</v>
      </c>
      <c r="V41" t="s">
        <v>73</v>
      </c>
      <c r="W41" t="s">
        <v>75</v>
      </c>
    </row>
    <row r="42" spans="1:27">
      <c r="A42" t="s">
        <v>78</v>
      </c>
      <c r="B42">
        <f>AVERAGE(B2:B41)</f>
        <v>38.658620689655166</v>
      </c>
      <c r="C42">
        <f>AVERAGE(C2:C41)</f>
        <v>67.843157894736848</v>
      </c>
      <c r="K42" t="s">
        <v>78</v>
      </c>
      <c r="L42">
        <f>AVERAGE(L2:L41)</f>
        <v>68.634666666666661</v>
      </c>
      <c r="M42">
        <f>AVERAGE(M2:M41)</f>
        <v>41.836363636363636</v>
      </c>
      <c r="U42" t="s">
        <v>78</v>
      </c>
      <c r="V42">
        <f>AVERAGE(V2:V40)</f>
        <v>71.26444444444445</v>
      </c>
      <c r="W42">
        <f>AVERAGE(W2:W40)</f>
        <v>45.35230769230769</v>
      </c>
    </row>
    <row r="43" spans="1:27">
      <c r="A43" t="s">
        <v>80</v>
      </c>
      <c r="B43">
        <f>_xlfn.STDEV.S(B2:B41)</f>
        <v>29.430161851423531</v>
      </c>
      <c r="C43">
        <f>_xlfn.STDEV.S(C2:C41)</f>
        <v>34.829138033266766</v>
      </c>
      <c r="K43" t="s">
        <v>80</v>
      </c>
      <c r="L43">
        <f>_xlfn.STDEV.S(L2:L41)</f>
        <v>33.960665033591567</v>
      </c>
      <c r="M43">
        <f>_xlfn.STDEV.S(M2:M41)</f>
        <v>31.776440744105312</v>
      </c>
      <c r="U43" t="s">
        <v>80</v>
      </c>
      <c r="V43">
        <f>_xlfn.STDEV.S(V2:V40)</f>
        <v>35.73449982548766</v>
      </c>
      <c r="W43">
        <f>_xlfn.STDEV.S(W2:W40)</f>
        <v>32.742497932353942</v>
      </c>
    </row>
    <row r="44" spans="1:27">
      <c r="A44" t="s">
        <v>82</v>
      </c>
      <c r="B44">
        <f>B43/B45^0.5</f>
        <v>5.4650438576054636</v>
      </c>
      <c r="C44">
        <f>C43/C45^0.5</f>
        <v>7.9903522619809886</v>
      </c>
      <c r="K44" t="s">
        <v>82</v>
      </c>
      <c r="L44">
        <f>L43/L45^0.5</f>
        <v>8.7686060067485787</v>
      </c>
      <c r="M44">
        <f>M43/M45^0.5</f>
        <v>5.5315683193489837</v>
      </c>
      <c r="U44" t="s">
        <v>82</v>
      </c>
      <c r="V44">
        <f>V43/V45^0.5</f>
        <v>11.91149994182922</v>
      </c>
      <c r="W44">
        <f>W43/W45^0.5</f>
        <v>5.2429957448747198</v>
      </c>
    </row>
    <row r="45" spans="1:27">
      <c r="A45" t="s">
        <v>84</v>
      </c>
      <c r="B45">
        <f>COUNT(B2:B41)</f>
        <v>29</v>
      </c>
      <c r="C45">
        <f>COUNT(C2:C41)</f>
        <v>19</v>
      </c>
      <c r="K45" t="s">
        <v>84</v>
      </c>
      <c r="L45">
        <f>COUNT(L2:L41)</f>
        <v>15</v>
      </c>
      <c r="M45">
        <f>COUNT(M2:M41)</f>
        <v>33</v>
      </c>
      <c r="U45" t="s">
        <v>84</v>
      </c>
      <c r="V45">
        <f>COUNT(V2:V40)</f>
        <v>9</v>
      </c>
      <c r="W45">
        <f>COUNT(W2:W40)</f>
        <v>39</v>
      </c>
    </row>
  </sheetData>
  <phoneticPr fontId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4"/>
  <sheetData/>
  <phoneticPr fontId="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M44"/>
  <sheetViews>
    <sheetView topLeftCell="A40" zoomScale="90" zoomScaleNormal="90" workbookViewId="0">
      <selection activeCell="Y13" sqref="Y13:AB13"/>
    </sheetView>
  </sheetViews>
  <sheetFormatPr baseColWidth="10" defaultColWidth="8.83203125" defaultRowHeight="14"/>
  <sheetData>
    <row r="1" spans="2:39">
      <c r="B1" t="s">
        <v>86</v>
      </c>
      <c r="C1" t="s">
        <v>88</v>
      </c>
      <c r="E1" t="s">
        <v>43</v>
      </c>
      <c r="L1" t="s">
        <v>91</v>
      </c>
      <c r="M1" t="s">
        <v>93</v>
      </c>
      <c r="O1" t="s">
        <v>43</v>
      </c>
      <c r="V1" t="s">
        <v>96</v>
      </c>
      <c r="W1" t="s">
        <v>98</v>
      </c>
      <c r="Y1" t="s">
        <v>43</v>
      </c>
      <c r="AF1" t="s">
        <v>152</v>
      </c>
    </row>
    <row r="2" spans="2:39">
      <c r="B2">
        <v>120</v>
      </c>
      <c r="C2">
        <v>12.4</v>
      </c>
      <c r="L2" s="1">
        <v>55</v>
      </c>
      <c r="M2" s="1">
        <v>13.2</v>
      </c>
      <c r="V2">
        <v>120</v>
      </c>
      <c r="W2">
        <v>12.4</v>
      </c>
    </row>
    <row r="3" spans="2:39">
      <c r="B3">
        <v>42.8</v>
      </c>
      <c r="C3" s="1">
        <v>17.8</v>
      </c>
      <c r="L3">
        <v>17.8</v>
      </c>
      <c r="M3" s="1">
        <v>10.4</v>
      </c>
      <c r="V3">
        <v>42.8</v>
      </c>
      <c r="W3" s="1">
        <v>17.8</v>
      </c>
    </row>
    <row r="4" spans="2:39">
      <c r="B4" s="1">
        <v>12.6</v>
      </c>
      <c r="C4" s="1">
        <v>13.2</v>
      </c>
      <c r="F4" s="8" t="s">
        <v>45</v>
      </c>
      <c r="G4" s="8" t="s">
        <v>46</v>
      </c>
      <c r="H4" s="8" t="s">
        <v>47</v>
      </c>
      <c r="I4" s="8" t="s">
        <v>48</v>
      </c>
      <c r="J4" s="8" t="s">
        <v>49</v>
      </c>
      <c r="L4">
        <v>101.4</v>
      </c>
      <c r="M4" s="1">
        <v>9.36</v>
      </c>
      <c r="P4" s="8" t="s">
        <v>45</v>
      </c>
      <c r="Q4" s="8" t="s">
        <v>46</v>
      </c>
      <c r="R4" s="8" t="s">
        <v>47</v>
      </c>
      <c r="S4" s="8" t="s">
        <v>48</v>
      </c>
      <c r="T4" s="8" t="s">
        <v>49</v>
      </c>
      <c r="V4" s="1">
        <v>12.6</v>
      </c>
      <c r="W4" s="1">
        <v>11.58</v>
      </c>
      <c r="Z4" s="8" t="s">
        <v>45</v>
      </c>
      <c r="AA4" s="8" t="s">
        <v>46</v>
      </c>
      <c r="AB4" s="8" t="s">
        <v>47</v>
      </c>
      <c r="AC4" s="8" t="s">
        <v>48</v>
      </c>
      <c r="AD4" s="8" t="s">
        <v>49</v>
      </c>
      <c r="AG4" s="8" t="s">
        <v>45</v>
      </c>
      <c r="AH4" s="8" t="s">
        <v>46</v>
      </c>
      <c r="AI4" s="8" t="s">
        <v>47</v>
      </c>
      <c r="AJ4" s="8" t="s">
        <v>48</v>
      </c>
      <c r="AK4" s="8" t="s">
        <v>49</v>
      </c>
    </row>
    <row r="5" spans="2:39">
      <c r="B5" s="1">
        <v>115.6</v>
      </c>
      <c r="C5" s="1">
        <v>10.4</v>
      </c>
      <c r="E5" t="s">
        <v>85</v>
      </c>
      <c r="F5">
        <v>19</v>
      </c>
      <c r="G5">
        <v>68.17789473684212</v>
      </c>
      <c r="H5">
        <v>1291.5985286549685</v>
      </c>
      <c r="I5">
        <v>35.938816461522052</v>
      </c>
      <c r="J5">
        <v>8.2449299529595077</v>
      </c>
      <c r="L5">
        <v>43.2</v>
      </c>
      <c r="M5" s="1">
        <v>25.119999999999997</v>
      </c>
      <c r="O5" t="s">
        <v>90</v>
      </c>
      <c r="P5">
        <v>24</v>
      </c>
      <c r="Q5">
        <v>62.896666666666654</v>
      </c>
      <c r="R5">
        <v>1150.3907710144938</v>
      </c>
      <c r="S5">
        <v>33.917411030538489</v>
      </c>
      <c r="T5">
        <v>6.9233625350887538</v>
      </c>
      <c r="V5" s="1">
        <v>115.6</v>
      </c>
      <c r="W5">
        <v>48.6</v>
      </c>
      <c r="Y5" t="s">
        <v>95</v>
      </c>
      <c r="Z5">
        <v>19</v>
      </c>
      <c r="AA5">
        <v>68.17789473684212</v>
      </c>
      <c r="AB5">
        <v>1291.5985286549685</v>
      </c>
      <c r="AC5">
        <v>35.938816461522052</v>
      </c>
      <c r="AD5">
        <v>8.2449299529595077</v>
      </c>
      <c r="AF5" t="s">
        <v>95</v>
      </c>
      <c r="AG5">
        <v>19</v>
      </c>
      <c r="AH5">
        <v>68.17789473684212</v>
      </c>
      <c r="AI5">
        <v>1291.5985286549685</v>
      </c>
      <c r="AJ5">
        <v>35.938816461522052</v>
      </c>
      <c r="AK5">
        <v>8.2449299529595077</v>
      </c>
    </row>
    <row r="6" spans="2:39">
      <c r="B6" s="1">
        <v>79.8</v>
      </c>
      <c r="C6" s="1">
        <v>9.36</v>
      </c>
      <c r="E6" t="s">
        <v>87</v>
      </c>
      <c r="F6">
        <v>29</v>
      </c>
      <c r="G6">
        <v>38.439310344827589</v>
      </c>
      <c r="H6">
        <v>802.26709950738893</v>
      </c>
      <c r="I6">
        <v>28.324319930183478</v>
      </c>
      <c r="J6">
        <v>5.259694168070431</v>
      </c>
      <c r="L6">
        <v>31.72</v>
      </c>
      <c r="M6" s="1">
        <v>8.98</v>
      </c>
      <c r="O6" t="s">
        <v>92</v>
      </c>
      <c r="P6">
        <v>18</v>
      </c>
      <c r="Q6">
        <v>28.388888888888889</v>
      </c>
      <c r="R6">
        <v>264.32024575163405</v>
      </c>
      <c r="S6">
        <v>16.257928704224103</v>
      </c>
      <c r="T6">
        <v>3.8320305449347614</v>
      </c>
      <c r="V6" s="1">
        <v>79.8</v>
      </c>
      <c r="W6">
        <v>40.879999999999995</v>
      </c>
      <c r="Y6" t="s">
        <v>97</v>
      </c>
      <c r="Z6">
        <v>29</v>
      </c>
      <c r="AA6">
        <v>38.439310344827597</v>
      </c>
      <c r="AB6">
        <v>802.26709950738825</v>
      </c>
      <c r="AC6">
        <v>28.324319930183464</v>
      </c>
      <c r="AD6">
        <v>5.2596941680704283</v>
      </c>
      <c r="AF6" t="s">
        <v>97</v>
      </c>
      <c r="AG6">
        <v>29</v>
      </c>
      <c r="AH6">
        <v>38.439310344827597</v>
      </c>
      <c r="AI6">
        <v>802.26709950738825</v>
      </c>
      <c r="AJ6">
        <v>28.324319930183464</v>
      </c>
      <c r="AK6">
        <v>5.2596941680704283</v>
      </c>
    </row>
    <row r="7" spans="2:39">
      <c r="B7" s="1">
        <v>18.8</v>
      </c>
      <c r="C7" s="1">
        <v>25.119999999999997</v>
      </c>
      <c r="L7">
        <v>60.959999999999994</v>
      </c>
      <c r="M7">
        <v>40.4</v>
      </c>
      <c r="V7" s="1">
        <v>18.8</v>
      </c>
      <c r="W7">
        <v>65.28</v>
      </c>
    </row>
    <row r="8" spans="2:39">
      <c r="B8" s="1">
        <v>55</v>
      </c>
      <c r="C8" s="1">
        <v>8.98</v>
      </c>
      <c r="L8" s="1">
        <v>120</v>
      </c>
      <c r="M8">
        <v>17.2</v>
      </c>
      <c r="V8" s="1">
        <v>55</v>
      </c>
      <c r="W8" s="1">
        <v>49.6</v>
      </c>
    </row>
    <row r="9" spans="2:39">
      <c r="B9">
        <v>17.8</v>
      </c>
      <c r="C9" s="1">
        <v>11.58</v>
      </c>
      <c r="L9" s="1">
        <v>77.2</v>
      </c>
      <c r="M9">
        <v>39</v>
      </c>
      <c r="V9">
        <v>17.8</v>
      </c>
      <c r="W9">
        <v>47</v>
      </c>
    </row>
    <row r="10" spans="2:39">
      <c r="B10">
        <v>101.4</v>
      </c>
      <c r="C10">
        <v>40.4</v>
      </c>
      <c r="E10" t="s">
        <v>44</v>
      </c>
      <c r="L10" s="2">
        <v>40.6</v>
      </c>
      <c r="M10">
        <v>20.6</v>
      </c>
      <c r="O10" t="s">
        <v>44</v>
      </c>
      <c r="V10">
        <v>101.4</v>
      </c>
      <c r="W10" s="1">
        <v>85.8</v>
      </c>
      <c r="Y10" t="s">
        <v>44</v>
      </c>
      <c r="AF10" t="s">
        <v>153</v>
      </c>
    </row>
    <row r="11" spans="2:39">
      <c r="B11">
        <v>43.2</v>
      </c>
      <c r="C11">
        <v>48.6</v>
      </c>
      <c r="L11">
        <v>94</v>
      </c>
      <c r="M11" s="1">
        <v>41.1</v>
      </c>
      <c r="V11">
        <v>43.2</v>
      </c>
      <c r="W11" s="1">
        <v>104.8</v>
      </c>
    </row>
    <row r="12" spans="2:39">
      <c r="B12">
        <v>31.72</v>
      </c>
      <c r="C12">
        <v>17.2</v>
      </c>
      <c r="L12">
        <v>91.179999999999993</v>
      </c>
      <c r="M12" s="2">
        <v>49.4</v>
      </c>
      <c r="V12">
        <v>31.72</v>
      </c>
      <c r="W12" s="1">
        <v>120</v>
      </c>
    </row>
    <row r="13" spans="2:39" ht="15" thickBot="1">
      <c r="B13">
        <v>60.959999999999994</v>
      </c>
      <c r="C13">
        <v>39</v>
      </c>
      <c r="E13" t="s">
        <v>50</v>
      </c>
      <c r="L13">
        <v>66.320000000000007</v>
      </c>
      <c r="M13" s="2">
        <v>55.2</v>
      </c>
      <c r="O13" t="s">
        <v>50</v>
      </c>
      <c r="V13">
        <v>60.959999999999994</v>
      </c>
      <c r="W13" s="1">
        <v>13.2</v>
      </c>
      <c r="Y13" s="13" t="s">
        <v>50</v>
      </c>
      <c r="Z13" s="13"/>
      <c r="AA13" s="13"/>
      <c r="AB13" s="13"/>
      <c r="AG13" s="9" t="s">
        <v>154</v>
      </c>
      <c r="AH13" s="9" t="s">
        <v>155</v>
      </c>
      <c r="AI13" s="9" t="s">
        <v>156</v>
      </c>
      <c r="AJ13" s="9" t="s">
        <v>157</v>
      </c>
      <c r="AK13" s="9" t="s">
        <v>54</v>
      </c>
      <c r="AL13" s="9" t="s">
        <v>158</v>
      </c>
      <c r="AM13" s="9" t="s">
        <v>159</v>
      </c>
    </row>
    <row r="14" spans="2:39">
      <c r="B14" s="1">
        <v>120</v>
      </c>
      <c r="C14">
        <v>20.6</v>
      </c>
      <c r="L14" s="1">
        <v>106.4</v>
      </c>
      <c r="M14" s="1">
        <v>10.6</v>
      </c>
      <c r="V14" s="1">
        <v>120</v>
      </c>
      <c r="W14" s="1">
        <v>10.4</v>
      </c>
      <c r="AF14" t="s">
        <v>99</v>
      </c>
      <c r="AG14">
        <v>1.6099358049807124</v>
      </c>
      <c r="AH14">
        <v>18</v>
      </c>
      <c r="AI14">
        <v>28</v>
      </c>
      <c r="AJ14">
        <v>1.6099358049807124</v>
      </c>
      <c r="AK14">
        <v>0.25117301839402151</v>
      </c>
      <c r="AL14">
        <v>0.40628334466369787</v>
      </c>
      <c r="AM14">
        <v>2.270427770168991</v>
      </c>
    </row>
    <row r="15" spans="2:39" ht="15" thickBot="1">
      <c r="B15" s="1">
        <v>77.2</v>
      </c>
      <c r="C15" s="1">
        <v>41.1</v>
      </c>
      <c r="F15" s="9" t="s">
        <v>51</v>
      </c>
      <c r="G15" s="9" t="s">
        <v>52</v>
      </c>
      <c r="H15" s="9" t="s">
        <v>53</v>
      </c>
      <c r="I15" s="9" t="s">
        <v>54</v>
      </c>
      <c r="J15" s="9" t="s">
        <v>55</v>
      </c>
      <c r="L15">
        <v>12.4</v>
      </c>
      <c r="M15" s="1">
        <v>60</v>
      </c>
      <c r="P15" s="9" t="s">
        <v>51</v>
      </c>
      <c r="Q15" s="9" t="s">
        <v>52</v>
      </c>
      <c r="R15" s="9" t="s">
        <v>53</v>
      </c>
      <c r="S15" s="9" t="s">
        <v>54</v>
      </c>
      <c r="T15" s="9" t="s">
        <v>55</v>
      </c>
      <c r="V15" s="1">
        <v>77.2</v>
      </c>
      <c r="W15" s="1">
        <v>9.36</v>
      </c>
      <c r="Z15" s="9" t="s">
        <v>51</v>
      </c>
      <c r="AA15" s="9" t="s">
        <v>52</v>
      </c>
      <c r="AB15" s="9" t="s">
        <v>53</v>
      </c>
      <c r="AC15" s="9" t="s">
        <v>54</v>
      </c>
      <c r="AD15" s="9" t="s">
        <v>55</v>
      </c>
    </row>
    <row r="16" spans="2:39">
      <c r="B16" s="2">
        <v>40.6</v>
      </c>
      <c r="C16">
        <v>40.879999999999995</v>
      </c>
      <c r="E16" t="s">
        <v>89</v>
      </c>
      <c r="F16">
        <v>29.738584392014531</v>
      </c>
      <c r="G16">
        <v>46</v>
      </c>
      <c r="H16">
        <v>3.1962304014946534</v>
      </c>
      <c r="I16" s="11">
        <v>2.5177956559007644E-3</v>
      </c>
      <c r="J16">
        <v>2.0128955989194299</v>
      </c>
      <c r="L16" s="1">
        <v>17.8</v>
      </c>
      <c r="M16" s="1">
        <v>29.8</v>
      </c>
      <c r="O16" t="s">
        <v>94</v>
      </c>
      <c r="P16">
        <v>34.507777777777761</v>
      </c>
      <c r="Q16">
        <v>40</v>
      </c>
      <c r="R16">
        <v>3.9784767831805397</v>
      </c>
      <c r="S16" s="11">
        <v>2.8370571232285552E-4</v>
      </c>
      <c r="T16">
        <v>2.0210753903062737</v>
      </c>
      <c r="V16" s="2">
        <v>40.6</v>
      </c>
      <c r="W16" s="1">
        <v>25.119999999999997</v>
      </c>
      <c r="Y16" t="s">
        <v>99</v>
      </c>
      <c r="Z16">
        <v>29.738584392014523</v>
      </c>
      <c r="AA16">
        <v>46</v>
      </c>
      <c r="AB16">
        <v>3.1962304014946534</v>
      </c>
      <c r="AC16" s="11">
        <v>2.5177956559007644E-3</v>
      </c>
      <c r="AD16">
        <v>2.0128955989194299</v>
      </c>
    </row>
    <row r="17" spans="2:34">
      <c r="B17">
        <v>94</v>
      </c>
      <c r="C17">
        <v>65.28</v>
      </c>
      <c r="L17" s="1">
        <v>11.58</v>
      </c>
      <c r="M17" s="1">
        <v>34.96</v>
      </c>
      <c r="V17">
        <v>94</v>
      </c>
      <c r="W17" s="1">
        <v>8.98</v>
      </c>
    </row>
    <row r="18" spans="2:34">
      <c r="B18">
        <v>91.179999999999993</v>
      </c>
      <c r="C18" s="2">
        <v>49.4</v>
      </c>
      <c r="L18">
        <v>48.6</v>
      </c>
      <c r="M18" s="1">
        <v>21.699999999999996</v>
      </c>
      <c r="V18">
        <v>91.179999999999993</v>
      </c>
      <c r="W18">
        <v>40.4</v>
      </c>
      <c r="AF18" t="s">
        <v>160</v>
      </c>
    </row>
    <row r="19" spans="2:34">
      <c r="B19">
        <v>66.320000000000007</v>
      </c>
      <c r="C19" s="2">
        <v>55.2</v>
      </c>
      <c r="E19" t="s">
        <v>56</v>
      </c>
      <c r="L19">
        <v>40.879999999999995</v>
      </c>
      <c r="M19" s="1">
        <v>23.98</v>
      </c>
      <c r="O19" t="s">
        <v>56</v>
      </c>
      <c r="V19">
        <v>66.320000000000007</v>
      </c>
      <c r="W19">
        <v>17.2</v>
      </c>
      <c r="Y19" t="s">
        <v>56</v>
      </c>
    </row>
    <row r="20" spans="2:34">
      <c r="B20" s="1">
        <v>106.4</v>
      </c>
      <c r="C20" s="1">
        <v>49.6</v>
      </c>
      <c r="L20">
        <v>65.28</v>
      </c>
      <c r="V20" s="1">
        <v>106.4</v>
      </c>
      <c r="W20">
        <v>39</v>
      </c>
      <c r="AF20" t="s">
        <v>57</v>
      </c>
      <c r="AH20" s="10">
        <v>0.95</v>
      </c>
    </row>
    <row r="21" spans="2:34">
      <c r="C21" s="1">
        <v>10.6</v>
      </c>
      <c r="E21" t="s">
        <v>57</v>
      </c>
      <c r="G21" s="10">
        <v>0.95</v>
      </c>
      <c r="L21" s="1">
        <v>49.6</v>
      </c>
      <c r="O21" t="s">
        <v>57</v>
      </c>
      <c r="Q21" s="10">
        <v>0.95</v>
      </c>
      <c r="W21">
        <v>20.6</v>
      </c>
      <c r="Y21" t="s">
        <v>57</v>
      </c>
      <c r="AA21" s="10">
        <v>0.95</v>
      </c>
      <c r="AF21" t="s">
        <v>58</v>
      </c>
      <c r="AH21">
        <v>0.70908919725769681</v>
      </c>
    </row>
    <row r="22" spans="2:34">
      <c r="C22" s="1">
        <v>60</v>
      </c>
      <c r="E22" t="s">
        <v>58</v>
      </c>
      <c r="G22">
        <v>11.01006419122192</v>
      </c>
      <c r="L22">
        <v>47</v>
      </c>
      <c r="O22" t="s">
        <v>58</v>
      </c>
      <c r="Q22">
        <v>16.977747004274192</v>
      </c>
      <c r="W22" s="1">
        <v>41.1</v>
      </c>
      <c r="Y22" t="s">
        <v>58</v>
      </c>
      <c r="AA22">
        <v>11.010064191221916</v>
      </c>
      <c r="AF22" t="s">
        <v>59</v>
      </c>
      <c r="AH22">
        <v>3.9625936581607624</v>
      </c>
    </row>
    <row r="23" spans="2:34">
      <c r="C23" s="1">
        <v>29.8</v>
      </c>
      <c r="E23" t="s">
        <v>59</v>
      </c>
      <c r="G23">
        <v>48.467104592807139</v>
      </c>
      <c r="L23" s="1">
        <v>85.8</v>
      </c>
      <c r="O23" t="s">
        <v>59</v>
      </c>
      <c r="Q23">
        <v>52.03780855128133</v>
      </c>
      <c r="W23" s="2">
        <v>49.4</v>
      </c>
      <c r="Y23" t="s">
        <v>59</v>
      </c>
      <c r="AA23">
        <v>48.467104592807132</v>
      </c>
    </row>
    <row r="24" spans="2:34">
      <c r="C24">
        <v>47</v>
      </c>
      <c r="L24" s="1">
        <v>104.8</v>
      </c>
      <c r="W24" s="2">
        <v>55.2</v>
      </c>
    </row>
    <row r="25" spans="2:34">
      <c r="C25" s="1">
        <v>85.8</v>
      </c>
      <c r="L25" s="1">
        <v>120</v>
      </c>
      <c r="W25" s="1">
        <v>10.6</v>
      </c>
    </row>
    <row r="26" spans="2:34">
      <c r="C26" s="1">
        <v>34.96</v>
      </c>
      <c r="W26" s="1">
        <v>60</v>
      </c>
    </row>
    <row r="27" spans="2:34">
      <c r="C27" s="1">
        <v>104.8</v>
      </c>
      <c r="E27" t="s">
        <v>60</v>
      </c>
      <c r="O27" t="s">
        <v>60</v>
      </c>
      <c r="W27" s="1">
        <v>29.8</v>
      </c>
      <c r="Y27" t="s">
        <v>60</v>
      </c>
    </row>
    <row r="28" spans="2:34">
      <c r="C28" s="1">
        <v>120</v>
      </c>
      <c r="W28" s="1">
        <v>34.96</v>
      </c>
    </row>
    <row r="29" spans="2:34" ht="15" thickBot="1">
      <c r="C29" s="1">
        <v>21.699999999999996</v>
      </c>
      <c r="F29" s="9" t="s">
        <v>51</v>
      </c>
      <c r="G29" s="9" t="s">
        <v>52</v>
      </c>
      <c r="H29" s="9" t="s">
        <v>53</v>
      </c>
      <c r="I29" s="9" t="s">
        <v>54</v>
      </c>
      <c r="J29" s="9" t="s">
        <v>55</v>
      </c>
      <c r="P29" s="9" t="s">
        <v>51</v>
      </c>
      <c r="Q29" s="9" t="s">
        <v>52</v>
      </c>
      <c r="R29" s="9" t="s">
        <v>53</v>
      </c>
      <c r="S29" s="9" t="s">
        <v>54</v>
      </c>
      <c r="T29" s="9" t="s">
        <v>55</v>
      </c>
      <c r="W29" s="1">
        <v>21.699999999999996</v>
      </c>
      <c r="Z29" s="9" t="s">
        <v>51</v>
      </c>
      <c r="AA29" s="9" t="s">
        <v>52</v>
      </c>
      <c r="AB29" s="9" t="s">
        <v>53</v>
      </c>
      <c r="AC29" s="9" t="s">
        <v>54</v>
      </c>
      <c r="AD29" s="9" t="s">
        <v>55</v>
      </c>
    </row>
    <row r="30" spans="2:34">
      <c r="C30" s="1">
        <v>23.98</v>
      </c>
      <c r="E30" t="s">
        <v>89</v>
      </c>
      <c r="F30">
        <v>29.738584392014531</v>
      </c>
      <c r="G30">
        <v>32.202934882093444</v>
      </c>
      <c r="H30">
        <v>3.0408368728943116</v>
      </c>
      <c r="I30" s="11">
        <v>4.6790577584604892E-3</v>
      </c>
      <c r="J30">
        <v>2.0369333434601011</v>
      </c>
      <c r="O30" t="s">
        <v>94</v>
      </c>
      <c r="P30">
        <v>34.507777777777761</v>
      </c>
      <c r="Q30">
        <v>34.828477304800167</v>
      </c>
      <c r="R30">
        <v>4.36083297782071</v>
      </c>
      <c r="S30" s="11">
        <v>1.0862151374144059E-4</v>
      </c>
      <c r="T30">
        <v>2.0301079282503438</v>
      </c>
      <c r="W30" s="1">
        <v>23.98</v>
      </c>
      <c r="Y30" t="s">
        <v>99</v>
      </c>
      <c r="Z30">
        <v>29.738584392014523</v>
      </c>
      <c r="AA30">
        <v>32.202934882093437</v>
      </c>
      <c r="AB30">
        <v>3.0408368728943116</v>
      </c>
      <c r="AC30" s="11">
        <v>4.6790577584604892E-3</v>
      </c>
      <c r="AD30">
        <v>2.0369333434601011</v>
      </c>
    </row>
    <row r="33" spans="1:27">
      <c r="E33" t="s">
        <v>61</v>
      </c>
      <c r="O33" t="s">
        <v>61</v>
      </c>
      <c r="Y33" t="s">
        <v>61</v>
      </c>
    </row>
    <row r="35" spans="1:27">
      <c r="E35" t="s">
        <v>57</v>
      </c>
      <c r="G35" s="10">
        <v>0.95</v>
      </c>
      <c r="O35" t="s">
        <v>57</v>
      </c>
      <c r="Q35" s="10">
        <v>0.95</v>
      </c>
      <c r="Y35" t="s">
        <v>57</v>
      </c>
      <c r="AA35" s="10">
        <v>0.95</v>
      </c>
    </row>
    <row r="36" spans="1:27">
      <c r="E36" t="s">
        <v>58</v>
      </c>
      <c r="G36">
        <v>9.8179123311880971</v>
      </c>
      <c r="O36" t="s">
        <v>58</v>
      </c>
      <c r="Q36">
        <v>18.443297984750508</v>
      </c>
      <c r="Y36" t="s">
        <v>58</v>
      </c>
      <c r="AA36">
        <v>9.8179123311880936</v>
      </c>
    </row>
    <row r="37" spans="1:27">
      <c r="E37" t="s">
        <v>59</v>
      </c>
      <c r="G37">
        <v>49.659256452840964</v>
      </c>
      <c r="O37" t="s">
        <v>59</v>
      </c>
      <c r="Q37">
        <v>50.572257570805014</v>
      </c>
      <c r="Y37" t="s">
        <v>59</v>
      </c>
      <c r="AA37">
        <v>49.65925645284095</v>
      </c>
    </row>
    <row r="40" spans="1:27">
      <c r="B40" t="s">
        <v>86</v>
      </c>
      <c r="C40" t="s">
        <v>88</v>
      </c>
      <c r="L40" t="s">
        <v>91</v>
      </c>
      <c r="M40" t="s">
        <v>93</v>
      </c>
      <c r="V40" t="s">
        <v>96</v>
      </c>
      <c r="W40" t="s">
        <v>98</v>
      </c>
    </row>
    <row r="41" spans="1:27">
      <c r="A41" t="s">
        <v>78</v>
      </c>
      <c r="B41">
        <f>AVERAGE(B2:B40)</f>
        <v>68.17789473684212</v>
      </c>
      <c r="C41">
        <f>AVERAGE(C2:C40)</f>
        <v>38.439310344827589</v>
      </c>
      <c r="K41" t="s">
        <v>78</v>
      </c>
      <c r="L41">
        <f>AVERAGE(L2:L40)</f>
        <v>62.896666666666654</v>
      </c>
      <c r="M41">
        <f>AVERAGE(M2:M40)</f>
        <v>28.388888888888889</v>
      </c>
      <c r="U41" t="s">
        <v>78</v>
      </c>
      <c r="V41">
        <f>AVERAGE(V2:V40)</f>
        <v>68.17789473684212</v>
      </c>
      <c r="W41">
        <f>AVERAGE(W2:W40)</f>
        <v>38.439310344827597</v>
      </c>
    </row>
    <row r="42" spans="1:27">
      <c r="A42" t="s">
        <v>80</v>
      </c>
      <c r="B42">
        <f>_xlfn.STDEV.S(B2:B40)</f>
        <v>35.938816461522052</v>
      </c>
      <c r="C42">
        <f>_xlfn.STDEV.S(C2:C40)</f>
        <v>28.324319930183478</v>
      </c>
      <c r="K42" t="s">
        <v>80</v>
      </c>
      <c r="L42">
        <f>_xlfn.STDEV.S(L2:L40)</f>
        <v>33.917411030538489</v>
      </c>
      <c r="M42">
        <f>_xlfn.STDEV.S(M2:M40)</f>
        <v>16.257928704224103</v>
      </c>
      <c r="U42" t="s">
        <v>80</v>
      </c>
      <c r="V42">
        <f>_xlfn.STDEV.S(V2:V40)</f>
        <v>35.938816461522052</v>
      </c>
      <c r="W42">
        <f>_xlfn.STDEV.S(W2:W40)</f>
        <v>28.324319930183464</v>
      </c>
    </row>
    <row r="43" spans="1:27">
      <c r="A43" t="s">
        <v>82</v>
      </c>
      <c r="B43">
        <f>B42/B44^0.5</f>
        <v>8.2449299529595059</v>
      </c>
      <c r="C43">
        <f>C42/C44^0.5</f>
        <v>5.259694168070431</v>
      </c>
      <c r="K43" t="s">
        <v>82</v>
      </c>
      <c r="L43">
        <f>L42/L44^0.5</f>
        <v>6.9233625350887547</v>
      </c>
      <c r="M43">
        <f>M42/M44^0.5</f>
        <v>3.8320305449347614</v>
      </c>
      <c r="U43" t="s">
        <v>82</v>
      </c>
      <c r="V43">
        <f>V42/V44^0.5</f>
        <v>8.2449299529595059</v>
      </c>
      <c r="W43">
        <f>W42/W44^0.5</f>
        <v>5.2596941680704283</v>
      </c>
    </row>
    <row r="44" spans="1:27">
      <c r="A44" t="s">
        <v>84</v>
      </c>
      <c r="B44">
        <f>COUNT(B2:B40)</f>
        <v>19</v>
      </c>
      <c r="C44">
        <f>COUNT(C2:C40)</f>
        <v>29</v>
      </c>
      <c r="K44" t="s">
        <v>84</v>
      </c>
      <c r="L44">
        <f>COUNT(L2:L40)</f>
        <v>24</v>
      </c>
      <c r="M44">
        <f>COUNT(M2:M40)</f>
        <v>18</v>
      </c>
      <c r="U44" t="s">
        <v>84</v>
      </c>
      <c r="V44">
        <f>COUNT(V2:V40)</f>
        <v>19</v>
      </c>
      <c r="W44">
        <f>COUNT(W2:W40)</f>
        <v>29</v>
      </c>
    </row>
  </sheetData>
  <phoneticPr fontId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39"/>
  <sheetViews>
    <sheetView zoomScale="80" zoomScaleNormal="80" workbookViewId="0">
      <selection activeCell="E4" sqref="E4:J6"/>
    </sheetView>
  </sheetViews>
  <sheetFormatPr baseColWidth="10" defaultColWidth="8.83203125" defaultRowHeight="14"/>
  <sheetData>
    <row r="1" spans="2:10">
      <c r="B1" t="s">
        <v>113</v>
      </c>
      <c r="C1" t="s">
        <v>115</v>
      </c>
      <c r="E1" t="s">
        <v>43</v>
      </c>
    </row>
    <row r="2" spans="2:10">
      <c r="B2">
        <v>120</v>
      </c>
      <c r="C2">
        <v>42.8</v>
      </c>
    </row>
    <row r="3" spans="2:10">
      <c r="B3" s="1">
        <v>12.6</v>
      </c>
      <c r="C3" s="1">
        <v>115.6</v>
      </c>
    </row>
    <row r="4" spans="2:10">
      <c r="B4">
        <v>60.959999999999994</v>
      </c>
      <c r="C4" s="1">
        <v>79.8</v>
      </c>
      <c r="F4" s="8" t="s">
        <v>45</v>
      </c>
      <c r="G4" s="8" t="s">
        <v>46</v>
      </c>
      <c r="H4" s="8" t="s">
        <v>47</v>
      </c>
      <c r="I4" s="8" t="s">
        <v>48</v>
      </c>
      <c r="J4" s="8" t="s">
        <v>49</v>
      </c>
    </row>
    <row r="5" spans="2:10">
      <c r="B5">
        <v>12.4</v>
      </c>
      <c r="C5" s="1">
        <v>18.8</v>
      </c>
      <c r="E5" t="s">
        <v>112</v>
      </c>
      <c r="F5">
        <v>10</v>
      </c>
      <c r="G5">
        <v>35.112000000000009</v>
      </c>
      <c r="H5">
        <v>1177.3303288888881</v>
      </c>
      <c r="I5">
        <v>34.312247505648592</v>
      </c>
      <c r="J5">
        <v>10.850485375728073</v>
      </c>
    </row>
    <row r="6" spans="2:10">
      <c r="B6" s="1">
        <v>11.58</v>
      </c>
      <c r="C6" s="1">
        <v>55</v>
      </c>
      <c r="E6" t="s">
        <v>114</v>
      </c>
      <c r="F6">
        <v>38</v>
      </c>
      <c r="G6">
        <v>54.184210526315788</v>
      </c>
      <c r="H6">
        <v>1145.6373655761017</v>
      </c>
      <c r="I6">
        <v>33.847265259930552</v>
      </c>
      <c r="J6">
        <v>5.4907514718558232</v>
      </c>
    </row>
    <row r="7" spans="2:10">
      <c r="B7">
        <v>48.6</v>
      </c>
      <c r="C7">
        <v>17.8</v>
      </c>
    </row>
    <row r="8" spans="2:10">
      <c r="B8">
        <v>20.6</v>
      </c>
      <c r="C8">
        <v>101.4</v>
      </c>
    </row>
    <row r="9" spans="2:10">
      <c r="B9" s="1">
        <v>10.6</v>
      </c>
      <c r="C9">
        <v>43.2</v>
      </c>
    </row>
    <row r="10" spans="2:10">
      <c r="B10" s="1">
        <v>29.8</v>
      </c>
      <c r="C10">
        <v>31.72</v>
      </c>
      <c r="E10" t="s">
        <v>44</v>
      </c>
    </row>
    <row r="11" spans="2:10">
      <c r="B11" s="1">
        <v>23.98</v>
      </c>
      <c r="C11" s="1">
        <v>120</v>
      </c>
    </row>
    <row r="12" spans="2:10">
      <c r="C12" s="1">
        <v>77.2</v>
      </c>
    </row>
    <row r="13" spans="2:10">
      <c r="C13" s="2">
        <v>40.6</v>
      </c>
      <c r="E13" t="s">
        <v>50</v>
      </c>
    </row>
    <row r="14" spans="2:10">
      <c r="C14">
        <v>94</v>
      </c>
    </row>
    <row r="15" spans="2:10" ht="15" thickBot="1">
      <c r="C15">
        <v>91.179999999999993</v>
      </c>
      <c r="F15" s="9" t="s">
        <v>51</v>
      </c>
      <c r="G15" s="9" t="s">
        <v>52</v>
      </c>
      <c r="H15" s="9" t="s">
        <v>53</v>
      </c>
      <c r="I15" s="9" t="s">
        <v>54</v>
      </c>
      <c r="J15" s="9" t="s">
        <v>55</v>
      </c>
    </row>
    <row r="16" spans="2:10">
      <c r="C16">
        <v>66.320000000000007</v>
      </c>
      <c r="E16" t="s">
        <v>116</v>
      </c>
      <c r="F16">
        <v>-19.072210526315779</v>
      </c>
      <c r="G16">
        <v>46</v>
      </c>
      <c r="H16">
        <v>-1.5811624057730576</v>
      </c>
      <c r="I16">
        <v>0.12069327555839617</v>
      </c>
      <c r="J16">
        <v>2.0128955989194299</v>
      </c>
    </row>
    <row r="17" spans="3:10">
      <c r="C17" s="1">
        <v>106.4</v>
      </c>
    </row>
    <row r="18" spans="3:10">
      <c r="C18" s="1">
        <v>17.8</v>
      </c>
    </row>
    <row r="19" spans="3:10">
      <c r="C19">
        <v>40.879999999999995</v>
      </c>
      <c r="E19" t="s">
        <v>56</v>
      </c>
    </row>
    <row r="20" spans="3:10">
      <c r="C20">
        <v>65.28</v>
      </c>
    </row>
    <row r="21" spans="3:10">
      <c r="C21" s="1">
        <v>49.6</v>
      </c>
      <c r="E21" t="s">
        <v>57</v>
      </c>
      <c r="G21" s="10">
        <v>0.95</v>
      </c>
    </row>
    <row r="22" spans="3:10">
      <c r="C22">
        <v>47</v>
      </c>
      <c r="E22" t="s">
        <v>58</v>
      </c>
      <c r="G22">
        <v>-43.352049516869151</v>
      </c>
    </row>
    <row r="23" spans="3:10">
      <c r="C23" s="1">
        <v>85.8</v>
      </c>
      <c r="E23" t="s">
        <v>59</v>
      </c>
      <c r="G23">
        <v>5.2076284642375938</v>
      </c>
    </row>
    <row r="24" spans="3:10">
      <c r="C24" s="1">
        <v>104.8</v>
      </c>
    </row>
    <row r="25" spans="3:10">
      <c r="C25" s="1">
        <v>120</v>
      </c>
    </row>
    <row r="26" spans="3:10">
      <c r="C26" s="1">
        <v>13.2</v>
      </c>
    </row>
    <row r="27" spans="3:10">
      <c r="C27" s="1">
        <v>10.4</v>
      </c>
      <c r="E27" t="s">
        <v>60</v>
      </c>
    </row>
    <row r="28" spans="3:10">
      <c r="C28" s="1">
        <v>9.36</v>
      </c>
    </row>
    <row r="29" spans="3:10" ht="15" thickBot="1">
      <c r="C29" s="1">
        <v>25.119999999999997</v>
      </c>
      <c r="F29" s="9" t="s">
        <v>51</v>
      </c>
      <c r="G29" s="9" t="s">
        <v>52</v>
      </c>
      <c r="H29" s="9" t="s">
        <v>53</v>
      </c>
      <c r="I29" s="9" t="s">
        <v>54</v>
      </c>
      <c r="J29" s="9" t="s">
        <v>55</v>
      </c>
    </row>
    <row r="30" spans="3:10">
      <c r="C30" s="1">
        <v>8.98</v>
      </c>
      <c r="E30" t="s">
        <v>116</v>
      </c>
      <c r="F30">
        <v>-19.072210526315779</v>
      </c>
      <c r="G30">
        <v>13.976562190266556</v>
      </c>
      <c r="H30">
        <v>-1.5683546571577636</v>
      </c>
      <c r="I30">
        <v>0.13911781019210032</v>
      </c>
      <c r="J30">
        <v>2.1447866879178044</v>
      </c>
    </row>
    <row r="31" spans="3:10">
      <c r="C31">
        <v>40.4</v>
      </c>
    </row>
    <row r="32" spans="3:10">
      <c r="C32">
        <v>17.2</v>
      </c>
    </row>
    <row r="33" spans="3:7">
      <c r="C33">
        <v>39</v>
      </c>
      <c r="E33" t="s">
        <v>61</v>
      </c>
    </row>
    <row r="34" spans="3:7">
      <c r="C34" s="1">
        <v>41.1</v>
      </c>
    </row>
    <row r="35" spans="3:7">
      <c r="C35" s="2">
        <v>49.4</v>
      </c>
      <c r="E35" t="s">
        <v>57</v>
      </c>
      <c r="G35" s="10">
        <v>0.95</v>
      </c>
    </row>
    <row r="36" spans="3:7">
      <c r="C36" s="2">
        <v>55.2</v>
      </c>
      <c r="E36" t="s">
        <v>58</v>
      </c>
      <c r="G36">
        <v>-45.154208663228964</v>
      </c>
    </row>
    <row r="37" spans="3:7">
      <c r="C37" s="1">
        <v>60</v>
      </c>
      <c r="E37" t="s">
        <v>59</v>
      </c>
      <c r="G37">
        <v>7.0097876105974031</v>
      </c>
    </row>
    <row r="38" spans="3:7">
      <c r="C38" s="1">
        <v>34.96</v>
      </c>
    </row>
    <row r="39" spans="3:7">
      <c r="C39" s="1">
        <v>21.699999999999996</v>
      </c>
    </row>
  </sheetData>
  <phoneticPr fontId="1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37"/>
  <sheetViews>
    <sheetView workbookViewId="0">
      <selection activeCell="F5" sqref="F5:J6"/>
    </sheetView>
  </sheetViews>
  <sheetFormatPr baseColWidth="10" defaultColWidth="8.83203125" defaultRowHeight="14"/>
  <sheetData>
    <row r="1" spans="2:10">
      <c r="B1" t="s">
        <v>118</v>
      </c>
      <c r="C1" t="s">
        <v>120</v>
      </c>
      <c r="E1" t="s">
        <v>43</v>
      </c>
    </row>
    <row r="2" spans="2:10">
      <c r="B2">
        <v>42.8</v>
      </c>
      <c r="C2">
        <v>120</v>
      </c>
    </row>
    <row r="3" spans="2:10">
      <c r="B3" s="1">
        <v>115.6</v>
      </c>
      <c r="C3" s="1">
        <v>12.6</v>
      </c>
    </row>
    <row r="4" spans="2:10">
      <c r="B4" s="1">
        <v>55</v>
      </c>
      <c r="C4" s="1">
        <v>79.8</v>
      </c>
      <c r="F4" s="8" t="s">
        <v>45</v>
      </c>
      <c r="G4" s="8" t="s">
        <v>46</v>
      </c>
      <c r="H4" s="8" t="s">
        <v>47</v>
      </c>
      <c r="I4" s="8" t="s">
        <v>48</v>
      </c>
      <c r="J4" s="8" t="s">
        <v>49</v>
      </c>
    </row>
    <row r="5" spans="2:10">
      <c r="B5">
        <v>17.8</v>
      </c>
      <c r="C5" s="1">
        <v>18.8</v>
      </c>
      <c r="E5" t="s">
        <v>117</v>
      </c>
      <c r="F5">
        <v>29</v>
      </c>
      <c r="G5">
        <v>53.547586206896547</v>
      </c>
      <c r="H5">
        <v>1235.9291546798029</v>
      </c>
      <c r="I5">
        <v>35.155784085692112</v>
      </c>
      <c r="J5">
        <v>6.5282652146720155</v>
      </c>
    </row>
    <row r="6" spans="2:10">
      <c r="B6">
        <v>101.4</v>
      </c>
      <c r="C6">
        <v>43.2</v>
      </c>
      <c r="E6" t="s">
        <v>119</v>
      </c>
      <c r="F6">
        <v>19</v>
      </c>
      <c r="G6">
        <v>45.117894736842111</v>
      </c>
      <c r="H6">
        <v>1135.6952397660816</v>
      </c>
      <c r="I6">
        <v>33.700077741246851</v>
      </c>
      <c r="J6">
        <v>7.7313280665031305</v>
      </c>
    </row>
    <row r="7" spans="2:10">
      <c r="B7">
        <v>31.72</v>
      </c>
      <c r="C7">
        <v>94</v>
      </c>
    </row>
    <row r="8" spans="2:10">
      <c r="B8">
        <v>60.959999999999994</v>
      </c>
      <c r="C8">
        <v>66.320000000000007</v>
      </c>
    </row>
    <row r="9" spans="2:10">
      <c r="B9" s="1">
        <v>120</v>
      </c>
      <c r="C9">
        <v>48.6</v>
      </c>
    </row>
    <row r="10" spans="2:10">
      <c r="B10" s="1">
        <v>77.2</v>
      </c>
      <c r="C10" s="1">
        <v>104.8</v>
      </c>
      <c r="E10" t="s">
        <v>44</v>
      </c>
    </row>
    <row r="11" spans="2:10">
      <c r="B11" s="2">
        <v>40.6</v>
      </c>
      <c r="C11" s="1">
        <v>13.2</v>
      </c>
    </row>
    <row r="12" spans="2:10">
      <c r="B12">
        <v>91.179999999999993</v>
      </c>
      <c r="C12" s="1">
        <v>9.36</v>
      </c>
    </row>
    <row r="13" spans="2:10">
      <c r="B13" s="1">
        <v>106.4</v>
      </c>
      <c r="C13" s="1">
        <v>25.119999999999997</v>
      </c>
      <c r="E13" t="s">
        <v>50</v>
      </c>
    </row>
    <row r="14" spans="2:10">
      <c r="B14">
        <v>12.4</v>
      </c>
      <c r="C14">
        <v>40.4</v>
      </c>
    </row>
    <row r="15" spans="2:10" ht="15" thickBot="1">
      <c r="B15" s="1">
        <v>17.8</v>
      </c>
      <c r="C15" s="1">
        <v>10.6</v>
      </c>
      <c r="F15" s="9" t="s">
        <v>51</v>
      </c>
      <c r="G15" s="9" t="s">
        <v>52</v>
      </c>
      <c r="H15" s="9" t="s">
        <v>53</v>
      </c>
      <c r="I15" s="9" t="s">
        <v>54</v>
      </c>
      <c r="J15" s="9" t="s">
        <v>55</v>
      </c>
    </row>
    <row r="16" spans="2:10">
      <c r="B16" s="1">
        <v>11.58</v>
      </c>
      <c r="C16" s="1">
        <v>60</v>
      </c>
      <c r="E16" t="s">
        <v>121</v>
      </c>
      <c r="F16">
        <v>8.4296914700544363</v>
      </c>
      <c r="G16">
        <v>46</v>
      </c>
      <c r="H16">
        <v>0.82560613311440934</v>
      </c>
      <c r="I16">
        <v>0.4132889683014016</v>
      </c>
      <c r="J16">
        <v>2.0128955989194299</v>
      </c>
    </row>
    <row r="17" spans="2:10">
      <c r="B17">
        <v>40.879999999999995</v>
      </c>
      <c r="C17" s="1">
        <v>29.8</v>
      </c>
    </row>
    <row r="18" spans="2:10">
      <c r="B18">
        <v>65.28</v>
      </c>
      <c r="C18" s="1">
        <v>34.96</v>
      </c>
    </row>
    <row r="19" spans="2:10">
      <c r="B19" s="1">
        <v>49.6</v>
      </c>
      <c r="C19" s="1">
        <v>21.699999999999996</v>
      </c>
      <c r="E19" t="s">
        <v>56</v>
      </c>
    </row>
    <row r="20" spans="2:10">
      <c r="B20">
        <v>47</v>
      </c>
      <c r="C20" s="1">
        <v>23.98</v>
      </c>
    </row>
    <row r="21" spans="2:10">
      <c r="B21" s="1">
        <v>85.8</v>
      </c>
      <c r="E21" t="s">
        <v>57</v>
      </c>
      <c r="G21" s="10">
        <v>0.95</v>
      </c>
    </row>
    <row r="22" spans="2:10">
      <c r="B22" s="1">
        <v>120</v>
      </c>
      <c r="E22" t="s">
        <v>58</v>
      </c>
      <c r="G22">
        <v>-12.122589066323144</v>
      </c>
    </row>
    <row r="23" spans="2:10">
      <c r="B23" s="1">
        <v>10.4</v>
      </c>
      <c r="E23" t="s">
        <v>59</v>
      </c>
      <c r="G23">
        <v>28.981972006432017</v>
      </c>
    </row>
    <row r="24" spans="2:10">
      <c r="B24" s="1">
        <v>8.98</v>
      </c>
    </row>
    <row r="25" spans="2:10">
      <c r="B25">
        <v>17.2</v>
      </c>
    </row>
    <row r="26" spans="2:10">
      <c r="B26">
        <v>39</v>
      </c>
    </row>
    <row r="27" spans="2:10">
      <c r="B27">
        <v>20.6</v>
      </c>
      <c r="E27" t="s">
        <v>60</v>
      </c>
    </row>
    <row r="28" spans="2:10">
      <c r="B28" s="1">
        <v>41.1</v>
      </c>
    </row>
    <row r="29" spans="2:10" ht="15" thickBot="1">
      <c r="B29" s="2">
        <v>49.4</v>
      </c>
      <c r="F29" s="9" t="s">
        <v>51</v>
      </c>
      <c r="G29" s="9" t="s">
        <v>52</v>
      </c>
      <c r="H29" s="9" t="s">
        <v>53</v>
      </c>
      <c r="I29" s="9" t="s">
        <v>54</v>
      </c>
      <c r="J29" s="9" t="s">
        <v>55</v>
      </c>
    </row>
    <row r="30" spans="2:10">
      <c r="B30" s="2">
        <v>55.2</v>
      </c>
      <c r="E30" t="s">
        <v>121</v>
      </c>
      <c r="F30">
        <v>8.4296914700544363</v>
      </c>
      <c r="G30">
        <v>39.808719372543521</v>
      </c>
      <c r="H30">
        <v>0.83306587423078238</v>
      </c>
      <c r="I30">
        <v>0.40975439694842974</v>
      </c>
      <c r="J30">
        <v>2.0210753903062737</v>
      </c>
    </row>
    <row r="33" spans="5:7">
      <c r="E33" t="s">
        <v>61</v>
      </c>
    </row>
    <row r="35" spans="5:7">
      <c r="E35" t="s">
        <v>57</v>
      </c>
      <c r="G35" s="10">
        <v>0.95</v>
      </c>
    </row>
    <row r="36" spans="5:7">
      <c r="E36" t="s">
        <v>58</v>
      </c>
      <c r="G36">
        <v>-12.021322675415172</v>
      </c>
    </row>
    <row r="37" spans="5:7">
      <c r="E37" t="s">
        <v>59</v>
      </c>
      <c r="G37">
        <v>28.880705615524047</v>
      </c>
    </row>
  </sheetData>
  <phoneticPr fontId="1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37"/>
  <sheetViews>
    <sheetView topLeftCell="E1" workbookViewId="0">
      <selection activeCell="E4" sqref="E4:J6"/>
    </sheetView>
  </sheetViews>
  <sheetFormatPr baseColWidth="10" defaultColWidth="8.83203125" defaultRowHeight="14"/>
  <sheetData>
    <row r="1" spans="2:10">
      <c r="B1" t="s">
        <v>123</v>
      </c>
      <c r="C1" t="s">
        <v>125</v>
      </c>
      <c r="E1" t="s">
        <v>43</v>
      </c>
    </row>
    <row r="2" spans="2:10">
      <c r="B2">
        <v>60.959999999999994</v>
      </c>
      <c r="C2">
        <v>120</v>
      </c>
    </row>
    <row r="3" spans="2:10">
      <c r="B3" s="1">
        <v>120</v>
      </c>
      <c r="C3">
        <v>42.8</v>
      </c>
    </row>
    <row r="4" spans="2:10">
      <c r="B4" s="1">
        <v>11.58</v>
      </c>
      <c r="C4" s="1">
        <v>12.6</v>
      </c>
      <c r="F4" s="8" t="s">
        <v>45</v>
      </c>
      <c r="G4" s="8" t="s">
        <v>46</v>
      </c>
      <c r="H4" s="8" t="s">
        <v>47</v>
      </c>
      <c r="I4" s="8" t="s">
        <v>48</v>
      </c>
      <c r="J4" s="8" t="s">
        <v>49</v>
      </c>
    </row>
    <row r="5" spans="2:10">
      <c r="B5">
        <v>48.6</v>
      </c>
      <c r="C5" s="1">
        <v>115.6</v>
      </c>
      <c r="E5" t="s">
        <v>122</v>
      </c>
      <c r="F5">
        <v>13</v>
      </c>
      <c r="G5">
        <v>44.498461538461541</v>
      </c>
      <c r="H5">
        <v>1014.9074974358967</v>
      </c>
      <c r="I5">
        <v>31.857612864681133</v>
      </c>
      <c r="J5">
        <v>8.8357120536530047</v>
      </c>
    </row>
    <row r="6" spans="2:10">
      <c r="B6" s="1">
        <v>85.8</v>
      </c>
      <c r="C6" s="1">
        <v>79.8</v>
      </c>
      <c r="E6" t="s">
        <v>124</v>
      </c>
      <c r="F6">
        <v>35</v>
      </c>
      <c r="G6">
        <v>52.332571428571434</v>
      </c>
      <c r="H6">
        <v>1267.7523314285693</v>
      </c>
      <c r="I6">
        <v>35.605509846491024</v>
      </c>
      <c r="J6">
        <v>6.0184296277079961</v>
      </c>
    </row>
    <row r="7" spans="2:10">
      <c r="B7" s="1">
        <v>10.4</v>
      </c>
      <c r="C7" s="1">
        <v>18.8</v>
      </c>
    </row>
    <row r="8" spans="2:10">
      <c r="B8" s="1">
        <v>8.98</v>
      </c>
      <c r="C8" s="1">
        <v>55</v>
      </c>
    </row>
    <row r="9" spans="2:10">
      <c r="B9" s="1">
        <v>41.1</v>
      </c>
      <c r="C9">
        <v>17.8</v>
      </c>
    </row>
    <row r="10" spans="2:10">
      <c r="B10" s="2">
        <v>49.4</v>
      </c>
      <c r="C10">
        <v>101.4</v>
      </c>
      <c r="E10" t="s">
        <v>44</v>
      </c>
    </row>
    <row r="11" spans="2:10">
      <c r="B11" s="2">
        <v>55.2</v>
      </c>
      <c r="C11">
        <v>43.2</v>
      </c>
    </row>
    <row r="12" spans="2:10">
      <c r="B12" s="1">
        <v>29.8</v>
      </c>
      <c r="C12">
        <v>31.72</v>
      </c>
    </row>
    <row r="13" spans="2:10">
      <c r="B13" s="1">
        <v>34.96</v>
      </c>
      <c r="C13" s="1">
        <v>77.2</v>
      </c>
      <c r="E13" t="s">
        <v>50</v>
      </c>
    </row>
    <row r="14" spans="2:10">
      <c r="B14" s="1">
        <v>21.699999999999996</v>
      </c>
      <c r="C14" s="2">
        <v>40.6</v>
      </c>
    </row>
    <row r="15" spans="2:10" ht="15" thickBot="1">
      <c r="C15">
        <v>94</v>
      </c>
      <c r="F15" s="9" t="s">
        <v>51</v>
      </c>
      <c r="G15" s="9" t="s">
        <v>52</v>
      </c>
      <c r="H15" s="9" t="s">
        <v>53</v>
      </c>
      <c r="I15" s="9" t="s">
        <v>54</v>
      </c>
      <c r="J15" s="9" t="s">
        <v>55</v>
      </c>
    </row>
    <row r="16" spans="2:10">
      <c r="C16">
        <v>91.179999999999993</v>
      </c>
      <c r="E16" t="s">
        <v>126</v>
      </c>
      <c r="F16">
        <v>-7.8341098901098931</v>
      </c>
      <c r="G16">
        <v>46</v>
      </c>
      <c r="H16">
        <v>-0.69576077076640408</v>
      </c>
      <c r="I16">
        <v>0.49007906234130705</v>
      </c>
      <c r="J16">
        <v>2.0128955989194299</v>
      </c>
    </row>
    <row r="17" spans="3:10">
      <c r="C17">
        <v>66.320000000000007</v>
      </c>
    </row>
    <row r="18" spans="3:10">
      <c r="C18" s="1">
        <v>106.4</v>
      </c>
    </row>
    <row r="19" spans="3:10">
      <c r="C19">
        <v>12.4</v>
      </c>
      <c r="E19" t="s">
        <v>56</v>
      </c>
    </row>
    <row r="20" spans="3:10">
      <c r="C20" s="1">
        <v>17.8</v>
      </c>
    </row>
    <row r="21" spans="3:10">
      <c r="C21">
        <v>40.879999999999995</v>
      </c>
      <c r="E21" t="s">
        <v>57</v>
      </c>
      <c r="G21" s="10">
        <v>0.95</v>
      </c>
    </row>
    <row r="22" spans="3:10">
      <c r="C22">
        <v>65.28</v>
      </c>
      <c r="E22" t="s">
        <v>58</v>
      </c>
      <c r="G22">
        <v>-30.498861887959706</v>
      </c>
    </row>
    <row r="23" spans="3:10">
      <c r="C23" s="1">
        <v>49.6</v>
      </c>
      <c r="E23" t="s">
        <v>59</v>
      </c>
      <c r="G23">
        <v>14.830642107739921</v>
      </c>
    </row>
    <row r="24" spans="3:10">
      <c r="C24">
        <v>47</v>
      </c>
    </row>
    <row r="25" spans="3:10">
      <c r="C25" s="1">
        <v>104.8</v>
      </c>
    </row>
    <row r="26" spans="3:10">
      <c r="C26" s="1">
        <v>120</v>
      </c>
    </row>
    <row r="27" spans="3:10">
      <c r="C27" s="1">
        <v>13.2</v>
      </c>
      <c r="E27" t="s">
        <v>60</v>
      </c>
    </row>
    <row r="28" spans="3:10">
      <c r="C28" s="1">
        <v>9.36</v>
      </c>
    </row>
    <row r="29" spans="3:10" ht="15" thickBot="1">
      <c r="C29" s="1">
        <v>25.119999999999997</v>
      </c>
      <c r="F29" s="9" t="s">
        <v>51</v>
      </c>
      <c r="G29" s="9" t="s">
        <v>52</v>
      </c>
      <c r="H29" s="9" t="s">
        <v>53</v>
      </c>
      <c r="I29" s="9" t="s">
        <v>54</v>
      </c>
      <c r="J29" s="9" t="s">
        <v>55</v>
      </c>
    </row>
    <row r="30" spans="3:10">
      <c r="C30">
        <v>40.4</v>
      </c>
      <c r="E30" t="s">
        <v>126</v>
      </c>
      <c r="F30">
        <v>-7.8341098901098931</v>
      </c>
      <c r="G30">
        <v>23.9022808225948</v>
      </c>
      <c r="H30">
        <v>-0.73279596240789391</v>
      </c>
      <c r="I30">
        <v>0.47078001090100863</v>
      </c>
      <c r="J30">
        <v>2.0638985616280254</v>
      </c>
    </row>
    <row r="31" spans="3:10">
      <c r="C31">
        <v>17.2</v>
      </c>
    </row>
    <row r="32" spans="3:10">
      <c r="C32">
        <v>39</v>
      </c>
    </row>
    <row r="33" spans="3:7">
      <c r="C33">
        <v>20.6</v>
      </c>
      <c r="E33" t="s">
        <v>61</v>
      </c>
    </row>
    <row r="34" spans="3:7">
      <c r="C34" s="1">
        <v>10.6</v>
      </c>
    </row>
    <row r="35" spans="3:7">
      <c r="C35" s="1">
        <v>60</v>
      </c>
      <c r="E35" t="s">
        <v>57</v>
      </c>
      <c r="G35" s="10">
        <v>0.95</v>
      </c>
    </row>
    <row r="36" spans="3:7">
      <c r="C36" s="1">
        <v>23.98</v>
      </c>
      <c r="E36" t="s">
        <v>58</v>
      </c>
      <c r="G36">
        <v>-29.898653041664137</v>
      </c>
    </row>
    <row r="37" spans="3:7">
      <c r="E37" t="s">
        <v>59</v>
      </c>
      <c r="G37">
        <v>14.23043326144435</v>
      </c>
    </row>
  </sheetData>
  <phoneticPr fontId="1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43"/>
  <sheetViews>
    <sheetView topLeftCell="B1" workbookViewId="0">
      <selection activeCell="E4" sqref="E4:J6"/>
    </sheetView>
  </sheetViews>
  <sheetFormatPr baseColWidth="10" defaultColWidth="8.83203125" defaultRowHeight="14"/>
  <sheetData>
    <row r="1" spans="2:10">
      <c r="B1" t="s">
        <v>146</v>
      </c>
      <c r="C1" t="s">
        <v>148</v>
      </c>
      <c r="E1" t="s">
        <v>43</v>
      </c>
    </row>
    <row r="2" spans="2:10">
      <c r="B2" s="1">
        <v>79.8</v>
      </c>
      <c r="C2">
        <v>120</v>
      </c>
    </row>
    <row r="3" spans="2:10">
      <c r="B3">
        <v>66.320000000000007</v>
      </c>
      <c r="C3">
        <v>42.8</v>
      </c>
    </row>
    <row r="4" spans="2:10">
      <c r="B4" s="1">
        <v>106.4</v>
      </c>
      <c r="C4" s="1">
        <v>12.6</v>
      </c>
      <c r="F4" s="8" t="s">
        <v>45</v>
      </c>
      <c r="G4" s="8" t="s">
        <v>46</v>
      </c>
      <c r="H4" s="8" t="s">
        <v>47</v>
      </c>
      <c r="I4" s="8" t="s">
        <v>48</v>
      </c>
      <c r="J4" s="8" t="s">
        <v>49</v>
      </c>
    </row>
    <row r="5" spans="2:10">
      <c r="B5" s="1">
        <v>41.1</v>
      </c>
      <c r="C5" s="1">
        <v>115.6</v>
      </c>
      <c r="E5" t="s">
        <v>145</v>
      </c>
      <c r="F5">
        <v>6</v>
      </c>
      <c r="G5">
        <v>63.963333333333331</v>
      </c>
      <c r="H5">
        <v>699.58918666666796</v>
      </c>
      <c r="I5">
        <v>26.449748328985439</v>
      </c>
      <c r="J5">
        <v>10.798064538507722</v>
      </c>
    </row>
    <row r="6" spans="2:10">
      <c r="B6" s="2">
        <v>55.2</v>
      </c>
      <c r="C6" s="1">
        <v>18.8</v>
      </c>
      <c r="E6" t="s">
        <v>147</v>
      </c>
      <c r="F6">
        <v>42</v>
      </c>
      <c r="G6">
        <v>48.246190476190471</v>
      </c>
      <c r="H6">
        <v>1245.5948973286863</v>
      </c>
      <c r="I6">
        <v>35.292986517560202</v>
      </c>
      <c r="J6">
        <v>5.4458260498264837</v>
      </c>
    </row>
    <row r="7" spans="2:10">
      <c r="B7" s="1">
        <v>34.96</v>
      </c>
      <c r="C7" s="1">
        <v>55</v>
      </c>
    </row>
    <row r="8" spans="2:10">
      <c r="C8">
        <v>17.8</v>
      </c>
    </row>
    <row r="9" spans="2:10">
      <c r="C9">
        <v>101.4</v>
      </c>
    </row>
    <row r="10" spans="2:10">
      <c r="C10">
        <v>43.2</v>
      </c>
      <c r="E10" t="s">
        <v>44</v>
      </c>
    </row>
    <row r="11" spans="2:10">
      <c r="C11">
        <v>31.72</v>
      </c>
    </row>
    <row r="12" spans="2:10">
      <c r="C12">
        <v>60.959999999999994</v>
      </c>
    </row>
    <row r="13" spans="2:10">
      <c r="C13" s="1">
        <v>120</v>
      </c>
      <c r="E13" t="s">
        <v>50</v>
      </c>
    </row>
    <row r="14" spans="2:10">
      <c r="C14" s="1">
        <v>77.2</v>
      </c>
    </row>
    <row r="15" spans="2:10" ht="15" thickBot="1">
      <c r="C15" s="2">
        <v>40.6</v>
      </c>
      <c r="F15" s="9" t="s">
        <v>51</v>
      </c>
      <c r="G15" s="9" t="s">
        <v>52</v>
      </c>
      <c r="H15" s="9" t="s">
        <v>53</v>
      </c>
      <c r="I15" s="9" t="s">
        <v>54</v>
      </c>
      <c r="J15" s="9" t="s">
        <v>55</v>
      </c>
    </row>
    <row r="16" spans="2:10">
      <c r="C16">
        <v>94</v>
      </c>
      <c r="E16" t="s">
        <v>149</v>
      </c>
      <c r="F16">
        <v>15.717142857142861</v>
      </c>
      <c r="G16">
        <v>46</v>
      </c>
      <c r="H16">
        <v>1.0456005170491203</v>
      </c>
      <c r="I16">
        <v>0.30120902374845576</v>
      </c>
      <c r="J16">
        <v>2.0128955989194299</v>
      </c>
    </row>
    <row r="17" spans="3:10">
      <c r="C17">
        <v>91.179999999999993</v>
      </c>
    </row>
    <row r="18" spans="3:10">
      <c r="C18">
        <v>12.4</v>
      </c>
    </row>
    <row r="19" spans="3:10">
      <c r="C19" s="1">
        <v>17.8</v>
      </c>
      <c r="E19" t="s">
        <v>56</v>
      </c>
    </row>
    <row r="20" spans="3:10">
      <c r="C20" s="1">
        <v>11.58</v>
      </c>
    </row>
    <row r="21" spans="3:10">
      <c r="C21">
        <v>48.6</v>
      </c>
      <c r="E21" t="s">
        <v>57</v>
      </c>
      <c r="G21" s="10">
        <v>0.95</v>
      </c>
    </row>
    <row r="22" spans="3:10">
      <c r="C22">
        <v>40.879999999999995</v>
      </c>
      <c r="E22" t="s">
        <v>58</v>
      </c>
      <c r="G22">
        <v>-14.540079828645631</v>
      </c>
    </row>
    <row r="23" spans="3:10">
      <c r="C23">
        <v>65.28</v>
      </c>
      <c r="E23" t="s">
        <v>59</v>
      </c>
      <c r="G23">
        <v>45.974365542931352</v>
      </c>
    </row>
    <row r="24" spans="3:10">
      <c r="C24" s="1">
        <v>49.6</v>
      </c>
    </row>
    <row r="25" spans="3:10">
      <c r="C25">
        <v>47</v>
      </c>
    </row>
    <row r="26" spans="3:10">
      <c r="C26" s="1">
        <v>85.8</v>
      </c>
    </row>
    <row r="27" spans="3:10">
      <c r="C27" s="1">
        <v>104.8</v>
      </c>
      <c r="E27" t="s">
        <v>60</v>
      </c>
    </row>
    <row r="28" spans="3:10">
      <c r="C28" s="1">
        <v>120</v>
      </c>
    </row>
    <row r="29" spans="3:10" ht="15" thickBot="1">
      <c r="C29" s="1">
        <v>13.2</v>
      </c>
      <c r="F29" s="9" t="s">
        <v>51</v>
      </c>
      <c r="G29" s="9" t="s">
        <v>52</v>
      </c>
      <c r="H29" s="9" t="s">
        <v>53</v>
      </c>
      <c r="I29" s="9" t="s">
        <v>54</v>
      </c>
      <c r="J29" s="9" t="s">
        <v>55</v>
      </c>
    </row>
    <row r="30" spans="3:10">
      <c r="C30" s="1">
        <v>10.4</v>
      </c>
      <c r="E30" t="s">
        <v>149</v>
      </c>
      <c r="F30">
        <v>15.717142857142861</v>
      </c>
      <c r="G30">
        <v>7.8054166565943977</v>
      </c>
      <c r="H30">
        <v>1.299624572573326</v>
      </c>
      <c r="I30">
        <v>0.2299262206757611</v>
      </c>
      <c r="J30">
        <v>2.3060041352041671</v>
      </c>
    </row>
    <row r="31" spans="3:10">
      <c r="C31" s="1">
        <v>9.36</v>
      </c>
    </row>
    <row r="32" spans="3:10">
      <c r="C32" s="1">
        <v>25.119999999999997</v>
      </c>
    </row>
    <row r="33" spans="3:7">
      <c r="C33" s="1">
        <v>8.98</v>
      </c>
      <c r="E33" t="s">
        <v>61</v>
      </c>
    </row>
    <row r="34" spans="3:7">
      <c r="C34">
        <v>40.4</v>
      </c>
    </row>
    <row r="35" spans="3:7">
      <c r="C35">
        <v>17.2</v>
      </c>
      <c r="E35" t="s">
        <v>57</v>
      </c>
      <c r="G35" s="10">
        <v>0.95</v>
      </c>
    </row>
    <row r="36" spans="3:7">
      <c r="C36">
        <v>39</v>
      </c>
      <c r="E36" t="s">
        <v>58</v>
      </c>
      <c r="G36">
        <v>-12.170754299496325</v>
      </c>
    </row>
    <row r="37" spans="3:7">
      <c r="C37">
        <v>20.6</v>
      </c>
      <c r="E37" t="s">
        <v>59</v>
      </c>
      <c r="G37">
        <v>43.605040013782045</v>
      </c>
    </row>
    <row r="38" spans="3:7">
      <c r="C38" s="2">
        <v>49.4</v>
      </c>
    </row>
    <row r="39" spans="3:7">
      <c r="C39" s="1">
        <v>10.6</v>
      </c>
    </row>
    <row r="40" spans="3:7">
      <c r="C40" s="1">
        <v>60</v>
      </c>
    </row>
    <row r="41" spans="3:7">
      <c r="C41" s="1">
        <v>29.8</v>
      </c>
    </row>
    <row r="42" spans="3:7">
      <c r="C42" s="1">
        <v>21.699999999999996</v>
      </c>
    </row>
    <row r="43" spans="3:7">
      <c r="C43" s="1">
        <v>23.98</v>
      </c>
    </row>
  </sheetData>
  <phoneticPr fontId="1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S45"/>
  <sheetViews>
    <sheetView topLeftCell="A22" zoomScale="80" zoomScaleNormal="80" workbookViewId="0">
      <selection activeCell="J51" sqref="J51"/>
    </sheetView>
  </sheetViews>
  <sheetFormatPr baseColWidth="10" defaultColWidth="8.83203125" defaultRowHeight="14"/>
  <sheetData>
    <row r="2" spans="1:19">
      <c r="B2" t="s">
        <v>62</v>
      </c>
      <c r="C2" t="s">
        <v>64</v>
      </c>
      <c r="D2" t="s">
        <v>150</v>
      </c>
      <c r="E2" t="s">
        <v>151</v>
      </c>
      <c r="I2" t="s">
        <v>69</v>
      </c>
      <c r="J2" t="s">
        <v>67</v>
      </c>
      <c r="K2" t="s">
        <v>90</v>
      </c>
      <c r="L2" t="s">
        <v>92</v>
      </c>
      <c r="P2" t="s">
        <v>74</v>
      </c>
      <c r="Q2" t="s">
        <v>72</v>
      </c>
      <c r="R2" t="s">
        <v>95</v>
      </c>
      <c r="S2" t="s">
        <v>97</v>
      </c>
    </row>
    <row r="3" spans="1:19">
      <c r="A3" t="s">
        <v>77</v>
      </c>
      <c r="B3">
        <v>38.658620689655166</v>
      </c>
      <c r="C3">
        <v>67.843157894736848</v>
      </c>
      <c r="D3">
        <v>68.17789473684212</v>
      </c>
      <c r="E3">
        <v>38.439310344827589</v>
      </c>
      <c r="H3" t="s">
        <v>77</v>
      </c>
      <c r="I3">
        <v>41.836363636363636</v>
      </c>
      <c r="J3">
        <v>68.634666666666661</v>
      </c>
      <c r="K3">
        <v>62.896666666666654</v>
      </c>
      <c r="L3">
        <v>28.388888888888889</v>
      </c>
      <c r="O3" t="s">
        <v>77</v>
      </c>
      <c r="P3">
        <v>45.35230769230769</v>
      </c>
      <c r="Q3">
        <v>71.26444444444445</v>
      </c>
      <c r="R3">
        <v>68.17789473684212</v>
      </c>
      <c r="S3">
        <v>38.439310344827597</v>
      </c>
    </row>
    <row r="4" spans="1:19">
      <c r="A4" t="s">
        <v>79</v>
      </c>
      <c r="B4">
        <v>29.430161851423531</v>
      </c>
      <c r="C4">
        <v>34.829138033266766</v>
      </c>
      <c r="D4">
        <v>35.938816461522052</v>
      </c>
      <c r="E4">
        <v>28.324319930183478</v>
      </c>
      <c r="H4" t="s">
        <v>79</v>
      </c>
      <c r="I4">
        <v>31.776440744105312</v>
      </c>
      <c r="J4">
        <v>33.960665033591567</v>
      </c>
      <c r="K4">
        <v>33.917411030538489</v>
      </c>
      <c r="L4">
        <v>16.257928704224103</v>
      </c>
      <c r="O4" t="s">
        <v>79</v>
      </c>
      <c r="P4">
        <v>32.742497932353942</v>
      </c>
      <c r="Q4">
        <v>35.73449982548766</v>
      </c>
      <c r="R4">
        <v>35.938816461522052</v>
      </c>
      <c r="S4">
        <v>28.324319930183464</v>
      </c>
    </row>
    <row r="5" spans="1:19">
      <c r="A5" t="s">
        <v>81</v>
      </c>
      <c r="B5">
        <v>5.4650438576054636</v>
      </c>
      <c r="C5">
        <v>7.9903522619809886</v>
      </c>
      <c r="D5">
        <v>8.2449299529595059</v>
      </c>
      <c r="E5">
        <v>5.259694168070431</v>
      </c>
      <c r="H5" t="s">
        <v>81</v>
      </c>
      <c r="I5">
        <v>5.5315683193489837</v>
      </c>
      <c r="J5">
        <v>8.7686060067485787</v>
      </c>
      <c r="K5">
        <v>6.9233625350887547</v>
      </c>
      <c r="L5">
        <v>3.8320305449347614</v>
      </c>
      <c r="O5" t="s">
        <v>81</v>
      </c>
      <c r="P5">
        <v>5.2429957448747198</v>
      </c>
      <c r="Q5">
        <v>11.91149994182922</v>
      </c>
      <c r="R5">
        <v>8.2449299529595059</v>
      </c>
      <c r="S5">
        <v>5.2596941680704283</v>
      </c>
    </row>
    <row r="6" spans="1:19">
      <c r="A6" t="s">
        <v>83</v>
      </c>
      <c r="B6">
        <v>29</v>
      </c>
      <c r="C6">
        <v>19</v>
      </c>
      <c r="D6">
        <v>19</v>
      </c>
      <c r="E6">
        <v>29</v>
      </c>
      <c r="H6" t="s">
        <v>83</v>
      </c>
      <c r="I6">
        <v>33</v>
      </c>
      <c r="J6">
        <v>15</v>
      </c>
      <c r="K6">
        <v>24</v>
      </c>
      <c r="L6">
        <v>18</v>
      </c>
      <c r="O6" t="s">
        <v>83</v>
      </c>
      <c r="P6">
        <v>39</v>
      </c>
      <c r="Q6">
        <v>9</v>
      </c>
      <c r="R6">
        <v>19</v>
      </c>
      <c r="S6">
        <v>29</v>
      </c>
    </row>
    <row r="26" spans="2:19">
      <c r="B26" t="s">
        <v>163</v>
      </c>
      <c r="E26" t="s">
        <v>168</v>
      </c>
      <c r="I26" t="s">
        <v>164</v>
      </c>
      <c r="L26" t="s">
        <v>167</v>
      </c>
      <c r="P26" t="s">
        <v>165</v>
      </c>
      <c r="S26" t="s">
        <v>166</v>
      </c>
    </row>
    <row r="33" spans="1:13">
      <c r="B33" t="s">
        <v>62</v>
      </c>
      <c r="C33" t="s">
        <v>64</v>
      </c>
      <c r="D33" t="s">
        <v>263</v>
      </c>
      <c r="E33" t="s">
        <v>264</v>
      </c>
      <c r="F33" t="s">
        <v>122</v>
      </c>
      <c r="G33" t="s">
        <v>124</v>
      </c>
      <c r="H33" t="s">
        <v>145</v>
      </c>
      <c r="I33" t="s">
        <v>147</v>
      </c>
      <c r="J33" t="s">
        <v>112</v>
      </c>
      <c r="K33" t="s">
        <v>114</v>
      </c>
      <c r="L33" t="s">
        <v>150</v>
      </c>
      <c r="M33" t="s">
        <v>151</v>
      </c>
    </row>
    <row r="34" spans="1:13">
      <c r="A34" t="s">
        <v>77</v>
      </c>
      <c r="B34">
        <v>38.658620689655166</v>
      </c>
      <c r="C34">
        <v>67.843157894736848</v>
      </c>
      <c r="D34">
        <v>53.547586206896547</v>
      </c>
      <c r="E34">
        <v>45.117894736842111</v>
      </c>
      <c r="F34">
        <v>44.498461538461541</v>
      </c>
      <c r="G34">
        <v>52.332571428571434</v>
      </c>
      <c r="H34">
        <v>63.963333333333331</v>
      </c>
      <c r="I34">
        <v>48.246190476190471</v>
      </c>
      <c r="J34">
        <v>35.112000000000009</v>
      </c>
      <c r="K34">
        <v>54.184210526315788</v>
      </c>
      <c r="L34">
        <v>68.17789473684212</v>
      </c>
      <c r="M34">
        <v>38.439310344827589</v>
      </c>
    </row>
    <row r="35" spans="1:13">
      <c r="A35" t="s">
        <v>79</v>
      </c>
      <c r="B35">
        <v>29.430161851423531</v>
      </c>
      <c r="C35">
        <v>34.829138033266766</v>
      </c>
      <c r="D35">
        <v>35.155784085692112</v>
      </c>
      <c r="E35">
        <v>33.700077741246851</v>
      </c>
      <c r="F35">
        <v>31.857612864681133</v>
      </c>
      <c r="G35">
        <v>35.605509846491024</v>
      </c>
      <c r="H35">
        <v>26.449748328985439</v>
      </c>
      <c r="I35">
        <v>35.292986517560202</v>
      </c>
      <c r="J35">
        <v>34.312247505648592</v>
      </c>
      <c r="K35">
        <v>33.847265259930552</v>
      </c>
      <c r="L35">
        <v>35.938816461522052</v>
      </c>
      <c r="M35">
        <v>28.324319930183478</v>
      </c>
    </row>
    <row r="36" spans="1:13">
      <c r="A36" t="s">
        <v>81</v>
      </c>
      <c r="B36">
        <v>5.4650438576054636</v>
      </c>
      <c r="C36">
        <v>7.9903522619809886</v>
      </c>
      <c r="D36">
        <v>6.5282652146720155</v>
      </c>
      <c r="E36">
        <v>7.7313280665031305</v>
      </c>
      <c r="F36">
        <v>8.8357120536530047</v>
      </c>
      <c r="G36">
        <v>6.0184296277079961</v>
      </c>
      <c r="H36">
        <v>10.798064538507722</v>
      </c>
      <c r="I36">
        <v>5.4458260498264837</v>
      </c>
      <c r="J36">
        <v>10.850485375728073</v>
      </c>
      <c r="K36">
        <v>5.4907514718558232</v>
      </c>
      <c r="L36">
        <v>8.2449299529595059</v>
      </c>
      <c r="M36">
        <v>5.259694168070431</v>
      </c>
    </row>
    <row r="37" spans="1:13">
      <c r="A37" t="s">
        <v>83</v>
      </c>
      <c r="B37">
        <v>29</v>
      </c>
      <c r="C37">
        <v>19</v>
      </c>
      <c r="D37">
        <v>29</v>
      </c>
      <c r="E37">
        <v>19</v>
      </c>
      <c r="F37">
        <v>13</v>
      </c>
      <c r="G37">
        <v>35</v>
      </c>
      <c r="H37">
        <v>6</v>
      </c>
      <c r="I37">
        <v>42</v>
      </c>
      <c r="J37">
        <v>10</v>
      </c>
      <c r="K37">
        <v>38</v>
      </c>
      <c r="L37">
        <v>19</v>
      </c>
      <c r="M37">
        <v>29</v>
      </c>
    </row>
    <row r="38" spans="1:13">
      <c r="H38" s="8"/>
    </row>
    <row r="41" spans="1:13">
      <c r="J41" s="8"/>
    </row>
    <row r="42" spans="1:13">
      <c r="J42" s="8"/>
    </row>
    <row r="43" spans="1:13">
      <c r="J43" s="8"/>
    </row>
    <row r="44" spans="1:13">
      <c r="J44" s="8"/>
    </row>
    <row r="45" spans="1:13">
      <c r="J45" s="8"/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14</vt:i4>
      </vt:variant>
    </vt:vector>
  </HeadingPairs>
  <TitlesOfParts>
    <vt:vector size="14" baseType="lpstr">
      <vt:lpstr>s_raw</vt:lpstr>
      <vt:lpstr>b_raw</vt:lpstr>
      <vt:lpstr>Control or Bcas</vt:lpstr>
      <vt:lpstr>raw_data</vt:lpstr>
      <vt:lpstr>★stats</vt:lpstr>
      <vt:lpstr>★tables</vt:lpstr>
      <vt:lpstr>thigmo</vt:lpstr>
      <vt:lpstr>Sheet1</vt:lpstr>
      <vt:lpstr>direct</vt:lpstr>
      <vt:lpstr>circ</vt:lpstr>
      <vt:lpstr>rotating</vt:lpstr>
      <vt:lpstr>focal</vt:lpstr>
      <vt:lpstr>scan</vt:lpstr>
      <vt:lpstr>★graphs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2018-03-09T04:09:32Z</dcterms:modified>
</cp:coreProperties>
</file>