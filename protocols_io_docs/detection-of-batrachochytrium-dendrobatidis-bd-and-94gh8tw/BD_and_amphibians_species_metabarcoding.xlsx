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checkCompatibility="1" autoCompressPictures="0"/>
  <bookViews>
    <workbookView xWindow="-520" yWindow="-24640" windowWidth="25360" windowHeight="15820" tabRatio="500" activeTab="1"/>
  </bookViews>
  <sheets>
    <sheet name="Genesig advanced kit" sheetId="2" r:id="rId1"/>
    <sheet name="Amphibians metbarcoding_1stPCR" sheetId="11" r:id="rId2"/>
    <sheet name="Amphibian metbarcoding_2stPCR" sheetId="1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9" i="11" l="1"/>
  <c r="D10" i="11"/>
  <c r="D12" i="11"/>
  <c r="D13" i="11"/>
  <c r="D14" i="11"/>
  <c r="D16" i="11"/>
  <c r="D17" i="11"/>
  <c r="E10" i="11"/>
  <c r="E11" i="11"/>
  <c r="E12" i="11"/>
  <c r="E13" i="11"/>
  <c r="E14" i="11"/>
  <c r="E15" i="11"/>
  <c r="E16" i="11"/>
  <c r="E17" i="11"/>
  <c r="E9" i="11"/>
</calcChain>
</file>

<file path=xl/sharedStrings.xml><?xml version="1.0" encoding="utf-8"?>
<sst xmlns="http://schemas.openxmlformats.org/spreadsheetml/2006/main" count="129" uniqueCount="93">
  <si>
    <t xml:space="preserve">Step </t>
  </si>
  <si>
    <t xml:space="preserve">Time </t>
  </si>
  <si>
    <t xml:space="preserve">Temp </t>
  </si>
  <si>
    <t xml:space="preserve">Enzyme activation </t>
  </si>
  <si>
    <t xml:space="preserve">2 min </t>
  </si>
  <si>
    <t xml:space="preserve">Cycling x50 </t>
  </si>
  <si>
    <t xml:space="preserve">Denaturation </t>
  </si>
  <si>
    <t xml:space="preserve">10 s </t>
  </si>
  <si>
    <t xml:space="preserve">DATA COLLECTION * </t>
  </si>
  <si>
    <t>1 min</t>
  </si>
  <si>
    <t>30 sec</t>
  </si>
  <si>
    <t xml:space="preserve">Final Volume </t>
  </si>
  <si>
    <t xml:space="preserve">2. Pipette 15μl of this mix into each well according to your qPCR experimental plate set up. </t>
  </si>
  <si>
    <t xml:space="preserve">3. Prepare DNA templates for each of your samples. </t>
  </si>
  <si>
    <t xml:space="preserve">4. Pipette 5μl of DNA template into each well, according to your experimental plate set up. </t>
  </si>
  <si>
    <t xml:space="preserve">1. For each DNA sample prepare a reaction mix according to the table below: </t>
  </si>
  <si>
    <t xml:space="preserve">B.dendrobatidis primer/probe mix (BROWN) </t>
  </si>
  <si>
    <t xml:space="preserve">RNase/DNase free water (WHITE) </t>
  </si>
  <si>
    <t>1X</t>
  </si>
  <si>
    <t>∑</t>
  </si>
  <si>
    <t>Components</t>
  </si>
  <si>
    <t>Working conc.</t>
  </si>
  <si>
    <t>Final conc.</t>
  </si>
  <si>
    <r>
      <t>1 reaction (</t>
    </r>
    <r>
      <rPr>
        <b/>
        <sz val="12"/>
        <color rgb="FFFF0000"/>
        <rFont val="Calibri"/>
        <family val="2"/>
        <scheme val="minor"/>
      </rPr>
      <t>µl</t>
    </r>
    <r>
      <rPr>
        <b/>
        <sz val="12"/>
        <color rgb="FF000000"/>
        <rFont val="Calibri"/>
        <family val="2"/>
        <scheme val="minor"/>
      </rPr>
      <t>)</t>
    </r>
  </si>
  <si>
    <t>(N) reactions 40</t>
  </si>
  <si>
    <t>5xQ5 Reaction Buffer</t>
  </si>
  <si>
    <t>5X</t>
  </si>
  <si>
    <t>10 µM</t>
  </si>
  <si>
    <t>dNTPs</t>
  </si>
  <si>
    <t>Q5 HF DNA polymerase</t>
  </si>
  <si>
    <t>2 U/µl</t>
  </si>
  <si>
    <t>0.02 U/µl</t>
  </si>
  <si>
    <t>Template DNA</t>
  </si>
  <si>
    <t>Nuclease-Free water</t>
  </si>
  <si>
    <t>batra_F</t>
  </si>
  <si>
    <t>batra_R</t>
  </si>
  <si>
    <t xml:space="preserve"> 2 mM</t>
  </si>
  <si>
    <t>First PCR program</t>
  </si>
  <si>
    <t>STEP</t>
  </si>
  <si>
    <t>TEMP.</t>
  </si>
  <si>
    <t>TIME</t>
  </si>
  <si>
    <t>Initial Denaturation</t>
  </si>
  <si>
    <t>Final Extension</t>
  </si>
  <si>
    <t>Hold</t>
  </si>
  <si>
    <t>∞</t>
  </si>
  <si>
    <t>35 cycles</t>
  </si>
  <si>
    <t>0,2 µM</t>
  </si>
  <si>
    <t>0,2 mM</t>
  </si>
  <si>
    <t>batra_blk</t>
  </si>
  <si>
    <t>4uM</t>
  </si>
  <si>
    <t xml:space="preserve">Genesig qPCR detection protocol </t>
  </si>
  <si>
    <t xml:space="preserve">Component Volume                    μl </t>
  </si>
  <si>
    <t xml:space="preserve">SsoAdvanced Universal Probes Supermix </t>
  </si>
  <si>
    <t>7 min</t>
  </si>
  <si>
    <t>50uM</t>
  </si>
  <si>
    <t>10 µM Forward index (i5, illu-N501-N508)</t>
  </si>
  <si>
    <t>5 µM</t>
  </si>
  <si>
    <t>0.25 µM</t>
  </si>
  <si>
    <t>10 µM Reverse index (i7, illu-N701-N712)</t>
  </si>
  <si>
    <t>Second PCR program</t>
  </si>
  <si>
    <t>15 cycles</t>
  </si>
  <si>
    <t>20 sec</t>
  </si>
  <si>
    <t xml:space="preserve">5. For negative control wells use 5μl of RNase/DNase free water. The final volume in each well is 20μl. </t>
  </si>
  <si>
    <r>
      <t>6. Serial dilution:1e</t>
    </r>
    <r>
      <rPr>
        <b/>
        <vertAlign val="superscript"/>
        <sz val="14"/>
        <color rgb="FF003066"/>
        <rFont val="Arial"/>
      </rPr>
      <t>4</t>
    </r>
    <r>
      <rPr>
        <b/>
        <sz val="14"/>
        <color rgb="FF003066"/>
        <rFont val="Arial"/>
      </rPr>
      <t>-1e</t>
    </r>
    <r>
      <rPr>
        <b/>
        <vertAlign val="superscript"/>
        <sz val="14"/>
        <color rgb="FF003066"/>
        <rFont val="Arial"/>
      </rPr>
      <t>-1</t>
    </r>
    <r>
      <rPr>
        <b/>
        <sz val="14"/>
        <color rgb="FF003066"/>
        <rFont val="Arial"/>
      </rPr>
      <t xml:space="preserve"> cells of positive control of </t>
    </r>
    <r>
      <rPr>
        <b/>
        <i/>
        <sz val="14"/>
        <color rgb="FF003066"/>
        <rFont val="Arial"/>
      </rPr>
      <t>Batachochytrium dendrobatidis</t>
    </r>
    <r>
      <rPr>
        <b/>
        <sz val="14"/>
        <color rgb="FF003066"/>
        <rFont val="Arial"/>
      </rPr>
      <t xml:space="preserve"> to generate standard curve</t>
    </r>
  </si>
  <si>
    <t>95 °C</t>
  </si>
  <si>
    <t>60 °C</t>
  </si>
  <si>
    <t>Paired end sequencing on the Miseq platform required two steps of PCR, the first step for amplifying the target region using primers</t>
  </si>
  <si>
    <t xml:space="preserve">batra_F: 5′-ACA CTC TTT CCC TAC ACG ACG CTC TTC CGA TCT NNN NNN ACA CCG CCC GTC ACC CT-3′ </t>
  </si>
  <si>
    <t>batra_R:5′-AGA CGT GTG CTC TTC CGA TCT NNN NNN GTA YAC TTA CCA TGT TAC GAC TT-3′</t>
  </si>
  <si>
    <t xml:space="preserve">Human blocking primer: TCACCCTCCTCAAGTATACTTCAAAGGCA-SPC3I </t>
  </si>
  <si>
    <t>Amplification conditions:</t>
  </si>
  <si>
    <t xml:space="preserve">Each sample was amplified in triplicate and then pooled before the purification step. </t>
  </si>
  <si>
    <t>After amplification, the PCR products were purified using the Ampure magnetic beads assay (Beckman coulter, US)</t>
  </si>
  <si>
    <t>Metabarcoding</t>
  </si>
  <si>
    <t>First PCR</t>
  </si>
  <si>
    <t>Second PCR</t>
  </si>
  <si>
    <r>
      <t xml:space="preserve">1 reaction </t>
    </r>
    <r>
      <rPr>
        <b/>
        <sz val="16"/>
        <rFont val="Arial"/>
      </rPr>
      <t>(30 µl)</t>
    </r>
  </si>
  <si>
    <r>
      <t>Template from 1</t>
    </r>
    <r>
      <rPr>
        <vertAlign val="superscript"/>
        <sz val="16"/>
        <color rgb="FF000000"/>
        <rFont val="Arial"/>
      </rPr>
      <t>st</t>
    </r>
    <r>
      <rPr>
        <sz val="16"/>
        <color rgb="FF000000"/>
        <rFont val="Arial"/>
      </rPr>
      <t xml:space="preserve"> PCR</t>
    </r>
  </si>
  <si>
    <t>The second PCR was purified using the same assay as above and quantified using the picogreen assay. </t>
  </si>
  <si>
    <t>Equal amounts of DNA from each sample were mixed to prepare the sequencing library.</t>
  </si>
  <si>
    <t xml:space="preserve">The final pooled sampled were visualized by gel electrophoresis to ensure no extra unwanted fragments existed. </t>
  </si>
  <si>
    <t>The amplicon library was then sequenced on an Illumina Miseq machine, generating paired end reads of 250 bp length.</t>
  </si>
  <si>
    <t>PCR product of each sample was visulaized by 1% gel electrophoresis</t>
  </si>
  <si>
    <r>
      <t>98</t>
    </r>
    <r>
      <rPr>
        <vertAlign val="superscript"/>
        <sz val="12"/>
        <color rgb="FF000000"/>
        <rFont val="Arial"/>
      </rPr>
      <t>o</t>
    </r>
    <r>
      <rPr>
        <sz val="12"/>
        <color rgb="FF000000"/>
        <rFont val="Arial"/>
      </rPr>
      <t>C</t>
    </r>
  </si>
  <si>
    <r>
      <t>57</t>
    </r>
    <r>
      <rPr>
        <vertAlign val="superscript"/>
        <sz val="12"/>
        <color rgb="FF000000"/>
        <rFont val="Arial"/>
      </rPr>
      <t>o</t>
    </r>
    <r>
      <rPr>
        <sz val="12"/>
        <color rgb="FF000000"/>
        <rFont val="Arial"/>
      </rPr>
      <t>C</t>
    </r>
  </si>
  <si>
    <r>
      <t>72</t>
    </r>
    <r>
      <rPr>
        <vertAlign val="superscript"/>
        <sz val="12"/>
        <color rgb="FF000000"/>
        <rFont val="Arial"/>
      </rPr>
      <t>o</t>
    </r>
    <r>
      <rPr>
        <sz val="12"/>
        <color rgb="FF000000"/>
        <rFont val="Arial"/>
      </rPr>
      <t>C</t>
    </r>
  </si>
  <si>
    <r>
      <t>6</t>
    </r>
    <r>
      <rPr>
        <vertAlign val="superscript"/>
        <sz val="12"/>
        <color rgb="FF000000"/>
        <rFont val="Arial"/>
      </rPr>
      <t>o</t>
    </r>
    <r>
      <rPr>
        <sz val="12"/>
        <color rgb="FF000000"/>
        <rFont val="Arial"/>
      </rPr>
      <t>C</t>
    </r>
  </si>
  <si>
    <r>
      <t>98</t>
    </r>
    <r>
      <rPr>
        <vertAlign val="superscript"/>
        <sz val="16"/>
        <color theme="1"/>
        <rFont val="Arial"/>
      </rPr>
      <t>o</t>
    </r>
    <r>
      <rPr>
        <sz val="16"/>
        <color theme="1"/>
        <rFont val="Arial"/>
      </rPr>
      <t>C</t>
    </r>
  </si>
  <si>
    <r>
      <t>66</t>
    </r>
    <r>
      <rPr>
        <vertAlign val="superscript"/>
        <sz val="16"/>
        <rFont val="Arial"/>
      </rPr>
      <t>o</t>
    </r>
    <r>
      <rPr>
        <sz val="16"/>
        <rFont val="Arial"/>
      </rPr>
      <t>C</t>
    </r>
  </si>
  <si>
    <r>
      <t>72</t>
    </r>
    <r>
      <rPr>
        <vertAlign val="superscript"/>
        <sz val="16"/>
        <color theme="1"/>
        <rFont val="Arial"/>
      </rPr>
      <t>o</t>
    </r>
    <r>
      <rPr>
        <sz val="16"/>
        <color theme="1"/>
        <rFont val="Arial"/>
      </rPr>
      <t>C</t>
    </r>
  </si>
  <si>
    <r>
      <t>6</t>
    </r>
    <r>
      <rPr>
        <vertAlign val="superscript"/>
        <sz val="16"/>
        <color theme="1"/>
        <rFont val="Arial"/>
      </rPr>
      <t>o</t>
    </r>
    <r>
      <rPr>
        <sz val="16"/>
        <color theme="1"/>
        <rFont val="Arial"/>
      </rPr>
      <t>C</t>
    </r>
  </si>
  <si>
    <t>10 sec</t>
  </si>
  <si>
    <t>2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</si>
</sst>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Arial"/>
    </font>
    <font>
      <b/>
      <sz val="14"/>
      <color rgb="FF003066"/>
      <name val="Arial"/>
    </font>
    <font>
      <sz val="14"/>
      <color rgb="FF003066"/>
      <name val="Arial"/>
    </font>
    <font>
      <sz val="14"/>
      <color rgb="FFFFFFFF"/>
      <name val="Arial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name val="Arial"/>
    </font>
    <font>
      <b/>
      <sz val="16"/>
      <color rgb="FF003066"/>
      <name val="Arial"/>
    </font>
    <font>
      <sz val="12"/>
      <color indexed="209"/>
      <name val="Calibri"/>
      <family val="2"/>
    </font>
    <font>
      <sz val="9"/>
      <color rgb="FF000000"/>
      <name val="Calibri"/>
      <scheme val="minor"/>
    </font>
    <font>
      <sz val="12"/>
      <color theme="1"/>
      <name val="Arial"/>
    </font>
    <font>
      <sz val="16"/>
      <color theme="1"/>
      <name val="Arial"/>
    </font>
    <font>
      <sz val="14"/>
      <name val="Arial"/>
    </font>
    <font>
      <b/>
      <vertAlign val="superscript"/>
      <sz val="14"/>
      <color rgb="FF003066"/>
      <name val="Arial"/>
    </font>
    <font>
      <b/>
      <i/>
      <sz val="14"/>
      <color rgb="FF003066"/>
      <name val="Arial"/>
    </font>
    <font>
      <b/>
      <sz val="16"/>
      <color theme="1"/>
      <name val="Arial"/>
    </font>
    <font>
      <b/>
      <sz val="16"/>
      <color theme="1"/>
      <name val="Calibri"/>
      <family val="2"/>
      <scheme val="minor"/>
    </font>
    <font>
      <b/>
      <sz val="16"/>
      <color rgb="FF000000"/>
      <name val="Arial"/>
    </font>
    <font>
      <b/>
      <sz val="16"/>
      <name val="Arial"/>
    </font>
    <font>
      <sz val="16"/>
      <color rgb="FF000000"/>
      <name val="Arial"/>
    </font>
    <font>
      <vertAlign val="superscript"/>
      <sz val="16"/>
      <color rgb="FF000000"/>
      <name val="Arial"/>
    </font>
    <font>
      <b/>
      <sz val="12"/>
      <color rgb="FF000000"/>
      <name val="Arial"/>
    </font>
    <font>
      <sz val="12"/>
      <color rgb="FF000000"/>
      <name val="Arial"/>
    </font>
    <font>
      <vertAlign val="superscript"/>
      <sz val="12"/>
      <color rgb="FF000000"/>
      <name val="Arial"/>
    </font>
    <font>
      <sz val="12"/>
      <color rgb="FF151518"/>
      <name val="Arial"/>
    </font>
    <font>
      <vertAlign val="superscript"/>
      <sz val="16"/>
      <color theme="1"/>
      <name val="Arial"/>
    </font>
    <font>
      <vertAlign val="superscript"/>
      <sz val="16"/>
      <name val="Arial"/>
    </font>
    <font>
      <sz val="16"/>
      <color rgb="FF151518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2E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rgb="FF00B2ED"/>
      </left>
      <right style="thick">
        <color rgb="FF00B2ED"/>
      </right>
      <top style="medium">
        <color rgb="FF00B2ED"/>
      </top>
      <bottom/>
      <diagonal/>
    </border>
    <border>
      <left style="medium">
        <color rgb="FF00B2ED"/>
      </left>
      <right style="thick">
        <color rgb="FF00B2ED"/>
      </right>
      <top/>
      <bottom/>
      <diagonal/>
    </border>
    <border>
      <left style="medium">
        <color rgb="FF00B2ED"/>
      </left>
      <right style="thick">
        <color rgb="FF00B2ED"/>
      </right>
      <top/>
      <bottom style="medium">
        <color rgb="FF00B2ED"/>
      </bottom>
      <diagonal/>
    </border>
    <border>
      <left style="medium">
        <color rgb="FF00B2ED"/>
      </left>
      <right style="medium">
        <color rgb="FF00B2ED"/>
      </right>
      <top style="medium">
        <color rgb="FF00B2ED"/>
      </top>
      <bottom/>
      <diagonal/>
    </border>
    <border>
      <left style="medium">
        <color rgb="FF00B2ED"/>
      </left>
      <right style="medium">
        <color rgb="FF00B2ED"/>
      </right>
      <top/>
      <bottom style="medium">
        <color rgb="FF00B2ED"/>
      </bottom>
      <diagonal/>
    </border>
    <border>
      <left style="medium">
        <color rgb="FF00B2ED"/>
      </left>
      <right style="thick">
        <color rgb="FF00B2EA"/>
      </right>
      <top style="medium">
        <color rgb="FF00B2ED"/>
      </top>
      <bottom/>
      <diagonal/>
    </border>
    <border>
      <left style="medium">
        <color rgb="FF00B2ED"/>
      </left>
      <right style="thick">
        <color rgb="FF00B2EA"/>
      </right>
      <top/>
      <bottom style="medium">
        <color rgb="FF00B2ED"/>
      </bottom>
      <diagonal/>
    </border>
    <border>
      <left style="thick">
        <color rgb="FF00B2ED"/>
      </left>
      <right style="medium">
        <color rgb="FF00B2ED"/>
      </right>
      <top style="medium">
        <color rgb="FF00B2ED"/>
      </top>
      <bottom/>
      <diagonal/>
    </border>
    <border>
      <left style="thick">
        <color rgb="FF00B2ED"/>
      </left>
      <right style="medium">
        <color rgb="FF00B2ED"/>
      </right>
      <top/>
      <bottom style="medium">
        <color rgb="FF00B2ED"/>
      </bottom>
      <diagonal/>
    </border>
    <border>
      <left style="medium">
        <color rgb="FF00B2ED"/>
      </left>
      <right/>
      <top style="medium">
        <color rgb="FF00B2ED"/>
      </top>
      <bottom/>
      <diagonal/>
    </border>
    <border>
      <left/>
      <right style="medium">
        <color rgb="FF00B2ED"/>
      </right>
      <top style="medium">
        <color rgb="FF00B2ED"/>
      </top>
      <bottom/>
      <diagonal/>
    </border>
    <border>
      <left style="medium">
        <color rgb="FF00B2ED"/>
      </left>
      <right/>
      <top/>
      <bottom style="thick">
        <color rgb="FF00B5ED"/>
      </bottom>
      <diagonal/>
    </border>
    <border>
      <left/>
      <right style="medium">
        <color rgb="FF00B2ED"/>
      </right>
      <top/>
      <bottom style="thick">
        <color rgb="FF00B5ED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rgb="FF00B2ED"/>
      </left>
      <right/>
      <top/>
      <bottom style="medium">
        <color rgb="FF00B2ED"/>
      </bottom>
      <diagonal/>
    </border>
    <border>
      <left/>
      <right/>
      <top/>
      <bottom style="medium">
        <color auto="1"/>
      </bottom>
      <diagonal/>
    </border>
  </borders>
  <cellStyleXfs count="10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4">
    <xf numFmtId="0" fontId="0" fillId="0" borderId="0" xfId="0"/>
    <xf numFmtId="0" fontId="3" fillId="0" borderId="0" xfId="0" applyFont="1"/>
    <xf numFmtId="0" fontId="7" fillId="0" borderId="14" xfId="0" applyFont="1" applyBorder="1" applyAlignment="1">
      <alignment vertical="center" wrapText="1"/>
    </xf>
    <xf numFmtId="0" fontId="7" fillId="0" borderId="14" xfId="0" applyFont="1" applyBorder="1" applyAlignment="1">
      <alignment horizontal="center" vertical="center" wrapText="1"/>
    </xf>
    <xf numFmtId="0" fontId="9" fillId="3" borderId="0" xfId="0" applyFont="1" applyFill="1" applyAlignment="1">
      <alignment vertical="center" wrapText="1"/>
    </xf>
    <xf numFmtId="0" fontId="9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2" fillId="0" borderId="15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13" fillId="3" borderId="0" xfId="0" applyFont="1" applyFill="1" applyAlignment="1">
      <alignment vertical="center" wrapText="1"/>
    </xf>
    <xf numFmtId="0" fontId="14" fillId="0" borderId="0" xfId="0" applyFont="1"/>
    <xf numFmtId="0" fontId="0" fillId="0" borderId="0" xfId="0" applyFill="1" applyBorder="1"/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/>
    <xf numFmtId="0" fontId="9" fillId="0" borderId="0" xfId="0" applyFont="1" applyFill="1" applyBorder="1" applyAlignment="1">
      <alignment horizontal="center"/>
    </xf>
    <xf numFmtId="0" fontId="0" fillId="0" borderId="0" xfId="0" applyFill="1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5" fillId="0" borderId="0" xfId="0" applyFont="1"/>
    <xf numFmtId="0" fontId="5" fillId="0" borderId="0" xfId="0" applyFont="1"/>
    <xf numFmtId="0" fontId="4" fillId="0" borderId="0" xfId="0" applyFont="1"/>
    <xf numFmtId="0" fontId="16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0" borderId="0" xfId="0" applyFont="1" applyBorder="1"/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0" fillId="6" borderId="0" xfId="0" applyFill="1"/>
    <xf numFmtId="0" fontId="15" fillId="6" borderId="0" xfId="0" applyFont="1" applyFill="1"/>
    <xf numFmtId="0" fontId="11" fillId="6" borderId="0" xfId="0" applyFont="1" applyFill="1"/>
    <xf numFmtId="0" fontId="19" fillId="6" borderId="0" xfId="0" applyFont="1" applyFill="1"/>
    <xf numFmtId="0" fontId="20" fillId="6" borderId="0" xfId="0" applyFont="1" applyFill="1"/>
    <xf numFmtId="0" fontId="6" fillId="2" borderId="10" xfId="0" applyFont="1" applyFill="1" applyBorder="1" applyAlignment="1">
      <alignment vertical="center" wrapText="1"/>
    </xf>
    <xf numFmtId="0" fontId="6" fillId="2" borderId="11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3" xfId="0" applyFont="1" applyFill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4" xfId="0" applyFont="1" applyBorder="1" applyAlignment="1">
      <alignment vertical="center" wrapText="1"/>
    </xf>
    <xf numFmtId="0" fontId="16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6" borderId="0" xfId="0" applyFill="1" applyBorder="1"/>
    <xf numFmtId="0" fontId="14" fillId="6" borderId="0" xfId="0" applyFont="1" applyFill="1"/>
    <xf numFmtId="0" fontId="21" fillId="0" borderId="14" xfId="0" applyFont="1" applyBorder="1" applyAlignment="1">
      <alignment vertical="center" wrapText="1"/>
    </xf>
    <xf numFmtId="0" fontId="23" fillId="3" borderId="0" xfId="0" applyFont="1" applyFill="1" applyAlignment="1">
      <alignment vertical="center" wrapText="1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0" fontId="23" fillId="0" borderId="15" xfId="0" applyFont="1" applyBorder="1" applyAlignment="1">
      <alignment vertical="center" wrapText="1"/>
    </xf>
    <xf numFmtId="0" fontId="25" fillId="0" borderId="14" xfId="0" applyFont="1" applyBorder="1" applyAlignment="1">
      <alignment vertical="center" wrapText="1"/>
    </xf>
    <xf numFmtId="0" fontId="26" fillId="3" borderId="0" xfId="0" applyFont="1" applyFill="1" applyAlignment="1">
      <alignment vertical="center" wrapText="1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 wrapText="1"/>
    </xf>
    <xf numFmtId="0" fontId="26" fillId="0" borderId="15" xfId="0" applyFont="1" applyBorder="1" applyAlignment="1">
      <alignment vertical="center" wrapText="1"/>
    </xf>
    <xf numFmtId="0" fontId="25" fillId="0" borderId="0" xfId="0" applyFont="1"/>
    <xf numFmtId="0" fontId="28" fillId="0" borderId="0" xfId="0" applyFont="1"/>
    <xf numFmtId="0" fontId="14" fillId="0" borderId="0" xfId="0" applyFont="1" applyFill="1" applyBorder="1"/>
    <xf numFmtId="0" fontId="25" fillId="0" borderId="14" xfId="0" applyFont="1" applyBorder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0" fontId="26" fillId="0" borderId="0" xfId="0" applyFont="1"/>
    <xf numFmtId="0" fontId="26" fillId="0" borderId="0" xfId="0" applyFont="1" applyAlignment="1">
      <alignment horizontal="center"/>
    </xf>
    <xf numFmtId="0" fontId="26" fillId="0" borderId="15" xfId="0" applyFont="1" applyBorder="1" applyAlignment="1">
      <alignment horizontal="center" vertical="center" wrapText="1"/>
    </xf>
    <xf numFmtId="0" fontId="14" fillId="0" borderId="0" xfId="0" applyFont="1" applyFill="1"/>
    <xf numFmtId="0" fontId="25" fillId="0" borderId="16" xfId="0" applyFont="1" applyBorder="1" applyAlignment="1">
      <alignment vertical="center" wrapText="1"/>
    </xf>
    <xf numFmtId="0" fontId="25" fillId="0" borderId="17" xfId="0" applyFont="1" applyBorder="1" applyAlignment="1">
      <alignment vertical="center" wrapText="1"/>
    </xf>
    <xf numFmtId="0" fontId="26" fillId="0" borderId="18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0" xfId="0" applyFont="1" applyBorder="1" applyAlignment="1">
      <alignment vertical="center" wrapText="1"/>
    </xf>
    <xf numFmtId="0" fontId="26" fillId="4" borderId="19" xfId="0" applyFont="1" applyFill="1" applyBorder="1" applyAlignment="1">
      <alignment vertical="center" wrapText="1"/>
    </xf>
    <xf numFmtId="0" fontId="26" fillId="0" borderId="18" xfId="0" applyFont="1" applyBorder="1" applyAlignment="1">
      <alignment vertical="top" wrapText="1"/>
    </xf>
    <xf numFmtId="0" fontId="15" fillId="0" borderId="22" xfId="0" applyFont="1" applyBorder="1"/>
    <xf numFmtId="0" fontId="21" fillId="0" borderId="0" xfId="0" applyFont="1"/>
    <xf numFmtId="0" fontId="19" fillId="0" borderId="16" xfId="0" applyFont="1" applyBorder="1" applyAlignment="1">
      <alignment vertical="center" wrapText="1"/>
    </xf>
    <xf numFmtId="0" fontId="19" fillId="0" borderId="17" xfId="0" applyFont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0" fontId="15" fillId="0" borderId="19" xfId="0" applyFont="1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5" fillId="5" borderId="19" xfId="0" applyFont="1" applyFill="1" applyBorder="1" applyAlignment="1">
      <alignment vertical="center" wrapText="1"/>
    </xf>
    <xf numFmtId="0" fontId="19" fillId="0" borderId="20" xfId="0" applyFont="1" applyBorder="1" applyAlignment="1">
      <alignment vertical="center" wrapText="1"/>
    </xf>
    <xf numFmtId="0" fontId="10" fillId="5" borderId="19" xfId="0" applyFont="1" applyFill="1" applyBorder="1" applyAlignment="1">
      <alignment vertical="center" wrapText="1"/>
    </xf>
    <xf numFmtId="0" fontId="15" fillId="0" borderId="18" xfId="0" applyFont="1" applyBorder="1" applyAlignment="1">
      <alignment vertical="top" wrapText="1"/>
    </xf>
    <xf numFmtId="0" fontId="31" fillId="0" borderId="0" xfId="0" applyFont="1"/>
  </cellXfs>
  <cellStyles count="10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selection activeCell="J25" sqref="J25"/>
    </sheetView>
  </sheetViews>
  <sheetFormatPr baseColWidth="10" defaultRowHeight="15" x14ac:dyDescent="0"/>
  <cols>
    <col min="1" max="1" width="42.5" customWidth="1"/>
    <col min="2" max="2" width="25.33203125" customWidth="1"/>
  </cols>
  <sheetData>
    <row r="1" spans="1:8" s="53" customFormat="1" ht="20">
      <c r="A1" s="51" t="s">
        <v>50</v>
      </c>
      <c r="B1" s="52"/>
      <c r="C1" s="52"/>
      <c r="D1" s="52"/>
      <c r="E1" s="52"/>
      <c r="F1" s="52"/>
      <c r="G1" s="52"/>
      <c r="H1" s="52"/>
    </row>
    <row r="2" spans="1:8" ht="17">
      <c r="A2" s="1"/>
      <c r="B2" s="1"/>
      <c r="C2" s="1"/>
      <c r="D2" s="1"/>
      <c r="E2" s="1"/>
      <c r="F2" s="1"/>
      <c r="G2" s="1"/>
      <c r="H2" s="1"/>
    </row>
    <row r="3" spans="1:8" ht="17">
      <c r="A3" s="40" t="s">
        <v>15</v>
      </c>
      <c r="B3" s="1"/>
      <c r="C3" s="1"/>
      <c r="D3" s="1"/>
      <c r="E3" s="1"/>
      <c r="F3" s="1"/>
      <c r="G3" s="1"/>
      <c r="H3" s="1"/>
    </row>
    <row r="4" spans="1:8" ht="17">
      <c r="A4" s="1"/>
      <c r="B4" s="1"/>
      <c r="C4" s="1"/>
      <c r="D4" s="1"/>
      <c r="E4" s="1"/>
      <c r="F4" s="1"/>
      <c r="G4" s="1"/>
      <c r="H4" s="1"/>
    </row>
    <row r="5" spans="1:8" ht="16" thickBot="1"/>
    <row r="6" spans="1:8" ht="17">
      <c r="A6" s="54" t="s">
        <v>51</v>
      </c>
      <c r="B6" s="55"/>
      <c r="C6" s="1"/>
      <c r="D6" s="1"/>
      <c r="E6" s="1"/>
      <c r="F6" s="1"/>
      <c r="G6" s="1"/>
      <c r="H6" s="1"/>
    </row>
    <row r="7" spans="1:8" ht="18" thickBot="1">
      <c r="A7" s="56"/>
      <c r="B7" s="57"/>
      <c r="C7" s="1"/>
      <c r="D7" s="1"/>
      <c r="E7" s="1"/>
      <c r="F7" s="1"/>
      <c r="G7" s="1"/>
      <c r="H7" s="1"/>
    </row>
    <row r="8" spans="1:8" ht="49" customHeight="1" thickTop="1">
      <c r="A8" s="60" t="s">
        <v>52</v>
      </c>
      <c r="B8" s="61">
        <v>10</v>
      </c>
      <c r="C8" s="1"/>
      <c r="D8" s="1"/>
      <c r="E8" s="1"/>
      <c r="F8" s="1"/>
      <c r="G8" s="1"/>
      <c r="H8" s="1"/>
    </row>
    <row r="9" spans="1:8" ht="17" customHeight="1" thickBot="1">
      <c r="A9" s="58"/>
      <c r="B9" s="59"/>
      <c r="C9" s="1"/>
      <c r="D9" s="1"/>
      <c r="E9" s="1"/>
      <c r="F9" s="1"/>
      <c r="G9" s="1"/>
      <c r="H9" s="1"/>
    </row>
    <row r="10" spans="1:8" ht="49" customHeight="1">
      <c r="A10" s="60" t="s">
        <v>16</v>
      </c>
      <c r="B10" s="61">
        <v>1</v>
      </c>
      <c r="C10" s="41"/>
      <c r="D10" s="42"/>
      <c r="E10" s="42"/>
      <c r="F10" s="43"/>
      <c r="G10" s="43"/>
      <c r="H10" s="42"/>
    </row>
    <row r="11" spans="1:8" ht="17" customHeight="1" thickBot="1">
      <c r="A11" s="58"/>
      <c r="B11" s="59"/>
      <c r="C11" s="41"/>
      <c r="D11" s="42"/>
      <c r="E11" s="42"/>
      <c r="F11" s="43"/>
      <c r="G11" s="43"/>
      <c r="H11" s="42"/>
    </row>
    <row r="12" spans="1:8" ht="49" customHeight="1">
      <c r="A12" s="60" t="s">
        <v>17</v>
      </c>
      <c r="B12" s="61">
        <v>4</v>
      </c>
      <c r="C12" s="42"/>
      <c r="D12" s="42"/>
      <c r="E12" s="42"/>
      <c r="F12" s="43"/>
      <c r="G12" s="43"/>
      <c r="H12" s="42"/>
    </row>
    <row r="13" spans="1:8" ht="17" customHeight="1" thickBot="1">
      <c r="A13" s="58"/>
      <c r="B13" s="59"/>
      <c r="C13" s="42"/>
      <c r="D13" s="42"/>
      <c r="E13" s="42"/>
      <c r="F13" s="43"/>
      <c r="G13" s="43"/>
      <c r="H13" s="42"/>
    </row>
    <row r="14" spans="1:8" ht="36" customHeight="1">
      <c r="A14" s="25" t="s">
        <v>11</v>
      </c>
      <c r="B14" s="44">
        <v>15</v>
      </c>
      <c r="C14" s="42"/>
      <c r="D14" s="42"/>
      <c r="E14" s="42"/>
      <c r="F14" s="43"/>
      <c r="G14" s="43"/>
      <c r="H14" s="42"/>
    </row>
    <row r="15" spans="1:8" ht="17" customHeight="1" thickBot="1">
      <c r="A15" s="26"/>
      <c r="B15" s="45"/>
      <c r="C15" s="42"/>
      <c r="D15" s="42"/>
      <c r="E15" s="42"/>
      <c r="F15" s="43"/>
      <c r="G15" s="43"/>
      <c r="H15" s="42"/>
    </row>
    <row r="16" spans="1:8" ht="16" customHeight="1">
      <c r="C16" s="41"/>
      <c r="D16" s="41"/>
      <c r="E16" s="41"/>
      <c r="F16" s="43"/>
      <c r="G16" s="43"/>
      <c r="H16" s="42"/>
    </row>
    <row r="17" spans="1:12" ht="16" customHeight="1">
      <c r="C17" s="46"/>
      <c r="D17" s="46"/>
      <c r="E17" s="46"/>
      <c r="F17" s="43"/>
      <c r="G17" s="43"/>
      <c r="H17" s="42"/>
    </row>
    <row r="18" spans="1:12" ht="17">
      <c r="A18" s="39"/>
      <c r="B18" s="1"/>
      <c r="C18" s="1"/>
      <c r="D18" s="1"/>
      <c r="E18" s="1"/>
      <c r="F18" s="1"/>
      <c r="G18" s="1"/>
      <c r="H18" s="1"/>
    </row>
    <row r="19" spans="1:12" ht="17">
      <c r="A19" s="48" t="s">
        <v>12</v>
      </c>
      <c r="B19" s="1"/>
      <c r="C19" s="1"/>
      <c r="D19" s="1"/>
      <c r="E19" s="1"/>
      <c r="F19" s="1"/>
      <c r="G19" s="1"/>
      <c r="H19" s="1"/>
    </row>
    <row r="20" spans="1:12" ht="17">
      <c r="A20" s="47"/>
      <c r="B20" s="1"/>
      <c r="C20" s="1"/>
      <c r="D20" s="1"/>
      <c r="E20" s="1"/>
      <c r="F20" s="1"/>
      <c r="G20" s="1"/>
      <c r="H20" s="1"/>
    </row>
    <row r="21" spans="1:12" ht="17">
      <c r="A21" s="48" t="s">
        <v>13</v>
      </c>
      <c r="B21" s="1"/>
      <c r="C21" s="1"/>
      <c r="D21" s="1"/>
      <c r="E21" s="1"/>
      <c r="F21" s="1"/>
      <c r="G21" s="1"/>
      <c r="H21" s="1"/>
    </row>
    <row r="22" spans="1:12" ht="17">
      <c r="A22" s="47"/>
      <c r="B22" s="1"/>
      <c r="C22" s="1"/>
      <c r="D22" s="1"/>
      <c r="E22" s="1"/>
      <c r="F22" s="1"/>
      <c r="G22" s="1"/>
      <c r="H22" s="1"/>
    </row>
    <row r="23" spans="1:12" ht="17">
      <c r="A23" s="48" t="s">
        <v>14</v>
      </c>
      <c r="B23" s="1"/>
      <c r="C23" s="1"/>
      <c r="D23" s="1"/>
      <c r="E23" s="1"/>
      <c r="F23" s="1"/>
      <c r="G23" s="1"/>
      <c r="H23" s="1"/>
      <c r="L23" s="9"/>
    </row>
    <row r="24" spans="1:12" ht="17">
      <c r="A24" s="47"/>
      <c r="B24" s="1"/>
      <c r="C24" s="1"/>
      <c r="D24" s="1"/>
      <c r="E24" s="1"/>
      <c r="F24" s="1"/>
      <c r="G24" s="1"/>
      <c r="H24" s="1"/>
    </row>
    <row r="25" spans="1:12" ht="17">
      <c r="A25" s="48" t="s">
        <v>62</v>
      </c>
      <c r="B25" s="1"/>
      <c r="C25" s="1"/>
      <c r="D25" s="1"/>
      <c r="E25" s="1"/>
      <c r="F25" s="1"/>
      <c r="G25" s="1"/>
      <c r="H25" s="1"/>
    </row>
    <row r="26" spans="1:12" ht="18">
      <c r="A26" s="48" t="s">
        <v>63</v>
      </c>
      <c r="B26" s="48"/>
      <c r="C26" s="48"/>
      <c r="D26" s="48"/>
      <c r="E26" s="48"/>
      <c r="F26" s="48"/>
      <c r="G26" s="1"/>
      <c r="H26" s="1"/>
    </row>
    <row r="27" spans="1:12" ht="17">
      <c r="A27" s="48"/>
      <c r="B27" s="48"/>
      <c r="C27" s="48"/>
      <c r="D27" s="48"/>
      <c r="E27" s="48"/>
      <c r="F27" s="48"/>
      <c r="G27" s="1"/>
      <c r="H27" s="1"/>
    </row>
    <row r="28" spans="1:12" ht="17">
      <c r="A28" s="48" t="s">
        <v>70</v>
      </c>
      <c r="B28" s="48"/>
      <c r="C28" s="48"/>
      <c r="D28" s="48"/>
      <c r="E28" s="48"/>
      <c r="F28" s="48"/>
      <c r="G28" s="1"/>
      <c r="H28" s="1"/>
    </row>
    <row r="29" spans="1:12" ht="18" thickBot="1">
      <c r="A29" s="1"/>
      <c r="B29" s="1"/>
      <c r="C29" s="1"/>
      <c r="D29" s="1"/>
      <c r="E29" s="1"/>
      <c r="F29" s="1"/>
      <c r="G29" s="1"/>
      <c r="H29" s="1"/>
    </row>
    <row r="30" spans="1:12" ht="17">
      <c r="A30" s="20"/>
      <c r="B30" s="23" t="s">
        <v>0</v>
      </c>
      <c r="C30" s="25" t="s">
        <v>1</v>
      </c>
      <c r="D30" s="27" t="s">
        <v>2</v>
      </c>
      <c r="E30" s="1"/>
      <c r="F30" s="1"/>
      <c r="G30" s="1"/>
      <c r="H30" s="1"/>
    </row>
    <row r="31" spans="1:12" ht="18" thickBot="1">
      <c r="A31" s="21"/>
      <c r="B31" s="24"/>
      <c r="C31" s="26"/>
      <c r="D31" s="28"/>
      <c r="E31" s="1"/>
      <c r="F31" s="1"/>
      <c r="G31" s="1"/>
      <c r="H31" s="1"/>
    </row>
    <row r="32" spans="1:12" ht="17">
      <c r="A32" s="21"/>
      <c r="B32" s="29" t="s">
        <v>3</v>
      </c>
      <c r="C32" s="31" t="s">
        <v>4</v>
      </c>
      <c r="D32" s="62" t="s">
        <v>64</v>
      </c>
      <c r="E32" s="1"/>
      <c r="F32" s="1"/>
      <c r="G32" s="1"/>
      <c r="H32" s="1"/>
    </row>
    <row r="33" spans="1:8" ht="18" thickBot="1">
      <c r="A33" s="22"/>
      <c r="B33" s="30"/>
      <c r="C33" s="32"/>
      <c r="D33" s="63"/>
      <c r="E33" s="1"/>
      <c r="F33" s="1"/>
      <c r="G33" s="1"/>
      <c r="H33" s="1"/>
    </row>
    <row r="34" spans="1:8" ht="17">
      <c r="A34" s="33" t="s">
        <v>5</v>
      </c>
      <c r="B34" s="29" t="s">
        <v>6</v>
      </c>
      <c r="C34" s="31" t="s">
        <v>7</v>
      </c>
      <c r="D34" s="62" t="s">
        <v>64</v>
      </c>
      <c r="E34" s="1"/>
      <c r="F34" s="1"/>
      <c r="G34" s="1"/>
      <c r="H34" s="1"/>
    </row>
    <row r="35" spans="1:8" ht="18" thickBot="1">
      <c r="A35" s="34"/>
      <c r="B35" s="30"/>
      <c r="C35" s="32"/>
      <c r="D35" s="63"/>
      <c r="E35" s="1"/>
      <c r="F35" s="1"/>
      <c r="G35" s="1"/>
      <c r="H35" s="1"/>
    </row>
    <row r="36" spans="1:8" ht="17">
      <c r="A36" s="34"/>
      <c r="B36" s="29" t="s">
        <v>8</v>
      </c>
      <c r="C36" s="31" t="s">
        <v>9</v>
      </c>
      <c r="D36" s="36" t="s">
        <v>65</v>
      </c>
      <c r="E36" s="1"/>
      <c r="F36" s="1"/>
      <c r="G36" s="1"/>
      <c r="H36" s="1"/>
    </row>
    <row r="37" spans="1:8" ht="18" thickBot="1">
      <c r="A37" s="35"/>
      <c r="B37" s="30"/>
      <c r="C37" s="32"/>
      <c r="D37" s="37"/>
      <c r="E37" s="1"/>
      <c r="F37" s="1"/>
      <c r="G37" s="1"/>
      <c r="H37" s="1"/>
    </row>
    <row r="38" spans="1:8" ht="17">
      <c r="A38" s="1"/>
      <c r="B38" s="1"/>
      <c r="C38" s="1"/>
      <c r="D38" s="1"/>
      <c r="E38" s="1"/>
      <c r="F38" s="1"/>
      <c r="G38" s="1"/>
      <c r="H38" s="1"/>
    </row>
    <row r="39" spans="1:8" ht="17">
      <c r="A39" s="1"/>
      <c r="B39" s="1"/>
      <c r="C39" s="1"/>
      <c r="D39" s="1"/>
      <c r="E39" s="1"/>
      <c r="F39" s="1"/>
      <c r="G39" s="1"/>
      <c r="H39" s="1"/>
    </row>
    <row r="40" spans="1:8" ht="17">
      <c r="A40" s="1"/>
      <c r="B40" s="1"/>
      <c r="C40" s="1"/>
      <c r="D40" s="1"/>
      <c r="E40" s="1"/>
      <c r="F40" s="1"/>
      <c r="G40" s="1"/>
      <c r="H40" s="1"/>
    </row>
  </sheetData>
  <mergeCells count="36">
    <mergeCell ref="D14:D15"/>
    <mergeCell ref="C14:C15"/>
    <mergeCell ref="D12:D13"/>
    <mergeCell ref="C12:C13"/>
    <mergeCell ref="D10:D11"/>
    <mergeCell ref="E10:E11"/>
    <mergeCell ref="E12:E13"/>
    <mergeCell ref="E14:E15"/>
    <mergeCell ref="G16:G17"/>
    <mergeCell ref="H16:H17"/>
    <mergeCell ref="G10:G11"/>
    <mergeCell ref="H10:H11"/>
    <mergeCell ref="G12:G13"/>
    <mergeCell ref="H12:H13"/>
    <mergeCell ref="G14:G15"/>
    <mergeCell ref="H14:H15"/>
    <mergeCell ref="F10:F11"/>
    <mergeCell ref="F12:F13"/>
    <mergeCell ref="F14:F15"/>
    <mergeCell ref="F16:F17"/>
    <mergeCell ref="A34:A37"/>
    <mergeCell ref="B34:B35"/>
    <mergeCell ref="C34:C35"/>
    <mergeCell ref="D34:D35"/>
    <mergeCell ref="B36:B37"/>
    <mergeCell ref="C36:C37"/>
    <mergeCell ref="D36:D37"/>
    <mergeCell ref="A30:A33"/>
    <mergeCell ref="B30:B31"/>
    <mergeCell ref="C30:C31"/>
    <mergeCell ref="D30:D31"/>
    <mergeCell ref="B32:B33"/>
    <mergeCell ref="D32:D33"/>
    <mergeCell ref="C32:C33"/>
    <mergeCell ref="A14:A15"/>
    <mergeCell ref="B14:B1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6600"/>
  </sheetPr>
  <dimension ref="A1:K32"/>
  <sheetViews>
    <sheetView tabSelected="1" zoomScale="150" zoomScaleNormal="150" zoomScalePageLayoutView="150" workbookViewId="0">
      <selection activeCell="H13" sqref="H13"/>
    </sheetView>
  </sheetViews>
  <sheetFormatPr baseColWidth="10" defaultRowHeight="15" x14ac:dyDescent="0"/>
  <cols>
    <col min="1" max="1" width="13.6640625" customWidth="1"/>
    <col min="7" max="11" width="10.83203125" style="12"/>
  </cols>
  <sheetData>
    <row r="1" spans="1:11" s="49" customFormat="1">
      <c r="A1" s="65" t="s">
        <v>73</v>
      </c>
      <c r="B1" s="65"/>
      <c r="C1" s="65"/>
      <c r="G1" s="64"/>
      <c r="H1" s="64"/>
      <c r="I1" s="64"/>
      <c r="J1" s="64"/>
      <c r="K1" s="64"/>
    </row>
    <row r="2" spans="1:11">
      <c r="A2" s="65" t="s">
        <v>74</v>
      </c>
      <c r="B2" s="11"/>
      <c r="C2" s="11"/>
    </row>
    <row r="3" spans="1:11">
      <c r="A3" s="11" t="s">
        <v>66</v>
      </c>
      <c r="B3" s="11"/>
      <c r="C3" s="11"/>
    </row>
    <row r="4" spans="1:11">
      <c r="A4" s="11" t="s">
        <v>67</v>
      </c>
      <c r="B4" s="11"/>
      <c r="C4" s="11"/>
    </row>
    <row r="5" spans="1:11">
      <c r="A5" s="11" t="s">
        <v>68</v>
      </c>
      <c r="B5" s="11"/>
      <c r="C5" s="11"/>
    </row>
    <row r="6" spans="1:11">
      <c r="A6" s="11" t="s">
        <v>69</v>
      </c>
      <c r="B6" s="11"/>
      <c r="C6" s="11"/>
    </row>
    <row r="7" spans="1:11" ht="16" thickBot="1">
      <c r="A7" s="11"/>
      <c r="B7" s="11"/>
      <c r="C7" s="11"/>
    </row>
    <row r="8" spans="1:11" ht="46" thickBot="1">
      <c r="A8" s="71" t="s">
        <v>20</v>
      </c>
      <c r="B8" s="79" t="s">
        <v>21</v>
      </c>
      <c r="C8" s="79" t="s">
        <v>22</v>
      </c>
      <c r="D8" s="3" t="s">
        <v>23</v>
      </c>
      <c r="E8" s="2" t="s">
        <v>24</v>
      </c>
      <c r="G8" s="13"/>
      <c r="H8" s="14"/>
      <c r="I8" s="14"/>
      <c r="J8" s="14"/>
      <c r="K8" s="13"/>
    </row>
    <row r="9" spans="1:11" ht="45">
      <c r="A9" s="72" t="s">
        <v>25</v>
      </c>
      <c r="B9" s="80" t="s">
        <v>26</v>
      </c>
      <c r="C9" s="80" t="s">
        <v>18</v>
      </c>
      <c r="D9" s="5">
        <f>1*25/5</f>
        <v>5</v>
      </c>
      <c r="E9" s="4">
        <f>D9*40</f>
        <v>200</v>
      </c>
      <c r="G9" s="15"/>
      <c r="H9" s="16"/>
      <c r="I9" s="16"/>
      <c r="J9" s="16"/>
      <c r="K9" s="15"/>
    </row>
    <row r="10" spans="1:11">
      <c r="A10" s="11" t="s">
        <v>34</v>
      </c>
      <c r="B10" s="74" t="s">
        <v>27</v>
      </c>
      <c r="C10" s="74" t="s">
        <v>46</v>
      </c>
      <c r="D10" s="6">
        <f>0.2*25/10</f>
        <v>0.5</v>
      </c>
      <c r="E10" s="4">
        <f t="shared" ref="E10:E17" si="0">D10*40</f>
        <v>20</v>
      </c>
      <c r="G10" s="17"/>
      <c r="H10" s="16"/>
      <c r="I10" s="16"/>
      <c r="J10" s="16"/>
      <c r="K10" s="15"/>
    </row>
    <row r="11" spans="1:11">
      <c r="A11" s="11" t="s">
        <v>35</v>
      </c>
      <c r="B11" s="80" t="s">
        <v>27</v>
      </c>
      <c r="C11" s="80" t="s">
        <v>46</v>
      </c>
      <c r="D11" s="5">
        <v>0.5</v>
      </c>
      <c r="E11" s="4">
        <f t="shared" si="0"/>
        <v>20</v>
      </c>
      <c r="G11" s="17"/>
      <c r="H11" s="16"/>
      <c r="I11" s="16"/>
      <c r="J11" s="16"/>
      <c r="K11" s="15"/>
    </row>
    <row r="12" spans="1:11">
      <c r="A12" s="73" t="s">
        <v>28</v>
      </c>
      <c r="B12" s="74" t="s">
        <v>36</v>
      </c>
      <c r="C12" s="74" t="s">
        <v>47</v>
      </c>
      <c r="D12" s="6">
        <f>0.2*25/2</f>
        <v>2.5</v>
      </c>
      <c r="E12" s="4">
        <f t="shared" si="0"/>
        <v>100</v>
      </c>
      <c r="G12" s="15"/>
      <c r="H12" s="16"/>
      <c r="I12" s="16"/>
      <c r="J12" s="16"/>
      <c r="K12" s="15"/>
    </row>
    <row r="13" spans="1:11">
      <c r="A13" s="81" t="s">
        <v>48</v>
      </c>
      <c r="B13" s="82" t="s">
        <v>54</v>
      </c>
      <c r="C13" s="82" t="s">
        <v>49</v>
      </c>
      <c r="D13" s="7">
        <f>4*25/50</f>
        <v>2</v>
      </c>
      <c r="E13" s="4">
        <f t="shared" si="0"/>
        <v>80</v>
      </c>
      <c r="G13" s="17"/>
      <c r="H13" s="18"/>
      <c r="I13" s="18"/>
      <c r="J13" s="18"/>
      <c r="K13" s="15"/>
    </row>
    <row r="14" spans="1:11" ht="30">
      <c r="A14" s="72" t="s">
        <v>29</v>
      </c>
      <c r="B14" s="80" t="s">
        <v>30</v>
      </c>
      <c r="C14" s="80" t="s">
        <v>31</v>
      </c>
      <c r="D14" s="5">
        <f>0.02*25/2</f>
        <v>0.25</v>
      </c>
      <c r="E14" s="4">
        <f t="shared" si="0"/>
        <v>10</v>
      </c>
      <c r="G14" s="15"/>
      <c r="H14" s="16"/>
      <c r="I14" s="16"/>
      <c r="J14" s="16"/>
      <c r="K14" s="15"/>
    </row>
    <row r="15" spans="1:11" ht="30">
      <c r="A15" s="73" t="s">
        <v>32</v>
      </c>
      <c r="B15" s="74"/>
      <c r="C15" s="74"/>
      <c r="D15" s="6">
        <v>5</v>
      </c>
      <c r="E15" s="10">
        <f t="shared" si="0"/>
        <v>200</v>
      </c>
      <c r="G15" s="15"/>
      <c r="H15" s="16"/>
      <c r="I15" s="16"/>
      <c r="J15" s="16"/>
      <c r="K15" s="15"/>
    </row>
    <row r="16" spans="1:11" ht="30">
      <c r="A16" s="72" t="s">
        <v>33</v>
      </c>
      <c r="B16" s="80"/>
      <c r="C16" s="80"/>
      <c r="D16" s="5">
        <f>25-(D9+D10+D11+D12+D13+D14+D15)</f>
        <v>9.25</v>
      </c>
      <c r="E16" s="4">
        <f t="shared" si="0"/>
        <v>370</v>
      </c>
      <c r="G16" s="15"/>
      <c r="H16" s="16"/>
      <c r="I16" s="16"/>
      <c r="J16" s="16"/>
      <c r="K16" s="15"/>
    </row>
    <row r="17" spans="1:11" ht="16" thickBot="1">
      <c r="A17" s="75" t="s">
        <v>19</v>
      </c>
      <c r="B17" s="83"/>
      <c r="C17" s="83"/>
      <c r="D17" s="8">
        <f>SUM(D9:D16)</f>
        <v>25</v>
      </c>
      <c r="E17" s="4">
        <f t="shared" si="0"/>
        <v>1000</v>
      </c>
      <c r="G17" s="15"/>
      <c r="H17" s="16"/>
      <c r="I17" s="16"/>
      <c r="J17" s="16"/>
      <c r="K17" s="15"/>
    </row>
    <row r="18" spans="1:11" s="19" customFormat="1">
      <c r="A18" s="84"/>
      <c r="B18" s="84"/>
      <c r="C18" s="84"/>
      <c r="G18" s="12"/>
      <c r="H18" s="12"/>
      <c r="I18" s="12"/>
      <c r="J18" s="12"/>
      <c r="K18" s="12"/>
    </row>
    <row r="19" spans="1:11">
      <c r="A19" s="11"/>
      <c r="B19" s="11"/>
      <c r="C19" s="11"/>
    </row>
    <row r="20" spans="1:11">
      <c r="A20" s="11"/>
      <c r="B20" s="11"/>
      <c r="C20" s="11"/>
    </row>
    <row r="21" spans="1:11" ht="16" thickBot="1">
      <c r="A21" s="76" t="s">
        <v>37</v>
      </c>
      <c r="B21" s="81"/>
      <c r="C21" s="81"/>
    </row>
    <row r="22" spans="1:11" ht="16" thickBot="1">
      <c r="A22" s="85" t="s">
        <v>38</v>
      </c>
      <c r="B22" s="86" t="s">
        <v>39</v>
      </c>
      <c r="C22" s="86" t="s">
        <v>40</v>
      </c>
    </row>
    <row r="23" spans="1:11" ht="31" thickBot="1">
      <c r="A23" s="87" t="s">
        <v>41</v>
      </c>
      <c r="B23" s="88" t="s">
        <v>83</v>
      </c>
      <c r="C23" s="88" t="s">
        <v>10</v>
      </c>
    </row>
    <row r="24" spans="1:11" ht="16" thickBot="1">
      <c r="A24" s="89"/>
      <c r="B24" s="90" t="s">
        <v>83</v>
      </c>
      <c r="C24" s="90" t="s">
        <v>61</v>
      </c>
    </row>
    <row r="25" spans="1:11" ht="16" thickBot="1">
      <c r="A25" s="88" t="s">
        <v>45</v>
      </c>
      <c r="B25" s="90" t="s">
        <v>84</v>
      </c>
      <c r="C25" s="90" t="s">
        <v>10</v>
      </c>
    </row>
    <row r="26" spans="1:11" ht="16" thickBot="1">
      <c r="A26" s="91"/>
      <c r="B26" s="90" t="s">
        <v>85</v>
      </c>
      <c r="C26" s="90" t="s">
        <v>9</v>
      </c>
    </row>
    <row r="27" spans="1:11" ht="31" thickBot="1">
      <c r="A27" s="87" t="s">
        <v>42</v>
      </c>
      <c r="B27" s="88" t="s">
        <v>85</v>
      </c>
      <c r="C27" s="88" t="s">
        <v>53</v>
      </c>
    </row>
    <row r="28" spans="1:11" ht="16" thickBot="1">
      <c r="A28" s="87" t="s">
        <v>43</v>
      </c>
      <c r="B28" s="88" t="s">
        <v>86</v>
      </c>
      <c r="C28" s="88" t="s">
        <v>44</v>
      </c>
    </row>
    <row r="30" spans="1:11">
      <c r="A30" s="11" t="s">
        <v>82</v>
      </c>
      <c r="B30" s="11"/>
      <c r="C30" s="11"/>
      <c r="D30" s="11"/>
      <c r="E30" s="11"/>
      <c r="F30" s="11"/>
      <c r="G30" s="78"/>
    </row>
    <row r="31" spans="1:11">
      <c r="A31" s="77" t="s">
        <v>71</v>
      </c>
      <c r="B31" s="11"/>
      <c r="C31" s="11"/>
      <c r="D31" s="11"/>
      <c r="E31" s="11"/>
      <c r="F31" s="11"/>
      <c r="G31" s="78"/>
    </row>
    <row r="32" spans="1:11">
      <c r="A32" s="77" t="s">
        <v>72</v>
      </c>
      <c r="B32" s="11"/>
      <c r="C32" s="11"/>
      <c r="D32" s="11"/>
      <c r="E32" s="11"/>
      <c r="F32" s="11"/>
      <c r="G32" s="78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D21" sqref="D21"/>
    </sheetView>
  </sheetViews>
  <sheetFormatPr baseColWidth="10" defaultRowHeight="18" x14ac:dyDescent="0"/>
  <cols>
    <col min="1" max="1" width="55" style="38" customWidth="1"/>
    <col min="2" max="2" width="23.5" style="38" customWidth="1"/>
    <col min="3" max="3" width="16.5" style="38" customWidth="1"/>
    <col min="4" max="4" width="22.5" style="38" customWidth="1"/>
    <col min="5" max="5" width="10.83203125" style="38"/>
  </cols>
  <sheetData>
    <row r="1" spans="1:5" s="49" customFormat="1">
      <c r="A1" s="50" t="s">
        <v>73</v>
      </c>
      <c r="B1" s="50"/>
      <c r="C1" s="50"/>
      <c r="D1" s="50"/>
      <c r="E1" s="50"/>
    </row>
    <row r="2" spans="1:5" s="49" customFormat="1">
      <c r="A2" s="50" t="s">
        <v>75</v>
      </c>
      <c r="B2" s="50"/>
      <c r="C2" s="50"/>
      <c r="D2" s="50"/>
      <c r="E2" s="50"/>
    </row>
    <row r="4" spans="1:5" ht="19" thickBot="1"/>
    <row r="5" spans="1:5" ht="37" thickBot="1">
      <c r="A5" s="66" t="s">
        <v>20</v>
      </c>
      <c r="B5" s="66" t="s">
        <v>21</v>
      </c>
      <c r="C5" s="66" t="s">
        <v>22</v>
      </c>
      <c r="D5" s="66" t="s">
        <v>76</v>
      </c>
    </row>
    <row r="6" spans="1:5">
      <c r="A6" s="67" t="s">
        <v>25</v>
      </c>
      <c r="B6" s="67" t="s">
        <v>26</v>
      </c>
      <c r="C6" s="67" t="s">
        <v>18</v>
      </c>
      <c r="D6" s="38">
        <v>6</v>
      </c>
    </row>
    <row r="7" spans="1:5">
      <c r="A7" s="68" t="s">
        <v>55</v>
      </c>
      <c r="B7" s="68" t="s">
        <v>56</v>
      </c>
      <c r="C7" s="68" t="s">
        <v>57</v>
      </c>
      <c r="D7" s="38">
        <v>1.5</v>
      </c>
    </row>
    <row r="8" spans="1:5">
      <c r="A8" s="67" t="s">
        <v>58</v>
      </c>
      <c r="B8" s="67" t="s">
        <v>56</v>
      </c>
      <c r="C8" s="67" t="s">
        <v>57</v>
      </c>
      <c r="D8" s="38">
        <v>1.5</v>
      </c>
    </row>
    <row r="9" spans="1:5">
      <c r="A9" s="68" t="s">
        <v>28</v>
      </c>
      <c r="B9" s="68" t="s">
        <v>36</v>
      </c>
      <c r="C9" s="69" t="s">
        <v>47</v>
      </c>
      <c r="D9" s="38">
        <v>3</v>
      </c>
    </row>
    <row r="10" spans="1:5">
      <c r="A10" s="67" t="s">
        <v>29</v>
      </c>
      <c r="B10" s="67" t="s">
        <v>30</v>
      </c>
      <c r="C10" s="67" t="s">
        <v>31</v>
      </c>
      <c r="D10" s="38">
        <v>0.3</v>
      </c>
    </row>
    <row r="11" spans="1:5" ht="19">
      <c r="A11" s="68" t="s">
        <v>77</v>
      </c>
      <c r="B11" s="68"/>
      <c r="C11" s="68"/>
      <c r="D11" s="38">
        <v>3</v>
      </c>
    </row>
    <row r="12" spans="1:5">
      <c r="A12" s="67" t="s">
        <v>33</v>
      </c>
      <c r="B12" s="67"/>
      <c r="C12" s="67"/>
      <c r="D12" s="38">
        <v>14.7</v>
      </c>
    </row>
    <row r="13" spans="1:5" ht="19" thickBot="1">
      <c r="A13" s="70" t="s">
        <v>19</v>
      </c>
      <c r="B13" s="70"/>
      <c r="C13" s="70"/>
      <c r="D13" s="92">
        <v>30</v>
      </c>
    </row>
    <row r="15" spans="1:5" ht="19" thickBot="1">
      <c r="A15" s="93" t="s">
        <v>59</v>
      </c>
    </row>
    <row r="16" spans="1:5" ht="19" thickBot="1">
      <c r="A16" s="94" t="s">
        <v>38</v>
      </c>
      <c r="B16" s="95" t="s">
        <v>39</v>
      </c>
      <c r="C16" s="95" t="s">
        <v>40</v>
      </c>
    </row>
    <row r="17" spans="1:5" ht="20" thickBot="1">
      <c r="A17" s="96" t="s">
        <v>41</v>
      </c>
      <c r="B17" s="97" t="s">
        <v>87</v>
      </c>
      <c r="C17" s="97" t="s">
        <v>10</v>
      </c>
    </row>
    <row r="18" spans="1:5" ht="20" thickBot="1">
      <c r="A18" s="98"/>
      <c r="B18" s="99" t="s">
        <v>87</v>
      </c>
      <c r="C18" s="99" t="s">
        <v>91</v>
      </c>
    </row>
    <row r="19" spans="1:5" ht="20" thickBot="1">
      <c r="A19" s="100" t="s">
        <v>60</v>
      </c>
      <c r="B19" s="101" t="s">
        <v>88</v>
      </c>
      <c r="C19" s="99" t="s">
        <v>10</v>
      </c>
    </row>
    <row r="20" spans="1:5" ht="20" thickBot="1">
      <c r="A20" s="102"/>
      <c r="B20" s="99" t="s">
        <v>89</v>
      </c>
      <c r="C20" s="99" t="s">
        <v>10</v>
      </c>
    </row>
    <row r="21" spans="1:5" ht="20" thickBot="1">
      <c r="A21" s="96" t="s">
        <v>42</v>
      </c>
      <c r="B21" s="97" t="s">
        <v>89</v>
      </c>
      <c r="C21" s="97" t="s">
        <v>92</v>
      </c>
    </row>
    <row r="22" spans="1:5" ht="20" thickBot="1">
      <c r="A22" s="96" t="s">
        <v>43</v>
      </c>
      <c r="B22" s="97" t="s">
        <v>90</v>
      </c>
      <c r="C22" s="97" t="s">
        <v>44</v>
      </c>
    </row>
    <row r="25" spans="1:5" s="11" customFormat="1">
      <c r="A25" s="103" t="s">
        <v>78</v>
      </c>
      <c r="B25" s="38"/>
      <c r="C25" s="38"/>
      <c r="D25" s="38"/>
      <c r="E25" s="38"/>
    </row>
    <row r="26" spans="1:5" s="11" customFormat="1">
      <c r="A26" s="103" t="s">
        <v>79</v>
      </c>
      <c r="B26" s="38"/>
      <c r="C26" s="38"/>
      <c r="D26" s="38"/>
      <c r="E26" s="38"/>
    </row>
    <row r="27" spans="1:5" s="11" customFormat="1">
      <c r="A27" s="103" t="s">
        <v>80</v>
      </c>
      <c r="B27" s="38"/>
      <c r="C27" s="38"/>
      <c r="D27" s="38"/>
      <c r="E27" s="38"/>
    </row>
    <row r="28" spans="1:5" s="11" customFormat="1">
      <c r="A28" s="103" t="s">
        <v>81</v>
      </c>
      <c r="B28" s="38"/>
      <c r="C28" s="38"/>
      <c r="D28" s="38"/>
      <c r="E28" s="38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Genesig advanced kit</vt:lpstr>
      <vt:lpstr>Amphibians metbarcoding_1stPCR</vt:lpstr>
      <vt:lpstr>Amphibian metbarcoding_2stPCR</vt:lpstr>
    </vt:vector>
  </TitlesOfParts>
  <Company>ednasolutions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Omneya</dc:creator>
  <cp:lastModifiedBy>Omneya</cp:lastModifiedBy>
  <cp:lastPrinted>2019-08-14T12:11:06Z</cp:lastPrinted>
  <dcterms:created xsi:type="dcterms:W3CDTF">2019-07-25T14:38:51Z</dcterms:created>
  <dcterms:modified xsi:type="dcterms:W3CDTF">2019-12-05T09:33:28Z</dcterms:modified>
</cp:coreProperties>
</file>