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ybalt/Desktop/Dysfluency paper/New Folder With Items/submission /PLOS ONE LAST SUBMISSION/application for PLOS ONE/new version/"/>
    </mc:Choice>
  </mc:AlternateContent>
  <xr:revisionPtr revIDLastSave="0" documentId="8_{79E28F31-A8D8-3044-BC60-FABAC28D1653}" xr6:coauthVersionLast="43" xr6:coauthVersionMax="43" xr10:uidLastSave="{00000000-0000-0000-0000-000000000000}"/>
  <bookViews>
    <workbookView xWindow="0" yWindow="460" windowWidth="20980" windowHeight="17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</calcChain>
</file>

<file path=xl/sharedStrings.xml><?xml version="1.0" encoding="utf-8"?>
<sst xmlns="http://schemas.openxmlformats.org/spreadsheetml/2006/main" count="153" uniqueCount="38">
  <si>
    <t>ID</t>
  </si>
  <si>
    <t>Groups</t>
  </si>
  <si>
    <t>Group 2</t>
  </si>
  <si>
    <t>FTD</t>
  </si>
  <si>
    <t>SZ</t>
  </si>
  <si>
    <t>NC</t>
  </si>
  <si>
    <t>S</t>
  </si>
  <si>
    <t>FDR</t>
  </si>
  <si>
    <t>Unfilled pauses</t>
  </si>
  <si>
    <t>N-filled pauses</t>
  </si>
  <si>
    <t>N-utter</t>
  </si>
  <si>
    <t>N_embedded clauses</t>
  </si>
  <si>
    <t>N-utter+Clause</t>
  </si>
  <si>
    <t>N of  utterance initial pauses</t>
  </si>
  <si>
    <t>N-Within clause pauses</t>
  </si>
  <si>
    <t xml:space="preserve">Between clause pauses </t>
  </si>
  <si>
    <t>total dysfluency</t>
  </si>
  <si>
    <t>Ratio of tot dysfluency</t>
  </si>
  <si>
    <t>Ratio of unfilled pauses</t>
  </si>
  <si>
    <t>Ratio of utterance initial pauses</t>
  </si>
  <si>
    <t>Ratio of within clause pauses</t>
  </si>
  <si>
    <t>Utterance initial&lt;1sec</t>
  </si>
  <si>
    <t>Utterance initial (1-3secs)</t>
  </si>
  <si>
    <t>Ratio of utterance initial&lt;1sec</t>
  </si>
  <si>
    <t>Ratio of utterance-initial (1-3secs)</t>
  </si>
  <si>
    <t>within clause &lt;1sec</t>
  </si>
  <si>
    <t>Ratio of within clause&lt;1sec</t>
  </si>
  <si>
    <t>Ratio of within clause 1-3sec</t>
  </si>
  <si>
    <t>N-  between utterance initial filled pauses</t>
  </si>
  <si>
    <t>N- between clause filled pauses</t>
  </si>
  <si>
    <t>within clause (1-3secs)</t>
  </si>
  <si>
    <t>Between clause pauses less 1 sec</t>
  </si>
  <si>
    <t>Between clauses btw 1 and 3 sec</t>
  </si>
  <si>
    <t>Ratio of embedded clauses</t>
  </si>
  <si>
    <t>IQ</t>
  </si>
  <si>
    <t>Age</t>
  </si>
  <si>
    <t>Education</t>
  </si>
  <si>
    <t>Number of clauses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</si>
</sst>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8">
    <xf numFmtId="0" fontId="0" fillId="0" borderId="0" xfId="0"/>
    <xf numFmtId="0" fontId="3" fillId="0" borderId="0" xfId="1" applyFont="1"/>
    <xf numFmtId="0" fontId="3" fillId="0" borderId="0" xfId="1" applyFont="1" applyAlignment="1">
      <alignment wrapText="1"/>
    </xf>
    <xf numFmtId="0" fontId="2" fillId="0" borderId="0" xfId="4"/>
    <xf numFmtId="0" fontId="2" fillId="0" borderId="0" xfId="5"/>
    <xf numFmtId="0" fontId="4" fillId="0" borderId="0" xfId="5" applyFont="1"/>
    <xf numFmtId="0" fontId="2" fillId="0" borderId="0" xfId="7"/>
    <xf numFmtId="0" fontId="2" fillId="0" borderId="0" xfId="7" applyAlignment="1">
      <alignment horizontal="right"/>
    </xf>
    <xf numFmtId="0" fontId="2" fillId="0" borderId="0" xfId="2"/>
    <xf numFmtId="0" fontId="3" fillId="0" borderId="0" xfId="9" applyFont="1"/>
    <xf numFmtId="0" fontId="2" fillId="0" borderId="0" xfId="12"/>
    <xf numFmtId="0" fontId="2" fillId="0" borderId="0" xfId="13"/>
    <xf numFmtId="0" fontId="3" fillId="0" borderId="0" xfId="25" applyFont="1" applyAlignment="1">
      <alignment horizontal="right"/>
    </xf>
    <xf numFmtId="0" fontId="3" fillId="0" borderId="0" xfId="2" applyFont="1" applyAlignment="1">
      <alignment horizontal="right"/>
    </xf>
    <xf numFmtId="0" fontId="3" fillId="0" borderId="0" xfId="27" applyFont="1"/>
    <xf numFmtId="0" fontId="3" fillId="0" borderId="0" xfId="0" applyFont="1"/>
    <xf numFmtId="0" fontId="3" fillId="0" borderId="0" xfId="16" applyFont="1"/>
    <xf numFmtId="0" fontId="3" fillId="0" borderId="0" xfId="21" applyFont="1"/>
    <xf numFmtId="0" fontId="3" fillId="0" borderId="0" xfId="29" applyFont="1"/>
    <xf numFmtId="0" fontId="3" fillId="0" borderId="0" xfId="9" applyFont="1" applyAlignment="1">
      <alignment horizontal="left" vertical="top"/>
    </xf>
    <xf numFmtId="0" fontId="3" fillId="0" borderId="0" xfId="33" applyFont="1" applyAlignment="1">
      <alignment horizontal="left" vertical="top"/>
    </xf>
    <xf numFmtId="0" fontId="3" fillId="0" borderId="0" xfId="35" applyFont="1" applyAlignment="1">
      <alignment horizontal="left" vertical="top"/>
    </xf>
    <xf numFmtId="0" fontId="3" fillId="0" borderId="0" xfId="2" applyFont="1" applyAlignment="1">
      <alignment horizontal="left" vertical="top"/>
    </xf>
    <xf numFmtId="0" fontId="3" fillId="0" borderId="0" xfId="23" applyFont="1" applyAlignment="1">
      <alignment horizontal="center" vertical="center"/>
    </xf>
    <xf numFmtId="0" fontId="3" fillId="0" borderId="0" xfId="31" applyFont="1" applyAlignment="1">
      <alignment horizontal="center"/>
    </xf>
    <xf numFmtId="0" fontId="3" fillId="0" borderId="0" xfId="17" applyFont="1" applyAlignment="1">
      <alignment horizontal="center" vertical="center"/>
    </xf>
    <xf numFmtId="0" fontId="3" fillId="0" borderId="0" xfId="7" applyFont="1"/>
    <xf numFmtId="0" fontId="0" fillId="0" borderId="0" xfId="0" applyAlignment="1">
      <alignment horizontal="right"/>
    </xf>
  </cellXfs>
  <cellStyles count="52">
    <cellStyle name="Normal" xfId="0" builtinId="0"/>
    <cellStyle name="Normal 10" xfId="16" xr:uid="{00000000-0005-0000-0000-000001000000}"/>
    <cellStyle name="Normal 11" xfId="17" xr:uid="{00000000-0005-0000-0000-000002000000}"/>
    <cellStyle name="Normal 12" xfId="19" xr:uid="{00000000-0005-0000-0000-000003000000}"/>
    <cellStyle name="Normal 13" xfId="21" xr:uid="{00000000-0005-0000-0000-000004000000}"/>
    <cellStyle name="Normal 14" xfId="23" xr:uid="{00000000-0005-0000-0000-000005000000}"/>
    <cellStyle name="Normal 15" xfId="25" xr:uid="{00000000-0005-0000-0000-000006000000}"/>
    <cellStyle name="Normal 16" xfId="27" xr:uid="{00000000-0005-0000-0000-000007000000}"/>
    <cellStyle name="Normal 17" xfId="29" xr:uid="{00000000-0005-0000-0000-000008000000}"/>
    <cellStyle name="Normal 18" xfId="31" xr:uid="{00000000-0005-0000-0000-000009000000}"/>
    <cellStyle name="Normal 19" xfId="33" xr:uid="{00000000-0005-0000-0000-00000A000000}"/>
    <cellStyle name="Normal 2" xfId="1" xr:uid="{00000000-0005-0000-0000-00000B000000}"/>
    <cellStyle name="Normal 2 10" xfId="20" xr:uid="{00000000-0005-0000-0000-00000C000000}"/>
    <cellStyle name="Normal 2 11" xfId="22" xr:uid="{00000000-0005-0000-0000-00000D000000}"/>
    <cellStyle name="Normal 2 12" xfId="24" xr:uid="{00000000-0005-0000-0000-00000E000000}"/>
    <cellStyle name="Normal 2 13" xfId="26" xr:uid="{00000000-0005-0000-0000-00000F000000}"/>
    <cellStyle name="Normal 2 14" xfId="28" xr:uid="{00000000-0005-0000-0000-000010000000}"/>
    <cellStyle name="Normal 2 15" xfId="30" xr:uid="{00000000-0005-0000-0000-000011000000}"/>
    <cellStyle name="Normal 2 16" xfId="32" xr:uid="{00000000-0005-0000-0000-000012000000}"/>
    <cellStyle name="Normal 2 17" xfId="34" xr:uid="{00000000-0005-0000-0000-000013000000}"/>
    <cellStyle name="Normal 2 18" xfId="36" xr:uid="{00000000-0005-0000-0000-000014000000}"/>
    <cellStyle name="Normal 2 19" xfId="37" xr:uid="{00000000-0005-0000-0000-000015000000}"/>
    <cellStyle name="Normal 2 2" xfId="3" xr:uid="{00000000-0005-0000-0000-000016000000}"/>
    <cellStyle name="Normal 2 2 2" xfId="40" xr:uid="{E2620B59-1CA7-46EE-9641-F76CA0FBB594}"/>
    <cellStyle name="Normal 2 2 3" xfId="47" xr:uid="{023F9C29-75DB-4159-97A1-4A89F4F1189E}"/>
    <cellStyle name="Normal 2 2 4" xfId="38" xr:uid="{377AFEE0-4208-4A24-A280-8C5C41813CB5}"/>
    <cellStyle name="Normal 2 20" xfId="45" xr:uid="{875E7D5C-1C76-4DA7-99B8-834E20604B21}"/>
    <cellStyle name="Normal 2 3" xfId="6" xr:uid="{00000000-0005-0000-0000-000017000000}"/>
    <cellStyle name="Normal 2 4" xfId="8" xr:uid="{00000000-0005-0000-0000-000018000000}"/>
    <cellStyle name="Normal 2 5" xfId="10" xr:uid="{00000000-0005-0000-0000-000019000000}"/>
    <cellStyle name="Normal 2 6" xfId="11" xr:uid="{00000000-0005-0000-0000-00001A000000}"/>
    <cellStyle name="Normal 2 7" xfId="14" xr:uid="{00000000-0005-0000-0000-00001B000000}"/>
    <cellStyle name="Normal 2 8" xfId="15" xr:uid="{00000000-0005-0000-0000-00001C000000}"/>
    <cellStyle name="Normal 2 9" xfId="18" xr:uid="{00000000-0005-0000-0000-00001D000000}"/>
    <cellStyle name="Normal 20" xfId="35" xr:uid="{00000000-0005-0000-0000-00001E000000}"/>
    <cellStyle name="Normal 3" xfId="2" xr:uid="{00000000-0005-0000-0000-00001F000000}"/>
    <cellStyle name="Normal 3 2" xfId="39" xr:uid="{7C775C44-476A-4837-8D6A-6A7A2C89FE84}"/>
    <cellStyle name="Normal 3 3" xfId="46" xr:uid="{AD1E85A0-5340-4EBB-8FE9-491453F2759F}"/>
    <cellStyle name="Normal 4" xfId="4" xr:uid="{00000000-0005-0000-0000-000020000000}"/>
    <cellStyle name="Normal 4 2" xfId="41" xr:uid="{D7919A3D-C90A-4304-BFE3-5FA509465F87}"/>
    <cellStyle name="Normal 4 3" xfId="48" xr:uid="{8AED4DAC-8A5F-4455-BF13-7C66FFDCFF95}"/>
    <cellStyle name="Normal 5" xfId="5" xr:uid="{00000000-0005-0000-0000-000021000000}"/>
    <cellStyle name="Normal 5 2" xfId="42" xr:uid="{B692486D-5EDD-423F-8ABB-CAA027B839F1}"/>
    <cellStyle name="Normal 5 3" xfId="49" xr:uid="{79A0F6F8-97C6-4BF7-A2A7-59AE53C5CEC8}"/>
    <cellStyle name="Normal 6" xfId="7" xr:uid="{00000000-0005-0000-0000-000022000000}"/>
    <cellStyle name="Normal 6 2" xfId="43" xr:uid="{6BC21342-146D-4A29-B712-A2FB369291CA}"/>
    <cellStyle name="Normal 6 3" xfId="50" xr:uid="{9A8797F9-01AD-48F1-AF1B-8D674BFA48EF}"/>
    <cellStyle name="Normal 7" xfId="9" xr:uid="{00000000-0005-0000-0000-000023000000}"/>
    <cellStyle name="Normal 7 2" xfId="44" xr:uid="{2624479B-F026-4BBF-9C90-DCD944289A3F}"/>
    <cellStyle name="Normal 7 3" xfId="51" xr:uid="{9C05DE52-F1CA-43FF-B428-8A88FDFE24C8}"/>
    <cellStyle name="Normal 8" xfId="12" xr:uid="{00000000-0005-0000-0000-000024000000}"/>
    <cellStyle name="Normal 9" xfId="13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1"/>
  <sheetViews>
    <sheetView tabSelected="1" zoomScale="75" zoomScaleNormal="75" workbookViewId="0">
      <selection activeCell="Y1" sqref="Y1:Y1048576"/>
    </sheetView>
  </sheetViews>
  <sheetFormatPr baseColWidth="10" defaultColWidth="8.83203125" defaultRowHeight="15" x14ac:dyDescent="0.2"/>
  <cols>
    <col min="4" max="4" width="17.33203125" customWidth="1"/>
    <col min="5" max="6" width="15" customWidth="1"/>
    <col min="7" max="7" width="12.83203125" customWidth="1"/>
    <col min="8" max="8" width="22.33203125" customWidth="1"/>
    <col min="9" max="11" width="19.1640625" customWidth="1"/>
    <col min="12" max="12" width="28.33203125" style="15" customWidth="1"/>
    <col min="13" max="13" width="20.6640625" style="15" customWidth="1"/>
    <col min="14" max="14" width="26" customWidth="1"/>
    <col min="15" max="15" width="35" style="15" customWidth="1"/>
    <col min="16" max="16" width="26.5" style="15" customWidth="1"/>
    <col min="17" max="17" width="31.1640625" style="15" customWidth="1"/>
    <col min="18" max="18" width="27.83203125" style="15" customWidth="1"/>
    <col min="19" max="19" width="28.83203125" style="15" customWidth="1"/>
    <col min="20" max="20" width="34.6640625" style="15" customWidth="1"/>
    <col min="21" max="21" width="23.33203125" style="15" customWidth="1"/>
    <col min="22" max="22" width="29.1640625" style="15" customWidth="1"/>
    <col min="23" max="23" width="27.83203125" style="15" customWidth="1"/>
    <col min="24" max="25" width="43.5" style="15" customWidth="1"/>
    <col min="26" max="26" width="34.83203125" customWidth="1"/>
    <col min="27" max="27" width="29.83203125" customWidth="1"/>
    <col min="28" max="28" width="37.5" style="15" customWidth="1"/>
    <col min="29" max="29" width="29.6640625" style="15" customWidth="1"/>
    <col min="32" max="32" width="11.33203125" style="27" customWidth="1"/>
    <col min="33" max="33" width="24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3" t="s">
        <v>8</v>
      </c>
      <c r="E1" s="4" t="s">
        <v>9</v>
      </c>
      <c r="F1" s="10" t="s">
        <v>16</v>
      </c>
      <c r="G1" s="6" t="s">
        <v>10</v>
      </c>
      <c r="H1" s="6" t="s">
        <v>11</v>
      </c>
      <c r="I1" s="6" t="s">
        <v>12</v>
      </c>
      <c r="J1" s="11" t="s">
        <v>17</v>
      </c>
      <c r="K1" s="11" t="s">
        <v>18</v>
      </c>
      <c r="L1" s="16" t="s">
        <v>13</v>
      </c>
      <c r="M1" s="25" t="s">
        <v>14</v>
      </c>
      <c r="N1" t="s">
        <v>15</v>
      </c>
      <c r="O1" s="17" t="s">
        <v>19</v>
      </c>
      <c r="P1" s="23" t="s">
        <v>20</v>
      </c>
      <c r="Q1" s="12" t="s">
        <v>21</v>
      </c>
      <c r="R1" s="12" t="s">
        <v>22</v>
      </c>
      <c r="S1" s="14" t="s">
        <v>23</v>
      </c>
      <c r="T1" s="18" t="s">
        <v>24</v>
      </c>
      <c r="U1" s="24" t="s">
        <v>25</v>
      </c>
      <c r="V1" s="24" t="s">
        <v>30</v>
      </c>
      <c r="W1" s="24" t="s">
        <v>26</v>
      </c>
      <c r="X1" s="24" t="s">
        <v>27</v>
      </c>
      <c r="Y1" s="24" t="s">
        <v>33</v>
      </c>
      <c r="Z1" t="s">
        <v>31</v>
      </c>
      <c r="AA1" t="s">
        <v>32</v>
      </c>
      <c r="AB1" s="15" t="s">
        <v>28</v>
      </c>
      <c r="AC1" s="15" t="s">
        <v>29</v>
      </c>
      <c r="AD1" t="s">
        <v>34</v>
      </c>
      <c r="AE1" t="s">
        <v>35</v>
      </c>
      <c r="AF1" s="27" t="s">
        <v>36</v>
      </c>
      <c r="AG1" t="s">
        <v>37</v>
      </c>
    </row>
    <row r="2" spans="1:33" x14ac:dyDescent="0.2">
      <c r="A2" s="2">
        <v>1</v>
      </c>
      <c r="B2" s="1" t="s">
        <v>3</v>
      </c>
      <c r="C2" s="1" t="s">
        <v>4</v>
      </c>
      <c r="D2">
        <v>25</v>
      </c>
      <c r="E2" s="5">
        <v>1</v>
      </c>
      <c r="F2" s="5">
        <f t="shared" ref="F2:F33" si="0">D2+E2</f>
        <v>26</v>
      </c>
      <c r="G2" s="7">
        <v>26</v>
      </c>
      <c r="H2" s="8">
        <v>3</v>
      </c>
      <c r="I2" s="6">
        <v>29</v>
      </c>
      <c r="J2">
        <f t="shared" ref="J2:J33" si="1">D2+E2/G2</f>
        <v>25.03846153846154</v>
      </c>
      <c r="K2" s="6">
        <f t="shared" ref="K2:K33" si="2">D2/G2</f>
        <v>0.96153846153846156</v>
      </c>
      <c r="L2" s="9">
        <v>11</v>
      </c>
      <c r="M2" s="19">
        <v>14</v>
      </c>
      <c r="N2">
        <v>0</v>
      </c>
      <c r="O2" s="15">
        <f t="shared" ref="O2:O33" si="3">L2/G2</f>
        <v>0.42307692307692307</v>
      </c>
      <c r="P2" s="15">
        <f t="shared" ref="P2:P33" si="4">M2/I2</f>
        <v>0.48275862068965519</v>
      </c>
      <c r="Q2" s="12">
        <v>3</v>
      </c>
      <c r="R2" s="12">
        <v>8</v>
      </c>
      <c r="S2" s="15">
        <f t="shared" ref="S2:S33" si="5">Q2/G2</f>
        <v>0.11538461538461539</v>
      </c>
      <c r="T2" s="15">
        <f t="shared" ref="T2:T33" si="6">R2/G2</f>
        <v>0.30769230769230771</v>
      </c>
      <c r="U2" s="20">
        <v>14</v>
      </c>
      <c r="V2" s="21">
        <v>0</v>
      </c>
      <c r="W2" s="15">
        <f t="shared" ref="W2:W33" si="7" xml:space="preserve"> U2/I2</f>
        <v>0.48275862068965519</v>
      </c>
      <c r="X2" s="15">
        <f t="shared" ref="X2:X33" si="8">V2/I2</f>
        <v>0</v>
      </c>
      <c r="Y2" s="15">
        <v>0</v>
      </c>
      <c r="Z2">
        <v>0</v>
      </c>
      <c r="AA2">
        <v>0</v>
      </c>
      <c r="AB2" s="15">
        <v>1</v>
      </c>
      <c r="AC2" s="15">
        <v>0</v>
      </c>
      <c r="AD2">
        <v>90</v>
      </c>
      <c r="AE2">
        <v>69</v>
      </c>
      <c r="AF2" s="27">
        <v>16</v>
      </c>
      <c r="AG2">
        <v>3</v>
      </c>
    </row>
    <row r="3" spans="1:33" x14ac:dyDescent="0.2">
      <c r="A3" s="1">
        <v>2</v>
      </c>
      <c r="B3" s="1" t="s">
        <v>5</v>
      </c>
      <c r="C3" s="1" t="s">
        <v>5</v>
      </c>
      <c r="D3">
        <v>26</v>
      </c>
      <c r="E3" s="5">
        <v>14</v>
      </c>
      <c r="F3" s="5">
        <f t="shared" si="0"/>
        <v>40</v>
      </c>
      <c r="G3" s="6">
        <v>43</v>
      </c>
      <c r="H3" s="8">
        <v>18</v>
      </c>
      <c r="I3" s="6">
        <v>60</v>
      </c>
      <c r="J3">
        <f t="shared" si="1"/>
        <v>26.325581395348838</v>
      </c>
      <c r="K3" s="6">
        <f t="shared" si="2"/>
        <v>0.60465116279069764</v>
      </c>
      <c r="L3" s="9">
        <v>13</v>
      </c>
      <c r="M3" s="19">
        <v>12</v>
      </c>
      <c r="N3">
        <v>1</v>
      </c>
      <c r="O3" s="15">
        <f t="shared" si="3"/>
        <v>0.30232558139534882</v>
      </c>
      <c r="P3" s="15">
        <f t="shared" si="4"/>
        <v>0.2</v>
      </c>
      <c r="Q3" s="12">
        <v>11</v>
      </c>
      <c r="R3" s="12">
        <v>2</v>
      </c>
      <c r="S3" s="15">
        <f t="shared" si="5"/>
        <v>0.2558139534883721</v>
      </c>
      <c r="T3" s="15">
        <f t="shared" si="6"/>
        <v>4.6511627906976744E-2</v>
      </c>
      <c r="U3" s="20">
        <v>12</v>
      </c>
      <c r="V3" s="21">
        <v>0</v>
      </c>
      <c r="W3" s="15">
        <f t="shared" si="7"/>
        <v>0.2</v>
      </c>
      <c r="X3" s="15">
        <f t="shared" si="8"/>
        <v>0</v>
      </c>
      <c r="Y3" s="15">
        <v>5.5555555555555552E-2</v>
      </c>
      <c r="Z3">
        <v>1</v>
      </c>
      <c r="AA3">
        <v>0</v>
      </c>
      <c r="AB3" s="15">
        <v>10</v>
      </c>
      <c r="AC3" s="15">
        <v>0</v>
      </c>
      <c r="AD3">
        <v>94</v>
      </c>
      <c r="AE3">
        <v>40</v>
      </c>
      <c r="AF3" s="27">
        <v>12</v>
      </c>
      <c r="AG3">
        <v>18</v>
      </c>
    </row>
    <row r="4" spans="1:33" x14ac:dyDescent="0.2">
      <c r="A4" s="1">
        <v>6</v>
      </c>
      <c r="B4" s="1" t="s">
        <v>5</v>
      </c>
      <c r="C4" s="1" t="s">
        <v>5</v>
      </c>
      <c r="D4">
        <v>15</v>
      </c>
      <c r="E4" s="5">
        <v>8</v>
      </c>
      <c r="F4" s="5">
        <f t="shared" si="0"/>
        <v>23</v>
      </c>
      <c r="G4" s="6">
        <v>12</v>
      </c>
      <c r="H4" s="8">
        <v>12</v>
      </c>
      <c r="I4" s="6">
        <v>25</v>
      </c>
      <c r="J4">
        <f t="shared" si="1"/>
        <v>15.666666666666666</v>
      </c>
      <c r="K4" s="6">
        <f t="shared" si="2"/>
        <v>1.25</v>
      </c>
      <c r="L4" s="9">
        <v>6</v>
      </c>
      <c r="M4" s="19">
        <v>5</v>
      </c>
      <c r="N4">
        <v>4</v>
      </c>
      <c r="O4" s="15">
        <f t="shared" si="3"/>
        <v>0.5</v>
      </c>
      <c r="P4" s="15">
        <f t="shared" si="4"/>
        <v>0.2</v>
      </c>
      <c r="Q4" s="12">
        <v>3</v>
      </c>
      <c r="R4" s="12">
        <v>3</v>
      </c>
      <c r="S4" s="15">
        <f t="shared" si="5"/>
        <v>0.25</v>
      </c>
      <c r="T4" s="15">
        <f t="shared" si="6"/>
        <v>0.25</v>
      </c>
      <c r="U4" s="20">
        <v>1</v>
      </c>
      <c r="V4" s="21">
        <v>4</v>
      </c>
      <c r="W4" s="15">
        <f t="shared" si="7"/>
        <v>0.04</v>
      </c>
      <c r="X4" s="15">
        <f t="shared" si="8"/>
        <v>0.16</v>
      </c>
      <c r="Y4" s="15">
        <v>0.33333333333333331</v>
      </c>
      <c r="Z4">
        <v>3</v>
      </c>
      <c r="AA4">
        <v>1</v>
      </c>
      <c r="AB4" s="15">
        <v>7</v>
      </c>
      <c r="AC4" s="15">
        <v>1</v>
      </c>
      <c r="AD4">
        <v>103</v>
      </c>
      <c r="AE4">
        <v>31</v>
      </c>
      <c r="AF4" s="27">
        <v>17</v>
      </c>
      <c r="AG4">
        <v>12</v>
      </c>
    </row>
    <row r="5" spans="1:33" x14ac:dyDescent="0.2">
      <c r="A5" s="1">
        <v>9</v>
      </c>
      <c r="B5" s="1" t="s">
        <v>6</v>
      </c>
      <c r="C5" s="1" t="s">
        <v>4</v>
      </c>
      <c r="D5">
        <v>26</v>
      </c>
      <c r="E5" s="5">
        <v>4</v>
      </c>
      <c r="F5" s="5">
        <f t="shared" si="0"/>
        <v>30</v>
      </c>
      <c r="G5" s="6">
        <v>25</v>
      </c>
      <c r="H5" s="8">
        <v>10</v>
      </c>
      <c r="I5" s="6">
        <v>34</v>
      </c>
      <c r="J5">
        <f t="shared" si="1"/>
        <v>26.16</v>
      </c>
      <c r="K5" s="6">
        <f t="shared" si="2"/>
        <v>1.04</v>
      </c>
      <c r="L5" s="9">
        <v>18</v>
      </c>
      <c r="M5" s="22">
        <v>4</v>
      </c>
      <c r="N5">
        <v>4</v>
      </c>
      <c r="O5" s="15">
        <f t="shared" si="3"/>
        <v>0.72</v>
      </c>
      <c r="P5" s="15">
        <f t="shared" si="4"/>
        <v>0.11764705882352941</v>
      </c>
      <c r="Q5" s="12">
        <v>13</v>
      </c>
      <c r="R5" s="12">
        <v>5</v>
      </c>
      <c r="S5" s="15">
        <f t="shared" si="5"/>
        <v>0.52</v>
      </c>
      <c r="T5" s="15">
        <f t="shared" si="6"/>
        <v>0.2</v>
      </c>
      <c r="U5" s="22">
        <v>4</v>
      </c>
      <c r="V5" s="22">
        <v>0</v>
      </c>
      <c r="W5" s="15">
        <f t="shared" si="7"/>
        <v>0.11764705882352941</v>
      </c>
      <c r="X5" s="15">
        <f t="shared" si="8"/>
        <v>0</v>
      </c>
      <c r="Y5" s="15">
        <v>0.4</v>
      </c>
      <c r="Z5">
        <v>4</v>
      </c>
      <c r="AA5">
        <v>0</v>
      </c>
      <c r="AB5" s="15">
        <v>2</v>
      </c>
      <c r="AC5" s="15">
        <v>1</v>
      </c>
      <c r="AD5">
        <v>130</v>
      </c>
      <c r="AE5">
        <v>36</v>
      </c>
      <c r="AF5" s="27">
        <v>16</v>
      </c>
      <c r="AG5">
        <v>10</v>
      </c>
    </row>
    <row r="6" spans="1:33" x14ac:dyDescent="0.2">
      <c r="A6" s="1">
        <v>10</v>
      </c>
      <c r="B6" s="1" t="s">
        <v>5</v>
      </c>
      <c r="C6" s="1" t="s">
        <v>5</v>
      </c>
      <c r="D6">
        <v>8</v>
      </c>
      <c r="E6" s="5">
        <v>2</v>
      </c>
      <c r="F6" s="5">
        <f t="shared" si="0"/>
        <v>10</v>
      </c>
      <c r="G6" s="6">
        <v>31</v>
      </c>
      <c r="H6" s="8">
        <v>10</v>
      </c>
      <c r="I6" s="6">
        <v>38</v>
      </c>
      <c r="J6">
        <f t="shared" si="1"/>
        <v>8.064516129032258</v>
      </c>
      <c r="K6" s="6">
        <f t="shared" si="2"/>
        <v>0.25806451612903225</v>
      </c>
      <c r="L6" s="9">
        <v>5</v>
      </c>
      <c r="M6" s="22">
        <v>2</v>
      </c>
      <c r="N6">
        <v>1</v>
      </c>
      <c r="O6" s="15">
        <f t="shared" si="3"/>
        <v>0.16129032258064516</v>
      </c>
      <c r="P6" s="15">
        <f t="shared" si="4"/>
        <v>5.2631578947368418E-2</v>
      </c>
      <c r="Q6" s="12">
        <v>3</v>
      </c>
      <c r="R6" s="12">
        <v>2</v>
      </c>
      <c r="S6" s="15">
        <f t="shared" si="5"/>
        <v>9.6774193548387094E-2</v>
      </c>
      <c r="T6" s="15">
        <f t="shared" si="6"/>
        <v>6.4516129032258063E-2</v>
      </c>
      <c r="U6" s="22">
        <v>2</v>
      </c>
      <c r="V6" s="22">
        <v>0</v>
      </c>
      <c r="W6" s="15">
        <f t="shared" si="7"/>
        <v>5.2631578947368418E-2</v>
      </c>
      <c r="X6" s="15">
        <f t="shared" si="8"/>
        <v>0</v>
      </c>
      <c r="Y6" s="15">
        <v>0.1</v>
      </c>
      <c r="Z6">
        <v>0</v>
      </c>
      <c r="AA6">
        <v>1</v>
      </c>
      <c r="AB6" s="15">
        <v>2</v>
      </c>
      <c r="AC6" s="15">
        <v>0</v>
      </c>
      <c r="AD6">
        <v>119</v>
      </c>
      <c r="AE6">
        <v>46</v>
      </c>
      <c r="AF6" s="27">
        <v>20</v>
      </c>
      <c r="AG6">
        <v>10</v>
      </c>
    </row>
    <row r="7" spans="1:33" x14ac:dyDescent="0.2">
      <c r="A7" s="1">
        <v>11</v>
      </c>
      <c r="B7" s="1" t="s">
        <v>7</v>
      </c>
      <c r="C7" s="1" t="s">
        <v>7</v>
      </c>
      <c r="D7">
        <v>7</v>
      </c>
      <c r="E7" s="5">
        <v>4</v>
      </c>
      <c r="F7" s="5">
        <f t="shared" si="0"/>
        <v>11</v>
      </c>
      <c r="G7" s="6">
        <v>11</v>
      </c>
      <c r="H7" s="8">
        <v>8</v>
      </c>
      <c r="I7" s="6">
        <v>19</v>
      </c>
      <c r="J7">
        <f t="shared" si="1"/>
        <v>7.3636363636363633</v>
      </c>
      <c r="K7" s="6">
        <f t="shared" si="2"/>
        <v>0.63636363636363635</v>
      </c>
      <c r="L7" s="9">
        <v>3</v>
      </c>
      <c r="M7" s="19">
        <v>3</v>
      </c>
      <c r="N7">
        <v>1</v>
      </c>
      <c r="O7" s="15">
        <f t="shared" si="3"/>
        <v>0.27272727272727271</v>
      </c>
      <c r="P7" s="15">
        <f t="shared" si="4"/>
        <v>0.15789473684210525</v>
      </c>
      <c r="Q7" s="12">
        <v>3</v>
      </c>
      <c r="R7" s="12">
        <v>0</v>
      </c>
      <c r="S7" s="15">
        <f t="shared" si="5"/>
        <v>0.27272727272727271</v>
      </c>
      <c r="T7" s="15">
        <f t="shared" si="6"/>
        <v>0</v>
      </c>
      <c r="U7" s="20">
        <v>3</v>
      </c>
      <c r="V7" s="21">
        <v>0</v>
      </c>
      <c r="W7" s="15">
        <f t="shared" si="7"/>
        <v>0.15789473684210525</v>
      </c>
      <c r="X7" s="15">
        <f t="shared" si="8"/>
        <v>0</v>
      </c>
      <c r="Y7" s="15">
        <v>0.125</v>
      </c>
      <c r="Z7">
        <v>1</v>
      </c>
      <c r="AA7">
        <v>0</v>
      </c>
      <c r="AB7" s="15">
        <v>1</v>
      </c>
      <c r="AC7" s="15">
        <v>1</v>
      </c>
      <c r="AD7">
        <v>115</v>
      </c>
      <c r="AE7">
        <v>32</v>
      </c>
      <c r="AF7" s="27">
        <v>21</v>
      </c>
      <c r="AG7">
        <v>8</v>
      </c>
    </row>
    <row r="8" spans="1:33" x14ac:dyDescent="0.2">
      <c r="A8" s="1">
        <v>13</v>
      </c>
      <c r="B8" s="1" t="s">
        <v>7</v>
      </c>
      <c r="C8" s="1" t="s">
        <v>7</v>
      </c>
      <c r="D8">
        <v>13</v>
      </c>
      <c r="E8" s="5">
        <v>0</v>
      </c>
      <c r="F8" s="5">
        <f t="shared" si="0"/>
        <v>13</v>
      </c>
      <c r="G8" s="6">
        <v>19</v>
      </c>
      <c r="H8" s="8">
        <v>2</v>
      </c>
      <c r="I8" s="6">
        <v>23</v>
      </c>
      <c r="J8">
        <f t="shared" si="1"/>
        <v>13</v>
      </c>
      <c r="K8" s="6">
        <f t="shared" si="2"/>
        <v>0.68421052631578949</v>
      </c>
      <c r="L8" s="9">
        <v>11</v>
      </c>
      <c r="M8" s="22">
        <v>1</v>
      </c>
      <c r="N8">
        <v>1</v>
      </c>
      <c r="O8" s="15">
        <f t="shared" si="3"/>
        <v>0.57894736842105265</v>
      </c>
      <c r="P8" s="15">
        <f t="shared" si="4"/>
        <v>4.3478260869565216E-2</v>
      </c>
      <c r="Q8" s="12">
        <v>3</v>
      </c>
      <c r="R8" s="12">
        <v>8</v>
      </c>
      <c r="S8" s="15">
        <f t="shared" si="5"/>
        <v>0.15789473684210525</v>
      </c>
      <c r="T8" s="15">
        <f t="shared" si="6"/>
        <v>0.42105263157894735</v>
      </c>
      <c r="U8" s="22">
        <v>1</v>
      </c>
      <c r="V8" s="22">
        <v>0</v>
      </c>
      <c r="W8" s="15">
        <f t="shared" si="7"/>
        <v>4.3478260869565216E-2</v>
      </c>
      <c r="X8" s="15">
        <f t="shared" si="8"/>
        <v>0</v>
      </c>
      <c r="Y8" s="15">
        <v>0.5</v>
      </c>
      <c r="Z8">
        <v>1</v>
      </c>
      <c r="AA8">
        <v>0</v>
      </c>
      <c r="AB8" s="15">
        <v>0</v>
      </c>
      <c r="AC8" s="15">
        <v>0</v>
      </c>
      <c r="AD8">
        <v>90</v>
      </c>
      <c r="AE8">
        <v>62</v>
      </c>
      <c r="AF8" s="27">
        <v>10</v>
      </c>
      <c r="AG8">
        <v>2</v>
      </c>
    </row>
    <row r="9" spans="1:33" x14ac:dyDescent="0.2">
      <c r="A9" s="1">
        <v>14</v>
      </c>
      <c r="B9" s="1" t="s">
        <v>6</v>
      </c>
      <c r="C9" s="1" t="s">
        <v>4</v>
      </c>
      <c r="D9">
        <v>26</v>
      </c>
      <c r="E9" s="5">
        <v>4</v>
      </c>
      <c r="F9" s="5">
        <f t="shared" si="0"/>
        <v>30</v>
      </c>
      <c r="G9" s="6">
        <v>47</v>
      </c>
      <c r="H9" s="8">
        <v>5</v>
      </c>
      <c r="I9" s="6">
        <v>52</v>
      </c>
      <c r="J9">
        <f t="shared" si="1"/>
        <v>26.085106382978722</v>
      </c>
      <c r="K9" s="6">
        <f t="shared" si="2"/>
        <v>0.55319148936170215</v>
      </c>
      <c r="L9" s="9">
        <v>21</v>
      </c>
      <c r="M9" s="22">
        <v>4</v>
      </c>
      <c r="N9">
        <v>1</v>
      </c>
      <c r="O9" s="15">
        <f t="shared" si="3"/>
        <v>0.44680851063829785</v>
      </c>
      <c r="P9" s="15">
        <f t="shared" si="4"/>
        <v>7.6923076923076927E-2</v>
      </c>
      <c r="Q9" s="12">
        <v>15</v>
      </c>
      <c r="R9" s="12">
        <v>6</v>
      </c>
      <c r="S9" s="15">
        <f t="shared" si="5"/>
        <v>0.31914893617021278</v>
      </c>
      <c r="T9" s="15">
        <f t="shared" si="6"/>
        <v>0.1276595744680851</v>
      </c>
      <c r="U9" s="22">
        <v>4</v>
      </c>
      <c r="V9" s="22">
        <v>0</v>
      </c>
      <c r="W9" s="15">
        <f t="shared" si="7"/>
        <v>7.6923076923076927E-2</v>
      </c>
      <c r="X9" s="15">
        <f t="shared" si="8"/>
        <v>0</v>
      </c>
      <c r="Y9" s="15">
        <v>0.2</v>
      </c>
      <c r="Z9">
        <v>0</v>
      </c>
      <c r="AA9">
        <v>1</v>
      </c>
      <c r="AB9" s="15">
        <v>3</v>
      </c>
      <c r="AC9" s="15">
        <v>0</v>
      </c>
      <c r="AD9">
        <v>92</v>
      </c>
      <c r="AE9">
        <v>48</v>
      </c>
      <c r="AF9" s="27">
        <v>11</v>
      </c>
      <c r="AG9">
        <v>5</v>
      </c>
    </row>
    <row r="10" spans="1:33" x14ac:dyDescent="0.2">
      <c r="A10" s="1">
        <v>16</v>
      </c>
      <c r="B10" s="1" t="s">
        <v>3</v>
      </c>
      <c r="C10" s="1" t="s">
        <v>4</v>
      </c>
      <c r="D10">
        <v>5</v>
      </c>
      <c r="E10" s="5">
        <v>0</v>
      </c>
      <c r="F10" s="5">
        <f t="shared" si="0"/>
        <v>5</v>
      </c>
      <c r="G10" s="6">
        <v>13</v>
      </c>
      <c r="H10" s="8">
        <v>10</v>
      </c>
      <c r="I10" s="6">
        <v>24</v>
      </c>
      <c r="J10">
        <f t="shared" si="1"/>
        <v>5</v>
      </c>
      <c r="K10" s="6">
        <f t="shared" si="2"/>
        <v>0.38461538461538464</v>
      </c>
      <c r="L10" s="9">
        <v>0</v>
      </c>
      <c r="M10" s="22">
        <v>2</v>
      </c>
      <c r="N10">
        <v>3</v>
      </c>
      <c r="O10" s="15">
        <f t="shared" si="3"/>
        <v>0</v>
      </c>
      <c r="P10" s="15">
        <f t="shared" si="4"/>
        <v>8.3333333333333329E-2</v>
      </c>
      <c r="Q10" s="13">
        <v>0</v>
      </c>
      <c r="R10" s="13">
        <v>0</v>
      </c>
      <c r="S10" s="15">
        <f t="shared" si="5"/>
        <v>0</v>
      </c>
      <c r="T10" s="15">
        <f t="shared" si="6"/>
        <v>0</v>
      </c>
      <c r="U10" s="22">
        <v>2</v>
      </c>
      <c r="V10" s="22">
        <v>0</v>
      </c>
      <c r="W10" s="15">
        <f t="shared" si="7"/>
        <v>8.3333333333333329E-2</v>
      </c>
      <c r="X10" s="15">
        <f t="shared" si="8"/>
        <v>0</v>
      </c>
      <c r="Y10" s="15">
        <v>0.3</v>
      </c>
      <c r="Z10">
        <v>0</v>
      </c>
      <c r="AA10">
        <v>3</v>
      </c>
      <c r="AB10" s="15">
        <v>0</v>
      </c>
      <c r="AC10" s="15">
        <v>0</v>
      </c>
      <c r="AD10">
        <v>102</v>
      </c>
      <c r="AE10">
        <v>46</v>
      </c>
      <c r="AF10" s="27">
        <v>20</v>
      </c>
      <c r="AG10">
        <v>10</v>
      </c>
    </row>
    <row r="11" spans="1:33" x14ac:dyDescent="0.2">
      <c r="A11" s="1">
        <v>17</v>
      </c>
      <c r="B11" s="1" t="s">
        <v>3</v>
      </c>
      <c r="C11" s="1" t="s">
        <v>4</v>
      </c>
      <c r="D11">
        <v>27</v>
      </c>
      <c r="E11" s="5">
        <v>12</v>
      </c>
      <c r="F11" s="5">
        <f t="shared" si="0"/>
        <v>39</v>
      </c>
      <c r="G11" s="6">
        <v>21</v>
      </c>
      <c r="H11" s="8">
        <v>13</v>
      </c>
      <c r="I11" s="6">
        <v>32</v>
      </c>
      <c r="J11">
        <f t="shared" si="1"/>
        <v>27.571428571428573</v>
      </c>
      <c r="K11" s="6">
        <f t="shared" si="2"/>
        <v>1.2857142857142858</v>
      </c>
      <c r="L11" s="9">
        <v>14</v>
      </c>
      <c r="M11" s="22">
        <v>9</v>
      </c>
      <c r="N11">
        <v>4</v>
      </c>
      <c r="O11" s="15">
        <f t="shared" si="3"/>
        <v>0.66666666666666663</v>
      </c>
      <c r="P11" s="15">
        <f t="shared" si="4"/>
        <v>0.28125</v>
      </c>
      <c r="Q11" s="12">
        <v>6</v>
      </c>
      <c r="R11" s="12">
        <v>8</v>
      </c>
      <c r="S11" s="15">
        <f t="shared" si="5"/>
        <v>0.2857142857142857</v>
      </c>
      <c r="T11" s="15">
        <f t="shared" si="6"/>
        <v>0.38095238095238093</v>
      </c>
      <c r="U11" s="22">
        <v>7</v>
      </c>
      <c r="V11" s="22">
        <v>2</v>
      </c>
      <c r="W11" s="15">
        <f t="shared" si="7"/>
        <v>0.21875</v>
      </c>
      <c r="X11" s="15">
        <f t="shared" si="8"/>
        <v>6.25E-2</v>
      </c>
      <c r="Y11" s="15">
        <v>0.30769230769230771</v>
      </c>
      <c r="Z11">
        <v>3</v>
      </c>
      <c r="AA11">
        <v>1</v>
      </c>
      <c r="AB11" s="15">
        <v>5</v>
      </c>
      <c r="AC11" s="15">
        <v>3</v>
      </c>
      <c r="AD11">
        <v>72</v>
      </c>
      <c r="AE11">
        <v>40</v>
      </c>
      <c r="AF11" s="27">
        <v>11</v>
      </c>
      <c r="AG11">
        <v>13</v>
      </c>
    </row>
    <row r="12" spans="1:33" x14ac:dyDescent="0.2">
      <c r="A12" s="1">
        <v>19</v>
      </c>
      <c r="B12" s="1" t="s">
        <v>5</v>
      </c>
      <c r="C12" s="1" t="s">
        <v>5</v>
      </c>
      <c r="D12">
        <v>25</v>
      </c>
      <c r="E12" s="5">
        <v>12</v>
      </c>
      <c r="F12" s="5">
        <f t="shared" si="0"/>
        <v>37</v>
      </c>
      <c r="G12" s="26">
        <v>28</v>
      </c>
      <c r="H12" s="8">
        <v>8</v>
      </c>
      <c r="I12" s="6">
        <v>48</v>
      </c>
      <c r="J12">
        <f t="shared" si="1"/>
        <v>25.428571428571427</v>
      </c>
      <c r="K12" s="6">
        <f t="shared" si="2"/>
        <v>0.8928571428571429</v>
      </c>
      <c r="L12" s="9">
        <v>6</v>
      </c>
      <c r="M12" s="22">
        <v>17</v>
      </c>
      <c r="N12">
        <v>2</v>
      </c>
      <c r="O12" s="15">
        <f t="shared" si="3"/>
        <v>0.21428571428571427</v>
      </c>
      <c r="P12" s="15">
        <f t="shared" si="4"/>
        <v>0.35416666666666669</v>
      </c>
      <c r="Q12" s="12">
        <v>2</v>
      </c>
      <c r="R12" s="12">
        <v>4</v>
      </c>
      <c r="S12" s="15">
        <f t="shared" si="5"/>
        <v>7.1428571428571425E-2</v>
      </c>
      <c r="T12" s="15">
        <f t="shared" si="6"/>
        <v>0.14285714285714285</v>
      </c>
      <c r="U12" s="22">
        <v>12</v>
      </c>
      <c r="V12" s="22">
        <v>5</v>
      </c>
      <c r="W12" s="15">
        <f t="shared" si="7"/>
        <v>0.25</v>
      </c>
      <c r="X12" s="15">
        <f t="shared" si="8"/>
        <v>0.10416666666666667</v>
      </c>
      <c r="Y12" s="15">
        <v>0.25</v>
      </c>
      <c r="Z12">
        <v>2</v>
      </c>
      <c r="AA12">
        <v>0</v>
      </c>
      <c r="AB12" s="15">
        <v>5</v>
      </c>
      <c r="AC12" s="15">
        <v>3</v>
      </c>
      <c r="AD12">
        <v>121</v>
      </c>
      <c r="AE12">
        <v>58</v>
      </c>
      <c r="AF12" s="27">
        <v>19</v>
      </c>
      <c r="AG12">
        <v>8</v>
      </c>
    </row>
    <row r="13" spans="1:33" x14ac:dyDescent="0.2">
      <c r="A13" s="1">
        <v>20</v>
      </c>
      <c r="B13" s="1" t="s">
        <v>6</v>
      </c>
      <c r="C13" s="1" t="s">
        <v>4</v>
      </c>
      <c r="D13">
        <v>36</v>
      </c>
      <c r="E13" s="5">
        <v>21</v>
      </c>
      <c r="F13" s="5">
        <f t="shared" si="0"/>
        <v>57</v>
      </c>
      <c r="G13" s="6">
        <v>27</v>
      </c>
      <c r="H13" s="8">
        <v>11</v>
      </c>
      <c r="I13" s="6">
        <v>38</v>
      </c>
      <c r="J13">
        <f t="shared" si="1"/>
        <v>36.777777777777779</v>
      </c>
      <c r="K13" s="6">
        <f t="shared" si="2"/>
        <v>1.3333333333333333</v>
      </c>
      <c r="L13" s="9">
        <v>29</v>
      </c>
      <c r="M13" s="22">
        <v>2</v>
      </c>
      <c r="N13">
        <v>5</v>
      </c>
      <c r="O13" s="15">
        <f t="shared" si="3"/>
        <v>1.0740740740740742</v>
      </c>
      <c r="P13" s="15">
        <f t="shared" si="4"/>
        <v>5.2631578947368418E-2</v>
      </c>
      <c r="Q13" s="12">
        <v>9</v>
      </c>
      <c r="R13" s="12">
        <v>20</v>
      </c>
      <c r="S13" s="15">
        <f t="shared" si="5"/>
        <v>0.33333333333333331</v>
      </c>
      <c r="T13" s="15">
        <f t="shared" si="6"/>
        <v>0.7407407407407407</v>
      </c>
      <c r="U13" s="22">
        <v>1</v>
      </c>
      <c r="V13" s="22">
        <v>1</v>
      </c>
      <c r="W13" s="15">
        <f t="shared" si="7"/>
        <v>2.6315789473684209E-2</v>
      </c>
      <c r="X13" s="15">
        <f t="shared" si="8"/>
        <v>2.6315789473684209E-2</v>
      </c>
      <c r="Y13" s="15">
        <v>0.45454545454545453</v>
      </c>
      <c r="Z13">
        <v>2</v>
      </c>
      <c r="AA13">
        <v>3</v>
      </c>
      <c r="AB13" s="15">
        <v>17</v>
      </c>
      <c r="AC13" s="15">
        <v>1</v>
      </c>
      <c r="AD13">
        <v>91</v>
      </c>
      <c r="AE13">
        <v>43</v>
      </c>
      <c r="AF13" s="27">
        <v>14</v>
      </c>
      <c r="AG13">
        <v>11</v>
      </c>
    </row>
    <row r="14" spans="1:33" x14ac:dyDescent="0.2">
      <c r="A14" s="1">
        <v>21</v>
      </c>
      <c r="B14" s="1" t="s">
        <v>3</v>
      </c>
      <c r="C14" s="1" t="s">
        <v>4</v>
      </c>
      <c r="D14">
        <v>31</v>
      </c>
      <c r="E14" s="5">
        <v>6</v>
      </c>
      <c r="F14" s="5">
        <f t="shared" si="0"/>
        <v>37</v>
      </c>
      <c r="G14" s="6">
        <v>37</v>
      </c>
      <c r="H14" s="8">
        <v>10</v>
      </c>
      <c r="I14" s="6">
        <v>47</v>
      </c>
      <c r="J14">
        <f t="shared" si="1"/>
        <v>31.162162162162161</v>
      </c>
      <c r="K14" s="6">
        <f t="shared" si="2"/>
        <v>0.83783783783783783</v>
      </c>
      <c r="L14" s="9">
        <v>26</v>
      </c>
      <c r="M14" s="22">
        <v>2</v>
      </c>
      <c r="N14">
        <v>3</v>
      </c>
      <c r="O14" s="15">
        <f t="shared" si="3"/>
        <v>0.70270270270270274</v>
      </c>
      <c r="P14" s="15">
        <f t="shared" si="4"/>
        <v>4.2553191489361701E-2</v>
      </c>
      <c r="Q14" s="12">
        <v>14</v>
      </c>
      <c r="R14" s="12">
        <v>12</v>
      </c>
      <c r="S14" s="15">
        <f t="shared" si="5"/>
        <v>0.3783783783783784</v>
      </c>
      <c r="T14" s="15">
        <f t="shared" si="6"/>
        <v>0.32432432432432434</v>
      </c>
      <c r="U14" s="22">
        <v>1</v>
      </c>
      <c r="V14" s="22">
        <v>1</v>
      </c>
      <c r="W14" s="15">
        <f t="shared" si="7"/>
        <v>2.1276595744680851E-2</v>
      </c>
      <c r="X14" s="15">
        <f t="shared" si="8"/>
        <v>2.1276595744680851E-2</v>
      </c>
      <c r="Y14" s="15">
        <v>0.3</v>
      </c>
      <c r="Z14">
        <v>3</v>
      </c>
      <c r="AA14">
        <v>0</v>
      </c>
      <c r="AB14" s="15">
        <v>5</v>
      </c>
      <c r="AC14" s="15">
        <v>0</v>
      </c>
      <c r="AD14">
        <v>73</v>
      </c>
      <c r="AE14">
        <v>69</v>
      </c>
      <c r="AF14" s="27">
        <v>11</v>
      </c>
      <c r="AG14">
        <v>10</v>
      </c>
    </row>
    <row r="15" spans="1:33" x14ac:dyDescent="0.2">
      <c r="A15" s="1">
        <v>23</v>
      </c>
      <c r="B15" s="1" t="s">
        <v>7</v>
      </c>
      <c r="C15" s="1" t="s">
        <v>7</v>
      </c>
      <c r="D15">
        <v>29</v>
      </c>
      <c r="E15" s="5">
        <v>8</v>
      </c>
      <c r="F15" s="5">
        <f t="shared" si="0"/>
        <v>37</v>
      </c>
      <c r="G15" s="6">
        <v>57</v>
      </c>
      <c r="H15" s="8">
        <v>8</v>
      </c>
      <c r="I15" s="6">
        <v>64</v>
      </c>
      <c r="J15">
        <f t="shared" si="1"/>
        <v>29.140350877192983</v>
      </c>
      <c r="K15" s="6">
        <f t="shared" si="2"/>
        <v>0.50877192982456143</v>
      </c>
      <c r="L15" s="9">
        <v>17</v>
      </c>
      <c r="M15" s="22">
        <v>12</v>
      </c>
      <c r="N15">
        <v>0</v>
      </c>
      <c r="O15" s="15">
        <f t="shared" si="3"/>
        <v>0.2982456140350877</v>
      </c>
      <c r="P15" s="15">
        <f t="shared" si="4"/>
        <v>0.1875</v>
      </c>
      <c r="Q15" s="12">
        <v>13</v>
      </c>
      <c r="R15" s="12">
        <v>4</v>
      </c>
      <c r="S15" s="15">
        <f t="shared" si="5"/>
        <v>0.22807017543859648</v>
      </c>
      <c r="T15" s="15">
        <f t="shared" si="6"/>
        <v>7.0175438596491224E-2</v>
      </c>
      <c r="U15" s="22">
        <v>10</v>
      </c>
      <c r="V15" s="22">
        <v>2</v>
      </c>
      <c r="W15" s="15">
        <f t="shared" si="7"/>
        <v>0.15625</v>
      </c>
      <c r="X15" s="15">
        <f t="shared" si="8"/>
        <v>3.125E-2</v>
      </c>
      <c r="Y15" s="15">
        <v>0</v>
      </c>
      <c r="Z15">
        <v>0</v>
      </c>
      <c r="AA15">
        <v>0</v>
      </c>
      <c r="AB15" s="15">
        <v>2</v>
      </c>
      <c r="AC15" s="15">
        <v>0</v>
      </c>
      <c r="AD15">
        <v>102</v>
      </c>
      <c r="AE15">
        <v>55</v>
      </c>
      <c r="AF15" s="27">
        <v>14</v>
      </c>
      <c r="AG15">
        <v>8</v>
      </c>
    </row>
    <row r="16" spans="1:33" x14ac:dyDescent="0.2">
      <c r="A16" s="1">
        <v>26</v>
      </c>
      <c r="B16" s="1" t="s">
        <v>3</v>
      </c>
      <c r="C16" s="1" t="s">
        <v>4</v>
      </c>
      <c r="D16">
        <v>9</v>
      </c>
      <c r="E16" s="5">
        <v>2</v>
      </c>
      <c r="F16" s="5">
        <f t="shared" si="0"/>
        <v>11</v>
      </c>
      <c r="G16" s="6">
        <v>16</v>
      </c>
      <c r="H16" s="8">
        <v>1</v>
      </c>
      <c r="I16" s="6">
        <v>17</v>
      </c>
      <c r="J16">
        <f t="shared" si="1"/>
        <v>9.125</v>
      </c>
      <c r="K16" s="6">
        <f t="shared" si="2"/>
        <v>0.5625</v>
      </c>
      <c r="L16" s="9">
        <v>8</v>
      </c>
      <c r="M16" s="22">
        <v>1</v>
      </c>
      <c r="N16">
        <v>0</v>
      </c>
      <c r="O16" s="15">
        <f t="shared" si="3"/>
        <v>0.5</v>
      </c>
      <c r="P16" s="15">
        <f t="shared" si="4"/>
        <v>5.8823529411764705E-2</v>
      </c>
      <c r="Q16" s="12">
        <v>5</v>
      </c>
      <c r="R16" s="12">
        <v>3</v>
      </c>
      <c r="S16" s="15">
        <f t="shared" si="5"/>
        <v>0.3125</v>
      </c>
      <c r="T16" s="15">
        <f t="shared" si="6"/>
        <v>0.1875</v>
      </c>
      <c r="U16" s="22">
        <v>1</v>
      </c>
      <c r="V16" s="22">
        <v>0</v>
      </c>
      <c r="W16" s="15">
        <f t="shared" si="7"/>
        <v>5.8823529411764705E-2</v>
      </c>
      <c r="X16" s="15">
        <f t="shared" si="8"/>
        <v>0</v>
      </c>
      <c r="Y16" s="15">
        <v>0</v>
      </c>
      <c r="Z16">
        <v>0</v>
      </c>
      <c r="AA16">
        <v>0</v>
      </c>
      <c r="AB16" s="15">
        <v>1</v>
      </c>
      <c r="AC16" s="15">
        <v>0</v>
      </c>
      <c r="AD16">
        <v>70</v>
      </c>
      <c r="AE16">
        <v>26</v>
      </c>
      <c r="AF16" s="27">
        <v>12</v>
      </c>
      <c r="AG16">
        <v>1</v>
      </c>
    </row>
    <row r="17" spans="1:33" x14ac:dyDescent="0.2">
      <c r="A17" s="1">
        <v>27</v>
      </c>
      <c r="B17" s="1" t="s">
        <v>5</v>
      </c>
      <c r="C17" s="1" t="s">
        <v>5</v>
      </c>
      <c r="D17">
        <v>5</v>
      </c>
      <c r="E17" s="5">
        <v>9</v>
      </c>
      <c r="F17" s="5">
        <f t="shared" si="0"/>
        <v>14</v>
      </c>
      <c r="G17" s="6">
        <v>12</v>
      </c>
      <c r="H17" s="8">
        <v>4</v>
      </c>
      <c r="I17" s="6">
        <v>15</v>
      </c>
      <c r="J17">
        <f t="shared" si="1"/>
        <v>5.75</v>
      </c>
      <c r="K17" s="6">
        <f t="shared" si="2"/>
        <v>0.41666666666666669</v>
      </c>
      <c r="L17" s="9">
        <v>1</v>
      </c>
      <c r="M17" s="22">
        <v>3</v>
      </c>
      <c r="N17">
        <v>1</v>
      </c>
      <c r="O17" s="15">
        <f t="shared" si="3"/>
        <v>8.3333333333333329E-2</v>
      </c>
      <c r="P17" s="15">
        <f t="shared" si="4"/>
        <v>0.2</v>
      </c>
      <c r="Q17" s="12">
        <v>0</v>
      </c>
      <c r="R17" s="12">
        <v>1</v>
      </c>
      <c r="S17" s="15">
        <f t="shared" si="5"/>
        <v>0</v>
      </c>
      <c r="T17" s="15">
        <f t="shared" si="6"/>
        <v>8.3333333333333329E-2</v>
      </c>
      <c r="U17" s="22">
        <v>3</v>
      </c>
      <c r="V17" s="22">
        <v>0</v>
      </c>
      <c r="W17" s="15">
        <f t="shared" si="7"/>
        <v>0.2</v>
      </c>
      <c r="X17" s="15">
        <f t="shared" si="8"/>
        <v>0</v>
      </c>
      <c r="Y17" s="15">
        <v>0.25</v>
      </c>
      <c r="Z17">
        <v>1</v>
      </c>
      <c r="AA17">
        <v>0</v>
      </c>
      <c r="AB17" s="15">
        <v>9</v>
      </c>
      <c r="AC17" s="15">
        <v>0</v>
      </c>
      <c r="AD17">
        <v>104</v>
      </c>
      <c r="AE17">
        <v>26</v>
      </c>
      <c r="AF17" s="27">
        <v>15</v>
      </c>
      <c r="AG17">
        <v>4</v>
      </c>
    </row>
    <row r="18" spans="1:33" x14ac:dyDescent="0.2">
      <c r="A18" s="1">
        <v>29</v>
      </c>
      <c r="B18" s="1" t="s">
        <v>6</v>
      </c>
      <c r="C18" s="1" t="s">
        <v>4</v>
      </c>
      <c r="D18">
        <v>21</v>
      </c>
      <c r="E18" s="5">
        <v>0</v>
      </c>
      <c r="F18" s="5">
        <f t="shared" si="0"/>
        <v>21</v>
      </c>
      <c r="G18" s="6">
        <v>13</v>
      </c>
      <c r="H18" s="8">
        <v>4</v>
      </c>
      <c r="I18" s="6">
        <v>17</v>
      </c>
      <c r="J18">
        <f t="shared" si="1"/>
        <v>21</v>
      </c>
      <c r="K18" s="6">
        <f t="shared" si="2"/>
        <v>1.6153846153846154</v>
      </c>
      <c r="L18" s="9">
        <v>11</v>
      </c>
      <c r="M18" s="22">
        <v>7</v>
      </c>
      <c r="N18">
        <v>3</v>
      </c>
      <c r="O18" s="15">
        <f t="shared" si="3"/>
        <v>0.84615384615384615</v>
      </c>
      <c r="P18" s="15">
        <f t="shared" si="4"/>
        <v>0.41176470588235292</v>
      </c>
      <c r="Q18" s="12">
        <v>1</v>
      </c>
      <c r="R18" s="12">
        <v>10</v>
      </c>
      <c r="S18" s="15">
        <f t="shared" si="5"/>
        <v>7.6923076923076927E-2</v>
      </c>
      <c r="T18" s="15">
        <f t="shared" si="6"/>
        <v>0.76923076923076927</v>
      </c>
      <c r="U18" s="22">
        <v>6</v>
      </c>
      <c r="V18" s="22">
        <v>1</v>
      </c>
      <c r="W18" s="15">
        <f t="shared" si="7"/>
        <v>0.35294117647058826</v>
      </c>
      <c r="X18" s="15">
        <f t="shared" si="8"/>
        <v>5.8823529411764705E-2</v>
      </c>
      <c r="Y18" s="15">
        <v>0.75</v>
      </c>
      <c r="Z18">
        <v>2</v>
      </c>
      <c r="AA18">
        <v>0</v>
      </c>
      <c r="AB18" s="15">
        <v>0</v>
      </c>
      <c r="AC18" s="15">
        <v>0</v>
      </c>
      <c r="AD18">
        <v>85</v>
      </c>
      <c r="AE18">
        <v>45</v>
      </c>
      <c r="AF18" s="27">
        <v>11</v>
      </c>
      <c r="AG18">
        <v>4</v>
      </c>
    </row>
    <row r="19" spans="1:33" x14ac:dyDescent="0.2">
      <c r="A19" s="1">
        <v>31</v>
      </c>
      <c r="B19" s="1" t="s">
        <v>3</v>
      </c>
      <c r="C19" s="1" t="s">
        <v>4</v>
      </c>
      <c r="D19">
        <v>41</v>
      </c>
      <c r="E19" s="5">
        <v>25</v>
      </c>
      <c r="F19" s="5">
        <f t="shared" si="0"/>
        <v>66</v>
      </c>
      <c r="G19" s="6">
        <v>27</v>
      </c>
      <c r="H19" s="8">
        <v>12</v>
      </c>
      <c r="I19" s="6">
        <v>37</v>
      </c>
      <c r="J19">
        <f t="shared" si="1"/>
        <v>41.925925925925924</v>
      </c>
      <c r="K19" s="6">
        <f t="shared" si="2"/>
        <v>1.5185185185185186</v>
      </c>
      <c r="L19" s="9">
        <v>30</v>
      </c>
      <c r="M19" s="22">
        <v>8</v>
      </c>
      <c r="N19">
        <v>3</v>
      </c>
      <c r="O19" s="15">
        <f t="shared" si="3"/>
        <v>1.1111111111111112</v>
      </c>
      <c r="P19" s="15">
        <f t="shared" si="4"/>
        <v>0.21621621621621623</v>
      </c>
      <c r="Q19" s="12">
        <v>7</v>
      </c>
      <c r="R19" s="12">
        <v>23</v>
      </c>
      <c r="S19" s="15">
        <f t="shared" si="5"/>
        <v>0.25925925925925924</v>
      </c>
      <c r="T19" s="15">
        <f t="shared" si="6"/>
        <v>0.85185185185185186</v>
      </c>
      <c r="U19" s="22">
        <v>7</v>
      </c>
      <c r="V19" s="22">
        <v>1</v>
      </c>
      <c r="W19" s="15">
        <f t="shared" si="7"/>
        <v>0.1891891891891892</v>
      </c>
      <c r="X19" s="15">
        <f t="shared" si="8"/>
        <v>2.7027027027027029E-2</v>
      </c>
      <c r="Y19" s="15">
        <v>0.25</v>
      </c>
      <c r="Z19">
        <v>2</v>
      </c>
      <c r="AA19">
        <v>1</v>
      </c>
      <c r="AB19" s="15">
        <v>19</v>
      </c>
      <c r="AC19" s="15">
        <v>2</v>
      </c>
      <c r="AD19">
        <v>97</v>
      </c>
      <c r="AE19">
        <v>35</v>
      </c>
      <c r="AF19" s="27">
        <v>18</v>
      </c>
      <c r="AG19">
        <v>12</v>
      </c>
    </row>
    <row r="20" spans="1:33" x14ac:dyDescent="0.2">
      <c r="A20" s="1">
        <v>33</v>
      </c>
      <c r="B20" s="1" t="s">
        <v>7</v>
      </c>
      <c r="C20" s="1" t="s">
        <v>7</v>
      </c>
      <c r="D20">
        <v>14</v>
      </c>
      <c r="E20" s="5">
        <v>4</v>
      </c>
      <c r="F20" s="5">
        <f t="shared" si="0"/>
        <v>18</v>
      </c>
      <c r="G20" s="6">
        <v>14</v>
      </c>
      <c r="H20" s="8">
        <v>12</v>
      </c>
      <c r="I20" s="6">
        <v>26</v>
      </c>
      <c r="J20">
        <f t="shared" si="1"/>
        <v>14.285714285714286</v>
      </c>
      <c r="K20" s="6">
        <f t="shared" si="2"/>
        <v>1</v>
      </c>
      <c r="L20" s="9">
        <v>11</v>
      </c>
      <c r="M20" s="22">
        <v>3</v>
      </c>
      <c r="N20">
        <v>0</v>
      </c>
      <c r="O20" s="15">
        <f t="shared" si="3"/>
        <v>0.7857142857142857</v>
      </c>
      <c r="P20" s="15">
        <f t="shared" si="4"/>
        <v>0.11538461538461539</v>
      </c>
      <c r="Q20" s="12">
        <v>8</v>
      </c>
      <c r="R20" s="12">
        <v>3</v>
      </c>
      <c r="S20" s="15">
        <f t="shared" si="5"/>
        <v>0.5714285714285714</v>
      </c>
      <c r="T20" s="15">
        <f t="shared" si="6"/>
        <v>0.21428571428571427</v>
      </c>
      <c r="U20" s="22">
        <v>2</v>
      </c>
      <c r="V20" s="22">
        <v>1</v>
      </c>
      <c r="W20" s="15">
        <f t="shared" si="7"/>
        <v>7.6923076923076927E-2</v>
      </c>
      <c r="X20" s="15">
        <f t="shared" si="8"/>
        <v>3.8461538461538464E-2</v>
      </c>
      <c r="Y20" s="15">
        <v>0</v>
      </c>
      <c r="Z20">
        <v>0</v>
      </c>
      <c r="AA20">
        <v>0</v>
      </c>
      <c r="AB20" s="15">
        <v>2</v>
      </c>
      <c r="AC20" s="15">
        <v>0</v>
      </c>
      <c r="AD20">
        <v>105</v>
      </c>
      <c r="AE20">
        <v>56</v>
      </c>
      <c r="AF20" s="27">
        <v>16</v>
      </c>
      <c r="AG20">
        <v>12</v>
      </c>
    </row>
    <row r="21" spans="1:33" x14ac:dyDescent="0.2">
      <c r="A21" s="1">
        <v>34</v>
      </c>
      <c r="B21" s="1" t="s">
        <v>7</v>
      </c>
      <c r="C21" s="1" t="s">
        <v>7</v>
      </c>
      <c r="D21">
        <v>26</v>
      </c>
      <c r="E21" s="5">
        <v>3</v>
      </c>
      <c r="F21" s="5">
        <f t="shared" si="0"/>
        <v>29</v>
      </c>
      <c r="G21" s="6">
        <v>19</v>
      </c>
      <c r="H21" s="8">
        <v>8</v>
      </c>
      <c r="I21" s="6">
        <v>27</v>
      </c>
      <c r="J21">
        <f t="shared" si="1"/>
        <v>26.157894736842106</v>
      </c>
      <c r="K21" s="6">
        <f t="shared" si="2"/>
        <v>1.368421052631579</v>
      </c>
      <c r="L21" s="9">
        <v>16</v>
      </c>
      <c r="M21" s="22">
        <v>8</v>
      </c>
      <c r="N21">
        <v>2</v>
      </c>
      <c r="O21" s="15">
        <f t="shared" si="3"/>
        <v>0.84210526315789469</v>
      </c>
      <c r="P21" s="15">
        <f t="shared" si="4"/>
        <v>0.29629629629629628</v>
      </c>
      <c r="Q21" s="12">
        <v>7</v>
      </c>
      <c r="R21" s="12">
        <v>9</v>
      </c>
      <c r="S21" s="15">
        <f t="shared" si="5"/>
        <v>0.36842105263157893</v>
      </c>
      <c r="T21" s="15">
        <f t="shared" si="6"/>
        <v>0.47368421052631576</v>
      </c>
      <c r="U21" s="22">
        <v>8</v>
      </c>
      <c r="V21" s="22">
        <v>0</v>
      </c>
      <c r="W21" s="15">
        <f t="shared" si="7"/>
        <v>0.29629629629629628</v>
      </c>
      <c r="X21" s="15">
        <f t="shared" si="8"/>
        <v>0</v>
      </c>
      <c r="Y21" s="15">
        <v>0.25</v>
      </c>
      <c r="Z21">
        <v>1</v>
      </c>
      <c r="AA21">
        <v>1</v>
      </c>
      <c r="AB21" s="15">
        <v>2</v>
      </c>
      <c r="AC21" s="15">
        <v>0</v>
      </c>
      <c r="AD21">
        <v>93</v>
      </c>
      <c r="AE21">
        <v>26</v>
      </c>
      <c r="AF21" s="27">
        <v>17</v>
      </c>
      <c r="AG21">
        <v>8</v>
      </c>
    </row>
    <row r="22" spans="1:33" x14ac:dyDescent="0.2">
      <c r="A22" s="1">
        <v>35</v>
      </c>
      <c r="B22" s="1" t="s">
        <v>3</v>
      </c>
      <c r="C22" s="1" t="s">
        <v>4</v>
      </c>
      <c r="D22">
        <v>4</v>
      </c>
      <c r="E22" s="5">
        <v>0</v>
      </c>
      <c r="F22" s="5">
        <f t="shared" si="0"/>
        <v>4</v>
      </c>
      <c r="G22" s="6">
        <v>19</v>
      </c>
      <c r="H22" s="8">
        <v>7</v>
      </c>
      <c r="I22" s="6">
        <v>26</v>
      </c>
      <c r="J22">
        <f t="shared" si="1"/>
        <v>4</v>
      </c>
      <c r="K22" s="6">
        <f t="shared" si="2"/>
        <v>0.21052631578947367</v>
      </c>
      <c r="L22" s="9">
        <v>2</v>
      </c>
      <c r="M22" s="22">
        <v>2</v>
      </c>
      <c r="N22">
        <v>0</v>
      </c>
      <c r="O22" s="15">
        <f t="shared" si="3"/>
        <v>0.10526315789473684</v>
      </c>
      <c r="P22" s="15">
        <f t="shared" si="4"/>
        <v>7.6923076923076927E-2</v>
      </c>
      <c r="Q22" s="12">
        <v>0</v>
      </c>
      <c r="R22" s="12">
        <v>2</v>
      </c>
      <c r="S22" s="15">
        <f t="shared" si="5"/>
        <v>0</v>
      </c>
      <c r="T22" s="15">
        <f t="shared" si="6"/>
        <v>0.10526315789473684</v>
      </c>
      <c r="U22" s="22">
        <v>2</v>
      </c>
      <c r="V22" s="22">
        <v>0</v>
      </c>
      <c r="W22" s="15">
        <f t="shared" si="7"/>
        <v>7.6923076923076927E-2</v>
      </c>
      <c r="X22" s="15">
        <f t="shared" si="8"/>
        <v>0</v>
      </c>
      <c r="Y22" s="15">
        <v>0</v>
      </c>
      <c r="Z22">
        <v>0</v>
      </c>
      <c r="AA22">
        <v>0</v>
      </c>
      <c r="AB22" s="15">
        <v>0</v>
      </c>
      <c r="AC22" s="15">
        <v>0</v>
      </c>
      <c r="AD22">
        <v>90</v>
      </c>
      <c r="AE22">
        <v>66</v>
      </c>
      <c r="AF22" s="27">
        <v>12</v>
      </c>
      <c r="AG22">
        <v>7</v>
      </c>
    </row>
    <row r="23" spans="1:33" x14ac:dyDescent="0.2">
      <c r="A23" s="1">
        <v>37</v>
      </c>
      <c r="B23" s="1" t="s">
        <v>3</v>
      </c>
      <c r="C23" s="1" t="s">
        <v>4</v>
      </c>
      <c r="D23">
        <v>25</v>
      </c>
      <c r="E23" s="5">
        <v>0</v>
      </c>
      <c r="F23" s="5">
        <f t="shared" si="0"/>
        <v>25</v>
      </c>
      <c r="G23" s="6">
        <v>8</v>
      </c>
      <c r="H23" s="8">
        <v>2</v>
      </c>
      <c r="I23" s="6">
        <v>10</v>
      </c>
      <c r="J23">
        <f t="shared" si="1"/>
        <v>25</v>
      </c>
      <c r="K23" s="6">
        <f t="shared" si="2"/>
        <v>3.125</v>
      </c>
      <c r="L23" s="9">
        <v>11</v>
      </c>
      <c r="M23" s="22">
        <v>14</v>
      </c>
      <c r="N23">
        <v>0</v>
      </c>
      <c r="O23" s="15">
        <f t="shared" si="3"/>
        <v>1.375</v>
      </c>
      <c r="P23" s="15">
        <f t="shared" si="4"/>
        <v>1.4</v>
      </c>
      <c r="Q23" s="13">
        <v>3</v>
      </c>
      <c r="R23" s="13">
        <v>8</v>
      </c>
      <c r="S23" s="15">
        <f t="shared" si="5"/>
        <v>0.375</v>
      </c>
      <c r="T23" s="15">
        <f t="shared" si="6"/>
        <v>1</v>
      </c>
      <c r="U23" s="22">
        <v>11</v>
      </c>
      <c r="V23" s="22">
        <v>3</v>
      </c>
      <c r="W23" s="15">
        <f t="shared" si="7"/>
        <v>1.1000000000000001</v>
      </c>
      <c r="X23" s="15">
        <f t="shared" si="8"/>
        <v>0.3</v>
      </c>
      <c r="Y23" s="15">
        <v>0</v>
      </c>
      <c r="Z23">
        <v>0</v>
      </c>
      <c r="AA23">
        <v>0</v>
      </c>
      <c r="AB23" s="15">
        <v>0</v>
      </c>
      <c r="AC23" s="15">
        <v>0</v>
      </c>
      <c r="AD23">
        <v>75</v>
      </c>
      <c r="AE23">
        <v>52</v>
      </c>
      <c r="AF23" s="27">
        <v>11</v>
      </c>
      <c r="AG23">
        <v>2</v>
      </c>
    </row>
    <row r="24" spans="1:33" x14ac:dyDescent="0.2">
      <c r="A24" s="1">
        <v>39</v>
      </c>
      <c r="B24" s="1" t="s">
        <v>3</v>
      </c>
      <c r="C24" s="1" t="s">
        <v>4</v>
      </c>
      <c r="D24">
        <v>9</v>
      </c>
      <c r="E24" s="5">
        <v>2</v>
      </c>
      <c r="F24" s="5">
        <f t="shared" si="0"/>
        <v>11</v>
      </c>
      <c r="G24" s="6">
        <v>28</v>
      </c>
      <c r="H24" s="8">
        <v>1</v>
      </c>
      <c r="I24" s="6">
        <v>29</v>
      </c>
      <c r="J24">
        <f t="shared" si="1"/>
        <v>9.0714285714285712</v>
      </c>
      <c r="K24" s="6">
        <f t="shared" si="2"/>
        <v>0.32142857142857145</v>
      </c>
      <c r="L24" s="9">
        <v>5</v>
      </c>
      <c r="M24" s="22">
        <v>4</v>
      </c>
      <c r="N24">
        <v>0</v>
      </c>
      <c r="O24" s="15">
        <f t="shared" si="3"/>
        <v>0.17857142857142858</v>
      </c>
      <c r="P24" s="15">
        <f t="shared" si="4"/>
        <v>0.13793103448275862</v>
      </c>
      <c r="Q24" s="13">
        <v>0</v>
      </c>
      <c r="R24" s="13">
        <v>5</v>
      </c>
      <c r="S24" s="15">
        <f t="shared" si="5"/>
        <v>0</v>
      </c>
      <c r="T24" s="15">
        <f t="shared" si="6"/>
        <v>0.17857142857142858</v>
      </c>
      <c r="U24" s="22">
        <v>2</v>
      </c>
      <c r="V24" s="22">
        <v>2</v>
      </c>
      <c r="W24" s="15">
        <f t="shared" si="7"/>
        <v>6.8965517241379309E-2</v>
      </c>
      <c r="X24" s="15">
        <f t="shared" si="8"/>
        <v>6.8965517241379309E-2</v>
      </c>
      <c r="Y24" s="15">
        <v>0</v>
      </c>
      <c r="Z24">
        <v>0</v>
      </c>
      <c r="AA24">
        <v>0</v>
      </c>
      <c r="AB24" s="15">
        <v>2</v>
      </c>
      <c r="AC24" s="15">
        <v>0</v>
      </c>
      <c r="AD24">
        <v>61</v>
      </c>
      <c r="AE24">
        <v>60</v>
      </c>
      <c r="AF24" s="27">
        <v>18</v>
      </c>
      <c r="AG24">
        <v>1</v>
      </c>
    </row>
    <row r="25" spans="1:33" x14ac:dyDescent="0.2">
      <c r="A25" s="1">
        <v>40</v>
      </c>
      <c r="B25" s="1" t="s">
        <v>6</v>
      </c>
      <c r="C25" s="1" t="s">
        <v>4</v>
      </c>
      <c r="D25">
        <v>15</v>
      </c>
      <c r="E25" s="5">
        <v>5</v>
      </c>
      <c r="F25" s="5">
        <f t="shared" si="0"/>
        <v>20</v>
      </c>
      <c r="G25" s="6">
        <v>11</v>
      </c>
      <c r="H25" s="8">
        <v>6</v>
      </c>
      <c r="I25" s="6">
        <v>17</v>
      </c>
      <c r="J25">
        <f t="shared" si="1"/>
        <v>15.454545454545455</v>
      </c>
      <c r="K25" s="6">
        <f t="shared" si="2"/>
        <v>1.3636363636363635</v>
      </c>
      <c r="L25" s="9">
        <v>6</v>
      </c>
      <c r="M25" s="22">
        <v>5</v>
      </c>
      <c r="N25">
        <v>4</v>
      </c>
      <c r="O25" s="15">
        <f t="shared" si="3"/>
        <v>0.54545454545454541</v>
      </c>
      <c r="P25" s="15">
        <f t="shared" si="4"/>
        <v>0.29411764705882354</v>
      </c>
      <c r="Q25" s="12">
        <v>6</v>
      </c>
      <c r="R25" s="12">
        <v>0</v>
      </c>
      <c r="S25" s="15">
        <f t="shared" si="5"/>
        <v>0.54545454545454541</v>
      </c>
      <c r="T25" s="15">
        <f t="shared" si="6"/>
        <v>0</v>
      </c>
      <c r="U25" s="22">
        <v>2</v>
      </c>
      <c r="V25" s="22">
        <v>3</v>
      </c>
      <c r="W25" s="15">
        <f t="shared" si="7"/>
        <v>0.11764705882352941</v>
      </c>
      <c r="X25" s="15">
        <f t="shared" si="8"/>
        <v>0.17647058823529413</v>
      </c>
      <c r="Y25" s="15">
        <v>0.66666666666666663</v>
      </c>
      <c r="Z25">
        <v>3</v>
      </c>
      <c r="AA25">
        <v>1</v>
      </c>
      <c r="AB25" s="15">
        <v>3</v>
      </c>
      <c r="AC25" s="15">
        <v>2</v>
      </c>
      <c r="AD25">
        <v>108</v>
      </c>
      <c r="AE25">
        <v>45</v>
      </c>
      <c r="AF25" s="27">
        <v>20</v>
      </c>
      <c r="AG25">
        <v>6</v>
      </c>
    </row>
    <row r="26" spans="1:33" x14ac:dyDescent="0.2">
      <c r="A26" s="1">
        <v>41</v>
      </c>
      <c r="B26" s="1" t="s">
        <v>3</v>
      </c>
      <c r="C26" s="1" t="s">
        <v>4</v>
      </c>
      <c r="D26">
        <v>32</v>
      </c>
      <c r="E26" s="5">
        <v>9</v>
      </c>
      <c r="F26" s="5">
        <f t="shared" si="0"/>
        <v>41</v>
      </c>
      <c r="G26" s="6">
        <v>24</v>
      </c>
      <c r="H26" s="8">
        <v>9</v>
      </c>
      <c r="I26" s="6">
        <v>33</v>
      </c>
      <c r="J26">
        <f t="shared" si="1"/>
        <v>32.375</v>
      </c>
      <c r="K26" s="6">
        <f t="shared" si="2"/>
        <v>1.3333333333333333</v>
      </c>
      <c r="L26" s="9">
        <v>20</v>
      </c>
      <c r="M26" s="22">
        <v>6</v>
      </c>
      <c r="N26">
        <v>6</v>
      </c>
      <c r="O26" s="15">
        <f t="shared" si="3"/>
        <v>0.83333333333333337</v>
      </c>
      <c r="P26" s="15">
        <f t="shared" si="4"/>
        <v>0.18181818181818182</v>
      </c>
      <c r="Q26" s="12">
        <v>10</v>
      </c>
      <c r="R26" s="12">
        <v>10</v>
      </c>
      <c r="S26" s="15">
        <f t="shared" si="5"/>
        <v>0.41666666666666669</v>
      </c>
      <c r="T26" s="15">
        <f t="shared" si="6"/>
        <v>0.41666666666666669</v>
      </c>
      <c r="U26" s="22">
        <v>5</v>
      </c>
      <c r="V26" s="22">
        <v>1</v>
      </c>
      <c r="W26" s="15">
        <f t="shared" si="7"/>
        <v>0.15151515151515152</v>
      </c>
      <c r="X26" s="15">
        <f t="shared" si="8"/>
        <v>3.0303030303030304E-2</v>
      </c>
      <c r="Y26" s="15">
        <v>0.66666666666666663</v>
      </c>
      <c r="Z26">
        <v>4</v>
      </c>
      <c r="AA26">
        <v>2</v>
      </c>
      <c r="AB26" s="15">
        <v>9</v>
      </c>
      <c r="AC26" s="15">
        <v>0</v>
      </c>
      <c r="AD26">
        <v>56</v>
      </c>
      <c r="AE26">
        <v>39</v>
      </c>
      <c r="AF26" s="27">
        <v>15.5</v>
      </c>
      <c r="AG26">
        <v>9</v>
      </c>
    </row>
    <row r="27" spans="1:33" x14ac:dyDescent="0.2">
      <c r="A27" s="1">
        <v>42</v>
      </c>
      <c r="B27" s="1" t="s">
        <v>6</v>
      </c>
      <c r="C27" s="1" t="s">
        <v>4</v>
      </c>
      <c r="D27">
        <v>13</v>
      </c>
      <c r="E27" s="5">
        <v>0</v>
      </c>
      <c r="F27" s="5">
        <f t="shared" si="0"/>
        <v>13</v>
      </c>
      <c r="G27" s="6">
        <v>15</v>
      </c>
      <c r="H27" s="8">
        <v>5</v>
      </c>
      <c r="I27" s="6">
        <v>20</v>
      </c>
      <c r="J27">
        <f t="shared" si="1"/>
        <v>13</v>
      </c>
      <c r="K27" s="6">
        <f t="shared" si="2"/>
        <v>0.8666666666666667</v>
      </c>
      <c r="L27" s="9">
        <v>7</v>
      </c>
      <c r="M27" s="22">
        <v>4</v>
      </c>
      <c r="N27">
        <v>2</v>
      </c>
      <c r="O27" s="15">
        <f t="shared" si="3"/>
        <v>0.46666666666666667</v>
      </c>
      <c r="P27" s="15">
        <f t="shared" si="4"/>
        <v>0.2</v>
      </c>
      <c r="Q27" s="13">
        <v>3</v>
      </c>
      <c r="R27" s="13">
        <v>4</v>
      </c>
      <c r="S27" s="15">
        <f t="shared" si="5"/>
        <v>0.2</v>
      </c>
      <c r="T27" s="15">
        <f t="shared" si="6"/>
        <v>0.26666666666666666</v>
      </c>
      <c r="U27" s="22">
        <v>3</v>
      </c>
      <c r="V27" s="22">
        <v>1</v>
      </c>
      <c r="W27" s="15">
        <f t="shared" si="7"/>
        <v>0.15</v>
      </c>
      <c r="X27" s="15">
        <f t="shared" si="8"/>
        <v>0.05</v>
      </c>
      <c r="Y27" s="15">
        <v>0.4</v>
      </c>
      <c r="Z27">
        <v>1</v>
      </c>
      <c r="AA27">
        <v>1</v>
      </c>
      <c r="AB27" s="15">
        <v>0</v>
      </c>
      <c r="AC27" s="15">
        <v>0</v>
      </c>
      <c r="AD27">
        <v>69</v>
      </c>
      <c r="AE27">
        <v>46</v>
      </c>
      <c r="AF27" s="27">
        <v>10</v>
      </c>
      <c r="AG27">
        <v>5</v>
      </c>
    </row>
    <row r="28" spans="1:33" x14ac:dyDescent="0.2">
      <c r="A28" s="1">
        <v>43</v>
      </c>
      <c r="B28" s="1" t="s">
        <v>7</v>
      </c>
      <c r="C28" s="1" t="s">
        <v>7</v>
      </c>
      <c r="D28">
        <v>43</v>
      </c>
      <c r="E28" s="5">
        <v>14</v>
      </c>
      <c r="F28" s="5">
        <f t="shared" si="0"/>
        <v>57</v>
      </c>
      <c r="G28" s="6">
        <v>30</v>
      </c>
      <c r="H28" s="8">
        <v>22</v>
      </c>
      <c r="I28" s="6">
        <v>21</v>
      </c>
      <c r="J28">
        <f t="shared" si="1"/>
        <v>43.466666666666669</v>
      </c>
      <c r="K28" s="6">
        <f t="shared" si="2"/>
        <v>1.4333333333333333</v>
      </c>
      <c r="L28" s="9">
        <v>14</v>
      </c>
      <c r="M28" s="22">
        <v>21</v>
      </c>
      <c r="N28">
        <v>8</v>
      </c>
      <c r="O28" s="15">
        <f t="shared" si="3"/>
        <v>0.46666666666666667</v>
      </c>
      <c r="P28" s="15">
        <f t="shared" si="4"/>
        <v>1</v>
      </c>
      <c r="Q28" s="12">
        <v>11</v>
      </c>
      <c r="R28" s="12">
        <v>3</v>
      </c>
      <c r="S28" s="15">
        <f t="shared" si="5"/>
        <v>0.36666666666666664</v>
      </c>
      <c r="T28" s="15">
        <f t="shared" si="6"/>
        <v>0.1</v>
      </c>
      <c r="U28" s="22">
        <v>21</v>
      </c>
      <c r="V28" s="22">
        <v>0</v>
      </c>
      <c r="W28" s="15">
        <f t="shared" si="7"/>
        <v>1</v>
      </c>
      <c r="X28" s="15">
        <f t="shared" si="8"/>
        <v>0</v>
      </c>
      <c r="Y28" s="15">
        <v>0.36363636363636365</v>
      </c>
      <c r="Z28">
        <v>6</v>
      </c>
      <c r="AA28">
        <v>2</v>
      </c>
      <c r="AB28" s="15">
        <v>7</v>
      </c>
      <c r="AC28" s="15">
        <v>1</v>
      </c>
      <c r="AD28">
        <v>113</v>
      </c>
      <c r="AE28">
        <v>39</v>
      </c>
      <c r="AF28" s="27">
        <v>21</v>
      </c>
      <c r="AG28">
        <v>22</v>
      </c>
    </row>
    <row r="29" spans="1:33" x14ac:dyDescent="0.2">
      <c r="A29" s="1">
        <v>44</v>
      </c>
      <c r="B29" s="1" t="s">
        <v>5</v>
      </c>
      <c r="C29" s="1" t="s">
        <v>5</v>
      </c>
      <c r="D29">
        <v>18</v>
      </c>
      <c r="E29" s="5">
        <v>14</v>
      </c>
      <c r="F29" s="5">
        <f t="shared" si="0"/>
        <v>32</v>
      </c>
      <c r="G29" s="6">
        <v>16</v>
      </c>
      <c r="H29" s="8">
        <v>10</v>
      </c>
      <c r="I29" s="6">
        <v>21</v>
      </c>
      <c r="J29">
        <f t="shared" si="1"/>
        <v>18.875</v>
      </c>
      <c r="K29" s="6">
        <f t="shared" si="2"/>
        <v>1.125</v>
      </c>
      <c r="L29" s="9">
        <v>7</v>
      </c>
      <c r="M29" s="22">
        <v>7</v>
      </c>
      <c r="N29">
        <v>4</v>
      </c>
      <c r="O29" s="15">
        <f t="shared" si="3"/>
        <v>0.4375</v>
      </c>
      <c r="P29" s="15">
        <f t="shared" si="4"/>
        <v>0.33333333333333331</v>
      </c>
      <c r="Q29" s="12">
        <v>4</v>
      </c>
      <c r="R29" s="12">
        <v>3</v>
      </c>
      <c r="S29" s="15">
        <f t="shared" si="5"/>
        <v>0.25</v>
      </c>
      <c r="T29" s="15">
        <f t="shared" si="6"/>
        <v>0.1875</v>
      </c>
      <c r="U29" s="22">
        <v>4</v>
      </c>
      <c r="V29" s="22">
        <v>3</v>
      </c>
      <c r="W29" s="15">
        <f t="shared" si="7"/>
        <v>0.19047619047619047</v>
      </c>
      <c r="X29" s="15">
        <f t="shared" si="8"/>
        <v>0.14285714285714285</v>
      </c>
      <c r="Y29" s="15">
        <v>0.4</v>
      </c>
      <c r="Z29">
        <v>3</v>
      </c>
      <c r="AA29">
        <v>1</v>
      </c>
      <c r="AB29" s="15">
        <v>5</v>
      </c>
      <c r="AC29" s="15">
        <v>1</v>
      </c>
      <c r="AD29">
        <v>115</v>
      </c>
      <c r="AE29">
        <v>69</v>
      </c>
      <c r="AF29" s="27">
        <v>17</v>
      </c>
      <c r="AG29">
        <v>10</v>
      </c>
    </row>
    <row r="30" spans="1:33" x14ac:dyDescent="0.2">
      <c r="A30" s="1">
        <v>45</v>
      </c>
      <c r="B30" s="1" t="s">
        <v>5</v>
      </c>
      <c r="C30" s="1" t="s">
        <v>5</v>
      </c>
      <c r="D30">
        <v>23</v>
      </c>
      <c r="E30" s="5">
        <v>7</v>
      </c>
      <c r="F30" s="5">
        <f t="shared" si="0"/>
        <v>30</v>
      </c>
      <c r="G30" s="6">
        <v>32</v>
      </c>
      <c r="H30" s="8">
        <v>17</v>
      </c>
      <c r="I30" s="6">
        <v>49</v>
      </c>
      <c r="J30">
        <f t="shared" si="1"/>
        <v>23.21875</v>
      </c>
      <c r="K30" s="6">
        <f t="shared" si="2"/>
        <v>0.71875</v>
      </c>
      <c r="L30" s="9">
        <v>13</v>
      </c>
      <c r="M30" s="22">
        <v>7</v>
      </c>
      <c r="N30">
        <v>3</v>
      </c>
      <c r="O30" s="15">
        <f t="shared" si="3"/>
        <v>0.40625</v>
      </c>
      <c r="P30" s="15">
        <f t="shared" si="4"/>
        <v>0.14285714285714285</v>
      </c>
      <c r="Q30" s="12">
        <v>11</v>
      </c>
      <c r="R30" s="12">
        <v>2</v>
      </c>
      <c r="S30" s="15">
        <f t="shared" si="5"/>
        <v>0.34375</v>
      </c>
      <c r="T30" s="15">
        <f t="shared" si="6"/>
        <v>6.25E-2</v>
      </c>
      <c r="U30" s="22">
        <v>6</v>
      </c>
      <c r="V30" s="22">
        <v>1</v>
      </c>
      <c r="W30" s="15">
        <f t="shared" si="7"/>
        <v>0.12244897959183673</v>
      </c>
      <c r="X30" s="15">
        <f t="shared" si="8"/>
        <v>2.0408163265306121E-2</v>
      </c>
      <c r="Y30" s="15">
        <v>0.17647058823529413</v>
      </c>
      <c r="Z30">
        <v>3</v>
      </c>
      <c r="AA30">
        <v>0</v>
      </c>
      <c r="AB30" s="15">
        <v>5</v>
      </c>
      <c r="AC30" s="15">
        <v>1</v>
      </c>
      <c r="AD30">
        <v>99</v>
      </c>
      <c r="AE30">
        <v>59</v>
      </c>
      <c r="AF30" s="27">
        <v>15</v>
      </c>
      <c r="AG30">
        <v>17</v>
      </c>
    </row>
    <row r="31" spans="1:33" x14ac:dyDescent="0.2">
      <c r="A31" s="1">
        <v>47</v>
      </c>
      <c r="B31" s="1" t="s">
        <v>7</v>
      </c>
      <c r="C31" s="1" t="s">
        <v>7</v>
      </c>
      <c r="D31">
        <v>12</v>
      </c>
      <c r="E31" s="5">
        <v>0</v>
      </c>
      <c r="F31" s="5">
        <f t="shared" si="0"/>
        <v>12</v>
      </c>
      <c r="G31" s="6">
        <v>22</v>
      </c>
      <c r="H31" s="8">
        <v>7</v>
      </c>
      <c r="I31" s="6">
        <v>29</v>
      </c>
      <c r="J31">
        <f t="shared" si="1"/>
        <v>12</v>
      </c>
      <c r="K31" s="6">
        <f t="shared" si="2"/>
        <v>0.54545454545454541</v>
      </c>
      <c r="L31" s="9">
        <v>9</v>
      </c>
      <c r="M31" s="22">
        <v>2</v>
      </c>
      <c r="N31">
        <v>1</v>
      </c>
      <c r="O31" s="15">
        <f t="shared" si="3"/>
        <v>0.40909090909090912</v>
      </c>
      <c r="P31" s="15">
        <f t="shared" si="4"/>
        <v>6.8965517241379309E-2</v>
      </c>
      <c r="Q31" s="12">
        <v>8</v>
      </c>
      <c r="R31" s="12">
        <v>1</v>
      </c>
      <c r="S31" s="15">
        <f t="shared" si="5"/>
        <v>0.36363636363636365</v>
      </c>
      <c r="T31" s="15">
        <f t="shared" si="6"/>
        <v>4.5454545454545456E-2</v>
      </c>
      <c r="U31" s="22">
        <v>2</v>
      </c>
      <c r="V31" s="22">
        <v>0</v>
      </c>
      <c r="W31" s="15">
        <f t="shared" si="7"/>
        <v>6.8965517241379309E-2</v>
      </c>
      <c r="X31" s="15">
        <f t="shared" si="8"/>
        <v>0</v>
      </c>
      <c r="Y31" s="15">
        <v>0.14285714285714285</v>
      </c>
      <c r="Z31">
        <v>1</v>
      </c>
      <c r="AA31">
        <v>0</v>
      </c>
      <c r="AB31" s="15">
        <v>0</v>
      </c>
      <c r="AC31" s="15">
        <v>0</v>
      </c>
      <c r="AD31">
        <v>102</v>
      </c>
      <c r="AE31">
        <v>35</v>
      </c>
      <c r="AF31" s="27">
        <v>18</v>
      </c>
      <c r="AG31">
        <v>7</v>
      </c>
    </row>
    <row r="32" spans="1:33" x14ac:dyDescent="0.2">
      <c r="A32" s="1">
        <v>50</v>
      </c>
      <c r="B32" s="1" t="s">
        <v>3</v>
      </c>
      <c r="C32" s="1" t="s">
        <v>4</v>
      </c>
      <c r="D32">
        <v>31</v>
      </c>
      <c r="E32" s="5">
        <v>12</v>
      </c>
      <c r="F32" s="5">
        <f t="shared" si="0"/>
        <v>43</v>
      </c>
      <c r="G32" s="6">
        <v>15</v>
      </c>
      <c r="H32" s="8">
        <v>5</v>
      </c>
      <c r="I32" s="6">
        <v>20</v>
      </c>
      <c r="J32">
        <f t="shared" si="1"/>
        <v>31.8</v>
      </c>
      <c r="K32" s="6">
        <f t="shared" si="2"/>
        <v>2.0666666666666669</v>
      </c>
      <c r="L32" s="9">
        <v>17</v>
      </c>
      <c r="M32" s="19">
        <v>12</v>
      </c>
      <c r="N32">
        <v>2</v>
      </c>
      <c r="O32" s="15">
        <f t="shared" si="3"/>
        <v>1.1333333333333333</v>
      </c>
      <c r="P32" s="15">
        <f t="shared" si="4"/>
        <v>0.6</v>
      </c>
      <c r="Q32" s="12">
        <v>2</v>
      </c>
      <c r="R32" s="12">
        <v>15</v>
      </c>
      <c r="S32" s="15">
        <f t="shared" si="5"/>
        <v>0.13333333333333333</v>
      </c>
      <c r="T32" s="15">
        <f t="shared" si="6"/>
        <v>1</v>
      </c>
      <c r="U32" s="20">
        <v>6</v>
      </c>
      <c r="V32" s="21">
        <v>6</v>
      </c>
      <c r="W32" s="15">
        <f t="shared" si="7"/>
        <v>0.3</v>
      </c>
      <c r="X32" s="15">
        <f t="shared" si="8"/>
        <v>0.3</v>
      </c>
      <c r="Y32" s="15">
        <v>0.4</v>
      </c>
      <c r="Z32">
        <v>2</v>
      </c>
      <c r="AA32">
        <v>0</v>
      </c>
      <c r="AB32" s="15">
        <v>9</v>
      </c>
      <c r="AC32" s="15">
        <v>1</v>
      </c>
      <c r="AD32">
        <v>74</v>
      </c>
      <c r="AE32">
        <v>63</v>
      </c>
      <c r="AF32" s="27">
        <v>19</v>
      </c>
      <c r="AG32">
        <v>5</v>
      </c>
    </row>
    <row r="33" spans="1:33" x14ac:dyDescent="0.2">
      <c r="A33" s="1">
        <v>51</v>
      </c>
      <c r="B33" s="1" t="s">
        <v>5</v>
      </c>
      <c r="C33" s="1" t="s">
        <v>5</v>
      </c>
      <c r="D33">
        <v>14</v>
      </c>
      <c r="E33" s="5">
        <v>5</v>
      </c>
      <c r="F33" s="5">
        <f t="shared" si="0"/>
        <v>19</v>
      </c>
      <c r="G33" s="6">
        <v>16</v>
      </c>
      <c r="H33" s="8">
        <v>5</v>
      </c>
      <c r="I33" s="6">
        <v>21</v>
      </c>
      <c r="J33">
        <f t="shared" si="1"/>
        <v>14.3125</v>
      </c>
      <c r="K33" s="6">
        <f t="shared" si="2"/>
        <v>0.875</v>
      </c>
      <c r="L33" s="9">
        <v>9</v>
      </c>
      <c r="M33" s="22">
        <v>3</v>
      </c>
      <c r="N33">
        <v>2</v>
      </c>
      <c r="O33" s="15">
        <f t="shared" si="3"/>
        <v>0.5625</v>
      </c>
      <c r="P33" s="15">
        <f t="shared" si="4"/>
        <v>0.14285714285714285</v>
      </c>
      <c r="Q33" s="12">
        <v>9</v>
      </c>
      <c r="R33" s="12">
        <v>0</v>
      </c>
      <c r="S33" s="15">
        <f t="shared" si="5"/>
        <v>0.5625</v>
      </c>
      <c r="T33" s="15">
        <f t="shared" si="6"/>
        <v>0</v>
      </c>
      <c r="U33" s="22">
        <v>3</v>
      </c>
      <c r="V33" s="22">
        <v>0</v>
      </c>
      <c r="W33" s="15">
        <f t="shared" si="7"/>
        <v>0.14285714285714285</v>
      </c>
      <c r="X33" s="15">
        <f t="shared" si="8"/>
        <v>0</v>
      </c>
      <c r="Y33" s="15">
        <v>0.4</v>
      </c>
      <c r="Z33">
        <v>2</v>
      </c>
      <c r="AA33">
        <v>0</v>
      </c>
      <c r="AB33" s="15">
        <v>5</v>
      </c>
      <c r="AC33" s="15">
        <v>0</v>
      </c>
      <c r="AD33">
        <v>94</v>
      </c>
      <c r="AE33">
        <v>36</v>
      </c>
      <c r="AF33" s="27">
        <v>12</v>
      </c>
      <c r="AG33">
        <v>5</v>
      </c>
    </row>
    <row r="34" spans="1:33" x14ac:dyDescent="0.2">
      <c r="A34" s="1">
        <v>52</v>
      </c>
      <c r="B34" s="1" t="s">
        <v>6</v>
      </c>
      <c r="C34" s="1" t="s">
        <v>4</v>
      </c>
      <c r="D34">
        <v>23</v>
      </c>
      <c r="E34" s="5">
        <v>0</v>
      </c>
      <c r="F34" s="5">
        <f t="shared" ref="F34:F61" si="9">D34+E34</f>
        <v>23</v>
      </c>
      <c r="G34" s="6">
        <v>10</v>
      </c>
      <c r="H34" s="8">
        <v>5</v>
      </c>
      <c r="I34" s="6">
        <v>15</v>
      </c>
      <c r="J34">
        <f t="shared" ref="J34:J61" si="10">D34+E34/G34</f>
        <v>23</v>
      </c>
      <c r="K34" s="6">
        <f t="shared" ref="K34:K61" si="11">D34/G34</f>
        <v>2.2999999999999998</v>
      </c>
      <c r="L34" s="9">
        <v>13</v>
      </c>
      <c r="M34" s="22">
        <v>7</v>
      </c>
      <c r="N34">
        <v>3</v>
      </c>
      <c r="O34" s="15">
        <f t="shared" ref="O34:O61" si="12">L34/G34</f>
        <v>1.3</v>
      </c>
      <c r="P34" s="15">
        <f t="shared" ref="P34:P61" si="13">M34/I34</f>
        <v>0.46666666666666667</v>
      </c>
      <c r="Q34" s="12">
        <v>5</v>
      </c>
      <c r="R34" s="12">
        <v>8</v>
      </c>
      <c r="S34" s="15">
        <f t="shared" ref="S34:S61" si="14">Q34/G34</f>
        <v>0.5</v>
      </c>
      <c r="T34" s="15">
        <f t="shared" ref="T34:T61" si="15">R34/G34</f>
        <v>0.8</v>
      </c>
      <c r="U34" s="22">
        <v>5</v>
      </c>
      <c r="V34" s="22">
        <v>2</v>
      </c>
      <c r="W34" s="15">
        <f t="shared" ref="W34:W61" si="16" xml:space="preserve"> U34/I34</f>
        <v>0.33333333333333331</v>
      </c>
      <c r="X34" s="15">
        <f t="shared" ref="X34:X61" si="17">V34/I34</f>
        <v>0.13333333333333333</v>
      </c>
      <c r="Y34" s="15">
        <v>0.6</v>
      </c>
      <c r="Z34">
        <v>1</v>
      </c>
      <c r="AA34">
        <v>2</v>
      </c>
      <c r="AB34" s="15">
        <v>0</v>
      </c>
      <c r="AC34" s="15">
        <v>0</v>
      </c>
      <c r="AD34">
        <v>52</v>
      </c>
      <c r="AE34">
        <v>32</v>
      </c>
      <c r="AF34" s="27">
        <v>11</v>
      </c>
      <c r="AG34">
        <v>5</v>
      </c>
    </row>
    <row r="35" spans="1:33" x14ac:dyDescent="0.2">
      <c r="A35" s="1">
        <v>54</v>
      </c>
      <c r="B35" s="1" t="s">
        <v>7</v>
      </c>
      <c r="C35" s="1" t="s">
        <v>7</v>
      </c>
      <c r="D35">
        <v>18</v>
      </c>
      <c r="E35" s="5">
        <v>0</v>
      </c>
      <c r="F35" s="5">
        <f t="shared" si="9"/>
        <v>18</v>
      </c>
      <c r="G35" s="6">
        <v>30</v>
      </c>
      <c r="H35" s="8">
        <v>7</v>
      </c>
      <c r="I35" s="6">
        <v>37</v>
      </c>
      <c r="J35">
        <f t="shared" si="10"/>
        <v>18</v>
      </c>
      <c r="K35" s="6">
        <f t="shared" si="11"/>
        <v>0.6</v>
      </c>
      <c r="L35" s="9">
        <v>8</v>
      </c>
      <c r="M35" s="22">
        <v>9</v>
      </c>
      <c r="N35">
        <v>1</v>
      </c>
      <c r="O35" s="15">
        <f t="shared" si="12"/>
        <v>0.26666666666666666</v>
      </c>
      <c r="P35" s="15">
        <f t="shared" si="13"/>
        <v>0.24324324324324326</v>
      </c>
      <c r="Q35" s="12">
        <v>6</v>
      </c>
      <c r="R35" s="12">
        <v>2</v>
      </c>
      <c r="S35" s="15">
        <f t="shared" si="14"/>
        <v>0.2</v>
      </c>
      <c r="T35" s="15">
        <f t="shared" si="15"/>
        <v>6.6666666666666666E-2</v>
      </c>
      <c r="U35" s="22">
        <v>9</v>
      </c>
      <c r="V35" s="22">
        <v>0</v>
      </c>
      <c r="W35" s="15">
        <f t="shared" si="16"/>
        <v>0.24324324324324326</v>
      </c>
      <c r="X35" s="15">
        <f t="shared" si="17"/>
        <v>0</v>
      </c>
      <c r="Y35" s="15">
        <v>0.14285714285714285</v>
      </c>
      <c r="Z35">
        <v>1</v>
      </c>
      <c r="AA35">
        <v>0</v>
      </c>
      <c r="AB35" s="15">
        <v>0</v>
      </c>
      <c r="AC35" s="15">
        <v>0</v>
      </c>
      <c r="AD35">
        <v>91</v>
      </c>
      <c r="AE35">
        <v>62</v>
      </c>
      <c r="AF35" s="27">
        <v>11</v>
      </c>
      <c r="AG35">
        <v>7</v>
      </c>
    </row>
    <row r="36" spans="1:33" x14ac:dyDescent="0.2">
      <c r="A36" s="1">
        <v>55</v>
      </c>
      <c r="B36" s="1" t="s">
        <v>3</v>
      </c>
      <c r="C36" s="1" t="s">
        <v>4</v>
      </c>
      <c r="D36">
        <v>17</v>
      </c>
      <c r="E36" s="5">
        <v>4</v>
      </c>
      <c r="F36" s="5">
        <f t="shared" si="9"/>
        <v>21</v>
      </c>
      <c r="G36" s="6">
        <v>21</v>
      </c>
      <c r="H36" s="8">
        <v>3</v>
      </c>
      <c r="I36" s="6">
        <v>24</v>
      </c>
      <c r="J36">
        <f t="shared" si="10"/>
        <v>17.19047619047619</v>
      </c>
      <c r="K36" s="6">
        <f t="shared" si="11"/>
        <v>0.80952380952380953</v>
      </c>
      <c r="L36" s="9">
        <v>10</v>
      </c>
      <c r="M36" s="22">
        <v>6</v>
      </c>
      <c r="N36">
        <v>1</v>
      </c>
      <c r="O36" s="15">
        <f t="shared" si="12"/>
        <v>0.47619047619047616</v>
      </c>
      <c r="P36" s="15">
        <f t="shared" si="13"/>
        <v>0.25</v>
      </c>
      <c r="Q36" s="12">
        <v>5</v>
      </c>
      <c r="R36" s="12">
        <v>5</v>
      </c>
      <c r="S36" s="15">
        <f t="shared" si="14"/>
        <v>0.23809523809523808</v>
      </c>
      <c r="T36" s="15">
        <f t="shared" si="15"/>
        <v>0.23809523809523808</v>
      </c>
      <c r="U36" s="22">
        <v>5</v>
      </c>
      <c r="V36" s="22">
        <v>1</v>
      </c>
      <c r="W36" s="15">
        <f t="shared" si="16"/>
        <v>0.20833333333333334</v>
      </c>
      <c r="X36" s="15">
        <f t="shared" si="17"/>
        <v>4.1666666666666664E-2</v>
      </c>
      <c r="Y36" s="15">
        <v>0.33333333333333331</v>
      </c>
      <c r="Z36">
        <v>0</v>
      </c>
      <c r="AA36">
        <v>0</v>
      </c>
      <c r="AB36" s="15">
        <v>4</v>
      </c>
      <c r="AC36" s="15">
        <v>0</v>
      </c>
      <c r="AD36">
        <v>81</v>
      </c>
      <c r="AE36">
        <v>40</v>
      </c>
      <c r="AF36" s="27">
        <v>11</v>
      </c>
      <c r="AG36">
        <v>3</v>
      </c>
    </row>
    <row r="37" spans="1:33" x14ac:dyDescent="0.2">
      <c r="A37" s="1">
        <v>56</v>
      </c>
      <c r="B37" s="1" t="s">
        <v>7</v>
      </c>
      <c r="C37" s="1" t="s">
        <v>7</v>
      </c>
      <c r="D37">
        <v>20</v>
      </c>
      <c r="E37" s="5">
        <v>4</v>
      </c>
      <c r="F37" s="5">
        <f t="shared" si="9"/>
        <v>24</v>
      </c>
      <c r="G37" s="6">
        <v>23</v>
      </c>
      <c r="H37" s="8">
        <v>7</v>
      </c>
      <c r="I37" s="6">
        <v>29</v>
      </c>
      <c r="J37">
        <f t="shared" si="10"/>
        <v>20.173913043478262</v>
      </c>
      <c r="K37" s="6">
        <f t="shared" si="11"/>
        <v>0.86956521739130432</v>
      </c>
      <c r="L37" s="9">
        <v>13</v>
      </c>
      <c r="M37" s="22">
        <v>4</v>
      </c>
      <c r="N37">
        <v>3</v>
      </c>
      <c r="O37" s="15">
        <f t="shared" si="12"/>
        <v>0.56521739130434778</v>
      </c>
      <c r="P37" s="15">
        <f t="shared" si="13"/>
        <v>0.13793103448275862</v>
      </c>
      <c r="Q37" s="12">
        <v>10</v>
      </c>
      <c r="R37" s="12">
        <v>3</v>
      </c>
      <c r="S37" s="15">
        <f t="shared" si="14"/>
        <v>0.43478260869565216</v>
      </c>
      <c r="T37" s="15">
        <f t="shared" si="15"/>
        <v>0.13043478260869565</v>
      </c>
      <c r="U37" s="22">
        <v>4</v>
      </c>
      <c r="V37" s="22">
        <v>0</v>
      </c>
      <c r="W37" s="15">
        <f t="shared" si="16"/>
        <v>0.13793103448275862</v>
      </c>
      <c r="X37" s="15">
        <f t="shared" si="17"/>
        <v>0</v>
      </c>
      <c r="Y37" s="15">
        <v>0.42857142857142855</v>
      </c>
      <c r="Z37">
        <v>2</v>
      </c>
      <c r="AA37">
        <v>1</v>
      </c>
      <c r="AB37" s="15">
        <v>3</v>
      </c>
      <c r="AC37" s="15">
        <v>1</v>
      </c>
      <c r="AD37">
        <v>119</v>
      </c>
      <c r="AE37">
        <v>47</v>
      </c>
      <c r="AF37" s="27">
        <v>14</v>
      </c>
      <c r="AG37">
        <v>7</v>
      </c>
    </row>
    <row r="38" spans="1:33" x14ac:dyDescent="0.2">
      <c r="A38" s="1">
        <v>59</v>
      </c>
      <c r="B38" s="1" t="s">
        <v>5</v>
      </c>
      <c r="C38" s="1" t="s">
        <v>5</v>
      </c>
      <c r="D38">
        <v>15</v>
      </c>
      <c r="E38" s="5">
        <v>1</v>
      </c>
      <c r="F38" s="5">
        <f t="shared" si="9"/>
        <v>16</v>
      </c>
      <c r="G38" s="26">
        <v>15</v>
      </c>
      <c r="H38" s="8">
        <v>9</v>
      </c>
      <c r="I38" s="6">
        <v>26</v>
      </c>
      <c r="J38">
        <f t="shared" si="10"/>
        <v>15.066666666666666</v>
      </c>
      <c r="K38" s="6">
        <f t="shared" si="11"/>
        <v>1</v>
      </c>
      <c r="L38" s="9">
        <v>8</v>
      </c>
      <c r="M38" s="22">
        <v>4</v>
      </c>
      <c r="N38">
        <v>3</v>
      </c>
      <c r="O38" s="15">
        <f t="shared" si="12"/>
        <v>0.53333333333333333</v>
      </c>
      <c r="P38" s="15">
        <f t="shared" si="13"/>
        <v>0.15384615384615385</v>
      </c>
      <c r="Q38" s="12">
        <v>6</v>
      </c>
      <c r="R38" s="12">
        <v>2</v>
      </c>
      <c r="S38" s="15">
        <f t="shared" si="14"/>
        <v>0.4</v>
      </c>
      <c r="T38" s="15">
        <f t="shared" si="15"/>
        <v>0.13333333333333333</v>
      </c>
      <c r="U38" s="22">
        <v>3</v>
      </c>
      <c r="V38" s="22">
        <v>1</v>
      </c>
      <c r="W38" s="15">
        <f t="shared" si="16"/>
        <v>0.11538461538461539</v>
      </c>
      <c r="X38" s="15">
        <f t="shared" si="17"/>
        <v>3.8461538461538464E-2</v>
      </c>
      <c r="Y38" s="15">
        <v>0.33333333333333331</v>
      </c>
      <c r="Z38">
        <v>3</v>
      </c>
      <c r="AA38">
        <v>0</v>
      </c>
      <c r="AB38" s="15">
        <v>1</v>
      </c>
      <c r="AC38" s="15">
        <v>0</v>
      </c>
      <c r="AD38">
        <v>105</v>
      </c>
      <c r="AE38">
        <v>29</v>
      </c>
      <c r="AF38" s="27">
        <v>19</v>
      </c>
      <c r="AG38">
        <v>9</v>
      </c>
    </row>
    <row r="39" spans="1:33" x14ac:dyDescent="0.2">
      <c r="A39" s="1">
        <v>60</v>
      </c>
      <c r="B39" s="1" t="s">
        <v>6</v>
      </c>
      <c r="C39" s="1" t="s">
        <v>4</v>
      </c>
      <c r="D39">
        <v>24</v>
      </c>
      <c r="E39" s="5">
        <v>1</v>
      </c>
      <c r="F39" s="5">
        <f t="shared" si="9"/>
        <v>25</v>
      </c>
      <c r="G39" s="6">
        <v>12</v>
      </c>
      <c r="H39" s="8">
        <v>4</v>
      </c>
      <c r="I39" s="6">
        <v>15</v>
      </c>
      <c r="J39">
        <f t="shared" si="10"/>
        <v>24.083333333333332</v>
      </c>
      <c r="K39" s="6">
        <f t="shared" si="11"/>
        <v>2</v>
      </c>
      <c r="L39" s="9">
        <v>14</v>
      </c>
      <c r="M39" s="22">
        <v>9</v>
      </c>
      <c r="N39">
        <v>1</v>
      </c>
      <c r="O39" s="15">
        <f t="shared" si="12"/>
        <v>1.1666666666666667</v>
      </c>
      <c r="P39" s="15">
        <f t="shared" si="13"/>
        <v>0.6</v>
      </c>
      <c r="Q39" s="12">
        <v>5</v>
      </c>
      <c r="R39" s="12">
        <v>9</v>
      </c>
      <c r="S39" s="15">
        <f t="shared" si="14"/>
        <v>0.41666666666666669</v>
      </c>
      <c r="T39" s="15">
        <f t="shared" si="15"/>
        <v>0.75</v>
      </c>
      <c r="U39" s="22">
        <v>9</v>
      </c>
      <c r="V39" s="22">
        <v>0</v>
      </c>
      <c r="W39" s="15">
        <f t="shared" si="16"/>
        <v>0.6</v>
      </c>
      <c r="X39" s="15">
        <f t="shared" si="17"/>
        <v>0</v>
      </c>
      <c r="Y39" s="15">
        <v>0.25</v>
      </c>
      <c r="Z39">
        <v>0</v>
      </c>
      <c r="AA39">
        <v>1</v>
      </c>
      <c r="AB39" s="15">
        <v>0</v>
      </c>
      <c r="AC39" s="15">
        <v>0</v>
      </c>
      <c r="AD39">
        <v>79</v>
      </c>
      <c r="AE39">
        <v>32</v>
      </c>
      <c r="AF39" s="27">
        <v>10</v>
      </c>
      <c r="AG39">
        <v>4</v>
      </c>
    </row>
    <row r="40" spans="1:33" x14ac:dyDescent="0.2">
      <c r="A40" s="1">
        <v>61</v>
      </c>
      <c r="B40" s="1" t="s">
        <v>3</v>
      </c>
      <c r="C40" s="1" t="s">
        <v>4</v>
      </c>
      <c r="D40">
        <v>19</v>
      </c>
      <c r="E40" s="5">
        <v>9</v>
      </c>
      <c r="F40" s="5">
        <f t="shared" si="9"/>
        <v>28</v>
      </c>
      <c r="G40" s="6">
        <v>17</v>
      </c>
      <c r="H40" s="8">
        <v>3</v>
      </c>
      <c r="I40" s="6">
        <v>20</v>
      </c>
      <c r="J40">
        <f t="shared" si="10"/>
        <v>19.529411764705884</v>
      </c>
      <c r="K40" s="6">
        <f t="shared" si="11"/>
        <v>1.1176470588235294</v>
      </c>
      <c r="L40" s="9">
        <v>13</v>
      </c>
      <c r="M40" s="22">
        <v>5</v>
      </c>
      <c r="N40">
        <v>1</v>
      </c>
      <c r="O40" s="15">
        <f t="shared" si="12"/>
        <v>0.76470588235294112</v>
      </c>
      <c r="P40" s="15">
        <f t="shared" si="13"/>
        <v>0.25</v>
      </c>
      <c r="Q40" s="12">
        <v>10</v>
      </c>
      <c r="R40" s="12">
        <v>3</v>
      </c>
      <c r="S40" s="15">
        <f t="shared" si="14"/>
        <v>0.58823529411764708</v>
      </c>
      <c r="T40" s="15">
        <f t="shared" si="15"/>
        <v>0.17647058823529413</v>
      </c>
      <c r="U40" s="22">
        <v>5</v>
      </c>
      <c r="V40" s="22">
        <v>0</v>
      </c>
      <c r="W40" s="15">
        <f t="shared" si="16"/>
        <v>0.25</v>
      </c>
      <c r="X40" s="15">
        <f t="shared" si="17"/>
        <v>0</v>
      </c>
      <c r="Y40" s="15">
        <v>0.33333333333333331</v>
      </c>
      <c r="Z40">
        <v>1</v>
      </c>
      <c r="AA40">
        <v>0</v>
      </c>
      <c r="AB40" s="15">
        <v>7</v>
      </c>
      <c r="AC40" s="15">
        <v>0</v>
      </c>
      <c r="AD40">
        <v>112</v>
      </c>
      <c r="AE40">
        <v>37</v>
      </c>
      <c r="AF40" s="27">
        <v>17</v>
      </c>
      <c r="AG40">
        <v>3</v>
      </c>
    </row>
    <row r="41" spans="1:33" x14ac:dyDescent="0.2">
      <c r="A41" s="1">
        <v>62</v>
      </c>
      <c r="B41" s="1" t="s">
        <v>6</v>
      </c>
      <c r="C41" s="1" t="s">
        <v>4</v>
      </c>
      <c r="D41">
        <v>39</v>
      </c>
      <c r="E41" s="5">
        <v>8</v>
      </c>
      <c r="F41" s="5">
        <f t="shared" si="9"/>
        <v>47</v>
      </c>
      <c r="G41" s="6">
        <v>14</v>
      </c>
      <c r="H41" s="8">
        <v>8</v>
      </c>
      <c r="I41" s="6">
        <v>23</v>
      </c>
      <c r="J41">
        <f t="shared" si="10"/>
        <v>39.571428571428569</v>
      </c>
      <c r="K41" s="6">
        <f t="shared" si="11"/>
        <v>2.7857142857142856</v>
      </c>
      <c r="L41" s="9">
        <v>22</v>
      </c>
      <c r="M41" s="22">
        <v>12</v>
      </c>
      <c r="N41">
        <v>5</v>
      </c>
      <c r="O41" s="15">
        <f t="shared" si="12"/>
        <v>1.5714285714285714</v>
      </c>
      <c r="P41" s="15">
        <f t="shared" si="13"/>
        <v>0.52173913043478259</v>
      </c>
      <c r="Q41" s="12">
        <v>20</v>
      </c>
      <c r="R41" s="12">
        <v>2</v>
      </c>
      <c r="S41" s="15">
        <f t="shared" si="14"/>
        <v>1.4285714285714286</v>
      </c>
      <c r="T41" s="15">
        <f t="shared" si="15"/>
        <v>0.14285714285714285</v>
      </c>
      <c r="U41" s="22">
        <v>11</v>
      </c>
      <c r="V41" s="22">
        <v>1</v>
      </c>
      <c r="W41" s="15">
        <f t="shared" si="16"/>
        <v>0.47826086956521741</v>
      </c>
      <c r="X41" s="15">
        <f t="shared" si="17"/>
        <v>4.3478260869565216E-2</v>
      </c>
      <c r="Y41" s="15">
        <v>0.625</v>
      </c>
      <c r="Z41">
        <v>4</v>
      </c>
      <c r="AA41">
        <v>1</v>
      </c>
      <c r="AB41" s="15">
        <v>4</v>
      </c>
      <c r="AC41" s="15">
        <v>1</v>
      </c>
      <c r="AD41">
        <v>97</v>
      </c>
      <c r="AE41">
        <v>39</v>
      </c>
      <c r="AF41" s="27">
        <v>19</v>
      </c>
      <c r="AG41">
        <v>8</v>
      </c>
    </row>
    <row r="42" spans="1:33" x14ac:dyDescent="0.2">
      <c r="A42" s="1">
        <v>63</v>
      </c>
      <c r="B42" s="1" t="s">
        <v>3</v>
      </c>
      <c r="C42" s="1" t="s">
        <v>4</v>
      </c>
      <c r="D42">
        <v>34</v>
      </c>
      <c r="E42" s="5">
        <v>5</v>
      </c>
      <c r="F42" s="5">
        <f t="shared" si="9"/>
        <v>39</v>
      </c>
      <c r="G42" s="6">
        <v>34</v>
      </c>
      <c r="H42" s="8">
        <v>11</v>
      </c>
      <c r="I42" s="6">
        <v>46</v>
      </c>
      <c r="J42">
        <f t="shared" si="10"/>
        <v>34.147058823529413</v>
      </c>
      <c r="K42" s="6">
        <f t="shared" si="11"/>
        <v>1</v>
      </c>
      <c r="L42" s="9">
        <v>20</v>
      </c>
      <c r="M42" s="22">
        <v>8</v>
      </c>
      <c r="N42">
        <v>6</v>
      </c>
      <c r="O42" s="15">
        <f t="shared" si="12"/>
        <v>0.58823529411764708</v>
      </c>
      <c r="P42" s="15">
        <f t="shared" si="13"/>
        <v>0.17391304347826086</v>
      </c>
      <c r="Q42" s="12">
        <v>16</v>
      </c>
      <c r="R42" s="12">
        <v>4</v>
      </c>
      <c r="S42" s="15">
        <f t="shared" si="14"/>
        <v>0.47058823529411764</v>
      </c>
      <c r="T42" s="15">
        <f t="shared" si="15"/>
        <v>0.11764705882352941</v>
      </c>
      <c r="U42" s="22">
        <v>8</v>
      </c>
      <c r="V42" s="22">
        <v>0</v>
      </c>
      <c r="W42" s="15">
        <f t="shared" si="16"/>
        <v>0.17391304347826086</v>
      </c>
      <c r="X42" s="15">
        <f t="shared" si="17"/>
        <v>0</v>
      </c>
      <c r="Y42" s="15">
        <v>0.54545454545454541</v>
      </c>
      <c r="Z42">
        <v>5</v>
      </c>
      <c r="AA42">
        <v>1</v>
      </c>
      <c r="AB42" s="15">
        <v>1</v>
      </c>
      <c r="AC42" s="15">
        <v>2</v>
      </c>
      <c r="AD42">
        <v>86</v>
      </c>
      <c r="AE42">
        <v>67</v>
      </c>
      <c r="AF42" s="27">
        <v>19</v>
      </c>
      <c r="AG42">
        <v>11</v>
      </c>
    </row>
    <row r="43" spans="1:33" x14ac:dyDescent="0.2">
      <c r="A43" s="1">
        <v>66</v>
      </c>
      <c r="B43" s="1" t="s">
        <v>7</v>
      </c>
      <c r="C43" s="1" t="s">
        <v>7</v>
      </c>
      <c r="D43">
        <v>12</v>
      </c>
      <c r="E43" s="5">
        <v>0</v>
      </c>
      <c r="F43" s="5">
        <f t="shared" si="9"/>
        <v>12</v>
      </c>
      <c r="G43" s="6">
        <v>12</v>
      </c>
      <c r="H43" s="8">
        <v>9</v>
      </c>
      <c r="I43" s="6">
        <v>21</v>
      </c>
      <c r="J43">
        <f t="shared" si="10"/>
        <v>12</v>
      </c>
      <c r="K43" s="6">
        <f t="shared" si="11"/>
        <v>1</v>
      </c>
      <c r="L43" s="9">
        <v>4</v>
      </c>
      <c r="M43" s="22">
        <v>5</v>
      </c>
      <c r="N43">
        <v>3</v>
      </c>
      <c r="O43" s="15">
        <f t="shared" si="12"/>
        <v>0.33333333333333331</v>
      </c>
      <c r="P43" s="15">
        <f t="shared" si="13"/>
        <v>0.23809523809523808</v>
      </c>
      <c r="Q43" s="12">
        <v>4</v>
      </c>
      <c r="R43" s="12">
        <v>0</v>
      </c>
      <c r="S43" s="15">
        <f t="shared" si="14"/>
        <v>0.33333333333333331</v>
      </c>
      <c r="T43" s="15">
        <f t="shared" si="15"/>
        <v>0</v>
      </c>
      <c r="U43" s="22">
        <v>4</v>
      </c>
      <c r="V43" s="22">
        <v>1</v>
      </c>
      <c r="W43" s="15">
        <f t="shared" si="16"/>
        <v>0.19047619047619047</v>
      </c>
      <c r="X43" s="15">
        <f t="shared" si="17"/>
        <v>4.7619047619047616E-2</v>
      </c>
      <c r="Y43" s="15">
        <v>0.33333333333333331</v>
      </c>
      <c r="Z43">
        <v>3</v>
      </c>
      <c r="AA43">
        <v>0</v>
      </c>
      <c r="AB43" s="15">
        <v>0</v>
      </c>
      <c r="AC43" s="15">
        <v>0</v>
      </c>
      <c r="AD43">
        <v>106</v>
      </c>
      <c r="AE43">
        <v>46</v>
      </c>
      <c r="AF43" s="27">
        <v>14</v>
      </c>
      <c r="AG43">
        <v>9</v>
      </c>
    </row>
    <row r="44" spans="1:33" x14ac:dyDescent="0.2">
      <c r="A44" s="1">
        <v>67</v>
      </c>
      <c r="B44" s="1" t="s">
        <v>7</v>
      </c>
      <c r="C44" s="1" t="s">
        <v>7</v>
      </c>
      <c r="D44">
        <v>6</v>
      </c>
      <c r="E44" s="5">
        <v>6</v>
      </c>
      <c r="F44" s="5">
        <f t="shared" si="9"/>
        <v>12</v>
      </c>
      <c r="G44" s="6">
        <v>10</v>
      </c>
      <c r="H44" s="8">
        <v>8</v>
      </c>
      <c r="I44" s="6">
        <v>18</v>
      </c>
      <c r="J44">
        <f t="shared" si="10"/>
        <v>6.6</v>
      </c>
      <c r="K44" s="6">
        <f t="shared" si="11"/>
        <v>0.6</v>
      </c>
      <c r="L44" s="9">
        <v>2</v>
      </c>
      <c r="M44" s="22">
        <v>3</v>
      </c>
      <c r="N44">
        <v>1</v>
      </c>
      <c r="O44" s="15">
        <f t="shared" si="12"/>
        <v>0.2</v>
      </c>
      <c r="P44" s="15">
        <f t="shared" si="13"/>
        <v>0.16666666666666666</v>
      </c>
      <c r="Q44" s="12">
        <v>1</v>
      </c>
      <c r="R44" s="12">
        <v>1</v>
      </c>
      <c r="S44" s="15">
        <f t="shared" si="14"/>
        <v>0.1</v>
      </c>
      <c r="T44" s="15">
        <f t="shared" si="15"/>
        <v>0.1</v>
      </c>
      <c r="U44" s="22">
        <v>2</v>
      </c>
      <c r="V44" s="22">
        <v>1</v>
      </c>
      <c r="W44" s="15">
        <f t="shared" si="16"/>
        <v>0.1111111111111111</v>
      </c>
      <c r="X44" s="15">
        <f t="shared" si="17"/>
        <v>5.5555555555555552E-2</v>
      </c>
      <c r="Y44" s="15">
        <v>0.125</v>
      </c>
      <c r="Z44">
        <v>1</v>
      </c>
      <c r="AA44">
        <v>0</v>
      </c>
      <c r="AB44" s="15">
        <v>4</v>
      </c>
      <c r="AC44" s="15">
        <v>0</v>
      </c>
      <c r="AD44">
        <v>84</v>
      </c>
      <c r="AE44">
        <v>42</v>
      </c>
      <c r="AF44" s="27">
        <v>15</v>
      </c>
      <c r="AG44">
        <v>8</v>
      </c>
    </row>
    <row r="45" spans="1:33" x14ac:dyDescent="0.2">
      <c r="A45" s="1">
        <v>69</v>
      </c>
      <c r="B45" s="1" t="s">
        <v>5</v>
      </c>
      <c r="C45" s="1" t="s">
        <v>5</v>
      </c>
      <c r="D45">
        <v>50</v>
      </c>
      <c r="E45" s="5">
        <v>22</v>
      </c>
      <c r="F45" s="5">
        <f t="shared" si="9"/>
        <v>72</v>
      </c>
      <c r="G45" s="6">
        <v>33</v>
      </c>
      <c r="H45" s="8">
        <v>26</v>
      </c>
      <c r="I45" s="6">
        <v>53</v>
      </c>
      <c r="J45">
        <f t="shared" si="10"/>
        <v>50.666666666666664</v>
      </c>
      <c r="K45" s="6">
        <f t="shared" si="11"/>
        <v>1.5151515151515151</v>
      </c>
      <c r="L45" s="9">
        <v>29</v>
      </c>
      <c r="M45" s="22">
        <v>16</v>
      </c>
      <c r="N45">
        <v>5</v>
      </c>
      <c r="O45" s="15">
        <f t="shared" si="12"/>
        <v>0.87878787878787878</v>
      </c>
      <c r="P45" s="15">
        <f t="shared" si="13"/>
        <v>0.30188679245283018</v>
      </c>
      <c r="Q45" s="12">
        <v>23</v>
      </c>
      <c r="R45" s="12">
        <v>6</v>
      </c>
      <c r="S45" s="15">
        <f t="shared" si="14"/>
        <v>0.69696969696969702</v>
      </c>
      <c r="T45" s="15">
        <f t="shared" si="15"/>
        <v>0.18181818181818182</v>
      </c>
      <c r="U45" s="22">
        <v>15</v>
      </c>
      <c r="V45" s="22">
        <v>1</v>
      </c>
      <c r="W45" s="15">
        <f t="shared" si="16"/>
        <v>0.28301886792452829</v>
      </c>
      <c r="X45" s="15">
        <f t="shared" si="17"/>
        <v>1.8867924528301886E-2</v>
      </c>
      <c r="Y45" s="15">
        <v>0.19230769230769232</v>
      </c>
      <c r="Z45">
        <v>5</v>
      </c>
      <c r="AA45">
        <v>0</v>
      </c>
      <c r="AB45" s="15">
        <v>16</v>
      </c>
      <c r="AC45" s="15">
        <v>0</v>
      </c>
      <c r="AD45">
        <v>111</v>
      </c>
      <c r="AE45">
        <v>43</v>
      </c>
      <c r="AF45" s="27">
        <v>24</v>
      </c>
      <c r="AG45">
        <v>26</v>
      </c>
    </row>
    <row r="46" spans="1:33" x14ac:dyDescent="0.2">
      <c r="A46" s="1">
        <v>70</v>
      </c>
      <c r="B46" s="1" t="s">
        <v>6</v>
      </c>
      <c r="C46" s="1" t="s">
        <v>4</v>
      </c>
      <c r="D46">
        <v>18</v>
      </c>
      <c r="E46" s="5">
        <v>9</v>
      </c>
      <c r="F46" s="5">
        <f t="shared" si="9"/>
        <v>27</v>
      </c>
      <c r="G46" s="6">
        <v>15</v>
      </c>
      <c r="H46" s="8">
        <v>9</v>
      </c>
      <c r="I46" s="6">
        <v>24</v>
      </c>
      <c r="J46">
        <f t="shared" si="10"/>
        <v>18.600000000000001</v>
      </c>
      <c r="K46" s="6">
        <f t="shared" si="11"/>
        <v>1.2</v>
      </c>
      <c r="L46" s="9">
        <v>9</v>
      </c>
      <c r="M46" s="22">
        <v>7</v>
      </c>
      <c r="N46">
        <v>2</v>
      </c>
      <c r="O46" s="15">
        <f t="shared" si="12"/>
        <v>0.6</v>
      </c>
      <c r="P46" s="15">
        <f t="shared" si="13"/>
        <v>0.29166666666666669</v>
      </c>
      <c r="Q46" s="12">
        <v>5</v>
      </c>
      <c r="R46" s="12">
        <v>4</v>
      </c>
      <c r="S46" s="15">
        <f t="shared" si="14"/>
        <v>0.33333333333333331</v>
      </c>
      <c r="T46" s="15">
        <f t="shared" si="15"/>
        <v>0.26666666666666666</v>
      </c>
      <c r="U46" s="22">
        <v>6</v>
      </c>
      <c r="V46" s="22">
        <v>1</v>
      </c>
      <c r="W46" s="15">
        <f t="shared" si="16"/>
        <v>0.25</v>
      </c>
      <c r="X46" s="15">
        <f t="shared" si="17"/>
        <v>4.1666666666666664E-2</v>
      </c>
      <c r="Y46" s="15">
        <v>0.22222222222222221</v>
      </c>
      <c r="Z46">
        <v>2</v>
      </c>
      <c r="AA46">
        <v>0</v>
      </c>
      <c r="AB46" s="15">
        <v>7</v>
      </c>
      <c r="AC46" s="15">
        <v>0</v>
      </c>
      <c r="AD46">
        <v>80</v>
      </c>
      <c r="AE46">
        <v>36</v>
      </c>
      <c r="AF46" s="27">
        <v>8</v>
      </c>
      <c r="AG46">
        <v>9</v>
      </c>
    </row>
    <row r="47" spans="1:33" x14ac:dyDescent="0.2">
      <c r="A47" s="1">
        <v>71</v>
      </c>
      <c r="B47" s="1" t="s">
        <v>5</v>
      </c>
      <c r="C47" s="1" t="s">
        <v>5</v>
      </c>
      <c r="D47">
        <v>36</v>
      </c>
      <c r="E47" s="5">
        <v>28</v>
      </c>
      <c r="F47" s="5">
        <f t="shared" si="9"/>
        <v>64</v>
      </c>
      <c r="G47" s="6">
        <v>35</v>
      </c>
      <c r="H47" s="8">
        <v>17</v>
      </c>
      <c r="I47" s="6">
        <v>52</v>
      </c>
      <c r="J47">
        <f t="shared" si="10"/>
        <v>36.799999999999997</v>
      </c>
      <c r="K47" s="6">
        <f t="shared" si="11"/>
        <v>1.0285714285714285</v>
      </c>
      <c r="L47" s="9">
        <v>12</v>
      </c>
      <c r="M47" s="22">
        <v>18</v>
      </c>
      <c r="N47">
        <v>6</v>
      </c>
      <c r="O47" s="15">
        <f t="shared" si="12"/>
        <v>0.34285714285714286</v>
      </c>
      <c r="P47" s="15">
        <f t="shared" si="13"/>
        <v>0.34615384615384615</v>
      </c>
      <c r="Q47" s="12">
        <v>7</v>
      </c>
      <c r="R47" s="12">
        <v>5</v>
      </c>
      <c r="S47" s="15">
        <f t="shared" si="14"/>
        <v>0.2</v>
      </c>
      <c r="T47" s="15">
        <f t="shared" si="15"/>
        <v>0.14285714285714285</v>
      </c>
      <c r="U47" s="22">
        <v>16</v>
      </c>
      <c r="V47" s="22">
        <v>2</v>
      </c>
      <c r="W47" s="15">
        <f t="shared" si="16"/>
        <v>0.30769230769230771</v>
      </c>
      <c r="X47" s="15">
        <f t="shared" si="17"/>
        <v>3.8461538461538464E-2</v>
      </c>
      <c r="Y47" s="15">
        <v>0.35294117647058826</v>
      </c>
      <c r="Z47">
        <v>5</v>
      </c>
      <c r="AA47">
        <v>1</v>
      </c>
      <c r="AB47" s="15">
        <v>21</v>
      </c>
      <c r="AC47" s="15">
        <v>2</v>
      </c>
      <c r="AD47">
        <v>105</v>
      </c>
      <c r="AE47">
        <v>56</v>
      </c>
      <c r="AF47" s="27">
        <v>12</v>
      </c>
      <c r="AG47">
        <v>17</v>
      </c>
    </row>
    <row r="48" spans="1:33" x14ac:dyDescent="0.2">
      <c r="A48" s="1">
        <v>73</v>
      </c>
      <c r="B48" s="1" t="s">
        <v>7</v>
      </c>
      <c r="C48" s="1" t="s">
        <v>7</v>
      </c>
      <c r="D48">
        <v>13</v>
      </c>
      <c r="E48" s="5">
        <v>2</v>
      </c>
      <c r="F48" s="5">
        <f t="shared" si="9"/>
        <v>15</v>
      </c>
      <c r="G48" s="6">
        <v>14</v>
      </c>
      <c r="H48" s="8">
        <v>6</v>
      </c>
      <c r="I48" s="6">
        <v>20</v>
      </c>
      <c r="J48">
        <f t="shared" si="10"/>
        <v>13.142857142857142</v>
      </c>
      <c r="K48" s="6">
        <f t="shared" si="11"/>
        <v>0.9285714285714286</v>
      </c>
      <c r="L48" s="9">
        <v>6</v>
      </c>
      <c r="M48" s="22">
        <v>2</v>
      </c>
      <c r="N48">
        <v>5</v>
      </c>
      <c r="O48" s="15">
        <f t="shared" si="12"/>
        <v>0.42857142857142855</v>
      </c>
      <c r="P48" s="15">
        <f t="shared" si="13"/>
        <v>0.1</v>
      </c>
      <c r="Q48" s="12">
        <v>3</v>
      </c>
      <c r="R48" s="12">
        <v>3</v>
      </c>
      <c r="S48" s="15">
        <f t="shared" si="14"/>
        <v>0.21428571428571427</v>
      </c>
      <c r="T48" s="15">
        <f t="shared" si="15"/>
        <v>0.21428571428571427</v>
      </c>
      <c r="U48" s="22">
        <v>2</v>
      </c>
      <c r="V48" s="22">
        <v>0</v>
      </c>
      <c r="W48" s="15">
        <f t="shared" si="16"/>
        <v>0.1</v>
      </c>
      <c r="X48" s="15">
        <f t="shared" si="17"/>
        <v>0</v>
      </c>
      <c r="Y48" s="15">
        <v>0.83333333333333337</v>
      </c>
      <c r="Z48">
        <v>3</v>
      </c>
      <c r="AA48">
        <v>2</v>
      </c>
      <c r="AB48" s="15">
        <v>1</v>
      </c>
      <c r="AC48" s="15">
        <v>0</v>
      </c>
      <c r="AD48">
        <v>105</v>
      </c>
      <c r="AE48">
        <v>37</v>
      </c>
      <c r="AF48" s="27">
        <v>18</v>
      </c>
      <c r="AG48">
        <v>6</v>
      </c>
    </row>
    <row r="49" spans="1:33" x14ac:dyDescent="0.2">
      <c r="A49" s="1">
        <v>75</v>
      </c>
      <c r="B49" s="1" t="s">
        <v>7</v>
      </c>
      <c r="C49" s="1" t="s">
        <v>7</v>
      </c>
      <c r="D49">
        <v>16</v>
      </c>
      <c r="E49" s="5">
        <v>2</v>
      </c>
      <c r="F49" s="5">
        <f t="shared" si="9"/>
        <v>18</v>
      </c>
      <c r="G49" s="6">
        <v>12</v>
      </c>
      <c r="H49" s="8">
        <v>3</v>
      </c>
      <c r="I49" s="6">
        <v>19</v>
      </c>
      <c r="J49">
        <f t="shared" si="10"/>
        <v>16.166666666666668</v>
      </c>
      <c r="K49" s="6">
        <f t="shared" si="11"/>
        <v>1.3333333333333333</v>
      </c>
      <c r="L49" s="9">
        <v>11</v>
      </c>
      <c r="M49" s="22">
        <v>1</v>
      </c>
      <c r="N49">
        <v>4</v>
      </c>
      <c r="O49" s="15">
        <f t="shared" si="12"/>
        <v>0.91666666666666663</v>
      </c>
      <c r="P49" s="15">
        <f t="shared" si="13"/>
        <v>5.2631578947368418E-2</v>
      </c>
      <c r="Q49" s="12">
        <v>11</v>
      </c>
      <c r="R49" s="12">
        <v>0</v>
      </c>
      <c r="S49" s="15">
        <f t="shared" si="14"/>
        <v>0.91666666666666663</v>
      </c>
      <c r="T49" s="15">
        <f t="shared" si="15"/>
        <v>0</v>
      </c>
      <c r="U49" s="22">
        <v>1</v>
      </c>
      <c r="V49" s="22">
        <v>0</v>
      </c>
      <c r="W49" s="15">
        <f t="shared" si="16"/>
        <v>5.2631578947368418E-2</v>
      </c>
      <c r="X49" s="15">
        <f t="shared" si="17"/>
        <v>0</v>
      </c>
      <c r="Y49" s="15">
        <v>1.3333333333333333</v>
      </c>
      <c r="Z49">
        <v>4</v>
      </c>
      <c r="AA49">
        <v>0</v>
      </c>
      <c r="AB49" s="15">
        <v>2</v>
      </c>
      <c r="AC49" s="15">
        <v>0</v>
      </c>
      <c r="AD49">
        <v>106</v>
      </c>
      <c r="AE49">
        <v>22</v>
      </c>
      <c r="AF49" s="27">
        <v>17</v>
      </c>
      <c r="AG49">
        <v>3</v>
      </c>
    </row>
    <row r="50" spans="1:33" x14ac:dyDescent="0.2">
      <c r="A50" s="1">
        <v>76</v>
      </c>
      <c r="B50" s="1" t="s">
        <v>6</v>
      </c>
      <c r="C50" s="1" t="s">
        <v>4</v>
      </c>
      <c r="D50">
        <v>13</v>
      </c>
      <c r="E50" s="5">
        <v>2</v>
      </c>
      <c r="F50" s="5">
        <f t="shared" si="9"/>
        <v>15</v>
      </c>
      <c r="G50" s="6">
        <v>16</v>
      </c>
      <c r="H50" s="8">
        <v>2</v>
      </c>
      <c r="I50" s="6">
        <v>16</v>
      </c>
      <c r="J50">
        <f t="shared" si="10"/>
        <v>13.125</v>
      </c>
      <c r="K50" s="6">
        <f t="shared" si="11"/>
        <v>0.8125</v>
      </c>
      <c r="L50" s="9">
        <v>10</v>
      </c>
      <c r="M50" s="22">
        <v>1</v>
      </c>
      <c r="N50">
        <v>2</v>
      </c>
      <c r="O50" s="15">
        <f t="shared" si="12"/>
        <v>0.625</v>
      </c>
      <c r="P50" s="15">
        <f t="shared" si="13"/>
        <v>6.25E-2</v>
      </c>
      <c r="Q50" s="12">
        <v>4</v>
      </c>
      <c r="R50" s="12">
        <v>6</v>
      </c>
      <c r="S50" s="15">
        <f t="shared" si="14"/>
        <v>0.25</v>
      </c>
      <c r="T50" s="15">
        <f t="shared" si="15"/>
        <v>0.375</v>
      </c>
      <c r="U50" s="22">
        <v>1</v>
      </c>
      <c r="V50" s="22">
        <v>0</v>
      </c>
      <c r="W50" s="15">
        <f t="shared" si="16"/>
        <v>6.25E-2</v>
      </c>
      <c r="X50" s="15">
        <f t="shared" si="17"/>
        <v>0</v>
      </c>
      <c r="Y50" s="15">
        <v>1</v>
      </c>
      <c r="Z50">
        <v>1</v>
      </c>
      <c r="AA50">
        <v>1</v>
      </c>
      <c r="AB50" s="15">
        <v>2</v>
      </c>
      <c r="AC50" s="15">
        <v>0</v>
      </c>
      <c r="AD50">
        <v>74</v>
      </c>
      <c r="AE50">
        <v>29</v>
      </c>
      <c r="AF50" s="27">
        <v>13</v>
      </c>
      <c r="AG50">
        <v>2</v>
      </c>
    </row>
    <row r="51" spans="1:33" x14ac:dyDescent="0.2">
      <c r="A51" s="1">
        <v>81</v>
      </c>
      <c r="B51" s="1" t="s">
        <v>6</v>
      </c>
      <c r="C51" s="1" t="s">
        <v>4</v>
      </c>
      <c r="D51">
        <v>15</v>
      </c>
      <c r="E51" s="5">
        <v>0</v>
      </c>
      <c r="F51" s="5">
        <f t="shared" si="9"/>
        <v>15</v>
      </c>
      <c r="G51" s="6">
        <v>26</v>
      </c>
      <c r="H51" s="8">
        <v>4</v>
      </c>
      <c r="I51" s="6">
        <v>29</v>
      </c>
      <c r="J51">
        <f t="shared" si="10"/>
        <v>15</v>
      </c>
      <c r="K51" s="6">
        <f t="shared" si="11"/>
        <v>0.57692307692307687</v>
      </c>
      <c r="L51" s="9">
        <v>12</v>
      </c>
      <c r="M51" s="22">
        <v>1</v>
      </c>
      <c r="N51">
        <v>2</v>
      </c>
      <c r="O51" s="15">
        <f t="shared" si="12"/>
        <v>0.46153846153846156</v>
      </c>
      <c r="P51" s="15">
        <f t="shared" si="13"/>
        <v>3.4482758620689655E-2</v>
      </c>
      <c r="Q51" s="12">
        <v>10</v>
      </c>
      <c r="R51" s="12">
        <v>2</v>
      </c>
      <c r="S51" s="15">
        <f t="shared" si="14"/>
        <v>0.38461538461538464</v>
      </c>
      <c r="T51" s="15">
        <f t="shared" si="15"/>
        <v>7.6923076923076927E-2</v>
      </c>
      <c r="U51" s="22">
        <v>1</v>
      </c>
      <c r="V51" s="22">
        <v>0</v>
      </c>
      <c r="W51" s="15">
        <f t="shared" si="16"/>
        <v>3.4482758620689655E-2</v>
      </c>
      <c r="X51" s="15">
        <f t="shared" si="17"/>
        <v>0</v>
      </c>
      <c r="Y51" s="15">
        <v>0.5</v>
      </c>
      <c r="Z51">
        <v>2</v>
      </c>
      <c r="AA51">
        <v>0</v>
      </c>
      <c r="AB51" s="15">
        <v>0</v>
      </c>
      <c r="AC51" s="15">
        <v>0</v>
      </c>
      <c r="AD51">
        <v>78</v>
      </c>
      <c r="AE51">
        <v>28</v>
      </c>
      <c r="AF51" s="27">
        <v>10</v>
      </c>
      <c r="AG51">
        <v>4</v>
      </c>
    </row>
    <row r="52" spans="1:33" x14ac:dyDescent="0.2">
      <c r="A52" s="1">
        <v>82</v>
      </c>
      <c r="B52" s="1" t="s">
        <v>6</v>
      </c>
      <c r="C52" s="1" t="s">
        <v>4</v>
      </c>
      <c r="D52">
        <v>18</v>
      </c>
      <c r="E52" s="5">
        <v>2</v>
      </c>
      <c r="F52" s="5">
        <f t="shared" si="9"/>
        <v>20</v>
      </c>
      <c r="G52" s="6">
        <v>20</v>
      </c>
      <c r="H52" s="8">
        <v>8</v>
      </c>
      <c r="I52" s="6">
        <v>28</v>
      </c>
      <c r="J52">
        <f t="shared" si="10"/>
        <v>18.100000000000001</v>
      </c>
      <c r="K52" s="6">
        <f t="shared" si="11"/>
        <v>0.9</v>
      </c>
      <c r="L52" s="9">
        <v>7</v>
      </c>
      <c r="M52" s="22">
        <v>8</v>
      </c>
      <c r="N52">
        <v>3</v>
      </c>
      <c r="O52" s="15">
        <f t="shared" si="12"/>
        <v>0.35</v>
      </c>
      <c r="P52" s="15">
        <f t="shared" si="13"/>
        <v>0.2857142857142857</v>
      </c>
      <c r="Q52" s="12">
        <v>5</v>
      </c>
      <c r="R52" s="12">
        <v>2</v>
      </c>
      <c r="S52" s="15">
        <f t="shared" si="14"/>
        <v>0.25</v>
      </c>
      <c r="T52" s="15">
        <f t="shared" si="15"/>
        <v>0.1</v>
      </c>
      <c r="U52" s="22">
        <v>8</v>
      </c>
      <c r="V52" s="22">
        <v>0</v>
      </c>
      <c r="W52" s="15">
        <f t="shared" si="16"/>
        <v>0.2857142857142857</v>
      </c>
      <c r="X52" s="15">
        <f t="shared" si="17"/>
        <v>0</v>
      </c>
      <c r="Y52" s="15">
        <v>0.375</v>
      </c>
      <c r="Z52">
        <v>2</v>
      </c>
      <c r="AA52">
        <v>1</v>
      </c>
      <c r="AB52" s="15">
        <v>1</v>
      </c>
      <c r="AC52" s="15">
        <v>0</v>
      </c>
      <c r="AD52">
        <v>98</v>
      </c>
      <c r="AE52">
        <v>26</v>
      </c>
      <c r="AF52" s="27">
        <v>12</v>
      </c>
      <c r="AG52">
        <v>8</v>
      </c>
    </row>
    <row r="53" spans="1:33" x14ac:dyDescent="0.2">
      <c r="A53" s="1">
        <v>83</v>
      </c>
      <c r="B53" s="1" t="s">
        <v>5</v>
      </c>
      <c r="C53" s="1" t="s">
        <v>5</v>
      </c>
      <c r="D53">
        <v>20</v>
      </c>
      <c r="E53" s="5">
        <v>5</v>
      </c>
      <c r="F53" s="5">
        <f t="shared" si="9"/>
        <v>25</v>
      </c>
      <c r="G53" s="6">
        <v>28</v>
      </c>
      <c r="H53" s="8">
        <v>17</v>
      </c>
      <c r="I53" s="6">
        <v>25</v>
      </c>
      <c r="J53">
        <f t="shared" si="10"/>
        <v>20.178571428571427</v>
      </c>
      <c r="K53" s="6">
        <f t="shared" si="11"/>
        <v>0.7142857142857143</v>
      </c>
      <c r="L53" s="9">
        <v>11</v>
      </c>
      <c r="M53" s="22">
        <v>7</v>
      </c>
      <c r="N53">
        <v>2</v>
      </c>
      <c r="O53" s="15">
        <f t="shared" si="12"/>
        <v>0.39285714285714285</v>
      </c>
      <c r="P53" s="15">
        <f t="shared" si="13"/>
        <v>0.28000000000000003</v>
      </c>
      <c r="Q53" s="12">
        <v>11</v>
      </c>
      <c r="R53" s="12">
        <v>0</v>
      </c>
      <c r="S53" s="15">
        <f t="shared" si="14"/>
        <v>0.39285714285714285</v>
      </c>
      <c r="T53" s="15">
        <f t="shared" si="15"/>
        <v>0</v>
      </c>
      <c r="U53" s="22">
        <v>7</v>
      </c>
      <c r="V53" s="22">
        <v>0</v>
      </c>
      <c r="W53" s="15">
        <f t="shared" si="16"/>
        <v>0.28000000000000003</v>
      </c>
      <c r="X53" s="15">
        <f t="shared" si="17"/>
        <v>0</v>
      </c>
      <c r="Y53" s="15">
        <v>0.11764705882352941</v>
      </c>
      <c r="Z53">
        <v>2</v>
      </c>
      <c r="AA53">
        <v>0</v>
      </c>
      <c r="AB53" s="15">
        <v>5</v>
      </c>
      <c r="AC53" s="15">
        <v>0</v>
      </c>
      <c r="AD53">
        <v>98</v>
      </c>
      <c r="AE53">
        <v>40</v>
      </c>
      <c r="AF53" s="27">
        <v>16</v>
      </c>
      <c r="AG53">
        <v>17</v>
      </c>
    </row>
    <row r="54" spans="1:33" x14ac:dyDescent="0.2">
      <c r="A54" s="1">
        <v>85</v>
      </c>
      <c r="B54" s="1" t="s">
        <v>6</v>
      </c>
      <c r="C54" s="1" t="s">
        <v>4</v>
      </c>
      <c r="D54">
        <v>16</v>
      </c>
      <c r="E54" s="5">
        <v>5</v>
      </c>
      <c r="F54" s="5">
        <f t="shared" si="9"/>
        <v>21</v>
      </c>
      <c r="G54" s="6">
        <v>15</v>
      </c>
      <c r="H54" s="8">
        <v>4</v>
      </c>
      <c r="I54" s="6">
        <v>20</v>
      </c>
      <c r="J54">
        <f t="shared" si="10"/>
        <v>16.333333333333332</v>
      </c>
      <c r="K54" s="6">
        <f t="shared" si="11"/>
        <v>1.0666666666666667</v>
      </c>
      <c r="L54" s="9">
        <v>8</v>
      </c>
      <c r="M54" s="22">
        <v>6</v>
      </c>
      <c r="N54">
        <v>2</v>
      </c>
      <c r="O54" s="15">
        <f t="shared" si="12"/>
        <v>0.53333333333333333</v>
      </c>
      <c r="P54" s="15">
        <f t="shared" si="13"/>
        <v>0.3</v>
      </c>
      <c r="Q54" s="12">
        <v>5</v>
      </c>
      <c r="R54" s="12">
        <v>3</v>
      </c>
      <c r="S54" s="15">
        <f t="shared" si="14"/>
        <v>0.33333333333333331</v>
      </c>
      <c r="T54" s="15">
        <f t="shared" si="15"/>
        <v>0.2</v>
      </c>
      <c r="U54" s="22">
        <v>3</v>
      </c>
      <c r="V54" s="22">
        <v>3</v>
      </c>
      <c r="W54" s="15">
        <f t="shared" si="16"/>
        <v>0.15</v>
      </c>
      <c r="X54" s="15">
        <f t="shared" si="17"/>
        <v>0.15</v>
      </c>
      <c r="Y54" s="15">
        <v>0.5</v>
      </c>
      <c r="Z54">
        <v>2</v>
      </c>
      <c r="AA54">
        <v>0</v>
      </c>
      <c r="AB54" s="15">
        <v>5</v>
      </c>
      <c r="AC54" s="15">
        <v>0</v>
      </c>
      <c r="AD54">
        <v>108</v>
      </c>
      <c r="AE54">
        <v>41</v>
      </c>
      <c r="AF54" s="27">
        <v>20</v>
      </c>
      <c r="AG54">
        <v>4</v>
      </c>
    </row>
    <row r="55" spans="1:33" x14ac:dyDescent="0.2">
      <c r="A55" s="1">
        <v>87</v>
      </c>
      <c r="B55" s="1" t="s">
        <v>5</v>
      </c>
      <c r="C55" s="1" t="s">
        <v>5</v>
      </c>
      <c r="D55">
        <v>11</v>
      </c>
      <c r="E55" s="5">
        <v>15</v>
      </c>
      <c r="F55" s="5">
        <f t="shared" si="9"/>
        <v>26</v>
      </c>
      <c r="G55" s="6">
        <v>13</v>
      </c>
      <c r="H55" s="8">
        <v>8</v>
      </c>
      <c r="I55" s="6">
        <v>17</v>
      </c>
      <c r="J55">
        <f t="shared" si="10"/>
        <v>12.153846153846153</v>
      </c>
      <c r="K55" s="6">
        <f t="shared" si="11"/>
        <v>0.84615384615384615</v>
      </c>
      <c r="L55" s="9">
        <v>8</v>
      </c>
      <c r="M55" s="22">
        <v>2</v>
      </c>
      <c r="N55">
        <v>1</v>
      </c>
      <c r="O55" s="15">
        <f t="shared" si="12"/>
        <v>0.61538461538461542</v>
      </c>
      <c r="P55" s="15">
        <f t="shared" si="13"/>
        <v>0.11764705882352941</v>
      </c>
      <c r="Q55" s="12">
        <v>6</v>
      </c>
      <c r="R55" s="12">
        <v>2</v>
      </c>
      <c r="S55" s="15">
        <f t="shared" si="14"/>
        <v>0.46153846153846156</v>
      </c>
      <c r="T55" s="15">
        <f t="shared" si="15"/>
        <v>0.15384615384615385</v>
      </c>
      <c r="U55" s="22">
        <v>2</v>
      </c>
      <c r="V55" s="22">
        <v>0</v>
      </c>
      <c r="W55" s="15">
        <f t="shared" si="16"/>
        <v>0.11764705882352941</v>
      </c>
      <c r="X55" s="15">
        <f t="shared" si="17"/>
        <v>0</v>
      </c>
      <c r="Y55" s="15">
        <v>0.125</v>
      </c>
      <c r="Z55">
        <v>1</v>
      </c>
      <c r="AA55">
        <v>0</v>
      </c>
      <c r="AB55" s="15">
        <v>3</v>
      </c>
      <c r="AC55" s="15">
        <v>0</v>
      </c>
      <c r="AD55">
        <v>110</v>
      </c>
      <c r="AE55">
        <v>58</v>
      </c>
      <c r="AF55" s="27">
        <v>12</v>
      </c>
      <c r="AG55">
        <v>8</v>
      </c>
    </row>
    <row r="56" spans="1:33" x14ac:dyDescent="0.2">
      <c r="A56" s="1">
        <v>90</v>
      </c>
      <c r="B56" s="1" t="s">
        <v>3</v>
      </c>
      <c r="C56" s="1" t="s">
        <v>4</v>
      </c>
      <c r="D56">
        <v>23</v>
      </c>
      <c r="E56" s="5">
        <v>4</v>
      </c>
      <c r="F56" s="5">
        <f t="shared" si="9"/>
        <v>27</v>
      </c>
      <c r="G56" s="6">
        <v>21</v>
      </c>
      <c r="H56" s="8">
        <v>2</v>
      </c>
      <c r="I56" s="6">
        <v>20</v>
      </c>
      <c r="J56">
        <f t="shared" si="10"/>
        <v>23.19047619047619</v>
      </c>
      <c r="K56" s="6">
        <f t="shared" si="11"/>
        <v>1.0952380952380953</v>
      </c>
      <c r="L56" s="9">
        <v>13</v>
      </c>
      <c r="M56" s="22">
        <v>10</v>
      </c>
      <c r="N56">
        <v>0</v>
      </c>
      <c r="O56" s="15">
        <f t="shared" si="12"/>
        <v>0.61904761904761907</v>
      </c>
      <c r="P56" s="15">
        <f t="shared" si="13"/>
        <v>0.5</v>
      </c>
      <c r="Q56" s="12">
        <v>1</v>
      </c>
      <c r="R56" s="12">
        <v>12</v>
      </c>
      <c r="S56" s="15">
        <f t="shared" si="14"/>
        <v>4.7619047619047616E-2</v>
      </c>
      <c r="T56" s="15">
        <f t="shared" si="15"/>
        <v>0.5714285714285714</v>
      </c>
      <c r="U56" s="22">
        <v>3</v>
      </c>
      <c r="V56" s="22">
        <v>7</v>
      </c>
      <c r="W56" s="15">
        <f t="shared" si="16"/>
        <v>0.15</v>
      </c>
      <c r="X56" s="15">
        <f t="shared" si="17"/>
        <v>0.35</v>
      </c>
      <c r="Y56" s="15">
        <v>0</v>
      </c>
      <c r="Z56">
        <v>0</v>
      </c>
      <c r="AA56">
        <v>0</v>
      </c>
      <c r="AB56" s="15">
        <v>3</v>
      </c>
      <c r="AC56" s="15">
        <v>0</v>
      </c>
      <c r="AD56">
        <v>65</v>
      </c>
      <c r="AE56">
        <v>39</v>
      </c>
      <c r="AF56" s="27">
        <v>11</v>
      </c>
      <c r="AG56">
        <v>2</v>
      </c>
    </row>
    <row r="57" spans="1:33" x14ac:dyDescent="0.2">
      <c r="A57" s="1">
        <v>91</v>
      </c>
      <c r="B57" s="1" t="s">
        <v>5</v>
      </c>
      <c r="C57" s="1" t="s">
        <v>5</v>
      </c>
      <c r="D57">
        <v>13</v>
      </c>
      <c r="E57" s="5">
        <v>17</v>
      </c>
      <c r="F57" s="5">
        <f t="shared" si="9"/>
        <v>30</v>
      </c>
      <c r="G57" s="6">
        <v>33</v>
      </c>
      <c r="H57" s="8">
        <v>18</v>
      </c>
      <c r="I57" s="6">
        <v>50</v>
      </c>
      <c r="J57">
        <f t="shared" si="10"/>
        <v>13.515151515151516</v>
      </c>
      <c r="K57" s="6">
        <f t="shared" si="11"/>
        <v>0.39393939393939392</v>
      </c>
      <c r="L57" s="9">
        <v>9</v>
      </c>
      <c r="M57" s="22">
        <v>4</v>
      </c>
      <c r="N57">
        <v>0</v>
      </c>
      <c r="O57" s="15">
        <f t="shared" si="12"/>
        <v>0.27272727272727271</v>
      </c>
      <c r="P57" s="15">
        <f t="shared" si="13"/>
        <v>0.08</v>
      </c>
      <c r="Q57" s="12">
        <v>9</v>
      </c>
      <c r="R57" s="12">
        <v>0</v>
      </c>
      <c r="S57" s="15">
        <f t="shared" si="14"/>
        <v>0.27272727272727271</v>
      </c>
      <c r="T57" s="15">
        <f t="shared" si="15"/>
        <v>0</v>
      </c>
      <c r="U57" s="22">
        <v>4</v>
      </c>
      <c r="V57" s="22">
        <v>0</v>
      </c>
      <c r="W57" s="15">
        <f t="shared" si="16"/>
        <v>0.08</v>
      </c>
      <c r="X57" s="15">
        <f t="shared" si="17"/>
        <v>0</v>
      </c>
      <c r="Y57" s="15">
        <v>0</v>
      </c>
      <c r="Z57">
        <v>0</v>
      </c>
      <c r="AA57">
        <v>0</v>
      </c>
      <c r="AB57" s="15">
        <v>16</v>
      </c>
      <c r="AC57" s="15">
        <v>0</v>
      </c>
      <c r="AD57">
        <v>113</v>
      </c>
      <c r="AE57">
        <v>52</v>
      </c>
      <c r="AF57" s="27">
        <v>14</v>
      </c>
      <c r="AG57">
        <v>18</v>
      </c>
    </row>
    <row r="58" spans="1:33" x14ac:dyDescent="0.2">
      <c r="A58" s="1">
        <v>94</v>
      </c>
      <c r="B58" s="1" t="s">
        <v>6</v>
      </c>
      <c r="C58" s="1" t="s">
        <v>4</v>
      </c>
      <c r="D58">
        <v>13</v>
      </c>
      <c r="E58" s="5">
        <v>1</v>
      </c>
      <c r="F58" s="5">
        <f t="shared" si="9"/>
        <v>14</v>
      </c>
      <c r="G58" s="6">
        <v>11</v>
      </c>
      <c r="H58" s="8">
        <v>4</v>
      </c>
      <c r="I58" s="6">
        <v>12</v>
      </c>
      <c r="J58">
        <f t="shared" si="10"/>
        <v>13.090909090909092</v>
      </c>
      <c r="K58" s="6">
        <f t="shared" si="11"/>
        <v>1.1818181818181819</v>
      </c>
      <c r="L58" s="9">
        <v>7</v>
      </c>
      <c r="M58" s="22">
        <v>4</v>
      </c>
      <c r="N58">
        <v>2</v>
      </c>
      <c r="O58" s="15">
        <f t="shared" si="12"/>
        <v>0.63636363636363635</v>
      </c>
      <c r="P58" s="15">
        <f t="shared" si="13"/>
        <v>0.33333333333333331</v>
      </c>
      <c r="Q58" s="12">
        <v>6</v>
      </c>
      <c r="R58" s="12">
        <v>1</v>
      </c>
      <c r="S58" s="15">
        <f t="shared" si="14"/>
        <v>0.54545454545454541</v>
      </c>
      <c r="T58" s="15">
        <f t="shared" si="15"/>
        <v>9.0909090909090912E-2</v>
      </c>
      <c r="U58" s="22">
        <v>4</v>
      </c>
      <c r="V58" s="22">
        <v>0</v>
      </c>
      <c r="W58" s="15">
        <f t="shared" si="16"/>
        <v>0.33333333333333331</v>
      </c>
      <c r="X58" s="15">
        <f t="shared" si="17"/>
        <v>0</v>
      </c>
      <c r="Y58" s="15">
        <v>0.5</v>
      </c>
      <c r="Z58">
        <v>2</v>
      </c>
      <c r="AA58">
        <v>0</v>
      </c>
      <c r="AB58" s="15">
        <v>1</v>
      </c>
      <c r="AC58" s="15">
        <v>0</v>
      </c>
      <c r="AD58">
        <v>62</v>
      </c>
      <c r="AE58">
        <v>44</v>
      </c>
      <c r="AF58" s="27">
        <v>9</v>
      </c>
      <c r="AG58">
        <v>4</v>
      </c>
    </row>
    <row r="59" spans="1:33" x14ac:dyDescent="0.2">
      <c r="A59" s="1">
        <v>95</v>
      </c>
      <c r="B59" s="1" t="s">
        <v>5</v>
      </c>
      <c r="C59" s="1" t="s">
        <v>5</v>
      </c>
      <c r="D59">
        <v>31</v>
      </c>
      <c r="E59" s="5">
        <v>8</v>
      </c>
      <c r="F59" s="5">
        <f t="shared" si="9"/>
        <v>39</v>
      </c>
      <c r="G59" s="6">
        <v>37</v>
      </c>
      <c r="H59" s="8">
        <v>14</v>
      </c>
      <c r="I59" s="6">
        <v>10</v>
      </c>
      <c r="J59">
        <f t="shared" si="10"/>
        <v>31.216216216216218</v>
      </c>
      <c r="K59" s="6">
        <f t="shared" si="11"/>
        <v>0.83783783783783783</v>
      </c>
      <c r="L59" s="9">
        <v>22</v>
      </c>
      <c r="M59" s="22">
        <v>6</v>
      </c>
      <c r="N59">
        <v>3</v>
      </c>
      <c r="O59" s="15">
        <f t="shared" si="12"/>
        <v>0.59459459459459463</v>
      </c>
      <c r="P59" s="15">
        <f t="shared" si="13"/>
        <v>0.6</v>
      </c>
      <c r="Q59" s="12">
        <v>20</v>
      </c>
      <c r="R59" s="12">
        <v>2</v>
      </c>
      <c r="S59" s="15">
        <f t="shared" si="14"/>
        <v>0.54054054054054057</v>
      </c>
      <c r="T59" s="15">
        <f t="shared" si="15"/>
        <v>5.4054054054054057E-2</v>
      </c>
      <c r="U59" s="22">
        <v>6</v>
      </c>
      <c r="V59" s="22">
        <v>0</v>
      </c>
      <c r="W59" s="15">
        <f t="shared" si="16"/>
        <v>0.6</v>
      </c>
      <c r="X59" s="15">
        <f t="shared" si="17"/>
        <v>0</v>
      </c>
      <c r="Y59" s="15">
        <v>0.21428571428571427</v>
      </c>
      <c r="Z59">
        <v>3</v>
      </c>
      <c r="AA59">
        <v>0</v>
      </c>
      <c r="AB59" s="15">
        <v>8</v>
      </c>
      <c r="AC59" s="15">
        <v>0</v>
      </c>
      <c r="AD59">
        <v>112</v>
      </c>
      <c r="AE59">
        <v>33</v>
      </c>
      <c r="AF59" s="27">
        <v>20</v>
      </c>
      <c r="AG59">
        <v>14</v>
      </c>
    </row>
    <row r="60" spans="1:33" x14ac:dyDescent="0.2">
      <c r="A60" s="1">
        <v>96</v>
      </c>
      <c r="B60" s="1" t="s">
        <v>7</v>
      </c>
      <c r="C60" s="1" t="s">
        <v>7</v>
      </c>
      <c r="D60">
        <v>14</v>
      </c>
      <c r="E60" s="5">
        <v>6</v>
      </c>
      <c r="F60" s="5">
        <f t="shared" si="9"/>
        <v>20</v>
      </c>
      <c r="G60" s="6">
        <v>14</v>
      </c>
      <c r="H60" s="8">
        <v>4</v>
      </c>
      <c r="I60" s="6">
        <v>18</v>
      </c>
      <c r="J60">
        <f t="shared" si="10"/>
        <v>14.428571428571429</v>
      </c>
      <c r="K60" s="6">
        <f t="shared" si="11"/>
        <v>1</v>
      </c>
      <c r="L60" s="9">
        <v>7</v>
      </c>
      <c r="M60" s="22">
        <v>5</v>
      </c>
      <c r="N60">
        <v>2</v>
      </c>
      <c r="O60" s="15">
        <f t="shared" si="12"/>
        <v>0.5</v>
      </c>
      <c r="P60" s="15">
        <f t="shared" si="13"/>
        <v>0.27777777777777779</v>
      </c>
      <c r="Q60" s="12">
        <v>3</v>
      </c>
      <c r="R60" s="12">
        <v>4</v>
      </c>
      <c r="S60" s="15">
        <f t="shared" si="14"/>
        <v>0.21428571428571427</v>
      </c>
      <c r="T60" s="15">
        <f t="shared" si="15"/>
        <v>0.2857142857142857</v>
      </c>
      <c r="U60" s="22">
        <v>5</v>
      </c>
      <c r="V60" s="22">
        <v>0</v>
      </c>
      <c r="W60" s="15">
        <f t="shared" si="16"/>
        <v>0.27777777777777779</v>
      </c>
      <c r="X60" s="15">
        <f t="shared" si="17"/>
        <v>0</v>
      </c>
      <c r="Y60" s="15">
        <v>0.5</v>
      </c>
      <c r="Z60">
        <v>1</v>
      </c>
      <c r="AA60">
        <v>1</v>
      </c>
      <c r="AB60" s="15">
        <v>6</v>
      </c>
      <c r="AC60" s="15">
        <v>0</v>
      </c>
      <c r="AD60">
        <v>111</v>
      </c>
      <c r="AE60">
        <v>61</v>
      </c>
      <c r="AF60" s="27">
        <v>26</v>
      </c>
      <c r="AG60">
        <v>4</v>
      </c>
    </row>
    <row r="61" spans="1:33" x14ac:dyDescent="0.2">
      <c r="A61" s="1">
        <v>99</v>
      </c>
      <c r="B61" s="1" t="s">
        <v>7</v>
      </c>
      <c r="C61" s="1" t="s">
        <v>7</v>
      </c>
      <c r="D61">
        <v>11</v>
      </c>
      <c r="E61" s="5">
        <v>3</v>
      </c>
      <c r="F61" s="5">
        <f t="shared" si="9"/>
        <v>14</v>
      </c>
      <c r="G61" s="6">
        <v>11</v>
      </c>
      <c r="H61" s="8">
        <v>7</v>
      </c>
      <c r="I61" s="6">
        <v>21</v>
      </c>
      <c r="J61">
        <f t="shared" si="10"/>
        <v>11.272727272727273</v>
      </c>
      <c r="K61" s="6">
        <f t="shared" si="11"/>
        <v>1</v>
      </c>
      <c r="L61" s="9">
        <v>5</v>
      </c>
      <c r="M61" s="19">
        <v>3</v>
      </c>
      <c r="N61">
        <v>3</v>
      </c>
      <c r="O61" s="15">
        <f t="shared" si="12"/>
        <v>0.45454545454545453</v>
      </c>
      <c r="P61" s="15">
        <f t="shared" si="13"/>
        <v>0.14285714285714285</v>
      </c>
      <c r="Q61" s="12">
        <v>2</v>
      </c>
      <c r="R61" s="12">
        <v>3</v>
      </c>
      <c r="S61" s="15">
        <f t="shared" si="14"/>
        <v>0.18181818181818182</v>
      </c>
      <c r="T61" s="15">
        <f t="shared" si="15"/>
        <v>0.27272727272727271</v>
      </c>
      <c r="U61" s="20">
        <v>3</v>
      </c>
      <c r="V61" s="21">
        <v>0</v>
      </c>
      <c r="W61" s="15">
        <f t="shared" si="16"/>
        <v>0.14285714285714285</v>
      </c>
      <c r="X61" s="15">
        <f t="shared" si="17"/>
        <v>0</v>
      </c>
      <c r="Y61" s="15">
        <v>0.42857142857142855</v>
      </c>
      <c r="Z61">
        <v>2</v>
      </c>
      <c r="AA61">
        <v>1</v>
      </c>
      <c r="AB61" s="15">
        <v>0</v>
      </c>
      <c r="AC61" s="15">
        <v>0</v>
      </c>
      <c r="AD61">
        <v>103</v>
      </c>
      <c r="AE61">
        <v>51</v>
      </c>
      <c r="AF61" s="27">
        <v>19</v>
      </c>
      <c r="AG6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</dc:creator>
  <cp:lastModifiedBy>derya cokal</cp:lastModifiedBy>
  <dcterms:created xsi:type="dcterms:W3CDTF">2019-03-19T09:38:07Z</dcterms:created>
  <dcterms:modified xsi:type="dcterms:W3CDTF">2019-04-02T18:21:34Z</dcterms:modified>
</cp:coreProperties>
</file>