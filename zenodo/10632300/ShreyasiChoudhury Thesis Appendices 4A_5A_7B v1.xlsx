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emckclac-my.sharepoint.com/personal/k1775174_kcl_ac_uk/Documents/Presentation and Write ups/Thesis/Post viva/Chapters/Second round of editing on resubmitted files/"/>
    </mc:Choice>
  </mc:AlternateContent>
  <xr:revisionPtr revIDLastSave="3" documentId="8_{BD2476A9-6E4A-477A-BA3D-F81428A8451E}" xr6:coauthVersionLast="47" xr6:coauthVersionMax="47" xr10:uidLastSave="{4E218675-A78B-4EBD-B412-C0ADCAAC24A6}"/>
  <bookViews>
    <workbookView xWindow="-120" yWindow="-120" windowWidth="29040" windowHeight="15840" xr2:uid="{499AD481-0322-4292-9E68-860EFB99F92D}"/>
  </bookViews>
  <sheets>
    <sheet name="4A 39 review articles "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8" i="2" l="1"/>
  <c r="I77" i="2"/>
  <c r="H77" i="2"/>
  <c r="T50"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alcChain>
</file>

<file path=xl/sharedStrings.xml><?xml version="1.0" encoding="utf-8"?>
<sst xmlns="http://schemas.openxmlformats.org/spreadsheetml/2006/main" count="506" uniqueCount="303">
  <si>
    <t>A. Code</t>
  </si>
  <si>
    <t>B. Location</t>
  </si>
  <si>
    <t>C. Hazard</t>
  </si>
  <si>
    <t>D. Assess</t>
  </si>
  <si>
    <t>E. Method used</t>
  </si>
  <si>
    <t>F. Confrontation</t>
  </si>
  <si>
    <t>G. Confrontation_Comments</t>
  </si>
  <si>
    <t>H. Uncertainty</t>
  </si>
  <si>
    <t>I. Uncertainty_Comments</t>
  </si>
  <si>
    <t>J. Theoretical to practical</t>
  </si>
  <si>
    <t>K. Theoretical to practical_Comments</t>
  </si>
  <si>
    <t>L. Number of experts</t>
  </si>
  <si>
    <t>M. Number of experts_Comments</t>
  </si>
  <si>
    <t>N. Comments</t>
  </si>
  <si>
    <t>O. Questions identified</t>
  </si>
  <si>
    <t>P. Why EE?</t>
  </si>
  <si>
    <t>Q. Author</t>
  </si>
  <si>
    <t>R. Journal</t>
  </si>
  <si>
    <t>S. Title</t>
  </si>
  <si>
    <t>T. Publicaion year</t>
  </si>
  <si>
    <t>Vesuvius, Italy (Teide (Tenerife), Sete Cidades (San Miguel, Azores), and La Soufrière (Guadeloupe))</t>
  </si>
  <si>
    <t>Volcano</t>
  </si>
  <si>
    <t>Forecasting explosive volcanic eruptions for emergency planning and disaster mitigation</t>
  </si>
  <si>
    <t>Cooke's method</t>
  </si>
  <si>
    <t>None</t>
  </si>
  <si>
    <r>
      <rPr>
        <b/>
        <sz val="11"/>
        <color theme="1"/>
        <rFont val="Calibri"/>
        <family val="2"/>
        <scheme val="minor"/>
      </rPr>
      <t xml:space="preserve">Partially </t>
    </r>
    <r>
      <rPr>
        <sz val="11"/>
        <color theme="1"/>
        <rFont val="Calibri"/>
        <family val="2"/>
        <scheme val="minor"/>
      </rPr>
      <t>because they did not talk about it but they used risk maps, so the could have confronted it</t>
    </r>
  </si>
  <si>
    <t>Yes</t>
  </si>
  <si>
    <r>
      <t xml:space="preserve">Expert elicitation used for </t>
    </r>
    <r>
      <rPr>
        <b/>
        <sz val="11"/>
        <color theme="1"/>
        <rFont val="Calibri"/>
        <family val="2"/>
        <scheme val="minor"/>
      </rPr>
      <t>quantifying uncertainty</t>
    </r>
  </si>
  <si>
    <t>Theoretical</t>
  </si>
  <si>
    <t>Undeclared</t>
  </si>
  <si>
    <t>EXPLORIS scientific group</t>
  </si>
  <si>
    <t xml:space="preserve">An event tree whose conditional probabilities were obtained by elicitation using a mathematical technique that weighted the individual scientist's expert judgements. The method also incorporated the model and statistical (epistemic and stochastic) uncertainty. </t>
  </si>
  <si>
    <t>Some important questions</t>
  </si>
  <si>
    <t>because experience in emergency planning and mitigation for explosive volcanic eruption events remains limited</t>
  </si>
  <si>
    <r>
      <t xml:space="preserve">Baxter </t>
    </r>
    <r>
      <rPr>
        <i/>
        <sz val="11"/>
        <color theme="1"/>
        <rFont val="Calibri"/>
        <family val="2"/>
        <scheme val="minor"/>
      </rPr>
      <t>et al.</t>
    </r>
    <r>
      <rPr>
        <sz val="11"/>
        <color theme="1"/>
        <rFont val="Calibri"/>
        <family val="2"/>
        <scheme val="minor"/>
      </rPr>
      <t xml:space="preserve"> (2008)</t>
    </r>
  </si>
  <si>
    <t>General</t>
  </si>
  <si>
    <t>Earthquake</t>
  </si>
  <si>
    <t>Seismic source characterization (location, rates, and maximum size of future earthquakes)</t>
  </si>
  <si>
    <t>Sheffield method, Cooke's method</t>
  </si>
  <si>
    <r>
      <t xml:space="preserve">Used expert elicitation to </t>
    </r>
    <r>
      <rPr>
        <b/>
        <sz val="11"/>
        <color theme="1"/>
        <rFont val="Calibri"/>
        <family val="2"/>
        <scheme val="minor"/>
      </rPr>
      <t>quantify uncertainty.</t>
    </r>
  </si>
  <si>
    <t>Analysts, earth scientists, decision-makers in organizations such as private firms or government agencies</t>
  </si>
  <si>
    <t>1) Conduct careful expert selection; (2) Provide a uniform data base to all experts; (3) Conduct multiple expert interactions; (4) Conduct extensive sensitivity analyses and give feedbacks to experts; (5) combine the expert judgments using equal weights; (6) Peer review [Note: Each expert here acted as an evaluator first and then as a technical integrator].</t>
  </si>
  <si>
    <t>No</t>
  </si>
  <si>
    <r>
      <t xml:space="preserve">Budnitz </t>
    </r>
    <r>
      <rPr>
        <i/>
        <sz val="11"/>
        <color theme="1"/>
        <rFont val="Calibri"/>
        <family val="2"/>
        <scheme val="minor"/>
      </rPr>
      <t>et al.</t>
    </r>
    <r>
      <rPr>
        <sz val="11"/>
        <color theme="1"/>
        <rFont val="Calibri"/>
        <family val="2"/>
        <scheme val="minor"/>
      </rPr>
      <t xml:space="preserve"> (1997)</t>
    </r>
  </si>
  <si>
    <t>Soufrière Hills volcano on the West Indies island of Montserrat</t>
  </si>
  <si>
    <t>Volcanic hazard assessment and risk management</t>
  </si>
  <si>
    <t>It is assumed to be working perfectly in real-life scenario!</t>
  </si>
  <si>
    <t>Quantified the uncertainties</t>
  </si>
  <si>
    <t>Practical</t>
  </si>
  <si>
    <r>
      <rPr>
        <b/>
        <sz val="11"/>
        <color theme="1"/>
        <rFont val="Calibri"/>
        <family val="2"/>
        <scheme val="minor"/>
      </rPr>
      <t>Practical</t>
    </r>
    <r>
      <rPr>
        <sz val="11"/>
        <color theme="1"/>
        <rFont val="Calibri"/>
        <family val="2"/>
        <scheme val="minor"/>
      </rPr>
      <t xml:space="preserve"> (Used during a live volcano crisis but took 3 years to develop)</t>
    </r>
  </si>
  <si>
    <r>
      <rPr>
        <b/>
        <sz val="11"/>
        <color theme="1"/>
        <rFont val="Calibri"/>
        <family val="2"/>
        <scheme val="minor"/>
      </rPr>
      <t>55 scientists</t>
    </r>
    <r>
      <rPr>
        <sz val="11"/>
        <color theme="1"/>
        <rFont val="Calibri"/>
        <family val="2"/>
        <scheme val="minor"/>
      </rPr>
      <t xml:space="preserve"> from USA, the UK, Hawai’i and Kamchatka (geologists of all kinds, geodesists, geochemists and seismologists)- although there were generally only between </t>
    </r>
    <r>
      <rPr>
        <b/>
        <sz val="11"/>
        <color theme="1"/>
        <rFont val="Calibri"/>
        <family val="2"/>
        <scheme val="minor"/>
      </rPr>
      <t>five and twenty at any one time</t>
    </r>
  </si>
  <si>
    <r>
      <rPr>
        <b/>
        <sz val="11"/>
        <color theme="1"/>
        <rFont val="Calibri"/>
        <family val="2"/>
        <scheme val="minor"/>
      </rPr>
      <t>Weighted combinations of expert judgments</t>
    </r>
    <r>
      <rPr>
        <sz val="11"/>
        <color theme="1"/>
        <rFont val="Calibri"/>
        <family val="2"/>
        <scheme val="minor"/>
      </rPr>
      <t xml:space="preserve">. (1) </t>
    </r>
    <r>
      <rPr>
        <b/>
        <sz val="11"/>
        <color theme="1"/>
        <rFont val="Calibri"/>
        <family val="2"/>
        <scheme val="minor"/>
      </rPr>
      <t>5 seed questions</t>
    </r>
    <r>
      <rPr>
        <sz val="11"/>
        <color theme="1"/>
        <rFont val="Calibri"/>
        <family val="2"/>
        <scheme val="minor"/>
      </rPr>
      <t xml:space="preserve"> like  percentage casualties from different sorts of volcanic action, durations of eruptions were used to get an informativeness factor (2) </t>
    </r>
    <r>
      <rPr>
        <b/>
        <sz val="11"/>
        <color theme="1"/>
        <rFont val="Calibri"/>
        <family val="2"/>
        <scheme val="minor"/>
      </rPr>
      <t>semi-quantitative weighted voting scheme</t>
    </r>
    <r>
      <rPr>
        <sz val="11"/>
        <color theme="1"/>
        <rFont val="Calibri"/>
        <family val="2"/>
        <scheme val="minor"/>
      </rPr>
      <t xml:space="preserve"> was used to help  decision-makers with both the central (optimal) value from the poll and a measure of the spread of views</t>
    </r>
  </si>
  <si>
    <t>The scientists working on the problem have a wide range of opinions about what the volcano might or might not do next.
Failure to address the probability of the volcanic eruption and the risk in the area led to EE</t>
  </si>
  <si>
    <t>Aspinall and Cooke (1998)</t>
  </si>
  <si>
    <t>Yucca Mountain, Nevada</t>
  </si>
  <si>
    <t>Seismic source characterization  and fault displacement evaluation</t>
  </si>
  <si>
    <t>Computed mean cumulative earthquake frequency curve for 3 seismic sources of the team with ground reality. 90% confidence intervals for cumulative earthquake frequencies overlapped the 90% confidence intervals from recorded seismicity.</t>
  </si>
  <si>
    <t>Yes. In terms of source geometries (fault-specific and area-specific), earthquake recurrence and maximum magnitudes. Epistemic uncertainty expressed by logic trees.</t>
  </si>
  <si>
    <t>6 expert teams with 3 experts in each team (professors, industrialists, consultants)</t>
  </si>
  <si>
    <r>
      <t xml:space="preserve">Stepp </t>
    </r>
    <r>
      <rPr>
        <i/>
        <sz val="11"/>
        <color theme="1"/>
        <rFont val="Calibri"/>
        <family val="2"/>
        <scheme val="minor"/>
      </rPr>
      <t>et al.</t>
    </r>
    <r>
      <rPr>
        <sz val="11"/>
        <color theme="1"/>
        <rFont val="Calibri"/>
        <family val="2"/>
        <scheme val="minor"/>
      </rPr>
      <t xml:space="preserve"> (2001)</t>
    </r>
  </si>
  <si>
    <t>New Zealand</t>
  </si>
  <si>
    <t>Estimate the seismic hazard in the Canterbury region</t>
  </si>
  <si>
    <t>Delphi method</t>
  </si>
  <si>
    <t>But they are trying to find answers to: 
1) "How to conduct unbiased and defensible model development?
2) How to develop appropriate calibration questions?"</t>
  </si>
  <si>
    <r>
      <rPr>
        <b/>
        <sz val="11"/>
        <color theme="1"/>
        <rFont val="Calibri"/>
        <family val="2"/>
        <scheme val="minor"/>
      </rPr>
      <t>Yes</t>
    </r>
    <r>
      <rPr>
        <sz val="11"/>
        <color theme="1"/>
        <rFont val="Calibri"/>
        <family val="2"/>
        <scheme val="minor"/>
      </rPr>
      <t>. The experts were supposed to estimate the uncertainties in their own
knowledge</t>
    </r>
  </si>
  <si>
    <t>Practical. If Seismic Hazard Modelling for the Recovery of Christchurch is successful, they will use similar method to up-date seismic hazard model for
all of New Zealand</t>
  </si>
  <si>
    <t>17 experts (seismologists, engineers, geologists from both early and late career with an experience of geology, seismology, statistical seismology, PSHA, ground motion prediction)</t>
  </si>
  <si>
    <t xml:space="preserve">Included because experts were asked to provide weightings to model parameters as well. Also, there is clear representation of expert elicitation being used in the context of the format of the elicitation procedure and the aggregation method. </t>
  </si>
  <si>
    <r>
      <t xml:space="preserve">Gerstenberger </t>
    </r>
    <r>
      <rPr>
        <i/>
        <sz val="11"/>
        <color theme="1"/>
        <rFont val="Calibri"/>
        <family val="2"/>
        <scheme val="minor"/>
      </rPr>
      <t xml:space="preserve">et al. </t>
    </r>
    <r>
      <rPr>
        <sz val="11"/>
        <color theme="1"/>
        <rFont val="Calibri"/>
        <family val="2"/>
        <scheme val="minor"/>
      </rPr>
      <t>(2014)</t>
    </r>
  </si>
  <si>
    <t>Australia</t>
  </si>
  <si>
    <t>National Seismic Hazard Assessment in Australia (Seismic source characterization and Ground motion characterization)</t>
  </si>
  <si>
    <t>Model weighting</t>
  </si>
  <si>
    <r>
      <rPr>
        <b/>
        <sz val="11"/>
        <color theme="1"/>
        <rFont val="Calibri"/>
        <family val="2"/>
        <scheme val="minor"/>
      </rPr>
      <t>Yes</t>
    </r>
    <r>
      <rPr>
        <sz val="11"/>
        <color theme="1"/>
        <rFont val="Calibri"/>
        <family val="2"/>
        <scheme val="minor"/>
      </rPr>
      <t>. E</t>
    </r>
    <r>
      <rPr>
        <b/>
        <sz val="11"/>
        <color theme="1"/>
        <rFont val="Calibri"/>
        <family val="2"/>
        <scheme val="minor"/>
      </rPr>
      <t>xpert judgement used to understand key uncertainties</t>
    </r>
    <r>
      <rPr>
        <sz val="11"/>
        <color theme="1"/>
        <rFont val="Calibri"/>
        <family val="2"/>
        <scheme val="minor"/>
      </rPr>
      <t xml:space="preserve"> in seismic hazard. All seismic hazard assessments are subject to uncertainty. Epistemic uncertainty around how seismic sources and ground motions should be characterised can be modelled through the use of logic trees where expert-assigned weights are given to different possible parameterisations.</t>
    </r>
  </si>
  <si>
    <t>Both</t>
  </si>
  <si>
    <t>15 experts</t>
  </si>
  <si>
    <r>
      <t xml:space="preserve">Griffin </t>
    </r>
    <r>
      <rPr>
        <i/>
        <sz val="11"/>
        <color theme="1"/>
        <rFont val="Calibri"/>
        <family val="2"/>
        <scheme val="minor"/>
      </rPr>
      <t xml:space="preserve">et al. </t>
    </r>
    <r>
      <rPr>
        <sz val="11"/>
        <color theme="1"/>
        <rFont val="Calibri"/>
        <family val="2"/>
        <scheme val="minor"/>
      </rPr>
      <t>(2018)</t>
    </r>
  </si>
  <si>
    <t>Volcan De Colima, Mexico</t>
  </si>
  <si>
    <t>To determine probability estimates of eruptions</t>
  </si>
  <si>
    <t>Delphi, Cooke method</t>
  </si>
  <si>
    <t>Against the eruption probability calculated at Volcán de Colima using the Non-homogeneous Generalized Pareto-Poisson Process (NHGPP) distribution by Mendoza-Rosas and De la Cruz-Reyna (2008)</t>
  </si>
  <si>
    <r>
      <rPr>
        <b/>
        <sz val="11"/>
        <color theme="1"/>
        <rFont val="Calibri"/>
        <family val="2"/>
        <scheme val="minor"/>
      </rPr>
      <t>Yes</t>
    </r>
    <r>
      <rPr>
        <sz val="11"/>
        <color theme="1"/>
        <rFont val="Calibri"/>
        <family val="2"/>
        <scheme val="minor"/>
      </rPr>
      <t>. Uncertainty associated with the experts responses given to these particular seed questions are established</t>
    </r>
  </si>
  <si>
    <t>12 experts (members of both the CIIV and the Colima Volcano Observatory,  scientists from the Universidad Nacional Autónoma de México (UNAM) and experts from the United Kingdom, Germany, Switzerland, and the United States)</t>
  </si>
  <si>
    <t>How likely is it that the current cycle of activity will end with a large explosive eruption? When could this happen and how large could such an eruption be? Survey done to find probability estimates of eruptions based on (1) different eruption magnitudes (VEI) and with varying time periods (1 month, 6 months, 1 year, 10 years, 50 years, and 100 years). (2) eruption magnitudes (VEI) and runout distances</t>
  </si>
  <si>
    <t>Fedde (2009)</t>
  </si>
  <si>
    <t>Whakaari/White Island, New Zealand</t>
  </si>
  <si>
    <t>To explore the utility of BN modeling for volcanic eruption forecasting</t>
  </si>
  <si>
    <t>See supplementary material</t>
  </si>
  <si>
    <t>GeoNet data is available free of charge. While GeoNet is committed to transparent data discoverability, the process of operationalizing data discovery for non-continuous data (e.g., monthly gas flights, gas isotope sampling results) was in its early stages at the time of our pilot study, and therefore not readily available for the model development. Thus, the parameters of the BN model were estimated by expert elicitation rather than from data.</t>
  </si>
  <si>
    <r>
      <t xml:space="preserve">Christophersen </t>
    </r>
    <r>
      <rPr>
        <i/>
        <sz val="11"/>
        <color theme="1"/>
        <rFont val="Calibri"/>
        <family val="2"/>
        <scheme val="minor"/>
      </rPr>
      <t>et al.</t>
    </r>
    <r>
      <rPr>
        <sz val="11"/>
        <color theme="1"/>
        <rFont val="Calibri"/>
        <family val="2"/>
        <scheme val="minor"/>
      </rPr>
      <t xml:space="preserve"> (2018)</t>
    </r>
  </si>
  <si>
    <t>Ventnor Undercliff, Isle of Wight, UK</t>
  </si>
  <si>
    <t>Landslides, climate change</t>
  </si>
  <si>
    <t>Likelihood of different landslide scenarios and their impacts</t>
  </si>
  <si>
    <t>Sheffield method</t>
  </si>
  <si>
    <t>Determine the losses for the next 50 years</t>
  </si>
  <si>
    <t>Panel took into account the historical evidence, together with the site investigation and stability analysis results.</t>
  </si>
  <si>
    <t>QRA was directed towards estimating the risk both under current conditions and in the future, taking account of the predicted changes in landslide behaviour due to climate change</t>
  </si>
  <si>
    <r>
      <t xml:space="preserve">Lee </t>
    </r>
    <r>
      <rPr>
        <i/>
        <sz val="11"/>
        <color theme="1"/>
        <rFont val="Calibri"/>
        <family val="2"/>
        <scheme val="minor"/>
      </rPr>
      <t>et al.</t>
    </r>
    <r>
      <rPr>
        <sz val="11"/>
        <color theme="1"/>
        <rFont val="Calibri"/>
        <family val="2"/>
        <scheme val="minor"/>
      </rPr>
      <t xml:space="preserve"> (2007)</t>
    </r>
  </si>
  <si>
    <t>General and England</t>
  </si>
  <si>
    <t>Landslide</t>
  </si>
  <si>
    <t>Risk-based benefit assessment of coastal cliff protection</t>
  </si>
  <si>
    <t>Undefined</t>
  </si>
  <si>
    <t>Talked about how t quantify uncertainty</t>
  </si>
  <si>
    <t>conditional probabilities of ground movement given a particular rainfall were obtained from expert judgement while the rainfall probabilities were obtained by statistical analysis of rainfall records.</t>
  </si>
  <si>
    <t>including and structuring expert judgements of failure probabilities were explored</t>
  </si>
  <si>
    <r>
      <t xml:space="preserve">Hall </t>
    </r>
    <r>
      <rPr>
        <i/>
        <sz val="11"/>
        <color theme="1"/>
        <rFont val="Calibri"/>
        <family val="2"/>
        <scheme val="minor"/>
      </rPr>
      <t>et al.</t>
    </r>
    <r>
      <rPr>
        <sz val="11"/>
        <color theme="1"/>
        <rFont val="Calibri"/>
        <family val="2"/>
        <scheme val="minor"/>
      </rPr>
      <t xml:space="preserve"> (2000)</t>
    </r>
  </si>
  <si>
    <t>Japan</t>
  </si>
  <si>
    <t>Earthquake and volcano</t>
  </si>
  <si>
    <t>To characterise long-term tectonic risks to radioactive waste repositories</t>
  </si>
  <si>
    <t>Teach how to carry out EE and also show its application in Japan</t>
  </si>
  <si>
    <t>The experts were asked to ascribe central value (median) estimate and confidence bounds to different cenarios</t>
  </si>
  <si>
    <t>A good example of how to weight expert judgements and present them is shown here.</t>
  </si>
  <si>
    <r>
      <t xml:space="preserve">Scourse </t>
    </r>
    <r>
      <rPr>
        <i/>
        <sz val="11"/>
        <color theme="1"/>
        <rFont val="Calibri"/>
        <family val="2"/>
        <scheme val="minor"/>
      </rPr>
      <t>et al.</t>
    </r>
    <r>
      <rPr>
        <sz val="11"/>
        <color theme="1"/>
        <rFont val="Calibri"/>
        <family val="2"/>
        <scheme val="minor"/>
      </rPr>
      <t xml:space="preserve"> (2008)</t>
    </r>
  </si>
  <si>
    <t>The Netherlands</t>
  </si>
  <si>
    <t>Flood</t>
  </si>
  <si>
    <t>to determine the effect of the uncertainties within the discharge distribution of a major bifurcation point of the Rhine river in the Netherlands for a flood wave of 16,000 m3/s using expert elicitation</t>
  </si>
  <si>
    <t>Delphi Method</t>
  </si>
  <si>
    <t>geometry, main channel and floodplain roughness are the most important sources of uncertainty. Very uncertainty driven article: discusses the six sources of uncertainty.</t>
  </si>
  <si>
    <t xml:space="preserve">Research institutes, consultancy firms and the governmental body responsible for the maintenance of the Dutch river Rhine branches have been contacted. They were asked whether they have employees with expertise in the research topic. </t>
  </si>
  <si>
    <t>Discharge distribution uncertainty has a crucial role in this flood risk assessment, because of the interaction between uncertain discharge distribution and the statistics of the water levels of the downstream branches</t>
  </si>
  <si>
    <t>In previous research
(Van der Sluijs et al., 2005; Warmink et al., 2011) expert elicitation showed to be a useful method when there is scarce or inconsistent data available.</t>
  </si>
  <si>
    <r>
      <t xml:space="preserve">Steenblik </t>
    </r>
    <r>
      <rPr>
        <i/>
        <sz val="11"/>
        <color theme="1"/>
        <rFont val="Calibri"/>
        <family val="2"/>
        <scheme val="minor"/>
      </rPr>
      <t>et al.</t>
    </r>
    <r>
      <rPr>
        <sz val="11"/>
        <color theme="1"/>
        <rFont val="Calibri"/>
        <family val="2"/>
        <scheme val="minor"/>
      </rPr>
      <t xml:space="preserve"> (2020)</t>
    </r>
  </si>
  <si>
    <t>Global</t>
  </si>
  <si>
    <t>Climate change hazard</t>
  </si>
  <si>
    <t>To examine the fusion of conﬂicting and not independent expert opinion in the Transferable Belief Model for Climate sensitivity, a key parameter to assess the severity of the global warming issue</t>
  </si>
  <si>
    <r>
      <t xml:space="preserve">Comparing our ﬁndings with recent results suggests that the plausibility that sensitivity is small (below 1.5 C) has decreased since 1995, while the plausibility that it is above 4.5 C remains high. The increase in the IPCC lower bound from 1.5 to 2 _x0002_C can be taken as a sign of this change. Thus, the fusion results are in better agreement with the more recent findings here. Use Hall </t>
    </r>
    <r>
      <rPr>
        <i/>
        <sz val="11"/>
        <color theme="1"/>
        <rFont val="Calibri"/>
        <family val="2"/>
        <scheme val="minor"/>
      </rPr>
      <t xml:space="preserve">et al. </t>
    </r>
    <r>
      <rPr>
        <sz val="11"/>
        <color theme="1"/>
        <rFont val="Calibri"/>
        <family val="2"/>
        <scheme val="minor"/>
      </rPr>
      <t xml:space="preserve">(2007), IPCC, and Kreigler </t>
    </r>
    <r>
      <rPr>
        <i/>
        <sz val="11"/>
        <color theme="1"/>
        <rFont val="Calibri"/>
        <family val="2"/>
        <scheme val="minor"/>
      </rPr>
      <t xml:space="preserve">et al. </t>
    </r>
    <r>
      <rPr>
        <sz val="11"/>
        <color theme="1"/>
        <rFont val="Calibri"/>
        <family val="2"/>
        <scheme val="minor"/>
      </rPr>
      <t xml:space="preserve">(2009) for comparison. </t>
    </r>
  </si>
  <si>
    <t>A hierarchical fusion procedure based on the partition of experts into schools of thought is introduced,  justiﬁed by the sociology of science concepts of epistemic communities and competing theories.</t>
  </si>
  <si>
    <t>Ha-Duong (2008)</t>
  </si>
  <si>
    <t>Climate Change</t>
  </si>
  <si>
    <t>key climate variables; nature of climate system and uncertainty in climate sensitivity (factors)</t>
  </si>
  <si>
    <t>Findings appeared to be at odds with the consensus view expressed in the IPCC document. The reason given was that IPCC followed a subjective, unstructured expert panel discussion to get the results as opposed to these researchers who followed the Delphi method.</t>
  </si>
  <si>
    <r>
      <rPr>
        <b/>
        <sz val="11"/>
        <color theme="1"/>
        <rFont val="Calibri"/>
        <family val="2"/>
        <scheme val="minor"/>
      </rPr>
      <t>Used expert judgement to quantify uncertainty</t>
    </r>
    <r>
      <rPr>
        <sz val="11"/>
        <color theme="1"/>
        <rFont val="Calibri"/>
        <family val="2"/>
        <scheme val="minor"/>
      </rPr>
      <t xml:space="preserve"> as well.Future uncertainty on climate was quantified.</t>
    </r>
  </si>
  <si>
    <t>U.S. climate scientists</t>
  </si>
  <si>
    <t>Responses were elicited in the form of subjective probability distributions, using standard methods from the literature</t>
  </si>
  <si>
    <t>Morgan and Keith (1995)</t>
  </si>
  <si>
    <t>Atlantic basin, U.S. and Caribbean</t>
  </si>
  <si>
    <t>Hurricane</t>
  </si>
  <si>
    <t xml:space="preserve">To develop an understanding of expected hurricane activities' rate assessment in the Atlantic basin and the U.S. region over the medium term 5-year (2006–2010) period. </t>
  </si>
  <si>
    <t>Compared activity in the basin elicited to the activity observed at landfall for the most critical Cat 3–5 hurricanes. Also, conducted a bootstrap analysis of 5-yr means generated from the historical record, for both U.S. Cat 1–5 and Cat 3–5 hurricanes</t>
  </si>
  <si>
    <t>Found the standard deviation for the results. uncertainty in the quality of the data and in the physical drivers of activity. Targets obtained from the elicitation process are within a third of a standard deviation of the expected values from the bootstrap analysis.</t>
  </si>
  <si>
    <t>Findings from the elicitation for the expected U.S. levels of activity were used for setting ac-tivity rates in the RMS U.S. hurricane model in the May 2006 model update. The results were included within the catastrophe loss models</t>
  </si>
  <si>
    <t>Professor Jim Elsner (Florida State University, expert in modelling hurricane climatology and activity), Professor Kerry Emanuel (Massachusetts Institute of Technology, expertise across various fields of hurricane research, including climatology), Tom Knutson (NOAA Geophysical Fluid Dynamics Laboratory, expert in hurricane climate modelling) and Professor Mark Saunders (University College London, expert in seasonal forecasting)</t>
  </si>
  <si>
    <t>In this context of uncertainty, both in the quality of the data and in the physical drivers of activity, one approach to supple-ment the information contained in the historical record is to use a formal process of expert elicitation</t>
  </si>
  <si>
    <r>
      <t xml:space="preserve">Lonfat </t>
    </r>
    <r>
      <rPr>
        <i/>
        <sz val="11"/>
        <color theme="1"/>
        <rFont val="Calibri"/>
        <family val="2"/>
        <scheme val="minor"/>
      </rPr>
      <t>et al.</t>
    </r>
    <r>
      <rPr>
        <sz val="11"/>
        <color theme="1"/>
        <rFont val="Calibri"/>
        <family val="2"/>
        <scheme val="minor"/>
      </rPr>
      <t xml:space="preserve"> (2007)</t>
    </r>
  </si>
  <si>
    <t>Pavia, Italy and General</t>
  </si>
  <si>
    <t>To quantify the seismic vulnerability of building types at different levels of earthquake shaking and to quantify objectively the uncertainties associated with their estimates</t>
  </si>
  <si>
    <t>Quantified the uncertainties associated with the expert's estimates</t>
  </si>
  <si>
    <t>The paper provides a very good lit review on use of EE (Cooke and Delphi) in seismic vulnerability of buildings.</t>
  </si>
  <si>
    <r>
      <t xml:space="preserve">Jaiswal </t>
    </r>
    <r>
      <rPr>
        <i/>
        <sz val="11"/>
        <color theme="1"/>
        <rFont val="Calibri"/>
        <family val="2"/>
        <scheme val="minor"/>
      </rPr>
      <t>et al.</t>
    </r>
    <r>
      <rPr>
        <sz val="11"/>
        <color theme="1"/>
        <rFont val="Calibri"/>
        <family val="2"/>
        <scheme val="minor"/>
      </rPr>
      <t xml:space="preserve"> (2012)</t>
    </r>
  </si>
  <si>
    <t>Germany</t>
  </si>
  <si>
    <t>To evaluate the Delphi method as a method to elicit expert knowledge and to support consensual results as a basis for the standardization of flood damage data collection</t>
  </si>
  <si>
    <t>In the future it could be very interesting to compare the experts' group opinion about the necessary information for comprehensive flood damage analysis with actual damage data to test the closeness of agreement and reveal differences.</t>
  </si>
  <si>
    <t>In this panel of 45 the four working fields are represented quite equally (10 insurances, 14 governmental agencies, 12 scientific institutions/universities, 9 engineering consultancy)</t>
  </si>
  <si>
    <t>Multi‐step Delphi method proved to reduce the deviation of answers thereby enabling consensual results and also enhanced the quality by modifying group answers in the direction of experience based answers. Curtis and Wood(24) describe the subject of elicitation theory as “to design the best way to interrogate experts or lay people … in order to obtain accurate information about a topic in question. ”</t>
  </si>
  <si>
    <t>While in this study probabilities play a minor role, the preliminaries like limited knowledge, prior experience, applying heuristics, herding behavior, and the aim of mitigating the resulting biases are the same as well as the aim to quantify expert opinions.
Like in many other countries a database with this kind of datasets does not exist in Germany. To establish it, standards have to be set for flood damage data collection. We approached this problem by questioning experts about their information needs for flood damage analysis.</t>
  </si>
  <si>
    <r>
      <t xml:space="preserve">Elmer </t>
    </r>
    <r>
      <rPr>
        <i/>
        <sz val="11"/>
        <color theme="1"/>
        <rFont val="Calibri"/>
        <family val="2"/>
        <scheme val="minor"/>
      </rPr>
      <t xml:space="preserve">et al. </t>
    </r>
    <r>
      <rPr>
        <sz val="11"/>
        <color theme="1"/>
        <rFont val="Calibri"/>
        <family val="2"/>
        <scheme val="minor"/>
      </rPr>
      <t>(2009)</t>
    </r>
  </si>
  <si>
    <t>United States, United Kingdom</t>
  </si>
  <si>
    <t>Climate change</t>
  </si>
  <si>
    <t>To quantify ice sheet contributions to future sea-level rise</t>
  </si>
  <si>
    <t>The findings of SEJ2018 cannot be directly compared with BA13 because the target questions differ, as do the temperature scenarios. The closest comparison that can be made between SEJ2018 and BA13 is for the latter’s cumulative 5/50/95% SLR
values of 10/29/84 cm for 2010–2100.
The present SEJ demonstrates a shift in expert opinion since BA13 (i.e., in 2012) when it was found that the GrIS had the narrowest 90% credible range but the largest median SLR rate (13). Here, the GrIS still has the largest median value (for both L and H), but the upper tail of the distribution is now comparable to that of the WAIS (Fig. 3A).</t>
  </si>
  <si>
    <t>quantified their uncertainties for three physical processes relevant to ice sheet mass balance: accumulation, discharge, and surface runoff</t>
  </si>
  <si>
    <t>BA13 = Bamber and Aspinall (2013)
AR5 =  Fifth Assessment Report (AR5) of the Intergovernmental Panel on Climate Change
Greenland, West Antarctic, and East Antarctic ice sheets (GrIS, WAIS, and EAIS, respectively)</t>
  </si>
  <si>
    <t xml:space="preserve">Future sea level rise (SLR) poses serious threats to the viability of coastal communities, but continues to be challenging to project using deterministic modeling approaches.the potential contributions of ice sheets remain the largest source of uncertainty in projecting future SLR. </t>
  </si>
  <si>
    <r>
      <t xml:space="preserve">Bamber </t>
    </r>
    <r>
      <rPr>
        <i/>
        <sz val="11"/>
        <color theme="1"/>
        <rFont val="Calibri"/>
        <family val="2"/>
        <scheme val="minor"/>
      </rPr>
      <t>et al.</t>
    </r>
    <r>
      <rPr>
        <sz val="11"/>
        <color theme="1"/>
        <rFont val="Calibri"/>
        <family val="2"/>
        <scheme val="minor"/>
      </rPr>
      <t xml:space="preserve"> (2019)</t>
    </r>
  </si>
  <si>
    <t>Sea level rise</t>
  </si>
  <si>
    <t>Identify and quantify uncertainties in future ice-sheet contributions and quantify the rate of sea-level rise due to the ice-sheet contributions at year 2100</t>
  </si>
  <si>
    <t>U pper 95 percentile estimate identical to the semi-empirical model upper value based on the Copenhagen Accord scenario. Our median, however, is about 35% lower than the semi-empirical model estimate for this scenario (61 versus 96 cm) or even for the RCP3-PD scenario, which involves aggressive mitigation.</t>
  </si>
  <si>
    <t>Of the 26 experts originally approached 14 responded to the first survey, and 13 of these repeated the second survey. Each expert was classified as an observational scientist, or a modeller to explore whether any systematic differences exist between these disciplines for any of the questions</t>
  </si>
  <si>
    <t>The survey was repeated in 2010 and 2012 with the same set of questions for two purposes: to assess whether and how views had evolved, and to obtain a measure of the stability of question responses where experts stated their view had not changed.</t>
  </si>
  <si>
    <t>The observational record is, however, short and, before the 1990s, poor. the use of whole ice-sheet numerical models to provide robust projections remains challenging.</t>
  </si>
  <si>
    <t>Bamber and Aspinall (2013)</t>
  </si>
  <si>
    <t>Atlantic meridional overturning circulation, the Greenland and West Antarctic ice sheets, the Amazon rainforest and ENSO</t>
  </si>
  <si>
    <t>To elicit subjective probability intervals for the occurrence of major restructuring of the Atlantic meridional overturning circulation, the Greenland and West Antarctic ice sheets, the Amazon rainforest and ENSO, under global warming</t>
  </si>
  <si>
    <t>We associate the response pattern with the inconclusive nature of evidence from model intercomparison studies of a collapse of Atlantic meridional overturning circulation in the long run. These results can be compared with a discussion of reasons for concern in the IPCC Third Assessment Report, which included large-scale climate system discontinuities. The qualitative assessment of increasing risk from such discontinuities for small to medium warming and high risk above 4 °C warming is broadly supported by our collection of expert estimates.</t>
  </si>
  <si>
    <t>Our questionnaire design with interactive consistency checks and a subsequent revision phase involving extensive E-mail communication mitigated differences in comprehension and commitment among participating experts.</t>
  </si>
  <si>
    <t>Check</t>
  </si>
  <si>
    <t>The current knowledge base about tipping points is poor, with very limited data and process understanding that would allow experts to update their beliefs</t>
  </si>
  <si>
    <r>
      <t xml:space="preserve">Kreigler </t>
    </r>
    <r>
      <rPr>
        <i/>
        <sz val="11"/>
        <color theme="1"/>
        <rFont val="Calibri"/>
        <family val="2"/>
        <scheme val="minor"/>
      </rPr>
      <t>et al.</t>
    </r>
    <r>
      <rPr>
        <sz val="11"/>
        <color theme="1"/>
        <rFont val="Calibri"/>
        <family val="2"/>
        <scheme val="minor"/>
      </rPr>
      <t xml:space="preserve">  (2009)</t>
    </r>
  </si>
  <si>
    <t>La Soufrière volcano, Guadeloupe</t>
  </si>
  <si>
    <t>To retrospectively analyse the 1976 Guadeloupe crisis using a BBN to provide inferential assessment of the state of the evolving magmatic system and probability of incipient eruption</t>
  </si>
  <si>
    <t>to use expert judgement to fully describe the stochastic and scientific uncertainties. The ability of the volcanologists to quantify uncertainty was therefore critical to the reliability of the model, and we used a structured elicitation procedure (described below) to obtain collective, quantified uncertainty distributions.</t>
  </si>
  <si>
    <t>volcanologists with expertise covering a range of relevant disciplines, some of whom were very familiar with the 1976 events. 
group of seven experts would be regarded as close to a minimum quorum, but here it is considered sufficient for deriving quantitative values for the BBN</t>
  </si>
  <si>
    <t>The principle here is not to enforce consensus but to be sure that all the pertinent evidence and arguments have been presented, and equally well-understood by the group.</t>
  </si>
  <si>
    <t>Because data from the 1976 episode were limited and it was necessary to use expert judgement to fully describe the stochastic and scientific uncertainties</t>
  </si>
  <si>
    <r>
      <t xml:space="preserve">Hinks </t>
    </r>
    <r>
      <rPr>
        <i/>
        <sz val="11"/>
        <color theme="1"/>
        <rFont val="Calibri"/>
        <family val="2"/>
        <scheme val="minor"/>
      </rPr>
      <t>et al.</t>
    </r>
    <r>
      <rPr>
        <sz val="11"/>
        <color theme="1"/>
        <rFont val="Calibri"/>
        <family val="2"/>
        <scheme val="minor"/>
      </rPr>
      <t xml:space="preserve">  (2014)</t>
    </r>
  </si>
  <si>
    <t>Europe</t>
  </si>
  <si>
    <t>Climate variation</t>
  </si>
  <si>
    <t>to assess the likelihood of Thermohaline Circulation collapse and different rates of accelerated climate change</t>
  </si>
  <si>
    <t>Usable responses were elicited from 13 and 9 experts for the Thermohaline and accelerated surveys, respectively. Despite reminders, a total of 17 failed to respond. Four of the Thermohaline survey respondents declined to participate, as did five of the accelerated change survey</t>
  </si>
  <si>
    <r>
      <t xml:space="preserve">Arnell </t>
    </r>
    <r>
      <rPr>
        <i/>
        <sz val="11"/>
        <color theme="1"/>
        <rFont val="Calibri"/>
        <family val="2"/>
        <scheme val="minor"/>
      </rPr>
      <t>et al.</t>
    </r>
    <r>
      <rPr>
        <sz val="11"/>
        <color theme="1"/>
        <rFont val="Calibri"/>
        <family val="2"/>
        <scheme val="minor"/>
      </rPr>
      <t xml:space="preserve"> (2005)</t>
    </r>
  </si>
  <si>
    <t>Cotopaxi and Guagua Pichincha volcanoes, Ecuador</t>
  </si>
  <si>
    <t>Conditional probabilities of experiencing different eruption types (and their main eruption source parameters)</t>
  </si>
  <si>
    <t>All expert names are provided in the paper citation</t>
  </si>
  <si>
    <t>questions were considered in two frameworks, namely the “next eruption” and the “next 100 years” cases, the latter being the probability of having at least one eruption type/magma composition within the next 100 years.</t>
  </si>
  <si>
    <t>To explicitly derive a unique credible uncertainty range and a corresponding elemental probability distribution for each of the investigated variables through weighted pooling of a group of experts’ uncertainty distributions</t>
  </si>
  <si>
    <r>
      <t xml:space="preserve">Tadini </t>
    </r>
    <r>
      <rPr>
        <i/>
        <sz val="11"/>
        <color theme="1"/>
        <rFont val="Calibri"/>
        <family val="2"/>
        <scheme val="minor"/>
      </rPr>
      <t xml:space="preserve">et al. </t>
    </r>
    <r>
      <rPr>
        <sz val="11"/>
        <color theme="1"/>
        <rFont val="Calibri"/>
        <family val="2"/>
        <scheme val="minor"/>
      </rPr>
      <t>(2021)</t>
    </r>
  </si>
  <si>
    <t>Ice sheet, sea level rise</t>
  </si>
  <si>
    <t>Probabilistic assessment of sea-level rise by AD 2100 and AD 2300 under two contrasting temperature scenarios</t>
  </si>
  <si>
    <t xml:space="preserve">Most experts estimate a larger sea-level rise by AD 2100 than the IPCC AR5 projects. The body of expert opinion is more in line with the recent NOAA sea-level scenarios. For the rise from AD 2000 to AD 2300, the median ‘likely’ range is 0.6–1.0 m for the low temperature scenario. This is significantly more optimistic than the semi-empirical model result of Schaeffer et al. (2012) that estimated 2.0 m of global rise for the same temperature scenario. The IPCC AR5 model spread for low emission scenarios (includes RCP 2.6) is 0.41–0.85 m by AD 2300. </t>
  </si>
  <si>
    <t>Large uncertainty surrounds projections of global sea-level rise, resulting from uncertainty about future warming and an incomplete understanding of the complex processes and feedback mechanisms that cause sea level to rise. Consequently, existing models produce widely differing predictions of sea-level rise even for the same temperature scenario.</t>
  </si>
  <si>
    <r>
      <t xml:space="preserve">Horton </t>
    </r>
    <r>
      <rPr>
        <i/>
        <sz val="11"/>
        <color theme="1"/>
        <rFont val="Calibri"/>
        <family val="2"/>
        <scheme val="minor"/>
      </rPr>
      <t>et al.</t>
    </r>
    <r>
      <rPr>
        <sz val="11"/>
        <color theme="1"/>
        <rFont val="Calibri"/>
        <family val="2"/>
        <scheme val="minor"/>
      </rPr>
      <t xml:space="preserve"> (2014)</t>
    </r>
  </si>
  <si>
    <t>Severn Estuary in the south-west of the UK</t>
  </si>
  <si>
    <t>Climate variation, sea level rise</t>
  </si>
  <si>
    <t>To elicit a suite of local projections, and associated uncertainties, for future SLR for the years 2050, 2100 and 2200</t>
  </si>
  <si>
    <t>The UK Climate Projections provide such estimates for locations on the Severn Estuary, and other projections are also available (e.g. Phillips and Crisp 2010; Severn Estuary Coastal Group and ATKINS 2010).  
Unlike frequentist probabilities, such as tossing a coin, or predictions that are easily tested after the event such as weather forecasts (Murphy and Winkler 1974), SLR projections for 2050, 2100 and 2200 cannot be calibrated.
Against the global median estimates of SLR – which ranged from 9.6 to 40 cm in the year 2050, 20–100 cm in 2100 and 35–300 cm in 2200 – were of the same order of magnitude as the IPCC’s Fourth and Fifth Assessment Reports</t>
  </si>
  <si>
    <t>Some are aleatory uncertainties, arising from factors such as random variability within a system, and are not reducible by further research. Others are epistemic, arising from things that could be known but are not, and can in theory be reduced by further research. These qualitative findings are supported by the quantitative data, which show that almost all judgements exhibit wide probability ranges and confidence intervals, indicating large uncertainties in projections.</t>
  </si>
  <si>
    <t>The experts consisted of six academics (specialising in coastal processes, hydrological modelling, climate change, coastal engineering, estuarine systems and meteorology), two national government officials, one local government official, one Environment Agency coastal engineer and one marine environmental consultant with expertise in sea-level processes, impacts and adaptation responses on the Severn Estuary.
This number of experts was deemed sufficient for our study as it covered all relevant fields and included leading figures in SLR on the Severn Estuary.</t>
  </si>
  <si>
    <t>Judgements were not combined.
Thematic analysis was cvarried out to explain how experts thought throughout the elicitation procedure. 
Our final limitation relates to the number of experts that we sampled. While structured elicitations can be carried out with smaller numbers of experts (Cooke and Goossens 2004 suggest a minimum of four), a greater number of experts would have allowed a more thorough exploration of how different roles and experiences may influence judgements, and could facilitate statistical comparisons between groups. This would be a productive avenue for further research.</t>
  </si>
  <si>
    <t>policy decisions will still need to be made in order to plan adaptation measures; and without assessments of the scale, magnitude and likelihood of future events, policy-makers will make their own assumptions about the probability of different outcomes</t>
  </si>
  <si>
    <r>
      <t xml:space="preserve">Thomas </t>
    </r>
    <r>
      <rPr>
        <i/>
        <sz val="11"/>
        <color theme="1"/>
        <rFont val="Calibri"/>
        <family val="2"/>
        <scheme val="minor"/>
      </rPr>
      <t xml:space="preserve">et al. </t>
    </r>
    <r>
      <rPr>
        <sz val="11"/>
        <color theme="1"/>
        <rFont val="Calibri"/>
        <family val="2"/>
        <scheme val="minor"/>
      </rPr>
      <t>(2016)</t>
    </r>
  </si>
  <si>
    <t>Okataina Volcanic Centre, New Zealand</t>
  </si>
  <si>
    <t>Volcano, earthquake</t>
  </si>
  <si>
    <t xml:space="preserve"> To define any additional a priori knowledge about future eruption locations and styles at the Okataina Volcanic Centre. Assess the likelihood of a future eruption occurring at one of the LVZs than at another area of the OVC</t>
  </si>
  <si>
    <t>With past data</t>
  </si>
  <si>
    <t>A group of ten scientists specialising in volcanology-related fields and/or the OVC participated in the session</t>
  </si>
  <si>
    <t>Limitation in my study: Cumulative evaluation of many different forms of prior knowledge, from advanced analytical and numerical models to past geological data and expert opinion, enables the consideration of all present knowledge about a well-studied volcano such as the OVC and the opportunity to build upon and integrate data from past studies</t>
  </si>
  <si>
    <t>Expert opinion can be a useful way to quantify a priori beliefs or experiential knowledge that are not captured in other sources of data</t>
  </si>
  <si>
    <r>
      <t xml:space="preserve">Thompson </t>
    </r>
    <r>
      <rPr>
        <i/>
        <sz val="11"/>
        <color theme="1"/>
        <rFont val="Calibri"/>
        <family val="2"/>
        <scheme val="minor"/>
      </rPr>
      <t xml:space="preserve">et al. </t>
    </r>
    <r>
      <rPr>
        <sz val="11"/>
        <color theme="1"/>
        <rFont val="Calibri"/>
        <family val="2"/>
        <scheme val="minor"/>
      </rPr>
      <t>(2015)</t>
    </r>
  </si>
  <si>
    <t>Fire</t>
  </si>
  <si>
    <t>Intensity and interval are based on expert elicitation</t>
  </si>
  <si>
    <t>Cross-checked with the published literature (details provided in the published lietrature as a supplementary matierial)</t>
  </si>
  <si>
    <t xml:space="preserve">The range of variation in interval and intensity were specified using categorical scales, reflecting both spatial and temporal variation in estimates. Estimates of the 50% (‘typical’) and 95% (upper ‘extreme’) quantiles of interval and intensity in each niche were then derived. </t>
  </si>
  <si>
    <r>
      <t xml:space="preserve">Murphy </t>
    </r>
    <r>
      <rPr>
        <i/>
        <sz val="11"/>
        <color theme="1"/>
        <rFont val="Calibri"/>
        <family val="2"/>
        <scheme val="minor"/>
      </rPr>
      <t>et al.</t>
    </r>
    <r>
      <rPr>
        <sz val="11"/>
        <color theme="1"/>
        <rFont val="Calibri"/>
        <family val="2"/>
        <scheme val="minor"/>
      </rPr>
      <t xml:space="preserve"> (2013)</t>
    </r>
  </si>
  <si>
    <t>Canary Islands, Spain</t>
  </si>
  <si>
    <t>To assign probabilities to the different possibilities indicated in the long-term volcanic hazards event tree for Teide-Pico Viejo stratovolcanoes</t>
  </si>
  <si>
    <t>The ultimate aim of a volcanic hazard event tree is to assign probabilities to the different eruption possibilities or scenarios that we can envisage from the eruption history of the volcano and our knowledge of other analogous volcanoes</t>
  </si>
  <si>
    <t>Assessing eruption risk scenarios in a probabilistic way is a challenge. the need to allow for several possible vent sites, instead of a single one as is the case in the previous models</t>
  </si>
  <si>
    <r>
      <t xml:space="preserve">Marti </t>
    </r>
    <r>
      <rPr>
        <i/>
        <sz val="11"/>
        <color theme="1"/>
        <rFont val="Calibri"/>
        <family val="2"/>
        <scheme val="minor"/>
      </rPr>
      <t xml:space="preserve">et al. </t>
    </r>
    <r>
      <rPr>
        <sz val="11"/>
        <color theme="1"/>
        <rFont val="Calibri"/>
        <family val="2"/>
        <scheme val="minor"/>
      </rPr>
      <t xml:space="preserve"> (2008)</t>
    </r>
  </si>
  <si>
    <t>To determine the relative frequency of occurrence of nine recognised manifestations of dynamic fire behaviours (DFB)</t>
  </si>
  <si>
    <t>Roughly half of the observations of DFBs in eighty fires were recorded as direct data, with a 49% average across all DFBs. The number of events where DFBs are supported by direct data indicate that there is potential for future quantitative studies.</t>
  </si>
  <si>
    <t xml:space="preserve"> 21 representatives from management agencies responsible for fire response in each state (in Australia forest and fire management is predominantly done at a state level). five experts from New South Wales (NSW, Table A1), four from Victoria (VIC, Table A2), and one each from South Australia (SA, Table A3) and Tasmania (TAS, Table A4)</t>
  </si>
  <si>
    <t>Little quantitative data on the frequency at which dynamic fire behaviour occur exists</t>
  </si>
  <si>
    <r>
      <t xml:space="preserve">Filkov </t>
    </r>
    <r>
      <rPr>
        <i/>
        <sz val="11"/>
        <color theme="1"/>
        <rFont val="Calibri"/>
        <family val="2"/>
        <scheme val="minor"/>
      </rPr>
      <t xml:space="preserve">et al. </t>
    </r>
    <r>
      <rPr>
        <sz val="11"/>
        <color theme="1"/>
        <rFont val="Calibri"/>
        <family val="2"/>
        <scheme val="minor"/>
      </rPr>
      <t>(2019)</t>
    </r>
  </si>
  <si>
    <t>Frequency of dynamic fire behaviours in Australian forest environments</t>
  </si>
  <si>
    <t>Gemany, Switzerland</t>
  </si>
  <si>
    <t>Seismic source characterization consists of probability models for: (1) spatial location of future earth­quakes, (2) geometry
of earthquake ruptures, (3) frequency and size distribution of earth­quakes, and (4) maximum earthquake magnitude</t>
  </si>
  <si>
    <t>Sheffield Method</t>
  </si>
  <si>
    <t>In specifying their models and parameters, the teams identified both aleatory variabilities (randomness in the earthquake process that includes physical attributes not modeled) and epistemic uncertainties (uncertainty due to lack of knowledge in the models of the earthquake process)</t>
  </si>
  <si>
    <t>Four teams consisting of three experts each conducted the seismic source characterization (subproject SP1), five individual experts addressed ground motion characterization (subproject
SP2), and four experts characterized the site response (subproject SP3).</t>
  </si>
  <si>
    <t>Not required</t>
  </si>
  <si>
    <r>
      <t xml:space="preserve">Coppersmith </t>
    </r>
    <r>
      <rPr>
        <i/>
        <sz val="11"/>
        <color theme="1"/>
        <rFont val="Calibri"/>
        <family val="2"/>
        <scheme val="minor"/>
      </rPr>
      <t xml:space="preserve">et al. </t>
    </r>
    <r>
      <rPr>
        <sz val="11"/>
        <color theme="1"/>
        <rFont val="Calibri"/>
        <family val="2"/>
        <scheme val="minor"/>
      </rPr>
      <t>(2009); Schmid and Slejko (2009)</t>
    </r>
  </si>
  <si>
    <t>Elicit both a probability distribution for the time to the next eruption at a specific volcano, and another (conditional on the repose time until the eruption) for its magnitude</t>
  </si>
  <si>
    <r>
      <t xml:space="preserve">Bebbington </t>
    </r>
    <r>
      <rPr>
        <i/>
        <sz val="11"/>
        <color theme="1"/>
        <rFont val="Calibri"/>
        <family val="2"/>
        <scheme val="minor"/>
      </rPr>
      <t>et al.</t>
    </r>
    <r>
      <rPr>
        <sz val="11"/>
        <color theme="1"/>
        <rFont val="Calibri"/>
        <family val="2"/>
        <scheme val="minor"/>
      </rPr>
      <t xml:space="preserve"> (2018)</t>
    </r>
  </si>
  <si>
    <t>Sete Cidades volcano (São Miguel Island, Azores</t>
  </si>
  <si>
    <t xml:space="preserve"> To systematize possible future eruptive scenarios and to aid the assessment of relative probabilities of occurrence of different potential eruptive styles. To identify the worst-case scenario and maximum expected events according to the eruptive scenarios.</t>
  </si>
  <si>
    <t>The conditional probabilities elicited for each eruptive scenario (Fig. 7) are seen to be in accord with some field evidence.</t>
  </si>
  <si>
    <t>Another EXPLORIS project</t>
  </si>
  <si>
    <r>
      <rPr>
        <b/>
        <sz val="11"/>
        <color theme="1"/>
        <rFont val="Calibri"/>
        <family val="2"/>
        <scheme val="minor"/>
      </rPr>
      <t>Compared to many other volcanoes, epistemic uncertainty is high for Sete Cidades, a volcano with no historical eruptions and a very short monitoring history.</t>
    </r>
    <r>
      <rPr>
        <sz val="11"/>
        <color theme="1"/>
        <rFont val="Calibri"/>
        <family val="2"/>
        <scheme val="minor"/>
      </rPr>
      <t xml:space="preserve">
Across the EXPLORIS Project, a structured expert elicitation procedure due to Cooke (1991) was implemented for parameter and probability uncertainty estimation, which can be used to complement more customary data analysis and interpretative approaches, especially where data are very sparse (for more details see, e.g., Neri et al., 2008-this issue).</t>
    </r>
  </si>
  <si>
    <r>
      <t xml:space="preserve">Queiroz </t>
    </r>
    <r>
      <rPr>
        <i/>
        <sz val="11"/>
        <color theme="1"/>
        <rFont val="Calibri"/>
        <family val="2"/>
        <scheme val="minor"/>
      </rPr>
      <t>et al.</t>
    </r>
    <r>
      <rPr>
        <sz val="11"/>
        <color theme="1"/>
        <rFont val="Calibri"/>
        <family val="2"/>
        <scheme val="minor"/>
      </rPr>
      <t xml:space="preserve"> (2008)</t>
    </r>
  </si>
  <si>
    <t>Vesuvius, Italy</t>
  </si>
  <si>
    <t xml:space="preserve">To provide an overall quantitative synoptic framework for comprehensive hazard evaluation and mapping of risk impacts for the next eruption of Vesuvius by observing the current conditions at the volcano and the state of contemporary scientiﬁc knowledge </t>
  </si>
  <si>
    <t xml:space="preserve">One other small difference can be noted when matching the concluding elicitation results with the results of statistical analysis of the historical dataset, outlined earlier (Fig. 3b). These are plotted together in Fig. 6b. This plot also seems to signify that the experts' (conditional) likelihood of experiencing a larger magnitude event in the next eruption is slightly higher than the ‘average’ historical behaviour would imply although, quite reasonably, the relative uncertainty spreads are higher for future activity than for past behaviour. </t>
  </si>
  <si>
    <t>More than 70 involved in total (1a to c)</t>
  </si>
  <si>
    <t>This paper describes what was included in the training before the elicitation.</t>
  </si>
  <si>
    <r>
      <t xml:space="preserve">Neri </t>
    </r>
    <r>
      <rPr>
        <i/>
        <sz val="11"/>
        <color theme="1"/>
        <rFont val="Calibri"/>
        <family val="2"/>
        <scheme val="minor"/>
      </rPr>
      <t>et al</t>
    </r>
    <r>
      <rPr>
        <sz val="11"/>
        <color theme="1"/>
        <rFont val="Calibri"/>
        <family val="2"/>
        <scheme val="minor"/>
      </rPr>
      <t>. (2008)</t>
    </r>
  </si>
  <si>
    <t>Journal of volcanology and geothermal research</t>
  </si>
  <si>
    <t>Soufrière Hills Volcano</t>
  </si>
  <si>
    <t>To populate a Bayesian network designed to help forecast future eruptive (in-)activity at Soufrière Hills Volcano</t>
  </si>
  <si>
    <t>We utilised an expert elicitation approach to quantify the judgements of ten experts, which included experienced volcanologists who were full-time staff at the observatory or members of the Scientific Advisory Committee.</t>
  </si>
  <si>
    <r>
      <t xml:space="preserve">Sheldrake </t>
    </r>
    <r>
      <rPr>
        <i/>
        <sz val="11"/>
        <color theme="1"/>
        <rFont val="Calibri"/>
        <family val="2"/>
        <scheme val="minor"/>
      </rPr>
      <t xml:space="preserve">et al. </t>
    </r>
    <r>
      <rPr>
        <sz val="11"/>
        <color theme="1"/>
        <rFont val="Calibri"/>
        <family val="2"/>
        <scheme val="minor"/>
      </rPr>
      <t>(2017)</t>
    </r>
  </si>
  <si>
    <t>General and United States</t>
  </si>
  <si>
    <t>Coastal hazard (coastal wave, erosion, and saltwater flooding)</t>
  </si>
  <si>
    <t>To estimate the extent of damage resulting from coastal wave, erosion, and saltwater flooding for residential and nonresidential structures and their contents to develop generic damage functions</t>
  </si>
  <si>
    <t>The study defined and discussed how uncertainty will be factored into estimates. the band of uncertainty for the elicitation damage functions developed. There is a lot of uncertainty in the estimates, but the models that they would be applied to were built to accommodate that uncertainty. To develop an uncertainty range for their damage percentages at various depths of flooding including a minimum, maximum, and most likely value</t>
  </si>
  <si>
    <t>These damage functions are anticipated to be predictive of the damages that would be incurred in future coastal events in the without-project condition, and will be used to improve analyses of economic justification of flood and storm risk management alternatives being considered for project planning areas.</t>
  </si>
  <si>
    <t>Structural, mechanical/ electrical and coastal engineers (including individuals who worked on post Sandy inspection and recovery) and technical expertise from insurance adjustors, actuarial specialists and restoration specialists familiar with the costs of repairs and content replacement</t>
  </si>
  <si>
    <r>
      <t xml:space="preserve">Coulbourne </t>
    </r>
    <r>
      <rPr>
        <i/>
        <sz val="11"/>
        <color theme="1"/>
        <rFont val="Calibri"/>
        <family val="2"/>
        <scheme val="minor"/>
      </rPr>
      <t xml:space="preserve">et al. </t>
    </r>
    <r>
      <rPr>
        <sz val="11"/>
        <color theme="1"/>
        <rFont val="Calibri"/>
        <family val="2"/>
        <scheme val="minor"/>
      </rPr>
      <t>(2015)</t>
    </r>
  </si>
  <si>
    <t>Vulnerability of bridges to scour during flood events by quantify scour risk</t>
  </si>
  <si>
    <t xml:space="preserve">They just considered the factors. The factors identified as important in assessments of scour risk are broadly consistent with industry guidance, except 4 of them. </t>
  </si>
  <si>
    <r>
      <rPr>
        <b/>
        <sz val="11"/>
        <color theme="1"/>
        <rFont val="Calibri"/>
        <family val="2"/>
        <scheme val="minor"/>
      </rPr>
      <t>Yes</t>
    </r>
    <r>
      <rPr>
        <sz val="11"/>
        <color theme="1"/>
        <rFont val="Calibri"/>
        <family val="2"/>
        <scheme val="minor"/>
      </rPr>
      <t xml:space="preserve">. Used expert elicitation to calculate uncertainties about the vulnerability of bridges to scour. </t>
    </r>
  </si>
  <si>
    <t>19 experts from organisations in the UK (12 experts), the USA (5), New Zealand (1) and Canada (1), including representatives from industry (9), academic researchers (5), and public agencies (5)</t>
  </si>
  <si>
    <t>This study does not identify the exact protocol but the steps followed show that they followed Cooke's approach. Their ultimate aim being to provide information for the development of fragility functions that may be applied within a broad-scale risk modelling framework.</t>
  </si>
  <si>
    <t>Yes (On request)</t>
  </si>
  <si>
    <t>Complexity of physical scour processes also leads to uncertainty in scour models. Uncertainties associated with assessment of scour risk, for example suggesting that some historical failures occurred after relatively minor ﬂood events rather than extreme ﬂoods</t>
  </si>
  <si>
    <r>
      <t xml:space="preserve">Lamb </t>
    </r>
    <r>
      <rPr>
        <i/>
        <sz val="11"/>
        <color theme="1"/>
        <rFont val="Calibri"/>
        <family val="2"/>
        <scheme val="minor"/>
      </rPr>
      <t xml:space="preserve">et al. </t>
    </r>
    <r>
      <rPr>
        <sz val="11"/>
        <color theme="1"/>
        <rFont val="Calibri"/>
        <family val="2"/>
        <scheme val="minor"/>
      </rPr>
      <t>(2017)</t>
    </r>
  </si>
  <si>
    <t>Debris flow</t>
  </si>
  <si>
    <t>Physical vulnerability of roads to debris flow (expressed through fragility functions that relate flow volume to damage probabilities)</t>
  </si>
  <si>
    <t>Events from A85 Glen Ogle and A83 Rest and be Thankful, Scotland in the UK and Chuncheon National Road 46the Republic of Korea were considered.</t>
  </si>
  <si>
    <t>Did take into consideration the uncertainty before finalizing the fragility curve</t>
  </si>
  <si>
    <r>
      <rPr>
        <b/>
        <sz val="11"/>
        <color theme="1"/>
        <rFont val="Calibri"/>
        <family val="2"/>
        <scheme val="minor"/>
      </rPr>
      <t xml:space="preserve">47 interntional experts </t>
    </r>
    <r>
      <rPr>
        <sz val="11"/>
        <color theme="1"/>
        <rFont val="Calibri"/>
        <family val="2"/>
        <scheme val="minor"/>
      </rPr>
      <t>(2 % academia, 51 % the commercial sector and 17 % governments)</t>
    </r>
  </si>
  <si>
    <t>Unknown value: This is the ﬁrst time that fragility curves have been developed for the effects of debris ﬂow on roads</t>
  </si>
  <si>
    <r>
      <t xml:space="preserve"> Winter </t>
    </r>
    <r>
      <rPr>
        <i/>
        <sz val="11"/>
        <color theme="1"/>
        <rFont val="Calibri"/>
        <family val="2"/>
        <scheme val="minor"/>
      </rPr>
      <t>et al.</t>
    </r>
    <r>
      <rPr>
        <sz val="11"/>
        <color theme="1"/>
        <rFont val="Calibri"/>
        <family val="2"/>
        <scheme val="minor"/>
      </rPr>
      <t xml:space="preserve"> (2014)</t>
    </r>
  </si>
  <si>
    <t>General and north-east Italy</t>
  </si>
  <si>
    <t>To explore and deﬁne a replicable methodological framework, to guide the assessment process of alternative adaptation policies to the impacts of SLR on coastal areas, taking into account the intrinsic complexity and uncertainty of the analysed system, and to demonstrate its use in the case study of a lagoon in north-east Italy</t>
  </si>
  <si>
    <t>the uncertainty surrounding the scientiﬁc understanding of causes and effects is increased by the complex interactions that link the environmental and the socio-economic systems. By integrating the data elicited from the experts to implementa BDN, various sources of uncertainty were quantitatively characterised and represented. They also proposed an experimental approach based upon a “local” and a “global” uncertainty analysis, focused on the effects of variations in the networks CPTs, induced using diverging opinions of the experts</t>
  </si>
  <si>
    <r>
      <t>The project launched and catalysed the local debate on climate change adaptation and demonstrated the capability of the proposed approach for effective and operational management of interdisciplinary knowledge in support of policy-and decision-making. The BDN model provided support for local discussions, in an effort to structure an informed and transparent decision-making process for the choice and implementation of adaptation measures.</t>
    </r>
    <r>
      <rPr>
        <b/>
        <sz val="11"/>
        <color theme="1"/>
        <rFont val="Calibri"/>
        <family val="2"/>
        <scheme val="minor"/>
      </rPr>
      <t xml:space="preserve"> The positive impact of the present study is demonstrated by the use of the outputs of the BDN model in a follow-up work for multi-criteria analysis, in a consultancy work (Catenacci et al., 2009; Catenacci and Ricci, 2010)</t>
    </r>
  </si>
  <si>
    <t>The criteria for experts’ selection proposed by Meyer and Booker (1991) and Cooke and Goossens (1999) were applied to identify the experts to be engaged in the elicitation process. The reputation and experience of the experts in the ﬁelds of interest were assessed, considering tangible evidence of expertise such as the years of service, number and quality of publications, the awards received and the direct involvement in projects concerning the assessment and the managementof the areaof study. An attempt was made to ensure disciplinary heterogeneity in the group of participants, by selecting at least one expert for each domain of knowledge</t>
  </si>
  <si>
    <t>Sheffield: to beneﬁt from the synergisms of inter-experts discussions and to identify the main components of the system and the cause-effect relationships among them.Cooke: conditional probabilities to feed the BDN, to collect detailed quantitative data, and also to analyse the expert’s problem-solving process (Meyer and Booker, 1991), while avoiding potential biases from group dynamics that could break the link between subjective probabilities and under-lying objective probabilities. Conditional probabilities, quantifying the causal links between the direct and indirect consequences of SLR on the area of study are elicited from experts.</t>
  </si>
  <si>
    <t>(1) to make up for the divergence among modelling outputs on the evolution of crucial variables, such as the future increase in sea level, the evolution of coastal morphology, the economic and policy scenarios; 
(2) to make up for the consequent uncertainty concerning the effectiveness of various possible adaptation measures; 
(3) to ﬁll the lack of quantitative data and the inadequate or incomplete evidences from models and empirical studies concerning the direct and indirect consequences of SLR on the area of study</t>
  </si>
  <si>
    <t>Catenacci and Giupponi (2013)</t>
  </si>
  <si>
    <t>Environmental modelling &amp; software</t>
  </si>
  <si>
    <t>The USA</t>
  </si>
  <si>
    <t>To forecast the number and intensity of storms for the upcoming season and to produce an estimate for the annual rate over the next 5 years in each category range. Also to obtain an indicator of the uncertainty surrounding these estimates by assigning a probability weight for each model reflecting the expert's   confidence in the models</t>
  </si>
  <si>
    <t xml:space="preserve">The prediction was made in October 2007. The 2008 hurricane season is, at the time of writing this article, already in full swing. </t>
  </si>
  <si>
    <t xml:space="preserve">The study says that they aim to obtain an indicator of the uncertainty surrounding the estimates, but it is not clear how this uncertainty was captured. Trial roulette and two stage elicitation was carried out. </t>
  </si>
  <si>
    <t>its results have very significant implications for the insurance of US property, collectively worth trillions of dollars. The end result of the elicitation was a prediction: we expect the 2008–2012 hurricane seasons to be relatively active with, on average, about two hurricanes per year striking the US coastline, one of which is likely to be category 3 or higher.</t>
  </si>
  <si>
    <t>Suzana Camargo (Columbia University),
Johnny Chan (City University, Hong Kong),
Bob Hart (Florida State University),
Greg Holland (US National Center for Atmospheric Research),
John Knaff (US National Oceanic and Atmospheric Administration),
Johan Nyberg (Geological Survey of Sweden) and
Gabriel Vecchi (US National Oceanic and Atmospheric Administration)</t>
  </si>
  <si>
    <t>Third attempt by RMS</t>
  </si>
  <si>
    <t xml:space="preserve">All of our models produced different predictions for the next 5 years. Although some fitted the observed historic data better than others, this alone was not seen as a clear indicator of which models should be preferred. </t>
  </si>
  <si>
    <r>
      <t xml:space="preserve">O'Hagan </t>
    </r>
    <r>
      <rPr>
        <i/>
        <sz val="11"/>
        <color theme="1"/>
        <rFont val="Calibri"/>
        <family val="2"/>
        <scheme val="minor"/>
      </rPr>
      <t xml:space="preserve">et al.  </t>
    </r>
    <r>
      <rPr>
        <sz val="11"/>
        <color theme="1"/>
        <rFont val="Calibri"/>
        <family val="2"/>
        <scheme val="minor"/>
      </rPr>
      <t>(2008)</t>
    </r>
  </si>
  <si>
    <t xml:space="preserve">Thesis Title: Belief-based probabilistic methods and serious games for landslides: A case study in the Darjeeling Himalayas, India
</t>
  </si>
  <si>
    <t xml:space="preserve">By Shreyasi Choudhury, King’s College London, UK.
</t>
  </si>
  <si>
    <t>Choudhury, S., Malamud, B.D., Donovan, A., 2023. Appendices for the thesis ‘Belief-based probabilistic methods and serious games for landslides: A case study in the Darjeeling Himalayas, India’.</t>
  </si>
  <si>
    <r>
      <t>Appendix 4A. 39 peer-reviewed articles published from 1990 – 2021 (inclusive) identified</t>
    </r>
    <r>
      <rPr>
        <sz val="14"/>
        <color theme="5" tint="-0.499984740745262"/>
        <rFont val="Calibri Light"/>
        <family val="2"/>
        <scheme val="major"/>
      </rPr>
      <t xml:space="preserve"> using a step-by-step process described in Section 4.3.1 (Methodology to create the evidence database) and also shown in Figure 4.2 (Flowchart for publication selection for expert elicitation-based natural hazard studies). The 39 peer-reviewed articles were characterised by: study location, hazard assessed, elicitation protocol, research aim, uncertainty quantification, confrontation of results, comparison of expert elicitation results with other types of evidence), generalizability of methods (theoretical or practical), number of experts used for each study reviewed, year of publication, and the accessibility to the questions asked to the experts.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</si>
</sst>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b/>
      <sz val="12"/>
      <color theme="1"/>
      <name val="Calibri"/>
      <family val="2"/>
      <scheme val="minor"/>
    </font>
    <font>
      <b/>
      <sz val="11"/>
      <color theme="1"/>
      <name val="Segoe UI Symbol"/>
      <family val="2"/>
    </font>
    <font>
      <i/>
      <sz val="11"/>
      <color theme="1"/>
      <name val="Calibri"/>
      <family val="2"/>
      <scheme val="minor"/>
    </font>
    <font>
      <sz val="10"/>
      <color rgb="FFB00500"/>
      <name val="Consolas"/>
      <family val="3"/>
    </font>
    <font>
      <i/>
      <sz val="9"/>
      <color theme="1"/>
      <name val="AdvM7571"/>
    </font>
    <font>
      <b/>
      <sz val="14"/>
      <color rgb="FF002060"/>
      <name val="Calibri"/>
      <family val="2"/>
      <scheme val="minor"/>
    </font>
    <font>
      <b/>
      <sz val="14"/>
      <color theme="5" tint="-0.499984740745262"/>
      <name val="Calibri Light"/>
      <family val="2"/>
      <scheme val="major"/>
    </font>
    <font>
      <sz val="14"/>
      <color theme="5" tint="-0.499984740745262"/>
      <name val="Calibri Light"/>
      <family val="2"/>
      <scheme val="major"/>
    </font>
  </fonts>
  <fills count="4">
    <fill>
      <patternFill patternType="none"/>
    </fill>
    <fill>
      <patternFill patternType="gray125"/>
    </fill>
    <fill>
      <patternFill patternType="solid">
        <fgColor theme="9" tint="0.79998168889431442"/>
        <bgColor indexed="64"/>
      </patternFill>
    </fill>
    <fill>
      <patternFill patternType="solid">
        <fgColor theme="2" tint="-9.9978637043366805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5" fillId="0" borderId="0" xfId="0" applyFont="1" applyAlignment="1">
      <alignment horizontal="left" vertical="center" indent="2"/>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6" fillId="0" borderId="1" xfId="0" applyFont="1" applyBorder="1" applyAlignment="1">
      <alignment vertical="center" wrapText="1"/>
    </xf>
    <xf numFmtId="0" fontId="0" fillId="0" borderId="0" xfId="0" applyAlignment="1">
      <alignment horizontal="left" vertical="center" wrapText="1"/>
    </xf>
    <xf numFmtId="0" fontId="0" fillId="3" borderId="1" xfId="0" applyFill="1" applyBorder="1" applyAlignment="1">
      <alignmen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wrapText="1"/>
    </xf>
    <xf numFmtId="0" fontId="0" fillId="0" borderId="3" xfId="0" applyBorder="1" applyAlignment="1">
      <alignment vertical="center"/>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left" vertical="center"/>
    </xf>
    <xf numFmtId="0" fontId="0" fillId="0" borderId="4" xfId="0" applyBorder="1" applyAlignment="1">
      <alignment vertical="center" wrapText="1"/>
    </xf>
    <xf numFmtId="0" fontId="0" fillId="0" borderId="5" xfId="0" applyBorder="1" applyAlignment="1">
      <alignment horizontal="center" vertical="center" wrapText="1"/>
    </xf>
    <xf numFmtId="0" fontId="0" fillId="0" borderId="0" xfId="0" applyAlignment="1">
      <alignment horizontal="left" vertical="center"/>
    </xf>
    <xf numFmtId="0" fontId="0" fillId="0" borderId="0" xfId="0" applyAlignment="1">
      <alignment wrapText="1"/>
    </xf>
    <xf numFmtId="0" fontId="7" fillId="0" borderId="0" xfId="0" applyFont="1" applyAlignment="1">
      <alignment vertical="center"/>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28F4-A0F2-467B-B37C-7DC05C3BA380}">
  <dimension ref="A1:X85"/>
  <sheetViews>
    <sheetView tabSelected="1" workbookViewId="0">
      <selection activeCell="A5" sqref="A5:T9"/>
    </sheetView>
  </sheetViews>
  <sheetFormatPr defaultColWidth="9.140625" defaultRowHeight="15"/>
  <cols>
    <col min="1" max="1" width="9.140625" style="1"/>
    <col min="2" max="2" width="17" style="2" customWidth="1"/>
    <col min="3" max="3" width="13.42578125" style="1" customWidth="1"/>
    <col min="4" max="4" width="26.7109375" style="2" customWidth="1"/>
    <col min="5" max="5" width="13.7109375" style="1" customWidth="1"/>
    <col min="6" max="6" width="19.140625" style="1" customWidth="1"/>
    <col min="7" max="7" width="29.5703125" style="1" customWidth="1"/>
    <col min="8" max="8" width="12.5703125" style="3" customWidth="1"/>
    <col min="9" max="9" width="30.42578125" style="1" customWidth="1"/>
    <col min="10" max="10" width="13.85546875" style="3" customWidth="1"/>
    <col min="11" max="11" width="25.42578125" style="27" customWidth="1"/>
    <col min="12" max="12" width="25.42578125" style="3" customWidth="1"/>
    <col min="13" max="13" width="38.7109375" style="1" customWidth="1"/>
    <col min="14" max="14" width="45.85546875" style="1" customWidth="1"/>
    <col min="15" max="15" width="18.7109375" style="1" customWidth="1"/>
    <col min="16" max="16" width="23.85546875" style="1" customWidth="1"/>
    <col min="17" max="17" width="11.42578125" style="2" customWidth="1"/>
    <col min="18" max="18" width="12.85546875" style="1" hidden="1" customWidth="1"/>
    <col min="19" max="19" width="0" style="1" hidden="1" customWidth="1"/>
    <col min="20" max="20" width="14" style="1" customWidth="1"/>
    <col min="21" max="16384" width="9.140625" style="1"/>
  </cols>
  <sheetData>
    <row r="1" spans="1:24" ht="18.75">
      <c r="A1" s="29" t="s">
        <v>299</v>
      </c>
      <c r="C1" s="2"/>
      <c r="D1" s="1"/>
      <c r="E1" s="2"/>
      <c r="F1" s="2"/>
      <c r="G1" s="16"/>
      <c r="H1" s="16"/>
      <c r="I1" s="2"/>
      <c r="J1" s="1"/>
      <c r="K1" s="1"/>
      <c r="L1" s="1"/>
      <c r="Q1" s="1"/>
    </row>
    <row r="2" spans="1:24" ht="18.75">
      <c r="A2" s="29" t="s">
        <v>300</v>
      </c>
      <c r="C2" s="2"/>
      <c r="D2" s="1"/>
      <c r="E2" s="2"/>
      <c r="F2" s="2"/>
      <c r="G2" s="16"/>
      <c r="H2" s="16"/>
      <c r="I2" s="2"/>
      <c r="J2" s="1"/>
      <c r="K2" s="1"/>
      <c r="L2" s="1"/>
      <c r="Q2" s="1"/>
    </row>
    <row r="3" spans="1:24" ht="18.75">
      <c r="A3" s="29" t="s">
        <v>301</v>
      </c>
      <c r="B3" s="29"/>
      <c r="C3" s="29"/>
      <c r="D3" s="29"/>
      <c r="E3" s="29"/>
      <c r="F3" s="29"/>
      <c r="G3" s="29"/>
      <c r="H3" s="29"/>
      <c r="J3" s="1"/>
      <c r="K3" s="1"/>
      <c r="L3" s="1"/>
      <c r="Q3" s="1"/>
    </row>
    <row r="5" spans="1:24" ht="15" customHeight="1">
      <c r="A5" s="30" t="s">
        <v>302</v>
      </c>
      <c r="B5" s="30"/>
      <c r="C5" s="30"/>
      <c r="D5" s="30"/>
      <c r="E5" s="30"/>
      <c r="F5" s="30"/>
      <c r="G5" s="30"/>
      <c r="H5" s="30"/>
      <c r="I5" s="30"/>
      <c r="J5" s="30"/>
      <c r="K5" s="30"/>
      <c r="L5" s="30"/>
      <c r="M5" s="30"/>
      <c r="N5" s="30"/>
      <c r="O5" s="30"/>
      <c r="P5" s="30"/>
      <c r="Q5" s="30"/>
      <c r="R5" s="30"/>
      <c r="S5" s="30"/>
      <c r="T5" s="30"/>
    </row>
    <row r="6" spans="1:24">
      <c r="A6" s="30"/>
      <c r="B6" s="30"/>
      <c r="C6" s="30"/>
      <c r="D6" s="30"/>
      <c r="E6" s="30"/>
      <c r="F6" s="30"/>
      <c r="G6" s="30"/>
      <c r="H6" s="30"/>
      <c r="I6" s="30"/>
      <c r="J6" s="30"/>
      <c r="K6" s="30"/>
      <c r="L6" s="30"/>
      <c r="M6" s="30"/>
      <c r="N6" s="30"/>
      <c r="O6" s="30"/>
      <c r="P6" s="30"/>
      <c r="Q6" s="30"/>
      <c r="R6" s="30"/>
      <c r="S6" s="30"/>
      <c r="T6" s="30"/>
    </row>
    <row r="7" spans="1:24">
      <c r="A7" s="30"/>
      <c r="B7" s="30"/>
      <c r="C7" s="30"/>
      <c r="D7" s="30"/>
      <c r="E7" s="30"/>
      <c r="F7" s="30"/>
      <c r="G7" s="30"/>
      <c r="H7" s="30"/>
      <c r="I7" s="30"/>
      <c r="J7" s="30"/>
      <c r="K7" s="30"/>
      <c r="L7" s="30"/>
      <c r="M7" s="30"/>
      <c r="N7" s="30"/>
      <c r="O7" s="30"/>
      <c r="P7" s="30"/>
      <c r="Q7" s="30"/>
      <c r="R7" s="30"/>
      <c r="S7" s="30"/>
      <c r="T7" s="30"/>
    </row>
    <row r="8" spans="1:24" ht="20.25" customHeight="1">
      <c r="A8" s="30"/>
      <c r="B8" s="30"/>
      <c r="C8" s="30"/>
      <c r="D8" s="30"/>
      <c r="E8" s="30"/>
      <c r="F8" s="30"/>
      <c r="G8" s="30"/>
      <c r="H8" s="30"/>
      <c r="I8" s="30"/>
      <c r="J8" s="30"/>
      <c r="K8" s="30"/>
      <c r="L8" s="30"/>
      <c r="M8" s="30"/>
      <c r="N8" s="30"/>
      <c r="O8" s="30"/>
      <c r="P8" s="30"/>
      <c r="Q8" s="30"/>
      <c r="R8" s="30"/>
      <c r="S8" s="30"/>
      <c r="T8" s="30"/>
    </row>
    <row r="9" spans="1:24" ht="6.75" customHeight="1">
      <c r="A9" s="30"/>
      <c r="B9" s="30"/>
      <c r="C9" s="30"/>
      <c r="D9" s="30"/>
      <c r="E9" s="30"/>
      <c r="F9" s="30"/>
      <c r="G9" s="30"/>
      <c r="H9" s="30"/>
      <c r="I9" s="30"/>
      <c r="J9" s="30"/>
      <c r="K9" s="30"/>
      <c r="L9" s="30"/>
      <c r="M9" s="30"/>
      <c r="N9" s="30"/>
      <c r="O9" s="30"/>
      <c r="P9" s="30"/>
      <c r="Q9" s="30"/>
      <c r="R9" s="30"/>
      <c r="S9" s="30"/>
      <c r="T9" s="30"/>
    </row>
    <row r="10" spans="1:24">
      <c r="J10" s="1"/>
      <c r="K10" s="1"/>
      <c r="L10" s="1"/>
      <c r="Q10" s="1"/>
    </row>
    <row r="11" spans="1:24" s="2" customFormat="1" ht="39" customHeight="1">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1"/>
      <c r="V11" s="1"/>
    </row>
    <row r="12" spans="1:24" ht="90">
      <c r="A12" s="5">
        <v>1</v>
      </c>
      <c r="B12" s="6" t="s">
        <v>20</v>
      </c>
      <c r="C12" s="7" t="s">
        <v>21</v>
      </c>
      <c r="D12" s="6" t="s">
        <v>22</v>
      </c>
      <c r="E12" s="6" t="s">
        <v>23</v>
      </c>
      <c r="F12" s="8" t="s">
        <v>24</v>
      </c>
      <c r="G12" s="6" t="s">
        <v>25</v>
      </c>
      <c r="H12" s="8" t="s">
        <v>26</v>
      </c>
      <c r="I12" s="6" t="s">
        <v>27</v>
      </c>
      <c r="J12" s="8" t="s">
        <v>28</v>
      </c>
      <c r="K12" s="9" t="s">
        <v>28</v>
      </c>
      <c r="L12" s="8" t="s">
        <v>29</v>
      </c>
      <c r="M12" s="7" t="s">
        <v>30</v>
      </c>
      <c r="N12" s="6" t="s">
        <v>31</v>
      </c>
      <c r="O12" s="6" t="s">
        <v>32</v>
      </c>
      <c r="P12" s="6" t="s">
        <v>33</v>
      </c>
      <c r="Q12" s="6" t="s">
        <v>34</v>
      </c>
      <c r="R12" s="7"/>
      <c r="S12" s="7"/>
      <c r="T12" s="7" t="str">
        <f>MID(Q12,FIND("(",Q12)+1,FIND(")",Q12)-FIND("(",Q12)-1)</f>
        <v>2008</v>
      </c>
    </row>
    <row r="13" spans="1:24" ht="120">
      <c r="A13" s="5">
        <v>2</v>
      </c>
      <c r="B13" s="6" t="s">
        <v>35</v>
      </c>
      <c r="C13" s="7" t="s">
        <v>36</v>
      </c>
      <c r="D13" s="6" t="s">
        <v>37</v>
      </c>
      <c r="E13" s="6" t="s">
        <v>38</v>
      </c>
      <c r="F13" s="8" t="s">
        <v>24</v>
      </c>
      <c r="G13" s="10"/>
      <c r="H13" s="8" t="s">
        <v>26</v>
      </c>
      <c r="I13" s="6" t="s">
        <v>39</v>
      </c>
      <c r="J13" s="8" t="s">
        <v>28</v>
      </c>
      <c r="K13" s="9" t="s">
        <v>28</v>
      </c>
      <c r="L13" s="8" t="s">
        <v>29</v>
      </c>
      <c r="M13" s="6" t="s">
        <v>40</v>
      </c>
      <c r="N13" s="6" t="s">
        <v>41</v>
      </c>
      <c r="O13" s="6" t="s">
        <v>42</v>
      </c>
      <c r="P13" s="6"/>
      <c r="Q13" s="6" t="s">
        <v>43</v>
      </c>
      <c r="R13" s="7"/>
      <c r="S13" s="7"/>
      <c r="T13" s="7" t="str">
        <f t="shared" ref="T13:T48" si="0">MID(Q13,FIND("(",Q13)+1,FIND(")",Q13)-FIND("(",Q13)-1)</f>
        <v>1997</v>
      </c>
      <c r="X13" s="11"/>
    </row>
    <row r="14" spans="1:24" ht="135">
      <c r="A14" s="5">
        <v>3</v>
      </c>
      <c r="B14" s="6" t="s">
        <v>44</v>
      </c>
      <c r="C14" s="6" t="s">
        <v>21</v>
      </c>
      <c r="D14" s="6" t="s">
        <v>45</v>
      </c>
      <c r="E14" s="6" t="s">
        <v>23</v>
      </c>
      <c r="F14" s="8" t="s">
        <v>24</v>
      </c>
      <c r="G14" s="6" t="s">
        <v>46</v>
      </c>
      <c r="H14" s="8" t="s">
        <v>26</v>
      </c>
      <c r="I14" s="6" t="s">
        <v>47</v>
      </c>
      <c r="J14" s="8" t="s">
        <v>48</v>
      </c>
      <c r="K14" s="12" t="s">
        <v>49</v>
      </c>
      <c r="L14" s="8">
        <v>55</v>
      </c>
      <c r="M14" s="6" t="s">
        <v>50</v>
      </c>
      <c r="N14" s="6" t="s">
        <v>51</v>
      </c>
      <c r="O14" s="6" t="s">
        <v>42</v>
      </c>
      <c r="P14" s="6" t="s">
        <v>52</v>
      </c>
      <c r="Q14" s="6" t="s">
        <v>53</v>
      </c>
      <c r="R14" s="7"/>
      <c r="S14" s="7"/>
      <c r="T14" s="7" t="str">
        <f t="shared" si="0"/>
        <v>1998</v>
      </c>
    </row>
    <row r="15" spans="1:24" ht="135">
      <c r="A15" s="5">
        <v>4</v>
      </c>
      <c r="B15" s="6" t="s">
        <v>54</v>
      </c>
      <c r="C15" s="6" t="s">
        <v>36</v>
      </c>
      <c r="D15" s="6" t="s">
        <v>55</v>
      </c>
      <c r="E15" s="6" t="s">
        <v>23</v>
      </c>
      <c r="F15" s="8" t="s">
        <v>26</v>
      </c>
      <c r="G15" s="6" t="s">
        <v>56</v>
      </c>
      <c r="H15" s="8" t="s">
        <v>26</v>
      </c>
      <c r="I15" s="6" t="s">
        <v>57</v>
      </c>
      <c r="J15" s="8" t="s">
        <v>28</v>
      </c>
      <c r="K15" s="9" t="s">
        <v>28</v>
      </c>
      <c r="L15" s="8">
        <v>18</v>
      </c>
      <c r="M15" s="6" t="s">
        <v>58</v>
      </c>
      <c r="N15" s="6"/>
      <c r="O15" s="6"/>
      <c r="P15" s="6"/>
      <c r="Q15" s="6" t="s">
        <v>59</v>
      </c>
      <c r="R15" s="7"/>
      <c r="S15" s="7"/>
      <c r="T15" s="7" t="str">
        <f t="shared" si="0"/>
        <v>2001</v>
      </c>
    </row>
    <row r="16" spans="1:24" ht="105">
      <c r="A16" s="5">
        <v>5</v>
      </c>
      <c r="B16" s="6" t="s">
        <v>60</v>
      </c>
      <c r="C16" s="6" t="s">
        <v>36</v>
      </c>
      <c r="D16" s="6" t="s">
        <v>61</v>
      </c>
      <c r="E16" s="6" t="s">
        <v>62</v>
      </c>
      <c r="F16" s="8" t="s">
        <v>24</v>
      </c>
      <c r="G16" s="6" t="s">
        <v>63</v>
      </c>
      <c r="H16" s="8" t="s">
        <v>26</v>
      </c>
      <c r="I16" s="6" t="s">
        <v>64</v>
      </c>
      <c r="J16" s="8" t="s">
        <v>48</v>
      </c>
      <c r="K16" s="9" t="s">
        <v>65</v>
      </c>
      <c r="L16" s="8">
        <v>17</v>
      </c>
      <c r="M16" s="6" t="s">
        <v>66</v>
      </c>
      <c r="N16" s="6" t="s">
        <v>67</v>
      </c>
      <c r="O16" s="6"/>
      <c r="P16" s="6"/>
      <c r="Q16" s="6" t="s">
        <v>68</v>
      </c>
      <c r="R16" s="7"/>
      <c r="S16" s="7"/>
      <c r="T16" s="7" t="str">
        <f t="shared" si="0"/>
        <v>2014</v>
      </c>
    </row>
    <row r="17" spans="1:20" ht="195">
      <c r="A17" s="5">
        <v>6</v>
      </c>
      <c r="B17" s="6" t="s">
        <v>69</v>
      </c>
      <c r="C17" s="6" t="s">
        <v>36</v>
      </c>
      <c r="D17" s="6" t="s">
        <v>70</v>
      </c>
      <c r="E17" s="6" t="s">
        <v>23</v>
      </c>
      <c r="F17" s="8" t="s">
        <v>24</v>
      </c>
      <c r="G17" s="6" t="s">
        <v>71</v>
      </c>
      <c r="H17" s="8" t="s">
        <v>26</v>
      </c>
      <c r="I17" s="6" t="s">
        <v>72</v>
      </c>
      <c r="J17" s="8" t="s">
        <v>73</v>
      </c>
      <c r="K17" s="8" t="s">
        <v>48</v>
      </c>
      <c r="L17" s="8">
        <v>15</v>
      </c>
      <c r="M17" s="6" t="s">
        <v>74</v>
      </c>
      <c r="N17" s="6"/>
      <c r="O17" s="6" t="s">
        <v>26</v>
      </c>
      <c r="P17" s="6"/>
      <c r="Q17" s="6" t="s">
        <v>75</v>
      </c>
      <c r="R17" s="7"/>
      <c r="S17" s="7"/>
      <c r="T17" s="7" t="str">
        <f t="shared" si="0"/>
        <v>2018</v>
      </c>
    </row>
    <row r="18" spans="1:20" s="2" customFormat="1" ht="135">
      <c r="A18" s="5">
        <v>7</v>
      </c>
      <c r="B18" s="6" t="s">
        <v>76</v>
      </c>
      <c r="C18" s="6" t="s">
        <v>21</v>
      </c>
      <c r="D18" s="6" t="s">
        <v>77</v>
      </c>
      <c r="E18" s="6" t="s">
        <v>78</v>
      </c>
      <c r="F18" s="8" t="s">
        <v>26</v>
      </c>
      <c r="G18" s="6" t="s">
        <v>79</v>
      </c>
      <c r="H18" s="8" t="s">
        <v>26</v>
      </c>
      <c r="I18" s="6" t="s">
        <v>80</v>
      </c>
      <c r="J18" s="8" t="s">
        <v>73</v>
      </c>
      <c r="K18" s="9" t="s">
        <v>28</v>
      </c>
      <c r="L18" s="8">
        <v>12</v>
      </c>
      <c r="M18" s="6" t="s">
        <v>81</v>
      </c>
      <c r="N18" s="6" t="s">
        <v>82</v>
      </c>
      <c r="O18" s="6" t="s">
        <v>26</v>
      </c>
      <c r="P18" s="6"/>
      <c r="Q18" s="6" t="s">
        <v>83</v>
      </c>
      <c r="R18" s="6"/>
      <c r="S18" s="6"/>
      <c r="T18" s="7" t="str">
        <f t="shared" si="0"/>
        <v>2009</v>
      </c>
    </row>
    <row r="19" spans="1:20" ht="315">
      <c r="A19" s="5">
        <v>8</v>
      </c>
      <c r="B19" s="6" t="s">
        <v>84</v>
      </c>
      <c r="C19" s="6" t="s">
        <v>21</v>
      </c>
      <c r="D19" s="6" t="s">
        <v>85</v>
      </c>
      <c r="E19" s="6" t="s">
        <v>23</v>
      </c>
      <c r="F19" s="8" t="s">
        <v>24</v>
      </c>
      <c r="G19" s="6"/>
      <c r="H19" s="8" t="s">
        <v>26</v>
      </c>
      <c r="I19" s="6"/>
      <c r="J19" s="8" t="s">
        <v>48</v>
      </c>
      <c r="K19" s="9"/>
      <c r="L19" s="8">
        <v>11</v>
      </c>
      <c r="M19" s="6" t="s">
        <v>86</v>
      </c>
      <c r="N19" s="6"/>
      <c r="O19" s="6" t="s">
        <v>26</v>
      </c>
      <c r="P19" s="6" t="s">
        <v>87</v>
      </c>
      <c r="Q19" s="6" t="s">
        <v>88</v>
      </c>
      <c r="R19" s="7"/>
      <c r="S19" s="7"/>
      <c r="T19" s="7" t="str">
        <f t="shared" si="0"/>
        <v>2018</v>
      </c>
    </row>
    <row r="20" spans="1:20" ht="60">
      <c r="A20" s="5">
        <v>9</v>
      </c>
      <c r="B20" s="6" t="s">
        <v>89</v>
      </c>
      <c r="C20" s="7" t="s">
        <v>90</v>
      </c>
      <c r="D20" s="6" t="s">
        <v>91</v>
      </c>
      <c r="E20" s="6" t="s">
        <v>92</v>
      </c>
      <c r="F20" s="7" t="s">
        <v>24</v>
      </c>
      <c r="G20" s="7"/>
      <c r="H20" s="13" t="s">
        <v>26</v>
      </c>
      <c r="I20" s="7"/>
      <c r="J20" s="8" t="s">
        <v>48</v>
      </c>
      <c r="K20" s="12" t="s">
        <v>93</v>
      </c>
      <c r="L20" s="13" t="s">
        <v>29</v>
      </c>
      <c r="M20" s="6" t="s">
        <v>94</v>
      </c>
      <c r="N20" s="6" t="s">
        <v>95</v>
      </c>
      <c r="O20" s="6"/>
      <c r="P20" s="6"/>
      <c r="Q20" s="6" t="s">
        <v>96</v>
      </c>
      <c r="R20" s="7"/>
      <c r="S20" s="7"/>
      <c r="T20" s="7" t="str">
        <f t="shared" si="0"/>
        <v>2007</v>
      </c>
    </row>
    <row r="21" spans="1:20" ht="60">
      <c r="A21" s="5">
        <v>10</v>
      </c>
      <c r="B21" s="6" t="s">
        <v>97</v>
      </c>
      <c r="C21" s="6" t="s">
        <v>98</v>
      </c>
      <c r="D21" s="6" t="s">
        <v>99</v>
      </c>
      <c r="E21" s="7" t="s">
        <v>100</v>
      </c>
      <c r="F21" s="7" t="s">
        <v>24</v>
      </c>
      <c r="G21" s="7"/>
      <c r="H21" s="13" t="s">
        <v>26</v>
      </c>
      <c r="I21" s="6" t="s">
        <v>101</v>
      </c>
      <c r="J21" s="8" t="s">
        <v>48</v>
      </c>
      <c r="K21" s="14"/>
      <c r="L21" s="13" t="s">
        <v>29</v>
      </c>
      <c r="M21" s="15" t="s">
        <v>102</v>
      </c>
      <c r="N21" s="6" t="s">
        <v>103</v>
      </c>
      <c r="O21" s="6"/>
      <c r="P21" s="6"/>
      <c r="Q21" s="6" t="s">
        <v>104</v>
      </c>
      <c r="R21" s="7"/>
      <c r="S21" s="7"/>
      <c r="T21" s="7" t="str">
        <f t="shared" si="0"/>
        <v>2000</v>
      </c>
    </row>
    <row r="22" spans="1:20" ht="45">
      <c r="A22" s="5">
        <v>11</v>
      </c>
      <c r="B22" s="6" t="s">
        <v>105</v>
      </c>
      <c r="C22" s="6" t="s">
        <v>106</v>
      </c>
      <c r="D22" s="6" t="s">
        <v>107</v>
      </c>
      <c r="E22" s="7" t="s">
        <v>23</v>
      </c>
      <c r="F22" s="7" t="s">
        <v>24</v>
      </c>
      <c r="G22" s="7"/>
      <c r="H22" s="13" t="s">
        <v>26</v>
      </c>
      <c r="I22" s="7"/>
      <c r="J22" s="13" t="s">
        <v>73</v>
      </c>
      <c r="K22" s="12" t="s">
        <v>108</v>
      </c>
      <c r="L22" s="13">
        <v>21</v>
      </c>
      <c r="M22" s="6" t="s">
        <v>109</v>
      </c>
      <c r="N22" s="6" t="s">
        <v>110</v>
      </c>
      <c r="O22" s="6"/>
      <c r="P22" s="6"/>
      <c r="Q22" s="6" t="s">
        <v>111</v>
      </c>
      <c r="R22" s="7"/>
      <c r="S22" s="7"/>
      <c r="T22" s="7" t="str">
        <f t="shared" si="0"/>
        <v>2008</v>
      </c>
    </row>
    <row r="23" spans="1:20" ht="120">
      <c r="A23" s="5">
        <v>12</v>
      </c>
      <c r="B23" s="6" t="s">
        <v>112</v>
      </c>
      <c r="C23" s="7" t="s">
        <v>113</v>
      </c>
      <c r="D23" s="6" t="s">
        <v>114</v>
      </c>
      <c r="E23" s="7" t="s">
        <v>115</v>
      </c>
      <c r="F23" s="7" t="s">
        <v>24</v>
      </c>
      <c r="G23" s="7"/>
      <c r="H23" s="13" t="s">
        <v>26</v>
      </c>
      <c r="I23" s="16" t="s">
        <v>116</v>
      </c>
      <c r="J23" s="8" t="s">
        <v>48</v>
      </c>
      <c r="K23" s="14"/>
      <c r="L23" s="13">
        <v>7</v>
      </c>
      <c r="M23" s="6" t="s">
        <v>117</v>
      </c>
      <c r="N23" s="6" t="s">
        <v>118</v>
      </c>
      <c r="O23" s="6"/>
      <c r="P23" s="6" t="s">
        <v>119</v>
      </c>
      <c r="Q23" s="6" t="s">
        <v>120</v>
      </c>
      <c r="R23" s="7"/>
      <c r="S23" s="7"/>
      <c r="T23" s="7" t="str">
        <f t="shared" si="0"/>
        <v>2020</v>
      </c>
    </row>
    <row r="24" spans="1:20" ht="225">
      <c r="A24" s="5">
        <v>13</v>
      </c>
      <c r="B24" s="6" t="s">
        <v>121</v>
      </c>
      <c r="C24" s="7" t="s">
        <v>122</v>
      </c>
      <c r="D24" s="6" t="s">
        <v>123</v>
      </c>
      <c r="E24" s="7" t="s">
        <v>23</v>
      </c>
      <c r="F24" s="7" t="s">
        <v>26</v>
      </c>
      <c r="G24" s="17" t="s">
        <v>124</v>
      </c>
      <c r="H24" s="13" t="s">
        <v>26</v>
      </c>
      <c r="I24" s="6"/>
      <c r="J24" s="13" t="s">
        <v>28</v>
      </c>
      <c r="K24" s="12" t="s">
        <v>125</v>
      </c>
      <c r="L24" s="13">
        <v>16</v>
      </c>
      <c r="M24" s="6"/>
      <c r="N24" s="7"/>
      <c r="O24" s="7"/>
      <c r="P24" s="7"/>
      <c r="Q24" s="6" t="s">
        <v>126</v>
      </c>
      <c r="R24" s="7"/>
      <c r="S24" s="7"/>
      <c r="T24" s="7" t="str">
        <f t="shared" si="0"/>
        <v>2008</v>
      </c>
    </row>
    <row r="25" spans="1:20" ht="150">
      <c r="A25" s="5">
        <v>14</v>
      </c>
      <c r="B25" s="6" t="s">
        <v>35</v>
      </c>
      <c r="C25" s="7" t="s">
        <v>127</v>
      </c>
      <c r="D25" s="6" t="s">
        <v>128</v>
      </c>
      <c r="E25" s="7" t="s">
        <v>62</v>
      </c>
      <c r="F25" s="7" t="s">
        <v>26</v>
      </c>
      <c r="G25" s="17" t="s">
        <v>129</v>
      </c>
      <c r="H25" s="13" t="s">
        <v>26</v>
      </c>
      <c r="I25" s="6" t="s">
        <v>130</v>
      </c>
      <c r="J25" s="13" t="s">
        <v>28</v>
      </c>
      <c r="K25" s="14"/>
      <c r="L25" s="13">
        <v>16</v>
      </c>
      <c r="M25" s="7" t="s">
        <v>131</v>
      </c>
      <c r="N25" s="6" t="s">
        <v>132</v>
      </c>
      <c r="O25" s="7"/>
      <c r="P25" s="7"/>
      <c r="Q25" s="6" t="s">
        <v>133</v>
      </c>
      <c r="R25" s="7"/>
      <c r="S25" s="7"/>
      <c r="T25" s="7" t="str">
        <f t="shared" si="0"/>
        <v>1995</v>
      </c>
    </row>
    <row r="26" spans="1:20" ht="180">
      <c r="A26" s="5">
        <v>15</v>
      </c>
      <c r="B26" s="18" t="s">
        <v>134</v>
      </c>
      <c r="C26" s="19" t="s">
        <v>135</v>
      </c>
      <c r="D26" s="18" t="s">
        <v>136</v>
      </c>
      <c r="E26" s="18" t="s">
        <v>92</v>
      </c>
      <c r="F26" s="19" t="s">
        <v>26</v>
      </c>
      <c r="G26" s="18" t="s">
        <v>137</v>
      </c>
      <c r="H26" s="13" t="s">
        <v>26</v>
      </c>
      <c r="I26" s="6" t="s">
        <v>138</v>
      </c>
      <c r="J26" s="13" t="s">
        <v>48</v>
      </c>
      <c r="K26" s="12" t="s">
        <v>139</v>
      </c>
      <c r="L26" s="13">
        <v>4</v>
      </c>
      <c r="M26" s="6" t="s">
        <v>140</v>
      </c>
      <c r="N26" s="19"/>
      <c r="O26" s="19"/>
      <c r="P26" s="18" t="s">
        <v>141</v>
      </c>
      <c r="Q26" s="18" t="s">
        <v>142</v>
      </c>
      <c r="T26" s="7" t="str">
        <f t="shared" si="0"/>
        <v>2007</v>
      </c>
    </row>
    <row r="27" spans="1:20" ht="105">
      <c r="A27" s="5">
        <v>16</v>
      </c>
      <c r="B27" s="6" t="s">
        <v>143</v>
      </c>
      <c r="C27" s="7" t="s">
        <v>36</v>
      </c>
      <c r="D27" s="6" t="s">
        <v>144</v>
      </c>
      <c r="E27" s="6" t="s">
        <v>23</v>
      </c>
      <c r="F27" s="7" t="s">
        <v>24</v>
      </c>
      <c r="G27" s="7"/>
      <c r="H27" s="13" t="s">
        <v>26</v>
      </c>
      <c r="I27" s="6" t="s">
        <v>145</v>
      </c>
      <c r="J27" s="13" t="s">
        <v>28</v>
      </c>
      <c r="K27" s="14"/>
      <c r="L27" s="13" t="s">
        <v>29</v>
      </c>
      <c r="M27" s="7"/>
      <c r="N27" s="6" t="s">
        <v>146</v>
      </c>
      <c r="O27" s="6"/>
      <c r="P27" s="6"/>
      <c r="Q27" s="6" t="s">
        <v>147</v>
      </c>
      <c r="R27" s="7"/>
      <c r="S27" s="7"/>
      <c r="T27" s="7" t="str">
        <f t="shared" si="0"/>
        <v>2012</v>
      </c>
    </row>
    <row r="28" spans="1:20" ht="375">
      <c r="A28" s="5">
        <v>17</v>
      </c>
      <c r="B28" s="18" t="s">
        <v>148</v>
      </c>
      <c r="C28" s="18" t="s">
        <v>113</v>
      </c>
      <c r="D28" s="18" t="s">
        <v>149</v>
      </c>
      <c r="E28" s="18" t="s">
        <v>62</v>
      </c>
      <c r="F28" s="20" t="s">
        <v>24</v>
      </c>
      <c r="G28" s="18" t="s">
        <v>150</v>
      </c>
      <c r="H28" s="8" t="s">
        <v>42</v>
      </c>
      <c r="I28" s="6"/>
      <c r="J28" s="8" t="s">
        <v>28</v>
      </c>
      <c r="K28" s="9"/>
      <c r="L28" s="8">
        <v>45</v>
      </c>
      <c r="M28" s="2" t="s">
        <v>151</v>
      </c>
      <c r="N28" s="18" t="s">
        <v>152</v>
      </c>
      <c r="O28" s="18"/>
      <c r="P28" s="18" t="s">
        <v>153</v>
      </c>
      <c r="Q28" s="18" t="s">
        <v>154</v>
      </c>
      <c r="T28" s="7" t="str">
        <f t="shared" si="0"/>
        <v>2009</v>
      </c>
    </row>
    <row r="29" spans="1:20" ht="330">
      <c r="A29" s="5">
        <v>18</v>
      </c>
      <c r="B29" s="6" t="s">
        <v>155</v>
      </c>
      <c r="C29" s="21" t="s">
        <v>156</v>
      </c>
      <c r="D29" s="22" t="s">
        <v>157</v>
      </c>
      <c r="E29" s="21" t="s">
        <v>23</v>
      </c>
      <c r="F29" s="21" t="s">
        <v>26</v>
      </c>
      <c r="G29" s="22" t="s">
        <v>158</v>
      </c>
      <c r="H29" s="23" t="s">
        <v>26</v>
      </c>
      <c r="I29" s="22" t="s">
        <v>159</v>
      </c>
      <c r="J29" s="23" t="s">
        <v>28</v>
      </c>
      <c r="K29" s="24"/>
      <c r="L29" s="23">
        <v>22</v>
      </c>
      <c r="M29" s="21"/>
      <c r="N29" s="22" t="s">
        <v>160</v>
      </c>
      <c r="O29" s="21"/>
      <c r="P29" s="2" t="s">
        <v>161</v>
      </c>
      <c r="Q29" s="6" t="s">
        <v>162</v>
      </c>
      <c r="R29" s="7"/>
      <c r="S29" s="7"/>
      <c r="T29" s="7" t="str">
        <f t="shared" si="0"/>
        <v>2019</v>
      </c>
    </row>
    <row r="30" spans="1:20" ht="165">
      <c r="A30" s="5">
        <v>19</v>
      </c>
      <c r="B30" s="22" t="s">
        <v>35</v>
      </c>
      <c r="C30" s="21" t="s">
        <v>163</v>
      </c>
      <c r="D30" s="22" t="s">
        <v>164</v>
      </c>
      <c r="E30" s="21" t="s">
        <v>23</v>
      </c>
      <c r="F30" s="22" t="s">
        <v>26</v>
      </c>
      <c r="G30" s="22" t="s">
        <v>165</v>
      </c>
      <c r="H30" s="23" t="s">
        <v>26</v>
      </c>
      <c r="I30" s="21"/>
      <c r="J30" s="23" t="s">
        <v>28</v>
      </c>
      <c r="K30" s="24"/>
      <c r="L30" s="23">
        <v>13</v>
      </c>
      <c r="M30" s="22" t="s">
        <v>166</v>
      </c>
      <c r="N30" s="22" t="s">
        <v>167</v>
      </c>
      <c r="O30" s="21" t="s">
        <v>26</v>
      </c>
      <c r="P30" s="22" t="s">
        <v>168</v>
      </c>
      <c r="Q30" s="6" t="s">
        <v>169</v>
      </c>
      <c r="R30" s="7"/>
      <c r="S30" s="7"/>
      <c r="T30" s="7" t="str">
        <f t="shared" si="0"/>
        <v>2013</v>
      </c>
    </row>
    <row r="31" spans="1:20" ht="285">
      <c r="A31" s="5">
        <v>20</v>
      </c>
      <c r="B31" s="6" t="s">
        <v>170</v>
      </c>
      <c r="C31" s="7" t="s">
        <v>156</v>
      </c>
      <c r="D31" s="6" t="s">
        <v>171</v>
      </c>
      <c r="E31" s="7" t="s">
        <v>62</v>
      </c>
      <c r="F31" s="7" t="s">
        <v>26</v>
      </c>
      <c r="G31" s="17" t="s">
        <v>172</v>
      </c>
      <c r="H31" s="13" t="s">
        <v>26</v>
      </c>
      <c r="I31" s="7"/>
      <c r="J31" s="13" t="s">
        <v>48</v>
      </c>
      <c r="K31" s="14"/>
      <c r="L31" s="13">
        <v>43</v>
      </c>
      <c r="M31" s="7"/>
      <c r="N31" s="6" t="s">
        <v>173</v>
      </c>
      <c r="O31" s="7" t="s">
        <v>174</v>
      </c>
      <c r="P31" s="6" t="s">
        <v>175</v>
      </c>
      <c r="Q31" s="6" t="s">
        <v>176</v>
      </c>
      <c r="R31" s="7"/>
      <c r="S31" s="7"/>
      <c r="T31" s="7" t="str">
        <f t="shared" si="0"/>
        <v>2009</v>
      </c>
    </row>
    <row r="32" spans="1:20" ht="165">
      <c r="A32" s="5">
        <v>21</v>
      </c>
      <c r="B32" s="6" t="s">
        <v>177</v>
      </c>
      <c r="C32" s="7" t="s">
        <v>21</v>
      </c>
      <c r="D32" s="6" t="s">
        <v>178</v>
      </c>
      <c r="E32" s="7" t="s">
        <v>23</v>
      </c>
      <c r="F32" s="7" t="s">
        <v>24</v>
      </c>
      <c r="G32" s="7"/>
      <c r="H32" s="13" t="s">
        <v>26</v>
      </c>
      <c r="I32" s="6" t="s">
        <v>179</v>
      </c>
      <c r="J32" s="13" t="s">
        <v>48</v>
      </c>
      <c r="K32" s="14"/>
      <c r="L32" s="13">
        <v>7</v>
      </c>
      <c r="M32" s="6" t="s">
        <v>180</v>
      </c>
      <c r="N32" s="6" t="s">
        <v>181</v>
      </c>
      <c r="O32" s="7" t="s">
        <v>26</v>
      </c>
      <c r="P32" s="6" t="s">
        <v>182</v>
      </c>
      <c r="Q32" s="6" t="s">
        <v>183</v>
      </c>
      <c r="R32" s="7"/>
      <c r="S32" s="7"/>
      <c r="T32" s="7" t="str">
        <f t="shared" si="0"/>
        <v>2014</v>
      </c>
    </row>
    <row r="33" spans="1:20" ht="120">
      <c r="A33" s="5">
        <v>22</v>
      </c>
      <c r="B33" s="6" t="s">
        <v>184</v>
      </c>
      <c r="C33" s="7" t="s">
        <v>185</v>
      </c>
      <c r="D33" s="6" t="s">
        <v>186</v>
      </c>
      <c r="E33" s="6" t="s">
        <v>100</v>
      </c>
      <c r="F33" s="7" t="s">
        <v>24</v>
      </c>
      <c r="G33" s="7"/>
      <c r="H33" s="13" t="s">
        <v>42</v>
      </c>
      <c r="I33" s="6"/>
      <c r="J33" s="13" t="s">
        <v>28</v>
      </c>
      <c r="K33" s="14"/>
      <c r="L33" s="13">
        <v>22</v>
      </c>
      <c r="M33" s="6" t="s">
        <v>187</v>
      </c>
      <c r="N33" s="6"/>
      <c r="O33" s="7" t="s">
        <v>26</v>
      </c>
      <c r="P33" s="6"/>
      <c r="Q33" s="6" t="s">
        <v>188</v>
      </c>
      <c r="R33" s="7"/>
      <c r="S33" s="7"/>
      <c r="T33" s="7" t="str">
        <f t="shared" si="0"/>
        <v>2005</v>
      </c>
    </row>
    <row r="34" spans="1:20" ht="165">
      <c r="A34" s="5">
        <v>23</v>
      </c>
      <c r="B34" s="6" t="s">
        <v>189</v>
      </c>
      <c r="C34" s="7" t="s">
        <v>21</v>
      </c>
      <c r="D34" s="6" t="s">
        <v>190</v>
      </c>
      <c r="E34" s="7" t="s">
        <v>23</v>
      </c>
      <c r="F34" s="7" t="s">
        <v>24</v>
      </c>
      <c r="G34" s="7"/>
      <c r="H34" s="13" t="s">
        <v>26</v>
      </c>
      <c r="I34" s="6"/>
      <c r="J34" s="13" t="s">
        <v>48</v>
      </c>
      <c r="K34" s="14"/>
      <c r="L34" s="13">
        <v>20</v>
      </c>
      <c r="M34" s="6" t="s">
        <v>191</v>
      </c>
      <c r="N34" s="6" t="s">
        <v>192</v>
      </c>
      <c r="O34" s="7" t="s">
        <v>26</v>
      </c>
      <c r="P34" s="6" t="s">
        <v>193</v>
      </c>
      <c r="Q34" s="6" t="s">
        <v>194</v>
      </c>
      <c r="R34" s="7"/>
      <c r="S34" s="7"/>
      <c r="T34" s="7" t="str">
        <f t="shared" si="0"/>
        <v>2021</v>
      </c>
    </row>
    <row r="35" spans="1:20" ht="285">
      <c r="A35" s="5">
        <v>24</v>
      </c>
      <c r="B35" s="6" t="s">
        <v>121</v>
      </c>
      <c r="C35" s="7" t="s">
        <v>195</v>
      </c>
      <c r="D35" s="6" t="s">
        <v>196</v>
      </c>
      <c r="E35" s="6" t="s">
        <v>100</v>
      </c>
      <c r="F35" s="7" t="s">
        <v>26</v>
      </c>
      <c r="G35" s="17" t="s">
        <v>197</v>
      </c>
      <c r="H35" s="13" t="s">
        <v>26</v>
      </c>
      <c r="I35" s="6"/>
      <c r="J35" s="13" t="s">
        <v>48</v>
      </c>
      <c r="K35" s="14"/>
      <c r="L35" s="13">
        <v>90</v>
      </c>
      <c r="M35" s="6"/>
      <c r="N35" s="6"/>
      <c r="O35" s="7" t="s">
        <v>26</v>
      </c>
      <c r="P35" s="6" t="s">
        <v>198</v>
      </c>
      <c r="Q35" s="6" t="s">
        <v>199</v>
      </c>
      <c r="R35" s="7"/>
      <c r="S35" s="7"/>
      <c r="T35" s="7" t="str">
        <f t="shared" si="0"/>
        <v>2014</v>
      </c>
    </row>
    <row r="36" spans="1:20" ht="360">
      <c r="A36" s="5">
        <v>25</v>
      </c>
      <c r="B36" s="6" t="s">
        <v>200</v>
      </c>
      <c r="C36" s="7" t="s">
        <v>201</v>
      </c>
      <c r="D36" s="6" t="s">
        <v>202</v>
      </c>
      <c r="E36" s="25" t="s">
        <v>23</v>
      </c>
      <c r="F36" s="7" t="s">
        <v>26</v>
      </c>
      <c r="G36" s="17" t="s">
        <v>203</v>
      </c>
      <c r="H36" s="13" t="s">
        <v>26</v>
      </c>
      <c r="I36" s="6" t="s">
        <v>204</v>
      </c>
      <c r="J36" s="13" t="s">
        <v>48</v>
      </c>
      <c r="K36" s="14"/>
      <c r="L36" s="13">
        <v>11</v>
      </c>
      <c r="M36" s="6" t="s">
        <v>205</v>
      </c>
      <c r="N36" s="6" t="s">
        <v>206</v>
      </c>
      <c r="O36" s="7" t="s">
        <v>42</v>
      </c>
      <c r="P36" s="6" t="s">
        <v>207</v>
      </c>
      <c r="Q36" s="6" t="s">
        <v>208</v>
      </c>
      <c r="R36" s="7"/>
      <c r="S36" s="7"/>
      <c r="T36" s="7" t="str">
        <f t="shared" si="0"/>
        <v>2016</v>
      </c>
    </row>
    <row r="37" spans="1:20" ht="135">
      <c r="A37" s="5">
        <v>26</v>
      </c>
      <c r="B37" s="6" t="s">
        <v>209</v>
      </c>
      <c r="C37" s="7" t="s">
        <v>210</v>
      </c>
      <c r="D37" s="6" t="s">
        <v>211</v>
      </c>
      <c r="E37" s="6" t="s">
        <v>62</v>
      </c>
      <c r="F37" s="7" t="s">
        <v>26</v>
      </c>
      <c r="G37" s="6" t="s">
        <v>212</v>
      </c>
      <c r="H37" s="13" t="s">
        <v>26</v>
      </c>
      <c r="I37" s="6"/>
      <c r="J37" s="13" t="s">
        <v>48</v>
      </c>
      <c r="K37" s="14"/>
      <c r="L37" s="13">
        <v>10</v>
      </c>
      <c r="M37" s="6" t="s">
        <v>213</v>
      </c>
      <c r="N37" s="6" t="s">
        <v>214</v>
      </c>
      <c r="O37" s="7"/>
      <c r="P37" s="6" t="s">
        <v>215</v>
      </c>
      <c r="Q37" s="6" t="s">
        <v>216</v>
      </c>
      <c r="R37" s="7"/>
      <c r="S37" s="7"/>
      <c r="T37" s="7" t="str">
        <f t="shared" si="0"/>
        <v>2015</v>
      </c>
    </row>
    <row r="38" spans="1:20" ht="150">
      <c r="A38" s="5">
        <v>27</v>
      </c>
      <c r="B38" s="6" t="s">
        <v>69</v>
      </c>
      <c r="C38" s="7" t="s">
        <v>217</v>
      </c>
      <c r="D38" s="6" t="s">
        <v>218</v>
      </c>
      <c r="E38" s="6" t="s">
        <v>100</v>
      </c>
      <c r="F38" s="7" t="s">
        <v>26</v>
      </c>
      <c r="G38" s="6" t="s">
        <v>219</v>
      </c>
      <c r="H38" s="13" t="s">
        <v>26</v>
      </c>
      <c r="I38" s="6" t="s">
        <v>220</v>
      </c>
      <c r="J38" s="13" t="s">
        <v>48</v>
      </c>
      <c r="K38" s="14"/>
      <c r="L38" s="13" t="s">
        <v>29</v>
      </c>
      <c r="M38" s="6"/>
      <c r="N38" s="6"/>
      <c r="O38" s="7" t="s">
        <v>42</v>
      </c>
      <c r="P38" s="6"/>
      <c r="Q38" s="6" t="s">
        <v>221</v>
      </c>
      <c r="R38" s="7"/>
      <c r="S38" s="7"/>
      <c r="T38" s="7" t="str">
        <f t="shared" si="0"/>
        <v>2013</v>
      </c>
    </row>
    <row r="39" spans="1:20" ht="135">
      <c r="A39" s="5">
        <v>28</v>
      </c>
      <c r="B39" s="6" t="s">
        <v>222</v>
      </c>
      <c r="C39" s="7" t="s">
        <v>21</v>
      </c>
      <c r="D39" s="6" t="s">
        <v>223</v>
      </c>
      <c r="E39" s="6" t="s">
        <v>23</v>
      </c>
      <c r="F39" s="7" t="s">
        <v>24</v>
      </c>
      <c r="G39" s="6"/>
      <c r="H39" s="13" t="s">
        <v>26</v>
      </c>
      <c r="I39" s="6"/>
      <c r="J39" s="13" t="s">
        <v>48</v>
      </c>
      <c r="K39" s="14"/>
      <c r="L39" s="13">
        <v>31</v>
      </c>
      <c r="M39" s="6"/>
      <c r="N39" s="6" t="s">
        <v>224</v>
      </c>
      <c r="O39" s="7"/>
      <c r="P39" s="6" t="s">
        <v>225</v>
      </c>
      <c r="Q39" s="6" t="s">
        <v>226</v>
      </c>
      <c r="R39" s="7"/>
      <c r="S39" s="7"/>
      <c r="T39" s="7" t="str">
        <f t="shared" si="0"/>
        <v>2008</v>
      </c>
    </row>
    <row r="40" spans="1:20" ht="135">
      <c r="A40" s="5">
        <v>29</v>
      </c>
      <c r="B40" s="6" t="s">
        <v>69</v>
      </c>
      <c r="C40" s="7" t="s">
        <v>217</v>
      </c>
      <c r="D40" s="6" t="s">
        <v>227</v>
      </c>
      <c r="E40" s="6" t="s">
        <v>100</v>
      </c>
      <c r="F40" s="7" t="s">
        <v>26</v>
      </c>
      <c r="G40" s="6" t="s">
        <v>228</v>
      </c>
      <c r="H40" s="13" t="s">
        <v>42</v>
      </c>
      <c r="I40" s="6"/>
      <c r="J40" s="13" t="s">
        <v>48</v>
      </c>
      <c r="K40" s="14"/>
      <c r="L40" s="13">
        <v>21</v>
      </c>
      <c r="M40" s="6" t="s">
        <v>229</v>
      </c>
      <c r="N40" s="6"/>
      <c r="O40" s="7"/>
      <c r="P40" s="6" t="s">
        <v>230</v>
      </c>
      <c r="Q40" s="6" t="s">
        <v>231</v>
      </c>
      <c r="R40" s="7" t="s">
        <v>217</v>
      </c>
      <c r="S40" s="7" t="s">
        <v>232</v>
      </c>
      <c r="T40" s="7" t="str">
        <f t="shared" si="0"/>
        <v>2019</v>
      </c>
    </row>
    <row r="41" spans="1:20" ht="165">
      <c r="A41" s="5">
        <v>30</v>
      </c>
      <c r="B41" s="6" t="s">
        <v>233</v>
      </c>
      <c r="C41" s="7" t="s">
        <v>36</v>
      </c>
      <c r="D41" s="6" t="s">
        <v>234</v>
      </c>
      <c r="E41" s="6" t="s">
        <v>235</v>
      </c>
      <c r="F41" s="7" t="s">
        <v>24</v>
      </c>
      <c r="G41" s="6"/>
      <c r="H41" s="13" t="s">
        <v>26</v>
      </c>
      <c r="I41" s="6" t="s">
        <v>236</v>
      </c>
      <c r="J41" s="13" t="s">
        <v>48</v>
      </c>
      <c r="K41" s="14"/>
      <c r="L41" s="13">
        <v>21</v>
      </c>
      <c r="M41" s="6" t="s">
        <v>237</v>
      </c>
      <c r="N41" s="6"/>
      <c r="O41" s="6" t="s">
        <v>238</v>
      </c>
      <c r="P41" s="6"/>
      <c r="Q41" s="6" t="s">
        <v>239</v>
      </c>
      <c r="R41" s="7"/>
      <c r="S41" s="7"/>
      <c r="T41" s="7" t="str">
        <f t="shared" si="0"/>
        <v>2009</v>
      </c>
    </row>
    <row r="42" spans="1:20" ht="105">
      <c r="A42" s="5">
        <v>31</v>
      </c>
      <c r="B42" s="6" t="s">
        <v>60</v>
      </c>
      <c r="C42" s="7" t="s">
        <v>21</v>
      </c>
      <c r="D42" s="6" t="s">
        <v>240</v>
      </c>
      <c r="E42" s="6" t="s">
        <v>23</v>
      </c>
      <c r="F42" s="7" t="s">
        <v>24</v>
      </c>
      <c r="G42" s="6"/>
      <c r="H42" s="13" t="s">
        <v>26</v>
      </c>
      <c r="I42" s="6"/>
      <c r="J42" s="13" t="s">
        <v>48</v>
      </c>
      <c r="K42" s="14"/>
      <c r="L42" s="13">
        <v>28</v>
      </c>
      <c r="M42" s="6"/>
      <c r="N42" s="6"/>
      <c r="O42" s="6" t="s">
        <v>42</v>
      </c>
      <c r="P42" s="6"/>
      <c r="Q42" s="6" t="s">
        <v>241</v>
      </c>
      <c r="R42" s="7"/>
      <c r="S42" s="7"/>
      <c r="T42" s="7" t="str">
        <f t="shared" si="0"/>
        <v>2018</v>
      </c>
    </row>
    <row r="43" spans="1:20" ht="360">
      <c r="A43" s="5">
        <v>32</v>
      </c>
      <c r="B43" s="6" t="s">
        <v>242</v>
      </c>
      <c r="C43" s="7" t="s">
        <v>21</v>
      </c>
      <c r="D43" s="6" t="s">
        <v>243</v>
      </c>
      <c r="E43" s="6" t="s">
        <v>23</v>
      </c>
      <c r="F43" s="7" t="s">
        <v>26</v>
      </c>
      <c r="G43" s="6" t="s">
        <v>244</v>
      </c>
      <c r="H43" s="13" t="s">
        <v>26</v>
      </c>
      <c r="I43" s="6"/>
      <c r="J43" s="13" t="s">
        <v>28</v>
      </c>
      <c r="K43" s="14"/>
      <c r="L43" s="13" t="s">
        <v>29</v>
      </c>
      <c r="M43" s="6"/>
      <c r="N43" s="6" t="s">
        <v>245</v>
      </c>
      <c r="O43" s="6" t="s">
        <v>42</v>
      </c>
      <c r="P43" s="6" t="s">
        <v>246</v>
      </c>
      <c r="Q43" s="6" t="s">
        <v>247</v>
      </c>
      <c r="R43" s="7"/>
      <c r="S43" s="7"/>
      <c r="T43" s="7" t="str">
        <f t="shared" si="0"/>
        <v>2008</v>
      </c>
    </row>
    <row r="44" spans="1:20" ht="285">
      <c r="A44" s="5">
        <v>33</v>
      </c>
      <c r="B44" s="6" t="s">
        <v>248</v>
      </c>
      <c r="C44" s="7" t="s">
        <v>21</v>
      </c>
      <c r="D44" s="6" t="s">
        <v>249</v>
      </c>
      <c r="E44" s="6" t="s">
        <v>23</v>
      </c>
      <c r="F44" s="8" t="s">
        <v>26</v>
      </c>
      <c r="G44" s="6" t="s">
        <v>250</v>
      </c>
      <c r="H44" s="26" t="s">
        <v>26</v>
      </c>
      <c r="I44" s="6"/>
      <c r="J44" s="8" t="s">
        <v>28</v>
      </c>
      <c r="K44" s="9"/>
      <c r="L44" s="8">
        <v>25</v>
      </c>
      <c r="M44" s="7" t="s">
        <v>251</v>
      </c>
      <c r="N44" s="6" t="s">
        <v>252</v>
      </c>
      <c r="O44" s="6" t="s">
        <v>24</v>
      </c>
      <c r="P44" s="6"/>
      <c r="Q44" s="6" t="s">
        <v>253</v>
      </c>
      <c r="R44" s="6" t="s">
        <v>254</v>
      </c>
      <c r="S44" s="7"/>
      <c r="T44" s="7" t="str">
        <f t="shared" si="0"/>
        <v>2008</v>
      </c>
    </row>
    <row r="45" spans="1:20" s="2" customFormat="1" ht="90">
      <c r="A45" s="5">
        <v>34</v>
      </c>
      <c r="B45" s="6" t="s">
        <v>255</v>
      </c>
      <c r="C45" s="6" t="s">
        <v>21</v>
      </c>
      <c r="D45" s="6" t="s">
        <v>256</v>
      </c>
      <c r="E45" s="6" t="s">
        <v>23</v>
      </c>
      <c r="F45" s="8" t="s">
        <v>24</v>
      </c>
      <c r="G45" s="6"/>
      <c r="H45" s="26" t="s">
        <v>26</v>
      </c>
      <c r="I45" s="6"/>
      <c r="J45" s="8" t="s">
        <v>48</v>
      </c>
      <c r="K45" s="9"/>
      <c r="L45" s="8">
        <v>10</v>
      </c>
      <c r="M45" s="6" t="s">
        <v>257</v>
      </c>
      <c r="N45" s="6"/>
      <c r="O45" s="6" t="s">
        <v>26</v>
      </c>
      <c r="P45" s="6"/>
      <c r="Q45" s="6" t="s">
        <v>258</v>
      </c>
      <c r="R45" s="6"/>
      <c r="S45" s="6"/>
      <c r="T45" s="7" t="str">
        <f t="shared" si="0"/>
        <v>2017</v>
      </c>
    </row>
    <row r="46" spans="1:20" ht="105" customHeight="1">
      <c r="A46" s="5">
        <v>35</v>
      </c>
      <c r="B46" s="6" t="s">
        <v>259</v>
      </c>
      <c r="C46" s="6" t="s">
        <v>260</v>
      </c>
      <c r="D46" s="6" t="s">
        <v>261</v>
      </c>
      <c r="E46" s="6" t="s">
        <v>92</v>
      </c>
      <c r="F46" s="8" t="s">
        <v>24</v>
      </c>
      <c r="G46" s="6"/>
      <c r="H46" s="8" t="s">
        <v>26</v>
      </c>
      <c r="I46" s="6" t="s">
        <v>262</v>
      </c>
      <c r="J46" s="8" t="s">
        <v>28</v>
      </c>
      <c r="K46" s="12" t="s">
        <v>263</v>
      </c>
      <c r="L46" s="13">
        <v>9</v>
      </c>
      <c r="M46" s="12" t="s">
        <v>264</v>
      </c>
      <c r="N46" s="6"/>
      <c r="O46" s="6"/>
      <c r="P46" s="6"/>
      <c r="Q46" s="6" t="s">
        <v>265</v>
      </c>
      <c r="T46" s="7" t="str">
        <f t="shared" si="0"/>
        <v>2015</v>
      </c>
    </row>
    <row r="47" spans="1:20" s="2" customFormat="1" ht="98.25" customHeight="1">
      <c r="A47" s="5">
        <v>36</v>
      </c>
      <c r="B47" s="6" t="s">
        <v>35</v>
      </c>
      <c r="C47" s="6" t="s">
        <v>113</v>
      </c>
      <c r="D47" s="6" t="s">
        <v>266</v>
      </c>
      <c r="E47" s="6" t="s">
        <v>23</v>
      </c>
      <c r="F47" s="8" t="s">
        <v>26</v>
      </c>
      <c r="G47" s="6" t="s">
        <v>267</v>
      </c>
      <c r="H47" s="8" t="s">
        <v>26</v>
      </c>
      <c r="I47" s="6" t="s">
        <v>268</v>
      </c>
      <c r="J47" s="8" t="s">
        <v>28</v>
      </c>
      <c r="K47" s="9" t="s">
        <v>28</v>
      </c>
      <c r="L47" s="8">
        <v>19</v>
      </c>
      <c r="M47" s="6" t="s">
        <v>269</v>
      </c>
      <c r="N47" s="6" t="s">
        <v>270</v>
      </c>
      <c r="O47" s="6" t="s">
        <v>271</v>
      </c>
      <c r="P47" s="6" t="s">
        <v>272</v>
      </c>
      <c r="Q47" s="18" t="s">
        <v>273</v>
      </c>
      <c r="T47" s="7" t="str">
        <f t="shared" si="0"/>
        <v>2017</v>
      </c>
    </row>
    <row r="48" spans="1:20" ht="90">
      <c r="A48" s="5">
        <v>37</v>
      </c>
      <c r="B48" s="6" t="s">
        <v>35</v>
      </c>
      <c r="C48" s="6" t="s">
        <v>274</v>
      </c>
      <c r="D48" s="6" t="s">
        <v>275</v>
      </c>
      <c r="E48" s="6" t="s">
        <v>23</v>
      </c>
      <c r="F48" s="8" t="s">
        <v>26</v>
      </c>
      <c r="G48" s="6" t="s">
        <v>276</v>
      </c>
      <c r="H48" s="8" t="s">
        <v>26</v>
      </c>
      <c r="I48" s="6" t="s">
        <v>277</v>
      </c>
      <c r="J48" s="8" t="s">
        <v>28</v>
      </c>
      <c r="K48" s="9" t="s">
        <v>28</v>
      </c>
      <c r="L48" s="8">
        <v>47</v>
      </c>
      <c r="M48" s="6" t="s">
        <v>278</v>
      </c>
      <c r="N48" s="6"/>
      <c r="O48" s="6" t="s">
        <v>42</v>
      </c>
      <c r="P48" s="6" t="s">
        <v>279</v>
      </c>
      <c r="Q48" s="6" t="s">
        <v>280</v>
      </c>
      <c r="T48" s="7" t="str">
        <f t="shared" si="0"/>
        <v>2014</v>
      </c>
    </row>
    <row r="49" spans="1:20" ht="409.5">
      <c r="A49" s="5">
        <v>38</v>
      </c>
      <c r="B49" s="6" t="s">
        <v>281</v>
      </c>
      <c r="C49" s="6" t="s">
        <v>163</v>
      </c>
      <c r="D49" s="6" t="s">
        <v>282</v>
      </c>
      <c r="E49" s="6" t="s">
        <v>23</v>
      </c>
      <c r="F49" s="7" t="s">
        <v>24</v>
      </c>
      <c r="G49" s="6"/>
      <c r="H49" s="13" t="s">
        <v>26</v>
      </c>
      <c r="I49" s="6" t="s">
        <v>283</v>
      </c>
      <c r="J49" s="13" t="s">
        <v>73</v>
      </c>
      <c r="K49" s="12" t="s">
        <v>284</v>
      </c>
      <c r="L49" s="13">
        <v>19</v>
      </c>
      <c r="M49" s="6" t="s">
        <v>285</v>
      </c>
      <c r="N49" s="6" t="s">
        <v>286</v>
      </c>
      <c r="O49" s="6" t="s">
        <v>42</v>
      </c>
      <c r="P49" s="6" t="s">
        <v>287</v>
      </c>
      <c r="Q49" s="6" t="s">
        <v>288</v>
      </c>
      <c r="S49" s="1" t="s">
        <v>289</v>
      </c>
      <c r="T49" s="1">
        <v>2013</v>
      </c>
    </row>
    <row r="50" spans="1:20" ht="240">
      <c r="A50" s="5">
        <v>39</v>
      </c>
      <c r="B50" s="6" t="s">
        <v>290</v>
      </c>
      <c r="C50" s="7" t="s">
        <v>135</v>
      </c>
      <c r="D50" s="6" t="s">
        <v>291</v>
      </c>
      <c r="E50" s="6" t="s">
        <v>92</v>
      </c>
      <c r="F50" s="7" t="s">
        <v>26</v>
      </c>
      <c r="G50" s="6" t="s">
        <v>292</v>
      </c>
      <c r="H50" s="13" t="s">
        <v>26</v>
      </c>
      <c r="I50" s="6" t="s">
        <v>293</v>
      </c>
      <c r="J50" s="13" t="s">
        <v>48</v>
      </c>
      <c r="K50" s="12" t="s">
        <v>294</v>
      </c>
      <c r="L50" s="13">
        <v>7</v>
      </c>
      <c r="M50" s="6" t="s">
        <v>295</v>
      </c>
      <c r="N50" s="7" t="s">
        <v>296</v>
      </c>
      <c r="O50" s="7"/>
      <c r="P50" s="6" t="s">
        <v>297</v>
      </c>
      <c r="Q50" s="6" t="s">
        <v>298</v>
      </c>
      <c r="R50" s="7"/>
      <c r="S50" s="7"/>
      <c r="T50" s="7" t="str">
        <f>MID(Q50,FIND("(",Q50)+1,FIND(")",Q50)-FIND("(",Q50)-1)</f>
        <v>2008</v>
      </c>
    </row>
    <row r="51" spans="1:20">
      <c r="D51"/>
    </row>
    <row r="52" spans="1:20">
      <c r="D52"/>
    </row>
    <row r="53" spans="1:20">
      <c r="D53"/>
    </row>
    <row r="54" spans="1:20">
      <c r="D54"/>
    </row>
    <row r="55" spans="1:20">
      <c r="D55"/>
    </row>
    <row r="56" spans="1:20">
      <c r="D56"/>
    </row>
    <row r="57" spans="1:20">
      <c r="D57"/>
    </row>
    <row r="58" spans="1:20">
      <c r="D58"/>
    </row>
    <row r="59" spans="1:20">
      <c r="D59"/>
    </row>
    <row r="60" spans="1:20">
      <c r="D60"/>
    </row>
    <row r="61" spans="1:20">
      <c r="D61"/>
    </row>
    <row r="77" spans="1:24" s="3" customFormat="1">
      <c r="A77" s="1"/>
      <c r="B77" s="2"/>
      <c r="C77" s="1"/>
      <c r="D77" s="2"/>
      <c r="E77" s="1"/>
      <c r="F77" s="1"/>
      <c r="G77" s="1"/>
      <c r="H77" s="3">
        <f>21/39</f>
        <v>0.53846153846153844</v>
      </c>
      <c r="I77" s="3">
        <f>6/21</f>
        <v>0.2857142857142857</v>
      </c>
      <c r="K77" s="27"/>
      <c r="M77" s="1"/>
      <c r="N77" s="1"/>
      <c r="O77" s="1"/>
      <c r="P77" s="1"/>
      <c r="Q77" s="2"/>
      <c r="R77" s="1"/>
      <c r="S77" s="1"/>
      <c r="T77" s="1"/>
      <c r="U77" s="1"/>
      <c r="V77" s="1"/>
      <c r="W77" s="1"/>
      <c r="X77" s="1"/>
    </row>
    <row r="78" spans="1:24" s="3" customFormat="1">
      <c r="A78" s="1"/>
      <c r="B78" s="2"/>
      <c r="C78" s="1"/>
      <c r="D78" s="2"/>
      <c r="E78" s="1"/>
      <c r="F78" s="1"/>
      <c r="G78" s="1"/>
      <c r="I78" s="3">
        <f>(21-6)/21</f>
        <v>0.7142857142857143</v>
      </c>
      <c r="K78" s="27"/>
      <c r="M78" s="1"/>
      <c r="N78" s="1"/>
      <c r="O78" s="1"/>
      <c r="P78" s="1"/>
      <c r="Q78" s="2"/>
      <c r="R78" s="1"/>
      <c r="S78" s="1"/>
      <c r="T78" s="1"/>
      <c r="U78" s="1"/>
      <c r="V78" s="1"/>
      <c r="W78" s="1"/>
      <c r="X78" s="1"/>
    </row>
    <row r="83" spans="1:24" s="3" customFormat="1">
      <c r="A83" s="1"/>
      <c r="B83" s="28"/>
      <c r="C83" s="1"/>
      <c r="D83" s="2"/>
      <c r="E83" s="1"/>
      <c r="F83" s="1"/>
      <c r="G83" s="1"/>
      <c r="I83" s="1"/>
      <c r="K83" s="27"/>
      <c r="M83" s="1"/>
      <c r="N83" s="1"/>
      <c r="O83" s="1"/>
      <c r="P83" s="1"/>
      <c r="Q83" s="2"/>
      <c r="R83" s="1"/>
      <c r="S83" s="1"/>
      <c r="T83" s="1"/>
      <c r="U83" s="1"/>
      <c r="V83" s="1"/>
      <c r="W83" s="1"/>
      <c r="X83" s="1"/>
    </row>
    <row r="84" spans="1:24" s="3" customFormat="1">
      <c r="A84" s="1"/>
      <c r="B84" s="28"/>
      <c r="C84" s="1"/>
      <c r="D84" s="2"/>
      <c r="E84" s="1"/>
      <c r="F84" s="1"/>
      <c r="G84" s="1"/>
      <c r="I84" s="1"/>
      <c r="K84" s="27"/>
      <c r="M84" s="1"/>
      <c r="N84" s="1"/>
      <c r="O84" s="1"/>
      <c r="P84" s="1"/>
      <c r="Q84" s="2"/>
      <c r="R84" s="1"/>
      <c r="S84" s="1"/>
      <c r="T84" s="1"/>
      <c r="U84" s="1"/>
      <c r="V84" s="1"/>
      <c r="W84" s="1"/>
      <c r="X84" s="1"/>
    </row>
    <row r="85" spans="1:24" s="3" customFormat="1">
      <c r="A85" s="1"/>
      <c r="B85" s="28"/>
      <c r="C85" s="1"/>
      <c r="D85" s="2"/>
      <c r="E85" s="1"/>
      <c r="F85" s="1"/>
      <c r="G85" s="1"/>
      <c r="I85" s="1"/>
      <c r="K85" s="27"/>
      <c r="M85" s="1"/>
      <c r="N85" s="1"/>
      <c r="O85" s="1"/>
      <c r="P85" s="1"/>
      <c r="Q85" s="2"/>
      <c r="R85" s="1"/>
      <c r="S85" s="1"/>
      <c r="T85" s="1"/>
      <c r="U85" s="1"/>
      <c r="V85" s="1"/>
      <c r="W85" s="1"/>
      <c r="X85" s="1"/>
    </row>
  </sheetData>
  <mergeCells count="1">
    <mergeCell ref="A5:T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4A 39 review articles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Shreyasi Choudhury</dc:creator>
  <cp:lastModifiedBy>Shreyasi Choudhury</cp:lastModifiedBy>
  <dcterms:created xsi:type="dcterms:W3CDTF">2024-02-04T21:58:49Z</dcterms:created>
  <dcterms:modified xsi:type="dcterms:W3CDTF">2024-02-04T22:22:22Z</dcterms:modified>
</cp:coreProperties>
</file>