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UM_eDNAgroup\PhD Students\Anish\Chapter 2\Data\all qPCR data compiled raw\"/>
    </mc:Choice>
  </mc:AlternateContent>
  <bookViews>
    <workbookView xWindow="0" yWindow="0" windowWidth="19160" windowHeight="6740" firstSheet="2" activeTab="3"/>
  </bookViews>
  <sheets>
    <sheet name="FAM(salmon)" sheetId="1" r:id="rId1"/>
    <sheet name="Cy5 (chicken)" sheetId="2" r:id="rId2"/>
    <sheet name="VIC (m. nuclear)" sheetId="3" r:id="rId3"/>
    <sheet name="TEX (m. mito)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2" l="1"/>
  <c r="J2" i="2"/>
  <c r="J1" i="4" l="1"/>
  <c r="J2" i="4" s="1"/>
  <c r="J1" i="1"/>
  <c r="J2" i="1" s="1"/>
  <c r="J5" i="1" s="1"/>
  <c r="J4" i="4"/>
  <c r="J3" i="4"/>
  <c r="J4" i="3"/>
  <c r="J3" i="3"/>
  <c r="J1" i="3"/>
  <c r="J2" i="3" s="1"/>
  <c r="J4" i="2"/>
  <c r="J3" i="2"/>
  <c r="J4" i="1"/>
  <c r="J3" i="1"/>
  <c r="K5" i="4" l="1"/>
  <c r="J5" i="4"/>
  <c r="K5" i="3"/>
  <c r="J5" i="3"/>
  <c r="K5" i="2"/>
  <c r="J5" i="2"/>
  <c r="K5" i="1"/>
</calcChain>
</file>

<file path=xl/sharedStrings.xml><?xml version="1.0" encoding="utf-8"?>
<sst xmlns="http://schemas.openxmlformats.org/spreadsheetml/2006/main" count="701" uniqueCount="60">
  <si>
    <t>A1</t>
  </si>
  <si>
    <t>std 7</t>
  </si>
  <si>
    <t>A2</t>
  </si>
  <si>
    <t>A3</t>
  </si>
  <si>
    <t>B1</t>
  </si>
  <si>
    <t>B2</t>
  </si>
  <si>
    <t>B3</t>
  </si>
  <si>
    <t>C1</t>
  </si>
  <si>
    <t>std 6</t>
  </si>
  <si>
    <t>C2</t>
  </si>
  <si>
    <t>C3</t>
  </si>
  <si>
    <t>D1</t>
  </si>
  <si>
    <t>D2</t>
  </si>
  <si>
    <t>D3</t>
  </si>
  <si>
    <t>E1</t>
  </si>
  <si>
    <t>std 5</t>
  </si>
  <si>
    <t>E2</t>
  </si>
  <si>
    <t>E3</t>
  </si>
  <si>
    <t>F1</t>
  </si>
  <si>
    <t>F2</t>
  </si>
  <si>
    <t>F3</t>
  </si>
  <si>
    <t>G1</t>
  </si>
  <si>
    <t>std 4</t>
  </si>
  <si>
    <t>G2</t>
  </si>
  <si>
    <t>G3</t>
  </si>
  <si>
    <t>H1</t>
  </si>
  <si>
    <t>H2</t>
  </si>
  <si>
    <t>H3</t>
  </si>
  <si>
    <t>I1</t>
  </si>
  <si>
    <t>std 3</t>
  </si>
  <si>
    <t>I2</t>
  </si>
  <si>
    <t>I3</t>
  </si>
  <si>
    <t>J1</t>
  </si>
  <si>
    <t>J2</t>
  </si>
  <si>
    <t>J3</t>
  </si>
  <si>
    <t>K1</t>
  </si>
  <si>
    <t>std 2</t>
  </si>
  <si>
    <t>K2</t>
  </si>
  <si>
    <t>K3</t>
  </si>
  <si>
    <t>L1</t>
  </si>
  <si>
    <t>L2</t>
  </si>
  <si>
    <t>L3</t>
  </si>
  <si>
    <t>M1</t>
  </si>
  <si>
    <t>std 1</t>
  </si>
  <si>
    <t>M2</t>
  </si>
  <si>
    <t>M3</t>
  </si>
  <si>
    <t>N1</t>
  </si>
  <si>
    <t>N2</t>
  </si>
  <si>
    <t>N3</t>
  </si>
  <si>
    <t>standard 1 10 ^7</t>
  </si>
  <si>
    <t>std 2 10^6</t>
  </si>
  <si>
    <t>std 3 10^5</t>
  </si>
  <si>
    <t xml:space="preserve">R2 </t>
  </si>
  <si>
    <t xml:space="preserve">LOQ </t>
  </si>
  <si>
    <t>Slope</t>
  </si>
  <si>
    <t xml:space="preserve">intercept </t>
  </si>
  <si>
    <t>Efficiency</t>
  </si>
  <si>
    <t>100 copies</t>
  </si>
  <si>
    <t xml:space="preserve">10 copies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</si>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</sst>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topLeftCell="A65" zoomScaleNormal="100" workbookViewId="0">
      <selection activeCell="D1" sqref="D1:D84"/>
    </sheetView>
  </sheetViews>
  <sheetFormatPr defaultRowHeight="14.5" x14ac:dyDescent="0.35"/>
  <cols>
    <col min="10" max="10" width="10.54296875" customWidth="1"/>
    <col min="16" max="16" width="14.1796875" customWidth="1"/>
  </cols>
  <sheetData>
    <row r="1" spans="1:11" x14ac:dyDescent="0.35">
      <c r="A1" t="b">
        <v>1</v>
      </c>
      <c r="B1" t="s">
        <v>21</v>
      </c>
      <c r="C1" t="s">
        <v>1</v>
      </c>
      <c r="D1">
        <v>38.229999999999997</v>
      </c>
      <c r="E1">
        <v>2</v>
      </c>
      <c r="F1">
        <v>1</v>
      </c>
      <c r="I1" t="s">
        <v>54</v>
      </c>
      <c r="J1">
        <f>SLOPE(D1:D84,F1:F84)</f>
        <v>-3.7486607142857142</v>
      </c>
    </row>
    <row r="2" spans="1:11" x14ac:dyDescent="0.35">
      <c r="A2" t="b">
        <v>1</v>
      </c>
      <c r="B2" t="s">
        <v>21</v>
      </c>
      <c r="C2" t="s">
        <v>1</v>
      </c>
      <c r="D2">
        <v>35.68</v>
      </c>
      <c r="E2">
        <v>2</v>
      </c>
      <c r="F2">
        <v>1</v>
      </c>
      <c r="I2" t="s">
        <v>56</v>
      </c>
      <c r="J2">
        <f>-1+10^(-1/J1)</f>
        <v>0.84825520870037163</v>
      </c>
    </row>
    <row r="3" spans="1:11" x14ac:dyDescent="0.35">
      <c r="A3" t="b">
        <v>1</v>
      </c>
      <c r="B3" t="s">
        <v>23</v>
      </c>
      <c r="C3" t="s">
        <v>1</v>
      </c>
      <c r="D3">
        <v>35.94</v>
      </c>
      <c r="E3">
        <v>2</v>
      </c>
      <c r="F3">
        <v>1</v>
      </c>
      <c r="I3" t="s">
        <v>52</v>
      </c>
      <c r="J3">
        <f>RSQ(D1:D84,F1:F84)</f>
        <v>0.99401156413467529</v>
      </c>
    </row>
    <row r="4" spans="1:11" x14ac:dyDescent="0.35">
      <c r="A4" t="b">
        <v>1</v>
      </c>
      <c r="B4" t="s">
        <v>23</v>
      </c>
      <c r="C4" t="s">
        <v>1</v>
      </c>
      <c r="D4">
        <v>38.24</v>
      </c>
      <c r="E4">
        <v>2</v>
      </c>
      <c r="F4">
        <v>1</v>
      </c>
      <c r="I4" t="s">
        <v>55</v>
      </c>
      <c r="J4">
        <f>INTERCEPT(D1:D84,F1:F84)</f>
        <v>40.216190476190462</v>
      </c>
    </row>
    <row r="5" spans="1:11" x14ac:dyDescent="0.35">
      <c r="A5" t="b">
        <v>1</v>
      </c>
      <c r="B5" t="s">
        <v>24</v>
      </c>
      <c r="C5" t="s">
        <v>1</v>
      </c>
      <c r="D5">
        <v>36.11</v>
      </c>
      <c r="E5">
        <v>2</v>
      </c>
      <c r="F5">
        <v>1</v>
      </c>
      <c r="I5" t="s">
        <v>53</v>
      </c>
      <c r="J5" s="2">
        <f>SQRT(((1+J2)^((STDEV(D13:D24)^2)*(LN(1+J2))))-1)</f>
        <v>0.21358994568486242</v>
      </c>
      <c r="K5" s="2">
        <f>SQRT(((1+J2)^((STDEV(D1:D12)^2)*LN(1+J2)))-1)</f>
        <v>0.78928612366001627</v>
      </c>
    </row>
    <row r="6" spans="1:11" x14ac:dyDescent="0.35">
      <c r="A6" t="b">
        <v>1</v>
      </c>
      <c r="B6" t="s">
        <v>24</v>
      </c>
      <c r="C6" t="s">
        <v>1</v>
      </c>
      <c r="D6">
        <v>38.1</v>
      </c>
      <c r="E6">
        <v>2</v>
      </c>
      <c r="F6">
        <v>1</v>
      </c>
      <c r="J6" s="2" t="s">
        <v>57</v>
      </c>
      <c r="K6" s="2" t="s">
        <v>58</v>
      </c>
    </row>
    <row r="7" spans="1:11" x14ac:dyDescent="0.35">
      <c r="A7" t="b">
        <v>1</v>
      </c>
      <c r="B7" t="s">
        <v>4</v>
      </c>
      <c r="C7" t="s">
        <v>43</v>
      </c>
      <c r="D7">
        <v>35.950000000000003</v>
      </c>
      <c r="E7">
        <v>1</v>
      </c>
      <c r="F7">
        <v>1</v>
      </c>
    </row>
    <row r="8" spans="1:11" x14ac:dyDescent="0.35">
      <c r="A8" t="b">
        <v>1</v>
      </c>
      <c r="B8" t="s">
        <v>4</v>
      </c>
      <c r="C8" t="s">
        <v>43</v>
      </c>
      <c r="D8">
        <v>35.729999999999997</v>
      </c>
      <c r="E8">
        <v>1</v>
      </c>
      <c r="F8">
        <v>1</v>
      </c>
    </row>
    <row r="9" spans="1:11" x14ac:dyDescent="0.35">
      <c r="A9" t="b">
        <v>1</v>
      </c>
      <c r="B9" t="s">
        <v>5</v>
      </c>
      <c r="C9" t="s">
        <v>43</v>
      </c>
      <c r="D9">
        <v>38.57</v>
      </c>
      <c r="E9">
        <v>1</v>
      </c>
      <c r="F9">
        <v>1</v>
      </c>
    </row>
    <row r="10" spans="1:11" x14ac:dyDescent="0.35">
      <c r="A10" t="b">
        <v>1</v>
      </c>
      <c r="B10" t="s">
        <v>5</v>
      </c>
      <c r="C10" t="s">
        <v>43</v>
      </c>
      <c r="D10">
        <v>37.53</v>
      </c>
      <c r="E10">
        <v>1</v>
      </c>
      <c r="F10">
        <v>1</v>
      </c>
    </row>
    <row r="11" spans="1:11" x14ac:dyDescent="0.35">
      <c r="A11" t="b">
        <v>1</v>
      </c>
      <c r="B11" t="s">
        <v>6</v>
      </c>
      <c r="C11" t="s">
        <v>43</v>
      </c>
      <c r="D11">
        <v>37.380000000000003</v>
      </c>
      <c r="E11">
        <v>1</v>
      </c>
      <c r="F11">
        <v>1</v>
      </c>
    </row>
    <row r="12" spans="1:11" x14ac:dyDescent="0.35">
      <c r="A12" t="b">
        <v>1</v>
      </c>
      <c r="B12" t="s">
        <v>6</v>
      </c>
      <c r="C12" t="s">
        <v>43</v>
      </c>
      <c r="D12">
        <v>37.86</v>
      </c>
      <c r="E12">
        <v>1</v>
      </c>
      <c r="F12">
        <v>1</v>
      </c>
    </row>
    <row r="13" spans="1:11" x14ac:dyDescent="0.35">
      <c r="A13" t="b">
        <v>1</v>
      </c>
      <c r="B13" t="s">
        <v>32</v>
      </c>
      <c r="C13" t="s">
        <v>8</v>
      </c>
      <c r="D13">
        <v>32.35</v>
      </c>
      <c r="E13">
        <v>2</v>
      </c>
      <c r="F13">
        <v>2</v>
      </c>
    </row>
    <row r="14" spans="1:11" x14ac:dyDescent="0.35">
      <c r="A14" t="b">
        <v>1</v>
      </c>
      <c r="B14" t="s">
        <v>32</v>
      </c>
      <c r="C14" t="s">
        <v>8</v>
      </c>
      <c r="D14">
        <v>32.53</v>
      </c>
      <c r="E14">
        <v>2</v>
      </c>
      <c r="F14">
        <v>2</v>
      </c>
    </row>
    <row r="15" spans="1:11" x14ac:dyDescent="0.35">
      <c r="A15" t="b">
        <v>1</v>
      </c>
      <c r="B15" t="s">
        <v>33</v>
      </c>
      <c r="C15" t="s">
        <v>8</v>
      </c>
      <c r="D15">
        <v>32.869999999999997</v>
      </c>
      <c r="E15">
        <v>2</v>
      </c>
      <c r="F15">
        <v>2</v>
      </c>
    </row>
    <row r="16" spans="1:11" x14ac:dyDescent="0.35">
      <c r="A16" t="b">
        <v>1</v>
      </c>
      <c r="B16" t="s">
        <v>33</v>
      </c>
      <c r="C16" t="s">
        <v>8</v>
      </c>
      <c r="D16">
        <v>32.6</v>
      </c>
      <c r="E16">
        <v>2</v>
      </c>
      <c r="F16">
        <v>2</v>
      </c>
    </row>
    <row r="17" spans="1:6" x14ac:dyDescent="0.35">
      <c r="A17" t="b">
        <v>1</v>
      </c>
      <c r="B17" t="s">
        <v>34</v>
      </c>
      <c r="C17" t="s">
        <v>8</v>
      </c>
      <c r="D17">
        <v>32.57</v>
      </c>
      <c r="E17">
        <v>2</v>
      </c>
      <c r="F17">
        <v>2</v>
      </c>
    </row>
    <row r="18" spans="1:6" x14ac:dyDescent="0.35">
      <c r="A18" t="b">
        <v>1</v>
      </c>
      <c r="B18" t="s">
        <v>34</v>
      </c>
      <c r="C18" t="s">
        <v>8</v>
      </c>
      <c r="D18">
        <v>32.71</v>
      </c>
      <c r="E18">
        <v>2</v>
      </c>
      <c r="F18">
        <v>2</v>
      </c>
    </row>
    <row r="19" spans="1:6" x14ac:dyDescent="0.35">
      <c r="A19" t="b">
        <v>1</v>
      </c>
      <c r="B19" t="s">
        <v>0</v>
      </c>
      <c r="C19" t="s">
        <v>36</v>
      </c>
      <c r="D19">
        <v>32.67</v>
      </c>
      <c r="E19">
        <v>1</v>
      </c>
      <c r="F19">
        <v>2</v>
      </c>
    </row>
    <row r="20" spans="1:6" x14ac:dyDescent="0.35">
      <c r="A20" t="b">
        <v>1</v>
      </c>
      <c r="B20" t="s">
        <v>0</v>
      </c>
      <c r="C20" t="s">
        <v>36</v>
      </c>
      <c r="D20">
        <v>32.880000000000003</v>
      </c>
      <c r="E20">
        <v>1</v>
      </c>
      <c r="F20">
        <v>2</v>
      </c>
    </row>
    <row r="21" spans="1:6" x14ac:dyDescent="0.35">
      <c r="A21" t="b">
        <v>1</v>
      </c>
      <c r="B21" t="s">
        <v>2</v>
      </c>
      <c r="C21" t="s">
        <v>36</v>
      </c>
      <c r="D21">
        <v>33.1</v>
      </c>
      <c r="E21">
        <v>1</v>
      </c>
      <c r="F21">
        <v>2</v>
      </c>
    </row>
    <row r="22" spans="1:6" x14ac:dyDescent="0.35">
      <c r="A22" t="b">
        <v>1</v>
      </c>
      <c r="B22" t="s">
        <v>2</v>
      </c>
      <c r="C22" t="s">
        <v>36</v>
      </c>
      <c r="D22">
        <v>32.1</v>
      </c>
      <c r="E22">
        <v>1</v>
      </c>
      <c r="F22">
        <v>2</v>
      </c>
    </row>
    <row r="23" spans="1:6" x14ac:dyDescent="0.35">
      <c r="A23" t="b">
        <v>1</v>
      </c>
      <c r="B23" t="s">
        <v>3</v>
      </c>
      <c r="C23" t="s">
        <v>36</v>
      </c>
      <c r="D23">
        <v>32.19</v>
      </c>
      <c r="E23">
        <v>1</v>
      </c>
      <c r="F23">
        <v>2</v>
      </c>
    </row>
    <row r="24" spans="1:6" x14ac:dyDescent="0.35">
      <c r="A24" t="b">
        <v>1</v>
      </c>
      <c r="B24" t="s">
        <v>3</v>
      </c>
      <c r="C24" t="s">
        <v>36</v>
      </c>
      <c r="D24">
        <v>31.94</v>
      </c>
      <c r="E24">
        <v>1</v>
      </c>
      <c r="F24">
        <v>2</v>
      </c>
    </row>
    <row r="25" spans="1:6" x14ac:dyDescent="0.35">
      <c r="A25" t="b">
        <v>1</v>
      </c>
      <c r="B25" t="s">
        <v>28</v>
      </c>
      <c r="C25" t="s">
        <v>15</v>
      </c>
      <c r="D25">
        <v>28.44</v>
      </c>
      <c r="E25">
        <v>2</v>
      </c>
      <c r="F25">
        <v>3</v>
      </c>
    </row>
    <row r="26" spans="1:6" x14ac:dyDescent="0.35">
      <c r="A26" t="b">
        <v>1</v>
      </c>
      <c r="B26" t="s">
        <v>28</v>
      </c>
      <c r="C26" t="s">
        <v>15</v>
      </c>
      <c r="D26">
        <v>28.2</v>
      </c>
      <c r="E26">
        <v>2</v>
      </c>
      <c r="F26">
        <v>3</v>
      </c>
    </row>
    <row r="27" spans="1:6" x14ac:dyDescent="0.35">
      <c r="A27" t="b">
        <v>1</v>
      </c>
      <c r="B27" t="s">
        <v>30</v>
      </c>
      <c r="C27" t="s">
        <v>15</v>
      </c>
      <c r="D27">
        <v>28.47</v>
      </c>
      <c r="E27">
        <v>2</v>
      </c>
      <c r="F27">
        <v>3</v>
      </c>
    </row>
    <row r="28" spans="1:6" x14ac:dyDescent="0.35">
      <c r="A28" t="b">
        <v>1</v>
      </c>
      <c r="B28" t="s">
        <v>30</v>
      </c>
      <c r="C28" t="s">
        <v>15</v>
      </c>
      <c r="D28">
        <v>28.6</v>
      </c>
      <c r="E28">
        <v>2</v>
      </c>
      <c r="F28">
        <v>3</v>
      </c>
    </row>
    <row r="29" spans="1:6" x14ac:dyDescent="0.35">
      <c r="A29" t="b">
        <v>1</v>
      </c>
      <c r="B29" t="s">
        <v>31</v>
      </c>
      <c r="C29" t="s">
        <v>15</v>
      </c>
      <c r="D29">
        <v>28.32</v>
      </c>
      <c r="E29">
        <v>2</v>
      </c>
      <c r="F29">
        <v>3</v>
      </c>
    </row>
    <row r="30" spans="1:6" x14ac:dyDescent="0.35">
      <c r="A30" t="b">
        <v>1</v>
      </c>
      <c r="B30" t="s">
        <v>31</v>
      </c>
      <c r="C30" t="s">
        <v>15</v>
      </c>
      <c r="D30">
        <v>28.44</v>
      </c>
      <c r="E30">
        <v>2</v>
      </c>
      <c r="F30">
        <v>3</v>
      </c>
    </row>
    <row r="31" spans="1:6" x14ac:dyDescent="0.35">
      <c r="A31" t="b">
        <v>1</v>
      </c>
      <c r="B31" t="s">
        <v>11</v>
      </c>
      <c r="C31" t="s">
        <v>29</v>
      </c>
      <c r="D31">
        <v>28.76</v>
      </c>
      <c r="E31">
        <v>1</v>
      </c>
      <c r="F31">
        <v>3</v>
      </c>
    </row>
    <row r="32" spans="1:6" x14ac:dyDescent="0.35">
      <c r="A32" t="b">
        <v>1</v>
      </c>
      <c r="B32" t="s">
        <v>11</v>
      </c>
      <c r="C32" t="s">
        <v>29</v>
      </c>
      <c r="D32">
        <v>28.45</v>
      </c>
      <c r="E32">
        <v>1</v>
      </c>
      <c r="F32">
        <v>3</v>
      </c>
    </row>
    <row r="33" spans="1:6" x14ac:dyDescent="0.35">
      <c r="A33" t="b">
        <v>1</v>
      </c>
      <c r="B33" t="s">
        <v>12</v>
      </c>
      <c r="C33" t="s">
        <v>29</v>
      </c>
      <c r="D33">
        <v>27.95</v>
      </c>
      <c r="E33">
        <v>1</v>
      </c>
      <c r="F33">
        <v>3</v>
      </c>
    </row>
    <row r="34" spans="1:6" x14ac:dyDescent="0.35">
      <c r="A34" t="b">
        <v>1</v>
      </c>
      <c r="B34" t="s">
        <v>12</v>
      </c>
      <c r="C34" t="s">
        <v>29</v>
      </c>
      <c r="D34">
        <v>28.77</v>
      </c>
      <c r="E34">
        <v>1</v>
      </c>
      <c r="F34">
        <v>3</v>
      </c>
    </row>
    <row r="35" spans="1:6" x14ac:dyDescent="0.35">
      <c r="A35" t="b">
        <v>1</v>
      </c>
      <c r="B35" t="s">
        <v>13</v>
      </c>
      <c r="C35" t="s">
        <v>29</v>
      </c>
      <c r="D35">
        <v>29.1</v>
      </c>
      <c r="E35">
        <v>1</v>
      </c>
      <c r="F35">
        <v>3</v>
      </c>
    </row>
    <row r="36" spans="1:6" x14ac:dyDescent="0.35">
      <c r="A36" t="b">
        <v>1</v>
      </c>
      <c r="B36" t="s">
        <v>13</v>
      </c>
      <c r="C36" t="s">
        <v>29</v>
      </c>
      <c r="D36">
        <v>28.9</v>
      </c>
      <c r="E36">
        <v>1</v>
      </c>
      <c r="F36">
        <v>3</v>
      </c>
    </row>
    <row r="37" spans="1:6" x14ac:dyDescent="0.35">
      <c r="A37" t="b">
        <v>1</v>
      </c>
      <c r="B37" t="s">
        <v>39</v>
      </c>
      <c r="C37" t="s">
        <v>22</v>
      </c>
      <c r="D37">
        <v>24.92</v>
      </c>
      <c r="E37">
        <v>2</v>
      </c>
      <c r="F37">
        <v>4</v>
      </c>
    </row>
    <row r="38" spans="1:6" x14ac:dyDescent="0.35">
      <c r="A38" t="b">
        <v>1</v>
      </c>
      <c r="B38" t="s">
        <v>39</v>
      </c>
      <c r="C38" t="s">
        <v>22</v>
      </c>
      <c r="D38">
        <v>24.73</v>
      </c>
      <c r="E38">
        <v>2</v>
      </c>
      <c r="F38">
        <v>4</v>
      </c>
    </row>
    <row r="39" spans="1:6" x14ac:dyDescent="0.35">
      <c r="A39" t="b">
        <v>1</v>
      </c>
      <c r="B39" t="s">
        <v>40</v>
      </c>
      <c r="C39" t="s">
        <v>22</v>
      </c>
      <c r="D39">
        <v>24.76</v>
      </c>
      <c r="E39">
        <v>2</v>
      </c>
      <c r="F39">
        <v>4</v>
      </c>
    </row>
    <row r="40" spans="1:6" x14ac:dyDescent="0.35">
      <c r="A40" t="b">
        <v>1</v>
      </c>
      <c r="B40" t="s">
        <v>40</v>
      </c>
      <c r="C40" t="s">
        <v>22</v>
      </c>
      <c r="D40">
        <v>24.79</v>
      </c>
      <c r="E40">
        <v>2</v>
      </c>
      <c r="F40">
        <v>4</v>
      </c>
    </row>
    <row r="41" spans="1:6" x14ac:dyDescent="0.35">
      <c r="A41" t="b">
        <v>1</v>
      </c>
      <c r="B41" t="s">
        <v>41</v>
      </c>
      <c r="C41" t="s">
        <v>22</v>
      </c>
      <c r="D41">
        <v>24.7</v>
      </c>
      <c r="E41">
        <v>2</v>
      </c>
      <c r="F41">
        <v>4</v>
      </c>
    </row>
    <row r="42" spans="1:6" x14ac:dyDescent="0.35">
      <c r="A42" t="b">
        <v>1</v>
      </c>
      <c r="B42" t="s">
        <v>41</v>
      </c>
      <c r="C42" t="s">
        <v>22</v>
      </c>
      <c r="D42">
        <v>24.56</v>
      </c>
      <c r="E42">
        <v>2</v>
      </c>
      <c r="F42">
        <v>4</v>
      </c>
    </row>
    <row r="43" spans="1:6" x14ac:dyDescent="0.35">
      <c r="A43" t="b">
        <v>1</v>
      </c>
      <c r="B43" t="s">
        <v>7</v>
      </c>
      <c r="C43" t="s">
        <v>22</v>
      </c>
      <c r="D43">
        <v>25.12</v>
      </c>
      <c r="E43">
        <v>1</v>
      </c>
      <c r="F43">
        <v>4</v>
      </c>
    </row>
    <row r="44" spans="1:6" x14ac:dyDescent="0.35">
      <c r="A44" t="b">
        <v>1</v>
      </c>
      <c r="B44" t="s">
        <v>7</v>
      </c>
      <c r="C44" t="s">
        <v>22</v>
      </c>
      <c r="D44">
        <v>25.01</v>
      </c>
      <c r="E44">
        <v>1</v>
      </c>
      <c r="F44">
        <v>4</v>
      </c>
    </row>
    <row r="45" spans="1:6" x14ac:dyDescent="0.35">
      <c r="A45" t="b">
        <v>1</v>
      </c>
      <c r="B45" t="s">
        <v>9</v>
      </c>
      <c r="C45" t="s">
        <v>22</v>
      </c>
      <c r="D45">
        <v>25.05</v>
      </c>
      <c r="E45">
        <v>1</v>
      </c>
      <c r="F45">
        <v>4</v>
      </c>
    </row>
    <row r="46" spans="1:6" x14ac:dyDescent="0.35">
      <c r="A46" t="b">
        <v>1</v>
      </c>
      <c r="B46" t="s">
        <v>9</v>
      </c>
      <c r="C46" t="s">
        <v>22</v>
      </c>
      <c r="D46">
        <v>24.96</v>
      </c>
      <c r="E46">
        <v>1</v>
      </c>
      <c r="F46">
        <v>4</v>
      </c>
    </row>
    <row r="47" spans="1:6" x14ac:dyDescent="0.35">
      <c r="A47" t="b">
        <v>1</v>
      </c>
      <c r="B47" t="s">
        <v>10</v>
      </c>
      <c r="C47" t="s">
        <v>22</v>
      </c>
      <c r="D47">
        <v>24.85</v>
      </c>
      <c r="E47">
        <v>1</v>
      </c>
      <c r="F47">
        <v>4</v>
      </c>
    </row>
    <row r="48" spans="1:6" x14ac:dyDescent="0.35">
      <c r="A48" t="b">
        <v>1</v>
      </c>
      <c r="B48" t="s">
        <v>10</v>
      </c>
      <c r="C48" t="s">
        <v>22</v>
      </c>
      <c r="D48">
        <v>24.87</v>
      </c>
      <c r="E48">
        <v>1</v>
      </c>
      <c r="F48">
        <v>4</v>
      </c>
    </row>
    <row r="49" spans="1:6" x14ac:dyDescent="0.35">
      <c r="A49" t="b">
        <v>1</v>
      </c>
      <c r="B49" t="s">
        <v>35</v>
      </c>
      <c r="C49" t="s">
        <v>51</v>
      </c>
      <c r="D49">
        <v>21.56</v>
      </c>
      <c r="E49">
        <v>2</v>
      </c>
      <c r="F49">
        <v>5</v>
      </c>
    </row>
    <row r="50" spans="1:6" x14ac:dyDescent="0.35">
      <c r="A50" t="b">
        <v>1</v>
      </c>
      <c r="B50" t="s">
        <v>35</v>
      </c>
      <c r="C50" t="s">
        <v>51</v>
      </c>
      <c r="D50">
        <v>21.42</v>
      </c>
      <c r="E50">
        <v>2</v>
      </c>
      <c r="F50">
        <v>5</v>
      </c>
    </row>
    <row r="51" spans="1:6" x14ac:dyDescent="0.35">
      <c r="A51" t="b">
        <v>1</v>
      </c>
      <c r="B51" t="s">
        <v>37</v>
      </c>
      <c r="C51" t="s">
        <v>51</v>
      </c>
      <c r="D51">
        <v>21.45</v>
      </c>
      <c r="E51">
        <v>2</v>
      </c>
      <c r="F51">
        <v>5</v>
      </c>
    </row>
    <row r="52" spans="1:6" x14ac:dyDescent="0.35">
      <c r="A52" t="b">
        <v>1</v>
      </c>
      <c r="B52" t="s">
        <v>37</v>
      </c>
      <c r="C52" t="s">
        <v>51</v>
      </c>
      <c r="D52">
        <v>21.49</v>
      </c>
      <c r="E52">
        <v>2</v>
      </c>
      <c r="F52">
        <v>5</v>
      </c>
    </row>
    <row r="53" spans="1:6" x14ac:dyDescent="0.35">
      <c r="A53" t="b">
        <v>1</v>
      </c>
      <c r="B53" t="s">
        <v>38</v>
      </c>
      <c r="C53" t="s">
        <v>51</v>
      </c>
      <c r="D53">
        <v>21.17</v>
      </c>
      <c r="E53">
        <v>2</v>
      </c>
      <c r="F53">
        <v>5</v>
      </c>
    </row>
    <row r="54" spans="1:6" x14ac:dyDescent="0.35">
      <c r="A54" t="b">
        <v>1</v>
      </c>
      <c r="B54" t="s">
        <v>38</v>
      </c>
      <c r="C54" t="s">
        <v>51</v>
      </c>
      <c r="D54">
        <v>21.61</v>
      </c>
      <c r="E54">
        <v>2</v>
      </c>
      <c r="F54">
        <v>5</v>
      </c>
    </row>
    <row r="55" spans="1:6" x14ac:dyDescent="0.35">
      <c r="A55" t="b">
        <v>1</v>
      </c>
      <c r="B55" t="s">
        <v>18</v>
      </c>
      <c r="C55" t="s">
        <v>15</v>
      </c>
      <c r="D55">
        <v>21.43</v>
      </c>
      <c r="E55">
        <v>1</v>
      </c>
      <c r="F55">
        <v>5</v>
      </c>
    </row>
    <row r="56" spans="1:6" x14ac:dyDescent="0.35">
      <c r="A56" t="b">
        <v>1</v>
      </c>
      <c r="B56" t="s">
        <v>18</v>
      </c>
      <c r="C56" t="s">
        <v>15</v>
      </c>
      <c r="D56">
        <v>21.37</v>
      </c>
      <c r="E56">
        <v>1</v>
      </c>
      <c r="F56">
        <v>5</v>
      </c>
    </row>
    <row r="57" spans="1:6" x14ac:dyDescent="0.35">
      <c r="A57" t="b">
        <v>1</v>
      </c>
      <c r="B57" t="s">
        <v>19</v>
      </c>
      <c r="C57" t="s">
        <v>15</v>
      </c>
      <c r="D57">
        <v>21.37</v>
      </c>
      <c r="E57">
        <v>1</v>
      </c>
      <c r="F57">
        <v>5</v>
      </c>
    </row>
    <row r="58" spans="1:6" x14ac:dyDescent="0.35">
      <c r="A58" t="b">
        <v>1</v>
      </c>
      <c r="B58" t="s">
        <v>19</v>
      </c>
      <c r="C58" t="s">
        <v>15</v>
      </c>
      <c r="D58">
        <v>21.35</v>
      </c>
      <c r="E58">
        <v>1</v>
      </c>
      <c r="F58">
        <v>5</v>
      </c>
    </row>
    <row r="59" spans="1:6" x14ac:dyDescent="0.35">
      <c r="A59" t="b">
        <v>1</v>
      </c>
      <c r="B59" t="s">
        <v>20</v>
      </c>
      <c r="C59" t="s">
        <v>15</v>
      </c>
      <c r="D59">
        <v>21.35</v>
      </c>
      <c r="E59">
        <v>1</v>
      </c>
      <c r="F59">
        <v>5</v>
      </c>
    </row>
    <row r="60" spans="1:6" x14ac:dyDescent="0.35">
      <c r="A60" t="b">
        <v>1</v>
      </c>
      <c r="B60" t="s">
        <v>20</v>
      </c>
      <c r="C60" t="s">
        <v>15</v>
      </c>
      <c r="D60">
        <v>21.25</v>
      </c>
      <c r="E60">
        <v>1</v>
      </c>
      <c r="F60">
        <v>5</v>
      </c>
    </row>
    <row r="61" spans="1:6" x14ac:dyDescent="0.35">
      <c r="A61" t="b">
        <v>1</v>
      </c>
      <c r="B61" t="s">
        <v>46</v>
      </c>
      <c r="C61" t="s">
        <v>50</v>
      </c>
      <c r="D61">
        <v>17.73</v>
      </c>
      <c r="E61">
        <v>2</v>
      </c>
      <c r="F61">
        <v>6</v>
      </c>
    </row>
    <row r="62" spans="1:6" x14ac:dyDescent="0.35">
      <c r="A62" t="b">
        <v>1</v>
      </c>
      <c r="B62" t="s">
        <v>46</v>
      </c>
      <c r="C62" t="s">
        <v>50</v>
      </c>
      <c r="D62">
        <v>17.510000000000002</v>
      </c>
      <c r="E62">
        <v>2</v>
      </c>
      <c r="F62">
        <v>6</v>
      </c>
    </row>
    <row r="63" spans="1:6" x14ac:dyDescent="0.35">
      <c r="A63" t="b">
        <v>1</v>
      </c>
      <c r="B63" t="s">
        <v>47</v>
      </c>
      <c r="C63" t="s">
        <v>50</v>
      </c>
      <c r="D63">
        <v>17.87</v>
      </c>
      <c r="E63">
        <v>2</v>
      </c>
      <c r="F63">
        <v>6</v>
      </c>
    </row>
    <row r="64" spans="1:6" x14ac:dyDescent="0.35">
      <c r="A64" t="b">
        <v>1</v>
      </c>
      <c r="B64" t="s">
        <v>47</v>
      </c>
      <c r="C64" t="s">
        <v>50</v>
      </c>
      <c r="D64">
        <v>17.75</v>
      </c>
      <c r="E64">
        <v>2</v>
      </c>
      <c r="F64">
        <v>6</v>
      </c>
    </row>
    <row r="65" spans="1:6" x14ac:dyDescent="0.35">
      <c r="A65" t="b">
        <v>1</v>
      </c>
      <c r="B65" t="s">
        <v>48</v>
      </c>
      <c r="C65" t="s">
        <v>50</v>
      </c>
      <c r="D65">
        <v>17.7</v>
      </c>
      <c r="E65">
        <v>2</v>
      </c>
      <c r="F65">
        <v>6</v>
      </c>
    </row>
    <row r="66" spans="1:6" x14ac:dyDescent="0.35">
      <c r="A66" t="b">
        <v>1</v>
      </c>
      <c r="B66" t="s">
        <v>48</v>
      </c>
      <c r="C66" t="s">
        <v>50</v>
      </c>
      <c r="D66">
        <v>17.440000000000001</v>
      </c>
      <c r="E66">
        <v>2</v>
      </c>
      <c r="F66">
        <v>6</v>
      </c>
    </row>
    <row r="67" spans="1:6" x14ac:dyDescent="0.35">
      <c r="A67" t="b">
        <v>1</v>
      </c>
      <c r="B67" t="s">
        <v>14</v>
      </c>
      <c r="C67" t="s">
        <v>8</v>
      </c>
      <c r="D67">
        <v>17.760000000000002</v>
      </c>
      <c r="E67">
        <v>1</v>
      </c>
      <c r="F67">
        <v>6</v>
      </c>
    </row>
    <row r="68" spans="1:6" x14ac:dyDescent="0.35">
      <c r="A68" t="b">
        <v>1</v>
      </c>
      <c r="B68" t="s">
        <v>14</v>
      </c>
      <c r="C68" t="s">
        <v>8</v>
      </c>
      <c r="D68">
        <v>17.78</v>
      </c>
      <c r="E68">
        <v>1</v>
      </c>
      <c r="F68">
        <v>6</v>
      </c>
    </row>
    <row r="69" spans="1:6" x14ac:dyDescent="0.35">
      <c r="A69" t="b">
        <v>1</v>
      </c>
      <c r="B69" t="s">
        <v>16</v>
      </c>
      <c r="C69" t="s">
        <v>8</v>
      </c>
      <c r="D69">
        <v>17.77</v>
      </c>
      <c r="E69">
        <v>1</v>
      </c>
      <c r="F69">
        <v>6</v>
      </c>
    </row>
    <row r="70" spans="1:6" x14ac:dyDescent="0.35">
      <c r="A70" t="b">
        <v>1</v>
      </c>
      <c r="B70" t="s">
        <v>16</v>
      </c>
      <c r="C70" t="s">
        <v>8</v>
      </c>
      <c r="D70">
        <v>17.850000000000001</v>
      </c>
      <c r="E70">
        <v>1</v>
      </c>
      <c r="F70">
        <v>6</v>
      </c>
    </row>
    <row r="71" spans="1:6" x14ac:dyDescent="0.35">
      <c r="A71" t="b">
        <v>1</v>
      </c>
      <c r="B71" t="s">
        <v>17</v>
      </c>
      <c r="C71" t="s">
        <v>8</v>
      </c>
      <c r="D71">
        <v>17.8</v>
      </c>
      <c r="E71">
        <v>1</v>
      </c>
      <c r="F71">
        <v>6</v>
      </c>
    </row>
    <row r="72" spans="1:6" x14ac:dyDescent="0.35">
      <c r="A72" t="b">
        <v>1</v>
      </c>
      <c r="B72" t="s">
        <v>17</v>
      </c>
      <c r="C72" t="s">
        <v>8</v>
      </c>
      <c r="D72">
        <v>17.75</v>
      </c>
      <c r="E72">
        <v>1</v>
      </c>
      <c r="F72">
        <v>6</v>
      </c>
    </row>
    <row r="73" spans="1:6" x14ac:dyDescent="0.35">
      <c r="A73" t="b">
        <v>1</v>
      </c>
      <c r="B73" t="s">
        <v>42</v>
      </c>
      <c r="C73" t="s">
        <v>49</v>
      </c>
      <c r="D73">
        <v>14.27</v>
      </c>
      <c r="E73">
        <v>2</v>
      </c>
      <c r="F73">
        <v>7</v>
      </c>
    </row>
    <row r="74" spans="1:6" x14ac:dyDescent="0.35">
      <c r="A74" t="b">
        <v>1</v>
      </c>
      <c r="B74" t="s">
        <v>42</v>
      </c>
      <c r="C74" t="s">
        <v>49</v>
      </c>
      <c r="D74">
        <v>14.29</v>
      </c>
      <c r="E74">
        <v>2</v>
      </c>
      <c r="F74">
        <v>7</v>
      </c>
    </row>
    <row r="75" spans="1:6" x14ac:dyDescent="0.35">
      <c r="A75" t="b">
        <v>1</v>
      </c>
      <c r="B75" t="s">
        <v>44</v>
      </c>
      <c r="C75" t="s">
        <v>49</v>
      </c>
      <c r="D75">
        <v>14.5</v>
      </c>
      <c r="E75">
        <v>2</v>
      </c>
      <c r="F75">
        <v>7</v>
      </c>
    </row>
    <row r="76" spans="1:6" x14ac:dyDescent="0.35">
      <c r="A76" t="b">
        <v>1</v>
      </c>
      <c r="B76" t="s">
        <v>44</v>
      </c>
      <c r="C76" t="s">
        <v>49</v>
      </c>
      <c r="D76">
        <v>14.3</v>
      </c>
      <c r="E76">
        <v>2</v>
      </c>
      <c r="F76">
        <v>7</v>
      </c>
    </row>
    <row r="77" spans="1:6" x14ac:dyDescent="0.35">
      <c r="A77" t="b">
        <v>1</v>
      </c>
      <c r="B77" t="s">
        <v>45</v>
      </c>
      <c r="C77" t="s">
        <v>49</v>
      </c>
      <c r="D77">
        <v>14.33</v>
      </c>
      <c r="E77">
        <v>2</v>
      </c>
      <c r="F77">
        <v>7</v>
      </c>
    </row>
    <row r="78" spans="1:6" x14ac:dyDescent="0.35">
      <c r="A78" t="b">
        <v>1</v>
      </c>
      <c r="B78" t="s">
        <v>45</v>
      </c>
      <c r="C78" t="s">
        <v>49</v>
      </c>
      <c r="D78">
        <v>14.31</v>
      </c>
      <c r="E78">
        <v>2</v>
      </c>
      <c r="F78">
        <v>7</v>
      </c>
    </row>
    <row r="79" spans="1:6" x14ac:dyDescent="0.35">
      <c r="A79" t="b">
        <v>1</v>
      </c>
      <c r="B79" t="s">
        <v>25</v>
      </c>
      <c r="C79" t="s">
        <v>1</v>
      </c>
      <c r="D79">
        <v>14.3</v>
      </c>
      <c r="E79">
        <v>1</v>
      </c>
      <c r="F79">
        <v>7</v>
      </c>
    </row>
    <row r="80" spans="1:6" x14ac:dyDescent="0.35">
      <c r="A80" t="b">
        <v>1</v>
      </c>
      <c r="B80" t="s">
        <v>25</v>
      </c>
      <c r="C80" t="s">
        <v>1</v>
      </c>
      <c r="D80">
        <v>14.46</v>
      </c>
      <c r="E80">
        <v>1</v>
      </c>
      <c r="F80">
        <v>7</v>
      </c>
    </row>
    <row r="81" spans="1:6" x14ac:dyDescent="0.35">
      <c r="A81" t="b">
        <v>1</v>
      </c>
      <c r="B81" t="s">
        <v>26</v>
      </c>
      <c r="C81" t="s">
        <v>1</v>
      </c>
      <c r="D81">
        <v>14.42</v>
      </c>
      <c r="E81">
        <v>1</v>
      </c>
      <c r="F81">
        <v>7</v>
      </c>
    </row>
    <row r="82" spans="1:6" x14ac:dyDescent="0.35">
      <c r="A82" t="b">
        <v>1</v>
      </c>
      <c r="B82" t="s">
        <v>26</v>
      </c>
      <c r="C82" t="s">
        <v>1</v>
      </c>
      <c r="D82">
        <v>14.6</v>
      </c>
      <c r="E82">
        <v>1</v>
      </c>
      <c r="F82">
        <v>7</v>
      </c>
    </row>
    <row r="83" spans="1:6" x14ac:dyDescent="0.35">
      <c r="A83" t="b">
        <v>1</v>
      </c>
      <c r="B83" t="s">
        <v>27</v>
      </c>
      <c r="C83" t="s">
        <v>1</v>
      </c>
      <c r="D83">
        <v>14.44</v>
      </c>
      <c r="E83">
        <v>1</v>
      </c>
      <c r="F83">
        <v>7</v>
      </c>
    </row>
    <row r="84" spans="1:6" x14ac:dyDescent="0.35">
      <c r="A84" t="b">
        <v>1</v>
      </c>
      <c r="B84" t="s">
        <v>27</v>
      </c>
      <c r="C84" t="s">
        <v>1</v>
      </c>
      <c r="D84">
        <v>14.31</v>
      </c>
      <c r="E84">
        <v>1</v>
      </c>
      <c r="F84">
        <v>7</v>
      </c>
    </row>
  </sheetData>
  <sortState ref="A1:F84">
    <sortCondition ref="F1:F8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63" zoomScale="85" zoomScaleNormal="85" workbookViewId="0">
      <selection activeCell="F1" sqref="F1:F84"/>
    </sheetView>
  </sheetViews>
  <sheetFormatPr defaultRowHeight="14.5" x14ac:dyDescent="0.35"/>
  <cols>
    <col min="13" max="13" width="8.7265625" customWidth="1"/>
    <col min="14" max="14" width="15.453125" customWidth="1"/>
  </cols>
  <sheetData>
    <row r="1" spans="1:18" x14ac:dyDescent="0.35">
      <c r="A1" t="b">
        <v>1</v>
      </c>
      <c r="B1" t="s">
        <v>21</v>
      </c>
      <c r="C1" t="s">
        <v>1</v>
      </c>
      <c r="D1">
        <v>35.880000000000003</v>
      </c>
      <c r="E1">
        <v>2</v>
      </c>
      <c r="F1">
        <v>1</v>
      </c>
      <c r="I1" t="s">
        <v>54</v>
      </c>
      <c r="J1">
        <f>SLOPE(D1:D84,F1:F84)</f>
        <v>-3.6207738095238091</v>
      </c>
    </row>
    <row r="2" spans="1:18" x14ac:dyDescent="0.35">
      <c r="A2" t="b">
        <v>1</v>
      </c>
      <c r="B2" t="s">
        <v>23</v>
      </c>
      <c r="C2" t="s">
        <v>1</v>
      </c>
      <c r="D2">
        <v>34.93</v>
      </c>
      <c r="E2">
        <v>2</v>
      </c>
      <c r="F2">
        <v>1</v>
      </c>
      <c r="I2" t="s">
        <v>56</v>
      </c>
      <c r="J2">
        <f>-1+10^(-1/J1)</f>
        <v>0.88879166221020545</v>
      </c>
      <c r="R2" s="1"/>
    </row>
    <row r="3" spans="1:18" x14ac:dyDescent="0.35">
      <c r="A3" t="b">
        <v>1</v>
      </c>
      <c r="B3" t="s">
        <v>24</v>
      </c>
      <c r="C3" t="s">
        <v>1</v>
      </c>
      <c r="D3">
        <v>36.35</v>
      </c>
      <c r="E3">
        <v>2</v>
      </c>
      <c r="F3">
        <v>1</v>
      </c>
      <c r="I3" t="s">
        <v>52</v>
      </c>
      <c r="J3">
        <f>RSQ(D1:D84,F1:F84)</f>
        <v>0.99485920359140678</v>
      </c>
      <c r="R3" s="1"/>
    </row>
    <row r="4" spans="1:18" x14ac:dyDescent="0.35">
      <c r="A4" t="b">
        <v>1</v>
      </c>
      <c r="B4" t="s">
        <v>25</v>
      </c>
      <c r="C4" t="s">
        <v>1</v>
      </c>
      <c r="D4">
        <v>36.770000000000003</v>
      </c>
      <c r="E4">
        <v>2</v>
      </c>
      <c r="F4">
        <v>1</v>
      </c>
      <c r="I4" t="s">
        <v>55</v>
      </c>
      <c r="J4">
        <f>INTERCEPT(D1:D84,F1:F84)</f>
        <v>39.159047619047612</v>
      </c>
      <c r="R4" s="1"/>
    </row>
    <row r="5" spans="1:18" x14ac:dyDescent="0.35">
      <c r="A5" t="b">
        <v>1</v>
      </c>
      <c r="B5" t="s">
        <v>26</v>
      </c>
      <c r="C5" t="s">
        <v>1</v>
      </c>
      <c r="D5">
        <v>35.43</v>
      </c>
      <c r="E5">
        <v>2</v>
      </c>
      <c r="F5">
        <v>1</v>
      </c>
      <c r="I5" t="s">
        <v>53</v>
      </c>
      <c r="J5" s="2">
        <f>SQRT(((1+J2)^((STDEV(D13:D24)^2)*(LN(1+J2))))-1)</f>
        <v>0.29919880250671849</v>
      </c>
      <c r="K5" s="2">
        <f>SQRT(((1+J2)^((STDEV(D1:D12)^2)*LN(1+J2)))-1)</f>
        <v>0.42930106744340812</v>
      </c>
      <c r="R5" s="1"/>
    </row>
    <row r="6" spans="1:18" x14ac:dyDescent="0.35">
      <c r="A6" t="b">
        <v>1</v>
      </c>
      <c r="B6" t="s">
        <v>27</v>
      </c>
      <c r="C6" t="s">
        <v>1</v>
      </c>
      <c r="D6">
        <v>35.979999999999997</v>
      </c>
      <c r="E6">
        <v>2</v>
      </c>
      <c r="F6">
        <v>1</v>
      </c>
      <c r="J6" s="2" t="s">
        <v>57</v>
      </c>
      <c r="K6" s="2" t="s">
        <v>58</v>
      </c>
      <c r="R6" s="1"/>
    </row>
    <row r="7" spans="1:18" x14ac:dyDescent="0.35">
      <c r="A7" t="b">
        <v>1</v>
      </c>
      <c r="B7" t="s">
        <v>21</v>
      </c>
      <c r="C7" t="s">
        <v>43</v>
      </c>
      <c r="D7">
        <v>34.78</v>
      </c>
      <c r="E7">
        <v>1</v>
      </c>
      <c r="F7">
        <v>1</v>
      </c>
    </row>
    <row r="8" spans="1:18" x14ac:dyDescent="0.35">
      <c r="A8" t="b">
        <v>1</v>
      </c>
      <c r="B8" t="s">
        <v>23</v>
      </c>
      <c r="C8" t="s">
        <v>43</v>
      </c>
      <c r="D8">
        <v>35.26</v>
      </c>
      <c r="E8">
        <v>1</v>
      </c>
      <c r="F8">
        <v>1</v>
      </c>
    </row>
    <row r="9" spans="1:18" x14ac:dyDescent="0.35">
      <c r="A9" t="b">
        <v>1</v>
      </c>
      <c r="B9" t="s">
        <v>24</v>
      </c>
      <c r="C9" t="s">
        <v>43</v>
      </c>
      <c r="D9">
        <v>35.15</v>
      </c>
      <c r="E9">
        <v>1</v>
      </c>
      <c r="F9">
        <v>1</v>
      </c>
    </row>
    <row r="10" spans="1:18" x14ac:dyDescent="0.35">
      <c r="A10" t="b">
        <v>1</v>
      </c>
      <c r="B10" t="s">
        <v>25</v>
      </c>
      <c r="C10" t="s">
        <v>43</v>
      </c>
      <c r="D10">
        <v>35.58</v>
      </c>
      <c r="E10">
        <v>1</v>
      </c>
      <c r="F10">
        <v>1</v>
      </c>
    </row>
    <row r="11" spans="1:18" x14ac:dyDescent="0.35">
      <c r="A11" t="b">
        <v>1</v>
      </c>
      <c r="B11" t="s">
        <v>26</v>
      </c>
      <c r="C11" t="s">
        <v>43</v>
      </c>
      <c r="D11">
        <v>34.82</v>
      </c>
      <c r="E11">
        <v>1</v>
      </c>
      <c r="F11">
        <v>1</v>
      </c>
    </row>
    <row r="12" spans="1:18" x14ac:dyDescent="0.35">
      <c r="A12" t="b">
        <v>1</v>
      </c>
      <c r="B12" t="s">
        <v>27</v>
      </c>
      <c r="C12" t="s">
        <v>43</v>
      </c>
      <c r="D12">
        <v>34.869999999999997</v>
      </c>
      <c r="E12">
        <v>1</v>
      </c>
      <c r="F12">
        <v>1</v>
      </c>
    </row>
    <row r="13" spans="1:18" x14ac:dyDescent="0.35">
      <c r="A13" t="b">
        <v>1</v>
      </c>
      <c r="B13" t="s">
        <v>28</v>
      </c>
      <c r="C13" t="s">
        <v>8</v>
      </c>
      <c r="D13">
        <v>32.130000000000003</v>
      </c>
      <c r="E13">
        <v>2</v>
      </c>
      <c r="F13">
        <v>2</v>
      </c>
      <c r="K13" s="1"/>
    </row>
    <row r="14" spans="1:18" x14ac:dyDescent="0.35">
      <c r="A14" t="b">
        <v>1</v>
      </c>
      <c r="B14" t="s">
        <v>30</v>
      </c>
      <c r="C14" t="s">
        <v>8</v>
      </c>
      <c r="D14">
        <v>32.340000000000003</v>
      </c>
      <c r="E14">
        <v>2</v>
      </c>
      <c r="F14">
        <v>2</v>
      </c>
      <c r="K14" s="1"/>
    </row>
    <row r="15" spans="1:18" x14ac:dyDescent="0.35">
      <c r="A15" t="b">
        <v>1</v>
      </c>
      <c r="B15" t="s">
        <v>31</v>
      </c>
      <c r="C15" t="s">
        <v>8</v>
      </c>
      <c r="D15">
        <v>32.74</v>
      </c>
      <c r="E15">
        <v>2</v>
      </c>
      <c r="F15">
        <v>2</v>
      </c>
      <c r="K15" s="1"/>
    </row>
    <row r="16" spans="1:18" x14ac:dyDescent="0.35">
      <c r="A16" t="b">
        <v>1</v>
      </c>
      <c r="B16" t="s">
        <v>32</v>
      </c>
      <c r="C16" t="s">
        <v>8</v>
      </c>
      <c r="D16">
        <v>32.409999999999997</v>
      </c>
      <c r="E16">
        <v>2</v>
      </c>
      <c r="F16">
        <v>2</v>
      </c>
      <c r="K16" s="1"/>
    </row>
    <row r="17" spans="1:11" x14ac:dyDescent="0.35">
      <c r="A17" t="b">
        <v>1</v>
      </c>
      <c r="B17" t="s">
        <v>33</v>
      </c>
      <c r="C17" t="s">
        <v>8</v>
      </c>
      <c r="D17">
        <v>32.31</v>
      </c>
      <c r="E17">
        <v>2</v>
      </c>
      <c r="F17">
        <v>2</v>
      </c>
      <c r="K17" s="1"/>
    </row>
    <row r="18" spans="1:11" x14ac:dyDescent="0.35">
      <c r="A18" t="b">
        <v>1</v>
      </c>
      <c r="B18" t="s">
        <v>34</v>
      </c>
      <c r="C18" t="s">
        <v>8</v>
      </c>
      <c r="D18">
        <v>32.880000000000003</v>
      </c>
      <c r="E18">
        <v>2</v>
      </c>
      <c r="F18">
        <v>2</v>
      </c>
      <c r="K18" s="1"/>
    </row>
    <row r="19" spans="1:11" x14ac:dyDescent="0.35">
      <c r="A19" t="b">
        <v>1</v>
      </c>
      <c r="B19" t="s">
        <v>14</v>
      </c>
      <c r="C19" t="s">
        <v>36</v>
      </c>
      <c r="D19">
        <v>32.17</v>
      </c>
      <c r="E19">
        <v>1</v>
      </c>
      <c r="F19">
        <v>2</v>
      </c>
    </row>
    <row r="20" spans="1:11" x14ac:dyDescent="0.35">
      <c r="A20" t="b">
        <v>1</v>
      </c>
      <c r="B20" t="s">
        <v>16</v>
      </c>
      <c r="C20" t="s">
        <v>36</v>
      </c>
      <c r="D20">
        <v>32.43</v>
      </c>
      <c r="E20">
        <v>1</v>
      </c>
      <c r="F20">
        <v>2</v>
      </c>
    </row>
    <row r="21" spans="1:11" x14ac:dyDescent="0.35">
      <c r="A21" t="b">
        <v>1</v>
      </c>
      <c r="B21" t="s">
        <v>17</v>
      </c>
      <c r="C21" t="s">
        <v>36</v>
      </c>
      <c r="D21">
        <v>32.47</v>
      </c>
      <c r="E21">
        <v>1</v>
      </c>
      <c r="F21">
        <v>2</v>
      </c>
    </row>
    <row r="22" spans="1:11" x14ac:dyDescent="0.35">
      <c r="A22" t="b">
        <v>1</v>
      </c>
      <c r="B22" t="s">
        <v>18</v>
      </c>
      <c r="C22" t="s">
        <v>36</v>
      </c>
      <c r="D22">
        <v>31.8</v>
      </c>
      <c r="E22">
        <v>1</v>
      </c>
      <c r="F22">
        <v>2</v>
      </c>
    </row>
    <row r="23" spans="1:11" x14ac:dyDescent="0.35">
      <c r="A23" t="b">
        <v>1</v>
      </c>
      <c r="B23" t="s">
        <v>19</v>
      </c>
      <c r="C23" t="s">
        <v>36</v>
      </c>
      <c r="D23">
        <v>31.29</v>
      </c>
      <c r="E23">
        <v>1</v>
      </c>
      <c r="F23">
        <v>2</v>
      </c>
    </row>
    <row r="24" spans="1:11" x14ac:dyDescent="0.35">
      <c r="A24" t="b">
        <v>1</v>
      </c>
      <c r="B24" t="s">
        <v>20</v>
      </c>
      <c r="C24" t="s">
        <v>36</v>
      </c>
      <c r="D24">
        <v>31.58</v>
      </c>
      <c r="E24">
        <v>1</v>
      </c>
      <c r="F24">
        <v>2</v>
      </c>
    </row>
    <row r="25" spans="1:11" x14ac:dyDescent="0.35">
      <c r="A25" t="b">
        <v>1</v>
      </c>
      <c r="B25" t="s">
        <v>28</v>
      </c>
      <c r="C25" t="s">
        <v>15</v>
      </c>
      <c r="D25">
        <v>28.46</v>
      </c>
      <c r="E25">
        <v>2</v>
      </c>
      <c r="F25">
        <v>3</v>
      </c>
    </row>
    <row r="26" spans="1:11" x14ac:dyDescent="0.35">
      <c r="A26" t="b">
        <v>1</v>
      </c>
      <c r="B26" t="s">
        <v>30</v>
      </c>
      <c r="C26" t="s">
        <v>15</v>
      </c>
      <c r="D26">
        <v>28.5</v>
      </c>
      <c r="E26">
        <v>2</v>
      </c>
      <c r="F26">
        <v>3</v>
      </c>
    </row>
    <row r="27" spans="1:11" x14ac:dyDescent="0.35">
      <c r="A27" t="b">
        <v>1</v>
      </c>
      <c r="B27" t="s">
        <v>31</v>
      </c>
      <c r="C27" t="s">
        <v>15</v>
      </c>
      <c r="D27">
        <v>28.55</v>
      </c>
      <c r="E27">
        <v>2</v>
      </c>
      <c r="F27">
        <v>3</v>
      </c>
    </row>
    <row r="28" spans="1:11" x14ac:dyDescent="0.35">
      <c r="A28" t="b">
        <v>1</v>
      </c>
      <c r="B28" t="s">
        <v>32</v>
      </c>
      <c r="C28" t="s">
        <v>15</v>
      </c>
      <c r="D28">
        <v>28.5</v>
      </c>
      <c r="E28">
        <v>2</v>
      </c>
      <c r="F28">
        <v>3</v>
      </c>
    </row>
    <row r="29" spans="1:11" x14ac:dyDescent="0.35">
      <c r="A29" t="b">
        <v>1</v>
      </c>
      <c r="B29" t="s">
        <v>33</v>
      </c>
      <c r="C29" t="s">
        <v>15</v>
      </c>
      <c r="D29">
        <v>28.26</v>
      </c>
      <c r="E29">
        <v>2</v>
      </c>
      <c r="F29">
        <v>3</v>
      </c>
    </row>
    <row r="30" spans="1:11" x14ac:dyDescent="0.35">
      <c r="A30" t="b">
        <v>1</v>
      </c>
      <c r="B30" t="s">
        <v>34</v>
      </c>
      <c r="C30" t="s">
        <v>15</v>
      </c>
      <c r="D30">
        <v>28.64</v>
      </c>
      <c r="E30">
        <v>2</v>
      </c>
      <c r="F30">
        <v>3</v>
      </c>
    </row>
    <row r="31" spans="1:11" x14ac:dyDescent="0.35">
      <c r="A31" t="b">
        <v>1</v>
      </c>
      <c r="B31" t="s">
        <v>14</v>
      </c>
      <c r="C31" t="s">
        <v>29</v>
      </c>
      <c r="D31">
        <v>28.13</v>
      </c>
      <c r="E31">
        <v>1</v>
      </c>
      <c r="F31">
        <v>3</v>
      </c>
    </row>
    <row r="32" spans="1:11" x14ac:dyDescent="0.35">
      <c r="A32" t="b">
        <v>1</v>
      </c>
      <c r="B32" t="s">
        <v>16</v>
      </c>
      <c r="C32" t="s">
        <v>29</v>
      </c>
      <c r="D32">
        <v>27.86</v>
      </c>
      <c r="E32">
        <v>1</v>
      </c>
      <c r="F32">
        <v>3</v>
      </c>
    </row>
    <row r="33" spans="1:6" x14ac:dyDescent="0.35">
      <c r="A33" t="b">
        <v>1</v>
      </c>
      <c r="B33" t="s">
        <v>17</v>
      </c>
      <c r="C33" t="s">
        <v>29</v>
      </c>
      <c r="D33">
        <v>27.14</v>
      </c>
      <c r="E33">
        <v>1</v>
      </c>
      <c r="F33">
        <v>3</v>
      </c>
    </row>
    <row r="34" spans="1:6" x14ac:dyDescent="0.35">
      <c r="A34" t="b">
        <v>1</v>
      </c>
      <c r="B34" t="s">
        <v>18</v>
      </c>
      <c r="C34" t="s">
        <v>29</v>
      </c>
      <c r="D34">
        <v>28.09</v>
      </c>
      <c r="E34">
        <v>1</v>
      </c>
      <c r="F34">
        <v>3</v>
      </c>
    </row>
    <row r="35" spans="1:6" x14ac:dyDescent="0.35">
      <c r="A35" t="b">
        <v>1</v>
      </c>
      <c r="B35" t="s">
        <v>19</v>
      </c>
      <c r="C35" t="s">
        <v>29</v>
      </c>
      <c r="D35">
        <v>28.32</v>
      </c>
      <c r="E35">
        <v>1</v>
      </c>
      <c r="F35">
        <v>3</v>
      </c>
    </row>
    <row r="36" spans="1:6" x14ac:dyDescent="0.35">
      <c r="A36" t="b">
        <v>1</v>
      </c>
      <c r="B36" t="s">
        <v>20</v>
      </c>
      <c r="C36" t="s">
        <v>29</v>
      </c>
      <c r="D36">
        <v>28.1</v>
      </c>
      <c r="E36">
        <v>1</v>
      </c>
      <c r="F36">
        <v>3</v>
      </c>
    </row>
    <row r="37" spans="1:6" x14ac:dyDescent="0.35">
      <c r="A37" t="b">
        <v>1</v>
      </c>
      <c r="B37" t="s">
        <v>35</v>
      </c>
      <c r="C37" t="s">
        <v>22</v>
      </c>
      <c r="D37">
        <v>24.96</v>
      </c>
      <c r="E37">
        <v>2</v>
      </c>
      <c r="F37">
        <v>4</v>
      </c>
    </row>
    <row r="38" spans="1:6" x14ac:dyDescent="0.35">
      <c r="A38" t="b">
        <v>1</v>
      </c>
      <c r="B38" t="s">
        <v>37</v>
      </c>
      <c r="C38" t="s">
        <v>22</v>
      </c>
      <c r="D38">
        <v>24.76</v>
      </c>
      <c r="E38">
        <v>2</v>
      </c>
      <c r="F38">
        <v>4</v>
      </c>
    </row>
    <row r="39" spans="1:6" x14ac:dyDescent="0.35">
      <c r="A39" t="b">
        <v>1</v>
      </c>
      <c r="B39" t="s">
        <v>38</v>
      </c>
      <c r="C39" t="s">
        <v>22</v>
      </c>
      <c r="D39">
        <v>24.92</v>
      </c>
      <c r="E39">
        <v>2</v>
      </c>
      <c r="F39">
        <v>4</v>
      </c>
    </row>
    <row r="40" spans="1:6" x14ac:dyDescent="0.35">
      <c r="A40" t="b">
        <v>1</v>
      </c>
      <c r="B40" t="s">
        <v>39</v>
      </c>
      <c r="C40" t="s">
        <v>22</v>
      </c>
      <c r="D40">
        <v>24.95</v>
      </c>
      <c r="E40">
        <v>2</v>
      </c>
      <c r="F40">
        <v>4</v>
      </c>
    </row>
    <row r="41" spans="1:6" x14ac:dyDescent="0.35">
      <c r="A41" t="b">
        <v>1</v>
      </c>
      <c r="B41" t="s">
        <v>40</v>
      </c>
      <c r="C41" t="s">
        <v>22</v>
      </c>
      <c r="D41">
        <v>24.81</v>
      </c>
      <c r="E41">
        <v>2</v>
      </c>
      <c r="F41">
        <v>4</v>
      </c>
    </row>
    <row r="42" spans="1:6" x14ac:dyDescent="0.35">
      <c r="A42" t="b">
        <v>1</v>
      </c>
      <c r="B42" t="s">
        <v>41</v>
      </c>
      <c r="C42" t="s">
        <v>22</v>
      </c>
      <c r="D42">
        <v>24.82</v>
      </c>
      <c r="E42">
        <v>2</v>
      </c>
      <c r="F42">
        <v>4</v>
      </c>
    </row>
    <row r="43" spans="1:6" x14ac:dyDescent="0.35">
      <c r="A43" t="b">
        <v>1</v>
      </c>
      <c r="B43" t="s">
        <v>7</v>
      </c>
      <c r="C43" t="s">
        <v>22</v>
      </c>
      <c r="D43">
        <v>24.19</v>
      </c>
      <c r="E43">
        <v>1</v>
      </c>
      <c r="F43">
        <v>4</v>
      </c>
    </row>
    <row r="44" spans="1:6" x14ac:dyDescent="0.35">
      <c r="A44" t="b">
        <v>1</v>
      </c>
      <c r="B44" t="s">
        <v>9</v>
      </c>
      <c r="C44" t="s">
        <v>22</v>
      </c>
      <c r="D44">
        <v>24.06</v>
      </c>
      <c r="E44">
        <v>1</v>
      </c>
      <c r="F44">
        <v>4</v>
      </c>
    </row>
    <row r="45" spans="1:6" x14ac:dyDescent="0.35">
      <c r="A45" t="b">
        <v>1</v>
      </c>
      <c r="B45" t="s">
        <v>10</v>
      </c>
      <c r="C45" t="s">
        <v>22</v>
      </c>
      <c r="D45">
        <v>24.36</v>
      </c>
      <c r="E45">
        <v>1</v>
      </c>
      <c r="F45">
        <v>4</v>
      </c>
    </row>
    <row r="46" spans="1:6" x14ac:dyDescent="0.35">
      <c r="A46" t="b">
        <v>1</v>
      </c>
      <c r="B46" t="s">
        <v>11</v>
      </c>
      <c r="C46" t="s">
        <v>22</v>
      </c>
      <c r="D46">
        <v>24.27</v>
      </c>
      <c r="E46">
        <v>1</v>
      </c>
      <c r="F46">
        <v>4</v>
      </c>
    </row>
    <row r="47" spans="1:6" x14ac:dyDescent="0.35">
      <c r="A47" t="b">
        <v>1</v>
      </c>
      <c r="B47" t="s">
        <v>12</v>
      </c>
      <c r="C47" t="s">
        <v>22</v>
      </c>
      <c r="D47">
        <v>23.94</v>
      </c>
      <c r="E47">
        <v>1</v>
      </c>
      <c r="F47">
        <v>4</v>
      </c>
    </row>
    <row r="48" spans="1:6" x14ac:dyDescent="0.35">
      <c r="A48" t="b">
        <v>1</v>
      </c>
      <c r="B48" t="s">
        <v>13</v>
      </c>
      <c r="C48" t="s">
        <v>22</v>
      </c>
      <c r="D48">
        <v>24.11</v>
      </c>
      <c r="E48">
        <v>1</v>
      </c>
      <c r="F48">
        <v>4</v>
      </c>
    </row>
    <row r="49" spans="1:6" x14ac:dyDescent="0.35">
      <c r="A49" t="b">
        <v>1</v>
      </c>
      <c r="B49" t="s">
        <v>35</v>
      </c>
      <c r="C49" t="s">
        <v>51</v>
      </c>
      <c r="D49">
        <v>21.71</v>
      </c>
      <c r="E49">
        <v>2</v>
      </c>
      <c r="F49">
        <v>5</v>
      </c>
    </row>
    <row r="50" spans="1:6" x14ac:dyDescent="0.35">
      <c r="A50" t="b">
        <v>1</v>
      </c>
      <c r="B50" t="s">
        <v>37</v>
      </c>
      <c r="C50" t="s">
        <v>51</v>
      </c>
      <c r="D50">
        <v>21.49</v>
      </c>
      <c r="E50">
        <v>2</v>
      </c>
      <c r="F50">
        <v>5</v>
      </c>
    </row>
    <row r="51" spans="1:6" x14ac:dyDescent="0.35">
      <c r="A51" t="b">
        <v>1</v>
      </c>
      <c r="B51" t="s">
        <v>38</v>
      </c>
      <c r="C51" t="s">
        <v>51</v>
      </c>
      <c r="D51">
        <v>21.5</v>
      </c>
      <c r="E51">
        <v>2</v>
      </c>
      <c r="F51">
        <v>5</v>
      </c>
    </row>
    <row r="52" spans="1:6" x14ac:dyDescent="0.35">
      <c r="A52" t="b">
        <v>1</v>
      </c>
      <c r="B52" t="s">
        <v>39</v>
      </c>
      <c r="C52" t="s">
        <v>51</v>
      </c>
      <c r="D52">
        <v>21.53</v>
      </c>
      <c r="E52">
        <v>2</v>
      </c>
      <c r="F52">
        <v>5</v>
      </c>
    </row>
    <row r="53" spans="1:6" x14ac:dyDescent="0.35">
      <c r="A53" t="b">
        <v>1</v>
      </c>
      <c r="B53" t="s">
        <v>40</v>
      </c>
      <c r="C53" t="s">
        <v>51</v>
      </c>
      <c r="D53">
        <v>20.99</v>
      </c>
      <c r="E53">
        <v>2</v>
      </c>
      <c r="F53">
        <v>5</v>
      </c>
    </row>
    <row r="54" spans="1:6" x14ac:dyDescent="0.35">
      <c r="A54" t="b">
        <v>1</v>
      </c>
      <c r="B54" t="s">
        <v>41</v>
      </c>
      <c r="C54" t="s">
        <v>51</v>
      </c>
      <c r="D54">
        <v>21.63</v>
      </c>
      <c r="E54">
        <v>2</v>
      </c>
      <c r="F54">
        <v>5</v>
      </c>
    </row>
    <row r="55" spans="1:6" x14ac:dyDescent="0.35">
      <c r="A55" t="b">
        <v>1</v>
      </c>
      <c r="B55" t="s">
        <v>7</v>
      </c>
      <c r="C55" t="s">
        <v>15</v>
      </c>
      <c r="D55">
        <v>20.51</v>
      </c>
      <c r="E55">
        <v>1</v>
      </c>
      <c r="F55">
        <v>5</v>
      </c>
    </row>
    <row r="56" spans="1:6" x14ac:dyDescent="0.35">
      <c r="A56" t="b">
        <v>1</v>
      </c>
      <c r="B56" t="s">
        <v>9</v>
      </c>
      <c r="C56" t="s">
        <v>15</v>
      </c>
      <c r="D56">
        <v>20.41</v>
      </c>
      <c r="E56">
        <v>1</v>
      </c>
      <c r="F56">
        <v>5</v>
      </c>
    </row>
    <row r="57" spans="1:6" x14ac:dyDescent="0.35">
      <c r="A57" t="b">
        <v>1</v>
      </c>
      <c r="B57" t="s">
        <v>10</v>
      </c>
      <c r="C57" t="s">
        <v>15</v>
      </c>
      <c r="D57">
        <v>20.53</v>
      </c>
      <c r="E57">
        <v>1</v>
      </c>
      <c r="F57">
        <v>5</v>
      </c>
    </row>
    <row r="58" spans="1:6" x14ac:dyDescent="0.35">
      <c r="A58" t="b">
        <v>1</v>
      </c>
      <c r="B58" t="s">
        <v>11</v>
      </c>
      <c r="C58" t="s">
        <v>15</v>
      </c>
      <c r="D58">
        <v>20.46</v>
      </c>
      <c r="E58">
        <v>1</v>
      </c>
      <c r="F58">
        <v>5</v>
      </c>
    </row>
    <row r="59" spans="1:6" x14ac:dyDescent="0.35">
      <c r="A59" t="b">
        <v>1</v>
      </c>
      <c r="B59" t="s">
        <v>12</v>
      </c>
      <c r="C59" t="s">
        <v>15</v>
      </c>
      <c r="D59">
        <v>20.399999999999999</v>
      </c>
      <c r="E59">
        <v>1</v>
      </c>
      <c r="F59">
        <v>5</v>
      </c>
    </row>
    <row r="60" spans="1:6" x14ac:dyDescent="0.35">
      <c r="A60" t="b">
        <v>1</v>
      </c>
      <c r="B60" t="s">
        <v>13</v>
      </c>
      <c r="C60" t="s">
        <v>15</v>
      </c>
      <c r="D60">
        <v>20.46</v>
      </c>
      <c r="E60">
        <v>1</v>
      </c>
      <c r="F60">
        <v>5</v>
      </c>
    </row>
    <row r="61" spans="1:6" x14ac:dyDescent="0.35">
      <c r="A61" t="b">
        <v>1</v>
      </c>
      <c r="B61" t="s">
        <v>42</v>
      </c>
      <c r="C61" t="s">
        <v>50</v>
      </c>
      <c r="D61">
        <v>17.739999999999998</v>
      </c>
      <c r="E61">
        <v>2</v>
      </c>
      <c r="F61">
        <v>6</v>
      </c>
    </row>
    <row r="62" spans="1:6" x14ac:dyDescent="0.35">
      <c r="A62" t="b">
        <v>1</v>
      </c>
      <c r="B62" t="s">
        <v>44</v>
      </c>
      <c r="C62" t="s">
        <v>50</v>
      </c>
      <c r="D62">
        <v>17.66</v>
      </c>
      <c r="E62">
        <v>2</v>
      </c>
      <c r="F62">
        <v>6</v>
      </c>
    </row>
    <row r="63" spans="1:6" x14ac:dyDescent="0.35">
      <c r="A63" t="b">
        <v>1</v>
      </c>
      <c r="B63" t="s">
        <v>45</v>
      </c>
      <c r="C63" t="s">
        <v>50</v>
      </c>
      <c r="D63">
        <v>18</v>
      </c>
      <c r="E63">
        <v>2</v>
      </c>
      <c r="F63">
        <v>6</v>
      </c>
    </row>
    <row r="64" spans="1:6" x14ac:dyDescent="0.35">
      <c r="A64" t="b">
        <v>1</v>
      </c>
      <c r="B64" t="s">
        <v>46</v>
      </c>
      <c r="C64" t="s">
        <v>50</v>
      </c>
      <c r="D64">
        <v>17.809999999999999</v>
      </c>
      <c r="E64">
        <v>2</v>
      </c>
      <c r="F64">
        <v>6</v>
      </c>
    </row>
    <row r="65" spans="1:6" x14ac:dyDescent="0.35">
      <c r="A65" t="b">
        <v>1</v>
      </c>
      <c r="B65" t="s">
        <v>47</v>
      </c>
      <c r="C65" t="s">
        <v>50</v>
      </c>
      <c r="D65">
        <v>17.760000000000002</v>
      </c>
      <c r="E65">
        <v>2</v>
      </c>
      <c r="F65">
        <v>6</v>
      </c>
    </row>
    <row r="66" spans="1:6" x14ac:dyDescent="0.35">
      <c r="A66" t="b">
        <v>1</v>
      </c>
      <c r="B66" t="s">
        <v>48</v>
      </c>
      <c r="C66" t="s">
        <v>50</v>
      </c>
      <c r="D66">
        <v>17.690000000000001</v>
      </c>
      <c r="E66">
        <v>2</v>
      </c>
      <c r="F66">
        <v>6</v>
      </c>
    </row>
    <row r="67" spans="1:6" x14ac:dyDescent="0.35">
      <c r="A67" t="b">
        <v>1</v>
      </c>
      <c r="B67" t="s">
        <v>0</v>
      </c>
      <c r="C67" t="s">
        <v>8</v>
      </c>
      <c r="D67">
        <v>16.71</v>
      </c>
      <c r="E67">
        <v>1</v>
      </c>
      <c r="F67">
        <v>6</v>
      </c>
    </row>
    <row r="68" spans="1:6" x14ac:dyDescent="0.35">
      <c r="A68" t="b">
        <v>1</v>
      </c>
      <c r="B68" t="s">
        <v>2</v>
      </c>
      <c r="C68" t="s">
        <v>8</v>
      </c>
      <c r="D68">
        <v>16.84</v>
      </c>
      <c r="E68">
        <v>1</v>
      </c>
      <c r="F68">
        <v>6</v>
      </c>
    </row>
    <row r="69" spans="1:6" x14ac:dyDescent="0.35">
      <c r="A69" t="b">
        <v>1</v>
      </c>
      <c r="B69" t="s">
        <v>3</v>
      </c>
      <c r="C69" t="s">
        <v>8</v>
      </c>
      <c r="D69">
        <v>16.87</v>
      </c>
      <c r="E69">
        <v>1</v>
      </c>
      <c r="F69">
        <v>6</v>
      </c>
    </row>
    <row r="70" spans="1:6" x14ac:dyDescent="0.35">
      <c r="A70" t="b">
        <v>1</v>
      </c>
      <c r="B70" t="s">
        <v>4</v>
      </c>
      <c r="C70" t="s">
        <v>8</v>
      </c>
      <c r="D70">
        <v>16.809999999999999</v>
      </c>
      <c r="E70">
        <v>1</v>
      </c>
      <c r="F70">
        <v>6</v>
      </c>
    </row>
    <row r="71" spans="1:6" x14ac:dyDescent="0.35">
      <c r="A71" t="b">
        <v>1</v>
      </c>
      <c r="B71" t="s">
        <v>5</v>
      </c>
      <c r="C71" t="s">
        <v>8</v>
      </c>
      <c r="D71">
        <v>16.75</v>
      </c>
      <c r="E71">
        <v>1</v>
      </c>
      <c r="F71">
        <v>6</v>
      </c>
    </row>
    <row r="72" spans="1:6" x14ac:dyDescent="0.35">
      <c r="A72" t="b">
        <v>1</v>
      </c>
      <c r="B72" t="s">
        <v>6</v>
      </c>
      <c r="C72" t="s">
        <v>8</v>
      </c>
      <c r="D72">
        <v>16.84</v>
      </c>
      <c r="E72">
        <v>1</v>
      </c>
      <c r="F72">
        <v>6</v>
      </c>
    </row>
    <row r="73" spans="1:6" x14ac:dyDescent="0.35">
      <c r="A73" t="b">
        <v>1</v>
      </c>
      <c r="B73" t="s">
        <v>42</v>
      </c>
      <c r="C73" t="s">
        <v>49</v>
      </c>
      <c r="D73">
        <v>14.5</v>
      </c>
      <c r="E73">
        <v>2</v>
      </c>
      <c r="F73">
        <v>7</v>
      </c>
    </row>
    <row r="74" spans="1:6" x14ac:dyDescent="0.35">
      <c r="A74" t="b">
        <v>1</v>
      </c>
      <c r="B74" t="s">
        <v>44</v>
      </c>
      <c r="C74" t="s">
        <v>49</v>
      </c>
      <c r="D74">
        <v>14.63</v>
      </c>
      <c r="E74">
        <v>2</v>
      </c>
      <c r="F74">
        <v>7</v>
      </c>
    </row>
    <row r="75" spans="1:6" x14ac:dyDescent="0.35">
      <c r="A75" t="b">
        <v>1</v>
      </c>
      <c r="B75" t="s">
        <v>45</v>
      </c>
      <c r="C75" t="s">
        <v>49</v>
      </c>
      <c r="D75">
        <v>14.73</v>
      </c>
      <c r="E75">
        <v>2</v>
      </c>
      <c r="F75">
        <v>7</v>
      </c>
    </row>
    <row r="76" spans="1:6" x14ac:dyDescent="0.35">
      <c r="A76" t="b">
        <v>1</v>
      </c>
      <c r="B76" t="s">
        <v>46</v>
      </c>
      <c r="C76" t="s">
        <v>49</v>
      </c>
      <c r="D76">
        <v>14.53</v>
      </c>
      <c r="E76">
        <v>2</v>
      </c>
      <c r="F76">
        <v>7</v>
      </c>
    </row>
    <row r="77" spans="1:6" x14ac:dyDescent="0.35">
      <c r="A77" t="b">
        <v>1</v>
      </c>
      <c r="B77" t="s">
        <v>47</v>
      </c>
      <c r="C77" t="s">
        <v>49</v>
      </c>
      <c r="D77">
        <v>14.56</v>
      </c>
      <c r="E77">
        <v>2</v>
      </c>
      <c r="F77">
        <v>7</v>
      </c>
    </row>
    <row r="78" spans="1:6" x14ac:dyDescent="0.35">
      <c r="A78" t="b">
        <v>1</v>
      </c>
      <c r="B78" t="s">
        <v>48</v>
      </c>
      <c r="C78" t="s">
        <v>49</v>
      </c>
      <c r="D78">
        <v>14.47</v>
      </c>
      <c r="E78">
        <v>2</v>
      </c>
      <c r="F78">
        <v>7</v>
      </c>
    </row>
    <row r="79" spans="1:6" x14ac:dyDescent="0.35">
      <c r="A79" t="b">
        <v>1</v>
      </c>
      <c r="B79" t="s">
        <v>0</v>
      </c>
      <c r="C79" t="s">
        <v>1</v>
      </c>
      <c r="D79">
        <v>13.4</v>
      </c>
      <c r="E79">
        <v>1</v>
      </c>
      <c r="F79">
        <v>7</v>
      </c>
    </row>
    <row r="80" spans="1:6" x14ac:dyDescent="0.35">
      <c r="A80" t="b">
        <v>1</v>
      </c>
      <c r="B80" t="s">
        <v>2</v>
      </c>
      <c r="C80" t="s">
        <v>1</v>
      </c>
      <c r="D80">
        <v>13.42</v>
      </c>
      <c r="E80">
        <v>1</v>
      </c>
      <c r="F80">
        <v>7</v>
      </c>
    </row>
    <row r="81" spans="1:6" x14ac:dyDescent="0.35">
      <c r="A81" t="b">
        <v>1</v>
      </c>
      <c r="B81" t="s">
        <v>3</v>
      </c>
      <c r="C81" t="s">
        <v>1</v>
      </c>
      <c r="D81">
        <v>13.59</v>
      </c>
      <c r="E81">
        <v>1</v>
      </c>
      <c r="F81">
        <v>7</v>
      </c>
    </row>
    <row r="82" spans="1:6" x14ac:dyDescent="0.35">
      <c r="A82" t="b">
        <v>1</v>
      </c>
      <c r="B82" t="s">
        <v>4</v>
      </c>
      <c r="C82" t="s">
        <v>1</v>
      </c>
      <c r="D82">
        <v>13.9</v>
      </c>
      <c r="E82">
        <v>1</v>
      </c>
      <c r="F82">
        <v>7</v>
      </c>
    </row>
    <row r="83" spans="1:6" x14ac:dyDescent="0.35">
      <c r="A83" t="b">
        <v>1</v>
      </c>
      <c r="B83" t="s">
        <v>5</v>
      </c>
      <c r="C83" t="s">
        <v>1</v>
      </c>
      <c r="D83">
        <v>13.46</v>
      </c>
      <c r="E83">
        <v>1</v>
      </c>
      <c r="F83">
        <v>7</v>
      </c>
    </row>
    <row r="84" spans="1:6" x14ac:dyDescent="0.35">
      <c r="A84" t="b">
        <v>1</v>
      </c>
      <c r="B84" t="s">
        <v>6</v>
      </c>
      <c r="C84" t="s">
        <v>1</v>
      </c>
      <c r="D84">
        <v>13.44</v>
      </c>
      <c r="E84">
        <v>1</v>
      </c>
      <c r="F84">
        <v>7</v>
      </c>
    </row>
  </sheetData>
  <sortState ref="A1:F84">
    <sortCondition ref="F1:F8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4"/>
  <sheetViews>
    <sheetView topLeftCell="A58" zoomScale="65" zoomScaleNormal="65" workbookViewId="0">
      <selection activeCell="D1" sqref="D1:D84"/>
    </sheetView>
  </sheetViews>
  <sheetFormatPr defaultRowHeight="14.5" x14ac:dyDescent="0.35"/>
  <sheetData>
    <row r="1" spans="1:22" x14ac:dyDescent="0.35">
      <c r="A1" t="b">
        <v>1</v>
      </c>
      <c r="B1" t="s">
        <v>42</v>
      </c>
      <c r="C1" t="s">
        <v>43</v>
      </c>
      <c r="D1">
        <v>34.770000000000003</v>
      </c>
      <c r="E1" s="1">
        <v>1.24</v>
      </c>
      <c r="F1">
        <v>1</v>
      </c>
      <c r="I1" t="s">
        <v>54</v>
      </c>
      <c r="J1">
        <f>SLOPE(D1:D84,F1:F84)</f>
        <v>-3.4964880952380937</v>
      </c>
    </row>
    <row r="2" spans="1:22" x14ac:dyDescent="0.35">
      <c r="A2" t="b">
        <v>1</v>
      </c>
      <c r="B2" t="s">
        <v>44</v>
      </c>
      <c r="C2" t="s">
        <v>43</v>
      </c>
      <c r="D2">
        <v>33.630000000000003</v>
      </c>
      <c r="E2" s="1">
        <v>1.38</v>
      </c>
      <c r="F2">
        <v>1</v>
      </c>
      <c r="I2" t="s">
        <v>56</v>
      </c>
      <c r="J2">
        <f>-1+10^(-1/J1)</f>
        <v>0.93197392112758881</v>
      </c>
    </row>
    <row r="3" spans="1:22" x14ac:dyDescent="0.35">
      <c r="A3" t="b">
        <v>1</v>
      </c>
      <c r="B3" t="s">
        <v>45</v>
      </c>
      <c r="C3" t="s">
        <v>43</v>
      </c>
      <c r="D3">
        <v>34.26</v>
      </c>
      <c r="E3" s="1">
        <v>1.3</v>
      </c>
      <c r="F3">
        <v>1</v>
      </c>
      <c r="I3" t="s">
        <v>52</v>
      </c>
      <c r="J3">
        <f>RSQ(D1:D84,F1:F84)</f>
        <v>0.99516921491941246</v>
      </c>
    </row>
    <row r="4" spans="1:22" x14ac:dyDescent="0.35">
      <c r="A4" t="b">
        <v>1</v>
      </c>
      <c r="B4" t="s">
        <v>46</v>
      </c>
      <c r="C4" t="s">
        <v>43</v>
      </c>
      <c r="D4">
        <v>34.64</v>
      </c>
      <c r="E4" s="1">
        <v>1.26</v>
      </c>
      <c r="F4">
        <v>1</v>
      </c>
      <c r="I4" t="s">
        <v>55</v>
      </c>
      <c r="J4">
        <f>INTERCEPT(D1:D84,F1:F84)</f>
        <v>38.305833333333325</v>
      </c>
    </row>
    <row r="5" spans="1:22" x14ac:dyDescent="0.35">
      <c r="A5" t="b">
        <v>1</v>
      </c>
      <c r="B5" t="s">
        <v>47</v>
      </c>
      <c r="C5" t="s">
        <v>43</v>
      </c>
      <c r="D5">
        <v>34.93</v>
      </c>
      <c r="E5" s="1">
        <v>1.23</v>
      </c>
      <c r="F5">
        <v>1</v>
      </c>
      <c r="I5" t="s">
        <v>53</v>
      </c>
      <c r="J5" s="2">
        <f>SQRT(((1+J2)^((STDEV(D13:D24)^2)*(LN(1+J2))))-1)</f>
        <v>0.26023654434674326</v>
      </c>
      <c r="K5" s="2">
        <f>SQRT(((1+J2)^((STDEV(D1:D12)^2)*LN(1+J2)))-1)</f>
        <v>0.57256912049213038</v>
      </c>
    </row>
    <row r="6" spans="1:22" x14ac:dyDescent="0.35">
      <c r="A6" t="b">
        <v>1</v>
      </c>
      <c r="B6" t="s">
        <v>48</v>
      </c>
      <c r="C6" t="s">
        <v>43</v>
      </c>
      <c r="D6">
        <v>34.159999999999997</v>
      </c>
      <c r="E6" s="1">
        <v>1.32</v>
      </c>
      <c r="F6">
        <v>1</v>
      </c>
      <c r="J6" s="2" t="s">
        <v>57</v>
      </c>
      <c r="K6" s="2" t="s">
        <v>58</v>
      </c>
      <c r="U6" s="2"/>
      <c r="V6" s="2"/>
    </row>
    <row r="7" spans="1:22" x14ac:dyDescent="0.35">
      <c r="A7" t="b">
        <v>1</v>
      </c>
      <c r="B7" t="s">
        <v>42</v>
      </c>
      <c r="C7" t="s">
        <v>1</v>
      </c>
      <c r="D7">
        <v>34.409999999999997</v>
      </c>
      <c r="E7" s="1">
        <v>1.31</v>
      </c>
      <c r="F7">
        <v>1</v>
      </c>
      <c r="U7" s="2"/>
      <c r="V7" s="2"/>
    </row>
    <row r="8" spans="1:22" x14ac:dyDescent="0.35">
      <c r="A8" t="b">
        <v>1</v>
      </c>
      <c r="B8" t="s">
        <v>44</v>
      </c>
      <c r="C8" t="s">
        <v>1</v>
      </c>
      <c r="D8">
        <v>34.24</v>
      </c>
      <c r="E8" s="1">
        <v>1.33</v>
      </c>
      <c r="F8">
        <v>1</v>
      </c>
    </row>
    <row r="9" spans="1:22" x14ac:dyDescent="0.35">
      <c r="A9" t="b">
        <v>1</v>
      </c>
      <c r="B9" t="s">
        <v>45</v>
      </c>
      <c r="C9" t="s">
        <v>1</v>
      </c>
      <c r="D9">
        <v>34.28</v>
      </c>
      <c r="E9" s="1">
        <v>1.32</v>
      </c>
      <c r="F9">
        <v>1</v>
      </c>
    </row>
    <row r="10" spans="1:22" x14ac:dyDescent="0.35">
      <c r="A10" t="b">
        <v>1</v>
      </c>
      <c r="B10" t="s">
        <v>46</v>
      </c>
      <c r="C10" t="s">
        <v>1</v>
      </c>
      <c r="D10">
        <v>36.94</v>
      </c>
      <c r="E10" s="1">
        <v>1.03</v>
      </c>
      <c r="F10">
        <v>1</v>
      </c>
    </row>
    <row r="11" spans="1:22" x14ac:dyDescent="0.35">
      <c r="A11" t="b">
        <v>1</v>
      </c>
      <c r="B11" t="s">
        <v>47</v>
      </c>
      <c r="C11" t="s">
        <v>1</v>
      </c>
      <c r="D11">
        <v>34.6</v>
      </c>
      <c r="E11" s="1">
        <v>1.29</v>
      </c>
      <c r="F11">
        <v>1</v>
      </c>
    </row>
    <row r="12" spans="1:22" x14ac:dyDescent="0.35">
      <c r="A12" t="b">
        <v>1</v>
      </c>
      <c r="B12" t="s">
        <v>48</v>
      </c>
      <c r="C12" t="s">
        <v>1</v>
      </c>
      <c r="D12">
        <v>34.89</v>
      </c>
      <c r="E12" s="1">
        <v>1.25</v>
      </c>
      <c r="F12">
        <v>1</v>
      </c>
    </row>
    <row r="13" spans="1:22" x14ac:dyDescent="0.35">
      <c r="A13" t="b">
        <v>1</v>
      </c>
      <c r="B13" t="s">
        <v>35</v>
      </c>
      <c r="C13" t="s">
        <v>36</v>
      </c>
      <c r="D13">
        <v>31.98</v>
      </c>
      <c r="E13" s="1">
        <v>1.61</v>
      </c>
      <c r="F13">
        <v>2</v>
      </c>
    </row>
    <row r="14" spans="1:22" x14ac:dyDescent="0.35">
      <c r="A14" t="b">
        <v>1</v>
      </c>
      <c r="B14" t="s">
        <v>37</v>
      </c>
      <c r="C14" t="s">
        <v>36</v>
      </c>
      <c r="D14">
        <v>31.67</v>
      </c>
      <c r="E14" s="1">
        <v>1.66</v>
      </c>
      <c r="F14">
        <v>2</v>
      </c>
    </row>
    <row r="15" spans="1:22" x14ac:dyDescent="0.35">
      <c r="A15" t="b">
        <v>1</v>
      </c>
      <c r="B15" t="s">
        <v>38</v>
      </c>
      <c r="C15" t="s">
        <v>36</v>
      </c>
      <c r="D15">
        <v>31.62</v>
      </c>
      <c r="E15" s="1">
        <v>1.67</v>
      </c>
      <c r="F15">
        <v>2</v>
      </c>
    </row>
    <row r="16" spans="1:22" x14ac:dyDescent="0.35">
      <c r="A16" t="b">
        <v>1</v>
      </c>
      <c r="B16" t="s">
        <v>39</v>
      </c>
      <c r="C16" t="s">
        <v>36</v>
      </c>
      <c r="D16">
        <v>31.43</v>
      </c>
      <c r="E16" s="1">
        <v>1.7</v>
      </c>
      <c r="F16">
        <v>2</v>
      </c>
    </row>
    <row r="17" spans="1:6" x14ac:dyDescent="0.35">
      <c r="A17" t="b">
        <v>1</v>
      </c>
      <c r="B17" t="s">
        <v>40</v>
      </c>
      <c r="C17" t="s">
        <v>36</v>
      </c>
      <c r="D17">
        <v>31.03</v>
      </c>
      <c r="E17" s="1">
        <v>1.76</v>
      </c>
      <c r="F17">
        <v>2</v>
      </c>
    </row>
    <row r="18" spans="1:6" x14ac:dyDescent="0.35">
      <c r="A18" t="b">
        <v>1</v>
      </c>
      <c r="B18" t="s">
        <v>41</v>
      </c>
      <c r="C18" t="s">
        <v>36</v>
      </c>
      <c r="D18">
        <v>31.01</v>
      </c>
      <c r="E18" s="1">
        <v>1.77</v>
      </c>
      <c r="F18">
        <v>2</v>
      </c>
    </row>
    <row r="19" spans="1:6" x14ac:dyDescent="0.35">
      <c r="A19" t="b">
        <v>1</v>
      </c>
      <c r="B19" t="s">
        <v>35</v>
      </c>
      <c r="C19" t="s">
        <v>8</v>
      </c>
      <c r="D19">
        <v>31.63</v>
      </c>
      <c r="E19" s="1">
        <v>1.71</v>
      </c>
      <c r="F19">
        <v>2</v>
      </c>
    </row>
    <row r="20" spans="1:6" x14ac:dyDescent="0.35">
      <c r="A20" t="b">
        <v>1</v>
      </c>
      <c r="B20" t="s">
        <v>37</v>
      </c>
      <c r="C20" t="s">
        <v>8</v>
      </c>
      <c r="D20">
        <v>31.69</v>
      </c>
      <c r="E20" s="1">
        <v>1.7</v>
      </c>
      <c r="F20">
        <v>2</v>
      </c>
    </row>
    <row r="21" spans="1:6" x14ac:dyDescent="0.35">
      <c r="A21" t="b">
        <v>1</v>
      </c>
      <c r="B21" t="s">
        <v>38</v>
      </c>
      <c r="C21" t="s">
        <v>8</v>
      </c>
      <c r="D21">
        <v>32.06</v>
      </c>
      <c r="E21" s="1">
        <v>1.64</v>
      </c>
      <c r="F21">
        <v>2</v>
      </c>
    </row>
    <row r="22" spans="1:6" x14ac:dyDescent="0.35">
      <c r="A22" t="b">
        <v>1</v>
      </c>
      <c r="B22" t="s">
        <v>39</v>
      </c>
      <c r="C22" t="s">
        <v>8</v>
      </c>
      <c r="D22">
        <v>31.69</v>
      </c>
      <c r="E22" s="1">
        <v>1.7</v>
      </c>
      <c r="F22">
        <v>2</v>
      </c>
    </row>
    <row r="23" spans="1:6" x14ac:dyDescent="0.35">
      <c r="A23" t="b">
        <v>1</v>
      </c>
      <c r="B23" t="s">
        <v>40</v>
      </c>
      <c r="C23" t="s">
        <v>8</v>
      </c>
      <c r="D23">
        <v>32.229999999999997</v>
      </c>
      <c r="E23" s="1">
        <v>1.62</v>
      </c>
      <c r="F23">
        <v>2</v>
      </c>
    </row>
    <row r="24" spans="1:6" x14ac:dyDescent="0.35">
      <c r="A24" t="b">
        <v>1</v>
      </c>
      <c r="B24" t="s">
        <v>41</v>
      </c>
      <c r="C24" t="s">
        <v>8</v>
      </c>
      <c r="D24">
        <v>32.11</v>
      </c>
      <c r="E24" s="1">
        <v>1.63</v>
      </c>
      <c r="F24">
        <v>2</v>
      </c>
    </row>
    <row r="25" spans="1:6" x14ac:dyDescent="0.35">
      <c r="A25" t="b">
        <v>1</v>
      </c>
      <c r="B25" t="s">
        <v>28</v>
      </c>
      <c r="C25" t="s">
        <v>29</v>
      </c>
      <c r="D25">
        <v>27.94</v>
      </c>
      <c r="E25" s="1">
        <v>2.35</v>
      </c>
      <c r="F25">
        <v>3</v>
      </c>
    </row>
    <row r="26" spans="1:6" x14ac:dyDescent="0.35">
      <c r="A26" t="b">
        <v>1</v>
      </c>
      <c r="B26" t="s">
        <v>30</v>
      </c>
      <c r="C26" t="s">
        <v>29</v>
      </c>
      <c r="D26">
        <v>27.55</v>
      </c>
      <c r="E26" s="1">
        <v>2.44</v>
      </c>
      <c r="F26">
        <v>3</v>
      </c>
    </row>
    <row r="27" spans="1:6" x14ac:dyDescent="0.35">
      <c r="A27" t="b">
        <v>1</v>
      </c>
      <c r="B27" t="s">
        <v>31</v>
      </c>
      <c r="C27" t="s">
        <v>29</v>
      </c>
      <c r="D27">
        <v>26.66</v>
      </c>
      <c r="E27" s="1">
        <v>2.65</v>
      </c>
      <c r="F27">
        <v>3</v>
      </c>
    </row>
    <row r="28" spans="1:6" x14ac:dyDescent="0.35">
      <c r="A28" t="b">
        <v>1</v>
      </c>
      <c r="B28" t="s">
        <v>32</v>
      </c>
      <c r="C28" t="s">
        <v>29</v>
      </c>
      <c r="D28">
        <v>27.64</v>
      </c>
      <c r="E28" s="1">
        <v>2.42</v>
      </c>
      <c r="F28">
        <v>3</v>
      </c>
    </row>
    <row r="29" spans="1:6" x14ac:dyDescent="0.35">
      <c r="A29" t="b">
        <v>1</v>
      </c>
      <c r="B29" t="s">
        <v>33</v>
      </c>
      <c r="C29" t="s">
        <v>29</v>
      </c>
      <c r="D29">
        <v>28.05</v>
      </c>
      <c r="E29" s="1">
        <v>2.33</v>
      </c>
      <c r="F29">
        <v>3</v>
      </c>
    </row>
    <row r="30" spans="1:6" x14ac:dyDescent="0.35">
      <c r="A30" t="b">
        <v>1</v>
      </c>
      <c r="B30" t="s">
        <v>34</v>
      </c>
      <c r="C30" t="s">
        <v>29</v>
      </c>
      <c r="D30">
        <v>27.57</v>
      </c>
      <c r="E30" s="1">
        <v>2.44</v>
      </c>
      <c r="F30">
        <v>3</v>
      </c>
    </row>
    <row r="31" spans="1:6" x14ac:dyDescent="0.35">
      <c r="A31" t="b">
        <v>1</v>
      </c>
      <c r="B31" t="s">
        <v>28</v>
      </c>
      <c r="C31" t="s">
        <v>15</v>
      </c>
      <c r="D31">
        <v>28.15</v>
      </c>
      <c r="E31" s="1">
        <v>2.39</v>
      </c>
      <c r="F31">
        <v>3</v>
      </c>
    </row>
    <row r="32" spans="1:6" x14ac:dyDescent="0.35">
      <c r="A32" t="b">
        <v>1</v>
      </c>
      <c r="B32" t="s">
        <v>30</v>
      </c>
      <c r="C32" t="s">
        <v>15</v>
      </c>
      <c r="D32">
        <v>28.04</v>
      </c>
      <c r="E32" s="1">
        <v>2.42</v>
      </c>
      <c r="F32">
        <v>3</v>
      </c>
    </row>
    <row r="33" spans="1:6" x14ac:dyDescent="0.35">
      <c r="A33" t="b">
        <v>1</v>
      </c>
      <c r="B33" t="s">
        <v>31</v>
      </c>
      <c r="C33" t="s">
        <v>15</v>
      </c>
      <c r="D33">
        <v>28.07</v>
      </c>
      <c r="E33" s="1">
        <v>2.41</v>
      </c>
      <c r="F33">
        <v>3</v>
      </c>
    </row>
    <row r="34" spans="1:6" x14ac:dyDescent="0.35">
      <c r="A34" t="b">
        <v>1</v>
      </c>
      <c r="B34" t="s">
        <v>32</v>
      </c>
      <c r="C34" t="s">
        <v>15</v>
      </c>
      <c r="D34">
        <v>28.09</v>
      </c>
      <c r="E34" s="1">
        <v>2.41</v>
      </c>
      <c r="F34">
        <v>3</v>
      </c>
    </row>
    <row r="35" spans="1:6" x14ac:dyDescent="0.35">
      <c r="A35" t="b">
        <v>1</v>
      </c>
      <c r="B35" t="s">
        <v>33</v>
      </c>
      <c r="C35" t="s">
        <v>15</v>
      </c>
      <c r="D35">
        <v>27.33</v>
      </c>
      <c r="E35" s="1">
        <v>2.59</v>
      </c>
      <c r="F35">
        <v>3</v>
      </c>
    </row>
    <row r="36" spans="1:6" x14ac:dyDescent="0.35">
      <c r="A36" t="b">
        <v>1</v>
      </c>
      <c r="B36" t="s">
        <v>34</v>
      </c>
      <c r="C36" t="s">
        <v>15</v>
      </c>
      <c r="D36">
        <v>28.1</v>
      </c>
      <c r="E36" s="1">
        <v>2.4</v>
      </c>
      <c r="F36">
        <v>3</v>
      </c>
    </row>
    <row r="37" spans="1:6" x14ac:dyDescent="0.35">
      <c r="A37" t="b">
        <v>1</v>
      </c>
      <c r="B37" t="s">
        <v>21</v>
      </c>
      <c r="C37" t="s">
        <v>22</v>
      </c>
      <c r="D37">
        <v>24.01</v>
      </c>
      <c r="E37" s="1">
        <v>3.4</v>
      </c>
      <c r="F37">
        <v>4</v>
      </c>
    </row>
    <row r="38" spans="1:6" x14ac:dyDescent="0.35">
      <c r="A38" t="b">
        <v>1</v>
      </c>
      <c r="B38" t="s">
        <v>23</v>
      </c>
      <c r="C38" t="s">
        <v>22</v>
      </c>
      <c r="D38">
        <v>23.9</v>
      </c>
      <c r="E38" s="1">
        <v>3.43</v>
      </c>
      <c r="F38">
        <v>4</v>
      </c>
    </row>
    <row r="39" spans="1:6" x14ac:dyDescent="0.35">
      <c r="A39" t="b">
        <v>1</v>
      </c>
      <c r="B39" t="s">
        <v>24</v>
      </c>
      <c r="C39" t="s">
        <v>22</v>
      </c>
      <c r="D39">
        <v>23.89</v>
      </c>
      <c r="E39" s="1">
        <v>3.44</v>
      </c>
      <c r="F39">
        <v>4</v>
      </c>
    </row>
    <row r="40" spans="1:6" x14ac:dyDescent="0.35">
      <c r="A40" t="b">
        <v>1</v>
      </c>
      <c r="B40" t="s">
        <v>25</v>
      </c>
      <c r="C40" t="s">
        <v>22</v>
      </c>
      <c r="D40">
        <v>23.78</v>
      </c>
      <c r="E40" s="1">
        <v>3.47</v>
      </c>
      <c r="F40">
        <v>4</v>
      </c>
    </row>
    <row r="41" spans="1:6" x14ac:dyDescent="0.35">
      <c r="A41" t="b">
        <v>1</v>
      </c>
      <c r="B41" t="s">
        <v>26</v>
      </c>
      <c r="C41" t="s">
        <v>22</v>
      </c>
      <c r="D41">
        <v>23.76</v>
      </c>
      <c r="E41" s="1">
        <v>3.48</v>
      </c>
      <c r="F41">
        <v>4</v>
      </c>
    </row>
    <row r="42" spans="1:6" x14ac:dyDescent="0.35">
      <c r="A42" t="b">
        <v>1</v>
      </c>
      <c r="B42" t="s">
        <v>27</v>
      </c>
      <c r="C42" t="s">
        <v>22</v>
      </c>
      <c r="D42">
        <v>23.9</v>
      </c>
      <c r="E42" s="1">
        <v>3.43</v>
      </c>
      <c r="F42">
        <v>4</v>
      </c>
    </row>
    <row r="43" spans="1:6" x14ac:dyDescent="0.35">
      <c r="A43" t="b">
        <v>1</v>
      </c>
      <c r="B43" t="s">
        <v>21</v>
      </c>
      <c r="C43" t="s">
        <v>22</v>
      </c>
      <c r="D43">
        <v>24.66</v>
      </c>
      <c r="E43" s="1">
        <v>3.35</v>
      </c>
      <c r="F43">
        <v>4</v>
      </c>
    </row>
    <row r="44" spans="1:6" x14ac:dyDescent="0.35">
      <c r="A44" t="b">
        <v>1</v>
      </c>
      <c r="B44" t="s">
        <v>23</v>
      </c>
      <c r="C44" t="s">
        <v>22</v>
      </c>
      <c r="D44">
        <v>24.48</v>
      </c>
      <c r="E44" s="1">
        <v>3.41</v>
      </c>
      <c r="F44">
        <v>4</v>
      </c>
    </row>
    <row r="45" spans="1:6" x14ac:dyDescent="0.35">
      <c r="A45" t="b">
        <v>1</v>
      </c>
      <c r="B45" t="s">
        <v>24</v>
      </c>
      <c r="C45" t="s">
        <v>22</v>
      </c>
      <c r="D45">
        <v>24.57</v>
      </c>
      <c r="E45" s="1">
        <v>3.38</v>
      </c>
      <c r="F45">
        <v>4</v>
      </c>
    </row>
    <row r="46" spans="1:6" x14ac:dyDescent="0.35">
      <c r="A46" t="b">
        <v>1</v>
      </c>
      <c r="B46" t="s">
        <v>25</v>
      </c>
      <c r="C46" t="s">
        <v>22</v>
      </c>
      <c r="D46">
        <v>24.48</v>
      </c>
      <c r="E46" s="1">
        <v>3.41</v>
      </c>
      <c r="F46">
        <v>4</v>
      </c>
    </row>
    <row r="47" spans="1:6" x14ac:dyDescent="0.35">
      <c r="A47" t="b">
        <v>1</v>
      </c>
      <c r="B47" t="s">
        <v>26</v>
      </c>
      <c r="C47" t="s">
        <v>22</v>
      </c>
      <c r="D47">
        <v>24.43</v>
      </c>
      <c r="E47" s="1">
        <v>3.43</v>
      </c>
      <c r="F47">
        <v>4</v>
      </c>
    </row>
    <row r="48" spans="1:6" x14ac:dyDescent="0.35">
      <c r="A48" t="b">
        <v>1</v>
      </c>
      <c r="B48" t="s">
        <v>27</v>
      </c>
      <c r="C48" t="s">
        <v>22</v>
      </c>
      <c r="D48">
        <v>24.23</v>
      </c>
      <c r="E48" s="1">
        <v>3.49</v>
      </c>
      <c r="F48">
        <v>4</v>
      </c>
    </row>
    <row r="49" spans="1:6" x14ac:dyDescent="0.35">
      <c r="A49" t="b">
        <v>1</v>
      </c>
      <c r="B49" t="s">
        <v>14</v>
      </c>
      <c r="C49" t="s">
        <v>15</v>
      </c>
      <c r="D49">
        <v>20.420000000000002</v>
      </c>
      <c r="E49" s="1">
        <v>4.75</v>
      </c>
      <c r="F49">
        <v>5</v>
      </c>
    </row>
    <row r="50" spans="1:6" x14ac:dyDescent="0.35">
      <c r="A50" t="b">
        <v>1</v>
      </c>
      <c r="B50" t="s">
        <v>16</v>
      </c>
      <c r="C50" t="s">
        <v>15</v>
      </c>
      <c r="D50">
        <v>20.41</v>
      </c>
      <c r="E50" s="1">
        <v>4.75</v>
      </c>
      <c r="F50">
        <v>5</v>
      </c>
    </row>
    <row r="51" spans="1:6" x14ac:dyDescent="0.35">
      <c r="A51" t="b">
        <v>1</v>
      </c>
      <c r="B51" t="s">
        <v>17</v>
      </c>
      <c r="C51" t="s">
        <v>15</v>
      </c>
      <c r="D51">
        <v>20.43</v>
      </c>
      <c r="E51" s="1">
        <v>4.74</v>
      </c>
      <c r="F51">
        <v>5</v>
      </c>
    </row>
    <row r="52" spans="1:6" x14ac:dyDescent="0.35">
      <c r="A52" t="b">
        <v>1</v>
      </c>
      <c r="B52" t="s">
        <v>18</v>
      </c>
      <c r="C52" t="s">
        <v>15</v>
      </c>
      <c r="D52">
        <v>20.309999999999999</v>
      </c>
      <c r="E52" s="1">
        <v>4.8</v>
      </c>
      <c r="F52">
        <v>5</v>
      </c>
    </row>
    <row r="53" spans="1:6" x14ac:dyDescent="0.35">
      <c r="A53" t="b">
        <v>1</v>
      </c>
      <c r="B53" t="s">
        <v>19</v>
      </c>
      <c r="C53" t="s">
        <v>15</v>
      </c>
      <c r="D53">
        <v>20.48</v>
      </c>
      <c r="E53" s="1">
        <v>4.72</v>
      </c>
      <c r="F53">
        <v>5</v>
      </c>
    </row>
    <row r="54" spans="1:6" x14ac:dyDescent="0.35">
      <c r="A54" t="b">
        <v>1</v>
      </c>
      <c r="B54" t="s">
        <v>20</v>
      </c>
      <c r="C54" t="s">
        <v>15</v>
      </c>
      <c r="D54">
        <v>20.29</v>
      </c>
      <c r="E54" s="1">
        <v>4.8099999999999996</v>
      </c>
      <c r="F54">
        <v>5</v>
      </c>
    </row>
    <row r="55" spans="1:6" x14ac:dyDescent="0.35">
      <c r="A55" t="b">
        <v>1</v>
      </c>
      <c r="B55" t="s">
        <v>14</v>
      </c>
      <c r="C55" t="s">
        <v>51</v>
      </c>
      <c r="D55">
        <v>21.34</v>
      </c>
      <c r="E55" s="1">
        <v>4.62</v>
      </c>
      <c r="F55">
        <v>5</v>
      </c>
    </row>
    <row r="56" spans="1:6" x14ac:dyDescent="0.35">
      <c r="A56" t="b">
        <v>1</v>
      </c>
      <c r="B56" t="s">
        <v>16</v>
      </c>
      <c r="C56" t="s">
        <v>51</v>
      </c>
      <c r="D56">
        <v>21.12</v>
      </c>
      <c r="E56" s="1">
        <v>4.72</v>
      </c>
      <c r="F56">
        <v>5</v>
      </c>
    </row>
    <row r="57" spans="1:6" x14ac:dyDescent="0.35">
      <c r="A57" t="b">
        <v>1</v>
      </c>
      <c r="B57" t="s">
        <v>17</v>
      </c>
      <c r="C57" t="s">
        <v>51</v>
      </c>
      <c r="D57">
        <v>21.18</v>
      </c>
      <c r="E57" s="1">
        <v>4.6900000000000004</v>
      </c>
      <c r="F57">
        <v>5</v>
      </c>
    </row>
    <row r="58" spans="1:6" x14ac:dyDescent="0.35">
      <c r="A58" t="b">
        <v>1</v>
      </c>
      <c r="B58" t="s">
        <v>18</v>
      </c>
      <c r="C58" t="s">
        <v>51</v>
      </c>
      <c r="D58">
        <v>21.17</v>
      </c>
      <c r="E58" s="1">
        <v>4.6900000000000004</v>
      </c>
      <c r="F58">
        <v>5</v>
      </c>
    </row>
    <row r="59" spans="1:6" x14ac:dyDescent="0.35">
      <c r="A59" t="b">
        <v>1</v>
      </c>
      <c r="B59" t="s">
        <v>19</v>
      </c>
      <c r="C59" t="s">
        <v>51</v>
      </c>
      <c r="D59">
        <v>20.86</v>
      </c>
      <c r="E59" s="1">
        <v>4.84</v>
      </c>
      <c r="F59">
        <v>5</v>
      </c>
    </row>
    <row r="60" spans="1:6" x14ac:dyDescent="0.35">
      <c r="A60" t="b">
        <v>1</v>
      </c>
      <c r="B60" t="s">
        <v>20</v>
      </c>
      <c r="C60" t="s">
        <v>51</v>
      </c>
      <c r="D60">
        <v>21.26</v>
      </c>
      <c r="E60" s="1">
        <v>4.6500000000000004</v>
      </c>
      <c r="F60">
        <v>5</v>
      </c>
    </row>
    <row r="61" spans="1:6" x14ac:dyDescent="0.35">
      <c r="A61" t="b">
        <v>1</v>
      </c>
      <c r="B61" t="s">
        <v>7</v>
      </c>
      <c r="C61" t="s">
        <v>8</v>
      </c>
      <c r="D61">
        <v>16.8</v>
      </c>
      <c r="E61" s="1">
        <v>6.66</v>
      </c>
      <c r="F61">
        <v>6</v>
      </c>
    </row>
    <row r="62" spans="1:6" x14ac:dyDescent="0.35">
      <c r="A62" t="b">
        <v>1</v>
      </c>
      <c r="B62" t="s">
        <v>9</v>
      </c>
      <c r="C62" t="s">
        <v>8</v>
      </c>
      <c r="D62">
        <v>16.96</v>
      </c>
      <c r="E62" s="1">
        <v>6.56</v>
      </c>
      <c r="F62">
        <v>6</v>
      </c>
    </row>
    <row r="63" spans="1:6" x14ac:dyDescent="0.35">
      <c r="A63" t="b">
        <v>1</v>
      </c>
      <c r="B63" t="s">
        <v>10</v>
      </c>
      <c r="C63" t="s">
        <v>8</v>
      </c>
      <c r="D63">
        <v>16.989999999999998</v>
      </c>
      <c r="E63" s="1">
        <v>6.54</v>
      </c>
      <c r="F63">
        <v>6</v>
      </c>
    </row>
    <row r="64" spans="1:6" x14ac:dyDescent="0.35">
      <c r="A64" t="b">
        <v>1</v>
      </c>
      <c r="B64" t="s">
        <v>11</v>
      </c>
      <c r="C64" t="s">
        <v>8</v>
      </c>
      <c r="D64">
        <v>16.850000000000001</v>
      </c>
      <c r="E64" s="1">
        <v>6.63</v>
      </c>
      <c r="F64">
        <v>6</v>
      </c>
    </row>
    <row r="65" spans="1:11" x14ac:dyDescent="0.35">
      <c r="A65" t="b">
        <v>1</v>
      </c>
      <c r="B65" t="s">
        <v>12</v>
      </c>
      <c r="C65" t="s">
        <v>8</v>
      </c>
      <c r="D65">
        <v>16.940000000000001</v>
      </c>
      <c r="E65" s="1">
        <v>6.57</v>
      </c>
      <c r="F65">
        <v>6</v>
      </c>
    </row>
    <row r="66" spans="1:11" x14ac:dyDescent="0.35">
      <c r="A66" t="b">
        <v>1</v>
      </c>
      <c r="B66" t="s">
        <v>13</v>
      </c>
      <c r="C66" t="s">
        <v>8</v>
      </c>
      <c r="D66">
        <v>16.84</v>
      </c>
      <c r="E66" s="1">
        <v>6.64</v>
      </c>
      <c r="F66">
        <v>6</v>
      </c>
    </row>
    <row r="67" spans="1:11" x14ac:dyDescent="0.35">
      <c r="A67" t="b">
        <v>1</v>
      </c>
      <c r="B67" t="s">
        <v>7</v>
      </c>
      <c r="C67" t="s">
        <v>50</v>
      </c>
      <c r="D67">
        <v>17.46</v>
      </c>
      <c r="E67" s="1">
        <v>6.71</v>
      </c>
      <c r="F67">
        <v>6</v>
      </c>
    </row>
    <row r="68" spans="1:11" x14ac:dyDescent="0.35">
      <c r="A68" t="b">
        <v>1</v>
      </c>
      <c r="B68" t="s">
        <v>9</v>
      </c>
      <c r="C68" t="s">
        <v>50</v>
      </c>
      <c r="D68">
        <v>17.47</v>
      </c>
      <c r="E68" s="1">
        <v>6.7</v>
      </c>
      <c r="F68">
        <v>6</v>
      </c>
    </row>
    <row r="69" spans="1:11" x14ac:dyDescent="0.35">
      <c r="A69" t="b">
        <v>1</v>
      </c>
      <c r="B69" t="s">
        <v>10</v>
      </c>
      <c r="C69" t="s">
        <v>50</v>
      </c>
      <c r="D69">
        <v>17.7</v>
      </c>
      <c r="E69" s="1">
        <v>6.56</v>
      </c>
      <c r="F69">
        <v>6</v>
      </c>
    </row>
    <row r="70" spans="1:11" x14ac:dyDescent="0.35">
      <c r="A70" t="b">
        <v>1</v>
      </c>
      <c r="B70" t="s">
        <v>11</v>
      </c>
      <c r="C70" t="s">
        <v>50</v>
      </c>
      <c r="D70">
        <v>17.600000000000001</v>
      </c>
      <c r="E70" s="1">
        <v>6.62</v>
      </c>
      <c r="F70">
        <v>6</v>
      </c>
    </row>
    <row r="71" spans="1:11" x14ac:dyDescent="0.35">
      <c r="A71" t="b">
        <v>1</v>
      </c>
      <c r="B71" t="s">
        <v>12</v>
      </c>
      <c r="C71" t="s">
        <v>50</v>
      </c>
      <c r="D71">
        <v>17.68</v>
      </c>
      <c r="E71" s="1">
        <v>6.57</v>
      </c>
      <c r="F71">
        <v>6</v>
      </c>
    </row>
    <row r="72" spans="1:11" x14ac:dyDescent="0.35">
      <c r="A72" t="b">
        <v>1</v>
      </c>
      <c r="B72" t="s">
        <v>13</v>
      </c>
      <c r="C72" t="s">
        <v>50</v>
      </c>
      <c r="D72">
        <v>17.32</v>
      </c>
      <c r="E72" s="1">
        <v>6.8</v>
      </c>
      <c r="F72">
        <v>6</v>
      </c>
    </row>
    <row r="73" spans="1:11" x14ac:dyDescent="0.35">
      <c r="A73" t="b">
        <v>1</v>
      </c>
      <c r="B73" t="s">
        <v>0</v>
      </c>
      <c r="C73" t="s">
        <v>1</v>
      </c>
      <c r="D73">
        <v>13.36</v>
      </c>
      <c r="E73" s="1">
        <v>9.18</v>
      </c>
      <c r="F73">
        <v>7</v>
      </c>
    </row>
    <row r="74" spans="1:11" x14ac:dyDescent="0.35">
      <c r="A74" t="b">
        <v>1</v>
      </c>
      <c r="B74" t="s">
        <v>2</v>
      </c>
      <c r="C74" t="s">
        <v>1</v>
      </c>
      <c r="D74">
        <v>13.61</v>
      </c>
      <c r="E74" s="1">
        <v>8.9700000000000006</v>
      </c>
      <c r="F74">
        <v>7</v>
      </c>
    </row>
    <row r="75" spans="1:11" x14ac:dyDescent="0.35">
      <c r="A75" t="b">
        <v>1</v>
      </c>
      <c r="B75" t="s">
        <v>3</v>
      </c>
      <c r="C75" t="s">
        <v>1</v>
      </c>
      <c r="D75">
        <v>13.68</v>
      </c>
      <c r="E75" s="1">
        <v>8.91</v>
      </c>
      <c r="F75">
        <v>7</v>
      </c>
      <c r="K75" t="s">
        <v>59</v>
      </c>
    </row>
    <row r="76" spans="1:11" x14ac:dyDescent="0.35">
      <c r="A76" t="b">
        <v>1</v>
      </c>
      <c r="B76" t="s">
        <v>4</v>
      </c>
      <c r="C76" t="s">
        <v>1</v>
      </c>
      <c r="D76">
        <v>13.82</v>
      </c>
      <c r="E76" s="1">
        <v>8.7899999999999991</v>
      </c>
      <c r="F76">
        <v>7</v>
      </c>
    </row>
    <row r="77" spans="1:11" x14ac:dyDescent="0.35">
      <c r="A77" t="b">
        <v>1</v>
      </c>
      <c r="B77" t="s">
        <v>5</v>
      </c>
      <c r="C77" t="s">
        <v>1</v>
      </c>
      <c r="D77">
        <v>13.69</v>
      </c>
      <c r="E77" s="1">
        <v>8.9</v>
      </c>
      <c r="F77">
        <v>7</v>
      </c>
    </row>
    <row r="78" spans="1:11" x14ac:dyDescent="0.35">
      <c r="A78" t="b">
        <v>1</v>
      </c>
      <c r="B78" t="s">
        <v>6</v>
      </c>
      <c r="C78" t="s">
        <v>1</v>
      </c>
      <c r="D78">
        <v>13.57</v>
      </c>
      <c r="E78" s="1">
        <v>9</v>
      </c>
      <c r="F78">
        <v>7</v>
      </c>
    </row>
    <row r="79" spans="1:11" x14ac:dyDescent="0.35">
      <c r="A79" t="b">
        <v>1</v>
      </c>
      <c r="B79" t="s">
        <v>0</v>
      </c>
      <c r="C79" t="s">
        <v>49</v>
      </c>
      <c r="D79">
        <v>14.25</v>
      </c>
      <c r="E79" s="1">
        <v>9.14</v>
      </c>
      <c r="F79">
        <v>7</v>
      </c>
    </row>
    <row r="80" spans="1:11" x14ac:dyDescent="0.35">
      <c r="A80" t="b">
        <v>1</v>
      </c>
      <c r="B80" t="s">
        <v>2</v>
      </c>
      <c r="C80" t="s">
        <v>49</v>
      </c>
      <c r="D80">
        <v>14.29</v>
      </c>
      <c r="E80" s="1">
        <v>9.1</v>
      </c>
      <c r="F80">
        <v>7</v>
      </c>
    </row>
    <row r="81" spans="1:6" x14ac:dyDescent="0.35">
      <c r="A81" t="b">
        <v>1</v>
      </c>
      <c r="B81" t="s">
        <v>3</v>
      </c>
      <c r="C81" t="s">
        <v>49</v>
      </c>
      <c r="D81">
        <v>14.49</v>
      </c>
      <c r="E81" s="1">
        <v>8.94</v>
      </c>
      <c r="F81">
        <v>7</v>
      </c>
    </row>
    <row r="82" spans="1:6" x14ac:dyDescent="0.35">
      <c r="A82" t="b">
        <v>1</v>
      </c>
      <c r="B82" t="s">
        <v>4</v>
      </c>
      <c r="C82" t="s">
        <v>49</v>
      </c>
      <c r="D82">
        <v>14.32</v>
      </c>
      <c r="E82" s="1">
        <v>9.08</v>
      </c>
      <c r="F82">
        <v>7</v>
      </c>
    </row>
    <row r="83" spans="1:6" x14ac:dyDescent="0.35">
      <c r="A83" t="b">
        <v>1</v>
      </c>
      <c r="B83" t="s">
        <v>5</v>
      </c>
      <c r="C83" t="s">
        <v>49</v>
      </c>
      <c r="D83">
        <v>14.38</v>
      </c>
      <c r="E83" s="1">
        <v>9.0299999999999994</v>
      </c>
      <c r="F83">
        <v>7</v>
      </c>
    </row>
    <row r="84" spans="1:6" x14ac:dyDescent="0.35">
      <c r="A84" t="b">
        <v>1</v>
      </c>
      <c r="B84" t="s">
        <v>6</v>
      </c>
      <c r="C84" t="s">
        <v>49</v>
      </c>
      <c r="D84">
        <v>14.35</v>
      </c>
      <c r="E84" s="1">
        <v>9.0500000000000007</v>
      </c>
      <c r="F84">
        <v>7</v>
      </c>
    </row>
  </sheetData>
  <sortState ref="N2:Q85">
    <sortCondition ref="Q2:Q8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4"/>
  <sheetViews>
    <sheetView tabSelected="1" topLeftCell="A52" zoomScale="62" workbookViewId="0">
      <selection activeCell="D1" sqref="D1:D84"/>
    </sheetView>
  </sheetViews>
  <sheetFormatPr defaultRowHeight="14.5" x14ac:dyDescent="0.35"/>
  <sheetData>
    <row r="1" spans="1:22" x14ac:dyDescent="0.35">
      <c r="A1" t="b">
        <v>1</v>
      </c>
      <c r="B1" t="s">
        <v>42</v>
      </c>
      <c r="C1" t="s">
        <v>1</v>
      </c>
      <c r="D1">
        <v>36.229999999999997</v>
      </c>
      <c r="E1">
        <v>2</v>
      </c>
      <c r="F1">
        <v>1</v>
      </c>
      <c r="I1" t="s">
        <v>54</v>
      </c>
      <c r="J1">
        <f>SLOPE(D1:D84,F1:F84)</f>
        <v>-3.7316071428571433</v>
      </c>
    </row>
    <row r="2" spans="1:22" x14ac:dyDescent="0.35">
      <c r="A2" t="b">
        <v>1</v>
      </c>
      <c r="B2" t="s">
        <v>44</v>
      </c>
      <c r="C2" t="s">
        <v>1</v>
      </c>
      <c r="D2">
        <v>35.9</v>
      </c>
      <c r="E2">
        <v>2</v>
      </c>
      <c r="F2">
        <v>1</v>
      </c>
      <c r="I2" t="s">
        <v>56</v>
      </c>
      <c r="J2">
        <f>-1+10^(-1/J1)</f>
        <v>0.85345074782574915</v>
      </c>
    </row>
    <row r="3" spans="1:22" x14ac:dyDescent="0.35">
      <c r="A3" t="b">
        <v>1</v>
      </c>
      <c r="B3" t="s">
        <v>45</v>
      </c>
      <c r="C3" t="s">
        <v>1</v>
      </c>
      <c r="D3">
        <v>35.869999999999997</v>
      </c>
      <c r="E3">
        <v>2</v>
      </c>
      <c r="F3">
        <v>1</v>
      </c>
      <c r="I3" t="s">
        <v>52</v>
      </c>
      <c r="J3">
        <f>RSQ(D1:D84,F1:F84)</f>
        <v>0.99724474298811594</v>
      </c>
    </row>
    <row r="4" spans="1:22" x14ac:dyDescent="0.35">
      <c r="A4" t="b">
        <v>1</v>
      </c>
      <c r="B4" t="s">
        <v>46</v>
      </c>
      <c r="C4" t="s">
        <v>1</v>
      </c>
      <c r="D4">
        <v>36.93</v>
      </c>
      <c r="E4">
        <v>2</v>
      </c>
      <c r="F4">
        <v>1</v>
      </c>
      <c r="I4" t="s">
        <v>55</v>
      </c>
      <c r="J4">
        <f>INTERCEPT(D1:D84,F1:F84)</f>
        <v>39.825238095238092</v>
      </c>
    </row>
    <row r="5" spans="1:22" x14ac:dyDescent="0.35">
      <c r="A5" t="b">
        <v>1</v>
      </c>
      <c r="B5" t="s">
        <v>47</v>
      </c>
      <c r="C5" t="s">
        <v>1</v>
      </c>
      <c r="D5">
        <v>35.479999999999997</v>
      </c>
      <c r="E5">
        <v>2</v>
      </c>
      <c r="F5">
        <v>1</v>
      </c>
      <c r="I5" t="s">
        <v>53</v>
      </c>
      <c r="J5" s="2">
        <f>SQRT(((1+J2)^((STDEV(D13:D24)^2)*(LN(1+J2))))-1)</f>
        <v>0.32122561914764408</v>
      </c>
      <c r="K5" s="2">
        <f>SQRT(((1+J2)^((STDEV(D1:D12)^2)*LN(1+J2)))-1)</f>
        <v>0.38631033077205484</v>
      </c>
    </row>
    <row r="6" spans="1:22" x14ac:dyDescent="0.35">
      <c r="A6" t="b">
        <v>1</v>
      </c>
      <c r="B6" t="s">
        <v>48</v>
      </c>
      <c r="C6" t="s">
        <v>1</v>
      </c>
      <c r="D6">
        <v>35.659999999999997</v>
      </c>
      <c r="E6">
        <v>2</v>
      </c>
      <c r="F6">
        <v>1</v>
      </c>
      <c r="J6" s="2" t="s">
        <v>57</v>
      </c>
      <c r="K6" s="2" t="s">
        <v>58</v>
      </c>
      <c r="U6" s="2"/>
      <c r="V6" s="2"/>
    </row>
    <row r="7" spans="1:22" x14ac:dyDescent="0.35">
      <c r="A7" t="b">
        <v>1</v>
      </c>
      <c r="B7" t="s">
        <v>42</v>
      </c>
      <c r="C7" t="s">
        <v>43</v>
      </c>
      <c r="D7">
        <v>35.67</v>
      </c>
      <c r="E7">
        <v>1</v>
      </c>
      <c r="F7">
        <v>1</v>
      </c>
      <c r="U7" s="2"/>
      <c r="V7" s="2"/>
    </row>
    <row r="8" spans="1:22" x14ac:dyDescent="0.35">
      <c r="A8" t="b">
        <v>1</v>
      </c>
      <c r="B8" t="s">
        <v>44</v>
      </c>
      <c r="C8" t="s">
        <v>43</v>
      </c>
      <c r="D8">
        <v>37.5</v>
      </c>
      <c r="E8">
        <v>1</v>
      </c>
      <c r="F8">
        <v>1</v>
      </c>
    </row>
    <row r="9" spans="1:22" x14ac:dyDescent="0.35">
      <c r="A9" t="b">
        <v>1</v>
      </c>
      <c r="B9" t="s">
        <v>45</v>
      </c>
      <c r="C9" t="s">
        <v>43</v>
      </c>
      <c r="D9">
        <v>35.42</v>
      </c>
      <c r="E9">
        <v>1</v>
      </c>
      <c r="F9">
        <v>1</v>
      </c>
    </row>
    <row r="10" spans="1:22" x14ac:dyDescent="0.35">
      <c r="A10" t="b">
        <v>1</v>
      </c>
      <c r="B10" t="s">
        <v>46</v>
      </c>
      <c r="C10" t="s">
        <v>43</v>
      </c>
      <c r="D10">
        <v>35.89</v>
      </c>
      <c r="E10">
        <v>1</v>
      </c>
      <c r="F10">
        <v>1</v>
      </c>
    </row>
    <row r="11" spans="1:22" x14ac:dyDescent="0.35">
      <c r="A11" t="b">
        <v>1</v>
      </c>
      <c r="B11" t="s">
        <v>47</v>
      </c>
      <c r="C11" t="s">
        <v>43</v>
      </c>
      <c r="D11">
        <v>36.130000000000003</v>
      </c>
      <c r="E11">
        <v>1</v>
      </c>
      <c r="F11">
        <v>1</v>
      </c>
    </row>
    <row r="12" spans="1:22" x14ac:dyDescent="0.35">
      <c r="A12" t="b">
        <v>1</v>
      </c>
      <c r="B12" t="s">
        <v>48</v>
      </c>
      <c r="C12" t="s">
        <v>43</v>
      </c>
      <c r="D12">
        <v>36.14</v>
      </c>
      <c r="E12">
        <v>1</v>
      </c>
      <c r="F12">
        <v>1</v>
      </c>
    </row>
    <row r="13" spans="1:22" x14ac:dyDescent="0.35">
      <c r="A13" t="b">
        <v>1</v>
      </c>
      <c r="B13" t="s">
        <v>35</v>
      </c>
      <c r="C13" t="s">
        <v>8</v>
      </c>
      <c r="D13">
        <v>32.31</v>
      </c>
      <c r="E13">
        <v>2</v>
      </c>
      <c r="F13">
        <v>2</v>
      </c>
    </row>
    <row r="14" spans="1:22" x14ac:dyDescent="0.35">
      <c r="A14" t="b">
        <v>1</v>
      </c>
      <c r="B14" t="s">
        <v>37</v>
      </c>
      <c r="C14" t="s">
        <v>8</v>
      </c>
      <c r="D14">
        <v>32.200000000000003</v>
      </c>
      <c r="E14">
        <v>2</v>
      </c>
      <c r="F14">
        <v>2</v>
      </c>
    </row>
    <row r="15" spans="1:22" x14ac:dyDescent="0.35">
      <c r="A15" t="b">
        <v>1</v>
      </c>
      <c r="B15" t="s">
        <v>38</v>
      </c>
      <c r="C15" t="s">
        <v>8</v>
      </c>
      <c r="D15">
        <v>32.71</v>
      </c>
      <c r="E15">
        <v>2</v>
      </c>
      <c r="F15">
        <v>2</v>
      </c>
    </row>
    <row r="16" spans="1:22" x14ac:dyDescent="0.35">
      <c r="A16" t="b">
        <v>1</v>
      </c>
      <c r="B16" t="s">
        <v>39</v>
      </c>
      <c r="C16" t="s">
        <v>8</v>
      </c>
      <c r="D16">
        <v>32.159999999999997</v>
      </c>
      <c r="E16">
        <v>2</v>
      </c>
      <c r="F16">
        <v>2</v>
      </c>
    </row>
    <row r="17" spans="1:6" x14ac:dyDescent="0.35">
      <c r="A17" t="b">
        <v>1</v>
      </c>
      <c r="B17" t="s">
        <v>40</v>
      </c>
      <c r="C17" t="s">
        <v>8</v>
      </c>
      <c r="D17">
        <v>32.299999999999997</v>
      </c>
      <c r="E17">
        <v>2</v>
      </c>
      <c r="F17">
        <v>2</v>
      </c>
    </row>
    <row r="18" spans="1:6" x14ac:dyDescent="0.35">
      <c r="A18" t="b">
        <v>1</v>
      </c>
      <c r="B18" t="s">
        <v>41</v>
      </c>
      <c r="C18" t="s">
        <v>8</v>
      </c>
      <c r="D18">
        <v>32.68</v>
      </c>
      <c r="E18">
        <v>2</v>
      </c>
      <c r="F18">
        <v>2</v>
      </c>
    </row>
    <row r="19" spans="1:6" x14ac:dyDescent="0.35">
      <c r="A19" t="b">
        <v>1</v>
      </c>
      <c r="B19" t="s">
        <v>35</v>
      </c>
      <c r="C19" t="s">
        <v>36</v>
      </c>
      <c r="D19">
        <v>32.99</v>
      </c>
      <c r="E19">
        <v>1</v>
      </c>
      <c r="F19">
        <v>2</v>
      </c>
    </row>
    <row r="20" spans="1:6" x14ac:dyDescent="0.35">
      <c r="A20" t="b">
        <v>1</v>
      </c>
      <c r="B20" t="s">
        <v>37</v>
      </c>
      <c r="C20" t="s">
        <v>36</v>
      </c>
      <c r="D20">
        <v>33.79</v>
      </c>
      <c r="E20">
        <v>1</v>
      </c>
      <c r="F20">
        <v>2</v>
      </c>
    </row>
    <row r="21" spans="1:6" x14ac:dyDescent="0.35">
      <c r="A21" t="b">
        <v>1</v>
      </c>
      <c r="B21" t="s">
        <v>38</v>
      </c>
      <c r="C21" t="s">
        <v>36</v>
      </c>
      <c r="D21">
        <v>33.31</v>
      </c>
      <c r="E21">
        <v>1</v>
      </c>
      <c r="F21">
        <v>2</v>
      </c>
    </row>
    <row r="22" spans="1:6" x14ac:dyDescent="0.35">
      <c r="A22" t="b">
        <v>1</v>
      </c>
      <c r="B22" t="s">
        <v>39</v>
      </c>
      <c r="C22" t="s">
        <v>36</v>
      </c>
      <c r="D22">
        <v>32.51</v>
      </c>
      <c r="E22">
        <v>1</v>
      </c>
      <c r="F22">
        <v>2</v>
      </c>
    </row>
    <row r="23" spans="1:6" x14ac:dyDescent="0.35">
      <c r="A23" t="b">
        <v>1</v>
      </c>
      <c r="B23" t="s">
        <v>40</v>
      </c>
      <c r="C23" t="s">
        <v>36</v>
      </c>
      <c r="D23">
        <v>32.28</v>
      </c>
      <c r="E23">
        <v>1</v>
      </c>
      <c r="F23">
        <v>2</v>
      </c>
    </row>
    <row r="24" spans="1:6" x14ac:dyDescent="0.35">
      <c r="A24" t="b">
        <v>1</v>
      </c>
      <c r="B24" t="s">
        <v>41</v>
      </c>
      <c r="C24" t="s">
        <v>36</v>
      </c>
      <c r="D24">
        <v>32.26</v>
      </c>
      <c r="E24">
        <v>1</v>
      </c>
      <c r="F24">
        <v>2</v>
      </c>
    </row>
    <row r="25" spans="1:6" x14ac:dyDescent="0.35">
      <c r="A25" t="b">
        <v>1</v>
      </c>
      <c r="B25" t="s">
        <v>28</v>
      </c>
      <c r="C25" t="s">
        <v>15</v>
      </c>
      <c r="D25">
        <v>28.52</v>
      </c>
      <c r="E25">
        <v>2</v>
      </c>
      <c r="F25">
        <v>3</v>
      </c>
    </row>
    <row r="26" spans="1:6" x14ac:dyDescent="0.35">
      <c r="A26" t="b">
        <v>1</v>
      </c>
      <c r="B26" t="s">
        <v>30</v>
      </c>
      <c r="C26" t="s">
        <v>15</v>
      </c>
      <c r="D26">
        <v>28.49</v>
      </c>
      <c r="E26">
        <v>2</v>
      </c>
      <c r="F26">
        <v>3</v>
      </c>
    </row>
    <row r="27" spans="1:6" x14ac:dyDescent="0.35">
      <c r="A27" t="b">
        <v>1</v>
      </c>
      <c r="B27" t="s">
        <v>31</v>
      </c>
      <c r="C27" t="s">
        <v>15</v>
      </c>
      <c r="D27">
        <v>28.6</v>
      </c>
      <c r="E27">
        <v>2</v>
      </c>
      <c r="F27">
        <v>3</v>
      </c>
    </row>
    <row r="28" spans="1:6" x14ac:dyDescent="0.35">
      <c r="A28" t="b">
        <v>1</v>
      </c>
      <c r="B28" t="s">
        <v>32</v>
      </c>
      <c r="C28" t="s">
        <v>15</v>
      </c>
      <c r="D28">
        <v>28.7</v>
      </c>
      <c r="E28">
        <v>2</v>
      </c>
      <c r="F28">
        <v>3</v>
      </c>
    </row>
    <row r="29" spans="1:6" x14ac:dyDescent="0.35">
      <c r="A29" t="b">
        <v>1</v>
      </c>
      <c r="B29" t="s">
        <v>33</v>
      </c>
      <c r="C29" t="s">
        <v>15</v>
      </c>
      <c r="D29">
        <v>27.29</v>
      </c>
      <c r="E29">
        <v>2</v>
      </c>
      <c r="F29">
        <v>3</v>
      </c>
    </row>
    <row r="30" spans="1:6" x14ac:dyDescent="0.35">
      <c r="A30" t="b">
        <v>1</v>
      </c>
      <c r="B30" t="s">
        <v>34</v>
      </c>
      <c r="C30" t="s">
        <v>15</v>
      </c>
      <c r="D30">
        <v>28.64</v>
      </c>
      <c r="E30">
        <v>2</v>
      </c>
      <c r="F30">
        <v>3</v>
      </c>
    </row>
    <row r="31" spans="1:6" x14ac:dyDescent="0.35">
      <c r="A31" t="b">
        <v>1</v>
      </c>
      <c r="B31" t="s">
        <v>28</v>
      </c>
      <c r="C31" t="s">
        <v>29</v>
      </c>
      <c r="D31">
        <v>29.1</v>
      </c>
      <c r="E31">
        <v>1</v>
      </c>
      <c r="F31">
        <v>3</v>
      </c>
    </row>
    <row r="32" spans="1:6" x14ac:dyDescent="0.35">
      <c r="A32" t="b">
        <v>1</v>
      </c>
      <c r="B32" t="s">
        <v>30</v>
      </c>
      <c r="C32" t="s">
        <v>29</v>
      </c>
      <c r="D32">
        <v>28.83</v>
      </c>
      <c r="E32">
        <v>1</v>
      </c>
      <c r="F32">
        <v>3</v>
      </c>
    </row>
    <row r="33" spans="1:6" x14ac:dyDescent="0.35">
      <c r="A33" t="b">
        <v>1</v>
      </c>
      <c r="B33" t="s">
        <v>31</v>
      </c>
      <c r="C33" t="s">
        <v>29</v>
      </c>
      <c r="D33">
        <v>28.02</v>
      </c>
      <c r="E33">
        <v>1</v>
      </c>
      <c r="F33">
        <v>3</v>
      </c>
    </row>
    <row r="34" spans="1:6" x14ac:dyDescent="0.35">
      <c r="A34" t="b">
        <v>1</v>
      </c>
      <c r="B34" t="s">
        <v>32</v>
      </c>
      <c r="C34" t="s">
        <v>29</v>
      </c>
      <c r="D34">
        <v>28.79</v>
      </c>
      <c r="E34">
        <v>1</v>
      </c>
      <c r="F34">
        <v>3</v>
      </c>
    </row>
    <row r="35" spans="1:6" x14ac:dyDescent="0.35">
      <c r="A35" t="b">
        <v>1</v>
      </c>
      <c r="B35" t="s">
        <v>33</v>
      </c>
      <c r="C35" t="s">
        <v>29</v>
      </c>
      <c r="D35">
        <v>29.3</v>
      </c>
      <c r="E35">
        <v>1</v>
      </c>
      <c r="F35">
        <v>3</v>
      </c>
    </row>
    <row r="36" spans="1:6" x14ac:dyDescent="0.35">
      <c r="A36" t="b">
        <v>1</v>
      </c>
      <c r="B36" t="s">
        <v>34</v>
      </c>
      <c r="C36" t="s">
        <v>29</v>
      </c>
      <c r="D36">
        <v>28.74</v>
      </c>
      <c r="E36">
        <v>1</v>
      </c>
      <c r="F36">
        <v>3</v>
      </c>
    </row>
    <row r="37" spans="1:6" x14ac:dyDescent="0.35">
      <c r="A37" t="b">
        <v>1</v>
      </c>
      <c r="B37" t="s">
        <v>21</v>
      </c>
      <c r="C37" t="s">
        <v>22</v>
      </c>
      <c r="D37">
        <v>24.77</v>
      </c>
      <c r="E37">
        <v>2</v>
      </c>
      <c r="F37">
        <v>4</v>
      </c>
    </row>
    <row r="38" spans="1:6" x14ac:dyDescent="0.35">
      <c r="A38" t="b">
        <v>1</v>
      </c>
      <c r="B38" t="s">
        <v>23</v>
      </c>
      <c r="C38" t="s">
        <v>22</v>
      </c>
      <c r="D38">
        <v>24.56</v>
      </c>
      <c r="E38">
        <v>2</v>
      </c>
      <c r="F38">
        <v>4</v>
      </c>
    </row>
    <row r="39" spans="1:6" x14ac:dyDescent="0.35">
      <c r="A39" t="b">
        <v>1</v>
      </c>
      <c r="B39" t="s">
        <v>24</v>
      </c>
      <c r="C39" t="s">
        <v>22</v>
      </c>
      <c r="D39">
        <v>24.73</v>
      </c>
      <c r="E39">
        <v>2</v>
      </c>
      <c r="F39">
        <v>4</v>
      </c>
    </row>
    <row r="40" spans="1:6" x14ac:dyDescent="0.35">
      <c r="A40" t="b">
        <v>1</v>
      </c>
      <c r="B40" t="s">
        <v>25</v>
      </c>
      <c r="C40" t="s">
        <v>22</v>
      </c>
      <c r="D40">
        <v>24.64</v>
      </c>
      <c r="E40">
        <v>2</v>
      </c>
      <c r="F40">
        <v>4</v>
      </c>
    </row>
    <row r="41" spans="1:6" x14ac:dyDescent="0.35">
      <c r="A41" t="b">
        <v>1</v>
      </c>
      <c r="B41" t="s">
        <v>26</v>
      </c>
      <c r="C41" t="s">
        <v>22</v>
      </c>
      <c r="D41">
        <v>24.52</v>
      </c>
      <c r="E41">
        <v>2</v>
      </c>
      <c r="F41">
        <v>4</v>
      </c>
    </row>
    <row r="42" spans="1:6" x14ac:dyDescent="0.35">
      <c r="A42" t="b">
        <v>1</v>
      </c>
      <c r="B42" t="s">
        <v>27</v>
      </c>
      <c r="C42" t="s">
        <v>22</v>
      </c>
      <c r="D42">
        <v>24.34</v>
      </c>
      <c r="E42">
        <v>2</v>
      </c>
      <c r="F42">
        <v>4</v>
      </c>
    </row>
    <row r="43" spans="1:6" x14ac:dyDescent="0.35">
      <c r="A43" t="b">
        <v>1</v>
      </c>
      <c r="B43" t="s">
        <v>21</v>
      </c>
      <c r="C43" t="s">
        <v>22</v>
      </c>
      <c r="D43">
        <v>25</v>
      </c>
      <c r="E43">
        <v>1</v>
      </c>
      <c r="F43">
        <v>4</v>
      </c>
    </row>
    <row r="44" spans="1:6" x14ac:dyDescent="0.35">
      <c r="A44" t="b">
        <v>1</v>
      </c>
      <c r="B44" t="s">
        <v>23</v>
      </c>
      <c r="C44" t="s">
        <v>22</v>
      </c>
      <c r="D44">
        <v>24.71</v>
      </c>
      <c r="E44">
        <v>1</v>
      </c>
      <c r="F44">
        <v>4</v>
      </c>
    </row>
    <row r="45" spans="1:6" x14ac:dyDescent="0.35">
      <c r="A45" t="b">
        <v>1</v>
      </c>
      <c r="B45" t="s">
        <v>24</v>
      </c>
      <c r="C45" t="s">
        <v>22</v>
      </c>
      <c r="D45">
        <v>24.8</v>
      </c>
      <c r="E45">
        <v>1</v>
      </c>
      <c r="F45">
        <v>4</v>
      </c>
    </row>
    <row r="46" spans="1:6" x14ac:dyDescent="0.35">
      <c r="A46" t="b">
        <v>1</v>
      </c>
      <c r="B46" t="s">
        <v>25</v>
      </c>
      <c r="C46" t="s">
        <v>22</v>
      </c>
      <c r="D46">
        <v>24.51</v>
      </c>
      <c r="E46">
        <v>1</v>
      </c>
      <c r="F46">
        <v>4</v>
      </c>
    </row>
    <row r="47" spans="1:6" x14ac:dyDescent="0.35">
      <c r="A47" t="b">
        <v>1</v>
      </c>
      <c r="B47" t="s">
        <v>26</v>
      </c>
      <c r="C47" t="s">
        <v>22</v>
      </c>
      <c r="D47">
        <v>24.53</v>
      </c>
      <c r="E47">
        <v>1</v>
      </c>
      <c r="F47">
        <v>4</v>
      </c>
    </row>
    <row r="48" spans="1:6" x14ac:dyDescent="0.35">
      <c r="A48" t="b">
        <v>1</v>
      </c>
      <c r="B48" t="s">
        <v>27</v>
      </c>
      <c r="C48" t="s">
        <v>22</v>
      </c>
      <c r="D48">
        <v>24.77</v>
      </c>
      <c r="E48">
        <v>1</v>
      </c>
      <c r="F48">
        <v>4</v>
      </c>
    </row>
    <row r="49" spans="1:6" x14ac:dyDescent="0.35">
      <c r="A49" t="b">
        <v>1</v>
      </c>
      <c r="B49" t="s">
        <v>14</v>
      </c>
      <c r="C49" t="s">
        <v>51</v>
      </c>
      <c r="D49">
        <v>21.33</v>
      </c>
      <c r="E49">
        <v>2</v>
      </c>
      <c r="F49">
        <v>5</v>
      </c>
    </row>
    <row r="50" spans="1:6" x14ac:dyDescent="0.35">
      <c r="A50" t="b">
        <v>1</v>
      </c>
      <c r="B50" t="s">
        <v>16</v>
      </c>
      <c r="C50" t="s">
        <v>51</v>
      </c>
      <c r="D50">
        <v>20.97</v>
      </c>
      <c r="E50">
        <v>2</v>
      </c>
      <c r="F50">
        <v>5</v>
      </c>
    </row>
    <row r="51" spans="1:6" x14ac:dyDescent="0.35">
      <c r="A51" t="b">
        <v>1</v>
      </c>
      <c r="B51" t="s">
        <v>17</v>
      </c>
      <c r="C51" t="s">
        <v>51</v>
      </c>
      <c r="D51">
        <v>21.15</v>
      </c>
      <c r="E51">
        <v>2</v>
      </c>
      <c r="F51">
        <v>5</v>
      </c>
    </row>
    <row r="52" spans="1:6" x14ac:dyDescent="0.35">
      <c r="A52" t="b">
        <v>1</v>
      </c>
      <c r="B52" t="s">
        <v>18</v>
      </c>
      <c r="C52" t="s">
        <v>51</v>
      </c>
      <c r="D52">
        <v>21.12</v>
      </c>
      <c r="E52">
        <v>2</v>
      </c>
      <c r="F52">
        <v>5</v>
      </c>
    </row>
    <row r="53" spans="1:6" x14ac:dyDescent="0.35">
      <c r="A53" t="b">
        <v>1</v>
      </c>
      <c r="B53" t="s">
        <v>19</v>
      </c>
      <c r="C53" t="s">
        <v>51</v>
      </c>
      <c r="D53">
        <v>20.78</v>
      </c>
      <c r="E53">
        <v>2</v>
      </c>
      <c r="F53">
        <v>5</v>
      </c>
    </row>
    <row r="54" spans="1:6" x14ac:dyDescent="0.35">
      <c r="A54" t="b">
        <v>1</v>
      </c>
      <c r="B54" t="s">
        <v>20</v>
      </c>
      <c r="C54" t="s">
        <v>51</v>
      </c>
      <c r="D54">
        <v>21.33</v>
      </c>
      <c r="E54">
        <v>2</v>
      </c>
      <c r="F54">
        <v>5</v>
      </c>
    </row>
    <row r="55" spans="1:6" x14ac:dyDescent="0.35">
      <c r="A55" t="b">
        <v>1</v>
      </c>
      <c r="B55" t="s">
        <v>14</v>
      </c>
      <c r="C55" t="s">
        <v>15</v>
      </c>
      <c r="D55">
        <v>21.14</v>
      </c>
      <c r="E55">
        <v>1</v>
      </c>
      <c r="F55">
        <v>5</v>
      </c>
    </row>
    <row r="56" spans="1:6" x14ac:dyDescent="0.35">
      <c r="A56" t="b">
        <v>1</v>
      </c>
      <c r="B56" t="s">
        <v>16</v>
      </c>
      <c r="C56" t="s">
        <v>15</v>
      </c>
      <c r="D56">
        <v>21.06</v>
      </c>
      <c r="E56">
        <v>1</v>
      </c>
      <c r="F56">
        <v>5</v>
      </c>
    </row>
    <row r="57" spans="1:6" x14ac:dyDescent="0.35">
      <c r="A57" t="b">
        <v>1</v>
      </c>
      <c r="B57" t="s">
        <v>17</v>
      </c>
      <c r="C57" t="s">
        <v>15</v>
      </c>
      <c r="D57">
        <v>21.03</v>
      </c>
      <c r="E57">
        <v>1</v>
      </c>
      <c r="F57">
        <v>5</v>
      </c>
    </row>
    <row r="58" spans="1:6" x14ac:dyDescent="0.35">
      <c r="A58" t="b">
        <v>1</v>
      </c>
      <c r="B58" t="s">
        <v>18</v>
      </c>
      <c r="C58" t="s">
        <v>15</v>
      </c>
      <c r="D58">
        <v>20.99</v>
      </c>
      <c r="E58">
        <v>1</v>
      </c>
      <c r="F58">
        <v>5</v>
      </c>
    </row>
    <row r="59" spans="1:6" x14ac:dyDescent="0.35">
      <c r="A59" t="b">
        <v>1</v>
      </c>
      <c r="B59" t="s">
        <v>19</v>
      </c>
      <c r="C59" t="s">
        <v>15</v>
      </c>
      <c r="D59">
        <v>21.09</v>
      </c>
      <c r="E59">
        <v>1</v>
      </c>
      <c r="F59">
        <v>5</v>
      </c>
    </row>
    <row r="60" spans="1:6" x14ac:dyDescent="0.35">
      <c r="A60" t="b">
        <v>1</v>
      </c>
      <c r="B60" t="s">
        <v>20</v>
      </c>
      <c r="C60" t="s">
        <v>15</v>
      </c>
      <c r="D60">
        <v>20.9</v>
      </c>
      <c r="E60">
        <v>1</v>
      </c>
      <c r="F60">
        <v>5</v>
      </c>
    </row>
    <row r="61" spans="1:6" x14ac:dyDescent="0.35">
      <c r="A61" t="b">
        <v>1</v>
      </c>
      <c r="B61" t="s">
        <v>7</v>
      </c>
      <c r="C61" t="s">
        <v>50</v>
      </c>
      <c r="D61">
        <v>17.350000000000001</v>
      </c>
      <c r="E61">
        <v>2</v>
      </c>
      <c r="F61">
        <v>6</v>
      </c>
    </row>
    <row r="62" spans="1:6" x14ac:dyDescent="0.35">
      <c r="A62" t="b">
        <v>1</v>
      </c>
      <c r="B62" t="s">
        <v>9</v>
      </c>
      <c r="C62" t="s">
        <v>50</v>
      </c>
      <c r="D62">
        <v>17.23</v>
      </c>
      <c r="E62">
        <v>2</v>
      </c>
      <c r="F62">
        <v>6</v>
      </c>
    </row>
    <row r="63" spans="1:6" x14ac:dyDescent="0.35">
      <c r="A63" t="b">
        <v>1</v>
      </c>
      <c r="B63" t="s">
        <v>10</v>
      </c>
      <c r="C63" t="s">
        <v>50</v>
      </c>
      <c r="D63">
        <v>17.61</v>
      </c>
      <c r="E63">
        <v>2</v>
      </c>
      <c r="F63">
        <v>6</v>
      </c>
    </row>
    <row r="64" spans="1:6" x14ac:dyDescent="0.35">
      <c r="A64" t="b">
        <v>1</v>
      </c>
      <c r="B64" t="s">
        <v>11</v>
      </c>
      <c r="C64" t="s">
        <v>50</v>
      </c>
      <c r="D64">
        <v>17.47</v>
      </c>
      <c r="E64">
        <v>2</v>
      </c>
      <c r="F64">
        <v>6</v>
      </c>
    </row>
    <row r="65" spans="1:6" x14ac:dyDescent="0.35">
      <c r="A65" t="b">
        <v>1</v>
      </c>
      <c r="B65" t="s">
        <v>12</v>
      </c>
      <c r="C65" t="s">
        <v>50</v>
      </c>
      <c r="D65">
        <v>17.37</v>
      </c>
      <c r="E65">
        <v>2</v>
      </c>
      <c r="F65">
        <v>6</v>
      </c>
    </row>
    <row r="66" spans="1:6" x14ac:dyDescent="0.35">
      <c r="A66" t="b">
        <v>1</v>
      </c>
      <c r="B66" t="s">
        <v>13</v>
      </c>
      <c r="C66" t="s">
        <v>50</v>
      </c>
      <c r="D66">
        <v>17.14</v>
      </c>
      <c r="E66">
        <v>2</v>
      </c>
      <c r="F66">
        <v>6</v>
      </c>
    </row>
    <row r="67" spans="1:6" x14ac:dyDescent="0.35">
      <c r="A67" t="b">
        <v>1</v>
      </c>
      <c r="B67" t="s">
        <v>7</v>
      </c>
      <c r="C67" t="s">
        <v>8</v>
      </c>
      <c r="D67">
        <v>17.38</v>
      </c>
      <c r="E67">
        <v>1</v>
      </c>
      <c r="F67">
        <v>6</v>
      </c>
    </row>
    <row r="68" spans="1:6" x14ac:dyDescent="0.35">
      <c r="A68" t="b">
        <v>1</v>
      </c>
      <c r="B68" t="s">
        <v>9</v>
      </c>
      <c r="C68" t="s">
        <v>8</v>
      </c>
      <c r="D68">
        <v>17.399999999999999</v>
      </c>
      <c r="E68">
        <v>1</v>
      </c>
      <c r="F68">
        <v>6</v>
      </c>
    </row>
    <row r="69" spans="1:6" x14ac:dyDescent="0.35">
      <c r="A69" t="b">
        <v>1</v>
      </c>
      <c r="B69" t="s">
        <v>10</v>
      </c>
      <c r="C69" t="s">
        <v>8</v>
      </c>
      <c r="D69">
        <v>17.41</v>
      </c>
      <c r="E69">
        <v>1</v>
      </c>
      <c r="F69">
        <v>6</v>
      </c>
    </row>
    <row r="70" spans="1:6" x14ac:dyDescent="0.35">
      <c r="A70" t="b">
        <v>1</v>
      </c>
      <c r="B70" t="s">
        <v>11</v>
      </c>
      <c r="C70" t="s">
        <v>8</v>
      </c>
      <c r="D70">
        <v>17.41</v>
      </c>
      <c r="E70">
        <v>1</v>
      </c>
      <c r="F70">
        <v>6</v>
      </c>
    </row>
    <row r="71" spans="1:6" x14ac:dyDescent="0.35">
      <c r="A71" t="b">
        <v>1</v>
      </c>
      <c r="B71" t="s">
        <v>12</v>
      </c>
      <c r="C71" t="s">
        <v>8</v>
      </c>
      <c r="D71">
        <v>17.309999999999999</v>
      </c>
      <c r="E71">
        <v>1</v>
      </c>
      <c r="F71">
        <v>6</v>
      </c>
    </row>
    <row r="72" spans="1:6" x14ac:dyDescent="0.35">
      <c r="A72" t="b">
        <v>1</v>
      </c>
      <c r="B72" t="s">
        <v>13</v>
      </c>
      <c r="C72" t="s">
        <v>8</v>
      </c>
      <c r="D72">
        <v>17.32</v>
      </c>
      <c r="E72">
        <v>1</v>
      </c>
      <c r="F72">
        <v>6</v>
      </c>
    </row>
    <row r="73" spans="1:6" x14ac:dyDescent="0.35">
      <c r="A73" t="b">
        <v>1</v>
      </c>
      <c r="B73" t="s">
        <v>0</v>
      </c>
      <c r="C73" t="s">
        <v>49</v>
      </c>
      <c r="D73">
        <v>13.88</v>
      </c>
      <c r="E73">
        <v>2</v>
      </c>
      <c r="F73">
        <v>7</v>
      </c>
    </row>
    <row r="74" spans="1:6" x14ac:dyDescent="0.35">
      <c r="A74" t="b">
        <v>1</v>
      </c>
      <c r="B74" t="s">
        <v>2</v>
      </c>
      <c r="C74" t="s">
        <v>49</v>
      </c>
      <c r="D74">
        <v>13.98</v>
      </c>
      <c r="E74">
        <v>2</v>
      </c>
      <c r="F74">
        <v>7</v>
      </c>
    </row>
    <row r="75" spans="1:6" x14ac:dyDescent="0.35">
      <c r="A75" t="b">
        <v>1</v>
      </c>
      <c r="B75" t="s">
        <v>3</v>
      </c>
      <c r="C75" t="s">
        <v>49</v>
      </c>
      <c r="D75">
        <v>14.03</v>
      </c>
      <c r="E75">
        <v>2</v>
      </c>
      <c r="F75">
        <v>7</v>
      </c>
    </row>
    <row r="76" spans="1:6" x14ac:dyDescent="0.35">
      <c r="A76" t="b">
        <v>1</v>
      </c>
      <c r="B76" t="s">
        <v>4</v>
      </c>
      <c r="C76" t="s">
        <v>49</v>
      </c>
      <c r="D76">
        <v>13.96</v>
      </c>
      <c r="E76">
        <v>2</v>
      </c>
      <c r="F76">
        <v>7</v>
      </c>
    </row>
    <row r="77" spans="1:6" x14ac:dyDescent="0.35">
      <c r="A77" t="b">
        <v>1</v>
      </c>
      <c r="B77" t="s">
        <v>5</v>
      </c>
      <c r="C77" t="s">
        <v>49</v>
      </c>
      <c r="D77">
        <v>13.86</v>
      </c>
      <c r="E77">
        <v>2</v>
      </c>
      <c r="F77">
        <v>7</v>
      </c>
    </row>
    <row r="78" spans="1:6" x14ac:dyDescent="0.35">
      <c r="A78" t="b">
        <v>1</v>
      </c>
      <c r="B78" t="s">
        <v>6</v>
      </c>
      <c r="C78" t="s">
        <v>49</v>
      </c>
      <c r="D78">
        <v>13.98</v>
      </c>
      <c r="E78">
        <v>2</v>
      </c>
      <c r="F78">
        <v>7</v>
      </c>
    </row>
    <row r="79" spans="1:6" x14ac:dyDescent="0.35">
      <c r="A79" t="b">
        <v>1</v>
      </c>
      <c r="B79" t="s">
        <v>0</v>
      </c>
      <c r="C79" t="s">
        <v>1</v>
      </c>
      <c r="D79">
        <v>13.71</v>
      </c>
      <c r="E79">
        <v>1</v>
      </c>
      <c r="F79">
        <v>7</v>
      </c>
    </row>
    <row r="80" spans="1:6" x14ac:dyDescent="0.35">
      <c r="A80" t="b">
        <v>1</v>
      </c>
      <c r="B80" t="s">
        <v>2</v>
      </c>
      <c r="C80" t="s">
        <v>1</v>
      </c>
      <c r="D80">
        <v>13.89</v>
      </c>
      <c r="E80">
        <v>1</v>
      </c>
      <c r="F80">
        <v>7</v>
      </c>
    </row>
    <row r="81" spans="1:6" x14ac:dyDescent="0.35">
      <c r="A81" t="b">
        <v>1</v>
      </c>
      <c r="B81" t="s">
        <v>3</v>
      </c>
      <c r="C81" t="s">
        <v>1</v>
      </c>
      <c r="D81">
        <v>13.94</v>
      </c>
      <c r="E81">
        <v>1</v>
      </c>
      <c r="F81">
        <v>7</v>
      </c>
    </row>
    <row r="82" spans="1:6" x14ac:dyDescent="0.35">
      <c r="A82" t="b">
        <v>1</v>
      </c>
      <c r="B82" t="s">
        <v>4</v>
      </c>
      <c r="C82" t="s">
        <v>1</v>
      </c>
      <c r="D82">
        <v>14.06</v>
      </c>
      <c r="E82">
        <v>1</v>
      </c>
      <c r="F82">
        <v>7</v>
      </c>
    </row>
    <row r="83" spans="1:6" x14ac:dyDescent="0.35">
      <c r="A83" t="b">
        <v>1</v>
      </c>
      <c r="B83" t="s">
        <v>5</v>
      </c>
      <c r="C83" t="s">
        <v>1</v>
      </c>
      <c r="D83">
        <v>13.91</v>
      </c>
      <c r="E83">
        <v>1</v>
      </c>
      <c r="F83">
        <v>7</v>
      </c>
    </row>
    <row r="84" spans="1:6" x14ac:dyDescent="0.35">
      <c r="A84" t="b">
        <v>1</v>
      </c>
      <c r="B84" t="s">
        <v>6</v>
      </c>
      <c r="C84" t="s">
        <v>1</v>
      </c>
      <c r="D84">
        <v>13.79</v>
      </c>
      <c r="E84">
        <v>1</v>
      </c>
      <c r="F84">
        <v>7</v>
      </c>
    </row>
  </sheetData>
  <sortState ref="N2:Q85">
    <sortCondition ref="Q2:Q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FAM(salmon)</vt:lpstr>
      <vt:lpstr>Cy5 (chicken)</vt:lpstr>
      <vt:lpstr>VIC (m. nuclear)</vt:lpstr>
      <vt:lpstr>TEX (m. mito)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Kirtane  Anish Ajay</dc:creator>
  <cp:lastModifiedBy>Anish kumar</cp:lastModifiedBy>
  <dcterms:created xsi:type="dcterms:W3CDTF">2015-06-05T18:19:34Z</dcterms:created>
  <dcterms:modified xsi:type="dcterms:W3CDTF">2022-07-24T10:52:52Z</dcterms:modified>
</cp:coreProperties>
</file>