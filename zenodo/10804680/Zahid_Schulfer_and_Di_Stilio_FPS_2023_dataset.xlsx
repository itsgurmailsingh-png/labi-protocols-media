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mac/"/>
    </mc:Choice>
  </mc:AlternateContent>
  <xr:revisionPtr revIDLastSave="0" documentId="8_{EE9325BD-A4F6-9F48-8256-7068B4CD3BCE}" xr6:coauthVersionLast="47" xr6:coauthVersionMax="47" xr10:uidLastSave="{00000000-0000-0000-0000-000000000000}"/>
  <bookViews>
    <workbookView xWindow="0" yWindow="500" windowWidth="38400" windowHeight="21820" activeTab="9" xr2:uid="{00000000-000D-0000-FFFF-FFFF00000000}"/>
  </bookViews>
  <sheets>
    <sheet name="qPCR VIGS TthPMX" sheetId="1" r:id="rId1"/>
    <sheet name="qPCR VIGS PDS" sheetId="2" r:id="rId2"/>
    <sheet name="qPCR Tth Tissue expression" sheetId="3" r:id="rId3"/>
    <sheet name="qPCR Tcl, Tth sepal VIGS" sheetId="4" r:id="rId4"/>
    <sheet name="qPCR Tcl, Tth dissected" sheetId="5" r:id="rId5"/>
    <sheet name="Tth VIGS stomatal density" sheetId="6" r:id="rId6"/>
    <sheet name="Tth VIGS trichome height" sheetId="7" r:id="rId7"/>
    <sheet name="Tobacco Trichome density" sheetId="8" r:id="rId8"/>
    <sheet name="Tth VIGS RNA-seq validation" sheetId="9" r:id="rId9"/>
    <sheet name="RNA-seq Significant DEGs" sheetId="10" r:id="rId10"/>
  </sheets>
  <definedNames>
    <definedName name="_xlnm._FilterDatabase" localSheetId="9" hidden="1">'RNA-seq Significant DEGs'!$F$1:$F$1000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hZReVhWNGNZYbrAHW7J31q/p4AoQ=="/>
    </ext>
  </extLst>
</workbook>
</file>

<file path=xl/calcChain.xml><?xml version="1.0" encoding="utf-8"?>
<calcChain xmlns="http://schemas.openxmlformats.org/spreadsheetml/2006/main">
  <c r="F24" i="1" l="1"/>
  <c r="E24" i="1"/>
  <c r="G24" i="1" s="1"/>
  <c r="F23" i="1"/>
  <c r="E23" i="1"/>
  <c r="G23" i="1" s="1"/>
  <c r="G22" i="1"/>
  <c r="F22" i="1"/>
  <c r="E22" i="1"/>
  <c r="F21" i="1"/>
  <c r="E21" i="1"/>
  <c r="G21" i="1" s="1"/>
  <c r="F20" i="1"/>
  <c r="E20" i="1"/>
  <c r="G20" i="1" s="1"/>
  <c r="F19" i="1"/>
  <c r="E19" i="1"/>
  <c r="F18" i="1"/>
  <c r="E18" i="1"/>
  <c r="G18" i="1" s="1"/>
  <c r="G17" i="1"/>
  <c r="H17" i="1" s="1"/>
  <c r="F17" i="1"/>
  <c r="E17" i="1"/>
  <c r="F16" i="1"/>
  <c r="E16" i="1"/>
  <c r="G16" i="1" s="1"/>
  <c r="H15" i="1"/>
  <c r="G15" i="1"/>
  <c r="F15" i="1"/>
  <c r="E15" i="1"/>
  <c r="F14" i="1"/>
  <c r="E14" i="1"/>
  <c r="G14" i="1" s="1"/>
  <c r="H13" i="1" s="1"/>
  <c r="G13" i="1"/>
  <c r="F13" i="1"/>
  <c r="E13" i="1"/>
  <c r="F12" i="1"/>
  <c r="E12" i="1"/>
  <c r="G12" i="1" s="1"/>
  <c r="G11" i="1"/>
  <c r="F11" i="1"/>
  <c r="E11" i="1"/>
  <c r="F10" i="1"/>
  <c r="E10" i="1"/>
  <c r="G10" i="1" s="1"/>
  <c r="G9" i="1"/>
  <c r="F9" i="1"/>
  <c r="E9" i="1"/>
  <c r="F8" i="1"/>
  <c r="E8" i="1"/>
  <c r="G8" i="1" s="1"/>
  <c r="G7" i="1"/>
  <c r="F7" i="1"/>
  <c r="E7" i="1"/>
  <c r="F6" i="1"/>
  <c r="E6" i="1"/>
  <c r="G6" i="1" s="1"/>
  <c r="G5" i="1"/>
  <c r="F5" i="1"/>
  <c r="E5" i="1"/>
  <c r="F4" i="1"/>
  <c r="E4" i="1"/>
  <c r="G4" i="1" s="1"/>
  <c r="G3" i="1"/>
  <c r="F3" i="1"/>
  <c r="E3" i="1"/>
  <c r="K5" i="9"/>
  <c r="J5" i="9"/>
  <c r="K4" i="9"/>
  <c r="J4" i="9"/>
  <c r="K3" i="9"/>
  <c r="J3" i="9"/>
  <c r="F173" i="8"/>
  <c r="E173" i="8"/>
  <c r="D173" i="8"/>
  <c r="C173" i="8"/>
  <c r="B173" i="8"/>
  <c r="F161" i="8"/>
  <c r="E161" i="8"/>
  <c r="D161" i="8"/>
  <c r="C161" i="8"/>
  <c r="B161" i="8"/>
  <c r="F149" i="8"/>
  <c r="E149" i="8"/>
  <c r="D149" i="8"/>
  <c r="C149" i="8"/>
  <c r="B149" i="8"/>
  <c r="F137" i="8"/>
  <c r="E137" i="8"/>
  <c r="D137" i="8"/>
  <c r="C137" i="8"/>
  <c r="B137" i="8"/>
  <c r="F125" i="8"/>
  <c r="E125" i="8"/>
  <c r="D125" i="8"/>
  <c r="C125" i="8"/>
  <c r="B125" i="8"/>
  <c r="F113" i="8"/>
  <c r="E113" i="8"/>
  <c r="D113" i="8"/>
  <c r="C113" i="8"/>
  <c r="B113" i="8"/>
  <c r="F99" i="8"/>
  <c r="E99" i="8"/>
  <c r="D99" i="8"/>
  <c r="C99" i="8"/>
  <c r="B99" i="8"/>
  <c r="F87" i="8"/>
  <c r="E87" i="8"/>
  <c r="D87" i="8"/>
  <c r="C87" i="8"/>
  <c r="B87" i="8"/>
  <c r="F75" i="8"/>
  <c r="E75" i="8"/>
  <c r="D75" i="8"/>
  <c r="C75" i="8"/>
  <c r="B75" i="8"/>
  <c r="F63" i="8"/>
  <c r="E63" i="8"/>
  <c r="D63" i="8"/>
  <c r="C63" i="8"/>
  <c r="B63" i="8"/>
  <c r="F51" i="8"/>
  <c r="E51" i="8"/>
  <c r="D51" i="8"/>
  <c r="C51" i="8"/>
  <c r="B51" i="8"/>
  <c r="F39" i="8"/>
  <c r="E39" i="8"/>
  <c r="D39" i="8"/>
  <c r="C39" i="8"/>
  <c r="B39" i="8"/>
  <c r="F27" i="8"/>
  <c r="E27" i="8"/>
  <c r="D27" i="8"/>
  <c r="C27" i="8"/>
  <c r="B27" i="8"/>
  <c r="F15" i="8"/>
  <c r="E15" i="8"/>
  <c r="D15" i="8"/>
  <c r="C15" i="8"/>
  <c r="B15" i="8"/>
  <c r="H131" i="3"/>
  <c r="J131" i="3" s="1"/>
  <c r="G131" i="3"/>
  <c r="F131" i="3"/>
  <c r="G130" i="3"/>
  <c r="F130" i="3"/>
  <c r="H129" i="3"/>
  <c r="G129" i="3"/>
  <c r="F129" i="3"/>
  <c r="G128" i="3"/>
  <c r="F128" i="3"/>
  <c r="G127" i="3"/>
  <c r="F127" i="3"/>
  <c r="H127" i="3" s="1"/>
  <c r="G126" i="3"/>
  <c r="H126" i="3" s="1"/>
  <c r="F126" i="3"/>
  <c r="G125" i="3"/>
  <c r="F125" i="3"/>
  <c r="H125" i="3" s="1"/>
  <c r="J125" i="3" s="1"/>
  <c r="G124" i="3"/>
  <c r="F124" i="3"/>
  <c r="H124" i="3" s="1"/>
  <c r="J124" i="3" s="1"/>
  <c r="G123" i="3"/>
  <c r="F123" i="3"/>
  <c r="H123" i="3" s="1"/>
  <c r="G122" i="3"/>
  <c r="F122" i="3"/>
  <c r="H122" i="3" s="1"/>
  <c r="J122" i="3" s="1"/>
  <c r="G121" i="3"/>
  <c r="F121" i="3"/>
  <c r="G120" i="3"/>
  <c r="F120" i="3"/>
  <c r="H120" i="3" s="1"/>
  <c r="G119" i="3"/>
  <c r="H119" i="3" s="1"/>
  <c r="J119" i="3" s="1"/>
  <c r="F119" i="3"/>
  <c r="G118" i="3"/>
  <c r="F118" i="3"/>
  <c r="H118" i="3" s="1"/>
  <c r="J118" i="3" s="1"/>
  <c r="G117" i="3"/>
  <c r="F117" i="3"/>
  <c r="G116" i="3"/>
  <c r="H116" i="3" s="1"/>
  <c r="J116" i="3" s="1"/>
  <c r="F116" i="3"/>
  <c r="G115" i="3"/>
  <c r="F115" i="3"/>
  <c r="H115" i="3" s="1"/>
  <c r="J115" i="3" s="1"/>
  <c r="G114" i="3"/>
  <c r="F114" i="3"/>
  <c r="H114" i="3" s="1"/>
  <c r="H112" i="3"/>
  <c r="J112" i="3" s="1"/>
  <c r="G112" i="3"/>
  <c r="F112" i="3"/>
  <c r="H111" i="3"/>
  <c r="J111" i="3" s="1"/>
  <c r="G111" i="3"/>
  <c r="F111" i="3"/>
  <c r="G110" i="3"/>
  <c r="F110" i="3"/>
  <c r="G109" i="3"/>
  <c r="F109" i="3"/>
  <c r="G108" i="3"/>
  <c r="F108" i="3"/>
  <c r="H108" i="3" s="1"/>
  <c r="J108" i="3" s="1"/>
  <c r="G107" i="3"/>
  <c r="F107" i="3"/>
  <c r="H107" i="3" s="1"/>
  <c r="G106" i="3"/>
  <c r="F106" i="3"/>
  <c r="H106" i="3" s="1"/>
  <c r="J106" i="3" s="1"/>
  <c r="G105" i="3"/>
  <c r="F105" i="3"/>
  <c r="H105" i="3" s="1"/>
  <c r="J105" i="3" s="1"/>
  <c r="G104" i="3"/>
  <c r="F104" i="3"/>
  <c r="G103" i="3"/>
  <c r="F103" i="3"/>
  <c r="G102" i="3"/>
  <c r="H102" i="3" s="1"/>
  <c r="J102" i="3" s="1"/>
  <c r="F102" i="3"/>
  <c r="G101" i="3"/>
  <c r="F101" i="3"/>
  <c r="H101" i="3" s="1"/>
  <c r="G100" i="3"/>
  <c r="F100" i="3"/>
  <c r="H100" i="3" s="1"/>
  <c r="J100" i="3" s="1"/>
  <c r="G99" i="3"/>
  <c r="H99" i="3" s="1"/>
  <c r="J99" i="3" s="1"/>
  <c r="F99" i="3"/>
  <c r="G98" i="3"/>
  <c r="F98" i="3"/>
  <c r="G97" i="3"/>
  <c r="F97" i="3"/>
  <c r="H97" i="3" s="1"/>
  <c r="J97" i="3" s="1"/>
  <c r="G96" i="3"/>
  <c r="F96" i="3"/>
  <c r="H96" i="3" s="1"/>
  <c r="J96" i="3" s="1"/>
  <c r="G95" i="3"/>
  <c r="F95" i="3"/>
  <c r="H93" i="3"/>
  <c r="J93" i="3" s="1"/>
  <c r="G93" i="3"/>
  <c r="F93" i="3"/>
  <c r="G92" i="3"/>
  <c r="F92" i="3"/>
  <c r="H91" i="3"/>
  <c r="G91" i="3"/>
  <c r="F91" i="3"/>
  <c r="G90" i="3"/>
  <c r="F90" i="3"/>
  <c r="G89" i="3"/>
  <c r="F89" i="3"/>
  <c r="H89" i="3" s="1"/>
  <c r="G88" i="3"/>
  <c r="H88" i="3" s="1"/>
  <c r="F88" i="3"/>
  <c r="G87" i="3"/>
  <c r="F87" i="3"/>
  <c r="H87" i="3" s="1"/>
  <c r="J87" i="3" s="1"/>
  <c r="G86" i="3"/>
  <c r="F86" i="3"/>
  <c r="H86" i="3" s="1"/>
  <c r="J86" i="3" s="1"/>
  <c r="G85" i="3"/>
  <c r="F85" i="3"/>
  <c r="H85" i="3" s="1"/>
  <c r="G84" i="3"/>
  <c r="F84" i="3"/>
  <c r="H84" i="3" s="1"/>
  <c r="J84" i="3" s="1"/>
  <c r="H83" i="3"/>
  <c r="J83" i="3" s="1"/>
  <c r="G83" i="3"/>
  <c r="F83" i="3"/>
  <c r="G82" i="3"/>
  <c r="F82" i="3"/>
  <c r="H81" i="3"/>
  <c r="J81" i="3" s="1"/>
  <c r="G81" i="3"/>
  <c r="F81" i="3"/>
  <c r="G80" i="3"/>
  <c r="F80" i="3"/>
  <c r="G79" i="3"/>
  <c r="F79" i="3"/>
  <c r="H79" i="3" s="1"/>
  <c r="G78" i="3"/>
  <c r="F78" i="3"/>
  <c r="H78" i="3" s="1"/>
  <c r="J78" i="3" s="1"/>
  <c r="G77" i="3"/>
  <c r="F77" i="3"/>
  <c r="H77" i="3" s="1"/>
  <c r="J77" i="3" s="1"/>
  <c r="G76" i="3"/>
  <c r="H76" i="3" s="1"/>
  <c r="I76" i="3" s="1"/>
  <c r="F76" i="3"/>
  <c r="H74" i="3"/>
  <c r="J74" i="3" s="1"/>
  <c r="G74" i="3"/>
  <c r="F74" i="3"/>
  <c r="G73" i="3"/>
  <c r="F73" i="3"/>
  <c r="H73" i="3" s="1"/>
  <c r="J73" i="3" s="1"/>
  <c r="G72" i="3"/>
  <c r="F72" i="3"/>
  <c r="H72" i="3" s="1"/>
  <c r="G71" i="3"/>
  <c r="F71" i="3"/>
  <c r="G70" i="3"/>
  <c r="F70" i="3"/>
  <c r="H70" i="3" s="1"/>
  <c r="J70" i="3" s="1"/>
  <c r="G69" i="3"/>
  <c r="H69" i="3" s="1"/>
  <c r="F69" i="3"/>
  <c r="G68" i="3"/>
  <c r="F68" i="3"/>
  <c r="H68" i="3" s="1"/>
  <c r="J68" i="3" s="1"/>
  <c r="G67" i="3"/>
  <c r="F67" i="3"/>
  <c r="H67" i="3" s="1"/>
  <c r="J67" i="3" s="1"/>
  <c r="G66" i="3"/>
  <c r="F66" i="3"/>
  <c r="H66" i="3" s="1"/>
  <c r="G65" i="3"/>
  <c r="F65" i="3"/>
  <c r="H65" i="3" s="1"/>
  <c r="J65" i="3" s="1"/>
  <c r="G64" i="3"/>
  <c r="F64" i="3"/>
  <c r="H64" i="3" s="1"/>
  <c r="J64" i="3" s="1"/>
  <c r="H63" i="3"/>
  <c r="G63" i="3"/>
  <c r="F63" i="3"/>
  <c r="G62" i="3"/>
  <c r="F62" i="3"/>
  <c r="G61" i="3"/>
  <c r="F61" i="3"/>
  <c r="H61" i="3" s="1"/>
  <c r="G60" i="3"/>
  <c r="H60" i="3" s="1"/>
  <c r="F60" i="3"/>
  <c r="G59" i="3"/>
  <c r="F59" i="3"/>
  <c r="H59" i="3" s="1"/>
  <c r="J59" i="3" s="1"/>
  <c r="G58" i="3"/>
  <c r="F58" i="3"/>
  <c r="H58" i="3" s="1"/>
  <c r="G57" i="3"/>
  <c r="H57" i="3" s="1"/>
  <c r="F57" i="3"/>
  <c r="G54" i="3"/>
  <c r="F54" i="3"/>
  <c r="H54" i="3" s="1"/>
  <c r="J54" i="3" s="1"/>
  <c r="G53" i="3"/>
  <c r="F53" i="3"/>
  <c r="H53" i="3" s="1"/>
  <c r="J53" i="3" s="1"/>
  <c r="G52" i="3"/>
  <c r="F52" i="3"/>
  <c r="H52" i="3" s="1"/>
  <c r="G51" i="3"/>
  <c r="F51" i="3"/>
  <c r="H51" i="3" s="1"/>
  <c r="J51" i="3" s="1"/>
  <c r="H50" i="3"/>
  <c r="J50" i="3" s="1"/>
  <c r="G50" i="3"/>
  <c r="F50" i="3"/>
  <c r="G49" i="3"/>
  <c r="F49" i="3"/>
  <c r="H48" i="3"/>
  <c r="J48" i="3" s="1"/>
  <c r="G48" i="3"/>
  <c r="F48" i="3"/>
  <c r="G47" i="3"/>
  <c r="F47" i="3"/>
  <c r="G46" i="3"/>
  <c r="F46" i="3"/>
  <c r="H46" i="3" s="1"/>
  <c r="G45" i="3"/>
  <c r="F45" i="3"/>
  <c r="H45" i="3" s="1"/>
  <c r="J45" i="3" s="1"/>
  <c r="G44" i="3"/>
  <c r="F44" i="3"/>
  <c r="H44" i="3" s="1"/>
  <c r="J44" i="3" s="1"/>
  <c r="G43" i="3"/>
  <c r="F43" i="3"/>
  <c r="H43" i="3" s="1"/>
  <c r="G42" i="3"/>
  <c r="F42" i="3"/>
  <c r="H42" i="3" s="1"/>
  <c r="J42" i="3" s="1"/>
  <c r="G41" i="3"/>
  <c r="F41" i="3"/>
  <c r="G40" i="3"/>
  <c r="F40" i="3"/>
  <c r="H40" i="3" s="1"/>
  <c r="G39" i="3"/>
  <c r="H39" i="3" s="1"/>
  <c r="J39" i="3" s="1"/>
  <c r="F39" i="3"/>
  <c r="G38" i="3"/>
  <c r="H38" i="3" s="1"/>
  <c r="J38" i="3" s="1"/>
  <c r="F38" i="3"/>
  <c r="G37" i="3"/>
  <c r="F37" i="3"/>
  <c r="H37" i="3" s="1"/>
  <c r="G34" i="3"/>
  <c r="H34" i="3" s="1"/>
  <c r="J34" i="3" s="1"/>
  <c r="F34" i="3"/>
  <c r="G33" i="3"/>
  <c r="H33" i="3" s="1"/>
  <c r="J33" i="3" s="1"/>
  <c r="F33" i="3"/>
  <c r="G32" i="3"/>
  <c r="F32" i="3"/>
  <c r="H32" i="3" s="1"/>
  <c r="G31" i="3"/>
  <c r="H31" i="3" s="1"/>
  <c r="J31" i="3" s="1"/>
  <c r="F31" i="3"/>
  <c r="H30" i="3"/>
  <c r="J30" i="3" s="1"/>
  <c r="G30" i="3"/>
  <c r="F30" i="3"/>
  <c r="G29" i="3"/>
  <c r="F29" i="3"/>
  <c r="H29" i="3" s="1"/>
  <c r="I29" i="3" s="1"/>
  <c r="G28" i="3"/>
  <c r="F28" i="3"/>
  <c r="H28" i="3" s="1"/>
  <c r="J28" i="3" s="1"/>
  <c r="G27" i="3"/>
  <c r="F27" i="3"/>
  <c r="G26" i="3"/>
  <c r="F26" i="3"/>
  <c r="H26" i="3" s="1"/>
  <c r="H25" i="3"/>
  <c r="J25" i="3" s="1"/>
  <c r="G25" i="3"/>
  <c r="F25" i="3"/>
  <c r="G24" i="3"/>
  <c r="H24" i="3" s="1"/>
  <c r="J24" i="3" s="1"/>
  <c r="F24" i="3"/>
  <c r="G23" i="3"/>
  <c r="F23" i="3"/>
  <c r="H23" i="3" s="1"/>
  <c r="G22" i="3"/>
  <c r="F22" i="3"/>
  <c r="H22" i="3" s="1"/>
  <c r="J22" i="3" s="1"/>
  <c r="G21" i="3"/>
  <c r="F21" i="3"/>
  <c r="H21" i="3" s="1"/>
  <c r="J21" i="3" s="1"/>
  <c r="G20" i="3"/>
  <c r="H20" i="3" s="1"/>
  <c r="F20" i="3"/>
  <c r="G19" i="3"/>
  <c r="F19" i="3"/>
  <c r="H19" i="3" s="1"/>
  <c r="J19" i="3" s="1"/>
  <c r="G18" i="3"/>
  <c r="F18" i="3"/>
  <c r="H18" i="3" s="1"/>
  <c r="J18" i="3" s="1"/>
  <c r="G17" i="3"/>
  <c r="H17" i="3" s="1"/>
  <c r="F17" i="3"/>
  <c r="G14" i="3"/>
  <c r="F14" i="3"/>
  <c r="G13" i="3"/>
  <c r="F13" i="3"/>
  <c r="I12" i="3"/>
  <c r="L12" i="3" s="1"/>
  <c r="G12" i="3"/>
  <c r="F12" i="3"/>
  <c r="G11" i="3"/>
  <c r="F11" i="3"/>
  <c r="K10" i="3"/>
  <c r="G10" i="3"/>
  <c r="F10" i="3"/>
  <c r="K9" i="3"/>
  <c r="I9" i="3"/>
  <c r="K12" i="3" s="1"/>
  <c r="G9" i="3"/>
  <c r="F9" i="3"/>
  <c r="K8" i="3"/>
  <c r="G8" i="3"/>
  <c r="F8" i="3"/>
  <c r="G7" i="3"/>
  <c r="F7" i="3"/>
  <c r="G6" i="3"/>
  <c r="F6" i="3"/>
  <c r="H6" i="3" s="1"/>
  <c r="I6" i="3" s="1"/>
  <c r="G5" i="3"/>
  <c r="F5" i="3"/>
  <c r="G4" i="3"/>
  <c r="F4" i="3"/>
  <c r="H4" i="3" s="1"/>
  <c r="J4" i="3" s="1"/>
  <c r="K4" i="3" s="1"/>
  <c r="K3" i="3"/>
  <c r="G3" i="3"/>
  <c r="F3" i="3"/>
  <c r="H3" i="3" s="1"/>
  <c r="F20" i="2"/>
  <c r="E20" i="2"/>
  <c r="F19" i="2"/>
  <c r="E19" i="2"/>
  <c r="G19" i="2" s="1"/>
  <c r="F18" i="2"/>
  <c r="E18" i="2"/>
  <c r="G18" i="2" s="1"/>
  <c r="F17" i="2"/>
  <c r="E17" i="2"/>
  <c r="F16" i="2"/>
  <c r="E16" i="2"/>
  <c r="F15" i="2"/>
  <c r="E15" i="2"/>
  <c r="F14" i="2"/>
  <c r="E14" i="2"/>
  <c r="G14" i="2" s="1"/>
  <c r="F13" i="2"/>
  <c r="E13" i="2"/>
  <c r="G13" i="2" s="1"/>
  <c r="F12" i="2"/>
  <c r="E12" i="2"/>
  <c r="G12" i="2" s="1"/>
  <c r="H12" i="2" s="1"/>
  <c r="F11" i="2"/>
  <c r="E11" i="2"/>
  <c r="F10" i="2"/>
  <c r="E10" i="2"/>
  <c r="F9" i="2"/>
  <c r="E9" i="2"/>
  <c r="F8" i="2"/>
  <c r="E8" i="2"/>
  <c r="G8" i="2" s="1"/>
  <c r="F7" i="2"/>
  <c r="E7" i="2"/>
  <c r="G7" i="2" s="1"/>
  <c r="F6" i="2"/>
  <c r="E6" i="2"/>
  <c r="F5" i="2"/>
  <c r="E5" i="2"/>
  <c r="F4" i="2"/>
  <c r="E4" i="2"/>
  <c r="G4" i="2" s="1"/>
  <c r="H4" i="2" s="1"/>
  <c r="F3" i="2"/>
  <c r="E3" i="2"/>
  <c r="G3" i="2" s="1"/>
  <c r="F25" i="1"/>
  <c r="E25" i="1"/>
  <c r="G25" i="1" s="1"/>
  <c r="G20" i="2" l="1"/>
  <c r="G9" i="2"/>
  <c r="G16" i="2"/>
  <c r="G10" i="2"/>
  <c r="G6" i="2"/>
  <c r="H6" i="2" s="1"/>
  <c r="G15" i="2"/>
  <c r="H13" i="2" s="1"/>
  <c r="I37" i="3"/>
  <c r="H49" i="3"/>
  <c r="I49" i="3" s="1"/>
  <c r="H82" i="3"/>
  <c r="H92" i="3"/>
  <c r="J92" i="3" s="1"/>
  <c r="H103" i="3"/>
  <c r="J103" i="3" s="1"/>
  <c r="H110" i="3"/>
  <c r="I110" i="3" s="1"/>
  <c r="H130" i="3"/>
  <c r="J130" i="3" s="1"/>
  <c r="I114" i="3"/>
  <c r="I63" i="3"/>
  <c r="K14" i="3"/>
  <c r="H104" i="3"/>
  <c r="J104" i="3" s="1"/>
  <c r="H117" i="3"/>
  <c r="I117" i="3" s="1"/>
  <c r="I91" i="3"/>
  <c r="H5" i="3"/>
  <c r="J5" i="3" s="1"/>
  <c r="K5" i="3" s="1"/>
  <c r="H27" i="3"/>
  <c r="H41" i="3"/>
  <c r="J41" i="3" s="1"/>
  <c r="H47" i="3"/>
  <c r="J47" i="3" s="1"/>
  <c r="H62" i="3"/>
  <c r="J62" i="3" s="1"/>
  <c r="H71" i="3"/>
  <c r="J71" i="3" s="1"/>
  <c r="H80" i="3"/>
  <c r="J80" i="3" s="1"/>
  <c r="H90" i="3"/>
  <c r="J90" i="3" s="1"/>
  <c r="H121" i="3"/>
  <c r="J121" i="3" s="1"/>
  <c r="H128" i="3"/>
  <c r="J128" i="3" s="1"/>
  <c r="I17" i="3"/>
  <c r="H98" i="3"/>
  <c r="H95" i="3"/>
  <c r="I95" i="3" s="1"/>
  <c r="H109" i="3"/>
  <c r="J109" i="3" s="1"/>
  <c r="G11" i="2"/>
  <c r="G17" i="2"/>
  <c r="G5" i="2"/>
  <c r="H5" i="2" s="1"/>
  <c r="H10" i="2"/>
  <c r="H18" i="1"/>
  <c r="K18" i="1" s="1"/>
  <c r="K13" i="1"/>
  <c r="K24" i="1"/>
  <c r="K22" i="1"/>
  <c r="K11" i="1"/>
  <c r="K9" i="1"/>
  <c r="K7" i="1"/>
  <c r="K5" i="1"/>
  <c r="K3" i="1"/>
  <c r="K23" i="1"/>
  <c r="K21" i="1"/>
  <c r="K12" i="1"/>
  <c r="K10" i="1"/>
  <c r="K8" i="1"/>
  <c r="K6" i="1"/>
  <c r="K4" i="1"/>
  <c r="H14" i="1"/>
  <c r="H20" i="1"/>
  <c r="K20" i="1" s="1"/>
  <c r="G19" i="1"/>
  <c r="H16" i="1" s="1"/>
  <c r="K16" i="1" s="1"/>
  <c r="I60" i="3"/>
  <c r="J60" i="3" s="1"/>
  <c r="J61" i="3"/>
  <c r="I126" i="3"/>
  <c r="J127" i="3"/>
  <c r="I40" i="3"/>
  <c r="I104" i="3"/>
  <c r="J89" i="3"/>
  <c r="H9" i="2"/>
  <c r="J6" i="3"/>
  <c r="K6" i="3" s="1"/>
  <c r="L6" i="3"/>
  <c r="J20" i="3"/>
  <c r="I20" i="3"/>
  <c r="I26" i="3"/>
  <c r="J27" i="3"/>
  <c r="J29" i="3"/>
  <c r="I32" i="3"/>
  <c r="K42" i="3"/>
  <c r="I72" i="3"/>
  <c r="I98" i="3"/>
  <c r="H3" i="2"/>
  <c r="H7" i="2"/>
  <c r="I23" i="3"/>
  <c r="K53" i="3" s="1"/>
  <c r="I57" i="3"/>
  <c r="J58" i="3"/>
  <c r="I43" i="3"/>
  <c r="J43" i="3"/>
  <c r="I52" i="3"/>
  <c r="J52" i="3" s="1"/>
  <c r="K52" i="3" s="1"/>
  <c r="J63" i="3"/>
  <c r="I66" i="3"/>
  <c r="I85" i="3"/>
  <c r="J85" i="3" s="1"/>
  <c r="J91" i="3"/>
  <c r="I123" i="3"/>
  <c r="H8" i="2"/>
  <c r="H11" i="2"/>
  <c r="I69" i="3"/>
  <c r="I82" i="3"/>
  <c r="I46" i="3"/>
  <c r="J46" i="3" s="1"/>
  <c r="I79" i="3"/>
  <c r="K11" i="3"/>
  <c r="K13" i="3"/>
  <c r="K7" i="3"/>
  <c r="L9" i="3"/>
  <c r="I129" i="3"/>
  <c r="H16" i="2" l="1"/>
  <c r="K11" i="2" s="1"/>
  <c r="H18" i="2"/>
  <c r="K5" i="2"/>
  <c r="K14" i="2"/>
  <c r="K18" i="2"/>
  <c r="K16" i="2"/>
  <c r="K17" i="2"/>
  <c r="I120" i="3"/>
  <c r="L117" i="3" s="1"/>
  <c r="L123" i="3"/>
  <c r="K89" i="3"/>
  <c r="J82" i="3"/>
  <c r="I101" i="3"/>
  <c r="K22" i="3"/>
  <c r="L126" i="3"/>
  <c r="I88" i="3"/>
  <c r="I107" i="3"/>
  <c r="I3" i="3"/>
  <c r="L3" i="3" s="1"/>
  <c r="K7" i="2"/>
  <c r="K13" i="2"/>
  <c r="K19" i="2"/>
  <c r="H19" i="1"/>
  <c r="K29" i="3"/>
  <c r="K41" i="3"/>
  <c r="K9" i="2"/>
  <c r="J79" i="3"/>
  <c r="K79" i="3" s="1"/>
  <c r="J23" i="3"/>
  <c r="K23" i="3" s="1"/>
  <c r="L29" i="3"/>
  <c r="K46" i="3"/>
  <c r="K38" i="3"/>
  <c r="K45" i="3"/>
  <c r="K30" i="3"/>
  <c r="L26" i="3"/>
  <c r="J40" i="3"/>
  <c r="K40" i="3" s="1"/>
  <c r="L40" i="3"/>
  <c r="K43" i="3"/>
  <c r="K33" i="3"/>
  <c r="J72" i="3"/>
  <c r="K28" i="3"/>
  <c r="K3" i="2"/>
  <c r="L20" i="3"/>
  <c r="L37" i="3"/>
  <c r="J123" i="3"/>
  <c r="K123" i="3" s="1"/>
  <c r="K48" i="3"/>
  <c r="J26" i="3"/>
  <c r="K26" i="3" s="1"/>
  <c r="L46" i="3"/>
  <c r="J66" i="3"/>
  <c r="K18" i="3"/>
  <c r="K39" i="3"/>
  <c r="K6" i="2"/>
  <c r="K50" i="3"/>
  <c r="J107" i="3"/>
  <c r="K107" i="3" s="1"/>
  <c r="J117" i="3"/>
  <c r="K27" i="3"/>
  <c r="K25" i="1"/>
  <c r="L43" i="3"/>
  <c r="K20" i="3"/>
  <c r="K34" i="3"/>
  <c r="K21" i="3"/>
  <c r="K54" i="3"/>
  <c r="K24" i="3"/>
  <c r="L32" i="3"/>
  <c r="K47" i="3"/>
  <c r="K104" i="3"/>
  <c r="K37" i="3"/>
  <c r="L23" i="3"/>
  <c r="K17" i="3"/>
  <c r="J110" i="3"/>
  <c r="J69" i="3"/>
  <c r="K69" i="3" s="1"/>
  <c r="K12" i="2"/>
  <c r="K4" i="2"/>
  <c r="K10" i="2"/>
  <c r="L49" i="3"/>
  <c r="J49" i="3"/>
  <c r="K49" i="3" s="1"/>
  <c r="J126" i="3"/>
  <c r="J88" i="3"/>
  <c r="K88" i="3" s="1"/>
  <c r="K31" i="3"/>
  <c r="J129" i="3"/>
  <c r="K129" i="3" s="1"/>
  <c r="L52" i="3"/>
  <c r="K25" i="3"/>
  <c r="K20" i="2"/>
  <c r="K57" i="3"/>
  <c r="K76" i="3"/>
  <c r="J98" i="3"/>
  <c r="K98" i="3" s="1"/>
  <c r="K51" i="3"/>
  <c r="L17" i="3"/>
  <c r="J32" i="3"/>
  <c r="K32" i="3" s="1"/>
  <c r="K90" i="3"/>
  <c r="K44" i="3"/>
  <c r="K15" i="2"/>
  <c r="L104" i="3"/>
  <c r="K127" i="3"/>
  <c r="K19" i="3"/>
  <c r="K8" i="2" l="1"/>
  <c r="L66" i="3"/>
  <c r="L79" i="3"/>
  <c r="L95" i="3"/>
  <c r="K80" i="3"/>
  <c r="K60" i="3"/>
  <c r="K114" i="3"/>
  <c r="L69" i="3"/>
  <c r="L129" i="3"/>
  <c r="L57" i="3"/>
  <c r="K97" i="3"/>
  <c r="K100" i="3"/>
  <c r="K59" i="3"/>
  <c r="K115" i="3"/>
  <c r="K65" i="3"/>
  <c r="K96" i="3"/>
  <c r="K102" i="3"/>
  <c r="K128" i="3"/>
  <c r="K74" i="3"/>
  <c r="K105" i="3"/>
  <c r="K78" i="3"/>
  <c r="K112" i="3"/>
  <c r="L76" i="3"/>
  <c r="K86" i="3"/>
  <c r="K130" i="3"/>
  <c r="K111" i="3"/>
  <c r="K77" i="3"/>
  <c r="K99" i="3"/>
  <c r="L114" i="3"/>
  <c r="K68" i="3"/>
  <c r="K122" i="3"/>
  <c r="K125" i="3"/>
  <c r="K119" i="3"/>
  <c r="K71" i="3"/>
  <c r="L91" i="3"/>
  <c r="K83" i="3"/>
  <c r="K106" i="3"/>
  <c r="K62" i="3"/>
  <c r="K93" i="3"/>
  <c r="K84" i="3"/>
  <c r="J120" i="3"/>
  <c r="K120" i="3" s="1"/>
  <c r="K109" i="3"/>
  <c r="K81" i="3"/>
  <c r="K116" i="3"/>
  <c r="K92" i="3"/>
  <c r="L63" i="3"/>
  <c r="K64" i="3"/>
  <c r="K108" i="3"/>
  <c r="K87" i="3"/>
  <c r="K73" i="3"/>
  <c r="K67" i="3"/>
  <c r="K70" i="3"/>
  <c r="K124" i="3"/>
  <c r="K103" i="3"/>
  <c r="K91" i="3"/>
  <c r="L110" i="3"/>
  <c r="K63" i="3"/>
  <c r="K126" i="3"/>
  <c r="K66" i="3"/>
  <c r="L107" i="3"/>
  <c r="K72" i="3"/>
  <c r="L88" i="3"/>
  <c r="L85" i="3"/>
  <c r="L82" i="3"/>
  <c r="K121" i="3"/>
  <c r="J101" i="3"/>
  <c r="K101" i="3" s="1"/>
  <c r="L101" i="3"/>
  <c r="K95" i="3"/>
  <c r="K110" i="3"/>
  <c r="K131" i="3"/>
  <c r="K82" i="3"/>
  <c r="L120" i="3"/>
  <c r="L60" i="3"/>
  <c r="K118" i="3"/>
  <c r="L98" i="3"/>
  <c r="K117" i="3"/>
  <c r="L72" i="3"/>
  <c r="K58" i="3"/>
  <c r="K61" i="3"/>
  <c r="K85" i="3"/>
</calcChain>
</file>

<file path=xl/sharedStrings.xml><?xml version="1.0" encoding="utf-8"?>
<sst xmlns="http://schemas.openxmlformats.org/spreadsheetml/2006/main" count="1227" uniqueCount="320">
  <si>
    <t>Average CT</t>
  </si>
  <si>
    <t>Relative expression</t>
  </si>
  <si>
    <t>Expression normalized to EV</t>
  </si>
  <si>
    <t>Graph</t>
  </si>
  <si>
    <t>Treatment</t>
  </si>
  <si>
    <t>TthPMX</t>
  </si>
  <si>
    <t>Actin</t>
  </si>
  <si>
    <t>EEF1a</t>
  </si>
  <si>
    <t>2 -ΔΔCT Actin</t>
  </si>
  <si>
    <t>2 -ΔΔ CT EEF1a</t>
  </si>
  <si>
    <t>Geomean</t>
  </si>
  <si>
    <t>Bio-replicate average (green)</t>
  </si>
  <si>
    <t>Sample</t>
  </si>
  <si>
    <t>Gene expression</t>
  </si>
  <si>
    <t>Expression</t>
  </si>
  <si>
    <t>PDS 27</t>
  </si>
  <si>
    <t>TRV-EV</t>
  </si>
  <si>
    <t>PDS 25</t>
  </si>
  <si>
    <t>Untreated</t>
  </si>
  <si>
    <t>PDS 24</t>
  </si>
  <si>
    <t>PDS 33</t>
  </si>
  <si>
    <t>TRV-ML2</t>
  </si>
  <si>
    <t>PDS 42</t>
  </si>
  <si>
    <t>PDS 41</t>
  </si>
  <si>
    <t>PDS 17</t>
  </si>
  <si>
    <t>PDS 19</t>
  </si>
  <si>
    <t>PDS 3</t>
  </si>
  <si>
    <t>PDS 18</t>
  </si>
  <si>
    <t>WT 33</t>
  </si>
  <si>
    <t>WT avg</t>
  </si>
  <si>
    <t>WT 7</t>
  </si>
  <si>
    <t>WT 8</t>
  </si>
  <si>
    <t>EV 2</t>
  </si>
  <si>
    <t>EV avg</t>
  </si>
  <si>
    <t>EV 5</t>
  </si>
  <si>
    <t>EV 7</t>
  </si>
  <si>
    <t>EV 1</t>
  </si>
  <si>
    <t>EV11</t>
  </si>
  <si>
    <t>M18</t>
  </si>
  <si>
    <t>M9</t>
  </si>
  <si>
    <t>M25</t>
  </si>
  <si>
    <t>M39</t>
  </si>
  <si>
    <t xml:space="preserve">TthPMX </t>
  </si>
  <si>
    <t>ACTIN</t>
  </si>
  <si>
    <t>2 -ΔΔ CT Actin</t>
  </si>
  <si>
    <t xml:space="preserve">Geometric Mean </t>
  </si>
  <si>
    <t>Relative gene expression</t>
  </si>
  <si>
    <t>Mock Treated</t>
  </si>
  <si>
    <t>Treated</t>
  </si>
  <si>
    <t>TE 2</t>
  </si>
  <si>
    <t>TE 5</t>
  </si>
  <si>
    <t>TE 7</t>
  </si>
  <si>
    <t>TE 1</t>
  </si>
  <si>
    <t>TE11</t>
  </si>
  <si>
    <t>Gene name</t>
  </si>
  <si>
    <t>Sample type</t>
  </si>
  <si>
    <t>ML2</t>
  </si>
  <si>
    <t>Expression relative to highest paralog</t>
  </si>
  <si>
    <t>Leaf</t>
  </si>
  <si>
    <t>SEP</t>
  </si>
  <si>
    <t>CA1</t>
  </si>
  <si>
    <t>CA2</t>
  </si>
  <si>
    <t>CA3</t>
  </si>
  <si>
    <t>STA</t>
  </si>
  <si>
    <t>T.dioicum</t>
  </si>
  <si>
    <t>ThdiPMX1a</t>
  </si>
  <si>
    <t>FL1</t>
  </si>
  <si>
    <t>FL2</t>
  </si>
  <si>
    <t>FL3</t>
  </si>
  <si>
    <t>FSEP1</t>
  </si>
  <si>
    <t>FSEP2</t>
  </si>
  <si>
    <t>FSEP3</t>
  </si>
  <si>
    <t>ML1</t>
  </si>
  <si>
    <t>ML3</t>
  </si>
  <si>
    <t>MSEP1</t>
  </si>
  <si>
    <t>MSEP2</t>
  </si>
  <si>
    <t>MSEP3</t>
  </si>
  <si>
    <t>STA1</t>
  </si>
  <si>
    <t>STA2</t>
  </si>
  <si>
    <t>STA3</t>
  </si>
  <si>
    <t>ThdiPMX1b</t>
  </si>
  <si>
    <t>T.dasycarpum</t>
  </si>
  <si>
    <t>TdaPMX1b.1</t>
  </si>
  <si>
    <t>TdaPMX1a</t>
  </si>
  <si>
    <t>TdaPMX2b</t>
  </si>
  <si>
    <t>TdaPMX1b.2</t>
  </si>
  <si>
    <t xml:space="preserve">Expression (2 -ΔΔ CT) relative to EV </t>
  </si>
  <si>
    <t>Expression (2 -ΔΔ CT) relative to EV</t>
  </si>
  <si>
    <t>Mock treated</t>
  </si>
  <si>
    <t>2 -ΔΔ CT TthPMX</t>
  </si>
  <si>
    <t>Relative expression to mock</t>
  </si>
  <si>
    <t>Mock</t>
  </si>
  <si>
    <t xml:space="preserve">Treated </t>
  </si>
  <si>
    <t>Untreated average</t>
  </si>
  <si>
    <t>Mock average</t>
  </si>
  <si>
    <t xml:space="preserve">Treated average </t>
  </si>
  <si>
    <t>2 -ΔΔ CT TclPMX</t>
  </si>
  <si>
    <t>AVG of bioreps</t>
  </si>
  <si>
    <t>Expression relative to Mock</t>
  </si>
  <si>
    <t>Sepal</t>
  </si>
  <si>
    <t>Stamen</t>
  </si>
  <si>
    <t>Carpel</t>
  </si>
  <si>
    <t>Raw data</t>
  </si>
  <si>
    <t>Bio-rep AVG</t>
  </si>
  <si>
    <t>Relative expression to highest expressing organ</t>
  </si>
  <si>
    <t>EXP relative to T.th</t>
  </si>
  <si>
    <t>Quadrant</t>
  </si>
  <si>
    <t>Stomatal density 1mmx1mm</t>
  </si>
  <si>
    <t>Density Avg</t>
  </si>
  <si>
    <t>Average</t>
  </si>
  <si>
    <t>Top</t>
  </si>
  <si>
    <t>Mid</t>
  </si>
  <si>
    <t>Base</t>
  </si>
  <si>
    <t>VIGS</t>
  </si>
  <si>
    <t>EV</t>
  </si>
  <si>
    <t>Mock1-1-top</t>
  </si>
  <si>
    <t>Mock1-2-top</t>
  </si>
  <si>
    <t>Mock1-3-top</t>
  </si>
  <si>
    <t>Mock1-1mid</t>
  </si>
  <si>
    <t>Mock1-2mid</t>
  </si>
  <si>
    <t>Mock1-3mid</t>
  </si>
  <si>
    <t>Mock1-1base</t>
  </si>
  <si>
    <t>Mock1-2base</t>
  </si>
  <si>
    <t>Mock1-3base</t>
  </si>
  <si>
    <t>Mock2base</t>
  </si>
  <si>
    <t>mock2base</t>
  </si>
  <si>
    <t>mock2 top</t>
  </si>
  <si>
    <t>mock2mid</t>
  </si>
  <si>
    <t>Mock2mid</t>
  </si>
  <si>
    <t>Mock3base</t>
  </si>
  <si>
    <t>Mock3top</t>
  </si>
  <si>
    <t>mock3top</t>
  </si>
  <si>
    <t>Mock4base</t>
  </si>
  <si>
    <t>Mock4mid</t>
  </si>
  <si>
    <t>Mock4top</t>
  </si>
  <si>
    <t>Mock5 mid</t>
  </si>
  <si>
    <t>mock5 mid</t>
  </si>
  <si>
    <t>Mock5mid</t>
  </si>
  <si>
    <t>Mock5 top</t>
  </si>
  <si>
    <t>Mock5 base</t>
  </si>
  <si>
    <t>Mock 5base</t>
  </si>
  <si>
    <t>Mock 5mid</t>
  </si>
  <si>
    <t>Mock 5top</t>
  </si>
  <si>
    <t>Empty vector</t>
  </si>
  <si>
    <t>Trichome Length (µm)</t>
  </si>
  <si>
    <t>Mock 5</t>
  </si>
  <si>
    <t>PDS33</t>
  </si>
  <si>
    <t>Mock5</t>
  </si>
  <si>
    <t>PDS19</t>
  </si>
  <si>
    <t>PDS42</t>
  </si>
  <si>
    <t>Mock2</t>
  </si>
  <si>
    <t>Mock7</t>
  </si>
  <si>
    <t>PDS18</t>
  </si>
  <si>
    <t>Mock14</t>
  </si>
  <si>
    <t>Mock1</t>
  </si>
  <si>
    <t>PDS25</t>
  </si>
  <si>
    <t>PDS photobleached</t>
  </si>
  <si>
    <t>PDSPB18</t>
  </si>
  <si>
    <t>PDS PB 27</t>
  </si>
  <si>
    <t>PDS PB 25</t>
  </si>
  <si>
    <t>PDS PB 18</t>
  </si>
  <si>
    <t>PDS Green</t>
  </si>
  <si>
    <t>PDS green 27</t>
  </si>
  <si>
    <t>PDS green 25</t>
  </si>
  <si>
    <t>PDS green 18</t>
  </si>
  <si>
    <t>PDS green 33</t>
  </si>
  <si>
    <t>ADAXIAL TRICHOME DENSITY 5mm^2</t>
  </si>
  <si>
    <t xml:space="preserve">Treatment </t>
  </si>
  <si>
    <t xml:space="preserve">Trichome type </t>
  </si>
  <si>
    <t xml:space="preserve">T1 </t>
  </si>
  <si>
    <t>T2</t>
  </si>
  <si>
    <t>T3</t>
  </si>
  <si>
    <t>T4</t>
  </si>
  <si>
    <t>T5</t>
  </si>
  <si>
    <t>normal</t>
  </si>
  <si>
    <t>abnormal</t>
  </si>
  <si>
    <t>Total</t>
  </si>
  <si>
    <t>OE2 (126-5)</t>
  </si>
  <si>
    <t>OE4 (126-6)</t>
  </si>
  <si>
    <t>WT 1</t>
  </si>
  <si>
    <t>WT 2</t>
  </si>
  <si>
    <t>WT 3</t>
  </si>
  <si>
    <t>WT 4</t>
  </si>
  <si>
    <t>ABAXIAL TRICHOME DENSITY 5mm^2</t>
  </si>
  <si>
    <t>WT1</t>
  </si>
  <si>
    <t>WT2</t>
  </si>
  <si>
    <t>WT3</t>
  </si>
  <si>
    <t>Empty Vector TPM</t>
  </si>
  <si>
    <t>AVG of biorep</t>
  </si>
  <si>
    <t>Relative expression to Mock</t>
  </si>
  <si>
    <t>TthEV11</t>
  </si>
  <si>
    <t>TthEV2</t>
  </si>
  <si>
    <t>TthEV14</t>
  </si>
  <si>
    <t xml:space="preserve"> TthVIGS39</t>
  </si>
  <si>
    <t>TthVIGS25</t>
  </si>
  <si>
    <t>TthVIGS9</t>
  </si>
  <si>
    <t>EEF1A</t>
  </si>
  <si>
    <t>EEF1-A</t>
  </si>
  <si>
    <t>ID</t>
  </si>
  <si>
    <t>Annotation</t>
  </si>
  <si>
    <t>log2FoldChange</t>
  </si>
  <si>
    <t>pvalue</t>
  </si>
  <si>
    <t>padj</t>
  </si>
  <si>
    <t>EV2</t>
  </si>
  <si>
    <t>EV14</t>
  </si>
  <si>
    <t>VIGS39</t>
  </si>
  <si>
    <t>VIGS25</t>
  </si>
  <si>
    <t>VIGS9</t>
  </si>
  <si>
    <t>30_588420003_contig_13968</t>
  </si>
  <si>
    <t>calmodulin (CaM)-binding protein of 25 kDa (AtCaMBP25)</t>
  </si>
  <si>
    <t>30_588420003_contig_309037</t>
  </si>
  <si>
    <t>30_588420003_contig_201574</t>
  </si>
  <si>
    <t>Cystathionine γ-synthase</t>
  </si>
  <si>
    <t>30_588420003_contig_119814</t>
  </si>
  <si>
    <t>Protein kinase domain (IPR000719)</t>
  </si>
  <si>
    <t>30_588420003_contig_203376</t>
  </si>
  <si>
    <t>Kinesin-like protein (IPR027640)</t>
  </si>
  <si>
    <t>30_588420003_contig_59395</t>
  </si>
  <si>
    <t>Ran binding protein 1</t>
  </si>
  <si>
    <t>30_588420003_contig_142794</t>
  </si>
  <si>
    <t>Phosphoenolpyruvate carboxykinase like</t>
  </si>
  <si>
    <t>30_588420003_contig_233183</t>
  </si>
  <si>
    <t>Rhodanese-like domain</t>
  </si>
  <si>
    <t>30_588420003_contig_97303</t>
  </si>
  <si>
    <t>Uncharacterized</t>
  </si>
  <si>
    <t>30_588420003_contig_163208</t>
  </si>
  <si>
    <t>Kinesin protein</t>
  </si>
  <si>
    <t>30_588420003_contig_251252</t>
  </si>
  <si>
    <t>Hypothetical protein</t>
  </si>
  <si>
    <t>30_588420003_contig_268346</t>
  </si>
  <si>
    <t>30_588420003_contig_268345</t>
  </si>
  <si>
    <t>SANT/MYB domain protein</t>
  </si>
  <si>
    <t>30_588420003_contig_225148</t>
  </si>
  <si>
    <t>30_588420003_contig_93308</t>
  </si>
  <si>
    <t>30_588420003_contig_204009</t>
  </si>
  <si>
    <t>PLANT BASIC SECRETORY PROTEIN (BSP) FAMILY PROTEIN 1</t>
  </si>
  <si>
    <t>30_588420003_contig_131582</t>
  </si>
  <si>
    <t>Subtilisin-like protease (IPR045051)</t>
  </si>
  <si>
    <t>30_588420003_contig_146385</t>
  </si>
  <si>
    <t>30_588420003_contig_146382</t>
  </si>
  <si>
    <t>Sugar transport protein</t>
  </si>
  <si>
    <t>30_588420003_contig_131585</t>
  </si>
  <si>
    <t>CO2 responsive secreted protease</t>
  </si>
  <si>
    <t>30_588420003_contig_131584</t>
  </si>
  <si>
    <t>Subtilisin-like protease (SBT4.4)</t>
  </si>
  <si>
    <t>30_588420003_contig_283559</t>
  </si>
  <si>
    <t>α-1-purothionin (α1‐PTH)​</t>
  </si>
  <si>
    <t>30_588420003_contig_61149</t>
  </si>
  <si>
    <t>Thionin 2.1  THI2.1 (A0A654EN93 )</t>
  </si>
  <si>
    <t>30_588420003_contig_59982</t>
  </si>
  <si>
    <t>Thionin 2.2 like (LOC104777957)</t>
  </si>
  <si>
    <t>30_588420003_contig_10161</t>
  </si>
  <si>
    <t>30_588420003_contig_251245</t>
  </si>
  <si>
    <t>Amidase</t>
  </si>
  <si>
    <t>30_588420003_contig_281319</t>
  </si>
  <si>
    <t>65-kDA Microtubule-associated protein</t>
  </si>
  <si>
    <t>30_588420003_contig_219059</t>
  </si>
  <si>
    <t>30-kDa cleavage and polyadenylation factor</t>
  </si>
  <si>
    <t>30_588420003_contig_127334</t>
  </si>
  <si>
    <t>Lysine methyltransferase 3</t>
  </si>
  <si>
    <t>30_588420003_contig_127337</t>
  </si>
  <si>
    <t>Ethylene responsive protein1</t>
  </si>
  <si>
    <t>*TPM=Transcripts per million</t>
  </si>
  <si>
    <t>Multiple organellar RNA editing factor 2, chloroplastic-like (LOC113292969)</t>
  </si>
  <si>
    <t>OE3 (126-1)</t>
  </si>
  <si>
    <t>OE1 (126-4)</t>
  </si>
  <si>
    <t>TRV-PDS-PMX</t>
  </si>
  <si>
    <t>TRV-PMX</t>
  </si>
  <si>
    <t>TthPMX-1 top</t>
  </si>
  <si>
    <t>TthPMX-1mid</t>
  </si>
  <si>
    <t>TthPMX-1base</t>
  </si>
  <si>
    <t>TthPMX-2base</t>
  </si>
  <si>
    <t>TthPMX-2mid</t>
  </si>
  <si>
    <t>TthPMX-2top</t>
  </si>
  <si>
    <t>TthPMX-3base</t>
  </si>
  <si>
    <t>TthPMX-3mid</t>
  </si>
  <si>
    <t>TthPMX-3top</t>
  </si>
  <si>
    <t>TthPMX-4top</t>
  </si>
  <si>
    <t>TthPMX-4mid</t>
  </si>
  <si>
    <t>TthPMX-4base</t>
  </si>
  <si>
    <t>TthPMX-5 top</t>
  </si>
  <si>
    <t>TthPMX-5 base</t>
  </si>
  <si>
    <t>TthPMX-5mid</t>
  </si>
  <si>
    <t>T. thalictroides</t>
  </si>
  <si>
    <t>T. clavatum</t>
  </si>
  <si>
    <t>TRV-TthPMX-PDS 27</t>
  </si>
  <si>
    <t>TRV-TthPMX-PDS 25</t>
  </si>
  <si>
    <t>TRV-TthPMX-PDS 24</t>
  </si>
  <si>
    <t>TRV-TthPMX-PDS 33</t>
  </si>
  <si>
    <t>TRV-TthPMX-PDS 42</t>
  </si>
  <si>
    <t>TRV-TthPMX-PDS 41</t>
  </si>
  <si>
    <t>TRV-TthPMX-PDS 17</t>
  </si>
  <si>
    <t>TRV-TthPMX-PDS 19</t>
  </si>
  <si>
    <t>TRV-TthPMX-PDS 3</t>
  </si>
  <si>
    <t>TRV-TthPMX 18</t>
  </si>
  <si>
    <t>TRV-TthPMX-PDS 18</t>
  </si>
  <si>
    <t>TRV-TthPMX 9</t>
  </si>
  <si>
    <t>TRV-TthPMX 25</t>
  </si>
  <si>
    <t>TRV-TthPMX 39</t>
  </si>
  <si>
    <t>TRV-PDS-TthPMX avg</t>
  </si>
  <si>
    <t>TRV-TthPMX avg</t>
  </si>
  <si>
    <t>TRV-PDS-TthPMX</t>
  </si>
  <si>
    <t>TRV-TthPMX</t>
  </si>
  <si>
    <t>SEP=sepals; STA=stamens, CA=carpels</t>
  </si>
  <si>
    <t>FL=female leaf; FSEP= female sepals, ML=male leaf, MSEP=male sepals</t>
  </si>
  <si>
    <r>
      <t xml:space="preserve">Raw data </t>
    </r>
    <r>
      <rPr>
        <i/>
        <sz val="12"/>
        <color theme="1"/>
        <rFont val="Arial"/>
        <family val="2"/>
      </rPr>
      <t>T. thalictroides</t>
    </r>
  </si>
  <si>
    <r>
      <t xml:space="preserve">Raw data for </t>
    </r>
    <r>
      <rPr>
        <i/>
        <sz val="12"/>
        <color theme="1"/>
        <rFont val="Arial"/>
        <family val="2"/>
      </rPr>
      <t>T. clavatum</t>
    </r>
  </si>
  <si>
    <t>Dissected floral organs</t>
  </si>
  <si>
    <t>TthPMX-25</t>
  </si>
  <si>
    <t>TthPMX-9</t>
  </si>
  <si>
    <t>TthPMX-18</t>
  </si>
  <si>
    <t>TthPMX-39</t>
  </si>
  <si>
    <t>PMX</t>
  </si>
  <si>
    <t>Relative expression of biorep avg to highest organ (carpel)</t>
  </si>
  <si>
    <t>Avg of bio-reps</t>
  </si>
  <si>
    <t xml:space="preserve">GeoMean </t>
  </si>
  <si>
    <t>n/a</t>
  </si>
  <si>
    <r>
      <rPr>
        <i/>
        <sz val="12"/>
        <color theme="1"/>
        <rFont val="Arial"/>
        <family val="2"/>
      </rPr>
      <t xml:space="preserve">T. thalictroides </t>
    </r>
    <r>
      <rPr>
        <sz val="12"/>
        <color theme="1"/>
        <rFont val="Arial"/>
        <family val="2"/>
      </rPr>
      <t>(TthPMX)  expression (2 -ΔΔ CT)</t>
    </r>
  </si>
  <si>
    <r>
      <rPr>
        <i/>
        <sz val="12"/>
        <color theme="1"/>
        <rFont val="Arial"/>
        <family val="2"/>
      </rPr>
      <t>T. clavatum</t>
    </r>
    <r>
      <rPr>
        <sz val="12"/>
        <color theme="1"/>
        <rFont val="Arial"/>
        <family val="2"/>
      </rPr>
      <t xml:space="preserve"> (TclPMX)  expression (2 -ΔΔ CT)</t>
    </r>
  </si>
  <si>
    <t xml:space="preserve"> treated TPM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</si>
</sst>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FBFBF"/>
        <bgColor rgb="FFBFBFBF"/>
      </patternFill>
    </fill>
    <fill>
      <patternFill patternType="solid">
        <fgColor rgb="FFD6E3BC"/>
        <bgColor rgb="FFD6E3BC"/>
      </patternFill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theme="2" tint="-0.249977111117893"/>
        <bgColor indexed="64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2" fillId="0" borderId="8" xfId="0" applyFont="1" applyBorder="1"/>
    <xf numFmtId="0" fontId="1" fillId="0" borderId="8" xfId="0" applyFont="1" applyBorder="1"/>
    <xf numFmtId="0" fontId="1" fillId="0" borderId="9" xfId="0" applyFont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2" borderId="6" xfId="0" applyFont="1" applyFill="1" applyBorder="1"/>
    <xf numFmtId="0" fontId="2" fillId="0" borderId="10" xfId="0" applyFont="1" applyBorder="1"/>
    <xf numFmtId="0" fontId="5" fillId="0" borderId="0" xfId="0" applyFont="1"/>
    <xf numFmtId="0" fontId="2" fillId="2" borderId="13" xfId="0" applyFont="1" applyFill="1" applyBorder="1" applyAlignment="1">
      <alignment horizontal="center"/>
    </xf>
    <xf numFmtId="0" fontId="3" fillId="0" borderId="14" xfId="0" applyFont="1" applyBorder="1"/>
    <xf numFmtId="0" fontId="3" fillId="0" borderId="15" xfId="0" applyFont="1" applyBorder="1"/>
    <xf numFmtId="0" fontId="3" fillId="0" borderId="17" xfId="0" applyFont="1" applyBorder="1"/>
    <xf numFmtId="0" fontId="1" fillId="0" borderId="2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0" borderId="22" xfId="0" applyFont="1" applyBorder="1" applyAlignment="1">
      <alignment horizontal="right"/>
    </xf>
    <xf numFmtId="0" fontId="7" fillId="0" borderId="0" xfId="0" applyFont="1"/>
    <xf numFmtId="0" fontId="1" fillId="7" borderId="23" xfId="0" applyFont="1" applyFill="1" applyBorder="1" applyAlignment="1">
      <alignment horizontal="right"/>
    </xf>
    <xf numFmtId="0" fontId="1" fillId="2" borderId="23" xfId="0" applyFont="1" applyFill="1" applyBorder="1"/>
    <xf numFmtId="0" fontId="1" fillId="0" borderId="24" xfId="0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10" fillId="0" borderId="2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8" fillId="2" borderId="28" xfId="0" applyFont="1" applyFill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8" fillId="0" borderId="8" xfId="0" applyFont="1" applyBorder="1"/>
    <xf numFmtId="0" fontId="8" fillId="0" borderId="0" xfId="0" applyFont="1" applyAlignment="1">
      <alignment horizontal="right"/>
    </xf>
    <xf numFmtId="0" fontId="8" fillId="2" borderId="1" xfId="0" applyFont="1" applyFill="1" applyBorder="1" applyAlignment="1">
      <alignment horizontal="right"/>
    </xf>
    <xf numFmtId="0" fontId="8" fillId="0" borderId="9" xfId="0" applyFont="1" applyBorder="1"/>
    <xf numFmtId="0" fontId="8" fillId="0" borderId="9" xfId="0" applyFont="1" applyBorder="1" applyAlignment="1">
      <alignment horizontal="right"/>
    </xf>
    <xf numFmtId="0" fontId="8" fillId="0" borderId="10" xfId="0" applyFont="1" applyBorder="1"/>
    <xf numFmtId="0" fontId="8" fillId="0" borderId="12" xfId="0" applyFont="1" applyBorder="1"/>
    <xf numFmtId="0" fontId="8" fillId="0" borderId="12" xfId="0" applyFont="1" applyBorder="1" applyAlignment="1">
      <alignment horizontal="right"/>
    </xf>
    <xf numFmtId="0" fontId="8" fillId="2" borderId="6" xfId="0" applyFont="1" applyFill="1" applyBorder="1" applyAlignment="1">
      <alignment horizontal="right"/>
    </xf>
    <xf numFmtId="0" fontId="8" fillId="0" borderId="11" xfId="0" applyFont="1" applyBorder="1"/>
    <xf numFmtId="0" fontId="9" fillId="0" borderId="3" xfId="0" applyFont="1" applyBorder="1"/>
    <xf numFmtId="0" fontId="8" fillId="0" borderId="4" xfId="0" applyFont="1" applyBorder="1"/>
    <xf numFmtId="0" fontId="10" fillId="0" borderId="8" xfId="0" applyFont="1" applyBorder="1"/>
    <xf numFmtId="0" fontId="9" fillId="0" borderId="8" xfId="0" applyFont="1" applyBorder="1"/>
    <xf numFmtId="0" fontId="11" fillId="0" borderId="0" xfId="0" applyFont="1" applyAlignment="1">
      <alignment horizontal="right"/>
    </xf>
    <xf numFmtId="0" fontId="12" fillId="0" borderId="0" xfId="0" applyFont="1"/>
    <xf numFmtId="0" fontId="3" fillId="0" borderId="29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2" fillId="0" borderId="36" xfId="0" applyFont="1" applyBorder="1"/>
    <xf numFmtId="0" fontId="12" fillId="0" borderId="37" xfId="0" applyFont="1" applyBorder="1"/>
    <xf numFmtId="0" fontId="9" fillId="0" borderId="2" xfId="0" applyFont="1" applyBorder="1"/>
    <xf numFmtId="0" fontId="8" fillId="0" borderId="2" xfId="0" applyFont="1" applyBorder="1"/>
    <xf numFmtId="0" fontId="13" fillId="10" borderId="38" xfId="0" applyFont="1" applyFill="1" applyBorder="1"/>
    <xf numFmtId="0" fontId="13" fillId="10" borderId="28" xfId="0" applyFont="1" applyFill="1" applyBorder="1"/>
    <xf numFmtId="0" fontId="13" fillId="10" borderId="39" xfId="0" applyFont="1" applyFill="1" applyBorder="1"/>
    <xf numFmtId="0" fontId="8" fillId="0" borderId="8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12" fillId="0" borderId="40" xfId="0" applyFont="1" applyBorder="1"/>
    <xf numFmtId="0" fontId="12" fillId="0" borderId="41" xfId="0" applyFont="1" applyBorder="1"/>
    <xf numFmtId="0" fontId="12" fillId="0" borderId="42" xfId="0" applyFont="1" applyBorder="1"/>
    <xf numFmtId="0" fontId="9" fillId="0" borderId="9" xfId="0" applyFont="1" applyBorder="1"/>
    <xf numFmtId="0" fontId="8" fillId="11" borderId="43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3" fillId="0" borderId="26" xfId="0" applyFont="1" applyBorder="1"/>
    <xf numFmtId="0" fontId="3" fillId="0" borderId="27" xfId="0" applyFont="1" applyBorder="1"/>
    <xf numFmtId="0" fontId="9" fillId="0" borderId="45" xfId="0" applyFont="1" applyBorder="1" applyAlignment="1">
      <alignment horizontal="right"/>
    </xf>
    <xf numFmtId="0" fontId="8" fillId="0" borderId="46" xfId="0" applyFont="1" applyBorder="1" applyAlignment="1">
      <alignment horizontal="right"/>
    </xf>
    <xf numFmtId="0" fontId="8" fillId="0" borderId="47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8" xfId="0" applyFont="1" applyBorder="1" applyAlignment="1">
      <alignment horizontal="right"/>
    </xf>
    <xf numFmtId="0" fontId="14" fillId="0" borderId="10" xfId="0" applyFont="1" applyBorder="1" applyAlignment="1">
      <alignment horizontal="right"/>
    </xf>
    <xf numFmtId="0" fontId="9" fillId="0" borderId="12" xfId="0" applyFont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8" fillId="0" borderId="21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12" fillId="3" borderId="48" xfId="0" applyFont="1" applyFill="1" applyBorder="1" applyAlignment="1">
      <alignment horizontal="left"/>
    </xf>
    <xf numFmtId="0" fontId="12" fillId="3" borderId="49" xfId="0" applyFont="1" applyFill="1" applyBorder="1" applyAlignment="1">
      <alignment horizontal="left"/>
    </xf>
    <xf numFmtId="0" fontId="12" fillId="3" borderId="50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21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11" fontId="12" fillId="0" borderId="0" xfId="0" applyNumberFormat="1" applyFont="1" applyAlignment="1">
      <alignment horizontal="left"/>
    </xf>
    <xf numFmtId="0" fontId="12" fillId="0" borderId="22" xfId="0" applyFont="1" applyBorder="1" applyAlignment="1">
      <alignment horizontal="left"/>
    </xf>
    <xf numFmtId="0" fontId="15" fillId="0" borderId="0" xfId="0" applyFont="1"/>
    <xf numFmtId="0" fontId="12" fillId="0" borderId="25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1" fontId="12" fillId="0" borderId="26" xfId="0" applyNumberFormat="1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8" fillId="0" borderId="0" xfId="0" applyFont="1"/>
    <xf numFmtId="0" fontId="19" fillId="2" borderId="1" xfId="0" applyFont="1" applyFill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20" fillId="0" borderId="53" xfId="0" applyFont="1" applyBorder="1" applyAlignment="1">
      <alignment horizontal="left"/>
    </xf>
    <xf numFmtId="0" fontId="20" fillId="0" borderId="54" xfId="0" applyFont="1" applyBorder="1" applyAlignment="1">
      <alignment horizontal="left"/>
    </xf>
    <xf numFmtId="0" fontId="20" fillId="0" borderId="55" xfId="0" applyFont="1" applyBorder="1" applyAlignment="1">
      <alignment horizontal="left"/>
    </xf>
    <xf numFmtId="0" fontId="20" fillId="0" borderId="56" xfId="0" applyFont="1" applyBorder="1" applyAlignment="1">
      <alignment horizontal="left"/>
    </xf>
    <xf numFmtId="0" fontId="21" fillId="0" borderId="0" xfId="0" applyFont="1"/>
    <xf numFmtId="0" fontId="22" fillId="0" borderId="45" xfId="0" applyFont="1" applyBorder="1" applyAlignment="1">
      <alignment horizontal="right"/>
    </xf>
    <xf numFmtId="0" fontId="23" fillId="9" borderId="1" xfId="0" applyFont="1" applyFill="1" applyBorder="1"/>
    <xf numFmtId="0" fontId="16" fillId="0" borderId="2" xfId="0" applyFont="1" applyBorder="1"/>
    <xf numFmtId="0" fontId="16" fillId="0" borderId="8" xfId="0" applyFont="1" applyBorder="1"/>
    <xf numFmtId="0" fontId="16" fillId="0" borderId="10" xfId="0" applyFont="1" applyBorder="1"/>
    <xf numFmtId="0" fontId="17" fillId="0" borderId="8" xfId="0" applyFont="1" applyBorder="1"/>
    <xf numFmtId="0" fontId="24" fillId="0" borderId="0" xfId="0" applyFont="1"/>
    <xf numFmtId="0" fontId="18" fillId="9" borderId="1" xfId="0" applyFont="1" applyFill="1" applyBorder="1"/>
    <xf numFmtId="0" fontId="22" fillId="0" borderId="0" xfId="0" applyFont="1"/>
    <xf numFmtId="0" fontId="9" fillId="5" borderId="33" xfId="0" applyFont="1" applyFill="1" applyBorder="1" applyAlignment="1">
      <alignment horizontal="center" vertical="top"/>
    </xf>
    <xf numFmtId="0" fontId="9" fillId="5" borderId="35" xfId="0" applyFont="1" applyFill="1" applyBorder="1" applyAlignment="1">
      <alignment horizontal="center" vertical="top"/>
    </xf>
    <xf numFmtId="0" fontId="2" fillId="0" borderId="28" xfId="0" applyFont="1" applyBorder="1" applyAlignment="1">
      <alignment horizontal="center"/>
    </xf>
    <xf numFmtId="0" fontId="22" fillId="3" borderId="1" xfId="0" applyFont="1" applyFill="1" applyBorder="1"/>
    <xf numFmtId="0" fontId="22" fillId="3" borderId="1" xfId="0" applyFont="1" applyFill="1" applyBorder="1" applyAlignment="1">
      <alignment wrapText="1"/>
    </xf>
    <xf numFmtId="0" fontId="22" fillId="5" borderId="34" xfId="0" applyFont="1" applyFill="1" applyBorder="1" applyAlignment="1">
      <alignment horizontal="center" vertical="top" wrapText="1"/>
    </xf>
    <xf numFmtId="0" fontId="8" fillId="10" borderId="38" xfId="0" applyFont="1" applyFill="1" applyBorder="1"/>
    <xf numFmtId="0" fontId="8" fillId="10" borderId="39" xfId="0" applyFont="1" applyFill="1" applyBorder="1"/>
    <xf numFmtId="0" fontId="8" fillId="11" borderId="44" xfId="0" applyFont="1" applyFill="1" applyBorder="1" applyAlignment="1">
      <alignment horizontal="center"/>
    </xf>
    <xf numFmtId="0" fontId="8" fillId="12" borderId="51" xfId="0" applyFont="1" applyFill="1" applyBorder="1"/>
    <xf numFmtId="0" fontId="8" fillId="5" borderId="57" xfId="0" applyFont="1" applyFill="1" applyBorder="1" applyAlignment="1">
      <alignment horizontal="center"/>
    </xf>
    <xf numFmtId="0" fontId="20" fillId="0" borderId="58" xfId="0" applyFont="1" applyBorder="1" applyAlignment="1">
      <alignment horizontal="left"/>
    </xf>
    <xf numFmtId="0" fontId="2" fillId="5" borderId="7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7" fillId="6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6" fillId="6" borderId="19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 wrapText="1"/>
    </xf>
    <xf numFmtId="0" fontId="2" fillId="5" borderId="20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1" fillId="0" borderId="59" xfId="0" applyFont="1" applyBorder="1" applyAlignment="1">
      <alignment horizontal="right"/>
    </xf>
    <xf numFmtId="0" fontId="1" fillId="0" borderId="58" xfId="0" applyFont="1" applyBorder="1" applyAlignment="1">
      <alignment horizontal="right"/>
    </xf>
    <xf numFmtId="0" fontId="1" fillId="2" borderId="58" xfId="0" applyFont="1" applyFill="1" applyBorder="1" applyAlignment="1">
      <alignment horizontal="right"/>
    </xf>
    <xf numFmtId="0" fontId="1" fillId="0" borderId="53" xfId="0" applyFont="1" applyBorder="1" applyAlignment="1">
      <alignment horizontal="right"/>
    </xf>
    <xf numFmtId="0" fontId="1" fillId="0" borderId="54" xfId="0" applyFont="1" applyBorder="1" applyAlignment="1">
      <alignment horizontal="right"/>
    </xf>
    <xf numFmtId="0" fontId="1" fillId="0" borderId="55" xfId="0" applyFont="1" applyBorder="1" applyAlignment="1">
      <alignment horizontal="right"/>
    </xf>
    <xf numFmtId="0" fontId="1" fillId="0" borderId="56" xfId="0" applyFont="1" applyBorder="1" applyAlignment="1">
      <alignment horizontal="right"/>
    </xf>
    <xf numFmtId="0" fontId="2" fillId="3" borderId="63" xfId="0" applyFont="1" applyFill="1" applyBorder="1" applyAlignment="1">
      <alignment horizontal="center"/>
    </xf>
    <xf numFmtId="0" fontId="2" fillId="3" borderId="64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4" borderId="38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1" fillId="3" borderId="61" xfId="0" applyFont="1" applyFill="1" applyBorder="1" applyAlignment="1">
      <alignment horizontal="center"/>
    </xf>
    <xf numFmtId="0" fontId="1" fillId="3" borderId="62" xfId="0" applyFont="1" applyFill="1" applyBorder="1" applyAlignment="1">
      <alignment horizontal="center"/>
    </xf>
    <xf numFmtId="0" fontId="1" fillId="5" borderId="51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2" fillId="12" borderId="53" xfId="0" applyFont="1" applyFill="1" applyBorder="1" applyAlignment="1">
      <alignment horizontal="center"/>
    </xf>
    <xf numFmtId="0" fontId="2" fillId="12" borderId="54" xfId="0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0" fontId="3" fillId="0" borderId="29" xfId="0" applyFont="1" applyBorder="1"/>
    <xf numFmtId="0" fontId="3" fillId="0" borderId="17" xfId="0" applyFont="1" applyBorder="1"/>
    <xf numFmtId="0" fontId="3" fillId="0" borderId="31" xfId="0" applyFont="1" applyBorder="1"/>
    <xf numFmtId="0" fontId="3" fillId="0" borderId="32" xfId="0" applyFont="1" applyBorder="1"/>
    <xf numFmtId="0" fontId="9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8" fillId="5" borderId="38" xfId="0" applyFont="1" applyFill="1" applyBorder="1" applyAlignment="1">
      <alignment horizontal="center"/>
    </xf>
    <xf numFmtId="0" fontId="8" fillId="5" borderId="39" xfId="0" applyFont="1" applyFill="1" applyBorder="1" applyAlignment="1">
      <alignment horizontal="center"/>
    </xf>
    <xf numFmtId="0" fontId="18" fillId="3" borderId="38" xfId="0" applyFont="1" applyFill="1" applyBorder="1" applyAlignment="1">
      <alignment horizontal="center"/>
    </xf>
    <xf numFmtId="0" fontId="18" fillId="3" borderId="39" xfId="0" applyFont="1" applyFill="1" applyBorder="1" applyAlignment="1">
      <alignment horizontal="center"/>
    </xf>
    <xf numFmtId="0" fontId="22" fillId="5" borderId="48" xfId="0" applyFont="1" applyFill="1" applyBorder="1" applyAlignment="1">
      <alignment horizontal="center"/>
    </xf>
    <xf numFmtId="0" fontId="22" fillId="5" borderId="49" xfId="0" applyFont="1" applyFill="1" applyBorder="1" applyAlignment="1">
      <alignment horizontal="center"/>
    </xf>
    <xf numFmtId="0" fontId="22" fillId="5" borderId="50" xfId="0" applyFont="1" applyFill="1" applyBorder="1" applyAlignment="1">
      <alignment horizontal="center"/>
    </xf>
    <xf numFmtId="0" fontId="8" fillId="5" borderId="57" xfId="0" applyFont="1" applyFill="1" applyBorder="1" applyAlignment="1">
      <alignment horizontal="center"/>
    </xf>
    <xf numFmtId="0" fontId="8" fillId="5" borderId="52" xfId="0" applyFont="1" applyFill="1" applyBorder="1" applyAlignment="1">
      <alignment horizontal="center"/>
    </xf>
    <xf numFmtId="0" fontId="8" fillId="3" borderId="48" xfId="0" applyFont="1" applyFill="1" applyBorder="1" applyAlignment="1">
      <alignment horizontal="center"/>
    </xf>
    <xf numFmtId="0" fontId="8" fillId="3" borderId="49" xfId="0" applyFont="1" applyFill="1" applyBorder="1" applyAlignment="1">
      <alignment horizontal="center"/>
    </xf>
    <xf numFmtId="0" fontId="8" fillId="3" borderId="50" xfId="0" applyFont="1" applyFill="1" applyBorder="1" applyAlignment="1">
      <alignment horizontal="center"/>
    </xf>
    <xf numFmtId="0" fontId="20" fillId="12" borderId="51" xfId="0" applyFont="1" applyFill="1" applyBorder="1" applyAlignment="1">
      <alignment horizontal="center"/>
    </xf>
    <xf numFmtId="0" fontId="20" fillId="12" borderId="52" xfId="0" applyFont="1" applyFill="1" applyBorder="1" applyAlignment="1">
      <alignment horizontal="center"/>
    </xf>
    <xf numFmtId="0" fontId="1" fillId="0" borderId="60" xfId="0" applyFont="1" applyBorder="1" applyAlignment="1">
      <alignment horizontal="left"/>
    </xf>
    <xf numFmtId="0" fontId="8" fillId="5" borderId="3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selection activeCell="A9" sqref="A9"/>
    </sheetView>
  </sheetViews>
  <sheetFormatPr baseColWidth="10" defaultColWidth="12.6640625" defaultRowHeight="15" customHeight="1" x14ac:dyDescent="0.15"/>
  <cols>
    <col min="1" max="1" width="18.1640625" customWidth="1"/>
    <col min="2" max="7" width="12.6640625" customWidth="1"/>
    <col min="8" max="8" width="23" customWidth="1"/>
    <col min="9" max="9" width="12.6640625" customWidth="1"/>
    <col min="10" max="10" width="19.1640625" customWidth="1"/>
    <col min="11" max="11" width="18.6640625" customWidth="1"/>
    <col min="12" max="12" width="12.6640625" customWidth="1"/>
    <col min="13" max="13" width="15.1640625" customWidth="1"/>
    <col min="14" max="29" width="12.6640625" customWidth="1"/>
  </cols>
  <sheetData>
    <row r="1" spans="1:29" ht="15.75" customHeight="1" x14ac:dyDescent="0.15">
      <c r="A1" s="113"/>
      <c r="B1" s="122" t="s">
        <v>0</v>
      </c>
      <c r="C1" s="122"/>
      <c r="D1" s="122"/>
      <c r="E1" s="122" t="s">
        <v>1</v>
      </c>
      <c r="F1" s="122"/>
      <c r="G1" s="3"/>
      <c r="H1" s="4"/>
      <c r="I1" s="1"/>
      <c r="J1" s="158" t="s">
        <v>2</v>
      </c>
      <c r="K1" s="159"/>
      <c r="L1" s="2"/>
      <c r="M1" s="160" t="s">
        <v>3</v>
      </c>
      <c r="N1" s="16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142" customFormat="1" ht="15.75" customHeight="1" x14ac:dyDescent="0.15">
      <c r="A2" s="133" t="s">
        <v>4</v>
      </c>
      <c r="B2" s="134" t="s">
        <v>5</v>
      </c>
      <c r="C2" s="135" t="s">
        <v>6</v>
      </c>
      <c r="D2" s="135" t="s">
        <v>7</v>
      </c>
      <c r="E2" s="136" t="s">
        <v>8</v>
      </c>
      <c r="F2" s="137" t="s">
        <v>9</v>
      </c>
      <c r="G2" s="138" t="s">
        <v>10</v>
      </c>
      <c r="H2" s="132" t="s">
        <v>11</v>
      </c>
      <c r="I2" s="139"/>
      <c r="J2" s="140" t="s">
        <v>12</v>
      </c>
      <c r="K2" s="141" t="s">
        <v>13</v>
      </c>
      <c r="L2" s="139"/>
      <c r="M2" s="140" t="s">
        <v>4</v>
      </c>
      <c r="N2" s="141" t="s">
        <v>14</v>
      </c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</row>
    <row r="3" spans="1:29" ht="15.75" customHeight="1" x14ac:dyDescent="0.15">
      <c r="A3" s="6" t="s">
        <v>285</v>
      </c>
      <c r="B3" s="1">
        <v>28.995960041307249</v>
      </c>
      <c r="C3" s="1">
        <v>23.6227249583823</v>
      </c>
      <c r="D3" s="1">
        <v>25.582800965671499</v>
      </c>
      <c r="E3" s="2">
        <f t="shared" ref="E3:E24" si="0">2^(C3-B3)</f>
        <v>2.412654123967713E-2</v>
      </c>
      <c r="F3" s="2">
        <f t="shared" ref="F3:F24" si="1">2^(D3-B3)</f>
        <v>9.3872144255008422E-2</v>
      </c>
      <c r="G3" s="1">
        <f t="shared" ref="G3:G24" si="2">(GEOMEAN(E3:F3))</f>
        <v>4.7590021639261536E-2</v>
      </c>
      <c r="H3" s="7">
        <v>4.7590021639261536E-2</v>
      </c>
      <c r="I3" s="1"/>
      <c r="J3" s="5" t="s">
        <v>15</v>
      </c>
      <c r="K3" s="7">
        <f t="shared" ref="K3:K13" si="3">H3/$H$17</f>
        <v>6.271550898136867E-2</v>
      </c>
      <c r="L3" s="1"/>
      <c r="M3" s="6" t="s">
        <v>16</v>
      </c>
      <c r="N3" s="7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15">
      <c r="A4" s="6" t="s">
        <v>286</v>
      </c>
      <c r="B4" s="1">
        <v>28.085133433420552</v>
      </c>
      <c r="C4" s="1">
        <v>19.018436736172852</v>
      </c>
      <c r="D4" s="1">
        <v>19.189134356606601</v>
      </c>
      <c r="E4" s="2">
        <f t="shared" si="0"/>
        <v>1.8648861884851186E-3</v>
      </c>
      <c r="F4" s="2">
        <f t="shared" si="1"/>
        <v>2.0991208214683776E-3</v>
      </c>
      <c r="G4" s="1">
        <f t="shared" si="2"/>
        <v>1.9785402265099171E-3</v>
      </c>
      <c r="H4" s="7">
        <v>1.9785402265099171E-3</v>
      </c>
      <c r="I4" s="1"/>
      <c r="J4" s="5" t="s">
        <v>17</v>
      </c>
      <c r="K4" s="7">
        <f t="shared" si="3"/>
        <v>2.6073776197511177E-3</v>
      </c>
      <c r="L4" s="1"/>
      <c r="M4" s="6" t="s">
        <v>18</v>
      </c>
      <c r="N4" s="7">
        <v>0.83874892372931031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15">
      <c r="A5" s="6" t="s">
        <v>287</v>
      </c>
      <c r="B5" s="1">
        <v>25.296451915304502</v>
      </c>
      <c r="C5" s="1">
        <v>18.618480531257351</v>
      </c>
      <c r="D5" s="1">
        <v>19.670010476732898</v>
      </c>
      <c r="E5" s="2">
        <f t="shared" si="0"/>
        <v>9.7663054523491263E-3</v>
      </c>
      <c r="F5" s="2">
        <f t="shared" si="1"/>
        <v>2.0242882681449394E-2</v>
      </c>
      <c r="G5" s="1">
        <f t="shared" si="2"/>
        <v>1.4060518322704284E-2</v>
      </c>
      <c r="H5" s="7">
        <v>1.4060518322704284E-2</v>
      </c>
      <c r="I5" s="1"/>
      <c r="J5" s="5" t="s">
        <v>19</v>
      </c>
      <c r="K5" s="7">
        <f t="shared" si="3"/>
        <v>1.8529358314533069E-2</v>
      </c>
      <c r="L5" s="1"/>
      <c r="M5" s="6" t="s">
        <v>301</v>
      </c>
      <c r="N5" s="7">
        <v>0.1083491342609345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15">
      <c r="A6" s="6" t="s">
        <v>288</v>
      </c>
      <c r="B6" s="1">
        <v>25.571107756717403</v>
      </c>
      <c r="C6" s="1">
        <v>19.506331386150052</v>
      </c>
      <c r="D6" s="1">
        <v>21.689107878470999</v>
      </c>
      <c r="E6" s="2">
        <f t="shared" si="0"/>
        <v>1.4938961068069887E-2</v>
      </c>
      <c r="F6" s="2">
        <f t="shared" si="1"/>
        <v>6.7826841466734303E-2</v>
      </c>
      <c r="G6" s="1">
        <f t="shared" si="2"/>
        <v>3.1831785121819542E-2</v>
      </c>
      <c r="H6" s="7">
        <v>3.1831785121819542E-2</v>
      </c>
      <c r="I6" s="1"/>
      <c r="J6" s="5" t="s">
        <v>20</v>
      </c>
      <c r="K6" s="7">
        <f t="shared" si="3"/>
        <v>4.1948848454683094E-2</v>
      </c>
      <c r="L6" s="1"/>
      <c r="M6" s="6" t="s">
        <v>302</v>
      </c>
      <c r="N6" s="7">
        <v>8.1790096734209145E-2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15">
      <c r="A7" s="6" t="s">
        <v>289</v>
      </c>
      <c r="B7" s="1">
        <v>24.942803669571951</v>
      </c>
      <c r="C7" s="1">
        <v>18.05319462264195</v>
      </c>
      <c r="D7" s="1">
        <v>18.88813744582615</v>
      </c>
      <c r="E7" s="2">
        <f t="shared" si="0"/>
        <v>8.4337557348070288E-3</v>
      </c>
      <c r="F7" s="2">
        <f t="shared" si="1"/>
        <v>1.5044018295818565E-2</v>
      </c>
      <c r="G7" s="1">
        <f t="shared" si="2"/>
        <v>1.1263994654513188E-2</v>
      </c>
      <c r="H7" s="7">
        <v>1.1263994654513188E-2</v>
      </c>
      <c r="I7" s="1"/>
      <c r="J7" s="5" t="s">
        <v>22</v>
      </c>
      <c r="K7" s="7">
        <f t="shared" si="3"/>
        <v>1.4844018422097366E-2</v>
      </c>
      <c r="L7" s="1"/>
      <c r="M7" s="6">
        <v>27</v>
      </c>
      <c r="N7" s="7">
        <v>0.32779171749542874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15">
      <c r="A8" s="6" t="s">
        <v>290</v>
      </c>
      <c r="B8" s="1">
        <v>24.944666062074248</v>
      </c>
      <c r="C8" s="1">
        <v>18.119697572061849</v>
      </c>
      <c r="D8" s="1">
        <v>18.560993749007849</v>
      </c>
      <c r="E8" s="2">
        <f t="shared" si="0"/>
        <v>8.8202270535441985E-3</v>
      </c>
      <c r="F8" s="2">
        <f t="shared" si="1"/>
        <v>1.1976313373436276E-2</v>
      </c>
      <c r="G8" s="1">
        <f t="shared" si="2"/>
        <v>1.0277830666930927E-2</v>
      </c>
      <c r="H8" s="7">
        <v>1.0277830666930927E-2</v>
      </c>
      <c r="I8" s="1"/>
      <c r="J8" s="5" t="s">
        <v>23</v>
      </c>
      <c r="K8" s="7">
        <f t="shared" si="3"/>
        <v>1.3544422954603536E-2</v>
      </c>
      <c r="L8" s="1"/>
      <c r="M8" s="6">
        <v>33</v>
      </c>
      <c r="N8" s="7">
        <v>0.21925174977055489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15">
      <c r="A9" s="6" t="s">
        <v>291</v>
      </c>
      <c r="B9" s="1">
        <v>24.61397121947855</v>
      </c>
      <c r="C9" s="1">
        <v>17.73981630815285</v>
      </c>
      <c r="D9" s="1">
        <v>18.232602869831901</v>
      </c>
      <c r="E9" s="2">
        <f t="shared" si="0"/>
        <v>8.5245836516808175E-3</v>
      </c>
      <c r="F9" s="2">
        <f t="shared" si="1"/>
        <v>1.1995454655322459E-2</v>
      </c>
      <c r="G9" s="1">
        <f t="shared" si="2"/>
        <v>1.0112183574739947E-2</v>
      </c>
      <c r="H9" s="7">
        <v>1.0112183574739947E-2</v>
      </c>
      <c r="I9" s="1"/>
      <c r="J9" s="5" t="s">
        <v>24</v>
      </c>
      <c r="K9" s="7">
        <f t="shared" si="3"/>
        <v>1.3326128418476021E-2</v>
      </c>
      <c r="L9" s="1"/>
      <c r="M9" s="6">
        <v>24</v>
      </c>
      <c r="N9" s="7">
        <v>9.6846382731476735E-2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15">
      <c r="A10" s="6" t="s">
        <v>292</v>
      </c>
      <c r="B10" s="1">
        <v>24.079722624431099</v>
      </c>
      <c r="C10" s="1">
        <v>17.2322260536633</v>
      </c>
      <c r="D10" s="1">
        <v>17.490915037506397</v>
      </c>
      <c r="E10" s="2">
        <f t="shared" si="0"/>
        <v>8.683566549344348E-3</v>
      </c>
      <c r="F10" s="2">
        <f t="shared" si="1"/>
        <v>1.0388941019372062E-2</v>
      </c>
      <c r="G10" s="1">
        <f t="shared" si="2"/>
        <v>9.4980556283341799E-3</v>
      </c>
      <c r="H10" s="7">
        <v>9.4980556283341799E-3</v>
      </c>
      <c r="I10" s="1"/>
      <c r="J10" s="5" t="s">
        <v>25</v>
      </c>
      <c r="K10" s="7">
        <f t="shared" si="3"/>
        <v>1.2516812822226209E-2</v>
      </c>
      <c r="L10" s="1"/>
      <c r="M10" s="6">
        <v>3</v>
      </c>
      <c r="N10" s="7">
        <v>9.039248892033129E-2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15">
      <c r="A11" s="6" t="s">
        <v>293</v>
      </c>
      <c r="B11" s="1">
        <v>25.4572083136832</v>
      </c>
      <c r="C11" s="1">
        <v>19.209911734774849</v>
      </c>
      <c r="D11" s="1">
        <v>19.201101537735401</v>
      </c>
      <c r="E11" s="2">
        <f t="shared" si="0"/>
        <v>1.3163650343909716E-2</v>
      </c>
      <c r="F11" s="2">
        <f t="shared" si="1"/>
        <v>1.3083508002123278E-2</v>
      </c>
      <c r="G11" s="1">
        <f t="shared" si="2"/>
        <v>1.3123517996775698E-2</v>
      </c>
      <c r="H11" s="7">
        <v>1.3123517996775698E-2</v>
      </c>
      <c r="I11" s="1"/>
      <c r="J11" s="5" t="s">
        <v>26</v>
      </c>
      <c r="K11" s="7">
        <f t="shared" si="3"/>
        <v>1.729455214441275E-2</v>
      </c>
      <c r="L11" s="1"/>
      <c r="M11" s="6">
        <v>42</v>
      </c>
      <c r="N11" s="7">
        <v>7.7584418465910576E-2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15">
      <c r="A12" s="114" t="s">
        <v>295</v>
      </c>
      <c r="B12" s="1">
        <v>25.7714235725464</v>
      </c>
      <c r="C12" s="1">
        <v>18.367738696998899</v>
      </c>
      <c r="D12" s="1">
        <v>19.0836912429268</v>
      </c>
      <c r="E12" s="2">
        <f t="shared" si="0"/>
        <v>5.9056645393979999E-3</v>
      </c>
      <c r="F12" s="2">
        <f t="shared" si="1"/>
        <v>9.7004518836419692E-3</v>
      </c>
      <c r="G12" s="1">
        <f t="shared" si="2"/>
        <v>7.5688582167564022E-3</v>
      </c>
      <c r="H12" s="7">
        <v>7.5688582167564022E-3</v>
      </c>
      <c r="I12" s="1"/>
      <c r="J12" s="5" t="s">
        <v>27</v>
      </c>
      <c r="K12" s="7">
        <f t="shared" si="3"/>
        <v>9.9744605932282158E-3</v>
      </c>
      <c r="L12" s="1"/>
      <c r="M12" s="6">
        <v>41</v>
      </c>
      <c r="N12" s="7">
        <v>7.0791893981007936E-2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15">
      <c r="A13" s="6" t="s">
        <v>28</v>
      </c>
      <c r="B13" s="1">
        <v>22.457230154852802</v>
      </c>
      <c r="C13" s="1">
        <v>18.743794749598102</v>
      </c>
      <c r="D13" s="1">
        <v>20.797232905101048</v>
      </c>
      <c r="E13" s="2">
        <f t="shared" si="0"/>
        <v>7.6233271224364907E-2</v>
      </c>
      <c r="F13" s="2">
        <f t="shared" si="1"/>
        <v>0.31643975172957989</v>
      </c>
      <c r="G13" s="1">
        <f t="shared" si="2"/>
        <v>0.15531657161993936</v>
      </c>
      <c r="H13" s="8">
        <f>AVERAGE(G13:G15)</f>
        <v>0.12177269070485851</v>
      </c>
      <c r="I13" s="1"/>
      <c r="J13" s="5" t="s">
        <v>29</v>
      </c>
      <c r="K13" s="7">
        <f t="shared" si="3"/>
        <v>0.16047557900846732</v>
      </c>
      <c r="L13" s="1"/>
      <c r="M13" s="6">
        <v>17</v>
      </c>
      <c r="N13" s="7">
        <v>6.9650945879345186E-2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15">
      <c r="A14" s="6" t="s">
        <v>30</v>
      </c>
      <c r="B14" s="1">
        <v>27.464543799811501</v>
      </c>
      <c r="C14" s="1">
        <v>20.214033812251898</v>
      </c>
      <c r="D14" s="1">
        <v>21.699003692188001</v>
      </c>
      <c r="E14" s="2">
        <f t="shared" si="0"/>
        <v>6.567181358579764E-3</v>
      </c>
      <c r="F14" s="2">
        <f t="shared" si="1"/>
        <v>1.8382284629858248E-2</v>
      </c>
      <c r="G14" s="1">
        <f t="shared" si="2"/>
        <v>1.0987256115578284E-2</v>
      </c>
      <c r="H14" s="1">
        <f t="shared" ref="H14:H15" si="4">(GEOMEAN(F14:G14))</f>
        <v>1.4211645549256803E-2</v>
      </c>
      <c r="I14" s="1"/>
      <c r="J14" s="5"/>
      <c r="K14" s="7"/>
      <c r="L14" s="1"/>
      <c r="M14" s="6">
        <v>19</v>
      </c>
      <c r="N14" s="7">
        <v>6.5420940357595006E-2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15">
      <c r="A15" s="6" t="s">
        <v>31</v>
      </c>
      <c r="B15" s="1">
        <v>25.590568399999999</v>
      </c>
      <c r="C15" s="1">
        <v>22.558559150000001</v>
      </c>
      <c r="D15" s="1">
        <v>23.964464849999999</v>
      </c>
      <c r="E15" s="2">
        <f t="shared" si="0"/>
        <v>0.12225715031306356</v>
      </c>
      <c r="F15" s="2">
        <f t="shared" si="1"/>
        <v>0.32396198802562198</v>
      </c>
      <c r="G15" s="1">
        <f t="shared" si="2"/>
        <v>0.19901424437905785</v>
      </c>
      <c r="H15" s="1">
        <f t="shared" si="4"/>
        <v>0.25391543918095361</v>
      </c>
      <c r="I15" s="1"/>
      <c r="J15" s="5"/>
      <c r="K15" s="7"/>
      <c r="L15" s="1"/>
      <c r="M15" s="6">
        <v>18</v>
      </c>
      <c r="N15" s="7">
        <v>5.2132967140808124E-2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15">
      <c r="A16" s="6" t="s">
        <v>32</v>
      </c>
      <c r="B16" s="1">
        <v>25.1726377175526</v>
      </c>
      <c r="C16" s="1">
        <v>20.030328683748102</v>
      </c>
      <c r="D16" s="1">
        <v>22.387713655496899</v>
      </c>
      <c r="E16" s="2">
        <f t="shared" si="0"/>
        <v>2.8314619762310804E-2</v>
      </c>
      <c r="F16" s="2">
        <f t="shared" si="1"/>
        <v>0.14509562637531462</v>
      </c>
      <c r="G16" s="1">
        <f t="shared" si="2"/>
        <v>6.4096236160880365E-2</v>
      </c>
      <c r="H16" s="8">
        <f>AVERAGE(G16:G20)</f>
        <v>0.14518372216017084</v>
      </c>
      <c r="I16" s="1"/>
      <c r="J16" s="5" t="s">
        <v>33</v>
      </c>
      <c r="K16" s="7">
        <f>H16/$H$17</f>
        <v>0.19132731437072775</v>
      </c>
      <c r="L16" s="1"/>
      <c r="M16" s="6">
        <v>25</v>
      </c>
      <c r="N16" s="7">
        <v>1.3627837866886585E-2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15">
      <c r="A17" s="6" t="s">
        <v>34</v>
      </c>
      <c r="B17" s="1">
        <v>25.135294255229901</v>
      </c>
      <c r="C17" s="1">
        <v>23.168645470108899</v>
      </c>
      <c r="D17" s="1">
        <v>25.259959660720799</v>
      </c>
      <c r="E17" s="2">
        <f t="shared" si="0"/>
        <v>0.25584664408176327</v>
      </c>
      <c r="F17" s="2">
        <f t="shared" si="1"/>
        <v>1.0902548479040426</v>
      </c>
      <c r="G17" s="1">
        <f t="shared" si="2"/>
        <v>0.52814585488302612</v>
      </c>
      <c r="H17" s="1">
        <f>(GEOMEAN(F17:G17))</f>
        <v>0.75882381267764931</v>
      </c>
      <c r="I17" s="1"/>
      <c r="J17" s="5"/>
      <c r="K17" s="7"/>
      <c r="L17" s="1"/>
      <c r="M17" s="6">
        <v>18</v>
      </c>
      <c r="N17" s="7">
        <v>0.11961281191710291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15">
      <c r="A18" s="6" t="s">
        <v>35</v>
      </c>
      <c r="B18" s="1">
        <v>24.780691178788398</v>
      </c>
      <c r="C18" s="1">
        <v>19.51966366143105</v>
      </c>
      <c r="D18" s="1">
        <v>22.906894585481499</v>
      </c>
      <c r="E18" s="2">
        <f t="shared" si="0"/>
        <v>2.6077917632149603E-2</v>
      </c>
      <c r="F18" s="2">
        <f t="shared" si="1"/>
        <v>0.27285443651059882</v>
      </c>
      <c r="G18" s="1">
        <f t="shared" si="2"/>
        <v>8.4353278068430695E-2</v>
      </c>
      <c r="H18" s="8">
        <f>AVERAGE(G3:G12)</f>
        <v>1.573053060483456E-2</v>
      </c>
      <c r="I18" s="1"/>
      <c r="J18" s="116" t="s">
        <v>299</v>
      </c>
      <c r="K18" s="7">
        <f>H18/$H$17</f>
        <v>2.0730148872538004E-2</v>
      </c>
      <c r="L18" s="1"/>
      <c r="M18" s="6">
        <v>9</v>
      </c>
      <c r="N18" s="7">
        <v>7.9328191125682179E-2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15">
      <c r="A19" s="6" t="s">
        <v>36</v>
      </c>
      <c r="B19" s="1">
        <v>25.359777050000002</v>
      </c>
      <c r="C19" s="1">
        <v>19.322843900000002</v>
      </c>
      <c r="D19" s="1">
        <v>22.243480999999999</v>
      </c>
      <c r="E19" s="2">
        <f t="shared" si="0"/>
        <v>1.5230074930622246E-2</v>
      </c>
      <c r="F19" s="2">
        <f t="shared" si="1"/>
        <v>0.11531914494738563</v>
      </c>
      <c r="G19" s="1">
        <f t="shared" si="2"/>
        <v>4.190846237317674E-2</v>
      </c>
      <c r="H19" s="1">
        <f>(GEOMEAN(F19:G19))</f>
        <v>6.9518688472485046E-2</v>
      </c>
      <c r="I19" s="1"/>
      <c r="J19" s="5"/>
      <c r="K19" s="7"/>
      <c r="L19" s="1"/>
      <c r="M19" s="6">
        <v>25</v>
      </c>
      <c r="N19" s="7">
        <v>7.3315645731459753E-2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15">
      <c r="A20" s="6" t="s">
        <v>37</v>
      </c>
      <c r="B20" s="1">
        <v>27.203785060000001</v>
      </c>
      <c r="C20" s="1">
        <v>19.759206710000001</v>
      </c>
      <c r="D20" s="1">
        <v>20.497602350000001</v>
      </c>
      <c r="E20" s="2">
        <f t="shared" si="0"/>
        <v>5.7406175130856251E-3</v>
      </c>
      <c r="F20" s="2">
        <f t="shared" si="1"/>
        <v>9.5771843655972824E-3</v>
      </c>
      <c r="G20" s="1">
        <f t="shared" si="2"/>
        <v>7.4147793153402485E-3</v>
      </c>
      <c r="H20" s="9">
        <f>AVERAGE(G21:G24)</f>
        <v>1.1874590679712917E-2</v>
      </c>
      <c r="I20" s="1"/>
      <c r="J20" s="116" t="s">
        <v>300</v>
      </c>
      <c r="K20" s="7">
        <f t="shared" ref="K20:K25" si="5">H20/$H$17</f>
        <v>1.5648679550278266E-2</v>
      </c>
      <c r="L20" s="1"/>
      <c r="M20" s="10">
        <v>39</v>
      </c>
      <c r="N20" s="11">
        <v>5.4903738162591788E-2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15">
      <c r="A21" s="6" t="s">
        <v>294</v>
      </c>
      <c r="B21" s="1">
        <v>30.1568771826546</v>
      </c>
      <c r="C21" s="1">
        <v>23.562556249259899</v>
      </c>
      <c r="D21" s="1">
        <v>25.055989008838999</v>
      </c>
      <c r="E21" s="2">
        <f t="shared" si="0"/>
        <v>1.0349314817292199E-2</v>
      </c>
      <c r="F21" s="2">
        <f t="shared" si="1"/>
        <v>2.9139336261978486E-2</v>
      </c>
      <c r="G21" s="1">
        <f t="shared" si="2"/>
        <v>1.7365833252169439E-2</v>
      </c>
      <c r="H21" s="7">
        <v>1.7365833252169439E-2</v>
      </c>
      <c r="I21" s="1"/>
      <c r="J21" s="5" t="s">
        <v>38</v>
      </c>
      <c r="K21" s="7">
        <f t="shared" si="5"/>
        <v>2.2885198068430278E-2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15">
      <c r="A22" s="114" t="s">
        <v>296</v>
      </c>
      <c r="B22" s="1">
        <v>32.2602512124855</v>
      </c>
      <c r="C22" s="1">
        <v>24.030352222637699</v>
      </c>
      <c r="D22" s="1">
        <v>27.382583262503999</v>
      </c>
      <c r="E22" s="2">
        <f t="shared" si="0"/>
        <v>3.3308382461188059E-3</v>
      </c>
      <c r="F22" s="2">
        <f t="shared" si="1"/>
        <v>3.401540437094893E-2</v>
      </c>
      <c r="G22" s="1">
        <f t="shared" si="2"/>
        <v>1.0644238339869768E-2</v>
      </c>
      <c r="H22" s="7">
        <v>1.0644238339869768E-2</v>
      </c>
      <c r="I22" s="1"/>
      <c r="J22" s="5" t="s">
        <v>39</v>
      </c>
      <c r="K22" s="7">
        <f t="shared" si="5"/>
        <v>1.4027285599155904E-2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15">
      <c r="A23" s="114" t="s">
        <v>297</v>
      </c>
      <c r="B23" s="1">
        <v>31.586675110498401</v>
      </c>
      <c r="C23" s="1">
        <v>23.223582466080099</v>
      </c>
      <c r="D23" s="1">
        <v>26.007767362738051</v>
      </c>
      <c r="E23" s="2">
        <f t="shared" si="0"/>
        <v>3.0370941657050141E-3</v>
      </c>
      <c r="F23" s="2">
        <f t="shared" si="1"/>
        <v>2.0920951124762176E-2</v>
      </c>
      <c r="G23" s="1">
        <f t="shared" si="2"/>
        <v>7.9711290669524943E-3</v>
      </c>
      <c r="H23" s="7">
        <v>7.9711290669524943E-3</v>
      </c>
      <c r="I23" s="1"/>
      <c r="J23" s="5" t="s">
        <v>40</v>
      </c>
      <c r="K23" s="7">
        <f t="shared" si="5"/>
        <v>1.0504584771562322E-2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15">
      <c r="A24" s="115" t="s">
        <v>298</v>
      </c>
      <c r="B24" s="12">
        <v>30.118385930350598</v>
      </c>
      <c r="C24" s="12">
        <v>23.050457561129299</v>
      </c>
      <c r="D24" s="12">
        <v>24.306172453138402</v>
      </c>
      <c r="E24" s="13">
        <f t="shared" si="0"/>
        <v>7.4531790348160362E-3</v>
      </c>
      <c r="F24" s="13">
        <f t="shared" si="1"/>
        <v>1.7797106616311405E-2</v>
      </c>
      <c r="G24" s="12">
        <f t="shared" si="2"/>
        <v>1.151716205985997E-2</v>
      </c>
      <c r="H24" s="11">
        <v>1.151716205985997E-2</v>
      </c>
      <c r="I24" s="1"/>
      <c r="J24" s="14" t="s">
        <v>41</v>
      </c>
      <c r="K24" s="11">
        <f t="shared" si="5"/>
        <v>1.5177649761964569E-2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15">
      <c r="A25" s="115" t="s">
        <v>298</v>
      </c>
      <c r="B25" s="12">
        <v>30.118385930350598</v>
      </c>
      <c r="C25" s="12">
        <v>23.050457561129299</v>
      </c>
      <c r="D25" s="12">
        <v>24.306172453138402</v>
      </c>
      <c r="E25" s="13">
        <f t="shared" ref="E25" si="6">2^(C25-B25)</f>
        <v>7.4531790348160362E-3</v>
      </c>
      <c r="F25" s="13">
        <f t="shared" ref="F25" si="7">2^(D25-B25)</f>
        <v>1.7797106616311405E-2</v>
      </c>
      <c r="G25" s="12">
        <f t="shared" ref="G25" si="8">(GEOMEAN(E25:F25))</f>
        <v>1.151716205985997E-2</v>
      </c>
      <c r="H25" s="11">
        <v>1.151716205985997E-2</v>
      </c>
      <c r="I25" s="1"/>
      <c r="J25" s="14" t="s">
        <v>41</v>
      </c>
      <c r="K25" s="11">
        <f t="shared" si="5"/>
        <v>1.5177649761964569E-2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5.75" customHeight="1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5.75" customHeight="1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5.75" customHeight="1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5.75" customHeight="1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5.75" customHeight="1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5.75" customHeight="1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5.75" customHeight="1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5.75" customHeight="1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5.75" customHeight="1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5.75" customHeight="1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5.75" customHeight="1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5.75" customHeight="1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5.75" customHeight="1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5.75" customHeight="1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5.75" customHeight="1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5.75" customHeight="1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5.75" customHeight="1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5.75" customHeight="1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5.75" customHeight="1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5.75" customHeight="1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5.75" customHeight="1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5.75" customHeight="1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5.75" customHeight="1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5.75" customHeight="1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5.75" customHeight="1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5.75" customHeight="1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5.75" customHeight="1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5.75" customHeight="1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5.75" customHeight="1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5.75" customHeight="1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5.75" customHeight="1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5.75" customHeight="1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5.75" customHeight="1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5.75" customHeight="1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5.75" customHeight="1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5.75" customHeight="1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5.75" customHeight="1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5.75" customHeight="1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5.75" customHeight="1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5.75" customHeight="1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5.75" customHeight="1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5.75" customHeight="1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5.75" customHeight="1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5.75" customHeight="1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5.75" customHeight="1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5.75" customHeight="1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5.75" customHeight="1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5.75" customHeight="1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5.75" customHeight="1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5.75" customHeight="1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5.75" customHeight="1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5.75" customHeight="1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5.75" customHeight="1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5.75" customHeight="1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5.75" customHeight="1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5.75" customHeight="1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5.75" customHeight="1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5.75" customHeight="1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5.75" customHeight="1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5.75" customHeight="1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5.75" customHeight="1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5.75" customHeight="1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5.75" customHeight="1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5.75" customHeight="1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5.75" customHeight="1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5.75" customHeight="1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5.75" customHeight="1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5.75" customHeight="1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5.75" customHeight="1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5.75" customHeight="1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5.75" customHeight="1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5.75" customHeight="1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5.75" customHeight="1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5.75" customHeight="1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5.75" customHeight="1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5.75" customHeight="1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5.75" customHeight="1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5.75" customHeight="1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5.75" customHeight="1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5.75" customHeight="1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5.75" customHeight="1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5.75" customHeight="1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5.75" customHeight="1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5.75" customHeight="1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5.75" customHeight="1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5.75" customHeight="1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5.75" customHeight="1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5.75" customHeight="1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5.75" customHeight="1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5.75" customHeight="1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5.75" customHeight="1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5.75" customHeight="1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5.75" customHeight="1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5.75" customHeight="1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5.75" customHeight="1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5.75" customHeight="1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5.75" customHeight="1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5.75" customHeight="1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5.75" customHeight="1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5.75" customHeight="1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5.75" customHeight="1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5.75" customHeight="1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5.75" customHeight="1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5.75" customHeight="1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5.75" customHeight="1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5.75" customHeight="1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5.75" customHeight="1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5.75" customHeight="1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5.75" customHeight="1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5.75" customHeight="1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5.75" customHeight="1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5.75" customHeight="1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5.75" customHeight="1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5.75" customHeight="1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5.75" customHeight="1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5.75" customHeight="1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5.75" customHeight="1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5.75" customHeight="1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5.75" customHeight="1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5.75" customHeight="1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5.75" customHeight="1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5.75" customHeight="1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5.75" customHeight="1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5.75" customHeight="1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5.75" customHeight="1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5.75" customHeight="1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5.75" customHeight="1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5.75" customHeight="1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5.75" customHeight="1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5.75" customHeight="1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5.75" customHeight="1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5.75" customHeight="1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5.75" customHeight="1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5.75" customHeight="1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5.75" customHeight="1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5.75" customHeight="1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5.75" customHeight="1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5.75" customHeight="1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5.75" customHeight="1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5.75" customHeight="1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5.75" customHeight="1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5.75" customHeight="1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5.75" customHeight="1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5.75" customHeight="1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5.75" customHeight="1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5.75" customHeight="1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5.75" customHeight="1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5.75" customHeight="1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5.75" customHeight="1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5.75" customHeight="1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5.75" customHeight="1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5.75" customHeight="1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5.75" customHeight="1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5.75" customHeight="1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5.75" customHeight="1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5.75" customHeight="1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5.75" customHeight="1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5.75" customHeight="1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5.75" customHeight="1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5.75" customHeight="1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5.75" customHeight="1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5.75" customHeight="1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5.75" customHeight="1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5.75" customHeight="1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5.75" customHeight="1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5.75" customHeight="1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5.75" customHeight="1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5.75" customHeight="1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5.75" customHeight="1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5.75" customHeight="1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5.75" customHeight="1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5.75" customHeight="1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5.75" customHeight="1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5.75" customHeight="1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5.75" customHeight="1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5.75" customHeight="1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5.75" customHeight="1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5.75" customHeight="1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5.75" customHeight="1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5.75" customHeight="1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5.75" customHeight="1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5.75" customHeight="1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5.75" customHeight="1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5.75" customHeight="1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5.75" customHeight="1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5.75" customHeight="1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5.75" customHeight="1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5.75" customHeight="1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5.75" customHeight="1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5.75" customHeight="1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5.75" customHeight="1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5.75" customHeight="1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5.75" customHeight="1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5.75" customHeight="1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5.75" customHeight="1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5.75" customHeight="1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5.75" customHeight="1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5.75" customHeight="1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5.75" customHeight="1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5.75" customHeight="1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5.75" customHeight="1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5.75" customHeight="1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5.75" customHeight="1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5.75" customHeight="1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5.75" customHeight="1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5.75" customHeight="1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5.75" customHeight="1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5.75" customHeight="1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5.75" customHeight="1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5.75" customHeight="1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5.75" customHeight="1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5.75" customHeight="1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5.75" customHeight="1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5.75" customHeight="1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5.75" customHeight="1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5.75" customHeight="1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5.75" customHeight="1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5.75" customHeight="1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5.75" customHeight="1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5.75" customHeight="1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5.75" customHeight="1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5.75" customHeight="1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5.75" customHeight="1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5.75" customHeight="1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5.75" customHeight="1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5.75" customHeight="1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5.75" customHeight="1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5.75" customHeight="1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5.75" customHeight="1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5.75" customHeight="1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5.75" customHeight="1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5.75" customHeight="1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5.75" customHeight="1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5.75" customHeight="1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5.75" customHeight="1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5.75" customHeight="1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5.75" customHeight="1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5.75" customHeight="1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5.75" customHeight="1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5.75" customHeight="1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5.75" customHeight="1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5.75" customHeight="1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5.75" customHeight="1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5.75" customHeight="1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5.75" customHeight="1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5.75" customHeight="1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5.75" customHeight="1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5.75" customHeight="1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5.75" customHeight="1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5.75" customHeight="1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5.75" customHeight="1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5.75" customHeight="1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5.75" customHeight="1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5.75" customHeight="1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5.75" customHeight="1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5.75" customHeight="1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5.75" customHeight="1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5.75" customHeight="1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5.75" customHeight="1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5.75" customHeight="1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5.75" customHeight="1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5.75" customHeight="1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5.75" customHeight="1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5.75" customHeight="1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5.75" customHeight="1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5.75" customHeight="1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5.75" customHeight="1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5.75" customHeight="1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5.75" customHeight="1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5.75" customHeight="1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5.75" customHeight="1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5.75" customHeight="1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5.75" customHeight="1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5.75" customHeight="1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5.75" customHeight="1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5.75" customHeight="1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5.75" customHeight="1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5.75" customHeight="1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5.75" customHeight="1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5.75" customHeight="1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5.75" customHeight="1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5.75" customHeight="1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5.75" customHeight="1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5.75" customHeight="1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5.75" customHeight="1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5.75" customHeight="1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5.75" customHeight="1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5.75" customHeight="1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5.75" customHeight="1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5.75" customHeight="1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5.75" customHeight="1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5.75" customHeight="1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5.75" customHeight="1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5.75" customHeight="1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5.75" customHeight="1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5.75" customHeight="1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5.75" customHeight="1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5.75" customHeight="1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5.75" customHeight="1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5.75" customHeight="1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5.75" customHeight="1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5.75" customHeight="1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5.75" customHeight="1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5.75" customHeight="1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5.75" customHeight="1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5.75" customHeight="1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5.75" customHeight="1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5.75" customHeight="1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5.75" customHeight="1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5.75" customHeight="1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5.75" customHeight="1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5.75" customHeight="1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5.75" customHeight="1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5.75" customHeight="1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5.75" customHeight="1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5.75" customHeight="1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5.75" customHeight="1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5.75" customHeight="1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5.75" customHeight="1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5.75" customHeight="1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5.75" customHeight="1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5.75" customHeight="1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5.75" customHeight="1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5.75" customHeight="1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5.75" customHeight="1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5.75" customHeight="1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5.75" customHeight="1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5.75" customHeight="1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5.75" customHeight="1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5.75" customHeight="1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5.75" customHeight="1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5.75" customHeight="1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5.75" customHeight="1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5.75" customHeight="1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5.75" customHeight="1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5.75" customHeight="1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5.75" customHeight="1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5.75" customHeight="1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5.75" customHeight="1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5.75" customHeight="1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5.75" customHeight="1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5.75" customHeight="1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5.75" customHeight="1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5.75" customHeight="1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5.75" customHeight="1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5.75" customHeight="1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5.75" customHeight="1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5.75" customHeight="1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5.75" customHeight="1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5.75" customHeight="1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5.75" customHeight="1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5.75" customHeight="1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5.75" customHeight="1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5.75" customHeight="1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5.75" customHeight="1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5.75" customHeight="1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5.75" customHeight="1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5.75" customHeight="1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5.75" customHeight="1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5.75" customHeight="1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5.75" customHeight="1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5.75" customHeight="1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5.75" customHeight="1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5.75" customHeight="1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5.75" customHeight="1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5.75" customHeight="1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5.75" customHeight="1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5.75" customHeight="1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5.75" customHeight="1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5.75" customHeight="1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5.75" customHeight="1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5.75" customHeight="1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5.75" customHeight="1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5.75" customHeight="1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5.75" customHeight="1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5.75" customHeight="1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5.75" customHeight="1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5.75" customHeight="1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5.75" customHeight="1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5.75" customHeight="1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5.75" customHeight="1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5.75" customHeight="1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5.75" customHeight="1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5.75" customHeight="1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5.75" customHeight="1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5.75" customHeight="1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5.75" customHeight="1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5.75" customHeight="1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5.75" customHeight="1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5.75" customHeight="1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5.75" customHeight="1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5.75" customHeight="1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5.75" customHeight="1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5.75" customHeight="1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5.75" customHeight="1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5.75" customHeight="1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5.75" customHeight="1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5.75" customHeight="1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5.75" customHeight="1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5.75" customHeight="1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5.75" customHeight="1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5.75" customHeight="1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5.75" customHeight="1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5.75" customHeight="1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5.75" customHeight="1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5.75" customHeight="1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5.75" customHeight="1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5.75" customHeight="1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5.75" customHeight="1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5.75" customHeight="1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5.75" customHeight="1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5.75" customHeight="1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5.75" customHeight="1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5.75" customHeight="1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5.75" customHeight="1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5.75" customHeight="1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5.75" customHeight="1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5.75" customHeight="1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5.75" customHeight="1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5.75" customHeight="1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5.75" customHeight="1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5.75" customHeight="1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5.75" customHeight="1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5.75" customHeight="1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5.75" customHeight="1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5.75" customHeight="1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5.75" customHeight="1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5.75" customHeight="1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5.75" customHeight="1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5.75" customHeight="1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5.75" customHeight="1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5.75" customHeight="1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5.75" customHeight="1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5.75" customHeight="1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5.75" customHeight="1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5.75" customHeight="1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5.75" customHeight="1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5.75" customHeight="1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5.75" customHeight="1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5.75" customHeight="1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5.75" customHeight="1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5.75" customHeight="1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5.75" customHeight="1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5.75" customHeight="1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5.75" customHeight="1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5.75" customHeight="1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5.75" customHeight="1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5.75" customHeight="1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5.75" customHeight="1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5.75" customHeight="1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5.75" customHeight="1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5.75" customHeight="1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5.75" customHeight="1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5.75" customHeight="1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5.75" customHeight="1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5.75" customHeight="1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5.75" customHeight="1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5.75" customHeight="1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5.75" customHeight="1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5.75" customHeight="1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5.75" customHeight="1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5.75" customHeight="1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5.75" customHeight="1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5.75" customHeight="1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5.75" customHeight="1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5.75" customHeight="1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5.75" customHeight="1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5.75" customHeight="1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5.75" customHeight="1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5.75" customHeight="1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5.75" customHeight="1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5.75" customHeight="1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5.75" customHeight="1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5.75" customHeight="1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5.75" customHeight="1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5.75" customHeight="1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5.75" customHeight="1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5.75" customHeight="1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5.75" customHeight="1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5.75" customHeight="1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5.75" customHeight="1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5.75" customHeight="1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5.75" customHeight="1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5.75" customHeight="1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5.75" customHeight="1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5.75" customHeight="1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5.75" customHeight="1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5.75" customHeight="1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5.75" customHeight="1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5.75" customHeight="1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5.75" customHeight="1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5.75" customHeight="1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5.75" customHeight="1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5.75" customHeight="1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5.75" customHeight="1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5.75" customHeight="1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5.75" customHeight="1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5.75" customHeight="1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5.75" customHeight="1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5.75" customHeight="1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5.75" customHeight="1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5.75" customHeight="1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5.75" customHeight="1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5.75" customHeight="1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5.75" customHeight="1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5.75" customHeight="1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5.75" customHeight="1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5.75" customHeight="1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5.75" customHeight="1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5.75" customHeight="1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5.75" customHeight="1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5.75" customHeight="1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5.75" customHeight="1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5.75" customHeight="1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5.75" customHeight="1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5.75" customHeight="1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5.75" customHeight="1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5.75" customHeight="1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5.75" customHeight="1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5.75" customHeight="1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5.75" customHeight="1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5.75" customHeight="1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5.75" customHeight="1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5.75" customHeight="1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5.75" customHeight="1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5.75" customHeight="1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5.75" customHeight="1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5.75" customHeight="1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5.75" customHeight="1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5.75" customHeight="1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5.75" customHeight="1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5.75" customHeight="1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5.75" customHeight="1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5.75" customHeight="1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5.75" customHeight="1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5.75" customHeight="1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5.75" customHeight="1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5.75" customHeight="1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5.75" customHeight="1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5.75" customHeight="1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5.75" customHeight="1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5.75" customHeight="1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5.75" customHeight="1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5.75" customHeight="1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5.75" customHeight="1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5.75" customHeight="1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5.75" customHeight="1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5.75" customHeight="1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5.75" customHeight="1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5.75" customHeight="1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5.75" customHeight="1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5.75" customHeight="1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5.75" customHeight="1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5.75" customHeight="1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5.75" customHeight="1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5.75" customHeight="1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5.75" customHeight="1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5.75" customHeight="1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5.75" customHeight="1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5.75" customHeight="1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5.75" customHeight="1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5.75" customHeight="1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5.75" customHeight="1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5.75" customHeight="1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5.75" customHeight="1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5.75" customHeight="1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5.75" customHeight="1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5.75" customHeight="1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5.75" customHeight="1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5.75" customHeight="1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5.75" customHeight="1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5.75" customHeight="1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5.75" customHeight="1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5.75" customHeight="1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5.75" customHeight="1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5.75" customHeight="1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5.75" customHeight="1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5.75" customHeight="1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5.75" customHeight="1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5.75" customHeight="1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5.75" customHeight="1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5.75" customHeight="1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5.75" customHeight="1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5.75" customHeight="1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5.75" customHeight="1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5.75" customHeight="1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5.75" customHeight="1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5.75" customHeight="1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5.75" customHeight="1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5.75" customHeight="1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5.75" customHeight="1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5.75" customHeight="1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5.75" customHeight="1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5.75" customHeight="1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5.75" customHeight="1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5.75" customHeight="1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5.75" customHeight="1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5.75" customHeight="1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5.75" customHeight="1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5.75" customHeight="1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5.75" customHeight="1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5.75" customHeight="1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5.75" customHeight="1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5.75" customHeight="1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5.75" customHeight="1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5.75" customHeight="1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5.75" customHeight="1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5.75" customHeight="1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5.75" customHeight="1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5.75" customHeight="1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5.75" customHeight="1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5.75" customHeight="1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5.75" customHeight="1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5.75" customHeight="1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5.75" customHeight="1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5.75" customHeight="1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5.75" customHeight="1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5.75" customHeight="1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5.75" customHeight="1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5.75" customHeight="1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5.75" customHeight="1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5.75" customHeight="1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5.75" customHeight="1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5.75" customHeight="1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5.75" customHeight="1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5.75" customHeight="1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5.75" customHeight="1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5.75" customHeight="1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5.75" customHeight="1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5.75" customHeight="1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5.75" customHeight="1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5.75" customHeight="1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5.75" customHeight="1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5.75" customHeight="1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5.75" customHeight="1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5.75" customHeight="1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5.75" customHeight="1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5.75" customHeight="1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5.75" customHeight="1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5.75" customHeight="1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5.75" customHeight="1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5.75" customHeight="1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5.75" customHeight="1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5.75" customHeight="1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5.75" customHeight="1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5.75" customHeight="1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5.75" customHeight="1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5.75" customHeight="1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5.75" customHeight="1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5.75" customHeight="1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5.75" customHeight="1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5.75" customHeight="1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5.75" customHeight="1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5.75" customHeight="1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5.75" customHeight="1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5.75" customHeight="1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5.75" customHeight="1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5.75" customHeight="1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5.75" customHeight="1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5.75" customHeight="1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5.75" customHeight="1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5.75" customHeight="1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5.75" customHeight="1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5.75" customHeight="1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5.75" customHeight="1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5.75" customHeight="1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5.75" customHeight="1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5.75" customHeight="1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5.75" customHeight="1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5.75" customHeight="1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5.75" customHeight="1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5.75" customHeight="1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5.75" customHeight="1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5.75" customHeight="1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5.75" customHeight="1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5.75" customHeight="1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5.75" customHeight="1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5.75" customHeight="1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5.75" customHeight="1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5.75" customHeight="1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5.75" customHeight="1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5.75" customHeight="1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5.75" customHeight="1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5.75" customHeight="1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5.75" customHeight="1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5.75" customHeight="1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5.75" customHeight="1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5.75" customHeight="1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5.75" customHeight="1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5.75" customHeight="1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5.75" customHeight="1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5.75" customHeight="1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5.75" customHeight="1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5.75" customHeight="1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5.75" customHeight="1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5.75" customHeight="1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5.75" customHeight="1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5.75" customHeight="1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5.75" customHeight="1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5.75" customHeight="1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5.75" customHeight="1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5.75" customHeight="1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5.75" customHeight="1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5.75" customHeight="1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5.75" customHeight="1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5.75" customHeight="1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5.75" customHeight="1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5.75" customHeight="1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5.75" customHeight="1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5.75" customHeight="1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5.75" customHeight="1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5.75" customHeight="1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5.75" customHeight="1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5.75" customHeight="1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5.75" customHeight="1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5.75" customHeight="1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5.75" customHeight="1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5.75" customHeight="1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5.75" customHeight="1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5.75" customHeight="1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5.75" customHeight="1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5.75" customHeight="1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5.75" customHeight="1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5.75" customHeight="1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5.75" customHeight="1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5.75" customHeight="1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5.75" customHeight="1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5.75" customHeight="1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5.75" customHeight="1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5.75" customHeight="1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5.75" customHeight="1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5.75" customHeight="1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5.75" customHeight="1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5.75" customHeight="1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5.75" customHeight="1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5.75" customHeight="1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5.75" customHeight="1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5.75" customHeight="1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5.75" customHeight="1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5.75" customHeight="1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5.75" customHeight="1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5.75" customHeight="1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5.75" customHeight="1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5.75" customHeight="1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5.75" customHeight="1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5.75" customHeight="1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5.75" customHeight="1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5.75" customHeight="1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5.75" customHeight="1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5.75" customHeight="1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5.75" customHeight="1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5.75" customHeight="1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5.75" customHeight="1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5.75" customHeight="1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5.75" customHeight="1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5.75" customHeight="1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5.75" customHeight="1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5.75" customHeight="1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5.75" customHeight="1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5.75" customHeight="1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5.75" customHeight="1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5.75" customHeight="1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5.75" customHeight="1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5.75" customHeight="1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5.75" customHeight="1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5.75" customHeight="1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5.75" customHeight="1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5.75" customHeight="1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5.75" customHeight="1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5.75" customHeight="1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5.75" customHeight="1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5.75" customHeight="1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5.75" customHeight="1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spans="1:29" ht="15.75" customHeight="1" x14ac:dyDescent="0.15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</sheetData>
  <mergeCells count="2">
    <mergeCell ref="J1:K1"/>
    <mergeCell ref="M1:N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9"/>
  <sheetViews>
    <sheetView workbookViewId="0">
      <selection activeCell="G45" sqref="G45"/>
    </sheetView>
  </sheetViews>
  <sheetFormatPr baseColWidth="10" defaultColWidth="12.6640625" defaultRowHeight="15" customHeight="1" x14ac:dyDescent="0.15"/>
  <cols>
    <col min="1" max="1" width="22.6640625" customWidth="1"/>
    <col min="2" max="7" width="12.6640625" customWidth="1"/>
    <col min="8" max="8" width="14.5" customWidth="1"/>
    <col min="9" max="9" width="9.33203125" customWidth="1"/>
    <col min="10" max="10" width="27.33203125" customWidth="1"/>
    <col min="11" max="11" width="17" customWidth="1"/>
    <col min="12" max="12" width="17.1640625" customWidth="1"/>
    <col min="13" max="13" width="22.1640625" customWidth="1"/>
    <col min="14" max="29" width="12.6640625" customWidth="1"/>
  </cols>
  <sheetData>
    <row r="1" spans="1:29" ht="15.75" customHeight="1" x14ac:dyDescent="0.15">
      <c r="A1" s="15"/>
      <c r="B1" s="16" t="s">
        <v>0</v>
      </c>
      <c r="C1" s="17"/>
      <c r="D1" s="18"/>
      <c r="E1" s="16" t="s">
        <v>1</v>
      </c>
      <c r="F1" s="18"/>
      <c r="G1" s="15"/>
      <c r="H1" s="15"/>
      <c r="J1" s="162" t="s">
        <v>2</v>
      </c>
      <c r="K1" s="163"/>
      <c r="L1" s="15"/>
      <c r="M1" s="164" t="s">
        <v>3</v>
      </c>
      <c r="N1" s="16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s="142" customFormat="1" ht="15.75" customHeight="1" x14ac:dyDescent="0.15">
      <c r="A2" s="143" t="s">
        <v>4</v>
      </c>
      <c r="B2" s="144" t="s">
        <v>42</v>
      </c>
      <c r="C2" s="143" t="s">
        <v>43</v>
      </c>
      <c r="D2" s="144" t="s">
        <v>7</v>
      </c>
      <c r="E2" s="145" t="s">
        <v>44</v>
      </c>
      <c r="F2" s="145" t="s">
        <v>9</v>
      </c>
      <c r="G2" s="146" t="s">
        <v>45</v>
      </c>
      <c r="H2" s="147" t="s">
        <v>11</v>
      </c>
      <c r="J2" s="156" t="s">
        <v>12</v>
      </c>
      <c r="K2" s="157" t="s">
        <v>13</v>
      </c>
      <c r="L2" s="148"/>
      <c r="M2" s="166" t="s">
        <v>46</v>
      </c>
      <c r="N2" s="167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</row>
    <row r="3" spans="1:29" ht="15.75" customHeight="1" x14ac:dyDescent="0.15">
      <c r="A3" s="20" t="s">
        <v>285</v>
      </c>
      <c r="B3" s="21">
        <v>28.995960041307249</v>
      </c>
      <c r="C3" s="21">
        <v>23.6227249583823</v>
      </c>
      <c r="D3" s="21">
        <v>25.582800965671499</v>
      </c>
      <c r="E3" s="22">
        <f t="shared" ref="E3:E20" si="0">2^(C3-B3)</f>
        <v>2.412654123967713E-2</v>
      </c>
      <c r="F3" s="22">
        <f t="shared" ref="F3:F19" si="1">2^(D3-B3)</f>
        <v>9.3872144255008422E-2</v>
      </c>
      <c r="G3" s="21">
        <f t="shared" ref="G3:H3" si="2">(GEOMEAN(E3:F3))</f>
        <v>4.7590021639261536E-2</v>
      </c>
      <c r="H3" s="23">
        <f t="shared" si="2"/>
        <v>6.6838442354828484E-2</v>
      </c>
      <c r="J3" s="152" t="s">
        <v>285</v>
      </c>
      <c r="K3" s="153">
        <f t="shared" ref="K3:K20" si="3">G3/$H$16</f>
        <v>0.29147446077108907</v>
      </c>
      <c r="L3" s="21"/>
      <c r="M3" s="152" t="s">
        <v>47</v>
      </c>
      <c r="N3" s="153">
        <v>1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15.75" customHeight="1" x14ac:dyDescent="0.15">
      <c r="A4" s="20" t="s">
        <v>286</v>
      </c>
      <c r="B4" s="21">
        <v>28.085133433420552</v>
      </c>
      <c r="C4" s="21">
        <v>19.018436736172852</v>
      </c>
      <c r="D4" s="21">
        <v>19.189134356606601</v>
      </c>
      <c r="E4" s="22">
        <f t="shared" si="0"/>
        <v>1.8648861884851186E-3</v>
      </c>
      <c r="F4" s="22">
        <f t="shared" si="1"/>
        <v>2.0991208214683776E-3</v>
      </c>
      <c r="G4" s="21">
        <f t="shared" ref="G4:H4" si="4">(GEOMEAN(E4:F4))</f>
        <v>1.9785402265099171E-3</v>
      </c>
      <c r="H4" s="23">
        <f t="shared" si="4"/>
        <v>2.0379389062431994E-3</v>
      </c>
      <c r="J4" s="152" t="s">
        <v>286</v>
      </c>
      <c r="K4" s="153">
        <f t="shared" si="3"/>
        <v>1.2117959306833282E-2</v>
      </c>
      <c r="L4" s="21"/>
      <c r="M4" s="152" t="s">
        <v>18</v>
      </c>
      <c r="N4" s="153">
        <v>0.83891885973421587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5.75" customHeight="1" x14ac:dyDescent="0.15">
      <c r="A5" s="20" t="s">
        <v>287</v>
      </c>
      <c r="B5" s="21">
        <v>25.296451915304502</v>
      </c>
      <c r="C5" s="21">
        <v>18.618480531257351</v>
      </c>
      <c r="D5" s="24">
        <v>19.670010476732898</v>
      </c>
      <c r="E5" s="22">
        <f t="shared" si="0"/>
        <v>9.7663054523491263E-3</v>
      </c>
      <c r="F5" s="22">
        <f t="shared" si="1"/>
        <v>2.0242882681449394E-2</v>
      </c>
      <c r="G5" s="21">
        <f t="shared" ref="G5:H5" si="5">(GEOMEAN(E5:F5))</f>
        <v>1.4060518322704284E-2</v>
      </c>
      <c r="H5" s="23">
        <f t="shared" si="5"/>
        <v>1.687084535068923E-2</v>
      </c>
      <c r="J5" s="152" t="s">
        <v>287</v>
      </c>
      <c r="K5" s="153">
        <f t="shared" si="3"/>
        <v>8.611641380072807E-2</v>
      </c>
      <c r="L5" s="21"/>
      <c r="M5" s="152" t="s">
        <v>48</v>
      </c>
      <c r="N5" s="153">
        <v>9.6344732945122774E-2</v>
      </c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 spans="1:29" ht="15.75" customHeight="1" x14ac:dyDescent="0.15">
      <c r="A6" s="20" t="s">
        <v>288</v>
      </c>
      <c r="B6" s="21">
        <v>25.571107756717403</v>
      </c>
      <c r="C6" s="21">
        <v>19.506331386150052</v>
      </c>
      <c r="D6" s="24">
        <v>21.689107878470999</v>
      </c>
      <c r="E6" s="22">
        <f t="shared" si="0"/>
        <v>1.4938961068069887E-2</v>
      </c>
      <c r="F6" s="22">
        <f t="shared" si="1"/>
        <v>6.7826841466734303E-2</v>
      </c>
      <c r="G6" s="21">
        <f t="shared" ref="G6:H6" si="6">(GEOMEAN(E6:F6))</f>
        <v>3.1831785121819542E-2</v>
      </c>
      <c r="H6" s="23">
        <f t="shared" si="6"/>
        <v>4.646557266472464E-2</v>
      </c>
      <c r="J6" s="152" t="s">
        <v>288</v>
      </c>
      <c r="K6" s="153">
        <f t="shared" si="3"/>
        <v>0.19496003750729748</v>
      </c>
      <c r="L6" s="21"/>
      <c r="M6" s="152" t="s">
        <v>285</v>
      </c>
      <c r="N6" s="153">
        <v>0.46046473574790331</v>
      </c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5.75" customHeight="1" x14ac:dyDescent="0.15">
      <c r="A7" s="20" t="s">
        <v>289</v>
      </c>
      <c r="B7" s="21">
        <v>24.942803669571951</v>
      </c>
      <c r="C7" s="21">
        <v>18.05319462264195</v>
      </c>
      <c r="D7" s="24">
        <v>18.88813744582615</v>
      </c>
      <c r="E7" s="22">
        <f t="shared" si="0"/>
        <v>8.4337557348070288E-3</v>
      </c>
      <c r="F7" s="22">
        <f t="shared" si="1"/>
        <v>1.5044018295818565E-2</v>
      </c>
      <c r="G7" s="21">
        <f t="shared" ref="G7:H7" si="7">(GEOMEAN(E7:F7))</f>
        <v>1.1263994654513188E-2</v>
      </c>
      <c r="H7" s="23">
        <f t="shared" si="7"/>
        <v>1.301751672426423E-2</v>
      </c>
      <c r="J7" s="152" t="s">
        <v>289</v>
      </c>
      <c r="K7" s="153">
        <f t="shared" si="3"/>
        <v>6.8988553796833427E-2</v>
      </c>
      <c r="L7" s="21"/>
      <c r="M7" s="152" t="s">
        <v>288</v>
      </c>
      <c r="N7" s="153">
        <v>0.32011155383982076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5.75" customHeight="1" x14ac:dyDescent="0.15">
      <c r="A8" s="20" t="s">
        <v>290</v>
      </c>
      <c r="B8" s="21">
        <v>24.944666062074248</v>
      </c>
      <c r="C8" s="21">
        <v>18.119697572061849</v>
      </c>
      <c r="D8" s="24">
        <v>18.560993749007849</v>
      </c>
      <c r="E8" s="22">
        <f t="shared" si="0"/>
        <v>8.8202270535441985E-3</v>
      </c>
      <c r="F8" s="22">
        <f t="shared" si="1"/>
        <v>1.1976313373436276E-2</v>
      </c>
      <c r="G8" s="21">
        <f t="shared" ref="G8:H8" si="8">(GEOMEAN(E8:F8))</f>
        <v>1.0277830666930927E-2</v>
      </c>
      <c r="H8" s="23">
        <f t="shared" si="8"/>
        <v>1.1094616751662869E-2</v>
      </c>
      <c r="J8" s="152" t="s">
        <v>290</v>
      </c>
      <c r="K8" s="153">
        <f t="shared" si="3"/>
        <v>6.2948598221875915E-2</v>
      </c>
      <c r="L8" s="21"/>
      <c r="M8" s="152" t="s">
        <v>287</v>
      </c>
      <c r="N8" s="153">
        <v>0.11622696568852132</v>
      </c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5.75" customHeight="1" x14ac:dyDescent="0.15">
      <c r="A9" s="20" t="s">
        <v>291</v>
      </c>
      <c r="B9" s="21">
        <v>24.61397121947855</v>
      </c>
      <c r="C9" s="21">
        <v>17.73981630815285</v>
      </c>
      <c r="D9" s="21">
        <v>18.232602869831901</v>
      </c>
      <c r="E9" s="22">
        <f t="shared" si="0"/>
        <v>8.5245836516808175E-3</v>
      </c>
      <c r="F9" s="22">
        <f t="shared" si="1"/>
        <v>1.1995454655322459E-2</v>
      </c>
      <c r="G9" s="21">
        <f t="shared" ref="G9:H9" si="9">(GEOMEAN(E9:F9))</f>
        <v>1.0112183574739947E-2</v>
      </c>
      <c r="H9" s="23">
        <f t="shared" si="9"/>
        <v>1.1013638796378315E-2</v>
      </c>
      <c r="J9" s="152" t="s">
        <v>291</v>
      </c>
      <c r="K9" s="153">
        <f t="shared" si="3"/>
        <v>6.1934059980211564E-2</v>
      </c>
      <c r="L9" s="21"/>
      <c r="M9" s="152" t="s">
        <v>289</v>
      </c>
      <c r="N9" s="153">
        <v>8.9680536938772967E-2</v>
      </c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5.75" customHeight="1" x14ac:dyDescent="0.15">
      <c r="A10" s="20" t="s">
        <v>292</v>
      </c>
      <c r="B10" s="21">
        <v>24.079722624431099</v>
      </c>
      <c r="C10" s="21">
        <v>17.2322260536633</v>
      </c>
      <c r="D10" s="21">
        <v>17.490915037506397</v>
      </c>
      <c r="E10" s="22">
        <f t="shared" si="0"/>
        <v>8.683566549344348E-3</v>
      </c>
      <c r="F10" s="22">
        <f t="shared" si="1"/>
        <v>1.0388941019372062E-2</v>
      </c>
      <c r="G10" s="21">
        <f t="shared" ref="G10:H10" si="10">(GEOMEAN(E10:F10))</f>
        <v>9.4980556283341799E-3</v>
      </c>
      <c r="H10" s="23">
        <f t="shared" si="10"/>
        <v>9.9335159798270151E-3</v>
      </c>
      <c r="J10" s="152" t="s">
        <v>292</v>
      </c>
      <c r="K10" s="153">
        <f t="shared" si="3"/>
        <v>5.8172712414960595E-2</v>
      </c>
      <c r="L10" s="21"/>
      <c r="M10" s="152" t="s">
        <v>290</v>
      </c>
      <c r="N10" s="153">
        <v>7.6433255934631253E-2</v>
      </c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5.75" customHeight="1" x14ac:dyDescent="0.15">
      <c r="A11" s="20" t="s">
        <v>293</v>
      </c>
      <c r="B11" s="21">
        <v>25.4572083136832</v>
      </c>
      <c r="C11" s="21">
        <v>19.209911734774849</v>
      </c>
      <c r="D11" s="21">
        <v>19.201101537735401</v>
      </c>
      <c r="E11" s="22">
        <f t="shared" si="0"/>
        <v>1.3163650343909716E-2</v>
      </c>
      <c r="F11" s="22">
        <f t="shared" si="1"/>
        <v>1.3083508002123278E-2</v>
      </c>
      <c r="G11" s="21">
        <f t="shared" ref="G11:H11" si="11">(GEOMEAN(E11:F11))</f>
        <v>1.3123517996775698E-2</v>
      </c>
      <c r="H11" s="23">
        <f t="shared" si="11"/>
        <v>1.3103497728729673E-2</v>
      </c>
      <c r="J11" s="152" t="s">
        <v>293</v>
      </c>
      <c r="K11" s="153">
        <f t="shared" si="3"/>
        <v>8.037757075475109E-2</v>
      </c>
      <c r="L11" s="21"/>
      <c r="M11" s="152" t="s">
        <v>291</v>
      </c>
      <c r="N11" s="153">
        <v>7.5875380983213947E-2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5.75" customHeight="1" x14ac:dyDescent="0.15">
      <c r="A12" s="20" t="s">
        <v>295</v>
      </c>
      <c r="B12" s="21">
        <v>25.7714235725464</v>
      </c>
      <c r="C12" s="21">
        <v>18.367738696998899</v>
      </c>
      <c r="D12" s="21">
        <v>19.0836912429268</v>
      </c>
      <c r="E12" s="22">
        <f t="shared" si="0"/>
        <v>5.9056645393979999E-3</v>
      </c>
      <c r="F12" s="22">
        <f t="shared" si="1"/>
        <v>9.7004518836419692E-3</v>
      </c>
      <c r="G12" s="21">
        <f t="shared" ref="G12:H12" si="12">(GEOMEAN(E12:F12))</f>
        <v>7.5688582167564022E-3</v>
      </c>
      <c r="H12" s="23">
        <f t="shared" si="12"/>
        <v>8.5686256159172719E-3</v>
      </c>
      <c r="J12" s="152" t="s">
        <v>295</v>
      </c>
      <c r="K12" s="153">
        <f t="shared" si="3"/>
        <v>4.6356962896647515E-2</v>
      </c>
      <c r="L12" s="21"/>
      <c r="M12" s="152" t="s">
        <v>292</v>
      </c>
      <c r="N12" s="153">
        <v>6.8434177242135977E-2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5.75" customHeight="1" x14ac:dyDescent="0.15">
      <c r="A13" s="20" t="s">
        <v>28</v>
      </c>
      <c r="B13" s="21">
        <v>22.457230154852802</v>
      </c>
      <c r="C13" s="21">
        <v>18.743794749598102</v>
      </c>
      <c r="D13" s="21">
        <v>20.797232905101048</v>
      </c>
      <c r="E13" s="22">
        <f t="shared" si="0"/>
        <v>7.6233271224364907E-2</v>
      </c>
      <c r="F13" s="22">
        <f t="shared" si="1"/>
        <v>0.31643975172957989</v>
      </c>
      <c r="G13" s="21">
        <f t="shared" ref="G13:G20" si="13">(GEOMEAN(E13:F13))</f>
        <v>0.15531657161993936</v>
      </c>
      <c r="H13" s="25">
        <f>AVERAGE(G13:G15)</f>
        <v>0.12177269070485851</v>
      </c>
      <c r="J13" s="152" t="s">
        <v>28</v>
      </c>
      <c r="K13" s="153">
        <f t="shared" si="3"/>
        <v>0.95126693374704974</v>
      </c>
      <c r="L13" s="21"/>
      <c r="M13" s="152" t="s">
        <v>293</v>
      </c>
      <c r="N13" s="153">
        <v>9.0272878996810996E-2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5.75" customHeight="1" x14ac:dyDescent="0.15">
      <c r="A14" s="20" t="s">
        <v>30</v>
      </c>
      <c r="B14" s="21">
        <v>27.464543799811501</v>
      </c>
      <c r="C14" s="21">
        <v>20.214033812251898</v>
      </c>
      <c r="D14" s="21">
        <v>21.699003692188001</v>
      </c>
      <c r="E14" s="22">
        <f t="shared" si="0"/>
        <v>6.567181358579764E-3</v>
      </c>
      <c r="F14" s="22">
        <f t="shared" si="1"/>
        <v>1.8382284629858248E-2</v>
      </c>
      <c r="G14" s="21">
        <f t="shared" si="13"/>
        <v>1.0987256115578284E-2</v>
      </c>
      <c r="H14" s="26" t="s">
        <v>316</v>
      </c>
      <c r="J14" s="152" t="s">
        <v>30</v>
      </c>
      <c r="K14" s="153">
        <f t="shared" si="3"/>
        <v>6.7293614109222855E-2</v>
      </c>
      <c r="L14" s="21"/>
      <c r="M14" s="152" t="s">
        <v>295</v>
      </c>
      <c r="N14" s="153">
        <v>5.9031147210315424E-2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5.75" customHeight="1" thickBot="1" x14ac:dyDescent="0.2">
      <c r="A15" s="20" t="s">
        <v>31</v>
      </c>
      <c r="B15" s="21">
        <v>25.590568399999999</v>
      </c>
      <c r="C15" s="27">
        <v>22.558559150000001</v>
      </c>
      <c r="D15" s="21">
        <v>23.964464849999999</v>
      </c>
      <c r="E15" s="22">
        <f t="shared" si="0"/>
        <v>0.12225715031306356</v>
      </c>
      <c r="F15" s="22">
        <f t="shared" si="1"/>
        <v>0.32396198802562198</v>
      </c>
      <c r="G15" s="21">
        <f t="shared" si="13"/>
        <v>0.19901424437905785</v>
      </c>
      <c r="H15" s="26" t="s">
        <v>316</v>
      </c>
      <c r="J15" s="152" t="s">
        <v>31</v>
      </c>
      <c r="K15" s="153">
        <f t="shared" si="3"/>
        <v>1.2189019371719654</v>
      </c>
      <c r="L15" s="21"/>
      <c r="M15" s="154" t="s">
        <v>286</v>
      </c>
      <c r="N15" s="155">
        <v>1.4039809529849923E-2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5.75" customHeight="1" x14ac:dyDescent="0.15">
      <c r="A16" s="20" t="s">
        <v>49</v>
      </c>
      <c r="B16" s="21">
        <v>25.1726377175526</v>
      </c>
      <c r="C16" s="21">
        <v>20.030328683748102</v>
      </c>
      <c r="D16" s="21">
        <v>22.387713655496899</v>
      </c>
      <c r="E16" s="22">
        <f t="shared" si="0"/>
        <v>2.8314619762310804E-2</v>
      </c>
      <c r="F16" s="22">
        <f t="shared" si="1"/>
        <v>0.14509562637531462</v>
      </c>
      <c r="G16" s="21">
        <f t="shared" si="13"/>
        <v>6.4096236160880365E-2</v>
      </c>
      <c r="H16" s="25">
        <f>AVERAGE(G16:G20)</f>
        <v>0.1632733842730619</v>
      </c>
      <c r="J16" s="152" t="s">
        <v>49</v>
      </c>
      <c r="K16" s="153">
        <f t="shared" si="3"/>
        <v>0.39257002264180701</v>
      </c>
      <c r="L16" s="21"/>
      <c r="M16" s="21"/>
      <c r="N16" s="21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5.75" customHeight="1" x14ac:dyDescent="0.15">
      <c r="A17" s="20" t="s">
        <v>50</v>
      </c>
      <c r="B17" s="21">
        <v>25.135294255229901</v>
      </c>
      <c r="C17" s="21">
        <v>23.168645470108899</v>
      </c>
      <c r="D17" s="21">
        <v>25.259959660720799</v>
      </c>
      <c r="E17" s="22">
        <f t="shared" si="0"/>
        <v>0.25584664408176327</v>
      </c>
      <c r="F17" s="22">
        <f t="shared" si="1"/>
        <v>1.0902548479040426</v>
      </c>
      <c r="G17" s="21">
        <f t="shared" si="13"/>
        <v>0.52814585488302612</v>
      </c>
      <c r="H17" s="26" t="s">
        <v>316</v>
      </c>
      <c r="J17" s="152" t="s">
        <v>50</v>
      </c>
      <c r="K17" s="153">
        <f t="shared" si="3"/>
        <v>3.2347333108484091</v>
      </c>
      <c r="L17" s="21"/>
      <c r="M17" s="21"/>
      <c r="N17" s="21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5.75" customHeight="1" x14ac:dyDescent="0.15">
      <c r="A18" s="20" t="s">
        <v>51</v>
      </c>
      <c r="B18" s="21">
        <v>24.780691178788398</v>
      </c>
      <c r="C18" s="21">
        <v>19.51966366143105</v>
      </c>
      <c r="D18" s="21">
        <v>22.906894585481499</v>
      </c>
      <c r="E18" s="22">
        <f t="shared" si="0"/>
        <v>2.6077917632149603E-2</v>
      </c>
      <c r="F18" s="22">
        <f t="shared" si="1"/>
        <v>0.27285443651059882</v>
      </c>
      <c r="G18" s="21">
        <f t="shared" si="13"/>
        <v>8.4353278068430695E-2</v>
      </c>
      <c r="H18" s="25">
        <f>AVERAGE(G3:G12)</f>
        <v>1.573053060483456E-2</v>
      </c>
      <c r="J18" s="152" t="s">
        <v>51</v>
      </c>
      <c r="K18" s="153">
        <f t="shared" si="3"/>
        <v>0.51663826559359161</v>
      </c>
      <c r="L18" s="21"/>
      <c r="M18" s="21"/>
      <c r="N18" s="21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15.75" customHeight="1" x14ac:dyDescent="0.15">
      <c r="A19" s="20" t="s">
        <v>52</v>
      </c>
      <c r="B19" s="21">
        <v>25.359777050000002</v>
      </c>
      <c r="C19" s="21">
        <v>19.322843900000002</v>
      </c>
      <c r="D19" s="21">
        <v>22.243480999999999</v>
      </c>
      <c r="E19" s="22">
        <f t="shared" si="0"/>
        <v>1.5230074930622246E-2</v>
      </c>
      <c r="F19" s="22">
        <f t="shared" si="1"/>
        <v>0.11531914494738563</v>
      </c>
      <c r="G19" s="21">
        <f t="shared" si="13"/>
        <v>4.190846237317674E-2</v>
      </c>
      <c r="H19" s="26" t="s">
        <v>316</v>
      </c>
      <c r="J19" s="152" t="s">
        <v>52</v>
      </c>
      <c r="K19" s="153">
        <f t="shared" si="3"/>
        <v>0.2566766320166925</v>
      </c>
      <c r="L19" s="21"/>
      <c r="M19" s="21"/>
      <c r="N19" s="21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15.75" customHeight="1" thickBot="1" x14ac:dyDescent="0.2">
      <c r="A20" s="149" t="s">
        <v>53</v>
      </c>
      <c r="B20" s="150">
        <v>27.203785064133001</v>
      </c>
      <c r="C20" s="150">
        <v>19.759206710000001</v>
      </c>
      <c r="D20" s="150">
        <v>20.497602353413502</v>
      </c>
      <c r="E20" s="151">
        <f t="shared" si="0"/>
        <v>5.7406174966400363E-3</v>
      </c>
      <c r="F20" s="151">
        <f>2^(D20-C20)</f>
        <v>1.6683195433986775</v>
      </c>
      <c r="G20" s="150">
        <f t="shared" si="13"/>
        <v>9.7863089879795667E-2</v>
      </c>
      <c r="H20" s="190" t="s">
        <v>316</v>
      </c>
      <c r="J20" s="154" t="s">
        <v>53</v>
      </c>
      <c r="K20" s="155">
        <f t="shared" si="3"/>
        <v>0.59938176889950012</v>
      </c>
      <c r="L20" s="21"/>
      <c r="M20" s="21"/>
      <c r="N20" s="21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 spans="1:29" ht="15.75" customHeight="1" x14ac:dyDescent="0.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 spans="1:29" ht="15.75" customHeight="1" x14ac:dyDescent="0.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 spans="1:29" ht="15.75" customHeight="1" x14ac:dyDescent="0.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 spans="1:29" ht="15.75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 spans="1:29" ht="15.75" customHeight="1" x14ac:dyDescent="0.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5.75" customHeight="1" x14ac:dyDescent="0.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 spans="1:29" ht="15.75" customHeight="1" x14ac:dyDescent="0.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ht="15.75" customHeight="1" x14ac:dyDescent="0.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ht="15.75" customHeight="1" x14ac:dyDescent="0.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5.75" customHeight="1" x14ac:dyDescent="0.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5.75" customHeight="1" x14ac:dyDescent="0.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5.75" customHeight="1" x14ac:dyDescent="0.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15.75" customHeight="1" x14ac:dyDescent="0.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5.75" customHeight="1" x14ac:dyDescent="0.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5.75" customHeight="1" x14ac:dyDescent="0.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5.75" customHeight="1" x14ac:dyDescent="0.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5.75" customHeight="1" x14ac:dyDescent="0.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spans="1:29" ht="15.75" customHeight="1" x14ac:dyDescent="0.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spans="1:29" ht="15.75" customHeight="1" x14ac:dyDescent="0.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spans="1:29" ht="15.75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spans="1:29" ht="15.75" customHeight="1" x14ac:dyDescent="0.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spans="1:29" ht="15.75" customHeight="1" x14ac:dyDescent="0.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spans="1:29" ht="15.75" customHeight="1" x14ac:dyDescent="0.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spans="1:29" ht="15.75" customHeight="1" x14ac:dyDescent="0.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spans="1:29" ht="15.75" customHeight="1" x14ac:dyDescent="0.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 spans="1:29" ht="15.75" customHeight="1" x14ac:dyDescent="0.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 spans="1:29" ht="15.75" customHeight="1" x14ac:dyDescent="0.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spans="1:29" ht="15.75" customHeight="1" x14ac:dyDescent="0.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spans="1:29" ht="15.75" customHeight="1" x14ac:dyDescent="0.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spans="1:29" ht="15.75" customHeight="1" x14ac:dyDescent="0.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spans="1:29" ht="15.75" customHeight="1" x14ac:dyDescent="0.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spans="1:29" ht="15.75" customHeight="1" x14ac:dyDescent="0.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spans="1:29" ht="15.75" customHeight="1" x14ac:dyDescent="0.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spans="1:29" ht="15.75" customHeight="1" x14ac:dyDescent="0.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 ht="15.75" customHeight="1" x14ac:dyDescent="0.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 ht="15.75" customHeight="1" x14ac:dyDescent="0.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 ht="15.75" customHeight="1" x14ac:dyDescent="0.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 ht="15.75" customHeight="1" x14ac:dyDescent="0.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 ht="15.75" customHeight="1" x14ac:dyDescent="0.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 ht="15.75" customHeight="1" x14ac:dyDescent="0.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 ht="15.75" customHeight="1" x14ac:dyDescent="0.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spans="1:29" ht="15.75" customHeight="1" x14ac:dyDescent="0.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spans="1:29" ht="15.75" customHeight="1" x14ac:dyDescent="0.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5.75" customHeight="1" x14ac:dyDescent="0.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ht="15.75" customHeight="1" x14ac:dyDescent="0.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ht="15.75" customHeight="1" x14ac:dyDescent="0.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spans="1:29" ht="15.75" customHeight="1" x14ac:dyDescent="0.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spans="1:29" ht="15.75" customHeight="1" x14ac:dyDescent="0.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spans="1:29" ht="15.75" customHeight="1" x14ac:dyDescent="0.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spans="1:29" ht="15.75" customHeight="1" x14ac:dyDescent="0.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spans="1:29" ht="15.75" customHeight="1" x14ac:dyDescent="0.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spans="1:29" ht="15.75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5.75" customHeight="1" x14ac:dyDescent="0.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5.75" customHeight="1" x14ac:dyDescent="0.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 spans="1:29" ht="15.75" customHeight="1" x14ac:dyDescent="0.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5.75" customHeight="1" x14ac:dyDescent="0.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5.75" customHeight="1" x14ac:dyDescent="0.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5.75" customHeight="1" x14ac:dyDescent="0.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5.75" customHeight="1" x14ac:dyDescent="0.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5.75" customHeight="1" x14ac:dyDescent="0.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5.75" customHeight="1" x14ac:dyDescent="0.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5.75" customHeight="1" x14ac:dyDescent="0.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5.75" customHeight="1" x14ac:dyDescent="0.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5.75" customHeight="1" x14ac:dyDescent="0.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5.75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5.75" customHeight="1" x14ac:dyDescent="0.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5.75" customHeight="1" x14ac:dyDescent="0.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5.75" customHeight="1" x14ac:dyDescent="0.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5.75" customHeight="1" x14ac:dyDescent="0.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5.75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ht="15.75" customHeight="1" x14ac:dyDescent="0.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ht="15.75" customHeight="1" x14ac:dyDescent="0.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spans="1:29" ht="15.75" customHeight="1" x14ac:dyDescent="0.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spans="1:29" ht="15.75" customHeight="1" x14ac:dyDescent="0.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spans="1:29" ht="15.75" customHeight="1" x14ac:dyDescent="0.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spans="1:29" ht="15.75" customHeight="1" x14ac:dyDescent="0.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spans="1:29" ht="15.75" customHeight="1" x14ac:dyDescent="0.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spans="1:29" ht="15.75" customHeight="1" x14ac:dyDescent="0.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spans="1:29" ht="15.75" customHeight="1" x14ac:dyDescent="0.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spans="1:29" ht="15.75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spans="1:29" ht="15.75" customHeight="1" x14ac:dyDescent="0.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spans="1:29" ht="15.75" customHeight="1" x14ac:dyDescent="0.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spans="1:29" ht="15.75" customHeight="1" x14ac:dyDescent="0.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spans="1:29" ht="15.75" customHeight="1" x14ac:dyDescent="0.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spans="1:29" ht="15.75" customHeight="1" x14ac:dyDescent="0.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spans="1:29" ht="15.75" customHeight="1" x14ac:dyDescent="0.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spans="1:29" ht="15.75" customHeight="1" x14ac:dyDescent="0.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spans="1:29" ht="15.75" customHeight="1" x14ac:dyDescent="0.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spans="1:29" ht="15.75" customHeight="1" x14ac:dyDescent="0.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spans="1:29" ht="15.75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spans="1:29" ht="15.75" customHeight="1" x14ac:dyDescent="0.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spans="1:29" ht="15.75" customHeight="1" x14ac:dyDescent="0.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spans="1:29" ht="15.75" customHeight="1" x14ac:dyDescent="0.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spans="1:29" ht="15.75" customHeight="1" x14ac:dyDescent="0.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spans="1:29" ht="15.75" customHeight="1" x14ac:dyDescent="0.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spans="1:29" ht="15.75" customHeight="1" x14ac:dyDescent="0.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spans="1:29" ht="15.75" customHeight="1" x14ac:dyDescent="0.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 spans="1:29" ht="15.75" customHeight="1" x14ac:dyDescent="0.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 spans="1:29" ht="15.75" customHeight="1" x14ac:dyDescent="0.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spans="1:29" ht="15.75" customHeight="1" x14ac:dyDescent="0.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spans="1:29" ht="15.75" customHeight="1" x14ac:dyDescent="0.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spans="1:29" ht="15.75" customHeight="1" x14ac:dyDescent="0.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spans="1:29" ht="15.75" customHeight="1" x14ac:dyDescent="0.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spans="1:29" ht="15.75" customHeight="1" x14ac:dyDescent="0.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spans="1:29" ht="15.75" customHeight="1" x14ac:dyDescent="0.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spans="1:29" ht="15.75" customHeight="1" x14ac:dyDescent="0.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spans="1:29" ht="15.75" customHeight="1" x14ac:dyDescent="0.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spans="1:29" ht="15.75" customHeight="1" x14ac:dyDescent="0.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spans="1:29" ht="15.75" customHeight="1" x14ac:dyDescent="0.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spans="1:29" ht="15.75" customHeight="1" x14ac:dyDescent="0.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spans="1:29" ht="15.75" customHeight="1" x14ac:dyDescent="0.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spans="1:29" ht="15.75" customHeight="1" x14ac:dyDescent="0.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spans="1:29" ht="15.75" customHeight="1" x14ac:dyDescent="0.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spans="1:29" ht="15.75" customHeight="1" x14ac:dyDescent="0.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spans="1:29" ht="15.75" customHeight="1" x14ac:dyDescent="0.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spans="1:29" ht="15.75" customHeight="1" x14ac:dyDescent="0.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spans="1:29" ht="15.75" customHeight="1" x14ac:dyDescent="0.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spans="1:29" ht="15.75" customHeight="1" x14ac:dyDescent="0.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spans="1:29" ht="15.75" customHeight="1" x14ac:dyDescent="0.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spans="1:29" ht="15.75" customHeight="1" x14ac:dyDescent="0.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spans="1:29" ht="15.75" customHeight="1" x14ac:dyDescent="0.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spans="1:29" ht="15.75" customHeight="1" x14ac:dyDescent="0.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spans="1:29" ht="15.75" customHeight="1" x14ac:dyDescent="0.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spans="1:29" ht="15.75" customHeight="1" x14ac:dyDescent="0.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spans="1:29" ht="15.75" customHeight="1" x14ac:dyDescent="0.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spans="1:29" ht="15.75" customHeight="1" x14ac:dyDescent="0.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spans="1:29" ht="15.75" customHeight="1" x14ac:dyDescent="0.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spans="1:29" ht="15.75" customHeight="1" x14ac:dyDescent="0.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spans="1:29" ht="15.75" customHeight="1" x14ac:dyDescent="0.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spans="1:29" ht="15.75" customHeight="1" x14ac:dyDescent="0.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spans="1:29" ht="15.75" customHeight="1" x14ac:dyDescent="0.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spans="1:29" ht="15.75" customHeight="1" x14ac:dyDescent="0.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spans="1:29" ht="15.75" customHeight="1" x14ac:dyDescent="0.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spans="1:29" ht="15.75" customHeight="1" x14ac:dyDescent="0.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spans="1:29" ht="15.75" customHeight="1" x14ac:dyDescent="0.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spans="1:29" ht="15.75" customHeight="1" x14ac:dyDescent="0.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spans="1:29" ht="15.75" customHeight="1" x14ac:dyDescent="0.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spans="1:29" ht="15.75" customHeight="1" x14ac:dyDescent="0.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spans="1:29" ht="15.75" customHeight="1" x14ac:dyDescent="0.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spans="1:29" ht="15.75" customHeight="1" x14ac:dyDescent="0.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spans="1:29" ht="15.75" customHeight="1" x14ac:dyDescent="0.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spans="1:29" ht="15.75" customHeight="1" x14ac:dyDescent="0.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spans="1:29" ht="15.75" customHeight="1" x14ac:dyDescent="0.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spans="1:29" ht="15.75" customHeight="1" x14ac:dyDescent="0.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spans="1:29" ht="15.75" customHeight="1" x14ac:dyDescent="0.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spans="1:29" ht="15.75" customHeight="1" x14ac:dyDescent="0.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spans="1:29" ht="15.75" customHeight="1" x14ac:dyDescent="0.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spans="1:29" ht="15.75" customHeight="1" x14ac:dyDescent="0.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spans="1:29" ht="15.75" customHeight="1" x14ac:dyDescent="0.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spans="1:29" ht="15.75" customHeight="1" x14ac:dyDescent="0.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spans="1:29" ht="15.75" customHeight="1" x14ac:dyDescent="0.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 spans="1:29" ht="15.75" customHeight="1" x14ac:dyDescent="0.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spans="1:29" ht="15.75" customHeight="1" x14ac:dyDescent="0.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spans="1:29" ht="15.75" customHeight="1" x14ac:dyDescent="0.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spans="1:29" ht="15.75" customHeight="1" x14ac:dyDescent="0.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spans="1:29" ht="15.75" customHeight="1" x14ac:dyDescent="0.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spans="1:29" ht="15.75" customHeight="1" x14ac:dyDescent="0.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spans="1:29" ht="15.75" customHeight="1" x14ac:dyDescent="0.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spans="1:29" ht="15.75" customHeight="1" x14ac:dyDescent="0.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spans="1:29" ht="15.75" customHeight="1" x14ac:dyDescent="0.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spans="1:29" ht="15.75" customHeight="1" x14ac:dyDescent="0.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spans="1:29" ht="15.75" customHeight="1" x14ac:dyDescent="0.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spans="1:29" ht="15.75" customHeight="1" x14ac:dyDescent="0.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spans="1:29" ht="15.75" customHeight="1" x14ac:dyDescent="0.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spans="1:29" ht="15.75" customHeight="1" x14ac:dyDescent="0.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spans="1:29" ht="15.75" customHeight="1" x14ac:dyDescent="0.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spans="1:29" ht="15.75" customHeight="1" x14ac:dyDescent="0.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spans="1:29" ht="15.75" customHeight="1" x14ac:dyDescent="0.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spans="1:29" ht="15.75" customHeight="1" x14ac:dyDescent="0.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spans="1:29" ht="15.75" customHeight="1" x14ac:dyDescent="0.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spans="1:29" ht="15.75" customHeight="1" x14ac:dyDescent="0.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spans="1:29" ht="15.75" customHeight="1" x14ac:dyDescent="0.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spans="1:29" ht="15.75" customHeight="1" x14ac:dyDescent="0.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spans="1:29" ht="15.75" customHeight="1" x14ac:dyDescent="0.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spans="1:29" ht="15.75" customHeight="1" x14ac:dyDescent="0.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spans="1:29" ht="15.75" customHeight="1" x14ac:dyDescent="0.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spans="1:29" ht="15.75" customHeight="1" x14ac:dyDescent="0.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spans="1:29" ht="15.75" customHeight="1" x14ac:dyDescent="0.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spans="1:29" ht="15.75" customHeight="1" x14ac:dyDescent="0.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spans="1:29" ht="15.75" customHeight="1" x14ac:dyDescent="0.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spans="1:29" ht="15.75" customHeight="1" x14ac:dyDescent="0.15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spans="1:29" ht="15.75" customHeight="1" x14ac:dyDescent="0.1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spans="1:29" ht="15.75" customHeight="1" x14ac:dyDescent="0.1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spans="1:29" ht="15.75" customHeight="1" x14ac:dyDescent="0.1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spans="1:29" ht="15.75" customHeight="1" x14ac:dyDescent="0.1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spans="1:29" ht="15.75" customHeight="1" x14ac:dyDescent="0.1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spans="1:29" ht="15.75" customHeight="1" x14ac:dyDescent="0.1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spans="1:29" ht="15.75" customHeight="1" x14ac:dyDescent="0.1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 spans="1:29" ht="15.75" customHeight="1" x14ac:dyDescent="0.1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spans="1:29" ht="15.75" customHeight="1" x14ac:dyDescent="0.1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spans="1:29" ht="15.75" customHeight="1" x14ac:dyDescent="0.15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spans="1:29" ht="15.75" customHeight="1" x14ac:dyDescent="0.15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spans="1:29" ht="15.75" customHeight="1" x14ac:dyDescent="0.15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spans="1:29" ht="15.75" customHeight="1" x14ac:dyDescent="0.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spans="1:29" ht="15.75" customHeight="1" x14ac:dyDescent="0.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spans="1:29" ht="15.75" customHeight="1" x14ac:dyDescent="0.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spans="1:29" ht="15.75" customHeight="1" x14ac:dyDescent="0.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spans="1:29" ht="15.75" customHeight="1" x14ac:dyDescent="0.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spans="1:29" ht="15.75" customHeight="1" x14ac:dyDescent="0.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spans="1:29" ht="15.75" customHeight="1" x14ac:dyDescent="0.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spans="1:29" ht="15.75" customHeight="1" x14ac:dyDescent="0.1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spans="1:29" ht="15.75" customHeight="1" x14ac:dyDescent="0.1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spans="1:29" ht="15.75" customHeight="1" x14ac:dyDescent="0.1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spans="1:29" ht="15.75" customHeight="1" x14ac:dyDescent="0.1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spans="1:29" ht="15.75" customHeight="1" x14ac:dyDescent="0.1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spans="1:29" ht="15.75" customHeight="1" x14ac:dyDescent="0.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spans="1:29" ht="15.75" customHeight="1" x14ac:dyDescent="0.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spans="1:29" ht="15.75" customHeight="1" x14ac:dyDescent="0.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spans="1:29" ht="15.75" customHeight="1" x14ac:dyDescent="0.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spans="1:29" ht="15.75" customHeight="1" x14ac:dyDescent="0.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spans="1:29" ht="15.75" customHeight="1" x14ac:dyDescent="0.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spans="1:29" ht="15.75" customHeight="1" x14ac:dyDescent="0.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spans="1:29" ht="15.75" customHeight="1" x14ac:dyDescent="0.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spans="1:29" ht="15.75" customHeight="1" x14ac:dyDescent="0.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spans="1:29" ht="15.75" customHeight="1" x14ac:dyDescent="0.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spans="1:29" ht="15.75" customHeight="1" x14ac:dyDescent="0.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spans="1:29" ht="15.75" customHeight="1" x14ac:dyDescent="0.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spans="1:29" ht="15.75" customHeight="1" x14ac:dyDescent="0.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spans="1:29" ht="15.75" customHeight="1" x14ac:dyDescent="0.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spans="1:29" ht="15.75" customHeight="1" x14ac:dyDescent="0.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spans="1:29" ht="15.75" customHeight="1" x14ac:dyDescent="0.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spans="1:29" ht="15.75" customHeight="1" x14ac:dyDescent="0.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spans="1:29" ht="15.75" customHeight="1" x14ac:dyDescent="0.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spans="1:29" ht="15.75" customHeight="1" x14ac:dyDescent="0.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spans="1:29" ht="15.75" customHeight="1" x14ac:dyDescent="0.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spans="1:29" ht="15.75" customHeight="1" x14ac:dyDescent="0.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spans="1:29" ht="15.75" customHeight="1" x14ac:dyDescent="0.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spans="1:29" ht="15.75" customHeight="1" x14ac:dyDescent="0.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spans="1:29" ht="15.75" customHeight="1" x14ac:dyDescent="0.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spans="1:29" ht="15.75" customHeight="1" x14ac:dyDescent="0.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spans="1:29" ht="15.75" customHeight="1" x14ac:dyDescent="0.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spans="1:29" ht="15.75" customHeight="1" x14ac:dyDescent="0.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spans="1:29" ht="15.75" customHeight="1" x14ac:dyDescent="0.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spans="1:29" ht="15.75" customHeight="1" x14ac:dyDescent="0.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spans="1:29" ht="15.75" customHeight="1" x14ac:dyDescent="0.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spans="1:29" ht="15.75" customHeight="1" x14ac:dyDescent="0.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spans="1:29" ht="15.75" customHeight="1" x14ac:dyDescent="0.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spans="1:29" ht="15.75" customHeight="1" x14ac:dyDescent="0.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spans="1:29" ht="15.75" customHeight="1" x14ac:dyDescent="0.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spans="1:29" ht="15.75" customHeight="1" x14ac:dyDescent="0.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spans="1:29" ht="15.75" customHeight="1" x14ac:dyDescent="0.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spans="1:29" ht="15.75" customHeight="1" x14ac:dyDescent="0.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spans="1:29" ht="15.75" customHeight="1" x14ac:dyDescent="0.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spans="1:29" ht="15.75" customHeight="1" x14ac:dyDescent="0.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spans="1:29" ht="15.75" customHeight="1" x14ac:dyDescent="0.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spans="1:29" ht="15.75" customHeight="1" x14ac:dyDescent="0.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spans="1:29" ht="15.75" customHeight="1" x14ac:dyDescent="0.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spans="1:29" ht="15.75" customHeight="1" x14ac:dyDescent="0.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spans="1:29" ht="15.75" customHeight="1" x14ac:dyDescent="0.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spans="1:29" ht="15.75" customHeight="1" x14ac:dyDescent="0.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spans="1:29" ht="15.75" customHeight="1" x14ac:dyDescent="0.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spans="1:29" ht="15.75" customHeight="1" x14ac:dyDescent="0.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spans="1:29" ht="15.75" customHeight="1" x14ac:dyDescent="0.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spans="1:29" ht="15.75" customHeight="1" x14ac:dyDescent="0.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spans="1:29" ht="15.75" customHeight="1" x14ac:dyDescent="0.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spans="1:29" ht="15.75" customHeight="1" x14ac:dyDescent="0.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spans="1:29" ht="15.75" customHeight="1" x14ac:dyDescent="0.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spans="1:29" ht="15.75" customHeight="1" x14ac:dyDescent="0.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spans="1:29" ht="15.75" customHeight="1" x14ac:dyDescent="0.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spans="1:29" ht="15.75" customHeight="1" x14ac:dyDescent="0.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 spans="1:29" ht="15.75" customHeight="1" x14ac:dyDescent="0.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 spans="1:29" ht="15.75" customHeight="1" x14ac:dyDescent="0.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spans="1:29" ht="15.75" customHeight="1" x14ac:dyDescent="0.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spans="1:29" ht="15.75" customHeight="1" x14ac:dyDescent="0.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spans="1:29" ht="15.75" customHeight="1" x14ac:dyDescent="0.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spans="1:29" ht="15.75" customHeight="1" x14ac:dyDescent="0.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spans="1:29" ht="15.75" customHeight="1" x14ac:dyDescent="0.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spans="1:29" ht="15.75" customHeight="1" x14ac:dyDescent="0.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spans="1:29" ht="15.75" customHeight="1" x14ac:dyDescent="0.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spans="1:29" ht="15.75" customHeight="1" x14ac:dyDescent="0.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spans="1:29" ht="15.75" customHeight="1" x14ac:dyDescent="0.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spans="1:29" ht="15.75" customHeight="1" x14ac:dyDescent="0.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spans="1:29" ht="15.75" customHeight="1" x14ac:dyDescent="0.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spans="1:29" ht="15.75" customHeight="1" x14ac:dyDescent="0.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spans="1:29" ht="15.75" customHeight="1" x14ac:dyDescent="0.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spans="1:29" ht="15.75" customHeight="1" x14ac:dyDescent="0.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spans="1:29" ht="15.75" customHeight="1" x14ac:dyDescent="0.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spans="1:29" ht="15.75" customHeight="1" x14ac:dyDescent="0.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spans="1:29" ht="15.75" customHeight="1" x14ac:dyDescent="0.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spans="1:29" ht="15.75" customHeight="1" x14ac:dyDescent="0.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spans="1:29" ht="15.75" customHeight="1" x14ac:dyDescent="0.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spans="1:29" ht="15.75" customHeight="1" x14ac:dyDescent="0.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spans="1:29" ht="15.75" customHeight="1" x14ac:dyDescent="0.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spans="1:29" ht="15.75" customHeight="1" x14ac:dyDescent="0.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spans="1:29" ht="15.75" customHeight="1" x14ac:dyDescent="0.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spans="1:29" ht="15.75" customHeight="1" x14ac:dyDescent="0.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spans="1:29" ht="15.75" customHeight="1" x14ac:dyDescent="0.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spans="1:29" ht="15.75" customHeight="1" x14ac:dyDescent="0.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spans="1:29" ht="15.75" customHeight="1" x14ac:dyDescent="0.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spans="1:29" ht="15.75" customHeight="1" x14ac:dyDescent="0.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spans="1:29" ht="15.75" customHeight="1" x14ac:dyDescent="0.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spans="1:29" ht="15.75" customHeight="1" x14ac:dyDescent="0.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spans="1:29" ht="15.75" customHeight="1" x14ac:dyDescent="0.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spans="1:29" ht="15.75" customHeight="1" x14ac:dyDescent="0.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spans="1:29" ht="15.75" customHeight="1" x14ac:dyDescent="0.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spans="1:29" ht="15.75" customHeight="1" x14ac:dyDescent="0.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spans="1:29" ht="15.75" customHeight="1" x14ac:dyDescent="0.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spans="1:29" ht="15.75" customHeight="1" x14ac:dyDescent="0.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spans="1:29" ht="15.75" customHeight="1" x14ac:dyDescent="0.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spans="1:29" ht="15.75" customHeight="1" x14ac:dyDescent="0.1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 spans="1:29" ht="15.75" customHeight="1" x14ac:dyDescent="0.1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spans="1:29" ht="15.75" customHeight="1" x14ac:dyDescent="0.1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spans="1:29" ht="15.75" customHeight="1" x14ac:dyDescent="0.1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spans="1:29" ht="15.75" customHeight="1" x14ac:dyDescent="0.1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spans="1:29" ht="15.75" customHeight="1" x14ac:dyDescent="0.1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spans="1:29" ht="15.75" customHeight="1" x14ac:dyDescent="0.1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spans="1:29" ht="15.75" customHeight="1" x14ac:dyDescent="0.15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spans="1:29" ht="15.75" customHeight="1" x14ac:dyDescent="0.15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spans="1:29" ht="15.75" customHeight="1" x14ac:dyDescent="0.15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spans="1:29" ht="15.75" customHeight="1" x14ac:dyDescent="0.15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spans="1:29" ht="15.75" customHeight="1" x14ac:dyDescent="0.15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spans="1:29" ht="15.75" customHeight="1" x14ac:dyDescent="0.15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spans="1:29" ht="15.75" customHeight="1" x14ac:dyDescent="0.15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spans="1:29" ht="15.75" customHeight="1" x14ac:dyDescent="0.15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spans="1:29" ht="15.75" customHeight="1" x14ac:dyDescent="0.1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spans="1:29" ht="15.75" customHeight="1" x14ac:dyDescent="0.15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spans="1:29" ht="15.75" customHeight="1" x14ac:dyDescent="0.15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spans="1:29" ht="15.75" customHeight="1" x14ac:dyDescent="0.15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spans="1:29" ht="15.75" customHeight="1" x14ac:dyDescent="0.15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spans="1:29" ht="15.75" customHeight="1" x14ac:dyDescent="0.15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spans="1:29" ht="15.75" customHeight="1" x14ac:dyDescent="0.15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spans="1:29" ht="15.75" customHeight="1" x14ac:dyDescent="0.15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spans="1:29" ht="15.75" customHeight="1" x14ac:dyDescent="0.15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spans="1:29" ht="15.75" customHeight="1" x14ac:dyDescent="0.15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spans="1:29" ht="15.75" customHeight="1" x14ac:dyDescent="0.1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spans="1:29" ht="15.75" customHeight="1" x14ac:dyDescent="0.15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spans="1:29" ht="15.75" customHeight="1" x14ac:dyDescent="0.15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spans="1:29" ht="15.75" customHeight="1" x14ac:dyDescent="0.15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spans="1:29" ht="15.75" customHeight="1" x14ac:dyDescent="0.15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spans="1:29" ht="15.75" customHeight="1" x14ac:dyDescent="0.15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spans="1:29" ht="15.75" customHeight="1" x14ac:dyDescent="0.15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spans="1:29" ht="15.75" customHeight="1" x14ac:dyDescent="0.15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spans="1:29" ht="15.75" customHeight="1" x14ac:dyDescent="0.15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spans="1:29" ht="15.75" customHeight="1" x14ac:dyDescent="0.15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spans="1:29" ht="15.75" customHeight="1" x14ac:dyDescent="0.1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spans="1:29" ht="15.75" customHeight="1" x14ac:dyDescent="0.15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spans="1:29" ht="15.75" customHeight="1" x14ac:dyDescent="0.15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spans="1:29" ht="15.75" customHeight="1" x14ac:dyDescent="0.15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spans="1:29" ht="15.75" customHeight="1" x14ac:dyDescent="0.15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spans="1:29" ht="15.75" customHeight="1" x14ac:dyDescent="0.15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spans="1:29" ht="15.75" customHeight="1" x14ac:dyDescent="0.15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spans="1:29" ht="15.75" customHeight="1" x14ac:dyDescent="0.15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spans="1:29" ht="15.75" customHeight="1" x14ac:dyDescent="0.15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spans="1:29" ht="15.75" customHeight="1" x14ac:dyDescent="0.15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spans="1:29" ht="15.75" customHeight="1" x14ac:dyDescent="0.1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spans="1:29" ht="15.75" customHeight="1" x14ac:dyDescent="0.15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spans="1:29" ht="15.75" customHeight="1" x14ac:dyDescent="0.15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spans="1:29" ht="15.75" customHeight="1" x14ac:dyDescent="0.15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spans="1:29" ht="15.75" customHeight="1" x14ac:dyDescent="0.15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spans="1:29" ht="15.75" customHeight="1" x14ac:dyDescent="0.1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spans="1:29" ht="15.75" customHeight="1" x14ac:dyDescent="0.1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spans="1:29" ht="15.75" customHeight="1" x14ac:dyDescent="0.15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spans="1:29" ht="15.75" customHeight="1" x14ac:dyDescent="0.1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spans="1:29" ht="15.75" customHeight="1" x14ac:dyDescent="0.15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spans="1:29" ht="15.75" customHeight="1" x14ac:dyDescent="0.1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spans="1:29" ht="15.75" customHeight="1" x14ac:dyDescent="0.1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spans="1:29" ht="15.75" customHeight="1" x14ac:dyDescent="0.15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spans="1:29" ht="15.75" customHeight="1" x14ac:dyDescent="0.15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 spans="1:29" ht="15.75" customHeight="1" x14ac:dyDescent="0.15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 spans="1:29" ht="15.75" customHeight="1" x14ac:dyDescent="0.15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 spans="1:29" ht="15.75" customHeight="1" x14ac:dyDescent="0.15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spans="1:29" ht="15.75" customHeight="1" x14ac:dyDescent="0.15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spans="1:29" ht="15.75" customHeight="1" x14ac:dyDescent="0.15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spans="1:29" ht="15.75" customHeight="1" x14ac:dyDescent="0.1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spans="1:29" ht="15.75" customHeight="1" x14ac:dyDescent="0.1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spans="1:29" ht="15.75" customHeight="1" x14ac:dyDescent="0.15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spans="1:29" ht="15.75" customHeight="1" x14ac:dyDescent="0.15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spans="1:29" ht="15.75" customHeight="1" x14ac:dyDescent="0.15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spans="1:29" ht="15.75" customHeight="1" x14ac:dyDescent="0.1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spans="1:29" ht="15.75" customHeight="1" x14ac:dyDescent="0.1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spans="1:29" ht="15.75" customHeight="1" x14ac:dyDescent="0.15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spans="1:29" ht="15.75" customHeight="1" x14ac:dyDescent="0.15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spans="1:29" ht="15.75" customHeight="1" x14ac:dyDescent="0.15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spans="1:29" ht="15.75" customHeight="1" x14ac:dyDescent="0.15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spans="1:29" ht="15.75" customHeight="1" x14ac:dyDescent="0.1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spans="1:29" ht="15.75" customHeight="1" x14ac:dyDescent="0.1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spans="1:29" ht="15.75" customHeight="1" x14ac:dyDescent="0.15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spans="1:29" ht="15.75" customHeight="1" x14ac:dyDescent="0.1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spans="1:29" ht="15.75" customHeight="1" x14ac:dyDescent="0.1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spans="1:29" ht="15.75" customHeight="1" x14ac:dyDescent="0.1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spans="1:29" ht="15.75" customHeight="1" x14ac:dyDescent="0.1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spans="1:29" ht="15.75" customHeight="1" x14ac:dyDescent="0.1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spans="1:29" ht="15.75" customHeight="1" x14ac:dyDescent="0.1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spans="1:29" ht="15.75" customHeight="1" x14ac:dyDescent="0.1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spans="1:29" ht="15.75" customHeight="1" x14ac:dyDescent="0.1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spans="1:29" ht="15.75" customHeight="1" x14ac:dyDescent="0.15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spans="1:29" ht="15.75" customHeight="1" x14ac:dyDescent="0.15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spans="1:29" ht="15.75" customHeight="1" x14ac:dyDescent="0.1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spans="1:29" ht="15.75" customHeight="1" x14ac:dyDescent="0.1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spans="1:29" ht="15.75" customHeight="1" x14ac:dyDescent="0.15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spans="1:29" ht="15.75" customHeight="1" x14ac:dyDescent="0.15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spans="1:29" ht="15.75" customHeight="1" x14ac:dyDescent="0.15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spans="1:29" ht="15.75" customHeight="1" x14ac:dyDescent="0.15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spans="1:29" ht="15.75" customHeight="1" x14ac:dyDescent="0.15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spans="1:29" ht="15.75" customHeight="1" x14ac:dyDescent="0.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spans="1:29" ht="15.75" customHeight="1" x14ac:dyDescent="0.15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spans="1:29" ht="15.75" customHeight="1" x14ac:dyDescent="0.1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spans="1:29" ht="15.75" customHeight="1" x14ac:dyDescent="0.15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spans="1:29" ht="15.75" customHeight="1" x14ac:dyDescent="0.15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spans="1:29" ht="15.75" customHeight="1" x14ac:dyDescent="0.15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spans="1:29" ht="15.75" customHeight="1" x14ac:dyDescent="0.15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spans="1:29" ht="15.75" customHeight="1" x14ac:dyDescent="0.15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spans="1:29" ht="15.75" customHeight="1" x14ac:dyDescent="0.15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spans="1:29" ht="15.75" customHeight="1" x14ac:dyDescent="0.15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spans="1:29" ht="15.75" customHeight="1" x14ac:dyDescent="0.1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spans="1:29" ht="15.75" customHeight="1" x14ac:dyDescent="0.15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spans="1:29" ht="15.75" customHeight="1" x14ac:dyDescent="0.15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spans="1:29" ht="15.75" customHeight="1" x14ac:dyDescent="0.15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spans="1:29" ht="15.75" customHeight="1" x14ac:dyDescent="0.15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spans="1:29" ht="15.75" customHeight="1" x14ac:dyDescent="0.15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spans="1:29" ht="15.75" customHeight="1" x14ac:dyDescent="0.15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spans="1:29" ht="15.75" customHeight="1" x14ac:dyDescent="0.15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spans="1:29" ht="15.75" customHeight="1" x14ac:dyDescent="0.15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spans="1:29" ht="15.75" customHeight="1" x14ac:dyDescent="0.15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spans="1:29" ht="15.75" customHeight="1" x14ac:dyDescent="0.1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spans="1:29" ht="15.75" customHeight="1" x14ac:dyDescent="0.15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spans="1:29" ht="15.75" customHeight="1" x14ac:dyDescent="0.15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spans="1:29" ht="15.75" customHeight="1" x14ac:dyDescent="0.15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spans="1:29" ht="15.75" customHeight="1" x14ac:dyDescent="0.15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spans="1:29" ht="15.75" customHeight="1" x14ac:dyDescent="0.15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spans="1:29" ht="15.75" customHeight="1" x14ac:dyDescent="0.15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spans="1:29" ht="15.75" customHeight="1" x14ac:dyDescent="0.15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spans="1:29" ht="15.75" customHeight="1" x14ac:dyDescent="0.15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spans="1:29" ht="15.75" customHeight="1" x14ac:dyDescent="0.15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spans="1:29" ht="15.75" customHeight="1" x14ac:dyDescent="0.1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spans="1:29" ht="15.75" customHeight="1" x14ac:dyDescent="0.15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spans="1:29" ht="15.75" customHeight="1" x14ac:dyDescent="0.15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spans="1:29" ht="15.75" customHeight="1" x14ac:dyDescent="0.15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spans="1:29" ht="15.75" customHeight="1" x14ac:dyDescent="0.15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spans="1:29" ht="15.75" customHeight="1" x14ac:dyDescent="0.15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spans="1:29" ht="15.75" customHeight="1" x14ac:dyDescent="0.15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spans="1:29" ht="15.75" customHeight="1" x14ac:dyDescent="0.15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spans="1:29" ht="15.75" customHeight="1" x14ac:dyDescent="0.15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spans="1:29" ht="15.75" customHeight="1" x14ac:dyDescent="0.15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spans="1:29" ht="15.75" customHeight="1" x14ac:dyDescent="0.1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spans="1:29" ht="15.75" customHeight="1" x14ac:dyDescent="0.15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spans="1:29" ht="15.75" customHeight="1" x14ac:dyDescent="0.15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spans="1:29" ht="15.75" customHeight="1" x14ac:dyDescent="0.15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spans="1:29" ht="15.75" customHeight="1" x14ac:dyDescent="0.15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spans="1:29" ht="15.75" customHeight="1" x14ac:dyDescent="0.15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spans="1:29" ht="15.75" customHeight="1" x14ac:dyDescent="0.15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spans="1:29" ht="15.75" customHeight="1" x14ac:dyDescent="0.15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spans="1:29" ht="15.75" customHeight="1" x14ac:dyDescent="0.15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spans="1:29" ht="15.75" customHeight="1" x14ac:dyDescent="0.15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spans="1:29" ht="15.75" customHeight="1" x14ac:dyDescent="0.1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spans="1:29" ht="15.75" customHeight="1" x14ac:dyDescent="0.15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spans="1:29" ht="15.75" customHeight="1" x14ac:dyDescent="0.15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spans="1:29" ht="15.75" customHeight="1" x14ac:dyDescent="0.15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spans="1:29" ht="15.75" customHeight="1" x14ac:dyDescent="0.15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spans="1:29" ht="15.75" customHeight="1" x14ac:dyDescent="0.15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spans="1:29" ht="15.75" customHeight="1" x14ac:dyDescent="0.15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spans="1:29" ht="15.75" customHeight="1" x14ac:dyDescent="0.15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spans="1:29" ht="15.75" customHeight="1" x14ac:dyDescent="0.15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spans="1:29" ht="15.75" customHeight="1" x14ac:dyDescent="0.15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spans="1:29" ht="15.75" customHeight="1" x14ac:dyDescent="0.1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spans="1:29" ht="15.75" customHeight="1" x14ac:dyDescent="0.15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spans="1:29" ht="15.75" customHeight="1" x14ac:dyDescent="0.15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spans="1:29" ht="15.75" customHeight="1" x14ac:dyDescent="0.15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spans="1:29" ht="15.75" customHeight="1" x14ac:dyDescent="0.15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spans="1:29" ht="15.75" customHeight="1" x14ac:dyDescent="0.15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 spans="1:29" ht="15.75" customHeight="1" x14ac:dyDescent="0.15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spans="1:29" ht="15.75" customHeight="1" x14ac:dyDescent="0.15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 spans="1:29" ht="15.75" customHeight="1" x14ac:dyDescent="0.15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spans="1:29" ht="15.75" customHeight="1" x14ac:dyDescent="0.15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spans="1:29" ht="15.75" customHeight="1" x14ac:dyDescent="0.1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spans="1:29" ht="15.75" customHeight="1" x14ac:dyDescent="0.15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spans="1:29" ht="15.75" customHeight="1" x14ac:dyDescent="0.15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spans="1:29" ht="15.75" customHeight="1" x14ac:dyDescent="0.15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spans="1:29" ht="15.75" customHeight="1" x14ac:dyDescent="0.15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spans="1:29" ht="15.75" customHeight="1" x14ac:dyDescent="0.15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spans="1:29" ht="15.75" customHeight="1" x14ac:dyDescent="0.15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spans="1:29" ht="15.75" customHeight="1" x14ac:dyDescent="0.15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spans="1:29" ht="15.75" customHeight="1" x14ac:dyDescent="0.15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spans="1:29" ht="15.75" customHeight="1" x14ac:dyDescent="0.15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spans="1:29" ht="15.75" customHeight="1" x14ac:dyDescent="0.1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spans="1:29" ht="15.75" customHeight="1" x14ac:dyDescent="0.15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spans="1:29" ht="15.75" customHeight="1" x14ac:dyDescent="0.15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spans="1:29" ht="15.75" customHeight="1" x14ac:dyDescent="0.15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spans="1:29" ht="15.75" customHeight="1" x14ac:dyDescent="0.15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spans="1:29" ht="15.75" customHeight="1" x14ac:dyDescent="0.15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spans="1:29" ht="15.75" customHeight="1" x14ac:dyDescent="0.15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spans="1:29" ht="15.75" customHeight="1" x14ac:dyDescent="0.15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spans="1:29" ht="15.75" customHeight="1" x14ac:dyDescent="0.15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spans="1:29" ht="15.75" customHeight="1" x14ac:dyDescent="0.15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spans="1:29" ht="15.75" customHeight="1" x14ac:dyDescent="0.1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spans="1:29" ht="15.75" customHeight="1" x14ac:dyDescent="0.15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spans="1:29" ht="15.75" customHeight="1" x14ac:dyDescent="0.15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spans="1:29" ht="15.75" customHeight="1" x14ac:dyDescent="0.15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spans="1:29" ht="15.75" customHeight="1" x14ac:dyDescent="0.15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spans="1:29" ht="15.75" customHeight="1" x14ac:dyDescent="0.15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spans="1:29" ht="15.75" customHeight="1" x14ac:dyDescent="0.15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spans="1:29" ht="15.75" customHeight="1" x14ac:dyDescent="0.15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spans="1:29" ht="15.75" customHeight="1" x14ac:dyDescent="0.15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spans="1:29" ht="15.75" customHeight="1" x14ac:dyDescent="0.15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spans="1:29" ht="15.75" customHeight="1" x14ac:dyDescent="0.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spans="1:29" ht="15.75" customHeight="1" x14ac:dyDescent="0.15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spans="1:29" ht="15.75" customHeight="1" x14ac:dyDescent="0.15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spans="1:29" ht="15.75" customHeight="1" x14ac:dyDescent="0.15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spans="1:29" ht="15.75" customHeight="1" x14ac:dyDescent="0.15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spans="1:29" ht="15.75" customHeight="1" x14ac:dyDescent="0.15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spans="1:29" ht="15.75" customHeight="1" x14ac:dyDescent="0.15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spans="1:29" ht="15.75" customHeight="1" x14ac:dyDescent="0.15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spans="1:29" ht="15.75" customHeight="1" x14ac:dyDescent="0.15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spans="1:29" ht="15.75" customHeight="1" x14ac:dyDescent="0.15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spans="1:29" ht="15.75" customHeight="1" x14ac:dyDescent="0.1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spans="1:29" ht="15.75" customHeight="1" x14ac:dyDescent="0.15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spans="1:29" ht="15.75" customHeight="1" x14ac:dyDescent="0.15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spans="1:29" ht="15.75" customHeight="1" x14ac:dyDescent="0.15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spans="1:29" ht="15.75" customHeight="1" x14ac:dyDescent="0.15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spans="1:29" ht="15.75" customHeight="1" x14ac:dyDescent="0.15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 spans="1:29" ht="15.75" customHeight="1" x14ac:dyDescent="0.15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 spans="1:29" ht="15.75" customHeight="1" x14ac:dyDescent="0.15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spans="1:29" ht="15.75" customHeight="1" x14ac:dyDescent="0.15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 spans="1:29" ht="15.75" customHeight="1" x14ac:dyDescent="0.15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 spans="1:29" ht="15.75" customHeight="1" x14ac:dyDescent="0.1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spans="1:29" ht="15.75" customHeight="1" x14ac:dyDescent="0.15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spans="1:29" ht="15.75" customHeight="1" x14ac:dyDescent="0.15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spans="1:29" ht="15.75" customHeight="1" x14ac:dyDescent="0.15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spans="1:29" ht="15.75" customHeight="1" x14ac:dyDescent="0.15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spans="1:29" ht="15.75" customHeight="1" x14ac:dyDescent="0.15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spans="1:29" ht="15.75" customHeight="1" x14ac:dyDescent="0.15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spans="1:29" ht="15.75" customHeight="1" x14ac:dyDescent="0.15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spans="1:29" ht="15.75" customHeight="1" x14ac:dyDescent="0.15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spans="1:29" ht="15.75" customHeight="1" x14ac:dyDescent="0.15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spans="1:29" ht="15.75" customHeight="1" x14ac:dyDescent="0.1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spans="1:29" ht="15.75" customHeight="1" x14ac:dyDescent="0.15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spans="1:29" ht="15.75" customHeight="1" x14ac:dyDescent="0.15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spans="1:29" ht="15.75" customHeight="1" x14ac:dyDescent="0.15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spans="1:29" ht="15.75" customHeight="1" x14ac:dyDescent="0.15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spans="1:29" ht="15.75" customHeight="1" x14ac:dyDescent="0.15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spans="1:29" ht="15.75" customHeight="1" x14ac:dyDescent="0.15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spans="1:29" ht="15.75" customHeight="1" x14ac:dyDescent="0.15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spans="1:29" ht="15.75" customHeight="1" x14ac:dyDescent="0.15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spans="1:29" ht="15.75" customHeight="1" x14ac:dyDescent="0.15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spans="1:29" ht="15.75" customHeight="1" x14ac:dyDescent="0.1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spans="1:29" ht="15.75" customHeight="1" x14ac:dyDescent="0.15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spans="1:29" ht="15.75" customHeight="1" x14ac:dyDescent="0.15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spans="1:29" ht="15.75" customHeight="1" x14ac:dyDescent="0.15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spans="1:29" ht="15.75" customHeight="1" x14ac:dyDescent="0.15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spans="1:29" ht="15.75" customHeight="1" x14ac:dyDescent="0.15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spans="1:29" ht="15.75" customHeight="1" x14ac:dyDescent="0.15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spans="1:29" ht="15.75" customHeight="1" x14ac:dyDescent="0.15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spans="1:29" ht="15.75" customHeight="1" x14ac:dyDescent="0.15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spans="1:29" ht="15.75" customHeight="1" x14ac:dyDescent="0.15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spans="1:29" ht="15.75" customHeight="1" x14ac:dyDescent="0.1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spans="1:29" ht="15.75" customHeight="1" x14ac:dyDescent="0.15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spans="1:29" ht="15.75" customHeight="1" x14ac:dyDescent="0.15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spans="1:29" ht="15.75" customHeight="1" x14ac:dyDescent="0.15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spans="1:29" ht="15.75" customHeight="1" x14ac:dyDescent="0.15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spans="1:29" ht="15.75" customHeight="1" x14ac:dyDescent="0.15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spans="1:29" ht="15.75" customHeight="1" x14ac:dyDescent="0.15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spans="1:29" ht="15.75" customHeight="1" x14ac:dyDescent="0.15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spans="1:29" ht="15.75" customHeight="1" x14ac:dyDescent="0.15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spans="1:29" ht="15.75" customHeight="1" x14ac:dyDescent="0.15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spans="1:29" ht="15.75" customHeight="1" x14ac:dyDescent="0.1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spans="1:29" ht="15.75" customHeight="1" x14ac:dyDescent="0.15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spans="1:29" ht="15.75" customHeight="1" x14ac:dyDescent="0.15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spans="1:29" ht="15.75" customHeight="1" x14ac:dyDescent="0.15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spans="1:29" ht="15.75" customHeight="1" x14ac:dyDescent="0.15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spans="1:29" ht="15.75" customHeight="1" x14ac:dyDescent="0.15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spans="1:29" ht="15.75" customHeight="1" x14ac:dyDescent="0.15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spans="1:29" ht="15.75" customHeight="1" x14ac:dyDescent="0.15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spans="1:29" ht="15.75" customHeight="1" x14ac:dyDescent="0.15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spans="1:29" ht="15.75" customHeight="1" x14ac:dyDescent="0.15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spans="1:29" ht="15.75" customHeight="1" x14ac:dyDescent="0.1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spans="1:29" ht="15.75" customHeight="1" x14ac:dyDescent="0.15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spans="1:29" ht="15.75" customHeight="1" x14ac:dyDescent="0.15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spans="1:29" ht="15.75" customHeight="1" x14ac:dyDescent="0.15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spans="1:29" ht="15.75" customHeight="1" x14ac:dyDescent="0.15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spans="1:29" ht="15.75" customHeight="1" x14ac:dyDescent="0.15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spans="1:29" ht="15.75" customHeight="1" x14ac:dyDescent="0.15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spans="1:29" ht="15.75" customHeight="1" x14ac:dyDescent="0.15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spans="1:29" ht="15.75" customHeight="1" x14ac:dyDescent="0.15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spans="1:29" ht="15.75" customHeight="1" x14ac:dyDescent="0.15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spans="1:29" ht="15.75" customHeight="1" x14ac:dyDescent="0.1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spans="1:29" ht="15.75" customHeight="1" x14ac:dyDescent="0.15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spans="1:29" ht="15.75" customHeight="1" x14ac:dyDescent="0.15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spans="1:29" ht="15.75" customHeight="1" x14ac:dyDescent="0.15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spans="1:29" ht="15.75" customHeight="1" x14ac:dyDescent="0.15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spans="1:29" ht="15.75" customHeight="1" x14ac:dyDescent="0.15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spans="1:29" ht="15.75" customHeight="1" x14ac:dyDescent="0.15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spans="1:29" ht="15.75" customHeight="1" x14ac:dyDescent="0.15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spans="1:29" ht="15.75" customHeight="1" x14ac:dyDescent="0.15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spans="1:29" ht="15.75" customHeight="1" x14ac:dyDescent="0.15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spans="1:29" ht="15.75" customHeight="1" x14ac:dyDescent="0.1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spans="1:29" ht="15.75" customHeight="1" x14ac:dyDescent="0.15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spans="1:29" ht="15.75" customHeight="1" x14ac:dyDescent="0.15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spans="1:29" ht="15.75" customHeight="1" x14ac:dyDescent="0.15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spans="1:29" ht="15.75" customHeight="1" x14ac:dyDescent="0.15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spans="1:29" ht="15.75" customHeight="1" x14ac:dyDescent="0.15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spans="1:29" ht="15.75" customHeight="1" x14ac:dyDescent="0.15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spans="1:29" ht="15.75" customHeight="1" x14ac:dyDescent="0.15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spans="1:29" ht="15.75" customHeight="1" x14ac:dyDescent="0.15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spans="1:29" ht="15.75" customHeight="1" x14ac:dyDescent="0.15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spans="1:29" ht="15.75" customHeight="1" x14ac:dyDescent="0.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spans="1:29" ht="15.75" customHeight="1" x14ac:dyDescent="0.15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spans="1:29" ht="15.75" customHeight="1" x14ac:dyDescent="0.15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spans="1:29" ht="15.75" customHeight="1" x14ac:dyDescent="0.15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spans="1:29" ht="15.75" customHeight="1" x14ac:dyDescent="0.15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spans="1:29" ht="15.75" customHeight="1" x14ac:dyDescent="0.15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spans="1:29" ht="15.75" customHeight="1" x14ac:dyDescent="0.15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spans="1:29" ht="15.75" customHeight="1" x14ac:dyDescent="0.15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spans="1:29" ht="15.75" customHeight="1" x14ac:dyDescent="0.15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spans="1:29" ht="15.75" customHeight="1" x14ac:dyDescent="0.15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spans="1:29" ht="15.75" customHeight="1" x14ac:dyDescent="0.1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spans="1:29" ht="15.75" customHeight="1" x14ac:dyDescent="0.15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spans="1:29" ht="15.75" customHeight="1" x14ac:dyDescent="0.15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spans="1:29" ht="15.75" customHeight="1" x14ac:dyDescent="0.15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spans="1:29" ht="15.75" customHeight="1" x14ac:dyDescent="0.15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spans="1:29" ht="15.75" customHeight="1" x14ac:dyDescent="0.15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spans="1:29" ht="15.75" customHeight="1" x14ac:dyDescent="0.15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spans="1:29" ht="15.75" customHeight="1" x14ac:dyDescent="0.15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spans="1:29" ht="15.75" customHeight="1" x14ac:dyDescent="0.15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spans="1:29" ht="15.75" customHeight="1" x14ac:dyDescent="0.15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spans="1:29" ht="15.75" customHeight="1" x14ac:dyDescent="0.1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spans="1:29" ht="15.75" customHeight="1" x14ac:dyDescent="0.15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spans="1:29" ht="15.75" customHeight="1" x14ac:dyDescent="0.15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spans="1:29" ht="15.75" customHeight="1" x14ac:dyDescent="0.15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spans="1:29" ht="15.75" customHeight="1" x14ac:dyDescent="0.15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spans="1:29" ht="15.75" customHeight="1" x14ac:dyDescent="0.15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spans="1:29" ht="15.75" customHeight="1" x14ac:dyDescent="0.15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spans="1:29" ht="15.75" customHeight="1" x14ac:dyDescent="0.15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spans="1:29" ht="15.75" customHeight="1" x14ac:dyDescent="0.15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spans="1:29" ht="15.75" customHeight="1" x14ac:dyDescent="0.15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spans="1:29" ht="15.75" customHeight="1" x14ac:dyDescent="0.1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spans="1:29" ht="15.75" customHeight="1" x14ac:dyDescent="0.15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spans="1:29" ht="15.75" customHeight="1" x14ac:dyDescent="0.15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spans="1:29" ht="15.75" customHeight="1" x14ac:dyDescent="0.15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spans="1:29" ht="15.75" customHeight="1" x14ac:dyDescent="0.15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spans="1:29" ht="15.75" customHeight="1" x14ac:dyDescent="0.15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spans="1:29" ht="15.75" customHeight="1" x14ac:dyDescent="0.15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spans="1:29" ht="15.75" customHeight="1" x14ac:dyDescent="0.15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spans="1:29" ht="15.75" customHeight="1" x14ac:dyDescent="0.15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spans="1:29" ht="15.75" customHeight="1" x14ac:dyDescent="0.15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spans="1:29" ht="15.75" customHeight="1" x14ac:dyDescent="0.1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spans="1:29" ht="15.75" customHeight="1" x14ac:dyDescent="0.15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spans="1:29" ht="15.75" customHeight="1" x14ac:dyDescent="0.15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spans="1:29" ht="15.75" customHeight="1" x14ac:dyDescent="0.15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spans="1:29" ht="15.75" customHeight="1" x14ac:dyDescent="0.15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spans="1:29" ht="15.75" customHeight="1" x14ac:dyDescent="0.15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spans="1:29" ht="15.75" customHeight="1" x14ac:dyDescent="0.15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spans="1:29" ht="15.75" customHeight="1" x14ac:dyDescent="0.15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spans="1:29" ht="15.75" customHeight="1" x14ac:dyDescent="0.15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spans="1:29" ht="15.75" customHeight="1" x14ac:dyDescent="0.15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spans="1:29" ht="15.75" customHeight="1" x14ac:dyDescent="0.1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spans="1:29" ht="15.75" customHeight="1" x14ac:dyDescent="0.15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spans="1:29" ht="15.75" customHeight="1" x14ac:dyDescent="0.15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spans="1:29" ht="15.75" customHeight="1" x14ac:dyDescent="0.15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spans="1:29" ht="15.75" customHeight="1" x14ac:dyDescent="0.15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spans="1:29" ht="15.75" customHeight="1" x14ac:dyDescent="0.15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spans="1:29" ht="15.75" customHeight="1" x14ac:dyDescent="0.15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spans="1:29" ht="15.75" customHeight="1" x14ac:dyDescent="0.15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 spans="1:29" ht="15.75" customHeight="1" x14ac:dyDescent="0.15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spans="1:29" ht="15.75" customHeight="1" x14ac:dyDescent="0.15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spans="1:29" ht="15.75" customHeight="1" x14ac:dyDescent="0.1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spans="1:29" ht="15.75" customHeight="1" x14ac:dyDescent="0.15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spans="1:29" ht="15.75" customHeight="1" x14ac:dyDescent="0.15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spans="1:29" ht="15.75" customHeight="1" x14ac:dyDescent="0.15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spans="1:29" ht="15.75" customHeight="1" x14ac:dyDescent="0.15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spans="1:29" ht="15.75" customHeight="1" x14ac:dyDescent="0.15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spans="1:29" ht="15.75" customHeight="1" x14ac:dyDescent="0.15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spans="1:29" ht="15.75" customHeight="1" x14ac:dyDescent="0.15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spans="1:29" ht="15.75" customHeight="1" x14ac:dyDescent="0.15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spans="1:29" ht="15.75" customHeight="1" x14ac:dyDescent="0.15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spans="1:29" ht="15.75" customHeight="1" x14ac:dyDescent="0.1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spans="1:29" ht="15.75" customHeight="1" x14ac:dyDescent="0.15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spans="1:29" ht="15.75" customHeight="1" x14ac:dyDescent="0.15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spans="1:29" ht="15.75" customHeight="1" x14ac:dyDescent="0.15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spans="1:29" ht="15.75" customHeight="1" x14ac:dyDescent="0.15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spans="1:29" ht="15.75" customHeight="1" x14ac:dyDescent="0.15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spans="1:29" ht="15.75" customHeight="1" x14ac:dyDescent="0.15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spans="1:29" ht="15.75" customHeight="1" x14ac:dyDescent="0.15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spans="1:29" ht="15.75" customHeight="1" x14ac:dyDescent="0.15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spans="1:29" ht="15.75" customHeight="1" x14ac:dyDescent="0.15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spans="1:29" ht="15.75" customHeight="1" x14ac:dyDescent="0.1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spans="1:29" ht="15.75" customHeight="1" x14ac:dyDescent="0.15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spans="1:29" ht="15.75" customHeight="1" x14ac:dyDescent="0.15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spans="1:29" ht="15.75" customHeight="1" x14ac:dyDescent="0.15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spans="1:29" ht="15.75" customHeight="1" x14ac:dyDescent="0.15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spans="1:29" ht="15.75" customHeight="1" x14ac:dyDescent="0.15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spans="1:29" ht="15.75" customHeight="1" x14ac:dyDescent="0.15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spans="1:29" ht="15.75" customHeight="1" x14ac:dyDescent="0.15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 spans="1:29" ht="15.75" customHeight="1" x14ac:dyDescent="0.15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spans="1:29" ht="15.75" customHeight="1" x14ac:dyDescent="0.15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spans="1:29" ht="15.75" customHeight="1" x14ac:dyDescent="0.1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spans="1:29" ht="15.75" customHeight="1" x14ac:dyDescent="0.15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spans="1:29" ht="15.75" customHeight="1" x14ac:dyDescent="0.15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spans="1:29" ht="15.75" customHeight="1" x14ac:dyDescent="0.15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spans="1:29" ht="15.75" customHeight="1" x14ac:dyDescent="0.15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spans="1:29" ht="15.75" customHeight="1" x14ac:dyDescent="0.15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spans="1:29" ht="15.75" customHeight="1" x14ac:dyDescent="0.15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spans="1:29" ht="15.75" customHeight="1" x14ac:dyDescent="0.15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spans="1:29" ht="15.75" customHeight="1" x14ac:dyDescent="0.15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spans="1:29" ht="15.75" customHeight="1" x14ac:dyDescent="0.15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spans="1:29" ht="15.75" customHeight="1" x14ac:dyDescent="0.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spans="1:29" ht="15.75" customHeight="1" x14ac:dyDescent="0.15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spans="1:29" ht="15.75" customHeight="1" x14ac:dyDescent="0.15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spans="1:29" ht="15.75" customHeight="1" x14ac:dyDescent="0.15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spans="1:29" ht="15.75" customHeight="1" x14ac:dyDescent="0.15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spans="1:29" ht="15.75" customHeight="1" x14ac:dyDescent="0.15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spans="1:29" ht="15.75" customHeight="1" x14ac:dyDescent="0.15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spans="1:29" ht="15.75" customHeight="1" x14ac:dyDescent="0.15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 spans="1:29" ht="15.75" customHeight="1" x14ac:dyDescent="0.15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spans="1:29" ht="15.75" customHeight="1" x14ac:dyDescent="0.15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spans="1:29" ht="15.75" customHeight="1" x14ac:dyDescent="0.1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spans="1:29" ht="15.75" customHeight="1" x14ac:dyDescent="0.15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spans="1:29" ht="15.75" customHeight="1" x14ac:dyDescent="0.15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 spans="1:29" ht="15.75" customHeight="1" x14ac:dyDescent="0.15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spans="1:29" ht="15.75" customHeight="1" x14ac:dyDescent="0.15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spans="1:29" ht="15.75" customHeight="1" x14ac:dyDescent="0.15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spans="1:29" ht="15.75" customHeight="1" x14ac:dyDescent="0.15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spans="1:29" ht="15.75" customHeight="1" x14ac:dyDescent="0.15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spans="1:29" ht="15.75" customHeight="1" x14ac:dyDescent="0.15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spans="1:29" ht="15.75" customHeight="1" x14ac:dyDescent="0.15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spans="1:29" ht="15.75" customHeight="1" x14ac:dyDescent="0.1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spans="1:29" ht="15.75" customHeight="1" x14ac:dyDescent="0.15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spans="1:29" ht="15.75" customHeight="1" x14ac:dyDescent="0.15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spans="1:29" ht="15.75" customHeight="1" x14ac:dyDescent="0.15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spans="1:29" ht="15.75" customHeight="1" x14ac:dyDescent="0.15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spans="1:29" ht="15.75" customHeight="1" x14ac:dyDescent="0.15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spans="1:29" ht="15.75" customHeight="1" x14ac:dyDescent="0.15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spans="1:29" ht="15.75" customHeight="1" x14ac:dyDescent="0.15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spans="1:29" ht="15.75" customHeight="1" x14ac:dyDescent="0.15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spans="1:29" ht="15.75" customHeight="1" x14ac:dyDescent="0.15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spans="1:29" ht="15.75" customHeight="1" x14ac:dyDescent="0.1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spans="1:29" ht="15.75" customHeight="1" x14ac:dyDescent="0.15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spans="1:29" ht="15.75" customHeight="1" x14ac:dyDescent="0.15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spans="1:29" ht="15.75" customHeight="1" x14ac:dyDescent="0.15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spans="1:29" ht="15.75" customHeight="1" x14ac:dyDescent="0.15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spans="1:29" ht="15.75" customHeight="1" x14ac:dyDescent="0.15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spans="1:29" ht="15.75" customHeight="1" x14ac:dyDescent="0.15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spans="1:29" ht="15.75" customHeight="1" x14ac:dyDescent="0.15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spans="1:29" ht="15.75" customHeight="1" x14ac:dyDescent="0.15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spans="1:29" ht="15.75" customHeight="1" x14ac:dyDescent="0.15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spans="1:29" ht="15.75" customHeight="1" x14ac:dyDescent="0.1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spans="1:29" ht="15.75" customHeight="1" x14ac:dyDescent="0.15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spans="1:29" ht="15.75" customHeight="1" x14ac:dyDescent="0.15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spans="1:29" ht="15.75" customHeight="1" x14ac:dyDescent="0.15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spans="1:29" ht="15.75" customHeight="1" x14ac:dyDescent="0.15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spans="1:29" ht="15.75" customHeight="1" x14ac:dyDescent="0.15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spans="1:29" ht="15.75" customHeight="1" x14ac:dyDescent="0.15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spans="1:29" ht="15.75" customHeight="1" x14ac:dyDescent="0.15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spans="1:29" ht="15.75" customHeight="1" x14ac:dyDescent="0.15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spans="1:29" ht="15.75" customHeight="1" x14ac:dyDescent="0.15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spans="1:29" ht="15.75" customHeight="1" x14ac:dyDescent="0.1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spans="1:29" ht="15.75" customHeight="1" x14ac:dyDescent="0.15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spans="1:29" ht="15.75" customHeight="1" x14ac:dyDescent="0.15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spans="1:29" ht="15.75" customHeight="1" x14ac:dyDescent="0.15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spans="1:29" ht="15.75" customHeight="1" x14ac:dyDescent="0.15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spans="1:29" ht="15.75" customHeight="1" x14ac:dyDescent="0.15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spans="1:29" ht="15.75" customHeight="1" x14ac:dyDescent="0.15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spans="1:29" ht="15.75" customHeight="1" x14ac:dyDescent="0.15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spans="1:29" ht="15.75" customHeight="1" x14ac:dyDescent="0.15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spans="1:29" ht="15.75" customHeight="1" x14ac:dyDescent="0.15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spans="1:29" ht="15.75" customHeight="1" x14ac:dyDescent="0.1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spans="1:29" ht="15.75" customHeight="1" x14ac:dyDescent="0.15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spans="1:29" ht="15.75" customHeight="1" x14ac:dyDescent="0.15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spans="1:29" ht="15.75" customHeight="1" x14ac:dyDescent="0.15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spans="1:29" ht="15.75" customHeight="1" x14ac:dyDescent="0.15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spans="1:29" ht="15.75" customHeight="1" x14ac:dyDescent="0.15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spans="1:29" ht="15.75" customHeight="1" x14ac:dyDescent="0.15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spans="1:29" ht="15.75" customHeight="1" x14ac:dyDescent="0.15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spans="1:29" ht="15.75" customHeight="1" x14ac:dyDescent="0.15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spans="1:29" ht="15.75" customHeight="1" x14ac:dyDescent="0.15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spans="1:29" ht="15.75" customHeight="1" x14ac:dyDescent="0.1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spans="1:29" ht="15.75" customHeight="1" x14ac:dyDescent="0.15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spans="1:29" ht="15.75" customHeight="1" x14ac:dyDescent="0.15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spans="1:29" ht="15.75" customHeight="1" x14ac:dyDescent="0.15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spans="1:29" ht="15.75" customHeight="1" x14ac:dyDescent="0.15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spans="1:29" ht="15.75" customHeight="1" x14ac:dyDescent="0.15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spans="1:29" ht="15.75" customHeight="1" x14ac:dyDescent="0.15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spans="1:29" ht="15.75" customHeight="1" x14ac:dyDescent="0.15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spans="1:29" ht="15.75" customHeight="1" x14ac:dyDescent="0.15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spans="1:29" ht="15.75" customHeight="1" x14ac:dyDescent="0.15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spans="1:29" ht="15.75" customHeight="1" x14ac:dyDescent="0.1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spans="1:29" ht="15.75" customHeight="1" x14ac:dyDescent="0.15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spans="1:29" ht="15.75" customHeight="1" x14ac:dyDescent="0.15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spans="1:29" ht="15.75" customHeight="1" x14ac:dyDescent="0.15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spans="1:29" ht="15.75" customHeight="1" x14ac:dyDescent="0.15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spans="1:29" ht="15.75" customHeight="1" x14ac:dyDescent="0.15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spans="1:29" ht="15.75" customHeight="1" x14ac:dyDescent="0.15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spans="1:29" ht="15.75" customHeight="1" x14ac:dyDescent="0.15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spans="1:29" ht="15.75" customHeight="1" x14ac:dyDescent="0.15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spans="1:29" ht="15.75" customHeight="1" x14ac:dyDescent="0.15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spans="1:29" ht="15.75" customHeight="1" x14ac:dyDescent="0.1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spans="1:29" ht="15.75" customHeight="1" x14ac:dyDescent="0.15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spans="1:29" ht="15.75" customHeight="1" x14ac:dyDescent="0.15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spans="1:29" ht="15.75" customHeight="1" x14ac:dyDescent="0.15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spans="1:29" ht="15.75" customHeight="1" x14ac:dyDescent="0.15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spans="1:29" ht="15.75" customHeight="1" x14ac:dyDescent="0.15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spans="1:29" ht="15.75" customHeight="1" x14ac:dyDescent="0.15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spans="1:29" ht="15.75" customHeight="1" x14ac:dyDescent="0.15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spans="1:29" ht="15.75" customHeight="1" x14ac:dyDescent="0.15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spans="1:29" ht="15.75" customHeight="1" x14ac:dyDescent="0.15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spans="1:29" ht="15.75" customHeight="1" x14ac:dyDescent="0.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spans="1:29" ht="15.75" customHeight="1" x14ac:dyDescent="0.15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spans="1:29" ht="15.75" customHeight="1" x14ac:dyDescent="0.15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spans="1:29" ht="15.75" customHeight="1" x14ac:dyDescent="0.15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spans="1:29" ht="15.75" customHeight="1" x14ac:dyDescent="0.15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spans="1:29" ht="15.75" customHeight="1" x14ac:dyDescent="0.15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spans="1:29" ht="15.75" customHeight="1" x14ac:dyDescent="0.15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spans="1:29" ht="15.75" customHeight="1" x14ac:dyDescent="0.15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spans="1:29" ht="15.75" customHeight="1" x14ac:dyDescent="0.15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spans="1:29" ht="15.75" customHeight="1" x14ac:dyDescent="0.15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spans="1:29" ht="15.75" customHeight="1" x14ac:dyDescent="0.1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spans="1:29" ht="15.75" customHeight="1" x14ac:dyDescent="0.15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spans="1:29" ht="15.75" customHeight="1" x14ac:dyDescent="0.15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spans="1:29" ht="15.75" customHeight="1" x14ac:dyDescent="0.15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spans="1:29" ht="15.75" customHeight="1" x14ac:dyDescent="0.15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spans="1:29" ht="15.75" customHeight="1" x14ac:dyDescent="0.15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spans="1:29" ht="15.75" customHeight="1" x14ac:dyDescent="0.15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spans="1:29" ht="15.75" customHeight="1" x14ac:dyDescent="0.15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spans="1:29" ht="15.75" customHeight="1" x14ac:dyDescent="0.15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spans="1:29" ht="15.75" customHeight="1" x14ac:dyDescent="0.15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spans="1:29" ht="15.75" customHeight="1" x14ac:dyDescent="0.1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spans="1:29" ht="15.75" customHeight="1" x14ac:dyDescent="0.15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spans="1:29" ht="15.75" customHeight="1" x14ac:dyDescent="0.15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spans="1:29" ht="15.75" customHeight="1" x14ac:dyDescent="0.15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spans="1:29" ht="15.75" customHeight="1" x14ac:dyDescent="0.15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spans="1:29" ht="15.75" customHeight="1" x14ac:dyDescent="0.15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spans="1:29" ht="15.75" customHeight="1" x14ac:dyDescent="0.15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spans="1:29" ht="15.75" customHeight="1" x14ac:dyDescent="0.15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spans="1:29" ht="15.75" customHeight="1" x14ac:dyDescent="0.15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spans="1:29" ht="15.75" customHeight="1" x14ac:dyDescent="0.15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spans="1:29" ht="15.75" customHeight="1" x14ac:dyDescent="0.1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spans="1:29" ht="15.75" customHeight="1" x14ac:dyDescent="0.15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spans="1:29" ht="15.75" customHeight="1" x14ac:dyDescent="0.15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spans="1:29" ht="15.75" customHeight="1" x14ac:dyDescent="0.15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spans="1:29" ht="15.75" customHeight="1" x14ac:dyDescent="0.15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spans="1:29" ht="15.75" customHeight="1" x14ac:dyDescent="0.15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spans="1:29" ht="15.75" customHeight="1" x14ac:dyDescent="0.15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spans="1:29" ht="15.75" customHeight="1" x14ac:dyDescent="0.15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spans="1:29" ht="15.75" customHeight="1" x14ac:dyDescent="0.15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spans="1:29" ht="15.75" customHeight="1" x14ac:dyDescent="0.15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spans="1:29" ht="15.75" customHeight="1" x14ac:dyDescent="0.1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spans="1:29" ht="15.75" customHeight="1" x14ac:dyDescent="0.15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spans="1:29" ht="15.75" customHeight="1" x14ac:dyDescent="0.15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spans="1:29" ht="15.75" customHeight="1" x14ac:dyDescent="0.15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spans="1:29" ht="15.75" customHeight="1" x14ac:dyDescent="0.15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spans="1:29" ht="15.75" customHeight="1" x14ac:dyDescent="0.15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spans="1:29" ht="15.75" customHeight="1" x14ac:dyDescent="0.15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spans="1:29" ht="15.75" customHeight="1" x14ac:dyDescent="0.15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spans="1:29" ht="15.75" customHeight="1" x14ac:dyDescent="0.15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spans="1:29" ht="15.75" customHeight="1" x14ac:dyDescent="0.15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spans="1:29" ht="15.75" customHeight="1" x14ac:dyDescent="0.1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spans="1:29" ht="15.75" customHeight="1" x14ac:dyDescent="0.15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spans="1:29" ht="15.75" customHeight="1" x14ac:dyDescent="0.15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spans="1:29" ht="15.75" customHeight="1" x14ac:dyDescent="0.15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spans="1:29" ht="15.75" customHeight="1" x14ac:dyDescent="0.15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spans="1:29" ht="15.75" customHeight="1" x14ac:dyDescent="0.15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spans="1:29" ht="15.75" customHeight="1" x14ac:dyDescent="0.15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spans="1:29" ht="15.75" customHeight="1" x14ac:dyDescent="0.15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spans="1:29" ht="15.75" customHeight="1" x14ac:dyDescent="0.15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spans="1:29" ht="15.75" customHeight="1" x14ac:dyDescent="0.15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spans="1:29" ht="15.75" customHeight="1" x14ac:dyDescent="0.1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spans="1:29" ht="15.75" customHeight="1" x14ac:dyDescent="0.15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spans="1:29" ht="15.75" customHeight="1" x14ac:dyDescent="0.15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spans="1:29" ht="15.75" customHeight="1" x14ac:dyDescent="0.15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spans="1:29" ht="15.75" customHeight="1" x14ac:dyDescent="0.15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spans="1:29" ht="15.75" customHeight="1" x14ac:dyDescent="0.15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spans="1:29" ht="15.75" customHeight="1" x14ac:dyDescent="0.15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spans="1:29" ht="15.75" customHeight="1" x14ac:dyDescent="0.15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spans="1:29" ht="15.75" customHeight="1" x14ac:dyDescent="0.15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spans="1:29" ht="15.75" customHeight="1" x14ac:dyDescent="0.15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spans="1:29" ht="15.75" customHeight="1" x14ac:dyDescent="0.1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spans="1:29" ht="15.75" customHeight="1" x14ac:dyDescent="0.15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spans="1:29" ht="15.75" customHeight="1" x14ac:dyDescent="0.15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spans="1:29" ht="15.75" customHeight="1" x14ac:dyDescent="0.15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spans="1:29" ht="15.75" customHeight="1" x14ac:dyDescent="0.15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spans="1:29" ht="15.75" customHeight="1" x14ac:dyDescent="0.15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spans="1:29" ht="15.75" customHeight="1" x14ac:dyDescent="0.15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spans="1:29" ht="15.75" customHeight="1" x14ac:dyDescent="0.15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spans="1:29" ht="15.75" customHeight="1" x14ac:dyDescent="0.15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spans="1:29" ht="15.75" customHeight="1" x14ac:dyDescent="0.15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spans="1:29" ht="15.75" customHeight="1" x14ac:dyDescent="0.1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spans="1:29" ht="15.75" customHeight="1" x14ac:dyDescent="0.15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spans="1:29" ht="15.75" customHeight="1" x14ac:dyDescent="0.15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spans="1:29" ht="15.75" customHeight="1" x14ac:dyDescent="0.15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spans="1:29" ht="15.75" customHeight="1" x14ac:dyDescent="0.15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spans="1:29" ht="15.75" customHeight="1" x14ac:dyDescent="0.15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spans="1:29" ht="15.75" customHeight="1" x14ac:dyDescent="0.15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spans="1:29" ht="15.75" customHeight="1" x14ac:dyDescent="0.15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spans="1:29" ht="15.75" customHeight="1" x14ac:dyDescent="0.15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spans="1:29" ht="15.75" customHeight="1" x14ac:dyDescent="0.15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spans="1:29" ht="15.75" customHeight="1" x14ac:dyDescent="0.1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spans="1:29" ht="15.75" customHeight="1" x14ac:dyDescent="0.15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spans="1:29" ht="15.75" customHeight="1" x14ac:dyDescent="0.15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spans="1:29" ht="15.75" customHeight="1" x14ac:dyDescent="0.15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spans="1:29" ht="15.75" customHeight="1" x14ac:dyDescent="0.15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spans="1:29" ht="15.75" customHeight="1" x14ac:dyDescent="0.15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 spans="1:29" ht="15.75" customHeight="1" x14ac:dyDescent="0.15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spans="1:29" ht="15.75" customHeight="1" x14ac:dyDescent="0.15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spans="1:29" ht="15.75" customHeight="1" x14ac:dyDescent="0.15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spans="1:29" ht="15.75" customHeight="1" x14ac:dyDescent="0.15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spans="1:29" ht="15.75" customHeight="1" x14ac:dyDescent="0.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spans="1:29" ht="15.75" customHeight="1" x14ac:dyDescent="0.15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spans="1:29" ht="15.75" customHeight="1" x14ac:dyDescent="0.15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spans="1:29" ht="15.75" customHeight="1" x14ac:dyDescent="0.15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spans="1:29" ht="15.75" customHeight="1" x14ac:dyDescent="0.15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spans="1:29" ht="15.75" customHeight="1" x14ac:dyDescent="0.15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spans="1:29" ht="15.75" customHeight="1" x14ac:dyDescent="0.15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spans="1:29" ht="15.75" customHeight="1" x14ac:dyDescent="0.15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spans="1:29" ht="15.75" customHeight="1" x14ac:dyDescent="0.15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spans="1:29" ht="15.75" customHeight="1" x14ac:dyDescent="0.15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spans="1:29" ht="15.75" customHeight="1" x14ac:dyDescent="0.1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spans="1:29" ht="15.75" customHeight="1" x14ac:dyDescent="0.15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spans="1:29" ht="15.75" customHeight="1" x14ac:dyDescent="0.15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spans="1:29" ht="15.75" customHeight="1" x14ac:dyDescent="0.15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spans="1:29" ht="15.75" customHeight="1" x14ac:dyDescent="0.15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spans="1:29" ht="15.75" customHeight="1" x14ac:dyDescent="0.15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spans="1:29" ht="15.75" customHeight="1" x14ac:dyDescent="0.15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spans="1:29" ht="15.75" customHeight="1" x14ac:dyDescent="0.15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spans="1:29" ht="15.75" customHeight="1" x14ac:dyDescent="0.15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spans="1:29" ht="15.75" customHeight="1" x14ac:dyDescent="0.15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spans="1:29" ht="15.75" customHeight="1" x14ac:dyDescent="0.1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spans="1:29" ht="15.75" customHeight="1" x14ac:dyDescent="0.15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spans="1:29" ht="15.75" customHeight="1" x14ac:dyDescent="0.15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spans="1:29" ht="15.75" customHeight="1" x14ac:dyDescent="0.15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spans="1:29" ht="15.75" customHeight="1" x14ac:dyDescent="0.15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spans="1:29" ht="15.75" customHeight="1" x14ac:dyDescent="0.15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spans="1:29" ht="15.75" customHeight="1" x14ac:dyDescent="0.15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spans="1:29" ht="15.75" customHeight="1" x14ac:dyDescent="0.15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spans="1:29" ht="15.75" customHeight="1" x14ac:dyDescent="0.15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spans="1:29" ht="15.75" customHeight="1" x14ac:dyDescent="0.15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spans="1:29" ht="15.75" customHeight="1" x14ac:dyDescent="0.1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spans="1:29" ht="15.75" customHeight="1" x14ac:dyDescent="0.15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spans="1:29" ht="15.75" customHeight="1" x14ac:dyDescent="0.15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spans="1:29" ht="15.75" customHeight="1" x14ac:dyDescent="0.15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spans="1:29" ht="15.75" customHeight="1" x14ac:dyDescent="0.15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spans="1:29" ht="15.75" customHeight="1" x14ac:dyDescent="0.15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spans="1:29" ht="15.75" customHeight="1" x14ac:dyDescent="0.15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spans="1:29" ht="15.75" customHeight="1" x14ac:dyDescent="0.15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spans="1:29" ht="15.75" customHeight="1" x14ac:dyDescent="0.15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spans="1:29" ht="15.75" customHeight="1" x14ac:dyDescent="0.15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spans="1:29" ht="15.75" customHeight="1" x14ac:dyDescent="0.1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spans="1:29" ht="15.75" customHeight="1" x14ac:dyDescent="0.15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spans="1:29" ht="15.75" customHeight="1" x14ac:dyDescent="0.15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spans="1:29" ht="15.75" customHeight="1" x14ac:dyDescent="0.15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spans="1:29" ht="15.75" customHeight="1" x14ac:dyDescent="0.15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spans="1:29" ht="15.75" customHeight="1" x14ac:dyDescent="0.15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spans="1:29" ht="15.75" customHeight="1" x14ac:dyDescent="0.15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spans="1:29" ht="15.75" customHeight="1" x14ac:dyDescent="0.15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spans="1:29" ht="15.75" customHeight="1" x14ac:dyDescent="0.15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 spans="1:29" ht="15.75" customHeight="1" x14ac:dyDescent="0.15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spans="1:29" ht="15.75" customHeight="1" x14ac:dyDescent="0.1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spans="1:29" ht="15.75" customHeight="1" x14ac:dyDescent="0.15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spans="1:29" ht="15.75" customHeight="1" x14ac:dyDescent="0.15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spans="1:29" ht="15.75" customHeight="1" x14ac:dyDescent="0.15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spans="1:29" ht="15.75" customHeight="1" x14ac:dyDescent="0.15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spans="1:29" ht="15.75" customHeight="1" x14ac:dyDescent="0.15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 spans="1:29" ht="15.75" customHeight="1" x14ac:dyDescent="0.15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spans="1:29" ht="15.75" customHeight="1" x14ac:dyDescent="0.15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spans="1:29" ht="15.75" customHeight="1" x14ac:dyDescent="0.15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spans="1:29" ht="15.75" customHeight="1" x14ac:dyDescent="0.15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spans="1:29" ht="15.75" customHeight="1" x14ac:dyDescent="0.1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spans="1:29" ht="15.75" customHeight="1" x14ac:dyDescent="0.15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spans="1:29" ht="15.75" customHeight="1" x14ac:dyDescent="0.15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spans="1:29" ht="15.75" customHeight="1" x14ac:dyDescent="0.15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spans="1:29" ht="15.75" customHeight="1" x14ac:dyDescent="0.15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spans="1:29" ht="15.75" customHeight="1" x14ac:dyDescent="0.15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 spans="1:29" ht="15.75" customHeight="1" x14ac:dyDescent="0.15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spans="1:29" ht="15.75" customHeight="1" x14ac:dyDescent="0.15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spans="1:29" ht="15.75" customHeight="1" x14ac:dyDescent="0.15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spans="1:29" ht="15.75" customHeight="1" x14ac:dyDescent="0.15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spans="1:29" ht="15.75" customHeight="1" x14ac:dyDescent="0.1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spans="1:29" ht="15.75" customHeight="1" x14ac:dyDescent="0.15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spans="1:29" ht="15.75" customHeight="1" x14ac:dyDescent="0.15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spans="1:29" ht="15.75" customHeight="1" x14ac:dyDescent="0.15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 spans="1:29" ht="15.75" customHeight="1" x14ac:dyDescent="0.15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 spans="1:29" ht="15.75" customHeight="1" x14ac:dyDescent="0.15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spans="1:29" ht="15.75" customHeight="1" x14ac:dyDescent="0.15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spans="1:29" ht="15.75" customHeight="1" x14ac:dyDescent="0.15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spans="1:29" ht="15.75" customHeight="1" x14ac:dyDescent="0.15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spans="1:29" ht="15.75" customHeight="1" x14ac:dyDescent="0.15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spans="1:29" ht="15.75" customHeight="1" x14ac:dyDescent="0.1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spans="1:29" ht="15.75" customHeight="1" x14ac:dyDescent="0.15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spans="1:29" ht="15.75" customHeight="1" x14ac:dyDescent="0.15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spans="1:29" ht="15.75" customHeight="1" x14ac:dyDescent="0.15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spans="1:29" ht="15.75" customHeight="1" x14ac:dyDescent="0.15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</sheetData>
  <mergeCells count="3">
    <mergeCell ref="J1:K1"/>
    <mergeCell ref="M1:N1"/>
    <mergeCell ref="M2:N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00"/>
  <sheetViews>
    <sheetView topLeftCell="A114" workbookViewId="0">
      <selection activeCell="A133" sqref="A133:E134"/>
    </sheetView>
  </sheetViews>
  <sheetFormatPr baseColWidth="10" defaultColWidth="12.6640625" defaultRowHeight="15" customHeight="1" x14ac:dyDescent="0.15"/>
  <cols>
    <col min="1" max="1" width="18.6640625" customWidth="1"/>
    <col min="2" max="5" width="12.6640625" customWidth="1"/>
    <col min="6" max="6" width="15.5" customWidth="1"/>
    <col min="7" max="7" width="17.6640625" customWidth="1"/>
    <col min="8" max="8" width="12.6640625" customWidth="1"/>
    <col min="9" max="9" width="16.33203125" customWidth="1"/>
    <col min="10" max="10" width="12.6640625" customWidth="1"/>
    <col min="11" max="11" width="41" customWidth="1"/>
    <col min="12" max="12" width="56.33203125" customWidth="1"/>
    <col min="13" max="30" width="12.6640625" customWidth="1"/>
  </cols>
  <sheetData>
    <row r="1" spans="1:30" ht="15.75" customHeight="1" x14ac:dyDescent="0.2">
      <c r="A1" s="30" t="s">
        <v>54</v>
      </c>
      <c r="B1" s="30" t="s">
        <v>55</v>
      </c>
      <c r="C1" s="123" t="s">
        <v>312</v>
      </c>
      <c r="D1" s="30" t="s">
        <v>43</v>
      </c>
      <c r="E1" s="30" t="s">
        <v>7</v>
      </c>
      <c r="F1" s="30" t="s">
        <v>44</v>
      </c>
      <c r="G1" s="30" t="s">
        <v>9</v>
      </c>
      <c r="H1" s="124" t="s">
        <v>315</v>
      </c>
      <c r="I1" s="123" t="s">
        <v>314</v>
      </c>
      <c r="J1" s="123" t="s">
        <v>10</v>
      </c>
      <c r="K1" s="31" t="s">
        <v>57</v>
      </c>
      <c r="L1" s="123" t="s">
        <v>313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ht="15.75" customHeight="1" x14ac:dyDescent="0.2">
      <c r="A2" s="117" t="s">
        <v>283</v>
      </c>
      <c r="B2" s="32"/>
      <c r="C2" s="32"/>
      <c r="D2" s="32"/>
      <c r="E2" s="32"/>
      <c r="F2" s="28"/>
      <c r="G2" s="28"/>
      <c r="H2" s="33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ht="15.75" customHeight="1" x14ac:dyDescent="0.2">
      <c r="A3" s="34" t="s">
        <v>5</v>
      </c>
      <c r="B3" s="35" t="s">
        <v>58</v>
      </c>
      <c r="C3" s="36">
        <v>22.457230154852802</v>
      </c>
      <c r="D3" s="36">
        <v>18.743794749598102</v>
      </c>
      <c r="E3" s="36">
        <v>20.797232905101048</v>
      </c>
      <c r="F3" s="37">
        <f t="shared" ref="F3:F14" si="0">2^(D3-C3)</f>
        <v>7.6233271224364907E-2</v>
      </c>
      <c r="G3" s="37">
        <f t="shared" ref="G3:G14" si="1">2^(E3-C3)</f>
        <v>0.31643975172957989</v>
      </c>
      <c r="H3" s="36">
        <f t="shared" ref="H3:H6" si="2">(GEOMEAN(F3:G3))</f>
        <v>0.15531657161993936</v>
      </c>
      <c r="I3" s="36">
        <f>AVERAGE(H3:H5)</f>
        <v>0.12846915640761078</v>
      </c>
      <c r="J3" s="36">
        <v>0.15531657161993936</v>
      </c>
      <c r="K3" s="36">
        <f t="shared" ref="K3:K14" si="3">J3/$I$9</f>
        <v>0.9003363237327523</v>
      </c>
      <c r="L3" s="38">
        <f>I3/$I$9</f>
        <v>0.74470770753368376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ht="15.75" customHeight="1" x14ac:dyDescent="0.2">
      <c r="A4" s="39"/>
      <c r="B4" s="28" t="s">
        <v>58</v>
      </c>
      <c r="C4" s="40">
        <v>25.964543799811501</v>
      </c>
      <c r="D4" s="40">
        <v>20.214033812251898</v>
      </c>
      <c r="E4" s="40">
        <v>21.699003692188001</v>
      </c>
      <c r="F4" s="41">
        <f t="shared" si="0"/>
        <v>1.8574793887734541E-2</v>
      </c>
      <c r="G4" s="41">
        <f t="shared" si="1"/>
        <v>5.1992952461896051E-2</v>
      </c>
      <c r="H4" s="40">
        <f t="shared" si="2"/>
        <v>3.1076653223835082E-2</v>
      </c>
      <c r="I4" s="28" t="s">
        <v>316</v>
      </c>
      <c r="J4" s="40">
        <f t="shared" ref="J4:J6" si="4">(GEOMEAN(H4:I4))</f>
        <v>3.1076653223835082E-2</v>
      </c>
      <c r="K4" s="40">
        <f t="shared" si="3"/>
        <v>0.1801445874425501</v>
      </c>
      <c r="L4" s="42" t="s">
        <v>316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ht="15.75" customHeight="1" x14ac:dyDescent="0.2">
      <c r="A5" s="39"/>
      <c r="B5" s="28" t="s">
        <v>58</v>
      </c>
      <c r="C5" s="40">
        <v>25.590568399999999</v>
      </c>
      <c r="D5" s="40">
        <v>22.558559150000001</v>
      </c>
      <c r="E5" s="40">
        <v>23.964464849999999</v>
      </c>
      <c r="F5" s="41">
        <f t="shared" si="0"/>
        <v>0.12225715031306356</v>
      </c>
      <c r="G5" s="41">
        <f t="shared" si="1"/>
        <v>0.32396198802562198</v>
      </c>
      <c r="H5" s="40">
        <f t="shared" si="2"/>
        <v>0.19901424437905785</v>
      </c>
      <c r="I5" s="28" t="s">
        <v>316</v>
      </c>
      <c r="J5" s="40">
        <f t="shared" si="4"/>
        <v>0.19901424437905785</v>
      </c>
      <c r="K5" s="40">
        <f t="shared" si="3"/>
        <v>1.1536422114257485</v>
      </c>
      <c r="L5" s="42" t="s">
        <v>316</v>
      </c>
      <c r="M5" s="28"/>
      <c r="N5" s="28"/>
      <c r="O5" s="28"/>
      <c r="P5" s="40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</row>
    <row r="6" spans="1:30" ht="15.75" customHeight="1" x14ac:dyDescent="0.2">
      <c r="A6" s="39"/>
      <c r="B6" s="28" t="s">
        <v>59</v>
      </c>
      <c r="C6" s="40">
        <v>34.440684003577999</v>
      </c>
      <c r="D6" s="40">
        <v>29.499223987026635</v>
      </c>
      <c r="E6" s="40">
        <v>33.347350104240199</v>
      </c>
      <c r="F6" s="41">
        <f t="shared" si="0"/>
        <v>3.2544103515915093E-2</v>
      </c>
      <c r="G6" s="41">
        <f t="shared" si="1"/>
        <v>0.46867706440650575</v>
      </c>
      <c r="H6" s="40">
        <f t="shared" si="2"/>
        <v>0.12350172022923619</v>
      </c>
      <c r="I6" s="40">
        <f>AVERAGE(H6:H8)</f>
        <v>0.12657329641641207</v>
      </c>
      <c r="J6" s="40">
        <f t="shared" si="4"/>
        <v>0.12502807621695181</v>
      </c>
      <c r="K6" s="40">
        <f t="shared" si="3"/>
        <v>0.72476051544584497</v>
      </c>
      <c r="L6" s="43">
        <f>I6/$I$9</f>
        <v>0.73371782025388543</v>
      </c>
      <c r="M6" s="28"/>
      <c r="N6" s="28"/>
      <c r="O6" s="28"/>
      <c r="P6" s="40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</row>
    <row r="7" spans="1:30" ht="15.75" customHeight="1" x14ac:dyDescent="0.2">
      <c r="A7" s="39"/>
      <c r="B7" s="28" t="s">
        <v>59</v>
      </c>
      <c r="C7" s="40">
        <v>33.779927158922732</v>
      </c>
      <c r="D7" s="40">
        <v>29.021351788098134</v>
      </c>
      <c r="E7" s="40">
        <v>33.029712379565332</v>
      </c>
      <c r="F7" s="41">
        <f t="shared" si="0"/>
        <v>3.6942482541622114E-2</v>
      </c>
      <c r="G7" s="41">
        <f t="shared" si="1"/>
        <v>0.59451504325502569</v>
      </c>
      <c r="H7" s="40">
        <v>0.17489258150000001</v>
      </c>
      <c r="I7" s="28" t="s">
        <v>316</v>
      </c>
      <c r="J7" s="40">
        <v>0.17489258150000001</v>
      </c>
      <c r="K7" s="40">
        <f t="shared" si="3"/>
        <v>1.0138141875881193</v>
      </c>
      <c r="L7" s="42" t="s">
        <v>316</v>
      </c>
      <c r="M7" s="28"/>
      <c r="N7" s="28"/>
      <c r="O7" s="28"/>
      <c r="P7" s="40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</row>
    <row r="8" spans="1:30" ht="15.75" customHeight="1" x14ac:dyDescent="0.2">
      <c r="A8" s="39"/>
      <c r="B8" s="28" t="s">
        <v>59</v>
      </c>
      <c r="C8" s="40">
        <v>34.36282657467833</v>
      </c>
      <c r="D8" s="40">
        <v>25.712652186779433</v>
      </c>
      <c r="E8" s="40">
        <v>33.464007715488002</v>
      </c>
      <c r="F8" s="41">
        <f t="shared" si="0"/>
        <v>2.4890753363818858E-3</v>
      </c>
      <c r="G8" s="41">
        <f t="shared" si="1"/>
        <v>0.53632564375004244</v>
      </c>
      <c r="H8" s="40">
        <v>8.1325587520000006E-2</v>
      </c>
      <c r="I8" s="28" t="s">
        <v>316</v>
      </c>
      <c r="J8" s="40">
        <v>8.1325587520000006E-2</v>
      </c>
      <c r="K8" s="40">
        <f t="shared" si="3"/>
        <v>0.4714267108105743</v>
      </c>
      <c r="L8" s="42" t="s">
        <v>316</v>
      </c>
      <c r="M8" s="28"/>
      <c r="N8" s="28"/>
      <c r="O8" s="28"/>
      <c r="P8" s="40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</row>
    <row r="9" spans="1:30" ht="15.75" customHeight="1" x14ac:dyDescent="0.2">
      <c r="A9" s="39"/>
      <c r="B9" s="28" t="s">
        <v>60</v>
      </c>
      <c r="C9" s="40">
        <v>34.885506183949069</v>
      </c>
      <c r="D9" s="40">
        <v>31.42512204789767</v>
      </c>
      <c r="E9" s="40">
        <v>33.546676702425565</v>
      </c>
      <c r="F9" s="41">
        <f t="shared" si="0"/>
        <v>9.0849089376999217E-2</v>
      </c>
      <c r="G9" s="41">
        <f t="shared" si="1"/>
        <v>0.39534128266681939</v>
      </c>
      <c r="H9" s="40">
        <v>0.10407870700000001</v>
      </c>
      <c r="I9" s="40">
        <f>AVERAGE(H9:H11)</f>
        <v>0.17250950286666666</v>
      </c>
      <c r="J9" s="40">
        <v>0.10407870700000001</v>
      </c>
      <c r="K9" s="40">
        <f t="shared" si="3"/>
        <v>0.60332158675596492</v>
      </c>
      <c r="L9" s="43">
        <f>I9/$I$9</f>
        <v>1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</row>
    <row r="10" spans="1:30" ht="15.75" customHeight="1" x14ac:dyDescent="0.2">
      <c r="A10" s="39"/>
      <c r="B10" s="28" t="s">
        <v>61</v>
      </c>
      <c r="C10" s="40">
        <v>36.750152491385933</v>
      </c>
      <c r="D10" s="40">
        <v>31.510867902145964</v>
      </c>
      <c r="E10" s="40">
        <v>34.829910059814829</v>
      </c>
      <c r="F10" s="41">
        <f t="shared" si="0"/>
        <v>2.6473915773306909E-2</v>
      </c>
      <c r="G10" s="41">
        <f t="shared" si="1"/>
        <v>0.26421010834239084</v>
      </c>
      <c r="H10" s="40">
        <v>0.1672683623</v>
      </c>
      <c r="I10" s="28" t="s">
        <v>316</v>
      </c>
      <c r="J10" s="40">
        <v>0.1672683623</v>
      </c>
      <c r="K10" s="40">
        <f t="shared" si="3"/>
        <v>0.96961825012783465</v>
      </c>
      <c r="L10" s="42" t="s">
        <v>316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</row>
    <row r="11" spans="1:30" ht="15.75" customHeight="1" x14ac:dyDescent="0.2">
      <c r="A11" s="39"/>
      <c r="B11" s="28" t="s">
        <v>62</v>
      </c>
      <c r="C11" s="40">
        <v>36.263197300006567</v>
      </c>
      <c r="D11" s="40">
        <v>33.601972297696932</v>
      </c>
      <c r="E11" s="40">
        <v>34.830821144275497</v>
      </c>
      <c r="F11" s="41">
        <f t="shared" si="0"/>
        <v>0.15808528593516966</v>
      </c>
      <c r="G11" s="41">
        <f t="shared" si="1"/>
        <v>0.3705201336651236</v>
      </c>
      <c r="H11" s="40">
        <v>0.2461814393</v>
      </c>
      <c r="I11" s="28" t="s">
        <v>316</v>
      </c>
      <c r="J11" s="40">
        <v>0.2461814393</v>
      </c>
      <c r="K11" s="40">
        <f t="shared" si="3"/>
        <v>1.4270601631162005</v>
      </c>
      <c r="L11" s="42" t="s">
        <v>316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</row>
    <row r="12" spans="1:30" ht="15.75" customHeight="1" x14ac:dyDescent="0.2">
      <c r="A12" s="39"/>
      <c r="B12" s="28" t="s">
        <v>63</v>
      </c>
      <c r="C12" s="40">
        <v>32.894088405914864</v>
      </c>
      <c r="D12" s="40">
        <v>25.712652186779433</v>
      </c>
      <c r="E12" s="40">
        <v>30.454639596687901</v>
      </c>
      <c r="F12" s="41">
        <f t="shared" si="0"/>
        <v>6.8892554123862063E-3</v>
      </c>
      <c r="G12" s="41">
        <f t="shared" si="1"/>
        <v>0.18435407234864579</v>
      </c>
      <c r="H12" s="40">
        <v>3.1749788680000002E-2</v>
      </c>
      <c r="I12" s="40">
        <f>AVERAGE(H12:H14)</f>
        <v>8.9194320056666665E-2</v>
      </c>
      <c r="J12" s="40">
        <v>3.1749788680000002E-2</v>
      </c>
      <c r="K12" s="40">
        <f t="shared" si="3"/>
        <v>0.18404660701236586</v>
      </c>
      <c r="L12" s="43">
        <f>I12/$I$9</f>
        <v>0.51704003880647287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</row>
    <row r="13" spans="1:30" ht="15.75" customHeight="1" x14ac:dyDescent="0.2">
      <c r="A13" s="39"/>
      <c r="B13" s="28" t="s">
        <v>63</v>
      </c>
      <c r="C13" s="40">
        <v>34.472955736545764</v>
      </c>
      <c r="D13" s="40">
        <v>30.362121406466002</v>
      </c>
      <c r="E13" s="40">
        <v>31.694244532322699</v>
      </c>
      <c r="F13" s="41">
        <f t="shared" si="0"/>
        <v>5.7878272398946287E-2</v>
      </c>
      <c r="G13" s="41">
        <f t="shared" si="1"/>
        <v>0.1457218171461746</v>
      </c>
      <c r="H13" s="40">
        <v>0.16018017430000001</v>
      </c>
      <c r="I13" s="28" t="s">
        <v>316</v>
      </c>
      <c r="J13" s="40">
        <v>0.16018017430000001</v>
      </c>
      <c r="K13" s="40">
        <f t="shared" si="3"/>
        <v>0.92852956873804193</v>
      </c>
      <c r="L13" s="42" t="s">
        <v>316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</row>
    <row r="14" spans="1:30" ht="15.75" customHeight="1" x14ac:dyDescent="0.2">
      <c r="A14" s="44"/>
      <c r="B14" s="45" t="s">
        <v>63</v>
      </c>
      <c r="C14" s="46">
        <v>32.823939739285329</v>
      </c>
      <c r="D14" s="46">
        <v>26.222969881811565</v>
      </c>
      <c r="E14" s="46">
        <v>31.299324970824568</v>
      </c>
      <c r="F14" s="47">
        <f t="shared" si="0"/>
        <v>1.0301727847106288E-2</v>
      </c>
      <c r="G14" s="47">
        <f t="shared" si="1"/>
        <v>0.34757235208916099</v>
      </c>
      <c r="H14" s="46">
        <v>7.5652997190000001E-2</v>
      </c>
      <c r="I14" s="45" t="s">
        <v>316</v>
      </c>
      <c r="J14" s="46">
        <v>7.5652997190000001E-2</v>
      </c>
      <c r="K14" s="46">
        <f t="shared" si="3"/>
        <v>0.4385439406690107</v>
      </c>
      <c r="L14" s="48" t="s">
        <v>316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</row>
    <row r="15" spans="1:30" ht="15.75" customHeight="1" x14ac:dyDescent="0.2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40"/>
      <c r="W15" s="28"/>
      <c r="X15" s="28"/>
      <c r="Y15" s="28"/>
      <c r="Z15" s="28"/>
      <c r="AA15" s="28"/>
      <c r="AB15" s="28"/>
      <c r="AC15" s="28"/>
      <c r="AD15" s="28"/>
    </row>
    <row r="16" spans="1:30" ht="15.75" customHeight="1" x14ac:dyDescent="0.2">
      <c r="A16" s="34" t="s">
        <v>64</v>
      </c>
      <c r="B16" s="35"/>
      <c r="C16" s="35"/>
      <c r="D16" s="35"/>
      <c r="E16" s="35"/>
      <c r="F16" s="35"/>
      <c r="G16" s="49"/>
      <c r="H16" s="35"/>
      <c r="I16" s="35"/>
      <c r="J16" s="35"/>
      <c r="K16" s="35"/>
      <c r="L16" s="50"/>
      <c r="M16" s="28"/>
      <c r="N16" s="28"/>
      <c r="O16" s="28"/>
      <c r="P16" s="28"/>
      <c r="Q16" s="28"/>
      <c r="R16" s="28"/>
      <c r="S16" s="28"/>
      <c r="T16" s="28"/>
      <c r="U16" s="28"/>
      <c r="V16" s="40"/>
      <c r="W16" s="28"/>
      <c r="X16" s="28"/>
      <c r="Y16" s="28"/>
      <c r="Z16" s="28"/>
      <c r="AA16" s="28"/>
      <c r="AB16" s="28"/>
      <c r="AC16" s="28"/>
      <c r="AD16" s="28"/>
    </row>
    <row r="17" spans="1:30" ht="15.75" customHeight="1" x14ac:dyDescent="0.2">
      <c r="A17" s="51" t="s">
        <v>65</v>
      </c>
      <c r="B17" s="28" t="s">
        <v>66</v>
      </c>
      <c r="C17" s="40">
        <v>27.081240555000001</v>
      </c>
      <c r="D17" s="40">
        <v>27.127742739999999</v>
      </c>
      <c r="E17" s="40">
        <v>23.1713187</v>
      </c>
      <c r="F17" s="41">
        <f t="shared" ref="F17:F34" si="5">2^(D17-C17)</f>
        <v>1.0327579636980315</v>
      </c>
      <c r="G17" s="41">
        <f t="shared" ref="G17:G34" si="6">2^(E17-C17)</f>
        <v>6.6526739792228035E-2</v>
      </c>
      <c r="H17" s="40">
        <f t="shared" ref="H17:H34" si="7">(GEOMEAN(F17:G17))</f>
        <v>0.26211833266540174</v>
      </c>
      <c r="I17" s="40">
        <f>AVERAGE(H17:H19)</f>
        <v>0.33702539076098764</v>
      </c>
      <c r="J17" s="40">
        <v>0.26211833266540174</v>
      </c>
      <c r="K17" s="40">
        <f t="shared" ref="K17:K34" si="8">J17/$I$23</f>
        <v>0.34682294747119513</v>
      </c>
      <c r="L17" s="43">
        <f>I17/$I$23</f>
        <v>0.44593652877216572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</row>
    <row r="18" spans="1:30" ht="15.75" customHeight="1" x14ac:dyDescent="0.2">
      <c r="A18" s="39"/>
      <c r="B18" s="28" t="s">
        <v>67</v>
      </c>
      <c r="C18" s="40">
        <v>26.958676884999999</v>
      </c>
      <c r="D18" s="40">
        <v>27.622726589999999</v>
      </c>
      <c r="E18" s="40">
        <v>23.583281374999999</v>
      </c>
      <c r="F18" s="41">
        <f t="shared" si="5"/>
        <v>1.5845242123330441</v>
      </c>
      <c r="G18" s="41">
        <f t="shared" si="6"/>
        <v>9.6361755714877886E-2</v>
      </c>
      <c r="H18" s="40">
        <f t="shared" si="7"/>
        <v>0.39075252407776728</v>
      </c>
      <c r="I18" s="28" t="s">
        <v>316</v>
      </c>
      <c r="J18" s="40">
        <f t="shared" ref="J18:J34" si="9">(GEOMEAN(H18:I18))</f>
        <v>0.39075252407776728</v>
      </c>
      <c r="K18" s="40">
        <f t="shared" si="8"/>
        <v>0.5170258056900443</v>
      </c>
      <c r="L18" s="42" t="s">
        <v>316</v>
      </c>
      <c r="M18" s="40"/>
      <c r="N18" s="40"/>
      <c r="O18" s="40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</row>
    <row r="19" spans="1:30" ht="15.75" customHeight="1" x14ac:dyDescent="0.2">
      <c r="A19" s="39"/>
      <c r="B19" s="28" t="s">
        <v>68</v>
      </c>
      <c r="C19" s="40">
        <v>26.959610326499899</v>
      </c>
      <c r="D19" s="40">
        <v>27.622726589999999</v>
      </c>
      <c r="E19" s="40">
        <v>23.3342113655501</v>
      </c>
      <c r="F19" s="41">
        <f t="shared" si="5"/>
        <v>1.5834993371976838</v>
      </c>
      <c r="G19" s="41">
        <f t="shared" si="6"/>
        <v>8.1030061122750532E-2</v>
      </c>
      <c r="H19" s="40">
        <f t="shared" si="7"/>
        <v>0.35820531553979384</v>
      </c>
      <c r="I19" s="28" t="s">
        <v>316</v>
      </c>
      <c r="J19" s="40">
        <f t="shared" si="9"/>
        <v>0.35820531553979384</v>
      </c>
      <c r="K19" s="40">
        <f t="shared" si="8"/>
        <v>0.47396083315525767</v>
      </c>
      <c r="L19" s="42" t="s">
        <v>316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</row>
    <row r="20" spans="1:30" ht="15.75" customHeight="1" x14ac:dyDescent="0.2">
      <c r="A20" s="52"/>
      <c r="B20" s="28" t="s">
        <v>69</v>
      </c>
      <c r="C20" s="40">
        <v>26.111392344999999</v>
      </c>
      <c r="D20" s="40">
        <v>21.1127994</v>
      </c>
      <c r="E20" s="40">
        <v>24.071704765</v>
      </c>
      <c r="F20" s="41">
        <f t="shared" si="5"/>
        <v>3.1280492873816998E-2</v>
      </c>
      <c r="G20" s="41">
        <f t="shared" si="6"/>
        <v>0.24321640040204784</v>
      </c>
      <c r="H20" s="40">
        <f t="shared" si="7"/>
        <v>8.7223442259358686E-2</v>
      </c>
      <c r="I20" s="40">
        <f>AVERAGE(H20:H22)</f>
        <v>8.9590674969671213E-2</v>
      </c>
      <c r="J20" s="40">
        <f t="shared" si="9"/>
        <v>8.8399134979897223E-2</v>
      </c>
      <c r="K20" s="40">
        <f t="shared" si="8"/>
        <v>0.11696567819530768</v>
      </c>
      <c r="L20" s="43">
        <f>I20/$I$23</f>
        <v>0.11854226922227235</v>
      </c>
      <c r="M20" s="28"/>
      <c r="N20" s="28"/>
      <c r="O20" s="28"/>
      <c r="P20" s="28"/>
      <c r="Q20" s="28"/>
      <c r="R20" s="28"/>
      <c r="S20" s="40"/>
      <c r="T20" s="40"/>
      <c r="U20" s="28"/>
      <c r="V20" s="40"/>
      <c r="W20" s="40"/>
      <c r="X20" s="28"/>
      <c r="Y20" s="28"/>
      <c r="Z20" s="28"/>
      <c r="AA20" s="28"/>
      <c r="AB20" s="28"/>
      <c r="AC20" s="28"/>
      <c r="AD20" s="28"/>
    </row>
    <row r="21" spans="1:30" ht="15.75" customHeight="1" x14ac:dyDescent="0.2">
      <c r="A21" s="39"/>
      <c r="B21" s="28" t="s">
        <v>70</v>
      </c>
      <c r="C21" s="40">
        <v>25.673728994999998</v>
      </c>
      <c r="D21" s="40">
        <v>20.500784965000001</v>
      </c>
      <c r="E21" s="40">
        <v>23.622826594999999</v>
      </c>
      <c r="F21" s="41">
        <f t="shared" si="5"/>
        <v>2.7719709913700853E-2</v>
      </c>
      <c r="G21" s="41">
        <f t="shared" si="6"/>
        <v>0.24133308212981616</v>
      </c>
      <c r="H21" s="40">
        <f t="shared" si="7"/>
        <v>8.1790482509995294E-2</v>
      </c>
      <c r="I21" s="28" t="s">
        <v>316</v>
      </c>
      <c r="J21" s="40">
        <f t="shared" si="9"/>
        <v>8.1790482509995294E-2</v>
      </c>
      <c r="K21" s="40">
        <f t="shared" si="8"/>
        <v>0.10822141256109125</v>
      </c>
      <c r="L21" s="42" t="s">
        <v>316</v>
      </c>
      <c r="M21" s="40"/>
      <c r="N21" s="40"/>
      <c r="O21" s="40"/>
      <c r="P21" s="28"/>
      <c r="Q21" s="28"/>
      <c r="R21" s="28"/>
      <c r="S21" s="40"/>
      <c r="T21" s="40"/>
      <c r="U21" s="28"/>
      <c r="V21" s="28"/>
      <c r="W21" s="40"/>
      <c r="X21" s="28"/>
      <c r="Y21" s="28"/>
      <c r="Z21" s="28"/>
      <c r="AA21" s="28"/>
      <c r="AB21" s="28"/>
      <c r="AC21" s="28"/>
      <c r="AD21" s="28"/>
    </row>
    <row r="22" spans="1:30" ht="15.75" customHeight="1" x14ac:dyDescent="0.2">
      <c r="A22" s="39"/>
      <c r="B22" s="28" t="s">
        <v>71</v>
      </c>
      <c r="C22" s="40">
        <v>25.714807909999998</v>
      </c>
      <c r="D22" s="40">
        <v>20.95227298</v>
      </c>
      <c r="E22" s="40">
        <v>23.826498440000002</v>
      </c>
      <c r="F22" s="41">
        <f t="shared" si="5"/>
        <v>3.6841230791441013E-2</v>
      </c>
      <c r="G22" s="41">
        <f t="shared" si="6"/>
        <v>0.27012340059459528</v>
      </c>
      <c r="H22" s="40">
        <f t="shared" si="7"/>
        <v>9.9758100139659633E-2</v>
      </c>
      <c r="I22" s="28" t="s">
        <v>316</v>
      </c>
      <c r="J22" s="40">
        <f t="shared" si="9"/>
        <v>9.9758100139659633E-2</v>
      </c>
      <c r="K22" s="40">
        <f t="shared" si="8"/>
        <v>0.13199533955806445</v>
      </c>
      <c r="L22" s="42" t="s">
        <v>316</v>
      </c>
      <c r="M22" s="28"/>
      <c r="N22" s="28"/>
      <c r="O22" s="28"/>
      <c r="P22" s="28"/>
      <c r="Q22" s="28"/>
      <c r="R22" s="28"/>
      <c r="S22" s="40"/>
      <c r="T22" s="40"/>
      <c r="U22" s="28"/>
      <c r="V22" s="28"/>
      <c r="W22" s="28"/>
      <c r="X22" s="28"/>
      <c r="Y22" s="28"/>
      <c r="Z22" s="28"/>
      <c r="AA22" s="28"/>
      <c r="AB22" s="28"/>
      <c r="AC22" s="28"/>
      <c r="AD22" s="28"/>
    </row>
    <row r="23" spans="1:30" ht="15.75" customHeight="1" x14ac:dyDescent="0.2">
      <c r="A23" s="39"/>
      <c r="B23" s="28" t="s">
        <v>60</v>
      </c>
      <c r="C23" s="40">
        <v>33.503897299999998</v>
      </c>
      <c r="D23" s="40">
        <v>28.57318909</v>
      </c>
      <c r="E23" s="40">
        <v>37.523338715000001</v>
      </c>
      <c r="F23" s="41">
        <f t="shared" si="5"/>
        <v>3.278754720957066E-2</v>
      </c>
      <c r="G23" s="41">
        <f t="shared" si="6"/>
        <v>16.217071508952532</v>
      </c>
      <c r="H23" s="40">
        <f t="shared" si="7"/>
        <v>0.72918995995609026</v>
      </c>
      <c r="I23" s="40">
        <f>AVERAGE(H23:H25)</f>
        <v>0.75576986637301902</v>
      </c>
      <c r="J23" s="40">
        <f t="shared" si="9"/>
        <v>0.74236096246809846</v>
      </c>
      <c r="K23" s="40">
        <f t="shared" si="8"/>
        <v>0.98225795377464487</v>
      </c>
      <c r="L23" s="43">
        <f>I23/$I$23</f>
        <v>1</v>
      </c>
      <c r="M23" s="28"/>
      <c r="N23" s="28"/>
      <c r="O23" s="28"/>
      <c r="P23" s="28"/>
      <c r="Q23" s="28"/>
      <c r="R23" s="28"/>
      <c r="S23" s="40"/>
      <c r="T23" s="40"/>
      <c r="U23" s="28"/>
      <c r="V23" s="28"/>
      <c r="W23" s="28"/>
      <c r="X23" s="28"/>
      <c r="Y23" s="28"/>
      <c r="Z23" s="28"/>
      <c r="AA23" s="28"/>
      <c r="AB23" s="28"/>
      <c r="AC23" s="28"/>
      <c r="AD23" s="28"/>
    </row>
    <row r="24" spans="1:30" ht="15.75" customHeight="1" x14ac:dyDescent="0.2">
      <c r="A24" s="39"/>
      <c r="B24" s="28" t="s">
        <v>61</v>
      </c>
      <c r="C24" s="40">
        <v>33.489835795000005</v>
      </c>
      <c r="D24" s="40">
        <v>28.595624584999999</v>
      </c>
      <c r="E24" s="40">
        <v>37.523338715000001</v>
      </c>
      <c r="F24" s="41">
        <f t="shared" si="5"/>
        <v>3.3627580474239908E-2</v>
      </c>
      <c r="G24" s="41">
        <f t="shared" si="6"/>
        <v>16.375907122458095</v>
      </c>
      <c r="H24" s="40">
        <f t="shared" si="7"/>
        <v>0.74207960125524142</v>
      </c>
      <c r="I24" s="28" t="s">
        <v>316</v>
      </c>
      <c r="J24" s="40">
        <f t="shared" si="9"/>
        <v>0.74207960125524142</v>
      </c>
      <c r="K24" s="40">
        <f t="shared" si="8"/>
        <v>0.98188566953128475</v>
      </c>
      <c r="L24" s="42" t="s">
        <v>316</v>
      </c>
      <c r="M24" s="40"/>
      <c r="N24" s="40"/>
      <c r="O24" s="40"/>
      <c r="P24" s="40"/>
      <c r="Q24" s="40"/>
      <c r="R24" s="28"/>
      <c r="S24" s="40"/>
      <c r="T24" s="40"/>
      <c r="U24" s="28"/>
      <c r="V24" s="28"/>
      <c r="W24" s="28"/>
      <c r="X24" s="28"/>
      <c r="Y24" s="28"/>
      <c r="Z24" s="28"/>
      <c r="AA24" s="28"/>
      <c r="AB24" s="28"/>
      <c r="AC24" s="28"/>
      <c r="AD24" s="28"/>
    </row>
    <row r="25" spans="1:30" ht="15.75" customHeight="1" x14ac:dyDescent="0.2">
      <c r="A25" s="39"/>
      <c r="B25" s="28" t="s">
        <v>62</v>
      </c>
      <c r="C25" s="40">
        <v>33.300980389999999</v>
      </c>
      <c r="D25" s="40">
        <v>28.374067629999999</v>
      </c>
      <c r="E25" s="40">
        <v>37.569718950000002</v>
      </c>
      <c r="F25" s="41">
        <f t="shared" si="5"/>
        <v>3.2873918431126581E-2</v>
      </c>
      <c r="G25" s="41">
        <f t="shared" si="6"/>
        <v>19.276063584562987</v>
      </c>
      <c r="H25" s="40">
        <f t="shared" si="7"/>
        <v>0.79604003790772548</v>
      </c>
      <c r="I25" s="28" t="s">
        <v>316</v>
      </c>
      <c r="J25" s="40">
        <f t="shared" si="9"/>
        <v>0.79604003790772548</v>
      </c>
      <c r="K25" s="40">
        <f t="shared" si="8"/>
        <v>1.0532836427151631</v>
      </c>
      <c r="L25" s="42" t="s">
        <v>316</v>
      </c>
      <c r="M25" s="28"/>
      <c r="N25" s="28"/>
      <c r="O25" s="28"/>
      <c r="P25" s="28"/>
      <c r="Q25" s="28"/>
      <c r="R25" s="28"/>
      <c r="S25" s="40"/>
      <c r="T25" s="40"/>
      <c r="U25" s="28"/>
      <c r="V25" s="28"/>
      <c r="W25" s="28"/>
      <c r="X25" s="28"/>
      <c r="Y25" s="28"/>
      <c r="Z25" s="28"/>
      <c r="AA25" s="28"/>
      <c r="AB25" s="28"/>
      <c r="AC25" s="28"/>
      <c r="AD25" s="28"/>
    </row>
    <row r="26" spans="1:30" ht="15.75" customHeight="1" x14ac:dyDescent="0.2">
      <c r="A26" s="39"/>
      <c r="B26" s="28" t="s">
        <v>72</v>
      </c>
      <c r="C26" s="40">
        <v>25.966767730000001</v>
      </c>
      <c r="D26" s="40">
        <v>20.427874164999999</v>
      </c>
      <c r="E26" s="40">
        <v>23.08325473</v>
      </c>
      <c r="F26" s="41">
        <f t="shared" si="5"/>
        <v>2.1509330569768309E-2</v>
      </c>
      <c r="G26" s="41">
        <f t="shared" si="6"/>
        <v>0.13551148175433309</v>
      </c>
      <c r="H26" s="40">
        <f t="shared" si="7"/>
        <v>5.3988528939517118E-2</v>
      </c>
      <c r="I26" s="40">
        <f>AVERAGE(H26:H28)</f>
        <v>6.1052722872253128E-2</v>
      </c>
      <c r="J26" s="40">
        <f t="shared" si="9"/>
        <v>5.741207795947606E-2</v>
      </c>
      <c r="K26" s="40">
        <f t="shared" si="8"/>
        <v>7.5965026543066305E-2</v>
      </c>
      <c r="L26" s="43">
        <f>I26/$I$23</f>
        <v>8.0782160798826885E-2</v>
      </c>
      <c r="M26" s="28"/>
      <c r="N26" s="28"/>
      <c r="O26" s="28"/>
      <c r="P26" s="28"/>
      <c r="Q26" s="28"/>
      <c r="R26" s="40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spans="1:30" ht="15.75" customHeight="1" x14ac:dyDescent="0.2">
      <c r="A27" s="39"/>
      <c r="B27" s="28" t="s">
        <v>56</v>
      </c>
      <c r="C27" s="40">
        <v>26.46800116</v>
      </c>
      <c r="D27" s="40">
        <v>20.98889217</v>
      </c>
      <c r="E27" s="40">
        <v>23.74602891</v>
      </c>
      <c r="F27" s="41">
        <f t="shared" si="5"/>
        <v>2.2419392716316582E-2</v>
      </c>
      <c r="G27" s="41">
        <f t="shared" si="6"/>
        <v>0.15156701772114425</v>
      </c>
      <c r="H27" s="40">
        <f t="shared" si="7"/>
        <v>5.8292713894030082E-2</v>
      </c>
      <c r="I27" s="28" t="s">
        <v>316</v>
      </c>
      <c r="J27" s="40">
        <f t="shared" si="9"/>
        <v>5.8292713894030082E-2</v>
      </c>
      <c r="K27" s="40">
        <f t="shared" si="8"/>
        <v>7.7130243593569042E-2</v>
      </c>
      <c r="L27" s="42" t="s">
        <v>316</v>
      </c>
      <c r="M27" s="40"/>
      <c r="N27" s="40"/>
      <c r="O27" s="40"/>
      <c r="P27" s="40"/>
      <c r="Q27" s="40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</row>
    <row r="28" spans="1:30" ht="15.75" customHeight="1" x14ac:dyDescent="0.2">
      <c r="A28" s="39"/>
      <c r="B28" s="28" t="s">
        <v>73</v>
      </c>
      <c r="C28" s="40">
        <v>25.996660055</v>
      </c>
      <c r="D28" s="40">
        <v>20.906210135000002</v>
      </c>
      <c r="E28" s="40">
        <v>23.450029655000002</v>
      </c>
      <c r="F28" s="41">
        <f t="shared" si="5"/>
        <v>2.9350931081250257E-2</v>
      </c>
      <c r="G28" s="41">
        <f t="shared" si="6"/>
        <v>0.17115431856565758</v>
      </c>
      <c r="H28" s="40">
        <f t="shared" si="7"/>
        <v>7.0876925783212183E-2</v>
      </c>
      <c r="I28" s="28" t="s">
        <v>316</v>
      </c>
      <c r="J28" s="40">
        <f t="shared" si="9"/>
        <v>7.0876925783212183E-2</v>
      </c>
      <c r="K28" s="40">
        <f t="shared" si="8"/>
        <v>9.3781095194168607E-2</v>
      </c>
      <c r="L28" s="42" t="s">
        <v>316</v>
      </c>
      <c r="M28" s="28"/>
      <c r="N28" s="28"/>
      <c r="O28" s="28"/>
      <c r="P28" s="28"/>
      <c r="Q28" s="28"/>
      <c r="R28" s="28"/>
      <c r="S28" s="40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</row>
    <row r="29" spans="1:30" ht="15.75" customHeight="1" x14ac:dyDescent="0.2">
      <c r="A29" s="39"/>
      <c r="B29" s="28" t="s">
        <v>74</v>
      </c>
      <c r="C29" s="40">
        <v>26.042971260000002</v>
      </c>
      <c r="D29" s="40">
        <v>19.888410329999999</v>
      </c>
      <c r="E29" s="40">
        <v>20.780996915000003</v>
      </c>
      <c r="F29" s="41">
        <f t="shared" si="5"/>
        <v>1.4037589878240622E-2</v>
      </c>
      <c r="G29" s="41">
        <f t="shared" si="6"/>
        <v>2.6060808546713093E-2</v>
      </c>
      <c r="H29" s="40">
        <f t="shared" si="7"/>
        <v>1.9126707564923622E-2</v>
      </c>
      <c r="I29" s="40">
        <f>AVERAGE(H29:H31)</f>
        <v>1.5348865270796727E-2</v>
      </c>
      <c r="J29" s="40">
        <f t="shared" si="9"/>
        <v>1.7133979616187865E-2</v>
      </c>
      <c r="K29" s="40">
        <f t="shared" si="8"/>
        <v>2.2670895438600604E-2</v>
      </c>
      <c r="L29" s="43">
        <f>I29/$I$23</f>
        <v>2.0308914067263321E-2</v>
      </c>
      <c r="M29" s="28"/>
      <c r="N29" s="28"/>
      <c r="O29" s="28"/>
      <c r="P29" s="28"/>
      <c r="Q29" s="28"/>
      <c r="R29" s="40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1:30" ht="15.75" customHeight="1" x14ac:dyDescent="0.2">
      <c r="A30" s="39"/>
      <c r="B30" s="28" t="s">
        <v>75</v>
      </c>
      <c r="C30" s="40">
        <v>25.341506575</v>
      </c>
      <c r="D30" s="40">
        <v>19.440910510000002</v>
      </c>
      <c r="E30" s="40">
        <v>19.471273574999998</v>
      </c>
      <c r="F30" s="41">
        <f t="shared" si="5"/>
        <v>1.6739542800734579E-2</v>
      </c>
      <c r="G30" s="41">
        <f t="shared" si="6"/>
        <v>1.7095577867109885E-2</v>
      </c>
      <c r="H30" s="40">
        <f t="shared" si="7"/>
        <v>1.6916623700070198E-2</v>
      </c>
      <c r="I30" s="28" t="s">
        <v>316</v>
      </c>
      <c r="J30" s="40">
        <f t="shared" si="9"/>
        <v>1.6916623700070198E-2</v>
      </c>
      <c r="K30" s="40">
        <f t="shared" si="8"/>
        <v>2.2383300066267528E-2</v>
      </c>
      <c r="L30" s="42" t="s">
        <v>316</v>
      </c>
      <c r="M30" s="40"/>
      <c r="N30" s="40"/>
      <c r="O30" s="40"/>
      <c r="P30" s="40"/>
      <c r="Q30" s="40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</row>
    <row r="31" spans="1:30" ht="15.75" customHeight="1" x14ac:dyDescent="0.2">
      <c r="A31" s="39"/>
      <c r="B31" s="28" t="s">
        <v>76</v>
      </c>
      <c r="C31" s="40">
        <v>25.341506575</v>
      </c>
      <c r="D31" s="40">
        <v>18.086972595999999</v>
      </c>
      <c r="E31" s="40">
        <v>19.309269969999999</v>
      </c>
      <c r="F31" s="41">
        <f t="shared" si="5"/>
        <v>6.5488895777576122E-3</v>
      </c>
      <c r="G31" s="41">
        <f t="shared" si="6"/>
        <v>1.5279735658554193E-2</v>
      </c>
      <c r="H31" s="40">
        <f t="shared" si="7"/>
        <v>1.000326454739636E-2</v>
      </c>
      <c r="I31" s="28" t="s">
        <v>316</v>
      </c>
      <c r="J31" s="40">
        <f t="shared" si="9"/>
        <v>1.000326454739636E-2</v>
      </c>
      <c r="K31" s="40">
        <f t="shared" si="8"/>
        <v>1.3235860534374802E-2</v>
      </c>
      <c r="L31" s="42" t="s">
        <v>316</v>
      </c>
      <c r="M31" s="28"/>
      <c r="N31" s="28"/>
      <c r="O31" s="28"/>
      <c r="P31" s="28"/>
      <c r="Q31" s="28"/>
      <c r="R31" s="28"/>
      <c r="S31" s="40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</row>
    <row r="32" spans="1:30" ht="15.75" customHeight="1" x14ac:dyDescent="0.2">
      <c r="A32" s="39"/>
      <c r="B32" s="28" t="s">
        <v>77</v>
      </c>
      <c r="C32" s="40">
        <v>30.367008720000001</v>
      </c>
      <c r="D32" s="40">
        <v>20.18932015</v>
      </c>
      <c r="E32" s="40">
        <v>28.184434445000001</v>
      </c>
      <c r="F32" s="41">
        <f t="shared" si="5"/>
        <v>8.6339683817473741E-4</v>
      </c>
      <c r="G32" s="41">
        <f t="shared" si="6"/>
        <v>0.22028233707502673</v>
      </c>
      <c r="H32" s="40">
        <f t="shared" si="7"/>
        <v>1.3790977968814242E-2</v>
      </c>
      <c r="I32" s="40">
        <f>AVERAGE(H32:H34)</f>
        <v>5.5458000146608254E-2</v>
      </c>
      <c r="J32" s="40">
        <f t="shared" si="9"/>
        <v>2.7655380276112123E-2</v>
      </c>
      <c r="K32" s="40">
        <f t="shared" si="8"/>
        <v>3.6592329896442954E-2</v>
      </c>
      <c r="L32" s="43">
        <f>I32/$I$23</f>
        <v>7.3379480466394129E-2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</row>
    <row r="33" spans="1:30" ht="15.75" customHeight="1" x14ac:dyDescent="0.2">
      <c r="A33" s="39"/>
      <c r="B33" s="28" t="s">
        <v>78</v>
      </c>
      <c r="C33" s="40">
        <v>32.083042919999997</v>
      </c>
      <c r="D33" s="40">
        <v>27.963199150000001</v>
      </c>
      <c r="E33" s="40">
        <v>30.619228745000001</v>
      </c>
      <c r="F33" s="41">
        <f t="shared" si="5"/>
        <v>5.7517956468410007E-2</v>
      </c>
      <c r="G33" s="41">
        <f t="shared" si="6"/>
        <v>0.36253340099184861</v>
      </c>
      <c r="H33" s="40">
        <f t="shared" si="7"/>
        <v>0.14440284061123512</v>
      </c>
      <c r="I33" s="28" t="s">
        <v>316</v>
      </c>
      <c r="J33" s="40">
        <f t="shared" si="9"/>
        <v>0.14440284061123512</v>
      </c>
      <c r="K33" s="40">
        <f t="shared" si="8"/>
        <v>0.19106721111312927</v>
      </c>
      <c r="L33" s="42" t="s">
        <v>316</v>
      </c>
      <c r="M33" s="40"/>
      <c r="N33" s="40"/>
      <c r="O33" s="40"/>
      <c r="P33" s="40"/>
      <c r="Q33" s="40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</row>
    <row r="34" spans="1:30" ht="15.75" customHeight="1" x14ac:dyDescent="0.2">
      <c r="A34" s="39"/>
      <c r="B34" s="28" t="s">
        <v>79</v>
      </c>
      <c r="C34" s="40">
        <v>30.122817569999999</v>
      </c>
      <c r="D34" s="40">
        <v>19.596590380000002</v>
      </c>
      <c r="E34" s="40">
        <v>26.781742025</v>
      </c>
      <c r="F34" s="41">
        <f t="shared" si="5"/>
        <v>6.7809395787962333E-4</v>
      </c>
      <c r="G34" s="41">
        <f t="shared" si="6"/>
        <v>9.8681568359996349E-2</v>
      </c>
      <c r="H34" s="40">
        <f t="shared" si="7"/>
        <v>8.1801818597754001E-3</v>
      </c>
      <c r="I34" s="28" t="s">
        <v>316</v>
      </c>
      <c r="J34" s="40">
        <f t="shared" si="9"/>
        <v>8.1801818597754001E-3</v>
      </c>
      <c r="K34" s="40">
        <f t="shared" si="8"/>
        <v>1.0823641195212692E-2</v>
      </c>
      <c r="L34" s="42" t="s">
        <v>316</v>
      </c>
      <c r="M34" s="28"/>
      <c r="N34" s="28"/>
      <c r="O34" s="28"/>
      <c r="P34" s="28"/>
      <c r="Q34" s="28"/>
      <c r="R34" s="40"/>
      <c r="S34" s="40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</row>
    <row r="35" spans="1:30" ht="15.75" customHeight="1" x14ac:dyDescent="0.2">
      <c r="A35" s="39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42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1:30" ht="15.75" customHeight="1" x14ac:dyDescent="0.2">
      <c r="A36" s="39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42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1:30" ht="15.75" customHeight="1" x14ac:dyDescent="0.2">
      <c r="A37" s="51" t="s">
        <v>80</v>
      </c>
      <c r="B37" s="28" t="s">
        <v>66</v>
      </c>
      <c r="C37" s="40">
        <v>29.409189759498702</v>
      </c>
      <c r="D37" s="40">
        <v>27.222439367231551</v>
      </c>
      <c r="E37" s="40">
        <v>28.211594536416499</v>
      </c>
      <c r="F37" s="41">
        <f t="shared" ref="F37:F54" si="10">2^(D37-C37)</f>
        <v>0.21964561573574995</v>
      </c>
      <c r="G37" s="41">
        <f t="shared" ref="G37:G54" si="11">2^(E37-C37)</f>
        <v>0.43600143152185417</v>
      </c>
      <c r="H37" s="40">
        <f t="shared" ref="H37:H54" si="12">(GEOMEAN(F37:G37))</f>
        <v>0.30946050295358546</v>
      </c>
      <c r="I37" s="40">
        <f>AVERAGE(H37:H39)</f>
        <v>0.52455939518928041</v>
      </c>
      <c r="J37" s="40">
        <v>0.30946050295358546</v>
      </c>
      <c r="K37" s="40">
        <f t="shared" ref="K37:K54" si="13">J37/$I$23</f>
        <v>0.40946393435703299</v>
      </c>
      <c r="L37" s="43">
        <f>I37/$I$23</f>
        <v>0.69407291627895895</v>
      </c>
      <c r="M37" s="28"/>
      <c r="N37" s="28"/>
      <c r="O37" s="28"/>
      <c r="P37" s="28"/>
      <c r="Q37" s="28"/>
      <c r="R37" s="40"/>
      <c r="S37" s="40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</row>
    <row r="38" spans="1:30" ht="15.75" customHeight="1" x14ac:dyDescent="0.2">
      <c r="A38" s="39"/>
      <c r="B38" s="28" t="s">
        <v>67</v>
      </c>
      <c r="C38" s="40">
        <v>29.01343210099785</v>
      </c>
      <c r="D38" s="40">
        <v>27.7815468007344</v>
      </c>
      <c r="E38" s="40">
        <v>28.299590090262249</v>
      </c>
      <c r="F38" s="41">
        <f t="shared" si="10"/>
        <v>0.42576070212220651</v>
      </c>
      <c r="G38" s="41">
        <f t="shared" si="11"/>
        <v>0.60969431089251735</v>
      </c>
      <c r="H38" s="40">
        <f t="shared" si="12"/>
        <v>0.50949374665987124</v>
      </c>
      <c r="I38" s="28" t="s">
        <v>316</v>
      </c>
      <c r="J38" s="40">
        <f t="shared" ref="J38:J54" si="14">(GEOMEAN(H38:I38))</f>
        <v>0.50949374665987124</v>
      </c>
      <c r="K38" s="40">
        <f t="shared" si="13"/>
        <v>0.67413874160524501</v>
      </c>
      <c r="L38" s="42" t="s">
        <v>316</v>
      </c>
      <c r="M38" s="40"/>
      <c r="N38" s="40"/>
      <c r="O38" s="40"/>
      <c r="P38" s="40"/>
      <c r="Q38" s="40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1:30" ht="15.75" customHeight="1" x14ac:dyDescent="0.2">
      <c r="A39" s="39"/>
      <c r="B39" s="28" t="s">
        <v>68</v>
      </c>
      <c r="C39" s="40">
        <v>28.554435737309099</v>
      </c>
      <c r="D39" s="40">
        <v>27.920906085714101</v>
      </c>
      <c r="E39" s="40">
        <v>28.376007258702199</v>
      </c>
      <c r="F39" s="41">
        <f t="shared" si="10"/>
        <v>0.64459743307680095</v>
      </c>
      <c r="G39" s="41">
        <f t="shared" si="11"/>
        <v>0.8836650446831853</v>
      </c>
      <c r="H39" s="40">
        <f t="shared" si="12"/>
        <v>0.75472393595438447</v>
      </c>
      <c r="I39" s="28" t="s">
        <v>316</v>
      </c>
      <c r="J39" s="40">
        <f t="shared" si="14"/>
        <v>0.75472393595438447</v>
      </c>
      <c r="K39" s="40">
        <f t="shared" si="13"/>
        <v>0.99861607287459864</v>
      </c>
      <c r="L39" s="42" t="s">
        <v>316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1:30" ht="15.75" customHeight="1" x14ac:dyDescent="0.2">
      <c r="A40" s="39"/>
      <c r="B40" s="28" t="s">
        <v>69</v>
      </c>
      <c r="C40" s="40">
        <v>25.104565188625152</v>
      </c>
      <c r="D40" s="40">
        <v>19.451129930038</v>
      </c>
      <c r="E40" s="40">
        <v>19.609663428649899</v>
      </c>
      <c r="F40" s="41">
        <f t="shared" si="10"/>
        <v>1.9867645791867207E-2</v>
      </c>
      <c r="G40" s="41">
        <f t="shared" si="11"/>
        <v>2.2175312412598555E-2</v>
      </c>
      <c r="H40" s="40">
        <f t="shared" si="12"/>
        <v>2.0989789239949607E-2</v>
      </c>
      <c r="I40" s="40">
        <f>AVERAGE(H40:H42)</f>
        <v>4.9306675058752684E-2</v>
      </c>
      <c r="J40" s="40">
        <f t="shared" si="14"/>
        <v>3.2170432350310411E-2</v>
      </c>
      <c r="K40" s="40">
        <f t="shared" si="13"/>
        <v>4.2566439575975792E-2</v>
      </c>
      <c r="L40" s="43">
        <f>I40/$I$23</f>
        <v>6.5240329434379435E-2</v>
      </c>
      <c r="M40" s="28"/>
      <c r="N40" s="28"/>
      <c r="O40" s="28"/>
      <c r="P40" s="28"/>
      <c r="Q40" s="28"/>
      <c r="R40" s="40"/>
      <c r="S40" s="40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1:30" ht="15.75" customHeight="1" x14ac:dyDescent="0.2">
      <c r="A41" s="39"/>
      <c r="B41" s="28" t="s">
        <v>70</v>
      </c>
      <c r="C41" s="40">
        <v>26.2120085815035</v>
      </c>
      <c r="D41" s="40">
        <v>20.633353282802098</v>
      </c>
      <c r="E41" s="40">
        <v>24.136880006712499</v>
      </c>
      <c r="F41" s="41">
        <f t="shared" si="10"/>
        <v>2.0924612284181656E-2</v>
      </c>
      <c r="G41" s="41">
        <f t="shared" si="11"/>
        <v>0.23731437954008852</v>
      </c>
      <c r="H41" s="40">
        <f t="shared" si="12"/>
        <v>7.0467803863448766E-2</v>
      </c>
      <c r="I41" s="28" t="s">
        <v>316</v>
      </c>
      <c r="J41" s="40">
        <f t="shared" si="14"/>
        <v>7.0467803863448766E-2</v>
      </c>
      <c r="K41" s="40">
        <f t="shared" si="13"/>
        <v>9.3239763847198107E-2</v>
      </c>
      <c r="L41" s="42" t="s">
        <v>316</v>
      </c>
      <c r="M41" s="40"/>
      <c r="N41" s="40"/>
      <c r="O41" s="40"/>
      <c r="P41" s="40"/>
      <c r="Q41" s="40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</row>
    <row r="42" spans="1:30" ht="15.75" customHeight="1" x14ac:dyDescent="0.2">
      <c r="A42" s="39"/>
      <c r="B42" s="28" t="s">
        <v>71</v>
      </c>
      <c r="C42" s="40">
        <v>25.87330040236975</v>
      </c>
      <c r="D42" s="40">
        <v>20.95997266726495</v>
      </c>
      <c r="E42" s="40">
        <v>22.49349830398365</v>
      </c>
      <c r="F42" s="41">
        <f t="shared" si="10"/>
        <v>3.3184935144274175E-2</v>
      </c>
      <c r="G42" s="41">
        <f t="shared" si="11"/>
        <v>9.6067876032367647E-2</v>
      </c>
      <c r="H42" s="40">
        <f t="shared" si="12"/>
        <v>5.6462432072859663E-2</v>
      </c>
      <c r="I42" s="28" t="s">
        <v>316</v>
      </c>
      <c r="J42" s="40">
        <f t="shared" si="14"/>
        <v>5.6462432072859663E-2</v>
      </c>
      <c r="K42" s="40">
        <f t="shared" si="13"/>
        <v>7.4708498691309258E-2</v>
      </c>
      <c r="L42" s="42" t="s">
        <v>316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1:30" ht="15.75" customHeight="1" x14ac:dyDescent="0.2">
      <c r="A43" s="39"/>
      <c r="B43" s="28" t="s">
        <v>60</v>
      </c>
      <c r="C43" s="40">
        <v>34.086704957156648</v>
      </c>
      <c r="D43" s="40">
        <v>30.416744821800002</v>
      </c>
      <c r="E43" s="40">
        <v>36.420728371569901</v>
      </c>
      <c r="F43" s="41">
        <f t="shared" si="10"/>
        <v>7.856550680482309E-2</v>
      </c>
      <c r="G43" s="41">
        <f t="shared" si="11"/>
        <v>5.0420953970334601</v>
      </c>
      <c r="H43" s="40">
        <f t="shared" si="12"/>
        <v>0.62939238971106048</v>
      </c>
      <c r="I43" s="40">
        <f>AVERAGE(H43:H45)</f>
        <v>0.56137085247589158</v>
      </c>
      <c r="J43" s="40">
        <f t="shared" si="14"/>
        <v>0.59440940634712081</v>
      </c>
      <c r="K43" s="40">
        <f t="shared" si="13"/>
        <v>0.78649524517261338</v>
      </c>
      <c r="L43" s="43">
        <f>I43/$I$23</f>
        <v>0.74278014704388928</v>
      </c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1:30" ht="15.75" customHeight="1" x14ac:dyDescent="0.2">
      <c r="A44" s="52"/>
      <c r="B44" s="28" t="s">
        <v>61</v>
      </c>
      <c r="C44" s="40">
        <v>33.994993084812151</v>
      </c>
      <c r="D44" s="40">
        <v>30.911307935081197</v>
      </c>
      <c r="E44" s="40">
        <v>35.332376844950602</v>
      </c>
      <c r="F44" s="41">
        <f t="shared" si="10"/>
        <v>0.11795552088013946</v>
      </c>
      <c r="G44" s="41">
        <f t="shared" si="11"/>
        <v>2.5269266024824035</v>
      </c>
      <c r="H44" s="40">
        <f t="shared" si="12"/>
        <v>0.54595324307278636</v>
      </c>
      <c r="I44" s="28" t="s">
        <v>316</v>
      </c>
      <c r="J44" s="40">
        <f t="shared" si="14"/>
        <v>0.54595324307278636</v>
      </c>
      <c r="K44" s="40">
        <f t="shared" si="13"/>
        <v>0.72238027389586978</v>
      </c>
      <c r="L44" s="42" t="s">
        <v>316</v>
      </c>
      <c r="M44" s="40"/>
      <c r="N44" s="40"/>
      <c r="O44" s="40"/>
      <c r="P44" s="40"/>
      <c r="Q44" s="40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1:30" ht="15.75" customHeight="1" x14ac:dyDescent="0.2">
      <c r="A45" s="39"/>
      <c r="B45" s="28" t="s">
        <v>62</v>
      </c>
      <c r="C45" s="40">
        <v>33.861477685128548</v>
      </c>
      <c r="D45" s="40">
        <v>30.440732101291349</v>
      </c>
      <c r="E45" s="40">
        <v>35.332376844950602</v>
      </c>
      <c r="F45" s="41">
        <f t="shared" si="10"/>
        <v>9.3379806945426441E-2</v>
      </c>
      <c r="G45" s="41">
        <f t="shared" si="11"/>
        <v>2.771946013583146</v>
      </c>
      <c r="H45" s="40">
        <f t="shared" si="12"/>
        <v>0.508766924643828</v>
      </c>
      <c r="I45" s="28" t="s">
        <v>316</v>
      </c>
      <c r="J45" s="40">
        <f t="shared" si="14"/>
        <v>0.508766924643828</v>
      </c>
      <c r="K45" s="40">
        <f t="shared" si="13"/>
        <v>0.6731770440721967</v>
      </c>
      <c r="L45" s="42" t="s">
        <v>316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0" ht="15.75" customHeight="1" x14ac:dyDescent="0.2">
      <c r="A46" s="39"/>
      <c r="B46" s="28" t="s">
        <v>72</v>
      </c>
      <c r="C46" s="40">
        <v>26.46800116</v>
      </c>
      <c r="D46" s="40">
        <v>20.98889217</v>
      </c>
      <c r="E46" s="40">
        <v>23.74602891</v>
      </c>
      <c r="F46" s="41">
        <f t="shared" si="10"/>
        <v>2.2419392716316582E-2</v>
      </c>
      <c r="G46" s="41">
        <f t="shared" si="11"/>
        <v>0.15156701772114425</v>
      </c>
      <c r="H46" s="40">
        <f t="shared" si="12"/>
        <v>5.8292713894030082E-2</v>
      </c>
      <c r="I46" s="40">
        <f>AVERAGE(H46:H48)</f>
        <v>6.1052722821557853E-2</v>
      </c>
      <c r="J46" s="40">
        <f t="shared" si="14"/>
        <v>5.9656759079659977E-2</v>
      </c>
      <c r="K46" s="40">
        <f t="shared" si="13"/>
        <v>7.8935085578307099E-2</v>
      </c>
      <c r="L46" s="43">
        <f>I46/$I$23</f>
        <v>8.0782160731749222E-2</v>
      </c>
      <c r="M46" s="28"/>
      <c r="N46" s="28"/>
      <c r="O46" s="28"/>
      <c r="P46" s="28"/>
      <c r="Q46" s="28"/>
      <c r="R46" s="40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1:30" ht="15.75" customHeight="1" x14ac:dyDescent="0.2">
      <c r="A47" s="39"/>
      <c r="B47" s="28" t="s">
        <v>56</v>
      </c>
      <c r="C47" s="40">
        <v>25.966767730000001</v>
      </c>
      <c r="D47" s="40">
        <v>20.427874169999999</v>
      </c>
      <c r="E47" s="40">
        <v>23.08325473</v>
      </c>
      <c r="F47" s="41">
        <f t="shared" si="10"/>
        <v>2.1509330644313974E-2</v>
      </c>
      <c r="G47" s="41">
        <f t="shared" si="11"/>
        <v>0.13551148175433309</v>
      </c>
      <c r="H47" s="40">
        <f t="shared" si="12"/>
        <v>5.3988529033072115E-2</v>
      </c>
      <c r="I47" s="28" t="s">
        <v>316</v>
      </c>
      <c r="J47" s="40">
        <f t="shared" si="14"/>
        <v>5.3988529033072115E-2</v>
      </c>
      <c r="K47" s="40">
        <f t="shared" si="13"/>
        <v>7.1435143732530682E-2</v>
      </c>
      <c r="L47" s="42" t="s">
        <v>316</v>
      </c>
      <c r="M47" s="40"/>
      <c r="N47" s="40"/>
      <c r="O47" s="40"/>
      <c r="P47" s="40"/>
      <c r="Q47" s="40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</row>
    <row r="48" spans="1:30" ht="15.75" customHeight="1" x14ac:dyDescent="0.2">
      <c r="A48" s="39"/>
      <c r="B48" s="28" t="s">
        <v>73</v>
      </c>
      <c r="C48" s="40">
        <v>25.99666006</v>
      </c>
      <c r="D48" s="40">
        <v>20.906210130000002</v>
      </c>
      <c r="E48" s="40">
        <v>23.450029659999998</v>
      </c>
      <c r="F48" s="41">
        <f t="shared" si="10"/>
        <v>2.9350930877805086E-2</v>
      </c>
      <c r="G48" s="41">
        <f t="shared" si="11"/>
        <v>0.17115431856565716</v>
      </c>
      <c r="H48" s="40">
        <f t="shared" si="12"/>
        <v>7.0876925537571356E-2</v>
      </c>
      <c r="I48" s="28" t="s">
        <v>316</v>
      </c>
      <c r="J48" s="40">
        <f t="shared" si="14"/>
        <v>7.0876925537571356E-2</v>
      </c>
      <c r="K48" s="40">
        <f t="shared" si="13"/>
        <v>9.3781094869147943E-2</v>
      </c>
      <c r="L48" s="42" t="s">
        <v>316</v>
      </c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</row>
    <row r="49" spans="1:30" ht="15.75" customHeight="1" x14ac:dyDescent="0.2">
      <c r="A49" s="39"/>
      <c r="B49" s="28" t="s">
        <v>74</v>
      </c>
      <c r="C49" s="40">
        <v>25.599465501916498</v>
      </c>
      <c r="D49" s="40">
        <v>19.764399062729602</v>
      </c>
      <c r="E49" s="40">
        <v>19.924735409627651</v>
      </c>
      <c r="F49" s="41">
        <f t="shared" si="10"/>
        <v>1.751741323633918E-2</v>
      </c>
      <c r="G49" s="41">
        <f t="shared" si="11"/>
        <v>1.9576544003712466E-2</v>
      </c>
      <c r="H49" s="40">
        <f t="shared" si="12"/>
        <v>1.8518380357158915E-2</v>
      </c>
      <c r="I49" s="40">
        <f>AVERAGE(H49:H51)</f>
        <v>0.25899002542347938</v>
      </c>
      <c r="J49" s="40">
        <f t="shared" si="14"/>
        <v>6.9253706034422796E-2</v>
      </c>
      <c r="K49" s="40">
        <f t="shared" si="13"/>
        <v>9.1633325322660886E-2</v>
      </c>
      <c r="L49" s="43">
        <f>I49/$I$23</f>
        <v>0.34268371490700827</v>
      </c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0" ht="15.75" customHeight="1" x14ac:dyDescent="0.2">
      <c r="A50" s="39"/>
      <c r="B50" s="28" t="s">
        <v>75</v>
      </c>
      <c r="C50" s="40">
        <v>25.279588999759898</v>
      </c>
      <c r="D50" s="40">
        <v>25.0031249107222</v>
      </c>
      <c r="E50" s="40">
        <v>24.707654026254598</v>
      </c>
      <c r="F50" s="41">
        <f t="shared" si="10"/>
        <v>0.82561203767613878</v>
      </c>
      <c r="G50" s="41">
        <f t="shared" si="11"/>
        <v>0.67271392476621616</v>
      </c>
      <c r="H50" s="40">
        <f t="shared" si="12"/>
        <v>0.74525211452189011</v>
      </c>
      <c r="I50" s="28" t="s">
        <v>316</v>
      </c>
      <c r="J50" s="40">
        <f t="shared" si="14"/>
        <v>0.74525211452189011</v>
      </c>
      <c r="K50" s="40">
        <f t="shared" si="13"/>
        <v>0.98608339347848817</v>
      </c>
      <c r="L50" s="42" t="s">
        <v>316</v>
      </c>
      <c r="M50" s="40"/>
      <c r="N50" s="40"/>
      <c r="O50" s="40"/>
      <c r="P50" s="40"/>
      <c r="Q50" s="40"/>
      <c r="R50" s="28"/>
      <c r="S50" s="53">
        <v>1.0707174557683019E-3</v>
      </c>
      <c r="T50" s="53">
        <v>2.0356422042764666E-2</v>
      </c>
      <c r="U50" s="28"/>
      <c r="V50" s="28"/>
      <c r="W50" s="28"/>
      <c r="X50" s="28"/>
      <c r="Y50" s="28"/>
      <c r="Z50" s="28"/>
      <c r="AA50" s="28"/>
      <c r="AB50" s="28"/>
      <c r="AC50" s="28"/>
      <c r="AD50" s="28"/>
    </row>
    <row r="51" spans="1:30" ht="15.75" customHeight="1" x14ac:dyDescent="0.2">
      <c r="A51" s="39"/>
      <c r="B51" s="28" t="s">
        <v>76</v>
      </c>
      <c r="C51" s="40">
        <v>28.621050924393302</v>
      </c>
      <c r="D51" s="40">
        <v>20.132245350854198</v>
      </c>
      <c r="E51" s="40">
        <v>24.6231284723772</v>
      </c>
      <c r="F51" s="41">
        <f t="shared" si="10"/>
        <v>2.7836517068896326E-3</v>
      </c>
      <c r="G51" s="41">
        <f t="shared" si="11"/>
        <v>6.2590067743275579E-2</v>
      </c>
      <c r="H51" s="40">
        <f t="shared" si="12"/>
        <v>1.3199581391389152E-2</v>
      </c>
      <c r="I51" s="28" t="s">
        <v>316</v>
      </c>
      <c r="J51" s="40">
        <f t="shared" si="14"/>
        <v>1.3199581391389152E-2</v>
      </c>
      <c r="K51" s="40">
        <f t="shared" si="13"/>
        <v>1.7465080282619186E-2</v>
      </c>
      <c r="L51" s="42" t="s">
        <v>316</v>
      </c>
      <c r="M51" s="28"/>
      <c r="N51" s="28"/>
      <c r="O51" s="28"/>
      <c r="P51" s="28"/>
      <c r="Q51" s="28"/>
      <c r="R51" s="28"/>
      <c r="S51" s="53">
        <v>0.13128060219410839</v>
      </c>
      <c r="T51" s="53">
        <v>0.8959399950819058</v>
      </c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0" ht="15.75" customHeight="1" x14ac:dyDescent="0.2">
      <c r="A52" s="39"/>
      <c r="B52" s="28" t="s">
        <v>77</v>
      </c>
      <c r="C52" s="40">
        <v>29.021729292217749</v>
      </c>
      <c r="D52" s="40">
        <v>20.71945779764475</v>
      </c>
      <c r="E52" s="40">
        <v>27.684385046423799</v>
      </c>
      <c r="F52" s="41">
        <f t="shared" si="10"/>
        <v>3.1678692476911196E-3</v>
      </c>
      <c r="G52" s="41">
        <f t="shared" si="11"/>
        <v>0.39574849093327996</v>
      </c>
      <c r="H52" s="40">
        <f t="shared" si="12"/>
        <v>3.5407336446670282E-2</v>
      </c>
      <c r="I52" s="40">
        <f>AVERAGE(H52:H54)</f>
        <v>3.2084889447799518E-2</v>
      </c>
      <c r="J52" s="40">
        <f t="shared" si="14"/>
        <v>3.3705199532601177E-2</v>
      </c>
      <c r="K52" s="40">
        <f t="shared" si="13"/>
        <v>4.4597173071154947E-2</v>
      </c>
      <c r="L52" s="43">
        <f>I52/$I$23</f>
        <v>4.2453253133492422E-2</v>
      </c>
      <c r="M52" s="28"/>
      <c r="N52" s="28"/>
      <c r="O52" s="28"/>
      <c r="P52" s="28"/>
      <c r="Q52" s="28"/>
      <c r="R52" s="28"/>
      <c r="S52" s="53">
        <v>8.8029596359294207E-2</v>
      </c>
      <c r="T52" s="53">
        <v>1</v>
      </c>
      <c r="U52" s="28"/>
      <c r="V52" s="28"/>
      <c r="W52" s="28"/>
      <c r="X52" s="28"/>
      <c r="Y52" s="28"/>
      <c r="Z52" s="28"/>
      <c r="AA52" s="28"/>
      <c r="AB52" s="28"/>
      <c r="AC52" s="28"/>
      <c r="AD52" s="28"/>
    </row>
    <row r="53" spans="1:30" ht="15.75" customHeight="1" x14ac:dyDescent="0.2">
      <c r="A53" s="39"/>
      <c r="B53" s="28" t="s">
        <v>78</v>
      </c>
      <c r="C53" s="40">
        <v>33.974302053679594</v>
      </c>
      <c r="D53" s="40">
        <v>29.6265559452671</v>
      </c>
      <c r="E53" s="40">
        <v>27.970372640296301</v>
      </c>
      <c r="F53" s="41">
        <f t="shared" si="10"/>
        <v>4.9113174675863208E-2</v>
      </c>
      <c r="G53" s="41">
        <f t="shared" si="11"/>
        <v>1.558250068740194E-2</v>
      </c>
      <c r="H53" s="40">
        <f t="shared" si="12"/>
        <v>2.7664165957916209E-2</v>
      </c>
      <c r="I53" s="28" t="s">
        <v>316</v>
      </c>
      <c r="J53" s="40">
        <f t="shared" si="14"/>
        <v>2.7664165957916209E-2</v>
      </c>
      <c r="K53" s="40">
        <f t="shared" si="13"/>
        <v>3.660395470737416E-2</v>
      </c>
      <c r="L53" s="42" t="s">
        <v>316</v>
      </c>
      <c r="M53" s="40"/>
      <c r="N53" s="40"/>
      <c r="O53" s="40"/>
      <c r="P53" s="40"/>
      <c r="Q53" s="40"/>
      <c r="R53" s="28"/>
      <c r="S53" s="53">
        <v>5.4651416807172159E-3</v>
      </c>
      <c r="T53" s="53">
        <v>4.6062207365166655E-2</v>
      </c>
      <c r="U53" s="28"/>
      <c r="V53" s="28"/>
      <c r="W53" s="28"/>
      <c r="X53" s="28"/>
      <c r="Y53" s="28"/>
      <c r="Z53" s="28"/>
      <c r="AA53" s="28"/>
      <c r="AB53" s="28"/>
      <c r="AC53" s="28"/>
      <c r="AD53" s="28"/>
    </row>
    <row r="54" spans="1:30" ht="15.75" customHeight="1" x14ac:dyDescent="0.2">
      <c r="A54" s="44"/>
      <c r="B54" s="45" t="s">
        <v>79</v>
      </c>
      <c r="C54" s="46">
        <v>28.399150753296251</v>
      </c>
      <c r="D54" s="46">
        <v>20.202025353794447</v>
      </c>
      <c r="E54" s="46">
        <v>26.76946684820685</v>
      </c>
      <c r="F54" s="47">
        <f t="shared" si="10"/>
        <v>3.4073706368292194E-3</v>
      </c>
      <c r="G54" s="47">
        <f t="shared" si="11"/>
        <v>0.32315900413680976</v>
      </c>
      <c r="H54" s="46">
        <f t="shared" si="12"/>
        <v>3.318316593881207E-2</v>
      </c>
      <c r="I54" s="45" t="s">
        <v>316</v>
      </c>
      <c r="J54" s="46">
        <f t="shared" si="14"/>
        <v>3.318316593881207E-2</v>
      </c>
      <c r="K54" s="46">
        <f t="shared" si="13"/>
        <v>4.3906442179363278E-2</v>
      </c>
      <c r="L54" s="48" t="s">
        <v>316</v>
      </c>
      <c r="M54" s="28"/>
      <c r="N54" s="28"/>
      <c r="O54" s="28"/>
      <c r="P54" s="28"/>
      <c r="Q54" s="28"/>
      <c r="R54" s="28"/>
      <c r="S54" s="53">
        <v>3.5442296710623579E-2</v>
      </c>
      <c r="T54" s="53">
        <v>9.2683491149498545E-2</v>
      </c>
      <c r="U54" s="28"/>
      <c r="V54" s="28"/>
      <c r="W54" s="28"/>
      <c r="X54" s="28"/>
      <c r="Y54" s="28"/>
      <c r="Z54" s="28"/>
      <c r="AA54" s="28"/>
      <c r="AB54" s="28"/>
      <c r="AC54" s="28"/>
      <c r="AD54" s="28"/>
    </row>
    <row r="55" spans="1:30" ht="15.75" customHeight="1" x14ac:dyDescent="0.2">
      <c r="A55" s="28"/>
      <c r="B55" s="28"/>
      <c r="C55" s="28"/>
      <c r="D55" s="28"/>
      <c r="E55" s="28"/>
      <c r="F55" s="41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53">
        <v>8.8020961482808802E-2</v>
      </c>
      <c r="T55" s="53">
        <v>0.12989111698410166</v>
      </c>
      <c r="U55" s="28"/>
      <c r="V55" s="28"/>
      <c r="W55" s="28"/>
      <c r="X55" s="28"/>
      <c r="Y55" s="28"/>
      <c r="Z55" s="28"/>
      <c r="AA55" s="28"/>
      <c r="AB55" s="28"/>
      <c r="AC55" s="28"/>
      <c r="AD55" s="28"/>
    </row>
    <row r="56" spans="1:30" ht="15.75" customHeight="1" x14ac:dyDescent="0.2">
      <c r="A56" s="34" t="s">
        <v>81</v>
      </c>
      <c r="B56" s="35"/>
      <c r="C56" s="35"/>
      <c r="D56" s="35"/>
      <c r="E56" s="35"/>
      <c r="F56" s="37"/>
      <c r="G56" s="35"/>
      <c r="H56" s="35"/>
      <c r="I56" s="35"/>
      <c r="J56" s="35"/>
      <c r="K56" s="35"/>
      <c r="L56" s="50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</row>
    <row r="57" spans="1:30" ht="15.75" customHeight="1" x14ac:dyDescent="0.2">
      <c r="A57" s="51" t="s">
        <v>82</v>
      </c>
      <c r="B57" s="28" t="s">
        <v>66</v>
      </c>
      <c r="C57" s="40">
        <v>34.407476760000002</v>
      </c>
      <c r="D57" s="40">
        <v>22.40758675</v>
      </c>
      <c r="E57" s="40">
        <v>28.442500639999999</v>
      </c>
      <c r="F57" s="41">
        <f t="shared" ref="F57:F74" si="15">2^(D57-C57)</f>
        <v>2.4415923880973531E-4</v>
      </c>
      <c r="G57" s="41">
        <f t="shared" ref="G57:G74" si="16">2^(E57-C57)</f>
        <v>1.6008965343766734E-2</v>
      </c>
      <c r="H57" s="40">
        <f t="shared" ref="H57:H74" si="17">(GEOMEAN(F57:G57))</f>
        <v>1.9770525517713278E-3</v>
      </c>
      <c r="I57" s="40">
        <f>AVERAGE(H57:H59)</f>
        <v>1.8990053239077139E-3</v>
      </c>
      <c r="J57" s="40">
        <v>1.9770525517713265E-3</v>
      </c>
      <c r="K57" s="40">
        <f t="shared" ref="K57:K74" si="18">J57/$I$120</f>
        <v>2.9865858411940984E-4</v>
      </c>
      <c r="L57" s="43">
        <f>I57/$I$120</f>
        <v>2.8686857148301962E-4</v>
      </c>
      <c r="M57" s="28"/>
      <c r="N57" s="28"/>
      <c r="O57" s="28"/>
      <c r="P57" s="28"/>
      <c r="Q57" s="40"/>
      <c r="R57" s="40"/>
      <c r="S57" s="40"/>
      <c r="T57" s="40"/>
      <c r="U57" s="28"/>
      <c r="V57" s="28"/>
      <c r="W57" s="28"/>
      <c r="X57" s="28"/>
      <c r="Y57" s="28"/>
      <c r="Z57" s="28"/>
      <c r="AA57" s="28"/>
      <c r="AB57" s="28"/>
      <c r="AC57" s="28"/>
      <c r="AD57" s="28"/>
    </row>
    <row r="58" spans="1:30" ht="15.75" customHeight="1" x14ac:dyDescent="0.2">
      <c r="A58" s="39"/>
      <c r="B58" s="28" t="s">
        <v>67</v>
      </c>
      <c r="C58" s="40">
        <v>35.668006859999998</v>
      </c>
      <c r="D58" s="40">
        <v>22.52236169</v>
      </c>
      <c r="E58" s="40">
        <v>29.904261139999999</v>
      </c>
      <c r="F58" s="41">
        <f t="shared" si="15"/>
        <v>1.1034851459246206E-4</v>
      </c>
      <c r="G58" s="41">
        <f t="shared" si="16"/>
        <v>1.8405162275183823E-2</v>
      </c>
      <c r="H58" s="40">
        <f t="shared" si="17"/>
        <v>1.4251253691867794E-3</v>
      </c>
      <c r="I58" s="28" t="s">
        <v>316</v>
      </c>
      <c r="J58" s="40">
        <f t="shared" ref="J58:J74" si="19">(GEOMEAN(H58:I58))</f>
        <v>1.4251253691867794E-3</v>
      </c>
      <c r="K58" s="40">
        <f t="shared" si="18"/>
        <v>2.1528306092452533E-4</v>
      </c>
      <c r="L58" s="42" t="s">
        <v>316</v>
      </c>
      <c r="M58" s="28"/>
      <c r="N58" s="28"/>
      <c r="O58" s="28"/>
      <c r="P58" s="28"/>
      <c r="Q58" s="40"/>
      <c r="R58" s="40"/>
      <c r="S58" s="40"/>
      <c r="T58" s="40"/>
      <c r="U58" s="28"/>
      <c r="V58" s="28"/>
      <c r="W58" s="28"/>
      <c r="X58" s="28"/>
      <c r="Y58" s="28"/>
      <c r="Z58" s="28"/>
      <c r="AA58" s="28"/>
      <c r="AB58" s="28"/>
      <c r="AC58" s="28"/>
      <c r="AD58" s="28"/>
    </row>
    <row r="59" spans="1:30" ht="15.75" customHeight="1" x14ac:dyDescent="0.2">
      <c r="A59" s="39"/>
      <c r="B59" s="28" t="s">
        <v>68</v>
      </c>
      <c r="C59" s="40">
        <v>34.044500839999998</v>
      </c>
      <c r="D59" s="40">
        <v>22.096332400000001</v>
      </c>
      <c r="E59" s="40">
        <v>28.457885399999999</v>
      </c>
      <c r="F59" s="41">
        <f t="shared" si="15"/>
        <v>2.5307130600206766E-4</v>
      </c>
      <c r="G59" s="41">
        <f t="shared" si="16"/>
        <v>2.0809477622864274E-2</v>
      </c>
      <c r="H59" s="40">
        <f t="shared" si="17"/>
        <v>2.2948380507650345E-3</v>
      </c>
      <c r="I59" s="28" t="s">
        <v>316</v>
      </c>
      <c r="J59" s="40">
        <f t="shared" si="19"/>
        <v>2.2948380507650345E-3</v>
      </c>
      <c r="K59" s="40">
        <f t="shared" si="18"/>
        <v>3.4666406940512347E-4</v>
      </c>
      <c r="L59" s="42" t="s">
        <v>316</v>
      </c>
      <c r="M59" s="28"/>
      <c r="N59" s="28"/>
      <c r="O59" s="28"/>
      <c r="P59" s="28"/>
      <c r="Q59" s="40"/>
      <c r="R59" s="40"/>
      <c r="S59" s="40"/>
      <c r="T59" s="40"/>
      <c r="U59" s="28"/>
      <c r="V59" s="28"/>
      <c r="W59" s="28"/>
      <c r="X59" s="28"/>
      <c r="Y59" s="28"/>
      <c r="Z59" s="28"/>
      <c r="AA59" s="28"/>
      <c r="AB59" s="28"/>
      <c r="AC59" s="28"/>
      <c r="AD59" s="28"/>
    </row>
    <row r="60" spans="1:30" ht="15.75" customHeight="1" x14ac:dyDescent="0.2">
      <c r="A60" s="52"/>
      <c r="B60" s="28" t="s">
        <v>69</v>
      </c>
      <c r="C60" s="40">
        <v>36.418774300000003</v>
      </c>
      <c r="D60" s="40">
        <v>23.949391850000001</v>
      </c>
      <c r="E60" s="40">
        <v>32.513883550000003</v>
      </c>
      <c r="F60" s="41">
        <f t="shared" si="15"/>
        <v>1.7633635328493166E-4</v>
      </c>
      <c r="G60" s="41">
        <f t="shared" si="16"/>
        <v>6.6759143236457458E-2</v>
      </c>
      <c r="H60" s="40">
        <f t="shared" si="17"/>
        <v>3.4310441365192779E-3</v>
      </c>
      <c r="I60" s="40">
        <f>AVERAGE(H60:H62)</f>
        <v>5.7376244264614462E-3</v>
      </c>
      <c r="J60" s="40">
        <f t="shared" si="19"/>
        <v>4.4368956090897974E-3</v>
      </c>
      <c r="K60" s="40">
        <f t="shared" si="18"/>
        <v>6.7024872925565697E-4</v>
      </c>
      <c r="L60" s="43">
        <f>I60/$I$120</f>
        <v>8.6674013084813394E-4</v>
      </c>
      <c r="M60" s="28"/>
      <c r="N60" s="28"/>
      <c r="O60" s="28"/>
      <c r="P60" s="28"/>
      <c r="Q60" s="40"/>
      <c r="R60" s="40"/>
      <c r="S60" s="40"/>
      <c r="T60" s="40"/>
      <c r="U60" s="28"/>
      <c r="V60" s="28"/>
      <c r="W60" s="28"/>
      <c r="X60" s="28"/>
      <c r="Y60" s="28"/>
      <c r="Z60" s="28"/>
      <c r="AA60" s="28"/>
      <c r="AB60" s="28"/>
      <c r="AC60" s="28"/>
      <c r="AD60" s="28"/>
    </row>
    <row r="61" spans="1:30" ht="15.75" customHeight="1" x14ac:dyDescent="0.2">
      <c r="A61" s="39"/>
      <c r="B61" s="28" t="s">
        <v>70</v>
      </c>
      <c r="C61" s="40">
        <v>36.176897070000003</v>
      </c>
      <c r="D61" s="40">
        <v>22.709806830000002</v>
      </c>
      <c r="E61" s="40">
        <v>32.03871942</v>
      </c>
      <c r="F61" s="41">
        <f t="shared" si="15"/>
        <v>8.8308373016380935E-5</v>
      </c>
      <c r="G61" s="41">
        <f t="shared" si="16"/>
        <v>5.6791638661559396E-2</v>
      </c>
      <c r="H61" s="40">
        <f t="shared" si="17"/>
        <v>2.2394591336160853E-3</v>
      </c>
      <c r="I61" s="28" t="s">
        <v>316</v>
      </c>
      <c r="J61" s="40">
        <f t="shared" si="19"/>
        <v>2.2394591336160853E-3</v>
      </c>
      <c r="K61" s="40">
        <f t="shared" si="18"/>
        <v>3.3829838940792112E-4</v>
      </c>
      <c r="L61" s="42" t="s">
        <v>316</v>
      </c>
      <c r="M61" s="28"/>
      <c r="N61" s="28"/>
      <c r="O61" s="28"/>
      <c r="P61" s="28"/>
      <c r="Q61" s="40"/>
      <c r="R61" s="40"/>
      <c r="S61" s="40"/>
      <c r="T61" s="40"/>
      <c r="U61" s="28"/>
      <c r="V61" s="28"/>
      <c r="W61" s="28"/>
      <c r="X61" s="28"/>
      <c r="Y61" s="28"/>
      <c r="Z61" s="28"/>
      <c r="AA61" s="28"/>
      <c r="AB61" s="28"/>
      <c r="AC61" s="28"/>
      <c r="AD61" s="28"/>
    </row>
    <row r="62" spans="1:30" ht="15.75" customHeight="1" x14ac:dyDescent="0.2">
      <c r="A62" s="39"/>
      <c r="B62" s="28" t="s">
        <v>71</v>
      </c>
      <c r="C62" s="40">
        <v>34.446059839999997</v>
      </c>
      <c r="D62" s="40">
        <v>23.92410254</v>
      </c>
      <c r="E62" s="40">
        <v>32.094183729999997</v>
      </c>
      <c r="F62" s="41">
        <f t="shared" si="15"/>
        <v>6.8010385979305754E-4</v>
      </c>
      <c r="G62" s="41">
        <f t="shared" si="16"/>
        <v>0.19589111796975886</v>
      </c>
      <c r="H62" s="40">
        <f t="shared" si="17"/>
        <v>1.1542370009248975E-2</v>
      </c>
      <c r="I62" s="28" t="s">
        <v>316</v>
      </c>
      <c r="J62" s="40">
        <f t="shared" si="19"/>
        <v>1.1542370009248975E-2</v>
      </c>
      <c r="K62" s="40">
        <f t="shared" si="18"/>
        <v>1.7436197541922285E-3</v>
      </c>
      <c r="L62" s="42" t="s">
        <v>316</v>
      </c>
      <c r="M62" s="28"/>
      <c r="N62" s="28"/>
      <c r="O62" s="28"/>
      <c r="P62" s="28"/>
      <c r="Q62" s="40"/>
      <c r="R62" s="40"/>
      <c r="S62" s="40"/>
      <c r="T62" s="40"/>
      <c r="U62" s="28"/>
      <c r="V62" s="28"/>
      <c r="W62" s="28"/>
      <c r="X62" s="28"/>
      <c r="Y62" s="28"/>
      <c r="Z62" s="28"/>
      <c r="AA62" s="28"/>
      <c r="AB62" s="28"/>
      <c r="AC62" s="28"/>
      <c r="AD62" s="28"/>
    </row>
    <row r="63" spans="1:30" ht="15.75" customHeight="1" x14ac:dyDescent="0.2">
      <c r="A63" s="39"/>
      <c r="B63" s="28" t="s">
        <v>60</v>
      </c>
      <c r="C63" s="40">
        <v>35.850227099999998</v>
      </c>
      <c r="D63" s="40">
        <v>24.656046809999999</v>
      </c>
      <c r="E63" s="40">
        <v>32.284749300000001</v>
      </c>
      <c r="F63" s="41">
        <f t="shared" si="15"/>
        <v>4.2679169107167155E-4</v>
      </c>
      <c r="G63" s="41">
        <f t="shared" si="16"/>
        <v>8.4466448349683323E-2</v>
      </c>
      <c r="H63" s="40">
        <f t="shared" si="17"/>
        <v>6.0041301060169694E-3</v>
      </c>
      <c r="I63" s="40">
        <f>AVERAGE(H63:H65)</f>
        <v>1.9560237635125936E-2</v>
      </c>
      <c r="J63" s="40">
        <f t="shared" si="19"/>
        <v>1.0837075789432582E-2</v>
      </c>
      <c r="K63" s="40">
        <f t="shared" si="18"/>
        <v>1.6370762164955475E-3</v>
      </c>
      <c r="L63" s="43">
        <f>I63/$I$120</f>
        <v>2.9548192191006539E-3</v>
      </c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</row>
    <row r="64" spans="1:30" ht="15.75" customHeight="1" x14ac:dyDescent="0.2">
      <c r="A64" s="39"/>
      <c r="B64" s="28" t="s">
        <v>61</v>
      </c>
      <c r="C64" s="40">
        <v>35.730894429999999</v>
      </c>
      <c r="D64" s="40">
        <v>24.276445850000002</v>
      </c>
      <c r="E64" s="40">
        <v>31.539768989999999</v>
      </c>
      <c r="F64" s="41">
        <f t="shared" si="15"/>
        <v>3.5634231215970916E-4</v>
      </c>
      <c r="G64" s="41">
        <f t="shared" si="16"/>
        <v>5.4745134483868391E-2</v>
      </c>
      <c r="H64" s="40">
        <f t="shared" si="17"/>
        <v>4.4167870450674759E-3</v>
      </c>
      <c r="I64" s="28" t="s">
        <v>316</v>
      </c>
      <c r="J64" s="40">
        <f t="shared" si="19"/>
        <v>4.4167870450674759E-3</v>
      </c>
      <c r="K64" s="40">
        <f t="shared" si="18"/>
        <v>6.6721107845866602E-4</v>
      </c>
      <c r="L64" s="42" t="s">
        <v>316</v>
      </c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</row>
    <row r="65" spans="1:30" ht="15.75" customHeight="1" x14ac:dyDescent="0.2">
      <c r="A65" s="39"/>
      <c r="B65" s="28" t="s">
        <v>62</v>
      </c>
      <c r="C65" s="40">
        <v>34.002221370000001</v>
      </c>
      <c r="D65" s="40">
        <v>25.715537980000001</v>
      </c>
      <c r="E65" s="40">
        <v>33.542836000000001</v>
      </c>
      <c r="F65" s="41">
        <f t="shared" si="15"/>
        <v>3.2022831859904576E-3</v>
      </c>
      <c r="G65" s="41">
        <f t="shared" si="16"/>
        <v>0.72729604191009622</v>
      </c>
      <c r="H65" s="40">
        <f t="shared" si="17"/>
        <v>4.8259795754293365E-2</v>
      </c>
      <c r="I65" s="28" t="s">
        <v>316</v>
      </c>
      <c r="J65" s="40">
        <f t="shared" si="19"/>
        <v>4.8259795754293365E-2</v>
      </c>
      <c r="K65" s="40">
        <f t="shared" si="18"/>
        <v>7.2902474225865948E-3</v>
      </c>
      <c r="L65" s="42" t="s">
        <v>316</v>
      </c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</row>
    <row r="66" spans="1:30" ht="15.75" customHeight="1" x14ac:dyDescent="0.2">
      <c r="A66" s="39"/>
      <c r="B66" s="28" t="s">
        <v>72</v>
      </c>
      <c r="C66" s="40">
        <v>35.357398320000001</v>
      </c>
      <c r="D66" s="40">
        <v>20.878424899999999</v>
      </c>
      <c r="E66" s="40">
        <v>29.51284712</v>
      </c>
      <c r="F66" s="41">
        <f t="shared" si="15"/>
        <v>4.3791991337529882E-5</v>
      </c>
      <c r="G66" s="41">
        <f t="shared" si="16"/>
        <v>1.7402625629156756E-2</v>
      </c>
      <c r="H66" s="40">
        <f t="shared" si="17"/>
        <v>8.7298088799372237E-4</v>
      </c>
      <c r="I66" s="40">
        <f>AVERAGE(H66:H68)</f>
        <v>3.3383181525642367E-3</v>
      </c>
      <c r="J66" s="40">
        <f t="shared" si="19"/>
        <v>1.7071285672822332E-3</v>
      </c>
      <c r="K66" s="40">
        <f t="shared" si="18"/>
        <v>2.5788318087827919E-4</v>
      </c>
      <c r="L66" s="43">
        <f>I66/$I$120</f>
        <v>5.0429482609943177E-4</v>
      </c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</row>
    <row r="67" spans="1:30" ht="15.75" customHeight="1" x14ac:dyDescent="0.2">
      <c r="A67" s="39"/>
      <c r="B67" s="28" t="s">
        <v>56</v>
      </c>
      <c r="C67" s="40">
        <v>33.606906899999998</v>
      </c>
      <c r="D67" s="40">
        <v>21.513619049999999</v>
      </c>
      <c r="E67" s="40">
        <v>29.464003420000001</v>
      </c>
      <c r="F67" s="41">
        <f t="shared" si="15"/>
        <v>2.2885352750673312E-4</v>
      </c>
      <c r="G67" s="41">
        <f t="shared" si="16"/>
        <v>5.6605910892616136E-2</v>
      </c>
      <c r="H67" s="40">
        <f t="shared" si="17"/>
        <v>3.5992308047007779E-3</v>
      </c>
      <c r="I67" s="28" t="s">
        <v>316</v>
      </c>
      <c r="J67" s="40">
        <f t="shared" si="19"/>
        <v>3.5992308047007779E-3</v>
      </c>
      <c r="K67" s="40">
        <f t="shared" si="18"/>
        <v>5.4370895456866452E-4</v>
      </c>
      <c r="L67" s="42" t="s">
        <v>316</v>
      </c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</row>
    <row r="68" spans="1:30" ht="15.75" customHeight="1" x14ac:dyDescent="0.2">
      <c r="A68" s="39"/>
      <c r="B68" s="28" t="s">
        <v>73</v>
      </c>
      <c r="C68" s="40">
        <v>33.193366840000003</v>
      </c>
      <c r="D68" s="40">
        <v>20.812497090000001</v>
      </c>
      <c r="E68" s="40">
        <v>30.583868129999999</v>
      </c>
      <c r="F68" s="41">
        <f t="shared" si="15"/>
        <v>1.8749376619014112E-4</v>
      </c>
      <c r="G68" s="41">
        <f t="shared" si="16"/>
        <v>0.16385610030247191</v>
      </c>
      <c r="H68" s="40">
        <f t="shared" si="17"/>
        <v>5.5427427649982087E-3</v>
      </c>
      <c r="I68" s="28" t="s">
        <v>316</v>
      </c>
      <c r="J68" s="40">
        <f t="shared" si="19"/>
        <v>5.5427427649982087E-3</v>
      </c>
      <c r="K68" s="40">
        <f t="shared" si="18"/>
        <v>8.3730081168016234E-4</v>
      </c>
      <c r="L68" s="42" t="s">
        <v>316</v>
      </c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</row>
    <row r="69" spans="1:30" ht="15.75" customHeight="1" x14ac:dyDescent="0.2">
      <c r="A69" s="39"/>
      <c r="B69" s="28" t="s">
        <v>74</v>
      </c>
      <c r="C69" s="40">
        <v>34.608253980000001</v>
      </c>
      <c r="D69" s="40">
        <v>21.125655900000002</v>
      </c>
      <c r="E69" s="40">
        <v>26.579609399999999</v>
      </c>
      <c r="F69" s="41">
        <f t="shared" si="15"/>
        <v>8.7364210870320092E-5</v>
      </c>
      <c r="G69" s="41">
        <f t="shared" si="16"/>
        <v>3.829456643679399E-3</v>
      </c>
      <c r="H69" s="40">
        <f t="shared" si="17"/>
        <v>5.7840942051211027E-4</v>
      </c>
      <c r="I69" s="40">
        <f>AVERAGE(H69:H71)</f>
        <v>6.6190911202634298E-4</v>
      </c>
      <c r="J69" s="40">
        <f t="shared" si="19"/>
        <v>6.1875234619259627E-4</v>
      </c>
      <c r="K69" s="40">
        <f t="shared" si="18"/>
        <v>9.3470302278448431E-5</v>
      </c>
      <c r="L69" s="43">
        <f>I69/$I$120</f>
        <v>9.9989673029383602E-5</v>
      </c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</row>
    <row r="70" spans="1:30" ht="15.75" customHeight="1" x14ac:dyDescent="0.2">
      <c r="A70" s="39"/>
      <c r="B70" s="28" t="s">
        <v>75</v>
      </c>
      <c r="C70" s="40">
        <v>33.47061472</v>
      </c>
      <c r="D70" s="40">
        <v>20.989651630000001</v>
      </c>
      <c r="E70" s="40">
        <v>25.88539054</v>
      </c>
      <c r="F70" s="41">
        <f t="shared" si="15"/>
        <v>1.7492655173613323E-4</v>
      </c>
      <c r="G70" s="41">
        <f t="shared" si="16"/>
        <v>5.2073887197626257E-3</v>
      </c>
      <c r="H70" s="40">
        <f t="shared" si="17"/>
        <v>9.5441634117282039E-4</v>
      </c>
      <c r="I70" s="28" t="s">
        <v>316</v>
      </c>
      <c r="J70" s="40">
        <f t="shared" si="19"/>
        <v>9.5441634117282039E-4</v>
      </c>
      <c r="K70" s="40">
        <f t="shared" si="18"/>
        <v>1.4417655861485238E-4</v>
      </c>
      <c r="L70" s="42" t="s">
        <v>316</v>
      </c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</row>
    <row r="71" spans="1:30" ht="15.75" customHeight="1" x14ac:dyDescent="0.2">
      <c r="A71" s="39"/>
      <c r="B71" s="28" t="s">
        <v>76</v>
      </c>
      <c r="C71" s="40">
        <v>38.617414879999998</v>
      </c>
      <c r="D71" s="40">
        <v>23.729009019999999</v>
      </c>
      <c r="E71" s="40">
        <v>31.28879109</v>
      </c>
      <c r="F71" s="41">
        <f t="shared" si="15"/>
        <v>3.2971844920589453E-5</v>
      </c>
      <c r="G71" s="41">
        <f t="shared" si="16"/>
        <v>6.2210603192715107E-3</v>
      </c>
      <c r="H71" s="40">
        <f t="shared" si="17"/>
        <v>4.5290157439409833E-4</v>
      </c>
      <c r="I71" s="28" t="s">
        <v>316</v>
      </c>
      <c r="J71" s="40">
        <f t="shared" si="19"/>
        <v>4.5290157439409833E-4</v>
      </c>
      <c r="K71" s="40">
        <f t="shared" si="18"/>
        <v>6.8416463099478609E-5</v>
      </c>
      <c r="L71" s="42" t="s">
        <v>316</v>
      </c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 spans="1:30" ht="15.75" customHeight="1" x14ac:dyDescent="0.2">
      <c r="A72" s="39"/>
      <c r="B72" s="28" t="s">
        <v>77</v>
      </c>
      <c r="C72" s="40">
        <v>35.07560419</v>
      </c>
      <c r="D72" s="40">
        <v>20.699540469999999</v>
      </c>
      <c r="E72" s="40">
        <v>29.393180910000002</v>
      </c>
      <c r="F72" s="41">
        <f t="shared" si="15"/>
        <v>4.702985077118721E-5</v>
      </c>
      <c r="G72" s="41">
        <f t="shared" si="16"/>
        <v>1.9472429702259434E-2</v>
      </c>
      <c r="H72" s="40">
        <f t="shared" si="17"/>
        <v>9.569668035254382E-4</v>
      </c>
      <c r="I72" s="40">
        <f>AVERAGE(H72:H74)</f>
        <v>8.6516074290051339E-3</v>
      </c>
      <c r="J72" s="40">
        <f t="shared" si="19"/>
        <v>2.8773774703177157E-3</v>
      </c>
      <c r="K72" s="40">
        <f t="shared" si="18"/>
        <v>4.3466395493243034E-4</v>
      </c>
      <c r="L72" s="43">
        <f>I72/$I$120</f>
        <v>1.3069338105295351E-3</v>
      </c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</row>
    <row r="73" spans="1:30" ht="15.75" customHeight="1" x14ac:dyDescent="0.2">
      <c r="A73" s="39"/>
      <c r="B73" s="28" t="s">
        <v>78</v>
      </c>
      <c r="C73" s="40">
        <v>37.998968830000003</v>
      </c>
      <c r="D73" s="40">
        <v>29.08363108</v>
      </c>
      <c r="E73" s="40">
        <v>36.267319100000002</v>
      </c>
      <c r="F73" s="41">
        <f t="shared" si="15"/>
        <v>2.0711708053468415E-3</v>
      </c>
      <c r="G73" s="41">
        <f t="shared" si="16"/>
        <v>0.30110744190720223</v>
      </c>
      <c r="H73" s="40">
        <f t="shared" si="17"/>
        <v>2.4972884153634866E-2</v>
      </c>
      <c r="I73" s="28" t="s">
        <v>316</v>
      </c>
      <c r="J73" s="40">
        <f t="shared" si="19"/>
        <v>2.4972884153634866E-2</v>
      </c>
      <c r="K73" s="40">
        <f t="shared" si="18"/>
        <v>3.7724673610827213E-3</v>
      </c>
      <c r="L73" s="42" t="s">
        <v>316</v>
      </c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</row>
    <row r="74" spans="1:30" ht="15.75" customHeight="1" x14ac:dyDescent="0.2">
      <c r="A74" s="39"/>
      <c r="B74" s="28" t="s">
        <v>79</v>
      </c>
      <c r="C74" s="40">
        <v>38.026816840000002</v>
      </c>
      <c r="D74" s="40">
        <v>19.240940640000002</v>
      </c>
      <c r="E74" s="40">
        <v>26.233957400000001</v>
      </c>
      <c r="F74" s="41">
        <f t="shared" si="15"/>
        <v>2.2125228722488227E-6</v>
      </c>
      <c r="G74" s="41">
        <f t="shared" si="16"/>
        <v>2.8183542080109056E-4</v>
      </c>
      <c r="H74" s="40">
        <f t="shared" si="17"/>
        <v>2.4971329855101517E-5</v>
      </c>
      <c r="I74" s="28" t="s">
        <v>316</v>
      </c>
      <c r="J74" s="40">
        <f t="shared" si="19"/>
        <v>2.4971329855101517E-5</v>
      </c>
      <c r="K74" s="40">
        <f t="shared" si="18"/>
        <v>3.7722325647952615E-6</v>
      </c>
      <c r="L74" s="42" t="s">
        <v>316</v>
      </c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</row>
    <row r="75" spans="1:30" ht="15.75" customHeight="1" x14ac:dyDescent="0.2">
      <c r="A75" s="39"/>
      <c r="B75" s="28"/>
      <c r="C75" s="28"/>
      <c r="D75" s="28"/>
      <c r="E75" s="28"/>
      <c r="F75" s="41"/>
      <c r="G75" s="28"/>
      <c r="H75" s="28"/>
      <c r="I75" s="28"/>
      <c r="J75" s="28"/>
      <c r="K75" s="28"/>
      <c r="L75" s="42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</row>
    <row r="76" spans="1:30" ht="15.75" customHeight="1" x14ac:dyDescent="0.2">
      <c r="A76" s="51" t="s">
        <v>83</v>
      </c>
      <c r="B76" s="28" t="s">
        <v>66</v>
      </c>
      <c r="C76" s="40">
        <v>31.097262199999999</v>
      </c>
      <c r="D76" s="40">
        <v>22.6701008</v>
      </c>
      <c r="E76" s="40">
        <v>29.420409299999999</v>
      </c>
      <c r="F76" s="41">
        <f t="shared" ref="F76:F93" si="20">2^(D76-C76)</f>
        <v>2.9051705986493236E-3</v>
      </c>
      <c r="G76" s="41">
        <f t="shared" ref="G76:G93" si="21">2^(E76-C76)</f>
        <v>0.31276415844615307</v>
      </c>
      <c r="H76" s="40">
        <f t="shared" ref="H76:H93" si="22">(GEOMEAN(F76:G76))</f>
        <v>3.0143543876410127E-2</v>
      </c>
      <c r="I76" s="40">
        <f>AVERAGE(H76:H78)</f>
        <v>3.1405856508920936E-2</v>
      </c>
      <c r="J76" s="40">
        <v>3.0143543876410116E-2</v>
      </c>
      <c r="K76" s="40">
        <f t="shared" ref="K76:K93" si="23">J76/$I$120</f>
        <v>4.553560362573119E-3</v>
      </c>
      <c r="L76" s="43">
        <f>I76/$I$120</f>
        <v>4.7442485176269417E-3</v>
      </c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</row>
    <row r="77" spans="1:30" ht="15.75" customHeight="1" x14ac:dyDescent="0.2">
      <c r="A77" s="39"/>
      <c r="B77" s="28" t="s">
        <v>67</v>
      </c>
      <c r="C77" s="40">
        <v>31.216319899999998</v>
      </c>
      <c r="D77" s="40">
        <v>23.296059100000001</v>
      </c>
      <c r="E77" s="40">
        <v>29.694096999999999</v>
      </c>
      <c r="F77" s="41">
        <f t="shared" si="20"/>
        <v>4.1282303817840697E-3</v>
      </c>
      <c r="G77" s="41">
        <f t="shared" si="21"/>
        <v>0.34814907610679691</v>
      </c>
      <c r="H77" s="40">
        <f t="shared" si="22"/>
        <v>3.7910942923833131E-2</v>
      </c>
      <c r="I77" s="28" t="s">
        <v>316</v>
      </c>
      <c r="J77" s="40">
        <f t="shared" ref="J77:J93" si="24">(GEOMEAN(H77:I77))</f>
        <v>3.7910942923833131E-2</v>
      </c>
      <c r="K77" s="40">
        <f t="shared" si="23"/>
        <v>5.726923407331541E-3</v>
      </c>
      <c r="L77" s="42" t="s">
        <v>316</v>
      </c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</row>
    <row r="78" spans="1:30" ht="15.75" customHeight="1" x14ac:dyDescent="0.2">
      <c r="A78" s="39"/>
      <c r="B78" s="28" t="s">
        <v>68</v>
      </c>
      <c r="C78" s="40">
        <v>31.521631899999999</v>
      </c>
      <c r="D78" s="40">
        <v>22.9760542</v>
      </c>
      <c r="E78" s="40">
        <v>29.554562300000001</v>
      </c>
      <c r="F78" s="41">
        <f t="shared" si="20"/>
        <v>2.6762383022691304E-3</v>
      </c>
      <c r="G78" s="41">
        <f t="shared" si="21"/>
        <v>0.25577202791482562</v>
      </c>
      <c r="H78" s="40">
        <f t="shared" si="22"/>
        <v>2.6163082726519547E-2</v>
      </c>
      <c r="I78" s="28" t="s">
        <v>316</v>
      </c>
      <c r="J78" s="40">
        <f t="shared" si="24"/>
        <v>2.6163082726519547E-2</v>
      </c>
      <c r="K78" s="40">
        <f t="shared" si="23"/>
        <v>3.9522617829761634E-3</v>
      </c>
      <c r="L78" s="42" t="s">
        <v>316</v>
      </c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</row>
    <row r="79" spans="1:30" ht="15.75" customHeight="1" x14ac:dyDescent="0.2">
      <c r="A79" s="52"/>
      <c r="B79" s="28" t="s">
        <v>69</v>
      </c>
      <c r="C79" s="40">
        <v>27.361488600000001</v>
      </c>
      <c r="D79" s="40">
        <v>23.729898200000001</v>
      </c>
      <c r="E79" s="40">
        <v>31.256612700000002</v>
      </c>
      <c r="F79" s="41">
        <f t="shared" si="20"/>
        <v>8.0683059378056712E-2</v>
      </c>
      <c r="G79" s="41">
        <f t="shared" si="21"/>
        <v>14.878158839520676</v>
      </c>
      <c r="H79" s="40">
        <f t="shared" si="22"/>
        <v>1.0956346896138356</v>
      </c>
      <c r="I79" s="40">
        <f>AVERAGE(H79:H81)</f>
        <v>1.0217167941809633</v>
      </c>
      <c r="J79" s="40">
        <f t="shared" si="24"/>
        <v>1.0580304167015724</v>
      </c>
      <c r="K79" s="40">
        <f t="shared" si="23"/>
        <v>0.15982876425022283</v>
      </c>
      <c r="L79" s="43">
        <f>I79/$I$120</f>
        <v>0.15434313612337563</v>
      </c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</row>
    <row r="80" spans="1:30" ht="15.75" customHeight="1" x14ac:dyDescent="0.2">
      <c r="A80" s="39"/>
      <c r="B80" s="28" t="s">
        <v>70</v>
      </c>
      <c r="C80" s="40">
        <v>27.973948400000001</v>
      </c>
      <c r="D80" s="40">
        <v>24.014865700000001</v>
      </c>
      <c r="E80" s="40">
        <v>31.839556099999999</v>
      </c>
      <c r="F80" s="41">
        <f t="shared" si="20"/>
        <v>6.4297983366927464E-2</v>
      </c>
      <c r="G80" s="41">
        <f t="shared" si="21"/>
        <v>14.576856188603674</v>
      </c>
      <c r="H80" s="40">
        <f t="shared" si="22"/>
        <v>0.96812316197730375</v>
      </c>
      <c r="I80" s="28" t="s">
        <v>316</v>
      </c>
      <c r="J80" s="40">
        <f t="shared" si="24"/>
        <v>0.96812316197730375</v>
      </c>
      <c r="K80" s="40">
        <f t="shared" si="23"/>
        <v>0.14624714580818612</v>
      </c>
      <c r="L80" s="42" t="s">
        <v>316</v>
      </c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</row>
    <row r="81" spans="1:30" ht="15.75" customHeight="1" x14ac:dyDescent="0.2">
      <c r="A81" s="39"/>
      <c r="B81" s="28" t="s">
        <v>71</v>
      </c>
      <c r="C81" s="40">
        <v>28.5542719</v>
      </c>
      <c r="D81" s="40">
        <v>24.4320454</v>
      </c>
      <c r="E81" s="40">
        <v>32.680513599999998</v>
      </c>
      <c r="F81" s="41">
        <f t="shared" si="20"/>
        <v>5.7423039216796472E-2</v>
      </c>
      <c r="G81" s="41">
        <f t="shared" si="21"/>
        <v>17.4631474530633</v>
      </c>
      <c r="H81" s="40">
        <f t="shared" si="22"/>
        <v>1.0013925309517508</v>
      </c>
      <c r="I81" s="28" t="s">
        <v>316</v>
      </c>
      <c r="J81" s="40">
        <f t="shared" si="24"/>
        <v>1.0013925309517508</v>
      </c>
      <c r="K81" s="40">
        <f t="shared" si="23"/>
        <v>0.15127290125588644</v>
      </c>
      <c r="L81" s="42" t="s">
        <v>316</v>
      </c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</row>
    <row r="82" spans="1:30" ht="15.75" customHeight="1" x14ac:dyDescent="0.2">
      <c r="A82" s="39"/>
      <c r="B82" s="28" t="s">
        <v>60</v>
      </c>
      <c r="C82" s="40">
        <v>29.333598899999998</v>
      </c>
      <c r="D82" s="40">
        <v>25.362854599999999</v>
      </c>
      <c r="E82" s="40">
        <v>32.317273100000001</v>
      </c>
      <c r="F82" s="41">
        <f t="shared" si="20"/>
        <v>6.378034448504967E-2</v>
      </c>
      <c r="G82" s="41">
        <f t="shared" si="21"/>
        <v>7.9099808393129347</v>
      </c>
      <c r="H82" s="40">
        <f t="shared" si="22"/>
        <v>0.71028255138467344</v>
      </c>
      <c r="I82" s="40">
        <f>AVERAGE(H82:H84)</f>
        <v>0.69167075085486751</v>
      </c>
      <c r="J82" s="40">
        <f t="shared" si="24"/>
        <v>0.70091487759595184</v>
      </c>
      <c r="K82" s="40">
        <f t="shared" si="23"/>
        <v>0.1058819831286148</v>
      </c>
      <c r="L82" s="43">
        <f>I82/$I$120</f>
        <v>0.10448554184462412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</row>
    <row r="83" spans="1:30" ht="15.75" customHeight="1" x14ac:dyDescent="0.2">
      <c r="A83" s="39"/>
      <c r="B83" s="28" t="s">
        <v>61</v>
      </c>
      <c r="C83" s="40">
        <v>28.155487999999998</v>
      </c>
      <c r="D83" s="40">
        <v>24.355811599999999</v>
      </c>
      <c r="E83" s="40">
        <v>30.917546300000001</v>
      </c>
      <c r="F83" s="41">
        <f t="shared" si="20"/>
        <v>7.1809752482828129E-2</v>
      </c>
      <c r="G83" s="41">
        <f t="shared" si="21"/>
        <v>6.7836338414303388</v>
      </c>
      <c r="H83" s="40">
        <f t="shared" si="22"/>
        <v>0.69794775383781349</v>
      </c>
      <c r="I83" s="28" t="s">
        <v>316</v>
      </c>
      <c r="J83" s="40">
        <f t="shared" si="24"/>
        <v>0.69794775383781349</v>
      </c>
      <c r="K83" s="40">
        <f t="shared" si="23"/>
        <v>0.10543376187130998</v>
      </c>
      <c r="L83" s="42" t="s">
        <v>316</v>
      </c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</row>
    <row r="84" spans="1:30" ht="15.75" customHeight="1" x14ac:dyDescent="0.2">
      <c r="A84" s="39"/>
      <c r="B84" s="28" t="s">
        <v>62</v>
      </c>
      <c r="C84" s="40">
        <v>30.277379700000001</v>
      </c>
      <c r="D84" s="40">
        <v>25.730537000000002</v>
      </c>
      <c r="E84" s="40">
        <v>33.654796300000001</v>
      </c>
      <c r="F84" s="41">
        <f t="shared" si="20"/>
        <v>4.2782283544974438E-2</v>
      </c>
      <c r="G84" s="41">
        <f t="shared" si="21"/>
        <v>10.392109267238265</v>
      </c>
      <c r="H84" s="40">
        <f t="shared" si="22"/>
        <v>0.66678194734211571</v>
      </c>
      <c r="I84" s="28" t="s">
        <v>316</v>
      </c>
      <c r="J84" s="40">
        <f t="shared" si="24"/>
        <v>0.66678194734211571</v>
      </c>
      <c r="K84" s="40">
        <f t="shared" si="23"/>
        <v>0.10072577591888539</v>
      </c>
      <c r="L84" s="42" t="s">
        <v>316</v>
      </c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</row>
    <row r="85" spans="1:30" ht="15.75" customHeight="1" x14ac:dyDescent="0.2">
      <c r="A85" s="39"/>
      <c r="B85" s="28" t="s">
        <v>72</v>
      </c>
      <c r="C85" s="40">
        <v>28.481446999999999</v>
      </c>
      <c r="D85" s="40">
        <v>21.652080900000001</v>
      </c>
      <c r="E85" s="40">
        <v>29.978293399999998</v>
      </c>
      <c r="F85" s="41">
        <f t="shared" si="20"/>
        <v>8.7933822519646529E-3</v>
      </c>
      <c r="G85" s="41">
        <f t="shared" si="21"/>
        <v>2.8222511930550298</v>
      </c>
      <c r="H85" s="40">
        <f t="shared" si="22"/>
        <v>0.15753454716853749</v>
      </c>
      <c r="I85" s="40">
        <f>AVERAGE(H85:H87)</f>
        <v>0.177896942036293</v>
      </c>
      <c r="J85" s="40">
        <f t="shared" si="24"/>
        <v>0.16740643418445714</v>
      </c>
      <c r="K85" s="40">
        <f t="shared" si="23"/>
        <v>2.5288841493471857E-2</v>
      </c>
      <c r="L85" s="43">
        <f>I85/$I$120</f>
        <v>2.6873564276341636E-2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</row>
    <row r="86" spans="1:30" ht="15.75" customHeight="1" x14ac:dyDescent="0.2">
      <c r="A86" s="39"/>
      <c r="B86" s="28" t="s">
        <v>56</v>
      </c>
      <c r="C86" s="40">
        <v>27.7829999</v>
      </c>
      <c r="D86" s="40">
        <v>21.8412817</v>
      </c>
      <c r="E86" s="40">
        <v>29.756123500000001</v>
      </c>
      <c r="F86" s="41">
        <f t="shared" si="20"/>
        <v>1.6269139986291769E-2</v>
      </c>
      <c r="G86" s="41">
        <f t="shared" si="21"/>
        <v>3.9261726079580859</v>
      </c>
      <c r="H86" s="40">
        <f t="shared" si="22"/>
        <v>0.25273593288097029</v>
      </c>
      <c r="I86" s="28" t="s">
        <v>316</v>
      </c>
      <c r="J86" s="40">
        <f t="shared" si="24"/>
        <v>0.25273593288097029</v>
      </c>
      <c r="K86" s="40">
        <f t="shared" si="23"/>
        <v>3.8178932473343426E-2</v>
      </c>
      <c r="L86" s="42" t="s">
        <v>316</v>
      </c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</row>
    <row r="87" spans="1:30" ht="15.75" customHeight="1" x14ac:dyDescent="0.2">
      <c r="A87" s="39"/>
      <c r="B87" s="28" t="s">
        <v>73</v>
      </c>
      <c r="C87" s="40">
        <v>28.683109900000002</v>
      </c>
      <c r="D87" s="40">
        <v>21.7523917</v>
      </c>
      <c r="E87" s="40">
        <v>29.5771324</v>
      </c>
      <c r="F87" s="41">
        <f t="shared" si="20"/>
        <v>8.196830042915897E-3</v>
      </c>
      <c r="G87" s="41">
        <f t="shared" si="21"/>
        <v>1.8583503307573987</v>
      </c>
      <c r="H87" s="40">
        <f t="shared" si="22"/>
        <v>0.12342034605937119</v>
      </c>
      <c r="I87" s="28" t="s">
        <v>316</v>
      </c>
      <c r="J87" s="40">
        <f t="shared" si="24"/>
        <v>0.12342034605937119</v>
      </c>
      <c r="K87" s="40">
        <f t="shared" si="23"/>
        <v>1.864419120907759E-2</v>
      </c>
      <c r="L87" s="42" t="s">
        <v>316</v>
      </c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</row>
    <row r="88" spans="1:30" ht="15.75" customHeight="1" x14ac:dyDescent="0.2">
      <c r="A88" s="39"/>
      <c r="B88" s="28" t="s">
        <v>74</v>
      </c>
      <c r="C88" s="40">
        <v>26.368994900000001</v>
      </c>
      <c r="D88" s="40">
        <v>23.435306499999999</v>
      </c>
      <c r="E88" s="40">
        <v>26.419975999999998</v>
      </c>
      <c r="F88" s="41">
        <f t="shared" si="20"/>
        <v>0.13087955016965283</v>
      </c>
      <c r="G88" s="41">
        <f t="shared" si="21"/>
        <v>1.035969191775667</v>
      </c>
      <c r="H88" s="40">
        <f t="shared" si="22"/>
        <v>0.36822164766512316</v>
      </c>
      <c r="I88" s="40">
        <f>AVERAGE(H88:H90)</f>
        <v>0.7847923550629079</v>
      </c>
      <c r="J88" s="40">
        <f t="shared" si="24"/>
        <v>0.53756630666017036</v>
      </c>
      <c r="K88" s="40">
        <f t="shared" si="23"/>
        <v>8.1206132772537784E-2</v>
      </c>
      <c r="L88" s="43">
        <f>I88/$I$120</f>
        <v>0.11855272809052529</v>
      </c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</row>
    <row r="89" spans="1:30" ht="15.75" customHeight="1" x14ac:dyDescent="0.2">
      <c r="A89" s="39"/>
      <c r="B89" s="28" t="s">
        <v>75</v>
      </c>
      <c r="C89" s="40">
        <v>28.922720099999999</v>
      </c>
      <c r="D89" s="40">
        <v>25.2988924</v>
      </c>
      <c r="E89" s="40">
        <v>31.864194300000001</v>
      </c>
      <c r="F89" s="41">
        <f t="shared" si="20"/>
        <v>8.1118360260886646E-2</v>
      </c>
      <c r="G89" s="41">
        <f t="shared" si="21"/>
        <v>7.6819586593983455</v>
      </c>
      <c r="H89" s="40">
        <f t="shared" si="22"/>
        <v>0.78939716875747212</v>
      </c>
      <c r="I89" s="28" t="s">
        <v>316</v>
      </c>
      <c r="J89" s="40">
        <f t="shared" si="24"/>
        <v>0.78939716875747212</v>
      </c>
      <c r="K89" s="40">
        <f t="shared" si="23"/>
        <v>0.11924834295261889</v>
      </c>
      <c r="L89" s="42" t="s">
        <v>316</v>
      </c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</row>
    <row r="90" spans="1:30" ht="15.75" customHeight="1" x14ac:dyDescent="0.2">
      <c r="A90" s="39"/>
      <c r="B90" s="28" t="s">
        <v>76</v>
      </c>
      <c r="C90" s="40">
        <v>27.5721478</v>
      </c>
      <c r="D90" s="40">
        <v>23.375002500000001</v>
      </c>
      <c r="E90" s="40">
        <v>32.287556600000002</v>
      </c>
      <c r="F90" s="41">
        <f t="shared" si="20"/>
        <v>5.4517178175530839E-2</v>
      </c>
      <c r="G90" s="41">
        <f t="shared" si="21"/>
        <v>26.271174589748007</v>
      </c>
      <c r="H90" s="40">
        <f t="shared" si="22"/>
        <v>1.1967582487661284</v>
      </c>
      <c r="I90" s="28" t="s">
        <v>316</v>
      </c>
      <c r="J90" s="40">
        <f t="shared" si="24"/>
        <v>1.1967582487661284</v>
      </c>
      <c r="K90" s="40">
        <f t="shared" si="23"/>
        <v>0.18078534320672787</v>
      </c>
      <c r="L90" s="42" t="s">
        <v>316</v>
      </c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</row>
    <row r="91" spans="1:30" ht="15.75" customHeight="1" x14ac:dyDescent="0.2">
      <c r="A91" s="39"/>
      <c r="B91" s="28" t="s">
        <v>77</v>
      </c>
      <c r="C91" s="40">
        <v>25.3791923</v>
      </c>
      <c r="D91" s="40">
        <v>21.356748899999999</v>
      </c>
      <c r="E91" s="40">
        <v>29.441733500000002</v>
      </c>
      <c r="F91" s="41">
        <f t="shared" si="20"/>
        <v>6.1535237444693532E-2</v>
      </c>
      <c r="G91" s="41">
        <f t="shared" si="21"/>
        <v>16.708857677966037</v>
      </c>
      <c r="H91" s="40">
        <f t="shared" si="22"/>
        <v>1.0139938484247479</v>
      </c>
      <c r="I91" s="40">
        <f>AVERAGE(H91:H93)</f>
        <v>2.6552444267586304</v>
      </c>
      <c r="J91" s="40">
        <f t="shared" si="24"/>
        <v>1.640853898065683</v>
      </c>
      <c r="K91" s="40">
        <f t="shared" si="23"/>
        <v>0.24787156087684664</v>
      </c>
      <c r="L91" s="43">
        <f>I91/$I$120</f>
        <v>0.40110797271230519</v>
      </c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</row>
    <row r="92" spans="1:30" ht="15.75" customHeight="1" x14ac:dyDescent="0.2">
      <c r="A92" s="39"/>
      <c r="B92" s="28" t="s">
        <v>78</v>
      </c>
      <c r="C92" s="40">
        <v>30.583271499999999</v>
      </c>
      <c r="D92" s="40">
        <v>31.8579203</v>
      </c>
      <c r="E92" s="40">
        <v>30.400277500000001</v>
      </c>
      <c r="F92" s="41">
        <f t="shared" si="20"/>
        <v>2.419399144453152</v>
      </c>
      <c r="G92" s="41">
        <f t="shared" si="21"/>
        <v>0.88087303756733759</v>
      </c>
      <c r="H92" s="40">
        <f t="shared" si="22"/>
        <v>1.4598573469562928</v>
      </c>
      <c r="I92" s="28" t="s">
        <v>316</v>
      </c>
      <c r="J92" s="40">
        <f t="shared" si="24"/>
        <v>1.4598573469562928</v>
      </c>
      <c r="K92" s="40">
        <f t="shared" si="23"/>
        <v>0.22052976177474606</v>
      </c>
      <c r="L92" s="42" t="s">
        <v>316</v>
      </c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</row>
    <row r="93" spans="1:30" ht="15.75" customHeight="1" x14ac:dyDescent="0.2">
      <c r="A93" s="39"/>
      <c r="B93" s="28" t="s">
        <v>79</v>
      </c>
      <c r="C93" s="40">
        <v>23.556445</v>
      </c>
      <c r="D93" s="40">
        <v>25.357059400000001</v>
      </c>
      <c r="E93" s="40">
        <v>26.670431900000001</v>
      </c>
      <c r="F93" s="41">
        <f t="shared" si="20"/>
        <v>3.483685533181295</v>
      </c>
      <c r="G93" s="41">
        <f t="shared" si="21"/>
        <v>8.6577185417899187</v>
      </c>
      <c r="H93" s="40">
        <f t="shared" si="22"/>
        <v>5.4918820848948497</v>
      </c>
      <c r="I93" s="28" t="s">
        <v>316</v>
      </c>
      <c r="J93" s="40">
        <f t="shared" si="24"/>
        <v>5.4918820848948497</v>
      </c>
      <c r="K93" s="40">
        <f t="shared" si="23"/>
        <v>0.8296176680563826</v>
      </c>
      <c r="L93" s="42" t="s">
        <v>316</v>
      </c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</row>
    <row r="94" spans="1:30" ht="15.75" customHeight="1" x14ac:dyDescent="0.2">
      <c r="A94" s="39"/>
      <c r="B94" s="28"/>
      <c r="C94" s="28"/>
      <c r="D94" s="28"/>
      <c r="E94" s="28"/>
      <c r="F94" s="41"/>
      <c r="G94" s="28"/>
      <c r="H94" s="28"/>
      <c r="I94" s="28"/>
      <c r="J94" s="28"/>
      <c r="K94" s="28"/>
      <c r="L94" s="42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 spans="1:30" ht="15.75" customHeight="1" x14ac:dyDescent="0.2">
      <c r="A95" s="51" t="s">
        <v>84</v>
      </c>
      <c r="B95" s="28" t="s">
        <v>66</v>
      </c>
      <c r="C95" s="40">
        <v>31.950072899999999</v>
      </c>
      <c r="D95" s="40">
        <v>22.379690499999999</v>
      </c>
      <c r="E95" s="40">
        <v>26.207238799999999</v>
      </c>
      <c r="F95" s="41">
        <f t="shared" ref="F95:F112" si="25">2^(D95-C95)</f>
        <v>1.3153091085485128E-3</v>
      </c>
      <c r="G95" s="41">
        <f t="shared" ref="G95:G112" si="26">2^(E95-C95)</f>
        <v>1.8673884820652464E-2</v>
      </c>
      <c r="H95" s="40">
        <f t="shared" ref="H95:H112" si="27">(GEOMEAN(F95:G95))</f>
        <v>4.9559994750393186E-3</v>
      </c>
      <c r="I95" s="40">
        <f>AVERAGE(H95:H97)</f>
        <v>7.0879083700017068E-3</v>
      </c>
      <c r="J95" s="40">
        <v>4.9559994750393178E-3</v>
      </c>
      <c r="K95" s="40">
        <f t="shared" ref="K95:K112" si="28">J95/$I$120</f>
        <v>7.4866587880309478E-4</v>
      </c>
      <c r="L95" s="43">
        <f>I95/$I$120</f>
        <v>1.0707174557683019E-3</v>
      </c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</row>
    <row r="96" spans="1:30" ht="15.75" customHeight="1" x14ac:dyDescent="0.2">
      <c r="A96" s="39"/>
      <c r="B96" s="28" t="s">
        <v>67</v>
      </c>
      <c r="C96" s="40">
        <v>31.457506200000001</v>
      </c>
      <c r="D96" s="40">
        <v>22.2678291</v>
      </c>
      <c r="E96" s="40">
        <v>26.849475200000001</v>
      </c>
      <c r="F96" s="41">
        <f t="shared" si="25"/>
        <v>1.7125037944017536E-3</v>
      </c>
      <c r="G96" s="41">
        <f t="shared" si="26"/>
        <v>4.1005720583544319E-2</v>
      </c>
      <c r="H96" s="40">
        <f t="shared" si="27"/>
        <v>8.3798837755363724E-3</v>
      </c>
      <c r="I96" s="28" t="s">
        <v>316</v>
      </c>
      <c r="J96" s="40">
        <f t="shared" ref="J96:J112" si="29">(GEOMEAN(H96:I96))</f>
        <v>8.3798837755363724E-3</v>
      </c>
      <c r="K96" s="40">
        <f t="shared" si="28"/>
        <v>1.2658865447175945E-3</v>
      </c>
      <c r="L96" s="42" t="s">
        <v>316</v>
      </c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</row>
    <row r="97" spans="1:30" ht="15.75" customHeight="1" x14ac:dyDescent="0.2">
      <c r="A97" s="39"/>
      <c r="B97" s="28" t="s">
        <v>68</v>
      </c>
      <c r="C97" s="40">
        <v>31.557506199999999</v>
      </c>
      <c r="D97" s="40">
        <v>22.3578291</v>
      </c>
      <c r="E97" s="40">
        <v>26.799471100000002</v>
      </c>
      <c r="F97" s="41">
        <f t="shared" si="25"/>
        <v>1.7006746666278327E-3</v>
      </c>
      <c r="G97" s="41">
        <f t="shared" si="26"/>
        <v>3.6956319619168745E-2</v>
      </c>
      <c r="H97" s="40">
        <f t="shared" si="27"/>
        <v>7.9278418594294266E-3</v>
      </c>
      <c r="I97" s="28" t="s">
        <v>316</v>
      </c>
      <c r="J97" s="40">
        <f t="shared" si="29"/>
        <v>7.9278418594294266E-3</v>
      </c>
      <c r="K97" s="40">
        <f t="shared" si="28"/>
        <v>1.1975999437842163E-3</v>
      </c>
      <c r="L97" s="42" t="s">
        <v>316</v>
      </c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</row>
    <row r="98" spans="1:30" ht="15.75" customHeight="1" x14ac:dyDescent="0.2">
      <c r="A98" s="52"/>
      <c r="B98" s="28" t="s">
        <v>69</v>
      </c>
      <c r="C98" s="40">
        <v>26.5264156</v>
      </c>
      <c r="D98" s="40">
        <v>23.110617300000001</v>
      </c>
      <c r="E98" s="40">
        <v>29.050784799999999</v>
      </c>
      <c r="F98" s="41">
        <f t="shared" si="25"/>
        <v>9.3700574263883243E-2</v>
      </c>
      <c r="G98" s="41">
        <f t="shared" si="26"/>
        <v>5.75321824874651</v>
      </c>
      <c r="H98" s="40">
        <f t="shared" si="27"/>
        <v>0.73422057569438948</v>
      </c>
      <c r="I98" s="40">
        <f>AVERAGE(H98:H100)</f>
        <v>0.86904801457896663</v>
      </c>
      <c r="J98" s="40">
        <f t="shared" si="29"/>
        <v>0.7987946754768932</v>
      </c>
      <c r="K98" s="40">
        <f t="shared" si="28"/>
        <v>0.12066795420602758</v>
      </c>
      <c r="L98" s="43">
        <f>I98/$I$120</f>
        <v>0.13128060219410839</v>
      </c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</row>
    <row r="99" spans="1:30" ht="15.75" customHeight="1" x14ac:dyDescent="0.2">
      <c r="A99" s="39"/>
      <c r="B99" s="28" t="s">
        <v>70</v>
      </c>
      <c r="C99" s="40">
        <v>26.9049637</v>
      </c>
      <c r="D99" s="40">
        <v>24.079618799999999</v>
      </c>
      <c r="E99" s="40">
        <v>29.650076500000001</v>
      </c>
      <c r="F99" s="41">
        <f t="shared" si="25"/>
        <v>0.14108681744233162</v>
      </c>
      <c r="G99" s="41">
        <f t="shared" si="26"/>
        <v>6.7044212554492573</v>
      </c>
      <c r="H99" s="40">
        <f t="shared" si="27"/>
        <v>0.97257671045735883</v>
      </c>
      <c r="I99" s="28" t="s">
        <v>316</v>
      </c>
      <c r="J99" s="40">
        <f t="shared" si="29"/>
        <v>0.97257671045735883</v>
      </c>
      <c r="K99" s="40">
        <f t="shared" si="28"/>
        <v>0.14691991016246123</v>
      </c>
      <c r="L99" s="42" t="s">
        <v>316</v>
      </c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</row>
    <row r="100" spans="1:30" ht="15.75" customHeight="1" x14ac:dyDescent="0.2">
      <c r="A100" s="39"/>
      <c r="B100" s="28" t="s">
        <v>71</v>
      </c>
      <c r="C100" s="40">
        <v>27.063897699999998</v>
      </c>
      <c r="D100" s="40">
        <v>24.179018800000001</v>
      </c>
      <c r="E100" s="40">
        <v>29.645881899999999</v>
      </c>
      <c r="F100" s="41">
        <f t="shared" si="25"/>
        <v>0.13538324430005813</v>
      </c>
      <c r="G100" s="41">
        <f t="shared" si="26"/>
        <v>5.9876263719715492</v>
      </c>
      <c r="H100" s="40">
        <f t="shared" si="27"/>
        <v>0.90034675758515126</v>
      </c>
      <c r="I100" s="28" t="s">
        <v>316</v>
      </c>
      <c r="J100" s="40">
        <f t="shared" si="29"/>
        <v>0.90034675758515126</v>
      </c>
      <c r="K100" s="40">
        <f t="shared" si="28"/>
        <v>0.1360086698737305</v>
      </c>
      <c r="L100" s="42" t="s">
        <v>316</v>
      </c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</row>
    <row r="101" spans="1:30" ht="15.75" customHeight="1" x14ac:dyDescent="0.2">
      <c r="A101" s="39"/>
      <c r="B101" s="28" t="s">
        <v>60</v>
      </c>
      <c r="C101" s="40">
        <v>28.296561400000002</v>
      </c>
      <c r="D101" s="40">
        <v>25.236164899999999</v>
      </c>
      <c r="E101" s="40">
        <v>29.835558899999999</v>
      </c>
      <c r="F101" s="41">
        <f t="shared" si="25"/>
        <v>0.11987506478142747</v>
      </c>
      <c r="G101" s="41">
        <f t="shared" si="26"/>
        <v>2.9059250635539593</v>
      </c>
      <c r="H101" s="40">
        <f t="shared" si="27"/>
        <v>0.5902100941558901</v>
      </c>
      <c r="I101" s="40">
        <f>AVERAGE(H101:H103)</f>
        <v>0.58273609856784847</v>
      </c>
      <c r="J101" s="40">
        <f t="shared" si="29"/>
        <v>0.58646119019400245</v>
      </c>
      <c r="K101" s="40">
        <f t="shared" si="28"/>
        <v>8.8592318169488607E-2</v>
      </c>
      <c r="L101" s="43">
        <f>I101/$I$120</f>
        <v>8.8029596359294207E-2</v>
      </c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</row>
    <row r="102" spans="1:30" ht="15.75" customHeight="1" x14ac:dyDescent="0.2">
      <c r="A102" s="39"/>
      <c r="B102" s="28" t="s">
        <v>61</v>
      </c>
      <c r="C102" s="40">
        <v>28.040185999999999</v>
      </c>
      <c r="D102" s="40">
        <v>24.180256100000001</v>
      </c>
      <c r="E102" s="40">
        <v>28.119368099999999</v>
      </c>
      <c r="F102" s="41">
        <f t="shared" si="25"/>
        <v>6.8872416145334403E-2</v>
      </c>
      <c r="G102" s="41">
        <f t="shared" si="26"/>
        <v>1.0564189603580936</v>
      </c>
      <c r="H102" s="40">
        <f t="shared" si="27"/>
        <v>0.2697371429032423</v>
      </c>
      <c r="I102" s="28" t="s">
        <v>316</v>
      </c>
      <c r="J102" s="40">
        <f t="shared" si="29"/>
        <v>0.2697371429032423</v>
      </c>
      <c r="K102" s="40">
        <f t="shared" si="28"/>
        <v>4.0747178476222452E-2</v>
      </c>
      <c r="L102" s="42" t="s">
        <v>316</v>
      </c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</row>
    <row r="103" spans="1:30" ht="15.75" customHeight="1" x14ac:dyDescent="0.2">
      <c r="A103" s="39"/>
      <c r="B103" s="28" t="s">
        <v>62</v>
      </c>
      <c r="C103" s="40">
        <v>28.3463931</v>
      </c>
      <c r="D103" s="40">
        <v>25.8292699</v>
      </c>
      <c r="E103" s="40">
        <v>30.521627599999999</v>
      </c>
      <c r="F103" s="41">
        <f t="shared" si="25"/>
        <v>0.17469095298248782</v>
      </c>
      <c r="G103" s="41">
        <f t="shared" si="26"/>
        <v>4.5165916999902604</v>
      </c>
      <c r="H103" s="40">
        <f t="shared" si="27"/>
        <v>0.88826105864441307</v>
      </c>
      <c r="I103" s="28" t="s">
        <v>316</v>
      </c>
      <c r="J103" s="40">
        <f t="shared" si="29"/>
        <v>0.88826105864441307</v>
      </c>
      <c r="K103" s="40">
        <f t="shared" si="28"/>
        <v>0.13418297347001051</v>
      </c>
      <c r="L103" s="42" t="s">
        <v>316</v>
      </c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</row>
    <row r="104" spans="1:30" ht="15.75" customHeight="1" x14ac:dyDescent="0.2">
      <c r="A104" s="39"/>
      <c r="B104" s="28" t="s">
        <v>72</v>
      </c>
      <c r="C104" s="40">
        <v>29.578444399999999</v>
      </c>
      <c r="D104" s="40">
        <v>21.763926399999999</v>
      </c>
      <c r="E104" s="40">
        <v>27.758794600000002</v>
      </c>
      <c r="F104" s="41">
        <f t="shared" si="25"/>
        <v>4.4421751709474233E-3</v>
      </c>
      <c r="G104" s="41">
        <f t="shared" si="26"/>
        <v>0.28328972876768405</v>
      </c>
      <c r="H104" s="40">
        <f t="shared" si="27"/>
        <v>3.547425262519615E-2</v>
      </c>
      <c r="I104" s="40">
        <f>AVERAGE(H104:H106)</f>
        <v>3.617800686195511E-2</v>
      </c>
      <c r="J104" s="40">
        <f t="shared" si="29"/>
        <v>3.5824401668375083E-2</v>
      </c>
      <c r="K104" s="40">
        <f t="shared" si="28"/>
        <v>5.4117251813139691E-3</v>
      </c>
      <c r="L104" s="43">
        <f>I104/$I$120</f>
        <v>5.4651416807172159E-3</v>
      </c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</row>
    <row r="105" spans="1:30" ht="15.75" customHeight="1" x14ac:dyDescent="0.2">
      <c r="A105" s="39"/>
      <c r="B105" s="28" t="s">
        <v>56</v>
      </c>
      <c r="C105" s="40">
        <v>29.414581200000001</v>
      </c>
      <c r="D105" s="40">
        <v>21.663847000000001</v>
      </c>
      <c r="E105" s="40">
        <v>27.211711000000001</v>
      </c>
      <c r="F105" s="41">
        <f t="shared" si="25"/>
        <v>4.6429768405175098E-3</v>
      </c>
      <c r="G105" s="41">
        <f t="shared" si="26"/>
        <v>0.21720508745977624</v>
      </c>
      <c r="H105" s="40">
        <f t="shared" si="27"/>
        <v>3.1756545635794858E-2</v>
      </c>
      <c r="I105" s="28" t="s">
        <v>316</v>
      </c>
      <c r="J105" s="40">
        <f t="shared" si="29"/>
        <v>3.1756545635794858E-2</v>
      </c>
      <c r="K105" s="40">
        <f t="shared" si="28"/>
        <v>4.7972245085809509E-3</v>
      </c>
      <c r="L105" s="42" t="s">
        <v>316</v>
      </c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</row>
    <row r="106" spans="1:30" ht="15.75" customHeight="1" x14ac:dyDescent="0.2">
      <c r="A106" s="39"/>
      <c r="B106" s="28" t="s">
        <v>73</v>
      </c>
      <c r="C106" s="40">
        <v>29.425712099999998</v>
      </c>
      <c r="D106" s="40">
        <v>21.674786999999998</v>
      </c>
      <c r="E106" s="40">
        <v>27.981433500000001</v>
      </c>
      <c r="F106" s="41">
        <f t="shared" si="25"/>
        <v>4.6423625141248995E-3</v>
      </c>
      <c r="G106" s="41">
        <f t="shared" si="26"/>
        <v>0.36747586368523283</v>
      </c>
      <c r="H106" s="40">
        <f t="shared" si="27"/>
        <v>4.1303222324874315E-2</v>
      </c>
      <c r="I106" s="28" t="s">
        <v>316</v>
      </c>
      <c r="J106" s="40">
        <f t="shared" si="29"/>
        <v>4.1303222324874315E-2</v>
      </c>
      <c r="K106" s="40">
        <f t="shared" si="28"/>
        <v>6.2393697567948818E-3</v>
      </c>
      <c r="L106" s="42" t="s">
        <v>316</v>
      </c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</row>
    <row r="107" spans="1:30" ht="15.75" customHeight="1" x14ac:dyDescent="0.2">
      <c r="A107" s="39"/>
      <c r="B107" s="28" t="s">
        <v>74</v>
      </c>
      <c r="C107" s="40">
        <v>26.796624300000001</v>
      </c>
      <c r="D107" s="40">
        <v>21.710517200000002</v>
      </c>
      <c r="E107" s="40">
        <v>24.2392766</v>
      </c>
      <c r="F107" s="41">
        <f t="shared" si="25"/>
        <v>2.9439416762004525E-2</v>
      </c>
      <c r="G107" s="41">
        <f t="shared" si="26"/>
        <v>0.16988758116108996</v>
      </c>
      <c r="H107" s="40">
        <f t="shared" si="27"/>
        <v>7.0720515442763823E-2</v>
      </c>
      <c r="I107" s="40">
        <f>AVERAGE(H107:H109)</f>
        <v>0.23462002057961576</v>
      </c>
      <c r="J107" s="40">
        <f t="shared" si="29"/>
        <v>0.12881167955035089</v>
      </c>
      <c r="K107" s="40">
        <f t="shared" si="28"/>
        <v>1.9458619750943578E-2</v>
      </c>
      <c r="L107" s="43">
        <f>I107/$I$120</f>
        <v>3.5442296710623579E-2</v>
      </c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</row>
    <row r="108" spans="1:30" ht="15.75" customHeight="1" x14ac:dyDescent="0.2">
      <c r="A108" s="39"/>
      <c r="B108" s="28" t="s">
        <v>75</v>
      </c>
      <c r="C108" s="40">
        <v>28.962421500000001</v>
      </c>
      <c r="D108" s="40">
        <v>25.076267000000001</v>
      </c>
      <c r="E108" s="40">
        <v>29.482474199999999</v>
      </c>
      <c r="F108" s="41">
        <f t="shared" si="25"/>
        <v>6.7631797122048143E-2</v>
      </c>
      <c r="G108" s="41">
        <f t="shared" si="26"/>
        <v>1.4340076297179016</v>
      </c>
      <c r="H108" s="40">
        <f t="shared" si="27"/>
        <v>0.31142336631112039</v>
      </c>
      <c r="I108" s="28" t="s">
        <v>316</v>
      </c>
      <c r="J108" s="40">
        <f t="shared" si="29"/>
        <v>0.31142336631112039</v>
      </c>
      <c r="K108" s="40">
        <f t="shared" si="28"/>
        <v>4.7044405350201005E-2</v>
      </c>
      <c r="L108" s="42" t="s">
        <v>316</v>
      </c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</row>
    <row r="109" spans="1:30" ht="15.75" customHeight="1" x14ac:dyDescent="0.2">
      <c r="A109" s="39"/>
      <c r="B109" s="28" t="s">
        <v>76</v>
      </c>
      <c r="C109" s="40">
        <v>28.0598524</v>
      </c>
      <c r="D109" s="40">
        <v>23.615824100000001</v>
      </c>
      <c r="E109" s="40">
        <v>29.2316015</v>
      </c>
      <c r="F109" s="41">
        <f t="shared" si="25"/>
        <v>4.5942453043163592E-2</v>
      </c>
      <c r="G109" s="41">
        <f t="shared" si="26"/>
        <v>2.2528466289528817</v>
      </c>
      <c r="H109" s="40">
        <f t="shared" si="27"/>
        <v>0.32171617998496305</v>
      </c>
      <c r="I109" s="28" t="s">
        <v>316</v>
      </c>
      <c r="J109" s="40">
        <f t="shared" si="29"/>
        <v>0.32171617998496305</v>
      </c>
      <c r="K109" s="40">
        <f t="shared" si="28"/>
        <v>4.8599263948006399E-2</v>
      </c>
      <c r="L109" s="42" t="s">
        <v>316</v>
      </c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</row>
    <row r="110" spans="1:30" ht="15.75" customHeight="1" x14ac:dyDescent="0.2">
      <c r="A110" s="39"/>
      <c r="B110" s="28" t="s">
        <v>77</v>
      </c>
      <c r="C110" s="40">
        <v>25.453415700000001</v>
      </c>
      <c r="D110" s="40">
        <v>21.166353099999998</v>
      </c>
      <c r="E110" s="40">
        <v>27.3603436</v>
      </c>
      <c r="F110" s="41">
        <f t="shared" si="25"/>
        <v>5.1223065308404696E-2</v>
      </c>
      <c r="G110" s="41">
        <f t="shared" si="26"/>
        <v>3.7500969666303146</v>
      </c>
      <c r="H110" s="40">
        <f t="shared" si="27"/>
        <v>0.43828239964040872</v>
      </c>
      <c r="I110" s="40">
        <f>AVERAGE(H110:H112)</f>
        <v>0.5826789376305862</v>
      </c>
      <c r="J110" s="40">
        <f t="shared" si="29"/>
        <v>0.50534930790954624</v>
      </c>
      <c r="K110" s="40">
        <f t="shared" si="28"/>
        <v>7.6339351045963275E-2</v>
      </c>
      <c r="L110" s="43">
        <f>I110/$I$120</f>
        <v>8.8020961482808802E-2</v>
      </c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</row>
    <row r="111" spans="1:30" ht="15.75" customHeight="1" x14ac:dyDescent="0.2">
      <c r="A111" s="39"/>
      <c r="B111" s="28" t="s">
        <v>78</v>
      </c>
      <c r="C111" s="40">
        <v>34.025565499999999</v>
      </c>
      <c r="D111" s="40">
        <v>30.9695757</v>
      </c>
      <c r="E111" s="40">
        <v>37.152161</v>
      </c>
      <c r="F111" s="41">
        <f t="shared" si="25"/>
        <v>0.12024178195166359</v>
      </c>
      <c r="G111" s="41">
        <f t="shared" si="26"/>
        <v>8.7337152807217961</v>
      </c>
      <c r="H111" s="40">
        <f t="shared" si="27"/>
        <v>1.0247719201912504</v>
      </c>
      <c r="I111" s="28" t="s">
        <v>316</v>
      </c>
      <c r="J111" s="40">
        <f t="shared" si="29"/>
        <v>1.0247719201912504</v>
      </c>
      <c r="K111" s="40">
        <f t="shared" si="28"/>
        <v>0.15480465122459094</v>
      </c>
      <c r="L111" s="42" t="s">
        <v>316</v>
      </c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</row>
    <row r="112" spans="1:30" ht="15.75" customHeight="1" x14ac:dyDescent="0.2">
      <c r="A112" s="39"/>
      <c r="B112" s="28" t="s">
        <v>79</v>
      </c>
      <c r="C112" s="40">
        <v>24.592863399999999</v>
      </c>
      <c r="D112" s="40">
        <v>20.1455527</v>
      </c>
      <c r="E112" s="40">
        <v>25.4180645</v>
      </c>
      <c r="F112" s="41">
        <f t="shared" si="25"/>
        <v>4.5838044222958167E-2</v>
      </c>
      <c r="G112" s="41">
        <f t="shared" si="26"/>
        <v>1.7717819930474423</v>
      </c>
      <c r="H112" s="40">
        <f t="shared" si="27"/>
        <v>0.28498249306009943</v>
      </c>
      <c r="I112" s="28" t="s">
        <v>316</v>
      </c>
      <c r="J112" s="40">
        <f t="shared" si="29"/>
        <v>0.28498249306009943</v>
      </c>
      <c r="K112" s="40">
        <f t="shared" si="28"/>
        <v>4.3050179824452778E-2</v>
      </c>
      <c r="L112" s="42" t="s">
        <v>316</v>
      </c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</row>
    <row r="113" spans="1:30" ht="15.75" customHeight="1" x14ac:dyDescent="0.2">
      <c r="A113" s="39"/>
      <c r="B113" s="28"/>
      <c r="C113" s="28"/>
      <c r="D113" s="28"/>
      <c r="E113" s="28"/>
      <c r="F113" s="41"/>
      <c r="G113" s="28"/>
      <c r="H113" s="28"/>
      <c r="I113" s="28"/>
      <c r="J113" s="28"/>
      <c r="K113" s="28"/>
      <c r="L113" s="42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</row>
    <row r="114" spans="1:30" ht="15.75" customHeight="1" x14ac:dyDescent="0.2">
      <c r="A114" s="51" t="s">
        <v>85</v>
      </c>
      <c r="B114" s="28" t="s">
        <v>66</v>
      </c>
      <c r="C114" s="40">
        <v>28.407412399999998</v>
      </c>
      <c r="D114" s="40">
        <v>23.334163</v>
      </c>
      <c r="E114" s="40">
        <v>27.868648499999999</v>
      </c>
      <c r="F114" s="41">
        <f t="shared" ref="F114:F131" si="30">2^(D114-C114)</f>
        <v>2.9702961691656201E-2</v>
      </c>
      <c r="G114" s="41">
        <f t="shared" ref="G114:G131" si="31">2^(E114-C114)</f>
        <v>0.68836044317522282</v>
      </c>
      <c r="H114" s="40">
        <f t="shared" ref="H114:H131" si="32">(GEOMEAN(F114:G114))</f>
        <v>0.14299071254345552</v>
      </c>
      <c r="I114" s="40">
        <f>AVERAGE(H114:H116)</f>
        <v>0.13475492848546719</v>
      </c>
      <c r="J114" s="40">
        <v>0.14299071254345552</v>
      </c>
      <c r="K114" s="40">
        <f t="shared" ref="K114:K131" si="33">J114/$I$120</f>
        <v>2.1600540517849338E-2</v>
      </c>
      <c r="L114" s="43">
        <f>I114/$I$120</f>
        <v>2.0356422042764666E-2</v>
      </c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</row>
    <row r="115" spans="1:30" ht="15.75" customHeight="1" x14ac:dyDescent="0.2">
      <c r="A115" s="39"/>
      <c r="B115" s="28" t="s">
        <v>67</v>
      </c>
      <c r="C115" s="40">
        <v>28.6120819</v>
      </c>
      <c r="D115" s="40">
        <v>23.1685908</v>
      </c>
      <c r="E115" s="40">
        <v>27.9250908</v>
      </c>
      <c r="F115" s="41">
        <f t="shared" si="30"/>
        <v>2.2979781649521067E-2</v>
      </c>
      <c r="G115" s="41">
        <f t="shared" si="31"/>
        <v>0.62114797274839784</v>
      </c>
      <c r="H115" s="40">
        <f t="shared" si="32"/>
        <v>0.11947319693471353</v>
      </c>
      <c r="I115" s="28" t="s">
        <v>316</v>
      </c>
      <c r="J115" s="40">
        <f t="shared" ref="J115:J131" si="34">(GEOMEAN(H115:I115))</f>
        <v>0.11947319693471353</v>
      </c>
      <c r="K115" s="40">
        <f t="shared" si="33"/>
        <v>1.8047924828691171E-2</v>
      </c>
      <c r="L115" s="42" t="s">
        <v>316</v>
      </c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</row>
    <row r="116" spans="1:30" ht="15.75" customHeight="1" x14ac:dyDescent="0.2">
      <c r="A116" s="39"/>
      <c r="B116" s="28" t="s">
        <v>68</v>
      </c>
      <c r="C116" s="40">
        <v>28.316412400000001</v>
      </c>
      <c r="D116" s="40">
        <v>23.233153000000001</v>
      </c>
      <c r="E116" s="40">
        <v>27.763548499999999</v>
      </c>
      <c r="F116" s="41">
        <f t="shared" si="30"/>
        <v>2.9497583885857874E-2</v>
      </c>
      <c r="G116" s="41">
        <f t="shared" si="31"/>
        <v>0.68166560712229307</v>
      </c>
      <c r="H116" s="40">
        <f t="shared" si="32"/>
        <v>0.14180087597823252</v>
      </c>
      <c r="I116" s="28" t="s">
        <v>316</v>
      </c>
      <c r="J116" s="40">
        <f t="shared" si="34"/>
        <v>0.14180087597823252</v>
      </c>
      <c r="K116" s="40">
        <f t="shared" si="33"/>
        <v>2.1420800781753489E-2</v>
      </c>
      <c r="L116" s="42" t="s">
        <v>316</v>
      </c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</row>
    <row r="117" spans="1:30" ht="15.75" customHeight="1" x14ac:dyDescent="0.2">
      <c r="A117" s="39"/>
      <c r="B117" s="28" t="s">
        <v>69</v>
      </c>
      <c r="C117" s="40">
        <v>24.516358</v>
      </c>
      <c r="D117" s="40">
        <v>23.908760600000001</v>
      </c>
      <c r="E117" s="40">
        <v>30.250584100000001</v>
      </c>
      <c r="F117" s="41">
        <f t="shared" si="30"/>
        <v>0.65628874637396861</v>
      </c>
      <c r="G117" s="41">
        <f t="shared" si="31"/>
        <v>53.232156216566793</v>
      </c>
      <c r="H117" s="40">
        <f t="shared" si="32"/>
        <v>5.9106399882038057</v>
      </c>
      <c r="I117" s="40">
        <f>AVERAGE(H117:H119)</f>
        <v>5.9980336489999226</v>
      </c>
      <c r="J117" s="40">
        <f t="shared" si="34"/>
        <v>5.9541764784368736</v>
      </c>
      <c r="K117" s="40">
        <f t="shared" si="33"/>
        <v>0.89945303429280399</v>
      </c>
      <c r="L117" s="43">
        <f>I117/$I$120</f>
        <v>0.90607820996256971</v>
      </c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</row>
    <row r="118" spans="1:30" ht="15.75" customHeight="1" x14ac:dyDescent="0.2">
      <c r="A118" s="52"/>
      <c r="B118" s="28" t="s">
        <v>70</v>
      </c>
      <c r="C118" s="40">
        <v>24.8914182</v>
      </c>
      <c r="D118" s="40">
        <v>24.708249899999998</v>
      </c>
      <c r="E118" s="40">
        <v>30.348534300000001</v>
      </c>
      <c r="F118" s="41">
        <f t="shared" si="30"/>
        <v>0.88076662083220247</v>
      </c>
      <c r="G118" s="41">
        <f t="shared" si="31"/>
        <v>43.929436852445747</v>
      </c>
      <c r="H118" s="40">
        <f t="shared" si="32"/>
        <v>6.2202557545160682</v>
      </c>
      <c r="I118" s="28" t="s">
        <v>316</v>
      </c>
      <c r="J118" s="40">
        <f t="shared" si="34"/>
        <v>6.2202557545160682</v>
      </c>
      <c r="K118" s="40">
        <f t="shared" si="33"/>
        <v>0.93964764610832296</v>
      </c>
      <c r="L118" s="42" t="s">
        <v>316</v>
      </c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</row>
    <row r="119" spans="1:30" ht="15.75" customHeight="1" x14ac:dyDescent="0.2">
      <c r="A119" s="39"/>
      <c r="B119" s="28" t="s">
        <v>71</v>
      </c>
      <c r="C119" s="40">
        <v>25.130892500000002</v>
      </c>
      <c r="D119" s="40">
        <v>24.770606000000001</v>
      </c>
      <c r="E119" s="40">
        <v>30.5945581</v>
      </c>
      <c r="F119" s="41">
        <f t="shared" si="30"/>
        <v>0.77900986332620969</v>
      </c>
      <c r="G119" s="41">
        <f t="shared" si="31"/>
        <v>44.129319647778892</v>
      </c>
      <c r="H119" s="40">
        <f t="shared" si="32"/>
        <v>5.8632052042798959</v>
      </c>
      <c r="I119" s="28" t="s">
        <v>316</v>
      </c>
      <c r="J119" s="40">
        <f t="shared" si="34"/>
        <v>5.8632052042798959</v>
      </c>
      <c r="K119" s="40">
        <f t="shared" si="33"/>
        <v>0.88571068237053496</v>
      </c>
      <c r="L119" s="42" t="s">
        <v>316</v>
      </c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</row>
    <row r="120" spans="1:30" ht="15.75" customHeight="1" x14ac:dyDescent="0.2">
      <c r="A120" s="39"/>
      <c r="B120" s="28" t="s">
        <v>60</v>
      </c>
      <c r="C120" s="40">
        <v>25.421593699999999</v>
      </c>
      <c r="D120" s="40">
        <v>25.5010832</v>
      </c>
      <c r="E120" s="40">
        <v>30.3250384</v>
      </c>
      <c r="F120" s="41">
        <f t="shared" si="30"/>
        <v>1.0566440791661174</v>
      </c>
      <c r="G120" s="41">
        <f t="shared" si="31"/>
        <v>29.928430122044755</v>
      </c>
      <c r="H120" s="40">
        <f t="shared" si="32"/>
        <v>5.6234952198072925</v>
      </c>
      <c r="I120" s="40">
        <f>AVERAGE(H120:H122)</f>
        <v>6.619774742455955</v>
      </c>
      <c r="J120" s="40">
        <f t="shared" si="34"/>
        <v>6.1013335936008382</v>
      </c>
      <c r="K120" s="40">
        <f t="shared" si="33"/>
        <v>0.92168296218146328</v>
      </c>
      <c r="L120" s="43">
        <f>I120/$I$120</f>
        <v>1</v>
      </c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</row>
    <row r="121" spans="1:30" ht="15.75" customHeight="1" x14ac:dyDescent="0.2">
      <c r="A121" s="39"/>
      <c r="B121" s="28" t="s">
        <v>61</v>
      </c>
      <c r="C121" s="40">
        <v>25.958525000000002</v>
      </c>
      <c r="D121" s="40">
        <v>25.819003899999998</v>
      </c>
      <c r="E121" s="40">
        <v>30.113898200000001</v>
      </c>
      <c r="F121" s="41">
        <f t="shared" si="30"/>
        <v>0.90782045465852856</v>
      </c>
      <c r="G121" s="41">
        <f t="shared" si="31"/>
        <v>17.819354851261036</v>
      </c>
      <c r="H121" s="40">
        <f t="shared" si="32"/>
        <v>4.0220361538396761</v>
      </c>
      <c r="I121" s="28" t="s">
        <v>316</v>
      </c>
      <c r="J121" s="40">
        <f t="shared" si="34"/>
        <v>4.0220361538396761</v>
      </c>
      <c r="K121" s="40">
        <f t="shared" si="33"/>
        <v>0.60757900537677345</v>
      </c>
      <c r="L121" s="42" t="s">
        <v>316</v>
      </c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</row>
    <row r="122" spans="1:30" ht="15.75" customHeight="1" x14ac:dyDescent="0.2">
      <c r="A122" s="39"/>
      <c r="B122" s="28" t="s">
        <v>62</v>
      </c>
      <c r="C122" s="40">
        <v>25.7227216</v>
      </c>
      <c r="D122" s="40">
        <v>26.624390099999999</v>
      </c>
      <c r="E122" s="40">
        <v>31.525946699999999</v>
      </c>
      <c r="F122" s="41">
        <f t="shared" si="30"/>
        <v>1.8682253668124571</v>
      </c>
      <c r="G122" s="41">
        <f t="shared" si="31"/>
        <v>55.839925049680794</v>
      </c>
      <c r="H122" s="40">
        <f t="shared" si="32"/>
        <v>10.213792853720895</v>
      </c>
      <c r="I122" s="28" t="s">
        <v>316</v>
      </c>
      <c r="J122" s="40">
        <f t="shared" si="34"/>
        <v>10.213792853720895</v>
      </c>
      <c r="K122" s="40">
        <f t="shared" si="33"/>
        <v>1.5429215118476296</v>
      </c>
      <c r="L122" s="42" t="s">
        <v>316</v>
      </c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</row>
    <row r="123" spans="1:30" ht="15.75" customHeight="1" x14ac:dyDescent="0.2">
      <c r="A123" s="39"/>
      <c r="B123" s="28" t="s">
        <v>72</v>
      </c>
      <c r="C123" s="40">
        <v>26.923488899999999</v>
      </c>
      <c r="D123" s="40">
        <v>22.429203300000001</v>
      </c>
      <c r="E123" s="40">
        <v>28.302768700000001</v>
      </c>
      <c r="F123" s="41">
        <f t="shared" si="30"/>
        <v>4.4369570559053648E-2</v>
      </c>
      <c r="G123" s="41">
        <f t="shared" si="31"/>
        <v>2.6013847634517546</v>
      </c>
      <c r="H123" s="40">
        <f t="shared" si="32"/>
        <v>0.33973861248498044</v>
      </c>
      <c r="I123" s="40">
        <f>AVERAGE(H123:H125)</f>
        <v>0.30492143689769891</v>
      </c>
      <c r="J123" s="40">
        <f t="shared" si="34"/>
        <v>0.32185957479707006</v>
      </c>
      <c r="K123" s="40">
        <f t="shared" si="33"/>
        <v>4.8620925532831538E-2</v>
      </c>
      <c r="L123" s="43">
        <f>I123/$I$120</f>
        <v>4.6062207365166655E-2</v>
      </c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</row>
    <row r="124" spans="1:30" ht="15.75" customHeight="1" x14ac:dyDescent="0.2">
      <c r="A124" s="39"/>
      <c r="B124" s="28" t="s">
        <v>56</v>
      </c>
      <c r="C124" s="40">
        <v>27.1167382</v>
      </c>
      <c r="D124" s="40">
        <v>22.4031704</v>
      </c>
      <c r="E124" s="40">
        <v>28.188404999999999</v>
      </c>
      <c r="F124" s="41">
        <f t="shared" si="30"/>
        <v>3.8113137845451402E-2</v>
      </c>
      <c r="G124" s="41">
        <f t="shared" si="31"/>
        <v>2.1018603235142113</v>
      </c>
      <c r="H124" s="40">
        <f t="shared" si="32"/>
        <v>0.28303443649489407</v>
      </c>
      <c r="I124" s="28" t="s">
        <v>316</v>
      </c>
      <c r="J124" s="40">
        <f t="shared" si="34"/>
        <v>0.28303443649489407</v>
      </c>
      <c r="K124" s="40">
        <f t="shared" si="33"/>
        <v>4.2755901447771548E-2</v>
      </c>
      <c r="L124" s="42" t="s">
        <v>316</v>
      </c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</row>
    <row r="125" spans="1:30" ht="15.75" customHeight="1" x14ac:dyDescent="0.2">
      <c r="A125" s="39"/>
      <c r="B125" s="28" t="s">
        <v>73</v>
      </c>
      <c r="C125" s="40">
        <v>27.132488899999998</v>
      </c>
      <c r="D125" s="40">
        <v>22.430203299999999</v>
      </c>
      <c r="E125" s="40">
        <v>28.282768699999998</v>
      </c>
      <c r="F125" s="41">
        <f t="shared" si="30"/>
        <v>3.8412359629377196E-2</v>
      </c>
      <c r="G125" s="41">
        <f t="shared" si="31"/>
        <v>2.2195693714081197</v>
      </c>
      <c r="H125" s="40">
        <f t="shared" si="32"/>
        <v>0.29199126171322215</v>
      </c>
      <c r="I125" s="28" t="s">
        <v>316</v>
      </c>
      <c r="J125" s="40">
        <f t="shared" si="34"/>
        <v>0.29199126171322215</v>
      </c>
      <c r="K125" s="40">
        <f t="shared" si="33"/>
        <v>4.410894223341693E-2</v>
      </c>
      <c r="L125" s="42" t="s">
        <v>316</v>
      </c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</row>
    <row r="126" spans="1:30" ht="15.75" customHeight="1" x14ac:dyDescent="0.2">
      <c r="A126" s="39"/>
      <c r="B126" s="28" t="s">
        <v>74</v>
      </c>
      <c r="C126" s="40">
        <v>24.344797700000001</v>
      </c>
      <c r="D126" s="40">
        <v>22.2880644</v>
      </c>
      <c r="E126" s="40">
        <v>24.576810800000001</v>
      </c>
      <c r="F126" s="41">
        <f t="shared" si="30"/>
        <v>0.2403596614430008</v>
      </c>
      <c r="G126" s="41">
        <f t="shared" si="31"/>
        <v>1.1744726356446236</v>
      </c>
      <c r="H126" s="40">
        <f t="shared" si="32"/>
        <v>0.53131520313050573</v>
      </c>
      <c r="I126" s="40">
        <f>AVERAGE(H126:H128)</f>
        <v>0.6135438337540905</v>
      </c>
      <c r="J126" s="40">
        <f t="shared" si="34"/>
        <v>0.57095110706655416</v>
      </c>
      <c r="K126" s="40">
        <f t="shared" si="33"/>
        <v>8.6249325585772071E-2</v>
      </c>
      <c r="L126" s="43">
        <f>I126/$I$120</f>
        <v>9.2683491149498545E-2</v>
      </c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</row>
    <row r="127" spans="1:30" ht="15.75" customHeight="1" x14ac:dyDescent="0.2">
      <c r="A127" s="39"/>
      <c r="B127" s="28" t="s">
        <v>75</v>
      </c>
      <c r="C127" s="40">
        <v>24.2455958</v>
      </c>
      <c r="D127" s="40">
        <v>22.6707742</v>
      </c>
      <c r="E127" s="40">
        <v>24.583283300000002</v>
      </c>
      <c r="F127" s="41">
        <f t="shared" si="30"/>
        <v>0.33568463303674612</v>
      </c>
      <c r="G127" s="41">
        <f t="shared" si="31"/>
        <v>1.2637293342962268</v>
      </c>
      <c r="H127" s="40">
        <f t="shared" si="32"/>
        <v>0.65131752459226855</v>
      </c>
      <c r="I127" s="28" t="s">
        <v>316</v>
      </c>
      <c r="J127" s="40">
        <f t="shared" si="34"/>
        <v>0.65131752459226855</v>
      </c>
      <c r="K127" s="40">
        <f t="shared" si="33"/>
        <v>9.838968090787753E-2</v>
      </c>
      <c r="L127" s="42" t="s">
        <v>316</v>
      </c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</row>
    <row r="128" spans="1:30" ht="15.75" customHeight="1" x14ac:dyDescent="0.2">
      <c r="A128" s="39"/>
      <c r="B128" s="28" t="s">
        <v>76</v>
      </c>
      <c r="C128" s="40">
        <v>24.633542899999998</v>
      </c>
      <c r="D128" s="40">
        <v>22.046927</v>
      </c>
      <c r="E128" s="40">
        <v>26.0124724</v>
      </c>
      <c r="F128" s="41">
        <f t="shared" si="30"/>
        <v>0.16647576790248966</v>
      </c>
      <c r="G128" s="41">
        <f t="shared" si="31"/>
        <v>2.6007531993069568</v>
      </c>
      <c r="H128" s="40">
        <f t="shared" si="32"/>
        <v>0.65799877353949709</v>
      </c>
      <c r="I128" s="28" t="s">
        <v>316</v>
      </c>
      <c r="J128" s="40">
        <f t="shared" si="34"/>
        <v>0.65799877353949709</v>
      </c>
      <c r="K128" s="40">
        <f t="shared" si="33"/>
        <v>9.9398967357517326E-2</v>
      </c>
      <c r="L128" s="42" t="s">
        <v>316</v>
      </c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</row>
    <row r="129" spans="1:30" ht="15.75" customHeight="1" x14ac:dyDescent="0.2">
      <c r="A129" s="39"/>
      <c r="B129" s="28" t="s">
        <v>77</v>
      </c>
      <c r="C129" s="40">
        <v>26.3387004</v>
      </c>
      <c r="D129" s="40">
        <v>23.415078300000001</v>
      </c>
      <c r="E129" s="40">
        <v>29.081041800000001</v>
      </c>
      <c r="F129" s="41">
        <f t="shared" si="30"/>
        <v>0.13179594606252201</v>
      </c>
      <c r="G129" s="41">
        <f t="shared" si="31"/>
        <v>6.6915545044201199</v>
      </c>
      <c r="H129" s="40">
        <f t="shared" si="32"/>
        <v>0.93910582818923038</v>
      </c>
      <c r="I129" s="40">
        <f>AVERAGE(H129:H131)</f>
        <v>0.85984993548074795</v>
      </c>
      <c r="J129" s="40">
        <f t="shared" si="34"/>
        <v>0.89860452134301227</v>
      </c>
      <c r="K129" s="40">
        <f t="shared" si="33"/>
        <v>0.13574548323824498</v>
      </c>
      <c r="L129" s="43">
        <f>I129/$I$120</f>
        <v>0.12989111698410166</v>
      </c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</row>
    <row r="130" spans="1:30" ht="15.75" customHeight="1" x14ac:dyDescent="0.2">
      <c r="A130" s="39"/>
      <c r="B130" s="28" t="s">
        <v>78</v>
      </c>
      <c r="C130" s="40">
        <v>25.496195499999999</v>
      </c>
      <c r="D130" s="40">
        <v>21.685722200000001</v>
      </c>
      <c r="E130" s="40">
        <v>28.4244445</v>
      </c>
      <c r="F130" s="41">
        <f t="shared" si="30"/>
        <v>7.1274345676369144E-2</v>
      </c>
      <c r="G130" s="41">
        <f t="shared" si="31"/>
        <v>7.6118598559480155</v>
      </c>
      <c r="H130" s="40">
        <f t="shared" si="32"/>
        <v>0.73656658260670249</v>
      </c>
      <c r="I130" s="28" t="s">
        <v>316</v>
      </c>
      <c r="J130" s="40">
        <f t="shared" si="34"/>
        <v>0.73656658260670249</v>
      </c>
      <c r="K130" s="40">
        <f t="shared" si="33"/>
        <v>0.11126762031383476</v>
      </c>
      <c r="L130" s="42" t="s">
        <v>316</v>
      </c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</row>
    <row r="131" spans="1:30" ht="15.75" customHeight="1" x14ac:dyDescent="0.2">
      <c r="A131" s="44"/>
      <c r="B131" s="45" t="s">
        <v>79</v>
      </c>
      <c r="C131" s="46">
        <v>24.931508399999998</v>
      </c>
      <c r="D131" s="46">
        <v>21.130264</v>
      </c>
      <c r="E131" s="46">
        <v>28.441150799999999</v>
      </c>
      <c r="F131" s="47">
        <f t="shared" si="30"/>
        <v>7.1731748107547552E-2</v>
      </c>
      <c r="G131" s="47">
        <f t="shared" si="31"/>
        <v>11.389578086615659</v>
      </c>
      <c r="H131" s="46">
        <f t="shared" si="32"/>
        <v>0.90387739564631098</v>
      </c>
      <c r="I131" s="45" t="s">
        <v>316</v>
      </c>
      <c r="J131" s="46">
        <f t="shared" si="34"/>
        <v>0.90387739564631098</v>
      </c>
      <c r="K131" s="46">
        <f t="shared" si="33"/>
        <v>0.13654201703409774</v>
      </c>
      <c r="L131" s="48" t="s">
        <v>316</v>
      </c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</row>
    <row r="132" spans="1:30" ht="15.75" customHeight="1" x14ac:dyDescent="0.2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</row>
    <row r="133" spans="1:30" ht="15.75" customHeight="1" x14ac:dyDescent="0.2">
      <c r="A133" s="103" t="s">
        <v>303</v>
      </c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</row>
    <row r="134" spans="1:30" ht="15.75" customHeight="1" x14ac:dyDescent="0.2">
      <c r="A134" s="103" t="s">
        <v>304</v>
      </c>
      <c r="B134" s="28"/>
      <c r="C134" s="28"/>
      <c r="D134" s="28"/>
      <c r="E134" s="28"/>
      <c r="F134" s="28"/>
      <c r="G134" s="40"/>
      <c r="H134" s="40"/>
      <c r="I134" s="40"/>
      <c r="J134" s="40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54"/>
      <c r="AD134" s="54"/>
    </row>
    <row r="135" spans="1:30" ht="15.75" customHeight="1" x14ac:dyDescent="0.2"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54"/>
      <c r="AD135" s="54"/>
    </row>
    <row r="136" spans="1:30" ht="15.75" customHeight="1" x14ac:dyDescent="0.2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54"/>
      <c r="AD136" s="54"/>
    </row>
    <row r="137" spans="1:30" ht="15.75" customHeight="1" x14ac:dyDescent="0.2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54"/>
      <c r="AD137" s="54"/>
    </row>
    <row r="138" spans="1:30" ht="15.75" customHeight="1" x14ac:dyDescent="0.2">
      <c r="A138" s="28"/>
      <c r="B138" s="28"/>
      <c r="C138" s="28"/>
      <c r="D138" s="28"/>
      <c r="E138" s="28"/>
      <c r="F138" s="28"/>
      <c r="G138" s="40"/>
      <c r="H138" s="40"/>
      <c r="I138" s="40"/>
      <c r="J138" s="40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54"/>
      <c r="AD138" s="54"/>
    </row>
    <row r="139" spans="1:30" ht="15.75" customHeight="1" x14ac:dyDescent="0.2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54"/>
      <c r="AD139" s="54"/>
    </row>
    <row r="140" spans="1:30" ht="15.75" customHeight="1" x14ac:dyDescent="0.2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54"/>
      <c r="AD140" s="54"/>
    </row>
    <row r="141" spans="1:30" ht="15.75" customHeight="1" x14ac:dyDescent="0.2">
      <c r="A141" s="28"/>
      <c r="B141" s="28"/>
      <c r="C141" s="28"/>
      <c r="D141" s="28"/>
      <c r="E141" s="28"/>
      <c r="F141" s="28"/>
      <c r="G141" s="40"/>
      <c r="H141" s="40"/>
      <c r="I141" s="40"/>
      <c r="J141" s="40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54"/>
      <c r="AD141" s="54"/>
    </row>
    <row r="142" spans="1:30" ht="15.75" customHeight="1" x14ac:dyDescent="0.2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54"/>
      <c r="AD142" s="54"/>
    </row>
    <row r="143" spans="1:30" ht="15.75" customHeight="1" x14ac:dyDescent="0.2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54"/>
      <c r="AD143" s="54"/>
    </row>
    <row r="144" spans="1:30" ht="15.75" customHeight="1" x14ac:dyDescent="0.2">
      <c r="A144" s="28"/>
      <c r="B144" s="28"/>
      <c r="C144" s="28"/>
      <c r="D144" s="28"/>
      <c r="E144" s="28"/>
      <c r="F144" s="28"/>
      <c r="G144" s="40"/>
      <c r="H144" s="40"/>
      <c r="I144" s="40"/>
      <c r="J144" s="40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54"/>
      <c r="AD144" s="54"/>
    </row>
    <row r="145" spans="1:30" ht="15.75" customHeight="1" x14ac:dyDescent="0.2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54"/>
      <c r="AD145" s="54"/>
    </row>
    <row r="146" spans="1:30" ht="15.75" customHeight="1" x14ac:dyDescent="0.2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40"/>
      <c r="U146" s="28"/>
      <c r="V146" s="28"/>
      <c r="W146" s="28"/>
      <c r="X146" s="28"/>
      <c r="Y146" s="28"/>
      <c r="Z146" s="28"/>
      <c r="AA146" s="28"/>
      <c r="AB146" s="28"/>
      <c r="AC146" s="54"/>
      <c r="AD146" s="54"/>
    </row>
    <row r="147" spans="1:30" ht="15.75" customHeight="1" x14ac:dyDescent="0.2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40"/>
      <c r="U147" s="28"/>
      <c r="V147" s="28"/>
      <c r="W147" s="28"/>
      <c r="X147" s="28"/>
      <c r="Y147" s="28"/>
      <c r="Z147" s="28"/>
      <c r="AA147" s="28"/>
      <c r="AB147" s="28"/>
      <c r="AC147" s="54"/>
      <c r="AD147" s="54"/>
    </row>
    <row r="148" spans="1:30" ht="15.75" customHeight="1" x14ac:dyDescent="0.2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40"/>
      <c r="U148" s="28"/>
      <c r="V148" s="28"/>
      <c r="W148" s="28"/>
      <c r="X148" s="28"/>
      <c r="Y148" s="28"/>
      <c r="Z148" s="28"/>
      <c r="AA148" s="28"/>
      <c r="AB148" s="28"/>
      <c r="AC148" s="54"/>
      <c r="AD148" s="54"/>
    </row>
    <row r="149" spans="1:30" ht="15.75" customHeight="1" x14ac:dyDescent="0.2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40"/>
      <c r="W149" s="28"/>
      <c r="X149" s="28"/>
      <c r="Y149" s="28"/>
      <c r="Z149" s="28"/>
      <c r="AA149" s="28"/>
      <c r="AB149" s="28"/>
      <c r="AC149" s="28"/>
      <c r="AD149" s="28"/>
    </row>
    <row r="150" spans="1:30" ht="15.75" customHeight="1" x14ac:dyDescent="0.2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</row>
    <row r="151" spans="1:30" ht="15.75" customHeight="1" x14ac:dyDescent="0.2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</row>
    <row r="152" spans="1:30" ht="15.75" customHeight="1" x14ac:dyDescent="0.2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</row>
    <row r="153" spans="1:30" ht="15.75" customHeight="1" x14ac:dyDescent="0.2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</row>
    <row r="154" spans="1:30" ht="15.75" customHeight="1" x14ac:dyDescent="0.2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</row>
    <row r="155" spans="1:30" ht="15.75" customHeight="1" x14ac:dyDescent="0.2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</row>
    <row r="156" spans="1:30" ht="15.75" customHeight="1" x14ac:dyDescent="0.2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</row>
    <row r="157" spans="1:30" ht="15.75" customHeight="1" x14ac:dyDescent="0.2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</row>
    <row r="158" spans="1:30" ht="15.75" customHeight="1" x14ac:dyDescent="0.2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</row>
    <row r="159" spans="1:30" ht="15.75" customHeight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</row>
    <row r="160" spans="1:30" ht="15.75" customHeight="1" x14ac:dyDescent="0.2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</row>
    <row r="161" spans="1:30" ht="15.75" customHeight="1" x14ac:dyDescent="0.2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</row>
    <row r="162" spans="1:30" ht="15.75" customHeight="1" x14ac:dyDescent="0.2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</row>
    <row r="163" spans="1:30" ht="15.75" customHeight="1" x14ac:dyDescent="0.2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</row>
    <row r="164" spans="1:30" ht="15.75" customHeight="1" x14ac:dyDescent="0.2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 spans="1:30" ht="15.75" customHeight="1" x14ac:dyDescent="0.2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</row>
    <row r="166" spans="1:30" ht="15.75" customHeight="1" x14ac:dyDescent="0.2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</row>
    <row r="167" spans="1:30" ht="15.75" customHeight="1" x14ac:dyDescent="0.2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</row>
    <row r="168" spans="1:30" ht="15.75" customHeight="1" x14ac:dyDescent="0.2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</row>
    <row r="169" spans="1:30" ht="15.75" customHeight="1" x14ac:dyDescent="0.2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</row>
    <row r="170" spans="1:30" ht="15.75" customHeight="1" x14ac:dyDescent="0.2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</row>
    <row r="171" spans="1:30" ht="15.75" customHeight="1" x14ac:dyDescent="0.2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</row>
    <row r="172" spans="1:30" ht="15.75" customHeight="1" x14ac:dyDescent="0.2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</row>
    <row r="173" spans="1:30" ht="15.75" customHeight="1" x14ac:dyDescent="0.2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</row>
    <row r="174" spans="1:30" ht="15.75" customHeight="1" x14ac:dyDescent="0.2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</row>
    <row r="175" spans="1:30" ht="15.75" customHeight="1" x14ac:dyDescent="0.2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</row>
    <row r="176" spans="1:30" ht="15.75" customHeight="1" x14ac:dyDescent="0.2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</row>
    <row r="177" spans="1:30" ht="15.75" customHeight="1" x14ac:dyDescent="0.2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</row>
    <row r="178" spans="1:30" ht="15.75" customHeight="1" x14ac:dyDescent="0.2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</row>
    <row r="179" spans="1:30" ht="15.75" customHeight="1" x14ac:dyDescent="0.2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</row>
    <row r="180" spans="1:30" ht="15.75" customHeight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</row>
    <row r="181" spans="1:30" ht="15.75" customHeight="1" x14ac:dyDescent="0.2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 spans="1:30" ht="15.75" customHeight="1" x14ac:dyDescent="0.2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</row>
    <row r="183" spans="1:30" ht="15.75" customHeight="1" x14ac:dyDescent="0.2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</row>
    <row r="184" spans="1:30" ht="15.75" customHeight="1" x14ac:dyDescent="0.2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</row>
    <row r="185" spans="1:30" ht="15.75" customHeight="1" x14ac:dyDescent="0.2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</row>
    <row r="186" spans="1:30" ht="15.75" customHeight="1" x14ac:dyDescent="0.2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spans="1:30" ht="15.75" customHeight="1" x14ac:dyDescent="0.2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</row>
    <row r="188" spans="1:30" ht="15.75" customHeight="1" x14ac:dyDescent="0.2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</row>
    <row r="189" spans="1:30" ht="15.75" customHeight="1" x14ac:dyDescent="0.2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</row>
    <row r="190" spans="1:30" ht="15.75" customHeight="1" x14ac:dyDescent="0.2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</row>
    <row r="191" spans="1:30" ht="15.75" customHeight="1" x14ac:dyDescent="0.2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</row>
    <row r="192" spans="1:30" ht="15.75" customHeight="1" x14ac:dyDescent="0.2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</row>
    <row r="193" spans="1:30" ht="15.75" customHeight="1" x14ac:dyDescent="0.2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</row>
    <row r="194" spans="1:30" ht="15.75" customHeight="1" x14ac:dyDescent="0.2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</row>
    <row r="195" spans="1:30" ht="15.75" customHeight="1" x14ac:dyDescent="0.2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</row>
    <row r="196" spans="1:30" ht="15.75" customHeight="1" x14ac:dyDescent="0.2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</row>
    <row r="197" spans="1:30" ht="15.75" customHeight="1" x14ac:dyDescent="0.2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</row>
    <row r="198" spans="1:30" ht="15.75" customHeight="1" x14ac:dyDescent="0.2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</row>
    <row r="199" spans="1:30" ht="15.75" customHeight="1" x14ac:dyDescent="0.2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</row>
    <row r="200" spans="1:30" ht="15.75" customHeight="1" x14ac:dyDescent="0.2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</row>
    <row r="201" spans="1:30" ht="15.75" customHeight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</row>
    <row r="202" spans="1:30" ht="15.75" customHeight="1" x14ac:dyDescent="0.2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</row>
    <row r="203" spans="1:30" ht="15.75" customHeight="1" x14ac:dyDescent="0.2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</row>
    <row r="204" spans="1:30" ht="15.75" customHeight="1" x14ac:dyDescent="0.2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</row>
    <row r="205" spans="1:30" ht="15.75" customHeight="1" x14ac:dyDescent="0.2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</row>
    <row r="206" spans="1:30" ht="15.75" customHeight="1" x14ac:dyDescent="0.2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</row>
    <row r="207" spans="1:30" ht="15.75" customHeight="1" x14ac:dyDescent="0.2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</row>
    <row r="208" spans="1:30" ht="15.75" customHeight="1" x14ac:dyDescent="0.2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</row>
    <row r="209" spans="1:30" ht="15.75" customHeight="1" x14ac:dyDescent="0.2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</row>
    <row r="210" spans="1:30" ht="15.75" customHeight="1" x14ac:dyDescent="0.2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</row>
    <row r="211" spans="1:30" ht="15.75" customHeight="1" x14ac:dyDescent="0.2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</row>
    <row r="212" spans="1:30" ht="15.75" customHeight="1" x14ac:dyDescent="0.2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</row>
    <row r="213" spans="1:30" ht="15.75" customHeight="1" x14ac:dyDescent="0.2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</row>
    <row r="214" spans="1:30" ht="15.75" customHeight="1" x14ac:dyDescent="0.2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</row>
    <row r="215" spans="1:30" ht="15.75" customHeight="1" x14ac:dyDescent="0.2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</row>
    <row r="216" spans="1:30" ht="15.75" customHeight="1" x14ac:dyDescent="0.2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</row>
    <row r="217" spans="1:30" ht="15.75" customHeight="1" x14ac:dyDescent="0.2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</row>
    <row r="218" spans="1:30" ht="15.75" customHeight="1" x14ac:dyDescent="0.2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</row>
    <row r="219" spans="1:30" ht="15.75" customHeight="1" x14ac:dyDescent="0.2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</row>
    <row r="220" spans="1:30" ht="15.75" customHeight="1" x14ac:dyDescent="0.2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</row>
    <row r="221" spans="1:30" ht="15.75" customHeight="1" x14ac:dyDescent="0.2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</row>
    <row r="222" spans="1:30" ht="15.75" customHeight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</row>
    <row r="223" spans="1:30" ht="15.75" customHeight="1" x14ac:dyDescent="0.2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</row>
    <row r="224" spans="1:30" ht="15.75" customHeight="1" x14ac:dyDescent="0.2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</row>
    <row r="225" spans="1:30" ht="15.75" customHeight="1" x14ac:dyDescent="0.2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</row>
    <row r="226" spans="1:30" ht="15.75" customHeight="1" x14ac:dyDescent="0.2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</row>
    <row r="227" spans="1:30" ht="15.75" customHeight="1" x14ac:dyDescent="0.2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</row>
    <row r="228" spans="1:30" ht="15.75" customHeight="1" x14ac:dyDescent="0.2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</row>
    <row r="229" spans="1:30" ht="15.75" customHeight="1" x14ac:dyDescent="0.2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</row>
    <row r="230" spans="1:30" ht="15.75" customHeight="1" x14ac:dyDescent="0.2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</row>
    <row r="231" spans="1:30" ht="15.75" customHeight="1" x14ac:dyDescent="0.2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</row>
    <row r="232" spans="1:30" ht="15.75" customHeight="1" x14ac:dyDescent="0.2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</row>
    <row r="233" spans="1:30" ht="15.75" customHeight="1" x14ac:dyDescent="0.2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</row>
    <row r="234" spans="1:30" ht="15.75" customHeight="1" x14ac:dyDescent="0.2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</row>
    <row r="235" spans="1:30" ht="15.75" customHeight="1" x14ac:dyDescent="0.2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</row>
    <row r="236" spans="1:30" ht="15.75" customHeight="1" x14ac:dyDescent="0.2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</row>
    <row r="237" spans="1:30" ht="15.75" customHeight="1" x14ac:dyDescent="0.2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</row>
    <row r="238" spans="1:30" ht="15.75" customHeight="1" x14ac:dyDescent="0.2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</row>
    <row r="239" spans="1:30" ht="15.75" customHeight="1" x14ac:dyDescent="0.2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</row>
    <row r="240" spans="1:30" ht="15.75" customHeight="1" x14ac:dyDescent="0.2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</row>
    <row r="241" spans="1:30" ht="15.75" customHeight="1" x14ac:dyDescent="0.2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</row>
    <row r="242" spans="1:30" ht="15.75" customHeight="1" x14ac:dyDescent="0.2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</row>
    <row r="243" spans="1:30" ht="15.75" customHeight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</row>
    <row r="244" spans="1:30" ht="15.75" customHeight="1" x14ac:dyDescent="0.2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</row>
    <row r="245" spans="1:30" ht="15.75" customHeight="1" x14ac:dyDescent="0.2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</row>
    <row r="246" spans="1:30" ht="15.75" customHeight="1" x14ac:dyDescent="0.2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</row>
    <row r="247" spans="1:30" ht="15.75" customHeight="1" x14ac:dyDescent="0.2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</row>
    <row r="248" spans="1:30" ht="15.75" customHeight="1" x14ac:dyDescent="0.2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</row>
    <row r="249" spans="1:30" ht="15.75" customHeight="1" x14ac:dyDescent="0.2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</row>
    <row r="250" spans="1:30" ht="15.75" customHeight="1" x14ac:dyDescent="0.2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</row>
    <row r="251" spans="1:30" ht="15.75" customHeight="1" x14ac:dyDescent="0.2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</row>
    <row r="252" spans="1:30" ht="15.75" customHeight="1" x14ac:dyDescent="0.2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</row>
    <row r="253" spans="1:30" ht="15.75" customHeight="1" x14ac:dyDescent="0.2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</row>
    <row r="254" spans="1:30" ht="15.75" customHeight="1" x14ac:dyDescent="0.2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</row>
    <row r="255" spans="1:30" ht="15.75" customHeight="1" x14ac:dyDescent="0.2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</row>
    <row r="256" spans="1:30" ht="15.75" customHeight="1" x14ac:dyDescent="0.2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</row>
    <row r="257" spans="1:30" ht="15.75" customHeight="1" x14ac:dyDescent="0.2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</row>
    <row r="258" spans="1:30" ht="15.75" customHeight="1" x14ac:dyDescent="0.2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</row>
    <row r="259" spans="1:30" ht="15.75" customHeight="1" x14ac:dyDescent="0.2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</row>
    <row r="260" spans="1:30" ht="15.75" customHeight="1" x14ac:dyDescent="0.2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</row>
    <row r="261" spans="1:30" ht="15.75" customHeight="1" x14ac:dyDescent="0.2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</row>
    <row r="262" spans="1:30" ht="15.75" customHeight="1" x14ac:dyDescent="0.2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</row>
    <row r="263" spans="1:30" ht="15.75" customHeight="1" x14ac:dyDescent="0.2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</row>
    <row r="264" spans="1:30" ht="15.75" customHeight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</row>
    <row r="265" spans="1:30" ht="15.75" customHeight="1" x14ac:dyDescent="0.2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</row>
    <row r="266" spans="1:30" ht="15.75" customHeight="1" x14ac:dyDescent="0.2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</row>
    <row r="267" spans="1:30" ht="15.75" customHeight="1" x14ac:dyDescent="0.2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</row>
    <row r="268" spans="1:30" ht="15.75" customHeight="1" x14ac:dyDescent="0.2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</row>
    <row r="269" spans="1:30" ht="15.75" customHeight="1" x14ac:dyDescent="0.2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</row>
    <row r="270" spans="1:30" ht="15.75" customHeight="1" x14ac:dyDescent="0.2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</row>
    <row r="271" spans="1:30" ht="15.75" customHeight="1" x14ac:dyDescent="0.2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</row>
    <row r="272" spans="1:30" ht="15.75" customHeight="1" x14ac:dyDescent="0.2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</row>
    <row r="273" spans="1:30" ht="15.75" customHeight="1" x14ac:dyDescent="0.2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</row>
    <row r="274" spans="1:30" ht="15.75" customHeight="1" x14ac:dyDescent="0.2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</row>
    <row r="275" spans="1:30" ht="15.75" customHeight="1" x14ac:dyDescent="0.2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</row>
    <row r="276" spans="1:30" ht="15.75" customHeight="1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</row>
    <row r="277" spans="1:30" ht="15.75" customHeight="1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</row>
    <row r="278" spans="1:30" ht="15.75" customHeight="1" x14ac:dyDescent="0.2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</row>
    <row r="279" spans="1:30" ht="15.75" customHeight="1" x14ac:dyDescent="0.2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</row>
    <row r="280" spans="1:30" ht="15.75" customHeight="1" x14ac:dyDescent="0.2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</row>
    <row r="281" spans="1:30" ht="15.75" customHeight="1" x14ac:dyDescent="0.2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</row>
    <row r="282" spans="1:30" ht="15.75" customHeight="1" x14ac:dyDescent="0.2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</row>
    <row r="283" spans="1:30" ht="15.75" customHeight="1" x14ac:dyDescent="0.2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</row>
    <row r="284" spans="1:30" ht="15.75" customHeight="1" x14ac:dyDescent="0.2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</row>
    <row r="285" spans="1:30" ht="15.75" customHeight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</row>
    <row r="286" spans="1:30" ht="15.75" customHeight="1" x14ac:dyDescent="0.2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</row>
    <row r="287" spans="1:30" ht="15.75" customHeight="1" x14ac:dyDescent="0.2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</row>
    <row r="288" spans="1:30" ht="15.75" customHeight="1" x14ac:dyDescent="0.2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</row>
    <row r="289" spans="1:30" ht="15.75" customHeight="1" x14ac:dyDescent="0.2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</row>
    <row r="290" spans="1:30" ht="15.75" customHeight="1" x14ac:dyDescent="0.2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</row>
    <row r="291" spans="1:30" ht="15.75" customHeight="1" x14ac:dyDescent="0.2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</row>
    <row r="292" spans="1:30" ht="15.75" customHeight="1" x14ac:dyDescent="0.2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</row>
    <row r="293" spans="1:30" ht="15.75" customHeight="1" x14ac:dyDescent="0.2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</row>
    <row r="294" spans="1:30" ht="15.75" customHeight="1" x14ac:dyDescent="0.2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</row>
    <row r="295" spans="1:30" ht="15.75" customHeight="1" x14ac:dyDescent="0.2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</row>
    <row r="296" spans="1:30" ht="15.75" customHeight="1" x14ac:dyDescent="0.2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</row>
    <row r="297" spans="1:30" ht="15.75" customHeight="1" x14ac:dyDescent="0.2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</row>
    <row r="298" spans="1:30" ht="15.75" customHeight="1" x14ac:dyDescent="0.2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</row>
    <row r="299" spans="1:30" ht="15.75" customHeight="1" x14ac:dyDescent="0.2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</row>
    <row r="300" spans="1:30" ht="15.75" customHeight="1" x14ac:dyDescent="0.2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</row>
    <row r="301" spans="1:30" ht="15.75" customHeight="1" x14ac:dyDescent="0.2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</row>
    <row r="302" spans="1:30" ht="15.75" customHeight="1" x14ac:dyDescent="0.2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</row>
    <row r="303" spans="1:30" ht="15.75" customHeight="1" x14ac:dyDescent="0.2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</row>
    <row r="304" spans="1:30" ht="15.75" customHeight="1" x14ac:dyDescent="0.2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</row>
    <row r="305" spans="1:30" ht="15.75" customHeight="1" x14ac:dyDescent="0.2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</row>
    <row r="306" spans="1:30" ht="15.75" customHeight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</row>
    <row r="307" spans="1:30" ht="15.75" customHeight="1" x14ac:dyDescent="0.2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</row>
    <row r="308" spans="1:30" ht="15.75" customHeight="1" x14ac:dyDescent="0.2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</row>
    <row r="309" spans="1:30" ht="15.75" customHeight="1" x14ac:dyDescent="0.2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</row>
    <row r="310" spans="1:30" ht="15.75" customHeight="1" x14ac:dyDescent="0.2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</row>
    <row r="311" spans="1:30" ht="15.75" customHeight="1" x14ac:dyDescent="0.2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</row>
    <row r="312" spans="1:30" ht="15.75" customHeight="1" x14ac:dyDescent="0.2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</row>
    <row r="313" spans="1:30" ht="15.75" customHeight="1" x14ac:dyDescent="0.2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</row>
    <row r="314" spans="1:30" ht="15.75" customHeight="1" x14ac:dyDescent="0.2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</row>
    <row r="315" spans="1:30" ht="15.75" customHeight="1" x14ac:dyDescent="0.2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</row>
    <row r="316" spans="1:30" ht="15.75" customHeight="1" x14ac:dyDescent="0.2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</row>
    <row r="317" spans="1:30" ht="15.75" customHeight="1" x14ac:dyDescent="0.2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</row>
    <row r="318" spans="1:30" ht="15.75" customHeight="1" x14ac:dyDescent="0.2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</row>
    <row r="319" spans="1:30" ht="15.75" customHeight="1" x14ac:dyDescent="0.2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</row>
    <row r="320" spans="1:30" ht="15.75" customHeight="1" x14ac:dyDescent="0.2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</row>
    <row r="321" spans="1:30" ht="15.75" customHeight="1" x14ac:dyDescent="0.2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</row>
    <row r="322" spans="1:30" ht="15.75" customHeight="1" x14ac:dyDescent="0.2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</row>
    <row r="323" spans="1:30" ht="15.75" customHeight="1" x14ac:dyDescent="0.2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</row>
    <row r="324" spans="1:30" ht="15.75" customHeight="1" x14ac:dyDescent="0.2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</row>
    <row r="325" spans="1:30" ht="15.75" customHeight="1" x14ac:dyDescent="0.2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</row>
    <row r="326" spans="1:30" ht="15.75" customHeight="1" x14ac:dyDescent="0.2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</row>
    <row r="327" spans="1:30" ht="15.75" customHeight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</row>
    <row r="328" spans="1:30" ht="15.75" customHeight="1" x14ac:dyDescent="0.2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</row>
    <row r="329" spans="1:30" ht="15.75" customHeight="1" x14ac:dyDescent="0.2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</row>
    <row r="330" spans="1:30" ht="15.75" customHeight="1" x14ac:dyDescent="0.2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</row>
    <row r="331" spans="1:30" ht="15.75" customHeight="1" x14ac:dyDescent="0.2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</row>
    <row r="332" spans="1:30" ht="15.75" customHeight="1" x14ac:dyDescent="0.2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</row>
    <row r="333" spans="1:30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</row>
    <row r="334" spans="1:30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</row>
    <row r="335" spans="1:30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</row>
    <row r="336" spans="1:30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</row>
    <row r="337" spans="1:30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</row>
    <row r="338" spans="1:30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</row>
    <row r="339" spans="1:30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</row>
    <row r="340" spans="1:30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</row>
    <row r="341" spans="1:30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</row>
    <row r="342" spans="1:30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</row>
    <row r="343" spans="1:30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</row>
    <row r="345" spans="1:30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  <row r="347" spans="1:30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</row>
    <row r="348" spans="1:30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</row>
    <row r="349" spans="1:30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</row>
    <row r="350" spans="1:30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</row>
    <row r="351" spans="1:30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</row>
    <row r="352" spans="1:30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</row>
    <row r="353" spans="1:30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</row>
    <row r="354" spans="1:30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</row>
    <row r="355" spans="1:30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</row>
    <row r="356" spans="1:30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</row>
    <row r="357" spans="1:30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</row>
    <row r="358" spans="1:30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</row>
    <row r="359" spans="1:30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</row>
    <row r="360" spans="1:30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</row>
    <row r="361" spans="1:30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</row>
    <row r="362" spans="1:30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</row>
    <row r="363" spans="1:30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</row>
    <row r="364" spans="1:30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</row>
    <row r="365" spans="1:30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</row>
    <row r="366" spans="1:30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</row>
    <row r="367" spans="1:30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</row>
    <row r="368" spans="1:30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</row>
    <row r="369" spans="1:30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</row>
    <row r="370" spans="1:30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</row>
    <row r="371" spans="1:30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</row>
    <row r="372" spans="1:30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</row>
    <row r="373" spans="1:30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</row>
    <row r="374" spans="1:30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</row>
    <row r="375" spans="1:30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</row>
    <row r="376" spans="1:30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</row>
    <row r="377" spans="1:30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</row>
    <row r="378" spans="1:30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</row>
    <row r="379" spans="1:30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</row>
    <row r="380" spans="1:30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</row>
    <row r="381" spans="1:30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</row>
    <row r="382" spans="1:30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</row>
    <row r="383" spans="1:30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</row>
    <row r="384" spans="1:30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</row>
    <row r="385" spans="1:30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</row>
    <row r="386" spans="1:30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</row>
    <row r="387" spans="1:30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</row>
    <row r="388" spans="1:30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</row>
    <row r="389" spans="1:30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</row>
    <row r="390" spans="1:30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</row>
    <row r="391" spans="1:30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</row>
    <row r="392" spans="1:30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</row>
    <row r="393" spans="1:30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</row>
    <row r="394" spans="1:30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</row>
    <row r="395" spans="1:30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</row>
    <row r="396" spans="1:30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</row>
    <row r="397" spans="1:30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</row>
    <row r="398" spans="1:30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</row>
    <row r="399" spans="1:30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</row>
    <row r="400" spans="1:30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</row>
    <row r="401" spans="1:30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</row>
    <row r="402" spans="1:30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</row>
    <row r="403" spans="1:30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</row>
    <row r="404" spans="1:30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</row>
    <row r="405" spans="1:30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</row>
    <row r="406" spans="1:30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</row>
    <row r="407" spans="1:30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</row>
    <row r="408" spans="1:30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</row>
    <row r="409" spans="1:30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</row>
    <row r="410" spans="1:30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</row>
    <row r="411" spans="1:30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</row>
    <row r="412" spans="1:30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</row>
    <row r="413" spans="1:30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</row>
    <row r="414" spans="1:30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</row>
    <row r="415" spans="1:30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</row>
    <row r="416" spans="1:30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</row>
    <row r="417" spans="1:30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</row>
    <row r="418" spans="1:30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</row>
    <row r="419" spans="1:30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</row>
    <row r="420" spans="1:30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</row>
    <row r="421" spans="1:30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</row>
    <row r="422" spans="1:30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</row>
    <row r="423" spans="1:30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</row>
    <row r="424" spans="1:30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</row>
    <row r="425" spans="1:30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</row>
    <row r="426" spans="1:30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</row>
    <row r="427" spans="1:30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</row>
    <row r="428" spans="1:30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</row>
    <row r="429" spans="1:30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</row>
    <row r="430" spans="1:30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</row>
    <row r="431" spans="1:30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</row>
    <row r="432" spans="1:30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</row>
    <row r="433" spans="1:30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</row>
    <row r="434" spans="1:30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</row>
    <row r="435" spans="1:30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</row>
    <row r="436" spans="1:30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</row>
    <row r="437" spans="1:30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</row>
    <row r="438" spans="1:30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</row>
    <row r="439" spans="1:30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</row>
    <row r="440" spans="1:30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</row>
    <row r="441" spans="1:30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</row>
    <row r="442" spans="1:30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</row>
    <row r="443" spans="1:30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</row>
    <row r="444" spans="1:30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</row>
    <row r="445" spans="1:30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</row>
    <row r="446" spans="1:30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</row>
    <row r="447" spans="1:30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</row>
    <row r="448" spans="1:30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</row>
    <row r="449" spans="1:30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</row>
    <row r="450" spans="1:30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</row>
    <row r="451" spans="1:30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</row>
    <row r="452" spans="1:30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</row>
    <row r="453" spans="1:30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</row>
    <row r="454" spans="1:30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</row>
    <row r="455" spans="1:30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</row>
    <row r="456" spans="1:30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</row>
    <row r="457" spans="1:30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</row>
    <row r="458" spans="1:30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</row>
    <row r="459" spans="1:30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</row>
    <row r="460" spans="1:30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</row>
    <row r="461" spans="1:30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</row>
    <row r="462" spans="1:30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</row>
    <row r="463" spans="1:30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</row>
    <row r="464" spans="1:30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</row>
    <row r="465" spans="1:30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</row>
    <row r="466" spans="1:30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</row>
    <row r="467" spans="1:30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</row>
    <row r="468" spans="1:30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</row>
    <row r="469" spans="1:30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</row>
    <row r="470" spans="1:30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</row>
    <row r="471" spans="1:30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</row>
    <row r="472" spans="1:30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</row>
    <row r="473" spans="1:30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</row>
    <row r="474" spans="1:30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</row>
    <row r="475" spans="1:30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</row>
    <row r="476" spans="1:30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</row>
    <row r="477" spans="1:30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</row>
    <row r="478" spans="1:30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</row>
    <row r="479" spans="1:30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</row>
    <row r="480" spans="1:30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</row>
    <row r="481" spans="1:30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</row>
    <row r="482" spans="1:30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</row>
    <row r="483" spans="1:30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</row>
    <row r="484" spans="1:30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</row>
    <row r="485" spans="1:30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</row>
    <row r="486" spans="1:30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</row>
    <row r="487" spans="1:30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</row>
    <row r="488" spans="1:30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</row>
    <row r="489" spans="1:30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</row>
    <row r="490" spans="1:30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</row>
    <row r="491" spans="1:30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</row>
    <row r="492" spans="1:30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</row>
    <row r="493" spans="1:30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</row>
    <row r="494" spans="1:30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</row>
    <row r="495" spans="1:30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</row>
    <row r="496" spans="1:30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</row>
    <row r="497" spans="1:30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</row>
    <row r="498" spans="1:30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</row>
    <row r="499" spans="1:30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</row>
    <row r="500" spans="1:30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</row>
    <row r="501" spans="1:30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</row>
    <row r="502" spans="1:30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</row>
    <row r="503" spans="1:30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</row>
    <row r="504" spans="1:30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</row>
    <row r="505" spans="1:30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</row>
    <row r="506" spans="1:30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</row>
    <row r="507" spans="1:30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</row>
    <row r="508" spans="1:30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</row>
    <row r="509" spans="1:30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</row>
    <row r="510" spans="1:30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</row>
    <row r="511" spans="1:30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</row>
    <row r="512" spans="1:30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</row>
    <row r="513" spans="1:30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</row>
    <row r="514" spans="1:30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</row>
    <row r="515" spans="1:30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</row>
    <row r="516" spans="1:30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</row>
    <row r="517" spans="1:30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</row>
    <row r="518" spans="1:30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</row>
    <row r="519" spans="1:30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</row>
    <row r="520" spans="1:30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</row>
    <row r="521" spans="1:30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</row>
    <row r="522" spans="1:30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</row>
    <row r="523" spans="1:30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</row>
    <row r="524" spans="1:30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</row>
    <row r="525" spans="1:30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</row>
    <row r="526" spans="1:30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</row>
    <row r="527" spans="1:30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</row>
    <row r="528" spans="1:30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</row>
    <row r="529" spans="1:30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</row>
    <row r="530" spans="1:30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</row>
    <row r="531" spans="1:30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</row>
    <row r="532" spans="1:30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</row>
    <row r="533" spans="1:30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</row>
    <row r="534" spans="1:30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</row>
    <row r="535" spans="1:30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</row>
    <row r="536" spans="1:30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</row>
    <row r="537" spans="1:30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</row>
    <row r="538" spans="1:30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</row>
    <row r="539" spans="1:30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</row>
    <row r="540" spans="1:30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</row>
    <row r="541" spans="1:30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</row>
    <row r="542" spans="1:30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</row>
    <row r="543" spans="1:30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</row>
    <row r="544" spans="1:30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</row>
    <row r="545" spans="1:30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 spans="1:30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</row>
    <row r="547" spans="1:30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</row>
    <row r="548" spans="1:30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</row>
    <row r="549" spans="1:30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</row>
    <row r="550" spans="1:30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</row>
    <row r="551" spans="1:30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</row>
    <row r="552" spans="1:30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</row>
    <row r="553" spans="1:30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</row>
    <row r="554" spans="1:30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</row>
    <row r="555" spans="1:30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</row>
    <row r="556" spans="1:30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</row>
    <row r="557" spans="1:30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</row>
    <row r="558" spans="1:30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</row>
    <row r="559" spans="1:30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</row>
    <row r="560" spans="1:30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</row>
    <row r="561" spans="1:30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</row>
    <row r="562" spans="1:30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</row>
    <row r="563" spans="1:30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</row>
    <row r="564" spans="1:30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</row>
    <row r="565" spans="1:30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</row>
    <row r="566" spans="1:30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</row>
    <row r="567" spans="1:30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</row>
    <row r="568" spans="1:30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</row>
    <row r="569" spans="1:30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</row>
    <row r="570" spans="1:30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</row>
    <row r="571" spans="1:30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</row>
    <row r="572" spans="1:30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</row>
    <row r="573" spans="1:30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</row>
    <row r="574" spans="1:30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</row>
    <row r="575" spans="1:30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</row>
    <row r="576" spans="1:30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</row>
    <row r="577" spans="1:30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</row>
    <row r="578" spans="1:30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</row>
    <row r="579" spans="1:30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</row>
    <row r="580" spans="1:30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</row>
    <row r="581" spans="1:30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</row>
    <row r="582" spans="1:30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</row>
    <row r="583" spans="1:30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</row>
    <row r="584" spans="1:30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</row>
    <row r="585" spans="1:30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</row>
    <row r="586" spans="1:30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</row>
    <row r="587" spans="1:30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</row>
    <row r="588" spans="1:30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</row>
    <row r="589" spans="1:30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</row>
    <row r="590" spans="1:30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</row>
    <row r="591" spans="1:30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</row>
    <row r="592" spans="1:30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</row>
    <row r="593" spans="1:30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</row>
    <row r="594" spans="1:30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</row>
    <row r="595" spans="1:30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</row>
    <row r="596" spans="1:30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</row>
    <row r="597" spans="1:30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</row>
    <row r="598" spans="1:30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</row>
    <row r="599" spans="1:30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</row>
    <row r="600" spans="1:30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</row>
    <row r="601" spans="1:30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</row>
    <row r="602" spans="1:30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</row>
    <row r="603" spans="1:30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</row>
    <row r="604" spans="1:30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</row>
    <row r="605" spans="1:30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</row>
    <row r="606" spans="1:30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</row>
    <row r="607" spans="1:30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</row>
    <row r="608" spans="1:30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</row>
    <row r="609" spans="1:30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</row>
    <row r="610" spans="1:30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</row>
    <row r="611" spans="1:30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</row>
    <row r="612" spans="1:30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</row>
    <row r="613" spans="1:30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</row>
    <row r="614" spans="1:30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</row>
    <row r="615" spans="1:30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</row>
    <row r="616" spans="1:30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</row>
    <row r="617" spans="1:30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</row>
    <row r="618" spans="1:30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</row>
    <row r="619" spans="1:30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</row>
    <row r="620" spans="1:30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</row>
    <row r="621" spans="1:30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</row>
    <row r="622" spans="1:30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</row>
    <row r="623" spans="1:30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</row>
    <row r="624" spans="1:30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</row>
    <row r="625" spans="1:30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</row>
    <row r="626" spans="1:30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</row>
    <row r="627" spans="1:30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</row>
    <row r="628" spans="1:30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</row>
    <row r="629" spans="1:30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</row>
    <row r="630" spans="1:30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</row>
    <row r="631" spans="1:30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</row>
    <row r="632" spans="1:30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</row>
    <row r="633" spans="1:30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</row>
    <row r="634" spans="1:30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</row>
    <row r="635" spans="1:30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</row>
    <row r="636" spans="1:30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</row>
    <row r="637" spans="1:30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</row>
    <row r="638" spans="1:30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</row>
    <row r="639" spans="1:30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</row>
    <row r="640" spans="1:30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</row>
    <row r="641" spans="1:30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</row>
    <row r="642" spans="1:30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</row>
    <row r="643" spans="1:30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</row>
    <row r="644" spans="1:30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</row>
    <row r="645" spans="1:30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</row>
    <row r="646" spans="1:30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</row>
    <row r="647" spans="1:30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</row>
    <row r="648" spans="1:30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</row>
    <row r="649" spans="1:30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</row>
    <row r="650" spans="1:30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</row>
    <row r="651" spans="1:30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</row>
    <row r="652" spans="1:30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</row>
    <row r="653" spans="1:30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</row>
    <row r="654" spans="1:30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</row>
    <row r="655" spans="1:30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</row>
    <row r="656" spans="1:30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</row>
    <row r="657" spans="1:30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</row>
    <row r="658" spans="1:30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</row>
    <row r="659" spans="1:30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</row>
    <row r="660" spans="1:30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</row>
    <row r="661" spans="1:30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</row>
    <row r="662" spans="1:30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</row>
    <row r="663" spans="1:30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</row>
    <row r="664" spans="1:30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</row>
    <row r="665" spans="1:30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</row>
    <row r="666" spans="1:30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</row>
    <row r="667" spans="1:30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</row>
    <row r="668" spans="1:30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</row>
    <row r="669" spans="1:30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</row>
    <row r="670" spans="1:30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</row>
    <row r="671" spans="1:30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</row>
    <row r="672" spans="1:30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</row>
    <row r="673" spans="1:30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</row>
    <row r="674" spans="1:30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</row>
    <row r="675" spans="1:30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</row>
    <row r="676" spans="1:30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</row>
    <row r="677" spans="1:30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</row>
    <row r="678" spans="1:30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</row>
    <row r="679" spans="1:30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</row>
    <row r="680" spans="1:30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</row>
    <row r="681" spans="1:30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</row>
    <row r="682" spans="1:30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</row>
    <row r="683" spans="1:30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</row>
    <row r="684" spans="1:30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</row>
    <row r="685" spans="1:30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</row>
    <row r="686" spans="1:30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</row>
    <row r="687" spans="1:30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</row>
    <row r="688" spans="1:30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</row>
    <row r="689" spans="1:30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</row>
    <row r="690" spans="1:30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</row>
    <row r="691" spans="1:30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</row>
    <row r="692" spans="1:30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</row>
    <row r="693" spans="1:30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</row>
    <row r="694" spans="1:30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</row>
    <row r="695" spans="1:30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</row>
    <row r="696" spans="1:30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</row>
    <row r="697" spans="1:30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</row>
    <row r="698" spans="1:30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</row>
    <row r="699" spans="1:30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</row>
    <row r="700" spans="1:30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</row>
    <row r="701" spans="1:30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</row>
    <row r="702" spans="1:30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</row>
    <row r="703" spans="1:30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</row>
    <row r="704" spans="1:30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</row>
    <row r="705" spans="1:30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</row>
    <row r="706" spans="1:30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</row>
    <row r="707" spans="1:30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</row>
    <row r="708" spans="1:30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</row>
    <row r="709" spans="1:30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</row>
    <row r="710" spans="1:30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</row>
    <row r="711" spans="1:30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</row>
    <row r="712" spans="1:30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</row>
    <row r="713" spans="1:30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</row>
    <row r="714" spans="1:30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</row>
    <row r="715" spans="1:30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</row>
    <row r="716" spans="1:30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</row>
    <row r="717" spans="1:30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</row>
    <row r="718" spans="1:30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</row>
    <row r="719" spans="1:30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</row>
    <row r="720" spans="1:30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</row>
    <row r="721" spans="1:30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</row>
    <row r="722" spans="1:30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</row>
    <row r="723" spans="1:30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</row>
    <row r="724" spans="1:30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</row>
    <row r="725" spans="1:30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</row>
    <row r="726" spans="1:30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</row>
    <row r="727" spans="1:30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</row>
    <row r="728" spans="1:30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</row>
    <row r="729" spans="1:30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</row>
    <row r="730" spans="1:30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</row>
    <row r="731" spans="1:30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</row>
    <row r="732" spans="1:30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</row>
    <row r="733" spans="1:30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</row>
    <row r="734" spans="1:30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</row>
    <row r="735" spans="1:30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</row>
    <row r="736" spans="1:30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</row>
    <row r="737" spans="1:30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</row>
    <row r="738" spans="1:30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</row>
    <row r="739" spans="1:30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</row>
    <row r="740" spans="1:30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</row>
    <row r="741" spans="1:30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</row>
    <row r="742" spans="1:30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</row>
    <row r="743" spans="1:30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</row>
    <row r="744" spans="1:30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</row>
    <row r="745" spans="1:30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</row>
    <row r="746" spans="1:30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</row>
    <row r="747" spans="1:30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</row>
    <row r="748" spans="1:30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</row>
    <row r="749" spans="1:30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</row>
    <row r="750" spans="1:30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</row>
    <row r="751" spans="1:30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</row>
    <row r="752" spans="1:30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</row>
    <row r="753" spans="1:30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</row>
    <row r="754" spans="1:30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</row>
    <row r="755" spans="1:30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</row>
    <row r="756" spans="1:30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</row>
    <row r="757" spans="1:30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</row>
    <row r="758" spans="1:30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</row>
    <row r="759" spans="1:30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</row>
    <row r="760" spans="1:30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</row>
    <row r="761" spans="1:30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</row>
    <row r="762" spans="1:30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</row>
    <row r="763" spans="1:30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</row>
    <row r="764" spans="1:30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</row>
    <row r="765" spans="1:30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</row>
    <row r="766" spans="1:30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</row>
    <row r="767" spans="1:30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</row>
    <row r="768" spans="1:30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</row>
    <row r="769" spans="1:30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</row>
    <row r="770" spans="1:30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</row>
    <row r="771" spans="1:30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</row>
    <row r="772" spans="1:30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</row>
    <row r="773" spans="1:30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</row>
    <row r="774" spans="1:30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</row>
    <row r="775" spans="1:30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</row>
    <row r="776" spans="1:30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</row>
    <row r="777" spans="1:30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</row>
    <row r="778" spans="1:30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</row>
    <row r="779" spans="1:30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</row>
    <row r="780" spans="1:30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</row>
    <row r="781" spans="1:30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</row>
    <row r="782" spans="1:30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</row>
    <row r="783" spans="1:30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</row>
    <row r="784" spans="1:30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</row>
    <row r="785" spans="1:30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</row>
    <row r="786" spans="1:30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</row>
    <row r="787" spans="1:30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</row>
    <row r="788" spans="1:30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</row>
    <row r="789" spans="1:30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</row>
    <row r="790" spans="1:30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</row>
    <row r="791" spans="1:30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</row>
    <row r="792" spans="1:30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</row>
    <row r="793" spans="1:30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</row>
    <row r="794" spans="1:30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</row>
    <row r="795" spans="1:30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</row>
    <row r="796" spans="1:30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</row>
    <row r="797" spans="1:30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</row>
    <row r="798" spans="1:30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</row>
    <row r="799" spans="1:30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</row>
    <row r="800" spans="1:30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</row>
    <row r="801" spans="1:30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</row>
    <row r="802" spans="1:30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</row>
    <row r="803" spans="1:30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</row>
    <row r="804" spans="1:30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</row>
    <row r="805" spans="1:30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</row>
    <row r="806" spans="1:30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</row>
    <row r="807" spans="1:30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</row>
    <row r="808" spans="1:30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</row>
    <row r="809" spans="1:30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</row>
    <row r="810" spans="1:30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</row>
    <row r="811" spans="1:30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</row>
    <row r="812" spans="1:30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</row>
    <row r="813" spans="1:30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</row>
    <row r="814" spans="1:30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</row>
    <row r="815" spans="1:30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</row>
    <row r="816" spans="1:30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</row>
    <row r="817" spans="1:30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</row>
    <row r="818" spans="1:30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</row>
    <row r="819" spans="1:30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</row>
    <row r="820" spans="1:30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</row>
    <row r="821" spans="1:30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</row>
    <row r="822" spans="1:30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</row>
    <row r="823" spans="1:30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</row>
    <row r="824" spans="1:30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</row>
    <row r="825" spans="1:30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</row>
    <row r="826" spans="1:30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</row>
    <row r="827" spans="1:30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</row>
    <row r="828" spans="1:30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</row>
    <row r="829" spans="1:30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</row>
    <row r="830" spans="1:30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</row>
    <row r="831" spans="1:30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</row>
    <row r="832" spans="1:30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</row>
    <row r="833" spans="1:30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</row>
    <row r="834" spans="1:30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</row>
    <row r="835" spans="1:30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</row>
    <row r="836" spans="1:30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</row>
    <row r="837" spans="1:30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</row>
    <row r="838" spans="1:30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</row>
    <row r="839" spans="1:30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</row>
    <row r="840" spans="1:30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</row>
    <row r="841" spans="1:30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</row>
    <row r="842" spans="1:30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</row>
    <row r="843" spans="1:30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</row>
    <row r="844" spans="1:30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</row>
    <row r="845" spans="1:30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</row>
    <row r="846" spans="1:30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</row>
    <row r="847" spans="1:30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</row>
    <row r="848" spans="1:30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</row>
    <row r="849" spans="1:30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</row>
    <row r="850" spans="1:30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</row>
    <row r="851" spans="1:30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</row>
    <row r="852" spans="1:30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</row>
    <row r="853" spans="1:30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</row>
    <row r="854" spans="1:30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</row>
    <row r="855" spans="1:30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</row>
    <row r="856" spans="1:30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</row>
    <row r="857" spans="1:30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</row>
    <row r="858" spans="1:30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</row>
    <row r="859" spans="1:30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</row>
    <row r="860" spans="1:30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</row>
    <row r="861" spans="1:30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</row>
    <row r="862" spans="1:30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</row>
    <row r="863" spans="1:30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</row>
    <row r="864" spans="1:30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</row>
    <row r="865" spans="1:30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</row>
    <row r="866" spans="1:30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</row>
    <row r="867" spans="1:30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</row>
    <row r="868" spans="1:30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</row>
    <row r="869" spans="1:30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</row>
    <row r="870" spans="1:30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</row>
    <row r="871" spans="1:30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</row>
    <row r="872" spans="1:30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</row>
    <row r="873" spans="1:30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</row>
    <row r="874" spans="1:30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</row>
    <row r="875" spans="1:30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</row>
    <row r="876" spans="1:30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</row>
    <row r="877" spans="1:30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</row>
    <row r="878" spans="1:30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</row>
    <row r="879" spans="1:30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</row>
    <row r="880" spans="1:30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</row>
    <row r="881" spans="1:30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</row>
    <row r="882" spans="1:30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</row>
    <row r="883" spans="1:30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</row>
    <row r="884" spans="1:30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</row>
    <row r="885" spans="1:30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</row>
    <row r="886" spans="1:30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</row>
    <row r="887" spans="1:30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</row>
    <row r="888" spans="1:30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</row>
    <row r="889" spans="1:30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</row>
    <row r="890" spans="1:30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</row>
    <row r="891" spans="1:30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</row>
    <row r="892" spans="1:30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</row>
    <row r="893" spans="1:30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</row>
    <row r="894" spans="1:30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</row>
    <row r="895" spans="1:30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</row>
    <row r="896" spans="1:30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</row>
    <row r="897" spans="1:30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</row>
    <row r="898" spans="1:30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</row>
    <row r="899" spans="1:30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</row>
    <row r="900" spans="1:30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</row>
    <row r="901" spans="1:30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</row>
    <row r="902" spans="1:30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</row>
    <row r="903" spans="1:30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</row>
    <row r="904" spans="1:30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</row>
    <row r="905" spans="1:30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</row>
    <row r="906" spans="1:30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</row>
    <row r="907" spans="1:30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</row>
    <row r="908" spans="1:30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</row>
    <row r="909" spans="1:30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</row>
    <row r="910" spans="1:30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</row>
    <row r="911" spans="1:30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</row>
    <row r="912" spans="1:30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</row>
    <row r="913" spans="1:30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</row>
    <row r="914" spans="1:30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</row>
    <row r="915" spans="1:30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</row>
    <row r="916" spans="1:30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</row>
    <row r="917" spans="1:30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</row>
    <row r="918" spans="1:30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</row>
    <row r="919" spans="1:30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</row>
    <row r="920" spans="1:30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</row>
    <row r="921" spans="1:30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</row>
    <row r="922" spans="1:30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</row>
    <row r="923" spans="1:30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</row>
    <row r="924" spans="1:30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</row>
    <row r="925" spans="1:30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</row>
    <row r="926" spans="1:30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</row>
    <row r="927" spans="1:30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</row>
    <row r="928" spans="1:30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</row>
    <row r="929" spans="1:30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</row>
    <row r="930" spans="1:30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</row>
    <row r="931" spans="1:30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</row>
    <row r="932" spans="1:30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</row>
    <row r="933" spans="1:30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</row>
    <row r="934" spans="1:30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</row>
    <row r="935" spans="1:30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</row>
    <row r="936" spans="1:30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</row>
    <row r="937" spans="1:30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</row>
    <row r="938" spans="1:30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</row>
    <row r="939" spans="1:30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</row>
    <row r="940" spans="1:30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</row>
    <row r="941" spans="1:30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</row>
    <row r="942" spans="1:30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</row>
    <row r="943" spans="1:30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</row>
    <row r="944" spans="1:30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</row>
    <row r="945" spans="1:30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</row>
    <row r="946" spans="1:30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</row>
    <row r="947" spans="1:30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</row>
    <row r="948" spans="1:30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</row>
    <row r="949" spans="1:30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</row>
    <row r="950" spans="1:30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</row>
    <row r="951" spans="1:30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</row>
    <row r="952" spans="1:30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</row>
    <row r="953" spans="1:30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</row>
    <row r="954" spans="1:30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</row>
    <row r="955" spans="1:30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</row>
    <row r="956" spans="1:30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</row>
    <row r="957" spans="1:30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</row>
    <row r="958" spans="1:30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</row>
    <row r="959" spans="1:30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</row>
    <row r="960" spans="1:30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</row>
    <row r="961" spans="1:30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</row>
    <row r="962" spans="1:30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</row>
    <row r="963" spans="1:30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</row>
    <row r="964" spans="1:30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</row>
    <row r="965" spans="1:30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</row>
    <row r="966" spans="1:30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</row>
    <row r="967" spans="1:30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</row>
    <row r="968" spans="1:30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</row>
    <row r="969" spans="1:30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</row>
    <row r="970" spans="1:30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</row>
    <row r="971" spans="1:30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</row>
    <row r="972" spans="1:30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</row>
    <row r="973" spans="1:30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</row>
    <row r="974" spans="1:30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</row>
    <row r="975" spans="1:30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</row>
    <row r="976" spans="1:30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</row>
    <row r="977" spans="1:30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</row>
    <row r="978" spans="1:30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</row>
    <row r="979" spans="1:30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</row>
    <row r="980" spans="1:30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</row>
    <row r="981" spans="1:30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</row>
    <row r="982" spans="1:30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</row>
    <row r="983" spans="1:30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</row>
    <row r="984" spans="1:30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</row>
    <row r="985" spans="1:30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</row>
    <row r="986" spans="1:30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</row>
    <row r="987" spans="1:30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</row>
    <row r="988" spans="1:30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</row>
    <row r="989" spans="1:30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</row>
    <row r="990" spans="1:30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</row>
    <row r="991" spans="1:30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</row>
    <row r="992" spans="1:30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</row>
    <row r="993" spans="1:30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</row>
    <row r="994" spans="1:30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</row>
    <row r="995" spans="1:30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</row>
    <row r="996" spans="1:30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</row>
    <row r="997" spans="1:30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</row>
    <row r="998" spans="1:30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</row>
    <row r="999" spans="1:30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</row>
    <row r="1000" spans="1:30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000"/>
  <sheetViews>
    <sheetView workbookViewId="0">
      <selection activeCell="A2" sqref="A2:C2"/>
    </sheetView>
  </sheetViews>
  <sheetFormatPr baseColWidth="10" defaultColWidth="12.6640625" defaultRowHeight="15" customHeight="1" x14ac:dyDescent="0.15"/>
  <cols>
    <col min="1" max="1" width="24.83203125" customWidth="1"/>
    <col min="2" max="2" width="17.1640625" customWidth="1"/>
    <col min="3" max="3" width="27.1640625" customWidth="1"/>
    <col min="4" max="4" width="36" customWidth="1"/>
    <col min="5" max="6" width="12.6640625" customWidth="1"/>
  </cols>
  <sheetData>
    <row r="1" spans="1:4" ht="15.75" customHeight="1" x14ac:dyDescent="0.2">
      <c r="A1" s="117" t="s">
        <v>284</v>
      </c>
      <c r="B1" s="28"/>
      <c r="C1" s="28"/>
    </row>
    <row r="2" spans="1:4" ht="15.75" customHeight="1" x14ac:dyDescent="0.2">
      <c r="A2" s="168" t="s">
        <v>86</v>
      </c>
      <c r="B2" s="168"/>
      <c r="C2" s="168"/>
      <c r="D2" s="28"/>
    </row>
    <row r="3" spans="1:4" ht="15.75" customHeight="1" x14ac:dyDescent="0.2">
      <c r="A3" s="56" t="s">
        <v>16</v>
      </c>
      <c r="B3" s="56" t="s">
        <v>18</v>
      </c>
      <c r="C3" s="56" t="s">
        <v>21</v>
      </c>
      <c r="D3" s="28"/>
    </row>
    <row r="4" spans="1:4" ht="15.75" customHeight="1" x14ac:dyDescent="0.2">
      <c r="A4" s="40">
        <v>0.78646255899999995</v>
      </c>
      <c r="B4" s="40">
        <v>0.51500229200000003</v>
      </c>
      <c r="C4" s="40">
        <v>0.71142157500000003</v>
      </c>
      <c r="D4" s="28"/>
    </row>
    <row r="5" spans="1:4" ht="15.75" customHeight="1" x14ac:dyDescent="0.2">
      <c r="A5" s="40">
        <v>1.939747498</v>
      </c>
      <c r="B5" s="40">
        <v>1.234863472</v>
      </c>
      <c r="C5" s="40">
        <v>0.10083766700000001</v>
      </c>
      <c r="D5" s="28"/>
    </row>
    <row r="6" spans="1:4" ht="15.75" customHeight="1" x14ac:dyDescent="0.2">
      <c r="A6" s="40">
        <v>0.378321297</v>
      </c>
      <c r="B6" s="40">
        <v>0.56310384899999999</v>
      </c>
      <c r="C6" s="40">
        <v>0.36614086699999998</v>
      </c>
      <c r="D6" s="28"/>
    </row>
    <row r="7" spans="1:4" ht="15.75" customHeight="1" x14ac:dyDescent="0.2">
      <c r="A7" s="40">
        <v>0.56188130400000003</v>
      </c>
      <c r="B7" s="40">
        <v>1.955581668</v>
      </c>
      <c r="C7" s="40">
        <v>0.532219569</v>
      </c>
      <c r="D7" s="28"/>
    </row>
    <row r="8" spans="1:4" ht="15.75" customHeight="1" x14ac:dyDescent="0.2">
      <c r="A8" s="40">
        <v>0.431146431</v>
      </c>
      <c r="B8" s="40">
        <v>1.0172234410000001</v>
      </c>
      <c r="C8" s="40">
        <v>0.116308408</v>
      </c>
      <c r="D8" s="28"/>
    </row>
    <row r="9" spans="1:4" ht="15.75" customHeight="1" x14ac:dyDescent="0.2">
      <c r="A9" s="40">
        <v>0.58974297499999995</v>
      </c>
      <c r="B9" s="40">
        <v>0.61712918699999997</v>
      </c>
      <c r="C9" s="40">
        <v>0.11329650300000001</v>
      </c>
      <c r="D9" s="28"/>
    </row>
    <row r="10" spans="1:4" ht="15.75" customHeight="1" x14ac:dyDescent="0.2">
      <c r="A10" s="40">
        <v>2.3126979360000002</v>
      </c>
      <c r="B10" s="40">
        <v>0.46905585900000002</v>
      </c>
      <c r="C10" s="40">
        <v>0.122065479</v>
      </c>
      <c r="D10" s="28"/>
    </row>
    <row r="11" spans="1:4" ht="15.75" customHeight="1" x14ac:dyDescent="0.2">
      <c r="A11" s="40"/>
      <c r="B11" s="40"/>
      <c r="C11" s="40">
        <v>0.29043204099999997</v>
      </c>
      <c r="D11" s="28"/>
    </row>
    <row r="12" spans="1:4" ht="15.75" customHeight="1" x14ac:dyDescent="0.2">
      <c r="A12" s="40"/>
      <c r="B12" s="40"/>
      <c r="C12" s="40">
        <v>0.99580668900000002</v>
      </c>
      <c r="D12" s="28"/>
    </row>
    <row r="13" spans="1:4" ht="15.75" customHeight="1" x14ac:dyDescent="0.2">
      <c r="A13" s="40"/>
      <c r="B13" s="40"/>
      <c r="C13" s="40">
        <v>9.5591840999999997E-2</v>
      </c>
      <c r="D13" s="28"/>
    </row>
    <row r="14" spans="1:4" ht="15.75" customHeight="1" x14ac:dyDescent="0.2">
      <c r="D14" s="28"/>
    </row>
    <row r="15" spans="1:4" ht="15.75" customHeight="1" x14ac:dyDescent="0.2">
      <c r="A15" s="28"/>
      <c r="B15" s="28"/>
      <c r="C15" s="28"/>
      <c r="D15" s="28"/>
    </row>
    <row r="16" spans="1:4" ht="15.75" customHeight="1" x14ac:dyDescent="0.2">
      <c r="A16" s="117" t="s">
        <v>283</v>
      </c>
      <c r="B16" s="28"/>
      <c r="C16" s="28"/>
      <c r="D16" s="28"/>
    </row>
    <row r="17" spans="1:4" ht="15.75" customHeight="1" x14ac:dyDescent="0.2">
      <c r="A17" s="168" t="s">
        <v>87</v>
      </c>
      <c r="B17" s="169"/>
      <c r="C17" s="170"/>
      <c r="D17" s="28"/>
    </row>
    <row r="18" spans="1:4" ht="15.75" customHeight="1" x14ac:dyDescent="0.2">
      <c r="A18" s="56" t="s">
        <v>18</v>
      </c>
      <c r="B18" s="56" t="s">
        <v>88</v>
      </c>
      <c r="C18" s="56" t="s">
        <v>48</v>
      </c>
      <c r="D18" s="28"/>
    </row>
    <row r="19" spans="1:4" ht="15.75" customHeight="1" x14ac:dyDescent="0.2">
      <c r="A19" s="40">
        <v>0.96961545950000005</v>
      </c>
      <c r="B19" s="40">
        <v>1.6093202419999999</v>
      </c>
      <c r="C19" s="40">
        <v>0.13494330139999999</v>
      </c>
      <c r="D19" s="28"/>
    </row>
    <row r="20" spans="1:4" ht="15.75" customHeight="1" x14ac:dyDescent="0.2">
      <c r="A20" s="40">
        <v>1.4388439449999999</v>
      </c>
      <c r="B20" s="40">
        <v>0.85843736159999995</v>
      </c>
      <c r="C20" s="40">
        <v>0.18045853370000001</v>
      </c>
      <c r="D20" s="28"/>
    </row>
    <row r="21" spans="1:4" ht="15.75" customHeight="1" x14ac:dyDescent="0.2">
      <c r="A21" s="40">
        <v>0.79027357819999999</v>
      </c>
      <c r="B21" s="40">
        <v>0.94046844220000003</v>
      </c>
      <c r="C21" s="40">
        <v>0.40823250049999998</v>
      </c>
      <c r="D21" s="28"/>
    </row>
    <row r="22" spans="1:4" ht="15.75" customHeight="1" x14ac:dyDescent="0.2">
      <c r="A22" s="40">
        <v>0.84081086049999998</v>
      </c>
      <c r="B22" s="40">
        <v>0.59177395440000002</v>
      </c>
      <c r="C22" s="40">
        <v>0.48073409249999999</v>
      </c>
      <c r="D22" s="28"/>
    </row>
    <row r="23" spans="1:4" ht="15.75" customHeight="1" x14ac:dyDescent="0.2">
      <c r="A23" s="28"/>
      <c r="B23" s="28"/>
      <c r="C23" s="28"/>
      <c r="D23" s="28"/>
    </row>
    <row r="24" spans="1:4" ht="15.75" customHeight="1" x14ac:dyDescent="0.2">
      <c r="A24" s="28"/>
      <c r="B24" s="28"/>
      <c r="C24" s="28"/>
      <c r="D24" s="28"/>
    </row>
    <row r="25" spans="1:4" ht="15.75" customHeight="1" x14ac:dyDescent="0.2">
      <c r="A25" s="28"/>
      <c r="B25" s="28"/>
      <c r="C25" s="28"/>
      <c r="D25" s="28"/>
    </row>
    <row r="26" spans="1:4" ht="15.75" customHeight="1" x14ac:dyDescent="0.2">
      <c r="A26" s="28"/>
      <c r="B26" s="28"/>
      <c r="C26" s="28"/>
      <c r="D26" s="28"/>
    </row>
    <row r="27" spans="1:4" ht="15.75" customHeight="1" x14ac:dyDescent="0.2">
      <c r="A27" s="28"/>
      <c r="B27" s="28"/>
      <c r="C27" s="28"/>
      <c r="D27" s="28"/>
    </row>
    <row r="28" spans="1:4" ht="15.75" customHeight="1" x14ac:dyDescent="0.2">
      <c r="A28" s="118" t="s">
        <v>305</v>
      </c>
      <c r="B28" s="28"/>
      <c r="C28" s="28"/>
      <c r="D28" s="28"/>
    </row>
    <row r="29" spans="1:4" ht="15.75" customHeight="1" x14ac:dyDescent="0.2">
      <c r="A29" s="32" t="s">
        <v>12</v>
      </c>
      <c r="B29" s="32" t="s">
        <v>89</v>
      </c>
      <c r="C29" s="32" t="s">
        <v>90</v>
      </c>
      <c r="D29" s="28"/>
    </row>
    <row r="30" spans="1:4" ht="15.75" customHeight="1" x14ac:dyDescent="0.2">
      <c r="A30" s="28" t="s">
        <v>18</v>
      </c>
      <c r="B30" s="40">
        <v>7.8601455259598815E-2</v>
      </c>
      <c r="C30" s="28">
        <v>0.96961545947412442</v>
      </c>
      <c r="D30" s="28"/>
    </row>
    <row r="31" spans="1:4" ht="15.75" customHeight="1" x14ac:dyDescent="0.2">
      <c r="A31" s="28" t="s">
        <v>18</v>
      </c>
      <c r="B31" s="40">
        <v>0.11663925821399075</v>
      </c>
      <c r="C31" s="28">
        <v>1.4388439447126964</v>
      </c>
      <c r="D31" s="28"/>
    </row>
    <row r="32" spans="1:4" ht="15.75" customHeight="1" x14ac:dyDescent="0.2">
      <c r="A32" s="28" t="s">
        <v>18</v>
      </c>
      <c r="B32" s="40">
        <v>6.4063183699045345E-2</v>
      </c>
      <c r="C32" s="28">
        <v>0.79027357817448807</v>
      </c>
      <c r="D32" s="28"/>
    </row>
    <row r="33" spans="1:4" ht="15.75" customHeight="1" x14ac:dyDescent="0.2">
      <c r="A33" s="28" t="s">
        <v>18</v>
      </c>
      <c r="B33" s="40">
        <v>6.8159966500000002E-2</v>
      </c>
      <c r="C33" s="28">
        <v>0.84081086052878951</v>
      </c>
      <c r="D33" s="28"/>
    </row>
    <row r="34" spans="1:4" ht="15.75" customHeight="1" x14ac:dyDescent="0.2">
      <c r="A34" s="28" t="s">
        <v>91</v>
      </c>
      <c r="B34" s="40">
        <v>0.13045884505171834</v>
      </c>
      <c r="C34" s="28">
        <v>1.6093202418391346</v>
      </c>
      <c r="D34" s="28"/>
    </row>
    <row r="35" spans="1:4" ht="15.75" customHeight="1" x14ac:dyDescent="0.2">
      <c r="A35" s="28" t="s">
        <v>91</v>
      </c>
      <c r="B35" s="40">
        <v>6.9588851139292945E-2</v>
      </c>
      <c r="C35" s="28">
        <v>0.85843736160930673</v>
      </c>
      <c r="D35" s="28"/>
    </row>
    <row r="36" spans="1:4" ht="15.75" customHeight="1" x14ac:dyDescent="0.2">
      <c r="A36" s="28" t="s">
        <v>91</v>
      </c>
      <c r="B36" s="40">
        <v>7.6238664985012694E-2</v>
      </c>
      <c r="C36" s="28">
        <v>0.94046844215533199</v>
      </c>
      <c r="D36" s="28"/>
    </row>
    <row r="37" spans="1:4" ht="15.75" customHeight="1" x14ac:dyDescent="0.2">
      <c r="A37" s="28" t="s">
        <v>91</v>
      </c>
      <c r="B37" s="40">
        <v>4.7971898081635475E-2</v>
      </c>
      <c r="C37" s="28">
        <v>0.59177395439622626</v>
      </c>
      <c r="D37" s="28"/>
    </row>
    <row r="38" spans="1:4" ht="15.75" customHeight="1" x14ac:dyDescent="0.2">
      <c r="A38" s="28" t="s">
        <v>48</v>
      </c>
      <c r="B38" s="40">
        <v>1.093912E-2</v>
      </c>
      <c r="C38" s="28">
        <v>0.1349433013677859</v>
      </c>
      <c r="D38" s="28"/>
    </row>
    <row r="39" spans="1:4" ht="15.75" customHeight="1" x14ac:dyDescent="0.2">
      <c r="A39" s="28" t="s">
        <v>92</v>
      </c>
      <c r="B39" s="40">
        <v>1.4628792500000001E-2</v>
      </c>
      <c r="C39" s="28">
        <v>0.18045853368226206</v>
      </c>
      <c r="D39" s="28"/>
    </row>
    <row r="40" spans="1:4" ht="15.75" customHeight="1" x14ac:dyDescent="0.2">
      <c r="A40" s="28" t="s">
        <v>48</v>
      </c>
      <c r="B40" s="40">
        <v>3.3093190000000001E-2</v>
      </c>
      <c r="C40" s="28">
        <v>0.40823250054770394</v>
      </c>
      <c r="D40" s="28"/>
    </row>
    <row r="41" spans="1:4" ht="15.75" customHeight="1" x14ac:dyDescent="0.2">
      <c r="A41" s="28" t="s">
        <v>48</v>
      </c>
      <c r="B41" s="40">
        <v>3.8970499999999998E-2</v>
      </c>
      <c r="C41" s="28">
        <v>0.4807340925004297</v>
      </c>
      <c r="D41" s="28"/>
    </row>
    <row r="42" spans="1:4" ht="15.75" customHeight="1" x14ac:dyDescent="0.2">
      <c r="A42" s="28" t="s">
        <v>93</v>
      </c>
      <c r="B42" s="40">
        <v>8.1865965918158728E-2</v>
      </c>
      <c r="C42" s="28"/>
      <c r="D42" s="28"/>
    </row>
    <row r="43" spans="1:4" ht="15.75" customHeight="1" x14ac:dyDescent="0.2">
      <c r="A43" s="28" t="s">
        <v>94</v>
      </c>
      <c r="B43" s="40">
        <v>8.1064564814414874E-2</v>
      </c>
      <c r="C43" s="28"/>
      <c r="D43" s="28"/>
    </row>
    <row r="44" spans="1:4" ht="15.75" customHeight="1" x14ac:dyDescent="0.2">
      <c r="A44" s="28" t="s">
        <v>95</v>
      </c>
      <c r="B44" s="40">
        <v>2.4407900624999999E-2</v>
      </c>
      <c r="C44" s="28"/>
      <c r="D44" s="28"/>
    </row>
    <row r="45" spans="1:4" ht="15.75" customHeight="1" x14ac:dyDescent="0.2">
      <c r="A45" s="28"/>
      <c r="B45" s="28"/>
      <c r="C45" s="28"/>
      <c r="D45" s="28"/>
    </row>
    <row r="46" spans="1:4" ht="15.75" customHeight="1" x14ac:dyDescent="0.2">
      <c r="A46" s="118" t="s">
        <v>306</v>
      </c>
      <c r="B46" s="28"/>
      <c r="C46" s="28"/>
      <c r="D46" s="28"/>
    </row>
    <row r="47" spans="1:4" ht="15.75" customHeight="1" x14ac:dyDescent="0.2">
      <c r="A47" s="32" t="s">
        <v>12</v>
      </c>
      <c r="B47" s="32" t="s">
        <v>96</v>
      </c>
      <c r="C47" s="32" t="s">
        <v>97</v>
      </c>
      <c r="D47" s="32" t="s">
        <v>98</v>
      </c>
    </row>
    <row r="48" spans="1:4" ht="15.75" customHeight="1" x14ac:dyDescent="0.2">
      <c r="A48" s="28" t="s">
        <v>18</v>
      </c>
      <c r="B48" s="28">
        <v>4.6337999999999997E-2</v>
      </c>
      <c r="C48" s="28">
        <v>8.1903622061133871E-2</v>
      </c>
      <c r="D48" s="28">
        <v>0.91027996663047761</v>
      </c>
    </row>
    <row r="49" spans="1:4" ht="15.75" customHeight="1" x14ac:dyDescent="0.2">
      <c r="A49" s="28" t="s">
        <v>18</v>
      </c>
      <c r="B49" s="28">
        <v>0.11110844442793701</v>
      </c>
      <c r="C49" s="28" t="s">
        <v>316</v>
      </c>
      <c r="D49" s="28" t="s">
        <v>316</v>
      </c>
    </row>
    <row r="50" spans="1:4" ht="15.75" customHeight="1" x14ac:dyDescent="0.2">
      <c r="A50" s="28" t="s">
        <v>18</v>
      </c>
      <c r="B50" s="28">
        <v>5.0666000000000003E-2</v>
      </c>
      <c r="C50" s="28" t="s">
        <v>316</v>
      </c>
      <c r="D50" s="28" t="s">
        <v>316</v>
      </c>
    </row>
    <row r="51" spans="1:4" ht="15.75" customHeight="1" x14ac:dyDescent="0.2">
      <c r="A51" s="28" t="s">
        <v>18</v>
      </c>
      <c r="B51" s="28">
        <v>0.175956</v>
      </c>
      <c r="C51" s="28" t="s">
        <v>316</v>
      </c>
      <c r="D51" s="28" t="s">
        <v>316</v>
      </c>
    </row>
    <row r="52" spans="1:4" ht="15.75" customHeight="1" x14ac:dyDescent="0.2">
      <c r="A52" s="28" t="s">
        <v>18</v>
      </c>
      <c r="B52" s="28">
        <v>9.1525999999999996E-2</v>
      </c>
      <c r="C52" s="28" t="s">
        <v>316</v>
      </c>
      <c r="D52" s="28" t="s">
        <v>316</v>
      </c>
    </row>
    <row r="53" spans="1:4" ht="15.75" customHeight="1" x14ac:dyDescent="0.2">
      <c r="A53" s="28" t="s">
        <v>18</v>
      </c>
      <c r="B53" s="28">
        <v>5.5527E-2</v>
      </c>
      <c r="C53" s="28" t="s">
        <v>316</v>
      </c>
      <c r="D53" s="28" t="s">
        <v>316</v>
      </c>
    </row>
    <row r="54" spans="1:4" ht="15.75" customHeight="1" x14ac:dyDescent="0.2">
      <c r="A54" s="28" t="s">
        <v>18</v>
      </c>
      <c r="B54" s="28">
        <v>4.2203909999999997E-2</v>
      </c>
      <c r="C54" s="28" t="s">
        <v>316</v>
      </c>
      <c r="D54" s="28" t="s">
        <v>316</v>
      </c>
    </row>
    <row r="55" spans="1:4" ht="15.75" customHeight="1" x14ac:dyDescent="0.2">
      <c r="A55" s="28" t="s">
        <v>91</v>
      </c>
      <c r="B55" s="28">
        <v>7.0762989999999998E-2</v>
      </c>
      <c r="C55" s="28">
        <v>8.9976298571428553E-2</v>
      </c>
      <c r="D55" s="28">
        <v>1</v>
      </c>
    </row>
    <row r="56" spans="1:4" ht="15.75" customHeight="1" x14ac:dyDescent="0.2">
      <c r="A56" s="28" t="s">
        <v>91</v>
      </c>
      <c r="B56" s="28">
        <v>0.1745313</v>
      </c>
      <c r="C56" s="28" t="s">
        <v>316</v>
      </c>
      <c r="D56" s="28" t="s">
        <v>316</v>
      </c>
    </row>
    <row r="57" spans="1:4" ht="15.75" customHeight="1" x14ac:dyDescent="0.2">
      <c r="A57" s="28" t="s">
        <v>91</v>
      </c>
      <c r="B57" s="28">
        <v>3.4039949999999999E-2</v>
      </c>
      <c r="C57" s="28" t="s">
        <v>316</v>
      </c>
      <c r="D57" s="28" t="s">
        <v>316</v>
      </c>
    </row>
    <row r="58" spans="1:4" ht="15.75" customHeight="1" x14ac:dyDescent="0.2">
      <c r="A58" s="28" t="s">
        <v>91</v>
      </c>
      <c r="B58" s="28">
        <v>5.0555999999999997E-2</v>
      </c>
      <c r="C58" s="28" t="s">
        <v>316</v>
      </c>
      <c r="D58" s="28" t="s">
        <v>316</v>
      </c>
    </row>
    <row r="59" spans="1:4" ht="15.75" customHeight="1" x14ac:dyDescent="0.2">
      <c r="A59" s="28" t="s">
        <v>91</v>
      </c>
      <c r="B59" s="28">
        <v>3.8792960000000001E-2</v>
      </c>
      <c r="C59" s="28" t="s">
        <v>316</v>
      </c>
      <c r="D59" s="28" t="s">
        <v>316</v>
      </c>
    </row>
    <row r="60" spans="1:4" ht="15.75" customHeight="1" x14ac:dyDescent="0.2">
      <c r="A60" s="28" t="s">
        <v>91</v>
      </c>
      <c r="B60" s="28">
        <v>5.3062890000000001E-2</v>
      </c>
      <c r="C60" s="28" t="s">
        <v>316</v>
      </c>
      <c r="D60" s="28" t="s">
        <v>316</v>
      </c>
    </row>
    <row r="61" spans="1:4" ht="15.75" customHeight="1" x14ac:dyDescent="0.2">
      <c r="A61" s="28" t="s">
        <v>91</v>
      </c>
      <c r="B61" s="28">
        <v>0.208088</v>
      </c>
      <c r="C61" s="28" t="s">
        <v>316</v>
      </c>
      <c r="D61" s="28" t="s">
        <v>316</v>
      </c>
    </row>
    <row r="62" spans="1:4" ht="15.75" customHeight="1" x14ac:dyDescent="0.2">
      <c r="A62" s="28" t="s">
        <v>48</v>
      </c>
      <c r="B62" s="28">
        <v>6.4011079999999998E-2</v>
      </c>
      <c r="C62" s="28">
        <v>3.0988922687043501E-2</v>
      </c>
      <c r="D62" s="28">
        <v>0.34441206383304002</v>
      </c>
    </row>
    <row r="63" spans="1:4" ht="15.75" customHeight="1" x14ac:dyDescent="0.2">
      <c r="A63" s="28" t="s">
        <v>48</v>
      </c>
      <c r="B63" s="28">
        <v>9.0729999999999995E-3</v>
      </c>
      <c r="C63" s="28" t="s">
        <v>316</v>
      </c>
      <c r="D63" s="28" t="s">
        <v>316</v>
      </c>
    </row>
    <row r="64" spans="1:4" ht="15.75" customHeight="1" x14ac:dyDescent="0.2">
      <c r="A64" s="28" t="s">
        <v>48</v>
      </c>
      <c r="B64" s="28">
        <v>3.2944000000000001E-2</v>
      </c>
      <c r="C64" s="28" t="s">
        <v>316</v>
      </c>
      <c r="D64" s="28" t="s">
        <v>316</v>
      </c>
    </row>
    <row r="65" spans="1:4" ht="15.75" customHeight="1" x14ac:dyDescent="0.2">
      <c r="A65" s="28" t="s">
        <v>48</v>
      </c>
      <c r="B65" s="28">
        <v>4.7887146870435202E-2</v>
      </c>
      <c r="C65" s="28" t="s">
        <v>316</v>
      </c>
      <c r="D65" s="28" t="s">
        <v>316</v>
      </c>
    </row>
    <row r="66" spans="1:4" ht="15.75" customHeight="1" x14ac:dyDescent="0.2">
      <c r="A66" s="28" t="s">
        <v>48</v>
      </c>
      <c r="B66" s="28">
        <v>1.0465E-2</v>
      </c>
      <c r="C66" s="28" t="s">
        <v>316</v>
      </c>
      <c r="D66" s="28" t="s">
        <v>316</v>
      </c>
    </row>
    <row r="67" spans="1:4" ht="15.75" customHeight="1" x14ac:dyDescent="0.2">
      <c r="A67" s="28" t="s">
        <v>48</v>
      </c>
      <c r="B67" s="28">
        <v>1.0194E-2</v>
      </c>
      <c r="C67" s="28" t="s">
        <v>316</v>
      </c>
      <c r="D67" s="28" t="s">
        <v>316</v>
      </c>
    </row>
    <row r="68" spans="1:4" ht="15.75" customHeight="1" x14ac:dyDescent="0.2">
      <c r="A68" s="28" t="s">
        <v>48</v>
      </c>
      <c r="B68" s="28">
        <v>1.0983E-2</v>
      </c>
      <c r="C68" s="28" t="s">
        <v>316</v>
      </c>
      <c r="D68" s="28" t="s">
        <v>316</v>
      </c>
    </row>
    <row r="69" spans="1:4" ht="15.75" customHeight="1" x14ac:dyDescent="0.2">
      <c r="A69" s="28" t="s">
        <v>48</v>
      </c>
      <c r="B69" s="28">
        <v>2.6131999999999999E-2</v>
      </c>
      <c r="C69" s="28" t="s">
        <v>316</v>
      </c>
      <c r="D69" s="28" t="s">
        <v>316</v>
      </c>
    </row>
    <row r="70" spans="1:4" ht="15.75" customHeight="1" x14ac:dyDescent="0.2">
      <c r="A70" s="28" t="s">
        <v>48</v>
      </c>
      <c r="B70" s="28">
        <v>8.9598999999999998E-2</v>
      </c>
      <c r="C70" s="28" t="s">
        <v>316</v>
      </c>
      <c r="D70" s="28" t="s">
        <v>316</v>
      </c>
    </row>
    <row r="71" spans="1:4" ht="15.75" customHeight="1" x14ac:dyDescent="0.2">
      <c r="A71" s="28" t="s">
        <v>48</v>
      </c>
      <c r="B71" s="28">
        <v>8.6009999999999993E-3</v>
      </c>
      <c r="C71" s="28" t="s">
        <v>316</v>
      </c>
      <c r="D71" s="28" t="s">
        <v>316</v>
      </c>
    </row>
    <row r="72" spans="1:4" ht="15.75" customHeight="1" x14ac:dyDescent="0.15"/>
    <row r="73" spans="1:4" ht="15.75" customHeight="1" x14ac:dyDescent="0.15"/>
    <row r="74" spans="1:4" ht="15.75" customHeight="1" x14ac:dyDescent="0.15"/>
    <row r="75" spans="1:4" ht="15.75" customHeight="1" x14ac:dyDescent="0.15"/>
    <row r="76" spans="1:4" ht="15.75" customHeight="1" x14ac:dyDescent="0.15"/>
    <row r="77" spans="1:4" ht="15.75" customHeight="1" x14ac:dyDescent="0.15"/>
    <row r="78" spans="1:4" ht="15.75" customHeight="1" x14ac:dyDescent="0.15"/>
    <row r="79" spans="1:4" ht="15.75" customHeight="1" x14ac:dyDescent="0.15"/>
    <row r="80" spans="1:4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7:C17"/>
    <mergeCell ref="A2:C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D49" sqref="D49"/>
    </sheetView>
  </sheetViews>
  <sheetFormatPr baseColWidth="10" defaultColWidth="12.6640625" defaultRowHeight="15" customHeight="1" x14ac:dyDescent="0.15"/>
  <cols>
    <col min="1" max="1" width="24.6640625" customWidth="1"/>
    <col min="2" max="2" width="19.33203125" customWidth="1"/>
    <col min="3" max="3" width="27.6640625" customWidth="1"/>
    <col min="4" max="4" width="49.6640625" customWidth="1"/>
    <col min="5" max="5" width="15.1640625" customWidth="1"/>
    <col min="6" max="6" width="17.1640625" customWidth="1"/>
    <col min="7" max="7" width="17" customWidth="1"/>
  </cols>
  <sheetData>
    <row r="1" spans="1:26" ht="15.75" customHeight="1" x14ac:dyDescent="0.2">
      <c r="A1" s="119" t="s">
        <v>307</v>
      </c>
      <c r="B1" s="28"/>
      <c r="C1" s="28"/>
      <c r="D1" s="28"/>
      <c r="E1" s="28"/>
      <c r="F1" s="28"/>
      <c r="G1" s="28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 customHeight="1" x14ac:dyDescent="0.2">
      <c r="A2" s="29"/>
      <c r="B2" s="191" t="s">
        <v>317</v>
      </c>
      <c r="C2" s="171"/>
      <c r="D2" s="172"/>
      <c r="E2" s="191" t="s">
        <v>318</v>
      </c>
      <c r="F2" s="171"/>
      <c r="G2" s="172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 customHeight="1" x14ac:dyDescent="0.2">
      <c r="A3" s="57" t="s">
        <v>99</v>
      </c>
      <c r="B3" s="40">
        <v>0.26426380370000002</v>
      </c>
      <c r="C3" s="40">
        <v>6.4468302660000004E-2</v>
      </c>
      <c r="D3" s="40">
        <v>7.2955010220000005E-2</v>
      </c>
      <c r="E3" s="40">
        <v>0.13994534759999999</v>
      </c>
      <c r="F3" s="40">
        <v>0.1175294305</v>
      </c>
      <c r="G3" s="40">
        <v>0.36452087840000003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 customHeight="1" x14ac:dyDescent="0.2">
      <c r="A4" s="57" t="s">
        <v>100</v>
      </c>
      <c r="B4" s="40">
        <v>0.2023006135</v>
      </c>
      <c r="C4" s="40">
        <v>7.1625766869999996E-2</v>
      </c>
      <c r="D4" s="40">
        <v>4.7955010219999997E-2</v>
      </c>
      <c r="E4" s="40">
        <v>0.64035726130000004</v>
      </c>
      <c r="F4" s="40">
        <v>1.3786277490000001</v>
      </c>
      <c r="G4" s="40">
        <v>0.72726610940000003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">
      <c r="A5" s="57" t="s">
        <v>101</v>
      </c>
      <c r="B5" s="40">
        <v>0.82055214720000003</v>
      </c>
      <c r="C5" s="40">
        <v>1.11605317</v>
      </c>
      <c r="D5" s="40">
        <v>0.918200409</v>
      </c>
      <c r="E5" s="40">
        <v>1.2592417170000001</v>
      </c>
      <c r="F5" s="40">
        <v>1.391199319</v>
      </c>
      <c r="G5" s="40">
        <v>0.34955896440000001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 customHeight="1" x14ac:dyDescent="0.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75" customHeight="1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">
      <c r="A9" s="32" t="s">
        <v>102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">
      <c r="A10" s="112" t="s">
        <v>283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">
      <c r="A12" s="54"/>
      <c r="B12" s="32" t="s">
        <v>89</v>
      </c>
      <c r="C12" s="32" t="s">
        <v>103</v>
      </c>
      <c r="D12" s="32" t="s">
        <v>104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">
      <c r="A13" s="28" t="s">
        <v>99</v>
      </c>
      <c r="B13" s="28">
        <v>5.169E-2</v>
      </c>
      <c r="C13" s="28">
        <v>1.9811350000000002E-2</v>
      </c>
      <c r="D13" s="28">
        <v>0.26426380368098162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">
      <c r="A14" s="54"/>
      <c r="B14" s="28">
        <v>1.261E-2</v>
      </c>
      <c r="C14" s="54" t="s">
        <v>316</v>
      </c>
      <c r="D14" s="28">
        <v>6.4468302658486701E-2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 x14ac:dyDescent="0.2">
      <c r="A15" s="54"/>
      <c r="B15" s="28">
        <v>1.427E-2</v>
      </c>
      <c r="C15" s="54" t="s">
        <v>316</v>
      </c>
      <c r="D15" s="28">
        <v>7.295501022494888E-2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 x14ac:dyDescent="0.2">
      <c r="A16" s="54"/>
      <c r="B16" s="28">
        <v>6.7540000000000005E-4</v>
      </c>
      <c r="C16" s="54" t="s">
        <v>316</v>
      </c>
      <c r="D16" s="28">
        <v>3.4529652351738245E-3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75" customHeight="1" x14ac:dyDescent="0.2">
      <c r="A17" s="28" t="s">
        <v>100</v>
      </c>
      <c r="B17" s="28">
        <v>3.9570000000000001E-2</v>
      </c>
      <c r="C17" s="28">
        <v>2.3505000000000002E-2</v>
      </c>
      <c r="D17" s="28">
        <v>0.20230061349693251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 x14ac:dyDescent="0.2">
      <c r="A18" s="54"/>
      <c r="B18" s="28">
        <v>1.401E-2</v>
      </c>
      <c r="C18" s="54" t="s">
        <v>316</v>
      </c>
      <c r="D18" s="28">
        <v>7.1625766871165647E-2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 x14ac:dyDescent="0.2">
      <c r="A19" s="54"/>
      <c r="B19" s="28">
        <v>9.3799999999999994E-3</v>
      </c>
      <c r="C19" s="54" t="s">
        <v>316</v>
      </c>
      <c r="D19" s="28">
        <v>4.7955010224948871E-2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 x14ac:dyDescent="0.2">
      <c r="A20" s="54"/>
      <c r="B20" s="28">
        <v>3.1060000000000001E-2</v>
      </c>
      <c r="C20" s="54" t="s">
        <v>316</v>
      </c>
      <c r="D20" s="28">
        <v>0.15879345603271985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 x14ac:dyDescent="0.2">
      <c r="A21" s="28" t="s">
        <v>101</v>
      </c>
      <c r="B21" s="28">
        <v>0.1605</v>
      </c>
      <c r="C21" s="28">
        <v>0.1956</v>
      </c>
      <c r="D21" s="28">
        <v>0.82055214723926384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 x14ac:dyDescent="0.2">
      <c r="A22" s="54"/>
      <c r="B22" s="28">
        <v>0.21829999999999999</v>
      </c>
      <c r="C22" s="54" t="s">
        <v>316</v>
      </c>
      <c r="D22" s="28">
        <v>1.1160531697341514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 x14ac:dyDescent="0.2">
      <c r="A23" s="54"/>
      <c r="B23" s="28">
        <v>0.17960000000000001</v>
      </c>
      <c r="C23" s="54" t="s">
        <v>316</v>
      </c>
      <c r="D23" s="28">
        <v>0.91820040899795508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 x14ac:dyDescent="0.2">
      <c r="A24" s="54"/>
      <c r="B24" s="28">
        <v>0.224</v>
      </c>
      <c r="C24" s="54" t="s">
        <v>316</v>
      </c>
      <c r="D24" s="28">
        <v>1.1451942740286298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 x14ac:dyDescent="0.2">
      <c r="A29" s="112" t="s">
        <v>284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 x14ac:dyDescent="0.2">
      <c r="A30" s="54"/>
      <c r="B30" s="32" t="s">
        <v>96</v>
      </c>
      <c r="C30" s="32" t="s">
        <v>103</v>
      </c>
      <c r="D30" s="119" t="s">
        <v>104</v>
      </c>
      <c r="E30" s="32" t="s">
        <v>105</v>
      </c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 x14ac:dyDescent="0.2">
      <c r="A31" s="28" t="s">
        <v>99</v>
      </c>
      <c r="B31" s="28">
        <v>7.6063099999999998E-3</v>
      </c>
      <c r="C31" s="28">
        <v>6.9971349999999998E-3</v>
      </c>
      <c r="D31" s="28">
        <v>0.13994534761398858</v>
      </c>
      <c r="E31" s="28">
        <v>3.8887065439672804E-2</v>
      </c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 x14ac:dyDescent="0.2">
      <c r="A32" s="54"/>
      <c r="B32" s="28">
        <v>6.3879599999999998E-3</v>
      </c>
      <c r="C32" s="54" t="s">
        <v>316</v>
      </c>
      <c r="D32" s="28">
        <v>0.11752943053126345</v>
      </c>
      <c r="E32" s="28">
        <v>3.2658282208588955E-2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 x14ac:dyDescent="0.2">
      <c r="A33" s="54"/>
      <c r="B33" s="28">
        <v>1.9812440000000001E-2</v>
      </c>
      <c r="C33" s="54" t="s">
        <v>316</v>
      </c>
      <c r="D33" s="28">
        <v>0.36452087843925529</v>
      </c>
      <c r="E33" s="28">
        <v>0.10129059304703476</v>
      </c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 x14ac:dyDescent="0.2">
      <c r="A34" s="28" t="s">
        <v>100</v>
      </c>
      <c r="B34" s="28">
        <v>3.4804700000000001E-2</v>
      </c>
      <c r="C34" s="28">
        <v>4.9754750000000007E-2</v>
      </c>
      <c r="D34" s="28">
        <v>0.64035726128708781</v>
      </c>
      <c r="E34" s="28">
        <v>0.17793813905930472</v>
      </c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">
      <c r="A35" s="54"/>
      <c r="B35" s="28">
        <v>7.493118E-2</v>
      </c>
      <c r="C35" s="54" t="s">
        <v>316</v>
      </c>
      <c r="D35" s="28">
        <v>1.3786277488330543</v>
      </c>
      <c r="E35" s="28">
        <v>0.38308374233128833</v>
      </c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 x14ac:dyDescent="0.2">
      <c r="A36" s="54"/>
      <c r="B36" s="28">
        <v>3.952837E-2</v>
      </c>
      <c r="C36" s="54" t="s">
        <v>316</v>
      </c>
      <c r="D36" s="28">
        <v>0.72726610935714664</v>
      </c>
      <c r="E36" s="28">
        <v>0.20208778118609408</v>
      </c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 x14ac:dyDescent="0.2">
      <c r="A37" s="28" t="s">
        <v>101</v>
      </c>
      <c r="B37" s="28">
        <v>6.8442310000000006E-2</v>
      </c>
      <c r="C37" s="28">
        <v>5.4352003333333336E-2</v>
      </c>
      <c r="D37" s="28">
        <v>1.2592417170026422</v>
      </c>
      <c r="E37" s="28">
        <v>0.34990956032719839</v>
      </c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 x14ac:dyDescent="0.2">
      <c r="A38" s="54"/>
      <c r="B38" s="28">
        <v>7.5614470000000003E-2</v>
      </c>
      <c r="C38" s="54" t="s">
        <v>316</v>
      </c>
      <c r="D38" s="28">
        <v>1.3911993185654425</v>
      </c>
      <c r="E38" s="28">
        <v>0.38657704498977508</v>
      </c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 x14ac:dyDescent="0.2">
      <c r="A39" s="54"/>
      <c r="B39" s="28">
        <v>1.8999229999999999E-2</v>
      </c>
      <c r="C39" s="54" t="s">
        <v>316</v>
      </c>
      <c r="D39" s="28">
        <v>0.34955896443191509</v>
      </c>
      <c r="E39" s="28">
        <v>9.7133077709611451E-2</v>
      </c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2">
    <mergeCell ref="B2:D2"/>
    <mergeCell ref="E2:G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G4" sqref="G4:I4"/>
    </sheetView>
  </sheetViews>
  <sheetFormatPr baseColWidth="10" defaultColWidth="12.6640625" defaultRowHeight="15" customHeight="1" x14ac:dyDescent="0.15"/>
  <cols>
    <col min="1" max="1" width="15.5" customWidth="1"/>
    <col min="2" max="2" width="16.1640625" customWidth="1"/>
    <col min="3" max="3" width="17.6640625" customWidth="1"/>
    <col min="4" max="6" width="12.6640625" customWidth="1"/>
    <col min="7" max="7" width="16.83203125" customWidth="1"/>
    <col min="8" max="9" width="12.6640625" customWidth="1"/>
  </cols>
  <sheetData>
    <row r="1" spans="1:26" ht="46" customHeight="1" x14ac:dyDescent="0.2">
      <c r="A1" s="120" t="s">
        <v>106</v>
      </c>
      <c r="B1" s="125" t="s">
        <v>107</v>
      </c>
      <c r="C1" s="121" t="s">
        <v>108</v>
      </c>
      <c r="D1" s="32"/>
      <c r="E1" s="28"/>
      <c r="F1" s="28"/>
      <c r="G1" s="28"/>
      <c r="H1" s="28"/>
      <c r="I1" s="28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34" customHeight="1" x14ac:dyDescent="0.2">
      <c r="A2" s="58" t="s">
        <v>268</v>
      </c>
      <c r="B2" s="54">
        <v>64</v>
      </c>
      <c r="C2" s="59">
        <v>61.333333330000002</v>
      </c>
      <c r="E2" s="28"/>
      <c r="F2" s="28"/>
      <c r="G2" s="28"/>
      <c r="H2" s="28"/>
      <c r="I2" s="28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 customHeight="1" x14ac:dyDescent="0.2">
      <c r="A3" s="58" t="s">
        <v>268</v>
      </c>
      <c r="B3" s="54">
        <v>60</v>
      </c>
      <c r="C3" s="59" t="s">
        <v>316</v>
      </c>
      <c r="E3" s="28"/>
      <c r="F3" s="28"/>
      <c r="G3" s="28"/>
      <c r="H3" s="28"/>
      <c r="I3" s="28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 customHeight="1" x14ac:dyDescent="0.2">
      <c r="A4" s="58" t="s">
        <v>268</v>
      </c>
      <c r="B4" s="54">
        <v>60</v>
      </c>
      <c r="C4" s="59" t="s">
        <v>316</v>
      </c>
      <c r="E4" s="28"/>
      <c r="F4" s="60" t="s">
        <v>4</v>
      </c>
      <c r="G4" s="173" t="s">
        <v>109</v>
      </c>
      <c r="H4" s="174"/>
      <c r="I4" s="175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">
      <c r="A5" s="58" t="s">
        <v>269</v>
      </c>
      <c r="B5" s="54">
        <v>92</v>
      </c>
      <c r="C5" s="59">
        <v>86.666666669999998</v>
      </c>
      <c r="E5" s="28"/>
      <c r="F5" s="61"/>
      <c r="G5" s="62" t="s">
        <v>110</v>
      </c>
      <c r="H5" s="63" t="s">
        <v>111</v>
      </c>
      <c r="I5" s="64" t="s">
        <v>112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 x14ac:dyDescent="0.2">
      <c r="A6" s="58" t="s">
        <v>269</v>
      </c>
      <c r="B6" s="54">
        <v>80</v>
      </c>
      <c r="C6" s="59" t="s">
        <v>316</v>
      </c>
      <c r="E6" s="28"/>
      <c r="F6" s="39" t="s">
        <v>113</v>
      </c>
      <c r="G6" s="65">
        <v>61</v>
      </c>
      <c r="H6" s="40">
        <v>86</v>
      </c>
      <c r="I6" s="43">
        <v>74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 customHeight="1" x14ac:dyDescent="0.2">
      <c r="A7" s="58" t="s">
        <v>269</v>
      </c>
      <c r="B7" s="54">
        <v>88</v>
      </c>
      <c r="C7" s="59" t="s">
        <v>316</v>
      </c>
      <c r="E7" s="28"/>
      <c r="F7" s="39"/>
      <c r="G7" s="65">
        <v>86</v>
      </c>
      <c r="H7" s="40">
        <v>97</v>
      </c>
      <c r="I7" s="43">
        <v>70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75" customHeight="1" x14ac:dyDescent="0.2">
      <c r="A8" s="58" t="s">
        <v>270</v>
      </c>
      <c r="B8" s="54">
        <v>76</v>
      </c>
      <c r="C8" s="59">
        <v>74.666666669999998</v>
      </c>
      <c r="E8" s="28"/>
      <c r="F8" s="39"/>
      <c r="G8" s="65">
        <v>86</v>
      </c>
      <c r="H8" s="40">
        <v>80</v>
      </c>
      <c r="I8" s="43">
        <v>69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">
      <c r="A9" s="58" t="s">
        <v>270</v>
      </c>
      <c r="B9" s="54">
        <v>76</v>
      </c>
      <c r="C9" s="59" t="s">
        <v>316</v>
      </c>
      <c r="E9" s="28"/>
      <c r="F9" s="39"/>
      <c r="G9" s="65">
        <v>36</v>
      </c>
      <c r="H9" s="40">
        <v>34</v>
      </c>
      <c r="I9" s="43">
        <v>44</v>
      </c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">
      <c r="A10" s="58" t="s">
        <v>270</v>
      </c>
      <c r="B10" s="54">
        <v>72</v>
      </c>
      <c r="C10" s="59" t="s">
        <v>316</v>
      </c>
      <c r="E10" s="28"/>
      <c r="F10" s="39"/>
      <c r="G10" s="65">
        <v>58</v>
      </c>
      <c r="H10" s="40">
        <v>50</v>
      </c>
      <c r="I10" s="43">
        <v>60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">
      <c r="A11" s="58" t="s">
        <v>115</v>
      </c>
      <c r="B11" s="54">
        <v>48</v>
      </c>
      <c r="C11" s="59">
        <v>50.666666669999998</v>
      </c>
      <c r="E11" s="28"/>
      <c r="F11" s="39" t="s">
        <v>114</v>
      </c>
      <c r="G11" s="65">
        <v>50</v>
      </c>
      <c r="H11" s="40">
        <v>49</v>
      </c>
      <c r="I11" s="43">
        <v>49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">
      <c r="A12" s="58" t="s">
        <v>116</v>
      </c>
      <c r="B12" s="54">
        <v>52</v>
      </c>
      <c r="C12" s="59" t="s">
        <v>316</v>
      </c>
      <c r="E12" s="28"/>
      <c r="F12" s="39"/>
      <c r="G12" s="65">
        <v>62</v>
      </c>
      <c r="H12" s="40">
        <v>60</v>
      </c>
      <c r="I12" s="43">
        <v>62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">
      <c r="A13" s="58" t="s">
        <v>117</v>
      </c>
      <c r="B13" s="54">
        <v>52</v>
      </c>
      <c r="C13" s="59" t="s">
        <v>316</v>
      </c>
      <c r="E13" s="28"/>
      <c r="F13" s="39"/>
      <c r="G13" s="65">
        <v>60</v>
      </c>
      <c r="H13" s="40">
        <v>60</v>
      </c>
      <c r="I13" s="43">
        <v>60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">
      <c r="A14" s="58" t="s">
        <v>118</v>
      </c>
      <c r="B14" s="54">
        <v>52</v>
      </c>
      <c r="C14" s="59">
        <v>49.333333330000002</v>
      </c>
      <c r="E14" s="28"/>
      <c r="F14" s="39"/>
      <c r="G14" s="65">
        <v>34</v>
      </c>
      <c r="H14" s="40">
        <v>35</v>
      </c>
      <c r="I14" s="43">
        <v>36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 x14ac:dyDescent="0.2">
      <c r="A15" s="58" t="s">
        <v>119</v>
      </c>
      <c r="B15" s="54">
        <v>44</v>
      </c>
      <c r="C15" s="59" t="s">
        <v>316</v>
      </c>
      <c r="E15" s="28"/>
      <c r="F15" s="44"/>
      <c r="G15" s="66">
        <v>86</v>
      </c>
      <c r="H15" s="46">
        <v>85</v>
      </c>
      <c r="I15" s="67">
        <v>86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 x14ac:dyDescent="0.2">
      <c r="A16" s="58" t="s">
        <v>120</v>
      </c>
      <c r="B16" s="54">
        <v>52</v>
      </c>
      <c r="C16" s="59" t="s">
        <v>316</v>
      </c>
      <c r="E16" s="28"/>
      <c r="F16" s="28"/>
      <c r="G16" s="28"/>
      <c r="H16" s="28"/>
      <c r="I16" s="28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75" customHeight="1" x14ac:dyDescent="0.2">
      <c r="A17" s="58" t="s">
        <v>121</v>
      </c>
      <c r="B17" s="54">
        <v>48</v>
      </c>
      <c r="C17" s="59">
        <v>49.333333330000002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r="18" spans="1:26" ht="15.75" customHeight="1" x14ac:dyDescent="0.2">
      <c r="A18" s="58" t="s">
        <v>122</v>
      </c>
      <c r="B18" s="54">
        <v>52</v>
      </c>
      <c r="C18" s="59" t="s">
        <v>316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6" ht="15.75" customHeight="1" x14ac:dyDescent="0.2">
      <c r="A19" s="58" t="s">
        <v>123</v>
      </c>
      <c r="B19" s="54">
        <v>48</v>
      </c>
      <c r="C19" s="59" t="s">
        <v>316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6" ht="15.75" customHeight="1" x14ac:dyDescent="0.2">
      <c r="A20" s="58" t="s">
        <v>271</v>
      </c>
      <c r="B20" s="54">
        <v>72</v>
      </c>
      <c r="C20" s="59">
        <v>70.666666669999998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6" ht="15.75" customHeight="1" x14ac:dyDescent="0.2">
      <c r="A21" s="58" t="s">
        <v>271</v>
      </c>
      <c r="B21" s="54">
        <v>72</v>
      </c>
      <c r="C21" s="59" t="s">
        <v>316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6" ht="15.75" customHeight="1" x14ac:dyDescent="0.2">
      <c r="A22" s="58" t="s">
        <v>271</v>
      </c>
      <c r="B22" s="54">
        <v>68</v>
      </c>
      <c r="C22" s="59" t="s">
        <v>316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6" ht="15.75" customHeight="1" x14ac:dyDescent="0.2">
      <c r="A23" s="58" t="s">
        <v>272</v>
      </c>
      <c r="B23" s="54">
        <v>100</v>
      </c>
      <c r="C23" s="59">
        <v>97.333333330000002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1:26" ht="15.75" customHeight="1" x14ac:dyDescent="0.2">
      <c r="A24" s="58" t="s">
        <v>272</v>
      </c>
      <c r="B24" s="54">
        <v>100</v>
      </c>
      <c r="C24" s="59" t="s">
        <v>316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</row>
    <row r="25" spans="1:26" ht="15.75" customHeight="1" x14ac:dyDescent="0.2">
      <c r="A25" s="58" t="s">
        <v>272</v>
      </c>
      <c r="B25" s="54">
        <v>92</v>
      </c>
      <c r="C25" s="59" t="s">
        <v>316</v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r="26" spans="1:26" ht="15.75" customHeight="1" x14ac:dyDescent="0.2">
      <c r="A26" s="58" t="s">
        <v>273</v>
      </c>
      <c r="B26" s="54">
        <v>84</v>
      </c>
      <c r="C26" s="59">
        <v>86.666666669999998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</row>
    <row r="27" spans="1:26" ht="15.75" customHeight="1" x14ac:dyDescent="0.2">
      <c r="A27" s="58" t="s">
        <v>273</v>
      </c>
      <c r="B27" s="54">
        <v>84</v>
      </c>
      <c r="C27" s="59" t="s">
        <v>316</v>
      </c>
      <c r="E27" s="28"/>
      <c r="F27" s="28"/>
      <c r="G27" s="28"/>
      <c r="H27" s="28"/>
      <c r="I27" s="28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">
      <c r="A28" s="58" t="s">
        <v>273</v>
      </c>
      <c r="B28" s="54">
        <v>92</v>
      </c>
      <c r="C28" s="59" t="s">
        <v>316</v>
      </c>
      <c r="E28" s="28"/>
      <c r="F28" s="28"/>
      <c r="G28" s="28"/>
      <c r="H28" s="28"/>
      <c r="I28" s="28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 x14ac:dyDescent="0.2">
      <c r="A29" s="58" t="s">
        <v>274</v>
      </c>
      <c r="B29" s="54">
        <v>64</v>
      </c>
      <c r="C29" s="59">
        <v>69.333333330000002</v>
      </c>
      <c r="E29" s="28"/>
      <c r="F29" s="28"/>
      <c r="G29" s="28"/>
      <c r="H29" s="28"/>
      <c r="I29" s="28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 x14ac:dyDescent="0.2">
      <c r="A30" s="58" t="s">
        <v>274</v>
      </c>
      <c r="B30" s="54">
        <v>76</v>
      </c>
      <c r="C30" s="59" t="s">
        <v>316</v>
      </c>
      <c r="E30" s="28"/>
      <c r="F30" s="28"/>
      <c r="G30" s="28"/>
      <c r="H30" s="28"/>
      <c r="I30" s="28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 x14ac:dyDescent="0.2">
      <c r="A31" s="58" t="s">
        <v>274</v>
      </c>
      <c r="B31" s="54">
        <v>68</v>
      </c>
      <c r="C31" s="59" t="s">
        <v>316</v>
      </c>
      <c r="E31" s="28"/>
      <c r="F31" s="28"/>
      <c r="G31" s="28"/>
      <c r="H31" s="28"/>
      <c r="I31" s="28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 x14ac:dyDescent="0.2">
      <c r="A32" s="58" t="s">
        <v>275</v>
      </c>
      <c r="B32" s="54">
        <v>76</v>
      </c>
      <c r="C32" s="59">
        <v>80</v>
      </c>
      <c r="E32" s="28"/>
      <c r="F32" s="28"/>
      <c r="G32" s="28"/>
      <c r="H32" s="28"/>
      <c r="I32" s="28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 x14ac:dyDescent="0.2">
      <c r="A33" s="58" t="s">
        <v>275</v>
      </c>
      <c r="B33" s="54">
        <v>84</v>
      </c>
      <c r="C33" s="59" t="s">
        <v>316</v>
      </c>
      <c r="E33" s="28"/>
      <c r="F33" s="28"/>
      <c r="G33" s="28"/>
      <c r="H33" s="28"/>
      <c r="I33" s="28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 x14ac:dyDescent="0.2">
      <c r="A34" s="58" t="s">
        <v>275</v>
      </c>
      <c r="B34" s="54">
        <v>80</v>
      </c>
      <c r="C34" s="59" t="s">
        <v>316</v>
      </c>
      <c r="E34" s="28"/>
      <c r="F34" s="28"/>
      <c r="G34" s="28"/>
      <c r="H34" s="28"/>
      <c r="I34" s="28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">
      <c r="A35" s="58" t="s">
        <v>276</v>
      </c>
      <c r="B35" s="54">
        <v>96</v>
      </c>
      <c r="C35" s="59">
        <v>86.666666669999998</v>
      </c>
      <c r="E35" s="28"/>
      <c r="F35" s="28"/>
      <c r="G35" s="28"/>
      <c r="H35" s="28"/>
      <c r="I35" s="28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 x14ac:dyDescent="0.2">
      <c r="A36" s="58" t="s">
        <v>276</v>
      </c>
      <c r="B36" s="54">
        <v>76</v>
      </c>
      <c r="C36" s="59" t="s">
        <v>316</v>
      </c>
      <c r="E36" s="28"/>
      <c r="F36" s="28"/>
      <c r="G36" s="28"/>
      <c r="H36" s="28"/>
      <c r="I36" s="28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 x14ac:dyDescent="0.2">
      <c r="A37" s="58" t="s">
        <v>276</v>
      </c>
      <c r="B37" s="54">
        <v>88</v>
      </c>
      <c r="C37" s="59" t="s">
        <v>316</v>
      </c>
      <c r="E37" s="28"/>
      <c r="F37" s="28"/>
      <c r="G37" s="28"/>
      <c r="H37" s="28"/>
      <c r="I37" s="28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 x14ac:dyDescent="0.2">
      <c r="A38" s="58" t="s">
        <v>277</v>
      </c>
      <c r="B38" s="54">
        <v>36</v>
      </c>
      <c r="C38" s="59">
        <v>36</v>
      </c>
      <c r="E38" s="28"/>
      <c r="F38" s="28"/>
      <c r="G38" s="28"/>
      <c r="H38" s="28"/>
      <c r="I38" s="28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 x14ac:dyDescent="0.2">
      <c r="A39" s="58" t="s">
        <v>277</v>
      </c>
      <c r="B39" s="54">
        <v>36</v>
      </c>
      <c r="C39" s="59" t="s">
        <v>316</v>
      </c>
      <c r="E39" s="28"/>
      <c r="F39" s="28"/>
      <c r="G39" s="28"/>
      <c r="H39" s="28"/>
      <c r="I39" s="28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 x14ac:dyDescent="0.2">
      <c r="A40" s="58" t="s">
        <v>277</v>
      </c>
      <c r="B40" s="54">
        <v>36</v>
      </c>
      <c r="C40" s="59" t="s">
        <v>316</v>
      </c>
      <c r="E40" s="28"/>
      <c r="F40" s="28"/>
      <c r="G40" s="28"/>
      <c r="H40" s="28"/>
      <c r="I40" s="28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 x14ac:dyDescent="0.2">
      <c r="A41" s="58" t="s">
        <v>278</v>
      </c>
      <c r="B41" s="54">
        <v>32</v>
      </c>
      <c r="C41" s="59">
        <v>34.666666669999998</v>
      </c>
      <c r="E41" s="28"/>
      <c r="F41" s="28"/>
      <c r="G41" s="28"/>
      <c r="H41" s="28"/>
      <c r="I41" s="28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 x14ac:dyDescent="0.2">
      <c r="A42" s="58" t="s">
        <v>278</v>
      </c>
      <c r="B42" s="54">
        <v>36</v>
      </c>
      <c r="C42" s="59" t="s">
        <v>316</v>
      </c>
      <c r="E42" s="28"/>
      <c r="F42" s="28"/>
      <c r="G42" s="28"/>
      <c r="H42" s="28"/>
      <c r="I42" s="28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 x14ac:dyDescent="0.2">
      <c r="A43" s="58" t="s">
        <v>278</v>
      </c>
      <c r="B43" s="54">
        <v>36</v>
      </c>
      <c r="C43" s="59" t="s">
        <v>316</v>
      </c>
      <c r="E43" s="28"/>
      <c r="F43" s="28"/>
      <c r="G43" s="28"/>
      <c r="H43" s="28"/>
      <c r="I43" s="28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">
      <c r="A44" s="58" t="s">
        <v>279</v>
      </c>
      <c r="B44" s="54">
        <v>40</v>
      </c>
      <c r="C44" s="59">
        <v>44</v>
      </c>
      <c r="E44" s="28"/>
      <c r="F44" s="28"/>
      <c r="G44" s="28"/>
      <c r="H44" s="28"/>
      <c r="I44" s="28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 x14ac:dyDescent="0.2">
      <c r="A45" s="58" t="s">
        <v>279</v>
      </c>
      <c r="B45" s="54">
        <v>44</v>
      </c>
      <c r="C45" s="59" t="s">
        <v>316</v>
      </c>
      <c r="E45" s="28"/>
      <c r="F45" s="28"/>
      <c r="G45" s="28"/>
      <c r="H45" s="28"/>
      <c r="I45" s="28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 x14ac:dyDescent="0.2">
      <c r="A46" s="58" t="s">
        <v>279</v>
      </c>
      <c r="B46" s="54">
        <v>48</v>
      </c>
      <c r="C46" s="59" t="s">
        <v>316</v>
      </c>
      <c r="E46" s="28"/>
      <c r="F46" s="28"/>
      <c r="G46" s="28"/>
      <c r="H46" s="28"/>
      <c r="I46" s="28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 x14ac:dyDescent="0.2">
      <c r="A47" s="58" t="s">
        <v>124</v>
      </c>
      <c r="B47" s="54">
        <v>64</v>
      </c>
      <c r="C47" s="59">
        <v>62.666666669999998</v>
      </c>
      <c r="E47" s="28"/>
      <c r="F47" s="28"/>
      <c r="G47" s="28"/>
      <c r="H47" s="28"/>
      <c r="I47" s="28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">
      <c r="A48" s="58" t="s">
        <v>125</v>
      </c>
      <c r="B48" s="54">
        <v>64</v>
      </c>
      <c r="C48" s="59" t="s">
        <v>316</v>
      </c>
      <c r="E48" s="28"/>
      <c r="F48" s="28"/>
      <c r="G48" s="28"/>
      <c r="H48" s="28"/>
      <c r="I48" s="28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 x14ac:dyDescent="0.2">
      <c r="A49" s="58" t="s">
        <v>125</v>
      </c>
      <c r="B49" s="54">
        <v>60</v>
      </c>
      <c r="C49" s="59" t="s">
        <v>316</v>
      </c>
      <c r="E49" s="28"/>
      <c r="F49" s="28"/>
      <c r="G49" s="28"/>
      <c r="H49" s="28"/>
      <c r="I49" s="28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 x14ac:dyDescent="0.2">
      <c r="A50" s="58" t="s">
        <v>126</v>
      </c>
      <c r="B50" s="54">
        <v>60</v>
      </c>
      <c r="C50" s="59">
        <v>60</v>
      </c>
      <c r="E50" s="28"/>
      <c r="F50" s="28"/>
      <c r="G50" s="28"/>
      <c r="H50" s="28"/>
      <c r="I50" s="28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 x14ac:dyDescent="0.2">
      <c r="A51" s="58" t="s">
        <v>126</v>
      </c>
      <c r="B51" s="54">
        <v>60</v>
      </c>
      <c r="C51" s="59" t="s">
        <v>316</v>
      </c>
      <c r="E51" s="28"/>
      <c r="F51" s="28"/>
      <c r="G51" s="28"/>
      <c r="H51" s="28"/>
      <c r="I51" s="28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 x14ac:dyDescent="0.2">
      <c r="A52" s="58" t="s">
        <v>126</v>
      </c>
      <c r="B52" s="54">
        <v>60</v>
      </c>
      <c r="C52" s="59" t="s">
        <v>316</v>
      </c>
      <c r="E52" s="28"/>
      <c r="F52" s="28"/>
      <c r="G52" s="28"/>
      <c r="H52" s="28"/>
      <c r="I52" s="28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">
      <c r="A53" s="58" t="s">
        <v>127</v>
      </c>
      <c r="B53" s="54">
        <v>64</v>
      </c>
      <c r="C53" s="59">
        <v>62.666666669999998</v>
      </c>
      <c r="E53" s="28"/>
      <c r="F53" s="28"/>
      <c r="G53" s="28"/>
      <c r="H53" s="28"/>
      <c r="I53" s="28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2">
      <c r="A54" s="58" t="s">
        <v>128</v>
      </c>
      <c r="B54" s="54">
        <v>60</v>
      </c>
      <c r="C54" s="59" t="s">
        <v>316</v>
      </c>
      <c r="E54" s="28"/>
      <c r="F54" s="28"/>
      <c r="G54" s="28"/>
      <c r="H54" s="28"/>
      <c r="I54" s="28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">
      <c r="A55" s="58" t="s">
        <v>127</v>
      </c>
      <c r="B55" s="54">
        <v>64</v>
      </c>
      <c r="C55" s="59" t="s">
        <v>316</v>
      </c>
      <c r="E55" s="28"/>
      <c r="F55" s="28"/>
      <c r="G55" s="28"/>
      <c r="H55" s="28"/>
      <c r="I55" s="28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">
      <c r="A56" s="58" t="s">
        <v>129</v>
      </c>
      <c r="B56" s="54">
        <v>60</v>
      </c>
      <c r="C56" s="59">
        <v>60</v>
      </c>
      <c r="E56" s="28"/>
      <c r="F56" s="28"/>
      <c r="G56" s="28"/>
      <c r="H56" s="28"/>
      <c r="I56" s="28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">
      <c r="A57" s="58" t="s">
        <v>129</v>
      </c>
      <c r="B57" s="54">
        <v>60</v>
      </c>
      <c r="C57" s="59" t="s">
        <v>316</v>
      </c>
      <c r="E57" s="28"/>
      <c r="F57" s="28"/>
      <c r="G57" s="28"/>
      <c r="H57" s="28"/>
      <c r="I57" s="28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">
      <c r="A58" s="58" t="s">
        <v>129</v>
      </c>
      <c r="B58" s="54">
        <v>60</v>
      </c>
      <c r="C58" s="59" t="s">
        <v>316</v>
      </c>
      <c r="E58" s="28"/>
      <c r="F58" s="28"/>
      <c r="G58" s="28"/>
      <c r="H58" s="28"/>
      <c r="I58" s="28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">
      <c r="A59" s="58" t="s">
        <v>130</v>
      </c>
      <c r="B59" s="54">
        <v>60</v>
      </c>
      <c r="C59" s="59">
        <v>60</v>
      </c>
      <c r="E59" s="28"/>
      <c r="F59" s="28"/>
      <c r="G59" s="28"/>
      <c r="H59" s="28"/>
      <c r="I59" s="28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">
      <c r="A60" s="58" t="s">
        <v>130</v>
      </c>
      <c r="B60" s="54">
        <v>60</v>
      </c>
      <c r="C60" s="59" t="s">
        <v>316</v>
      </c>
      <c r="E60" s="28"/>
      <c r="F60" s="28"/>
      <c r="G60" s="28"/>
      <c r="H60" s="28"/>
      <c r="I60" s="28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">
      <c r="A61" s="58" t="s">
        <v>131</v>
      </c>
      <c r="B61" s="54">
        <v>60</v>
      </c>
      <c r="C61" s="59" t="s">
        <v>316</v>
      </c>
      <c r="E61" s="28"/>
      <c r="F61" s="28"/>
      <c r="G61" s="28"/>
      <c r="H61" s="28"/>
      <c r="I61" s="28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">
      <c r="A62" s="58" t="s">
        <v>132</v>
      </c>
      <c r="B62" s="54">
        <v>36</v>
      </c>
      <c r="C62" s="59">
        <v>36</v>
      </c>
      <c r="E62" s="28"/>
      <c r="F62" s="28"/>
      <c r="G62" s="28"/>
      <c r="H62" s="28"/>
      <c r="I62" s="28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">
      <c r="A63" s="58" t="s">
        <v>132</v>
      </c>
      <c r="B63" s="54">
        <v>36</v>
      </c>
      <c r="C63" s="59" t="s">
        <v>316</v>
      </c>
      <c r="E63" s="28"/>
      <c r="F63" s="28"/>
      <c r="G63" s="28"/>
      <c r="H63" s="28"/>
      <c r="I63" s="28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">
      <c r="A64" s="58" t="s">
        <v>132</v>
      </c>
      <c r="B64" s="54">
        <v>36</v>
      </c>
      <c r="C64" s="59" t="s">
        <v>316</v>
      </c>
      <c r="E64" s="28"/>
      <c r="F64" s="28"/>
      <c r="G64" s="28"/>
      <c r="H64" s="28"/>
      <c r="I64" s="28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">
      <c r="A65" s="58" t="s">
        <v>133</v>
      </c>
      <c r="B65" s="54">
        <v>36</v>
      </c>
      <c r="C65" s="59">
        <v>35.666666669999998</v>
      </c>
      <c r="E65" s="28"/>
      <c r="F65" s="28"/>
      <c r="G65" s="28"/>
      <c r="H65" s="28"/>
      <c r="I65" s="28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">
      <c r="A66" s="58" t="s">
        <v>133</v>
      </c>
      <c r="B66" s="54">
        <v>35</v>
      </c>
      <c r="C66" s="59" t="s">
        <v>316</v>
      </c>
      <c r="E66" s="28"/>
      <c r="F66" s="28"/>
      <c r="G66" s="28"/>
      <c r="H66" s="28"/>
      <c r="I66" s="28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">
      <c r="A67" s="58" t="s">
        <v>133</v>
      </c>
      <c r="B67" s="54">
        <v>36</v>
      </c>
      <c r="C67" s="59" t="s">
        <v>316</v>
      </c>
      <c r="E67" s="28"/>
      <c r="F67" s="28"/>
      <c r="G67" s="28"/>
      <c r="H67" s="28"/>
      <c r="I67" s="28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">
      <c r="A68" s="58" t="s">
        <v>134</v>
      </c>
      <c r="B68" s="54">
        <v>36</v>
      </c>
      <c r="C68" s="59">
        <v>34.666666669999998</v>
      </c>
      <c r="E68" s="28"/>
      <c r="F68" s="28"/>
      <c r="G68" s="28"/>
      <c r="H68" s="28"/>
      <c r="I68" s="28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">
      <c r="A69" s="58" t="s">
        <v>134</v>
      </c>
      <c r="B69" s="54">
        <v>36</v>
      </c>
      <c r="C69" s="59" t="s">
        <v>316</v>
      </c>
      <c r="E69" s="28"/>
      <c r="F69" s="28"/>
      <c r="G69" s="28"/>
      <c r="H69" s="28"/>
      <c r="I69" s="28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">
      <c r="A70" s="58" t="s">
        <v>134</v>
      </c>
      <c r="B70" s="54">
        <v>32</v>
      </c>
      <c r="C70" s="59" t="s">
        <v>316</v>
      </c>
      <c r="E70" s="28"/>
      <c r="F70" s="28"/>
      <c r="G70" s="28"/>
      <c r="H70" s="28"/>
      <c r="I70" s="28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">
      <c r="A71" s="58" t="s">
        <v>135</v>
      </c>
      <c r="B71" s="54">
        <v>68</v>
      </c>
      <c r="C71" s="59">
        <v>69.333333330000002</v>
      </c>
      <c r="E71" s="28"/>
      <c r="F71" s="28"/>
      <c r="G71" s="28"/>
      <c r="H71" s="28"/>
      <c r="I71" s="28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">
      <c r="A72" s="58" t="s">
        <v>136</v>
      </c>
      <c r="B72" s="54">
        <v>72</v>
      </c>
      <c r="C72" s="59" t="s">
        <v>316</v>
      </c>
      <c r="E72" s="28"/>
      <c r="F72" s="28"/>
      <c r="G72" s="28"/>
      <c r="H72" s="28"/>
      <c r="I72" s="28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">
      <c r="A73" s="58" t="s">
        <v>137</v>
      </c>
      <c r="B73" s="54">
        <v>68</v>
      </c>
      <c r="C73" s="59" t="s">
        <v>316</v>
      </c>
      <c r="E73" s="28"/>
      <c r="F73" s="28"/>
      <c r="G73" s="28"/>
      <c r="H73" s="28"/>
      <c r="I73" s="28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">
      <c r="A74" s="58" t="s">
        <v>138</v>
      </c>
      <c r="B74" s="54">
        <v>68</v>
      </c>
      <c r="C74" s="59">
        <v>66.666666669999998</v>
      </c>
      <c r="E74" s="28"/>
      <c r="F74" s="28"/>
      <c r="G74" s="28"/>
      <c r="H74" s="28"/>
      <c r="I74" s="28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">
      <c r="A75" s="58" t="s">
        <v>138</v>
      </c>
      <c r="B75" s="54">
        <v>64</v>
      </c>
      <c r="C75" s="59" t="s">
        <v>316</v>
      </c>
      <c r="E75" s="28"/>
      <c r="F75" s="28"/>
      <c r="G75" s="28"/>
      <c r="H75" s="28"/>
      <c r="I75" s="28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">
      <c r="A76" s="58" t="s">
        <v>138</v>
      </c>
      <c r="B76" s="54">
        <v>68</v>
      </c>
      <c r="C76" s="59" t="s">
        <v>316</v>
      </c>
      <c r="E76" s="28"/>
      <c r="F76" s="28"/>
      <c r="G76" s="28"/>
      <c r="H76" s="28"/>
      <c r="I76" s="28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">
      <c r="A77" s="58" t="s">
        <v>139</v>
      </c>
      <c r="B77" s="54">
        <v>64</v>
      </c>
      <c r="C77" s="59" t="s">
        <v>316</v>
      </c>
      <c r="E77" s="28"/>
      <c r="F77" s="28"/>
      <c r="G77" s="28"/>
      <c r="H77" s="28"/>
      <c r="I77" s="28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">
      <c r="A78" s="58" t="s">
        <v>140</v>
      </c>
      <c r="B78" s="54">
        <v>86</v>
      </c>
      <c r="C78" s="59">
        <v>85.333333330000002</v>
      </c>
      <c r="E78" s="28"/>
      <c r="F78" s="28"/>
      <c r="G78" s="28"/>
      <c r="H78" s="28"/>
      <c r="I78" s="28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">
      <c r="A79" s="58" t="s">
        <v>140</v>
      </c>
      <c r="B79" s="54">
        <v>86</v>
      </c>
      <c r="C79" s="59" t="s">
        <v>316</v>
      </c>
      <c r="E79" s="28"/>
      <c r="F79" s="28"/>
      <c r="G79" s="28"/>
      <c r="H79" s="28"/>
      <c r="I79" s="28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">
      <c r="A80" s="58" t="s">
        <v>140</v>
      </c>
      <c r="B80" s="54">
        <v>84</v>
      </c>
      <c r="C80" s="59" t="s">
        <v>316</v>
      </c>
      <c r="E80" s="28"/>
      <c r="F80" s="28"/>
      <c r="G80" s="28"/>
      <c r="H80" s="28"/>
      <c r="I80" s="28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">
      <c r="A81" s="58" t="s">
        <v>141</v>
      </c>
      <c r="B81" s="54">
        <v>86</v>
      </c>
      <c r="C81" s="59">
        <v>86</v>
      </c>
      <c r="E81" s="28"/>
      <c r="F81" s="28"/>
      <c r="G81" s="28"/>
      <c r="H81" s="28"/>
      <c r="I81" s="28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">
      <c r="A82" s="58" t="s">
        <v>141</v>
      </c>
      <c r="B82" s="54">
        <v>86</v>
      </c>
      <c r="C82" s="59" t="s">
        <v>316</v>
      </c>
      <c r="E82" s="28"/>
      <c r="F82" s="28"/>
      <c r="G82" s="28"/>
      <c r="H82" s="28"/>
      <c r="I82" s="28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">
      <c r="A83" s="58" t="s">
        <v>141</v>
      </c>
      <c r="B83" s="54">
        <v>86</v>
      </c>
      <c r="C83" s="59" t="s">
        <v>316</v>
      </c>
      <c r="E83" s="28"/>
      <c r="F83" s="28"/>
      <c r="G83" s="28"/>
      <c r="H83" s="28"/>
      <c r="I83" s="28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">
      <c r="A84" s="58" t="s">
        <v>142</v>
      </c>
      <c r="B84" s="54">
        <v>86</v>
      </c>
      <c r="C84" s="59">
        <v>85</v>
      </c>
      <c r="E84" s="28"/>
      <c r="F84" s="28"/>
      <c r="G84" s="28"/>
      <c r="H84" s="28"/>
      <c r="I84" s="28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">
      <c r="A85" s="58" t="s">
        <v>142</v>
      </c>
      <c r="B85" s="54">
        <v>83</v>
      </c>
      <c r="C85" s="59" t="s">
        <v>316</v>
      </c>
      <c r="E85" s="28"/>
      <c r="F85" s="28"/>
      <c r="G85" s="28"/>
      <c r="H85" s="28"/>
      <c r="I85" s="28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">
      <c r="A86" s="58" t="s">
        <v>142</v>
      </c>
      <c r="B86" s="54">
        <v>86</v>
      </c>
      <c r="C86" s="59" t="s">
        <v>316</v>
      </c>
      <c r="E86" s="28"/>
      <c r="F86" s="28"/>
      <c r="G86" s="28"/>
      <c r="H86" s="28"/>
      <c r="I86" s="28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">
      <c r="A87" s="58" t="s">
        <v>280</v>
      </c>
      <c r="B87" s="54">
        <v>60</v>
      </c>
      <c r="C87" s="59">
        <v>58</v>
      </c>
      <c r="E87" s="28"/>
      <c r="F87" s="28"/>
      <c r="G87" s="28"/>
      <c r="H87" s="28"/>
      <c r="I87" s="28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">
      <c r="A88" s="58" t="s">
        <v>280</v>
      </c>
      <c r="B88" s="54">
        <v>56</v>
      </c>
      <c r="C88" s="59" t="s">
        <v>316</v>
      </c>
      <c r="E88" s="28"/>
      <c r="F88" s="28"/>
      <c r="G88" s="28"/>
      <c r="H88" s="28"/>
      <c r="I88" s="28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">
      <c r="A89" s="58" t="s">
        <v>280</v>
      </c>
      <c r="B89" s="54">
        <v>58</v>
      </c>
      <c r="C89" s="59" t="s">
        <v>316</v>
      </c>
      <c r="E89" s="28"/>
      <c r="F89" s="28"/>
      <c r="G89" s="28"/>
      <c r="H89" s="28"/>
      <c r="I89" s="28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">
      <c r="A90" s="58" t="s">
        <v>281</v>
      </c>
      <c r="B90" s="54">
        <v>60</v>
      </c>
      <c r="C90" s="59">
        <v>60</v>
      </c>
      <c r="E90" s="28"/>
      <c r="F90" s="28"/>
      <c r="G90" s="28"/>
      <c r="H90" s="28"/>
      <c r="I90" s="28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">
      <c r="A91" s="58" t="s">
        <v>281</v>
      </c>
      <c r="B91" s="54">
        <v>58</v>
      </c>
      <c r="C91" s="59" t="s">
        <v>316</v>
      </c>
      <c r="E91" s="28"/>
      <c r="F91" s="28"/>
      <c r="G91" s="28"/>
      <c r="H91" s="28"/>
      <c r="I91" s="28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">
      <c r="A92" s="58" t="s">
        <v>281</v>
      </c>
      <c r="B92" s="54">
        <v>62</v>
      </c>
      <c r="C92" s="59" t="s">
        <v>316</v>
      </c>
      <c r="E92" s="28"/>
      <c r="F92" s="28"/>
      <c r="G92" s="28"/>
      <c r="H92" s="28"/>
      <c r="I92" s="28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">
      <c r="A93" s="58" t="s">
        <v>282</v>
      </c>
      <c r="B93" s="54">
        <v>52</v>
      </c>
      <c r="C93" s="59">
        <v>50.333333330000002</v>
      </c>
      <c r="E93" s="28"/>
      <c r="F93" s="28"/>
      <c r="G93" s="28"/>
      <c r="H93" s="28"/>
      <c r="I93" s="28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">
      <c r="A94" s="58" t="s">
        <v>282</v>
      </c>
      <c r="B94" s="54">
        <v>48</v>
      </c>
      <c r="C94" s="59" t="s">
        <v>316</v>
      </c>
      <c r="E94" s="28"/>
      <c r="F94" s="28"/>
      <c r="G94" s="28"/>
      <c r="H94" s="28"/>
      <c r="I94" s="28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">
      <c r="A95" s="68" t="s">
        <v>282</v>
      </c>
      <c r="B95" s="69">
        <v>51</v>
      </c>
      <c r="C95" s="70" t="s">
        <v>316</v>
      </c>
      <c r="E95" s="28"/>
      <c r="F95" s="28"/>
      <c r="G95" s="28"/>
      <c r="H95" s="28"/>
      <c r="I95" s="28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">
      <c r="A96" s="28"/>
      <c r="E96" s="28"/>
      <c r="F96" s="28"/>
      <c r="G96" s="28"/>
      <c r="H96" s="28"/>
      <c r="I96" s="28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">
    <mergeCell ref="G4:I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E2" sqref="E2"/>
    </sheetView>
  </sheetViews>
  <sheetFormatPr baseColWidth="10" defaultColWidth="12.6640625" defaultRowHeight="15" customHeight="1" x14ac:dyDescent="0.15"/>
  <cols>
    <col min="1" max="1" width="12" customWidth="1"/>
    <col min="2" max="2" width="22.33203125" customWidth="1"/>
    <col min="3" max="3" width="7.1640625" customWidth="1"/>
    <col min="4" max="4" width="12.6640625" customWidth="1"/>
    <col min="5" max="5" width="21.33203125" customWidth="1"/>
    <col min="6" max="6" width="5.5" customWidth="1"/>
    <col min="7" max="7" width="14.5" customWidth="1"/>
    <col min="8" max="8" width="22.5" customWidth="1"/>
    <col min="9" max="9" width="20.1640625" customWidth="1"/>
  </cols>
  <sheetData>
    <row r="1" spans="1:26" ht="15.75" customHeight="1" x14ac:dyDescent="0.2">
      <c r="A1" s="176" t="s">
        <v>143</v>
      </c>
      <c r="B1" s="177"/>
      <c r="C1" s="28"/>
      <c r="D1" s="178" t="s">
        <v>266</v>
      </c>
      <c r="E1" s="179"/>
      <c r="F1" s="28"/>
      <c r="G1" s="178" t="s">
        <v>267</v>
      </c>
      <c r="H1" s="179"/>
      <c r="I1" s="28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 customHeight="1" x14ac:dyDescent="0.2">
      <c r="A2" s="52" t="s">
        <v>12</v>
      </c>
      <c r="B2" s="71" t="s">
        <v>144</v>
      </c>
      <c r="C2" s="28"/>
      <c r="D2" s="52" t="s">
        <v>12</v>
      </c>
      <c r="E2" s="71" t="s">
        <v>144</v>
      </c>
      <c r="F2" s="28"/>
      <c r="G2" s="52" t="s">
        <v>12</v>
      </c>
      <c r="H2" s="71" t="s">
        <v>144</v>
      </c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 customHeight="1" x14ac:dyDescent="0.2">
      <c r="A3" s="39" t="s">
        <v>145</v>
      </c>
      <c r="B3" s="43">
        <v>19.263999999999999</v>
      </c>
      <c r="C3" s="28"/>
      <c r="D3" s="61" t="s">
        <v>146</v>
      </c>
      <c r="E3" s="38">
        <v>16.477</v>
      </c>
      <c r="F3" s="28"/>
      <c r="G3" s="39" t="s">
        <v>308</v>
      </c>
      <c r="H3" s="43">
        <v>6.68</v>
      </c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 customHeight="1" x14ac:dyDescent="0.2">
      <c r="A4" s="39" t="s">
        <v>145</v>
      </c>
      <c r="B4" s="43">
        <v>28.414000000000001</v>
      </c>
      <c r="C4" s="28"/>
      <c r="D4" s="39" t="s">
        <v>146</v>
      </c>
      <c r="E4" s="43">
        <v>13.69</v>
      </c>
      <c r="F4" s="28"/>
      <c r="G4" s="39" t="s">
        <v>308</v>
      </c>
      <c r="H4" s="43">
        <v>12.38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">
      <c r="A5" s="39" t="s">
        <v>147</v>
      </c>
      <c r="B5" s="43">
        <v>31.232299999999999</v>
      </c>
      <c r="C5" s="28"/>
      <c r="D5" s="39" t="s">
        <v>146</v>
      </c>
      <c r="E5" s="43">
        <v>6.88</v>
      </c>
      <c r="F5" s="28"/>
      <c r="G5" s="39" t="s">
        <v>308</v>
      </c>
      <c r="H5" s="43">
        <v>14.06</v>
      </c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 x14ac:dyDescent="0.2">
      <c r="A6" s="39" t="s">
        <v>147</v>
      </c>
      <c r="B6" s="43">
        <v>11.23</v>
      </c>
      <c r="C6" s="28"/>
      <c r="D6" s="39" t="s">
        <v>146</v>
      </c>
      <c r="E6" s="43">
        <v>3.6560000000000001</v>
      </c>
      <c r="F6" s="28"/>
      <c r="G6" s="39" t="s">
        <v>308</v>
      </c>
      <c r="H6" s="43">
        <v>11.08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 customHeight="1" x14ac:dyDescent="0.2">
      <c r="A7" s="39" t="s">
        <v>147</v>
      </c>
      <c r="B7" s="43">
        <v>36.47</v>
      </c>
      <c r="C7" s="28"/>
      <c r="D7" s="39" t="s">
        <v>148</v>
      </c>
      <c r="E7" s="43">
        <v>3.5550000000000002</v>
      </c>
      <c r="F7" s="28"/>
      <c r="G7" s="39" t="s">
        <v>308</v>
      </c>
      <c r="H7" s="43">
        <v>7.02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75" customHeight="1" x14ac:dyDescent="0.2">
      <c r="A8" s="39" t="s">
        <v>147</v>
      </c>
      <c r="B8" s="43">
        <v>48.436</v>
      </c>
      <c r="C8" s="28"/>
      <c r="D8" s="39" t="s">
        <v>148</v>
      </c>
      <c r="E8" s="43">
        <v>4.4720000000000004</v>
      </c>
      <c r="F8" s="28"/>
      <c r="G8" s="39" t="s">
        <v>308</v>
      </c>
      <c r="H8" s="43">
        <v>18.5</v>
      </c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">
      <c r="A9" s="39" t="s">
        <v>147</v>
      </c>
      <c r="B9" s="43">
        <v>31.18</v>
      </c>
      <c r="C9" s="28"/>
      <c r="D9" s="39" t="s">
        <v>25</v>
      </c>
      <c r="E9" s="43">
        <v>13.253</v>
      </c>
      <c r="F9" s="28"/>
      <c r="G9" s="39" t="s">
        <v>308</v>
      </c>
      <c r="H9" s="43">
        <v>21.2</v>
      </c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">
      <c r="A10" s="39" t="s">
        <v>147</v>
      </c>
      <c r="B10" s="43">
        <v>44.92</v>
      </c>
      <c r="C10" s="28"/>
      <c r="D10" s="39" t="s">
        <v>148</v>
      </c>
      <c r="E10" s="43">
        <v>14.76</v>
      </c>
      <c r="F10" s="28"/>
      <c r="G10" s="39" t="s">
        <v>308</v>
      </c>
      <c r="H10" s="43">
        <v>6.04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">
      <c r="A11" s="39" t="s">
        <v>147</v>
      </c>
      <c r="B11" s="43">
        <v>36.201000000000001</v>
      </c>
      <c r="C11" s="28"/>
      <c r="D11" s="39" t="s">
        <v>149</v>
      </c>
      <c r="E11" s="43">
        <v>6.68</v>
      </c>
      <c r="F11" s="28"/>
      <c r="G11" s="39" t="s">
        <v>308</v>
      </c>
      <c r="H11" s="43">
        <v>5.7640000000000002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">
      <c r="A12" s="39" t="s">
        <v>150</v>
      </c>
      <c r="B12" s="43">
        <v>16.667999999999999</v>
      </c>
      <c r="C12" s="28"/>
      <c r="D12" s="39" t="s">
        <v>149</v>
      </c>
      <c r="E12" s="43">
        <v>12.38</v>
      </c>
      <c r="F12" s="28"/>
      <c r="G12" s="39" t="s">
        <v>308</v>
      </c>
      <c r="H12" s="43">
        <v>21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">
      <c r="A13" s="39" t="s">
        <v>151</v>
      </c>
      <c r="B13" s="43">
        <v>25.562999999999999</v>
      </c>
      <c r="C13" s="28"/>
      <c r="D13" s="39" t="s">
        <v>149</v>
      </c>
      <c r="E13" s="43">
        <v>6.68</v>
      </c>
      <c r="F13" s="28"/>
      <c r="G13" s="39" t="s">
        <v>308</v>
      </c>
      <c r="H13" s="43">
        <v>13.9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">
      <c r="A14" s="39" t="s">
        <v>151</v>
      </c>
      <c r="B14" s="43">
        <v>28.14</v>
      </c>
      <c r="C14" s="28"/>
      <c r="D14" s="39" t="s">
        <v>149</v>
      </c>
      <c r="E14" s="43">
        <v>14.06</v>
      </c>
      <c r="F14" s="28"/>
      <c r="G14" s="39" t="s">
        <v>308</v>
      </c>
      <c r="H14" s="43">
        <v>3.05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 x14ac:dyDescent="0.2">
      <c r="A15" s="39" t="s">
        <v>151</v>
      </c>
      <c r="B15" s="43">
        <v>35.554000000000002</v>
      </c>
      <c r="C15" s="28"/>
      <c r="D15" s="39" t="s">
        <v>149</v>
      </c>
      <c r="E15" s="43">
        <v>11.08</v>
      </c>
      <c r="F15" s="28"/>
      <c r="G15" s="39" t="s">
        <v>309</v>
      </c>
      <c r="H15" s="43">
        <v>12.9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 x14ac:dyDescent="0.2">
      <c r="A16" s="39" t="s">
        <v>147</v>
      </c>
      <c r="B16" s="43">
        <v>40.161999999999999</v>
      </c>
      <c r="C16" s="28"/>
      <c r="D16" s="39" t="s">
        <v>152</v>
      </c>
      <c r="E16" s="43">
        <v>5.0199999999999996</v>
      </c>
      <c r="F16" s="28"/>
      <c r="G16" s="39" t="s">
        <v>309</v>
      </c>
      <c r="H16" s="43">
        <v>4.8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75" customHeight="1" x14ac:dyDescent="0.2">
      <c r="A17" s="39" t="s">
        <v>147</v>
      </c>
      <c r="B17" s="43">
        <v>24.86</v>
      </c>
      <c r="C17" s="28"/>
      <c r="D17" s="39" t="s">
        <v>152</v>
      </c>
      <c r="E17" s="43">
        <v>18.5</v>
      </c>
      <c r="F17" s="28"/>
      <c r="G17" s="39" t="s">
        <v>309</v>
      </c>
      <c r="H17" s="43">
        <v>4.0640000000000001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 x14ac:dyDescent="0.2">
      <c r="A18" s="39" t="s">
        <v>151</v>
      </c>
      <c r="B18" s="43">
        <v>11.2</v>
      </c>
      <c r="C18" s="28"/>
      <c r="D18" s="39" t="s">
        <v>152</v>
      </c>
      <c r="E18" s="43">
        <v>21.2</v>
      </c>
      <c r="F18" s="28"/>
      <c r="G18" s="39" t="s">
        <v>309</v>
      </c>
      <c r="H18" s="43">
        <v>4.07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 x14ac:dyDescent="0.2">
      <c r="A19" s="39" t="s">
        <v>153</v>
      </c>
      <c r="B19" s="43">
        <v>28.84</v>
      </c>
      <c r="C19" s="28"/>
      <c r="D19" s="39" t="s">
        <v>152</v>
      </c>
      <c r="E19" s="43">
        <v>6.04</v>
      </c>
      <c r="F19" s="28"/>
      <c r="G19" s="39" t="s">
        <v>309</v>
      </c>
      <c r="H19" s="43">
        <v>3.6539999999999999</v>
      </c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 x14ac:dyDescent="0.2">
      <c r="A20" s="39" t="s">
        <v>153</v>
      </c>
      <c r="B20" s="43">
        <v>37.28</v>
      </c>
      <c r="C20" s="28"/>
      <c r="D20" s="39" t="s">
        <v>148</v>
      </c>
      <c r="E20" s="43">
        <v>3.7639999999999998</v>
      </c>
      <c r="F20" s="28"/>
      <c r="G20" s="39" t="s">
        <v>309</v>
      </c>
      <c r="H20" s="43">
        <v>6.5209999999999999</v>
      </c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 x14ac:dyDescent="0.2">
      <c r="A21" s="39" t="s">
        <v>153</v>
      </c>
      <c r="B21" s="43">
        <v>34.58</v>
      </c>
      <c r="C21" s="28"/>
      <c r="D21" s="39" t="s">
        <v>148</v>
      </c>
      <c r="E21" s="43">
        <v>21.2</v>
      </c>
      <c r="F21" s="28"/>
      <c r="G21" s="39" t="s">
        <v>309</v>
      </c>
      <c r="H21" s="43">
        <v>4.6310000000000002</v>
      </c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 x14ac:dyDescent="0.2">
      <c r="A22" s="39" t="s">
        <v>154</v>
      </c>
      <c r="B22" s="43">
        <v>8.984</v>
      </c>
      <c r="C22" s="28"/>
      <c r="D22" s="39" t="s">
        <v>148</v>
      </c>
      <c r="E22" s="43">
        <v>13.9</v>
      </c>
      <c r="F22" s="28"/>
      <c r="G22" s="39" t="s">
        <v>309</v>
      </c>
      <c r="H22" s="43">
        <v>21.67</v>
      </c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 x14ac:dyDescent="0.2">
      <c r="A23" s="39" t="s">
        <v>154</v>
      </c>
      <c r="B23" s="43">
        <v>19.850000000000001</v>
      </c>
      <c r="C23" s="28"/>
      <c r="D23" s="39" t="s">
        <v>148</v>
      </c>
      <c r="E23" s="43">
        <v>2.0499999999999998</v>
      </c>
      <c r="F23" s="28"/>
      <c r="G23" s="39" t="s">
        <v>309</v>
      </c>
      <c r="H23" s="43">
        <v>6.5460000000000003</v>
      </c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 x14ac:dyDescent="0.2">
      <c r="A24" s="39" t="s">
        <v>154</v>
      </c>
      <c r="B24" s="43">
        <v>16.46</v>
      </c>
      <c r="C24" s="28"/>
      <c r="D24" s="39" t="s">
        <v>155</v>
      </c>
      <c r="E24" s="43">
        <v>12.9</v>
      </c>
      <c r="F24" s="28"/>
      <c r="G24" s="39" t="s">
        <v>309</v>
      </c>
      <c r="H24" s="43">
        <v>3.94</v>
      </c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 x14ac:dyDescent="0.2">
      <c r="A25" s="39" t="s">
        <v>154</v>
      </c>
      <c r="B25" s="43">
        <v>24.2</v>
      </c>
      <c r="C25" s="28"/>
      <c r="D25" s="39" t="s">
        <v>155</v>
      </c>
      <c r="E25" s="43">
        <v>3.8</v>
      </c>
      <c r="F25" s="28"/>
      <c r="G25" s="39" t="s">
        <v>309</v>
      </c>
      <c r="H25" s="43">
        <v>3.609</v>
      </c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 x14ac:dyDescent="0.2">
      <c r="A26" s="39" t="s">
        <v>154</v>
      </c>
      <c r="B26" s="43">
        <v>15.7</v>
      </c>
      <c r="C26" s="28"/>
      <c r="D26" s="39" t="s">
        <v>155</v>
      </c>
      <c r="E26" s="43">
        <v>1.0640000000000001</v>
      </c>
      <c r="F26" s="28"/>
      <c r="G26" s="39" t="s">
        <v>309</v>
      </c>
      <c r="H26" s="43">
        <v>6.875</v>
      </c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 x14ac:dyDescent="0.2">
      <c r="A27" s="39" t="s">
        <v>154</v>
      </c>
      <c r="B27" s="43">
        <v>16.8</v>
      </c>
      <c r="C27" s="28"/>
      <c r="D27" s="44" t="s">
        <v>155</v>
      </c>
      <c r="E27" s="67">
        <v>4.07</v>
      </c>
      <c r="F27" s="28"/>
      <c r="G27" s="39" t="s">
        <v>309</v>
      </c>
      <c r="H27" s="43">
        <v>12.2</v>
      </c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">
      <c r="A28" s="39" t="s">
        <v>151</v>
      </c>
      <c r="B28" s="43">
        <v>22.19</v>
      </c>
      <c r="C28" s="28"/>
      <c r="D28" s="126" t="s">
        <v>156</v>
      </c>
      <c r="E28" s="127"/>
      <c r="F28" s="28"/>
      <c r="G28" s="39" t="s">
        <v>309</v>
      </c>
      <c r="H28" s="43">
        <v>13.56</v>
      </c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 x14ac:dyDescent="0.2">
      <c r="A29" s="39" t="s">
        <v>154</v>
      </c>
      <c r="B29" s="43">
        <v>28.5</v>
      </c>
      <c r="C29" s="28"/>
      <c r="D29" s="39" t="s">
        <v>157</v>
      </c>
      <c r="E29" s="43">
        <v>9</v>
      </c>
      <c r="F29" s="28"/>
      <c r="G29" s="39" t="s">
        <v>310</v>
      </c>
      <c r="H29" s="43">
        <v>15.6</v>
      </c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 x14ac:dyDescent="0.2">
      <c r="A30" s="39" t="s">
        <v>147</v>
      </c>
      <c r="B30" s="43">
        <v>27.33</v>
      </c>
      <c r="C30" s="28"/>
      <c r="D30" s="39" t="s">
        <v>157</v>
      </c>
      <c r="E30" s="43">
        <v>6.88</v>
      </c>
      <c r="F30" s="28"/>
      <c r="G30" s="39" t="s">
        <v>310</v>
      </c>
      <c r="H30" s="43">
        <v>6.88</v>
      </c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 x14ac:dyDescent="0.2">
      <c r="A31" s="39" t="s">
        <v>153</v>
      </c>
      <c r="B31" s="43">
        <v>40.700000000000003</v>
      </c>
      <c r="C31" s="28"/>
      <c r="D31" s="39" t="s">
        <v>157</v>
      </c>
      <c r="E31" s="43">
        <v>6.05</v>
      </c>
      <c r="F31" s="28"/>
      <c r="G31" s="39" t="s">
        <v>310</v>
      </c>
      <c r="H31" s="43">
        <v>3.6560000000000001</v>
      </c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 x14ac:dyDescent="0.2">
      <c r="A32" s="39" t="s">
        <v>153</v>
      </c>
      <c r="B32" s="43">
        <v>23.2</v>
      </c>
      <c r="C32" s="28"/>
      <c r="D32" s="39" t="s">
        <v>158</v>
      </c>
      <c r="E32" s="43">
        <v>3.6539999999999999</v>
      </c>
      <c r="F32" s="28"/>
      <c r="G32" s="39" t="s">
        <v>310</v>
      </c>
      <c r="H32" s="43">
        <v>3.5550000000000002</v>
      </c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 x14ac:dyDescent="0.2">
      <c r="A33" s="39" t="s">
        <v>153</v>
      </c>
      <c r="B33" s="43">
        <v>18.989999999999998</v>
      </c>
      <c r="C33" s="28"/>
      <c r="D33" s="39" t="s">
        <v>158</v>
      </c>
      <c r="E33" s="43">
        <v>6.5209999999999999</v>
      </c>
      <c r="F33" s="28"/>
      <c r="G33" s="39" t="s">
        <v>310</v>
      </c>
      <c r="H33" s="43">
        <v>4.4720000000000004</v>
      </c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 x14ac:dyDescent="0.2">
      <c r="A34" s="39" t="s">
        <v>153</v>
      </c>
      <c r="B34" s="43">
        <v>16.477</v>
      </c>
      <c r="C34" s="28"/>
      <c r="D34" s="39" t="s">
        <v>158</v>
      </c>
      <c r="E34" s="43">
        <v>4.6310000000000002</v>
      </c>
      <c r="F34" s="28"/>
      <c r="G34" s="39" t="s">
        <v>310</v>
      </c>
      <c r="H34" s="43">
        <v>13.253</v>
      </c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">
      <c r="A35" s="39" t="s">
        <v>153</v>
      </c>
      <c r="B35" s="43">
        <v>13.69</v>
      </c>
      <c r="C35" s="28"/>
      <c r="D35" s="39" t="s">
        <v>158</v>
      </c>
      <c r="E35" s="43">
        <v>21.67</v>
      </c>
      <c r="F35" s="28"/>
      <c r="G35" s="39" t="s">
        <v>310</v>
      </c>
      <c r="H35" s="43">
        <v>9</v>
      </c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 x14ac:dyDescent="0.2">
      <c r="A36" s="39" t="s">
        <v>153</v>
      </c>
      <c r="B36" s="43">
        <v>14.76</v>
      </c>
      <c r="C36" s="28"/>
      <c r="D36" s="39" t="s">
        <v>158</v>
      </c>
      <c r="E36" s="43">
        <v>6.5460000000000003</v>
      </c>
      <c r="F36" s="28"/>
      <c r="G36" s="39" t="s">
        <v>310</v>
      </c>
      <c r="H36" s="43">
        <v>6.88</v>
      </c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 x14ac:dyDescent="0.2">
      <c r="A37" s="39" t="s">
        <v>153</v>
      </c>
      <c r="B37" s="43">
        <v>11.2</v>
      </c>
      <c r="C37" s="28"/>
      <c r="D37" s="39" t="s">
        <v>159</v>
      </c>
      <c r="E37" s="43">
        <v>3.94</v>
      </c>
      <c r="F37" s="28"/>
      <c r="G37" s="39" t="s">
        <v>310</v>
      </c>
      <c r="H37" s="43">
        <v>6.25</v>
      </c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 x14ac:dyDescent="0.2">
      <c r="A38" s="39" t="s">
        <v>153</v>
      </c>
      <c r="B38" s="43">
        <v>28.84</v>
      </c>
      <c r="C38" s="28"/>
      <c r="D38" s="39" t="s">
        <v>159</v>
      </c>
      <c r="E38" s="43">
        <v>3.609</v>
      </c>
      <c r="F38" s="28"/>
      <c r="G38" s="39" t="s">
        <v>311</v>
      </c>
      <c r="H38" s="43">
        <v>3.6560000000000001</v>
      </c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 x14ac:dyDescent="0.2">
      <c r="A39" s="39" t="s">
        <v>151</v>
      </c>
      <c r="B39" s="43">
        <v>37.28</v>
      </c>
      <c r="C39" s="28"/>
      <c r="D39" s="39" t="s">
        <v>159</v>
      </c>
      <c r="E39" s="43">
        <v>6.875</v>
      </c>
      <c r="F39" s="28"/>
      <c r="G39" s="39" t="s">
        <v>311</v>
      </c>
      <c r="H39" s="43">
        <v>3.5550000000000002</v>
      </c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 x14ac:dyDescent="0.2">
      <c r="A40" s="39" t="s">
        <v>151</v>
      </c>
      <c r="B40" s="43">
        <v>27.17</v>
      </c>
      <c r="C40" s="28"/>
      <c r="D40" s="39" t="s">
        <v>159</v>
      </c>
      <c r="E40" s="43">
        <v>12.2</v>
      </c>
      <c r="F40" s="28"/>
      <c r="G40" s="39" t="s">
        <v>311</v>
      </c>
      <c r="H40" s="43">
        <v>4.4720000000000004</v>
      </c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 x14ac:dyDescent="0.2">
      <c r="A41" s="39" t="s">
        <v>151</v>
      </c>
      <c r="B41" s="43">
        <v>19.850000000000001</v>
      </c>
      <c r="C41" s="28"/>
      <c r="D41" s="39" t="s">
        <v>159</v>
      </c>
      <c r="E41" s="43">
        <v>13.56</v>
      </c>
      <c r="F41" s="28"/>
      <c r="G41" s="39" t="s">
        <v>311</v>
      </c>
      <c r="H41" s="43">
        <v>13.253</v>
      </c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 x14ac:dyDescent="0.2">
      <c r="A42" s="44" t="s">
        <v>151</v>
      </c>
      <c r="B42" s="67">
        <v>25.562999999999999</v>
      </c>
      <c r="C42" s="28"/>
      <c r="D42" s="39" t="s">
        <v>159</v>
      </c>
      <c r="E42" s="43">
        <v>15.6</v>
      </c>
      <c r="F42" s="28"/>
      <c r="G42" s="39" t="s">
        <v>311</v>
      </c>
      <c r="H42" s="43">
        <v>9</v>
      </c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 x14ac:dyDescent="0.2">
      <c r="A43" s="28"/>
      <c r="B43" s="28"/>
      <c r="C43" s="28"/>
      <c r="D43" s="39" t="s">
        <v>160</v>
      </c>
      <c r="E43" s="43">
        <v>4.6340000000000003</v>
      </c>
      <c r="F43" s="28"/>
      <c r="G43" s="39" t="s">
        <v>311</v>
      </c>
      <c r="H43" s="43">
        <v>6.88</v>
      </c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">
      <c r="A44" s="28"/>
      <c r="B44" s="28"/>
      <c r="C44" s="28"/>
      <c r="D44" s="72" t="s">
        <v>161</v>
      </c>
      <c r="E44" s="128"/>
      <c r="F44" s="28"/>
      <c r="G44" s="39" t="s">
        <v>311</v>
      </c>
      <c r="H44" s="43">
        <v>6.05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 x14ac:dyDescent="0.2">
      <c r="A45" s="28"/>
      <c r="B45" s="28"/>
      <c r="C45" s="28"/>
      <c r="D45" s="39" t="s">
        <v>162</v>
      </c>
      <c r="E45" s="43">
        <v>34.58</v>
      </c>
      <c r="F45" s="28"/>
      <c r="G45" s="39" t="s">
        <v>311</v>
      </c>
      <c r="H45" s="43">
        <v>4.6340000000000003</v>
      </c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 x14ac:dyDescent="0.2">
      <c r="A46" s="28"/>
      <c r="B46" s="28"/>
      <c r="C46" s="28"/>
      <c r="D46" s="39" t="s">
        <v>162</v>
      </c>
      <c r="E46" s="43">
        <v>8.984</v>
      </c>
      <c r="F46" s="28"/>
      <c r="G46" s="39" t="s">
        <v>311</v>
      </c>
      <c r="H46" s="43">
        <v>6.5460000000000003</v>
      </c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 x14ac:dyDescent="0.2">
      <c r="A47" s="28"/>
      <c r="B47" s="28"/>
      <c r="C47" s="28"/>
      <c r="D47" s="39" t="s">
        <v>162</v>
      </c>
      <c r="E47" s="43">
        <v>19.850000000000001</v>
      </c>
      <c r="F47" s="28"/>
      <c r="G47" s="39" t="s">
        <v>311</v>
      </c>
      <c r="H47" s="43">
        <v>21.67</v>
      </c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">
      <c r="A48" s="28"/>
      <c r="B48" s="28"/>
      <c r="C48" s="28"/>
      <c r="D48" s="39" t="s">
        <v>162</v>
      </c>
      <c r="E48" s="43">
        <v>16.46</v>
      </c>
      <c r="F48" s="28"/>
      <c r="G48" s="44" t="s">
        <v>311</v>
      </c>
      <c r="H48" s="67">
        <v>13.2</v>
      </c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 x14ac:dyDescent="0.2">
      <c r="A49" s="28"/>
      <c r="B49" s="28"/>
      <c r="C49" s="28"/>
      <c r="D49" s="39" t="s">
        <v>163</v>
      </c>
      <c r="E49" s="43">
        <v>24.2</v>
      </c>
      <c r="F49" s="28"/>
      <c r="G49" s="28"/>
      <c r="H49" s="28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 x14ac:dyDescent="0.2">
      <c r="A50" s="28"/>
      <c r="B50" s="28"/>
      <c r="C50" s="28"/>
      <c r="D50" s="39" t="s">
        <v>163</v>
      </c>
      <c r="E50" s="43">
        <v>15.7</v>
      </c>
      <c r="F50" s="28"/>
      <c r="G50" s="28"/>
      <c r="H50" s="28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 x14ac:dyDescent="0.2">
      <c r="A51" s="28"/>
      <c r="B51" s="28"/>
      <c r="C51" s="28"/>
      <c r="D51" s="39" t="s">
        <v>163</v>
      </c>
      <c r="E51" s="43">
        <v>16.8</v>
      </c>
      <c r="F51" s="28"/>
      <c r="G51" s="28"/>
      <c r="H51" s="28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 x14ac:dyDescent="0.2">
      <c r="A52" s="28"/>
      <c r="B52" s="28"/>
      <c r="C52" s="28"/>
      <c r="D52" s="39" t="s">
        <v>163</v>
      </c>
      <c r="E52" s="43">
        <v>22.19</v>
      </c>
      <c r="F52" s="28"/>
      <c r="G52" s="28"/>
      <c r="H52" s="28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">
      <c r="A53" s="28"/>
      <c r="B53" s="28"/>
      <c r="C53" s="28"/>
      <c r="D53" s="39" t="s">
        <v>163</v>
      </c>
      <c r="E53" s="43">
        <v>17.8</v>
      </c>
      <c r="F53" s="28"/>
      <c r="G53" s="28"/>
      <c r="H53" s="28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2">
      <c r="A54" s="28"/>
      <c r="B54" s="28"/>
      <c r="C54" s="28"/>
      <c r="D54" s="39" t="s">
        <v>163</v>
      </c>
      <c r="E54" s="43">
        <v>22.8</v>
      </c>
      <c r="F54" s="28"/>
      <c r="G54" s="28"/>
      <c r="H54" s="28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">
      <c r="A55" s="28"/>
      <c r="B55" s="28"/>
      <c r="C55" s="28"/>
      <c r="D55" s="39" t="s">
        <v>164</v>
      </c>
      <c r="E55" s="43">
        <v>28.5</v>
      </c>
      <c r="F55" s="28"/>
      <c r="G55" s="28"/>
      <c r="H55" s="28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">
      <c r="A56" s="28"/>
      <c r="B56" s="28"/>
      <c r="C56" s="28"/>
      <c r="D56" s="39" t="s">
        <v>164</v>
      </c>
      <c r="E56" s="43">
        <v>27.33</v>
      </c>
      <c r="F56" s="28"/>
      <c r="G56" s="28"/>
      <c r="H56" s="28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">
      <c r="A57" s="28"/>
      <c r="B57" s="28"/>
      <c r="C57" s="28"/>
      <c r="D57" s="39" t="s">
        <v>165</v>
      </c>
      <c r="E57" s="43">
        <v>40.700000000000003</v>
      </c>
      <c r="F57" s="28"/>
      <c r="G57" s="28"/>
      <c r="H57" s="28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">
      <c r="A58" s="54"/>
      <c r="B58" s="54"/>
      <c r="C58" s="54"/>
      <c r="D58" s="39" t="s">
        <v>165</v>
      </c>
      <c r="E58" s="43">
        <v>23.2</v>
      </c>
      <c r="F58" s="54"/>
      <c r="G58" s="54"/>
      <c r="H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">
      <c r="A59" s="54"/>
      <c r="B59" s="54"/>
      <c r="C59" s="54"/>
      <c r="D59" s="44" t="s">
        <v>165</v>
      </c>
      <c r="E59" s="67">
        <v>18.989999999999998</v>
      </c>
      <c r="F59" s="54"/>
      <c r="G59" s="54"/>
      <c r="H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">
      <c r="A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">
    <mergeCell ref="A1:B1"/>
    <mergeCell ref="D1:E1"/>
    <mergeCell ref="G1:H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I13" sqref="I13"/>
    </sheetView>
  </sheetViews>
  <sheetFormatPr baseColWidth="10" defaultColWidth="12.6640625" defaultRowHeight="15" customHeight="1" x14ac:dyDescent="0.15"/>
  <cols>
    <col min="1" max="1" width="17.1640625" customWidth="1"/>
    <col min="2" max="2" width="19.6640625" customWidth="1"/>
    <col min="3" max="11" width="12.6640625" customWidth="1"/>
  </cols>
  <sheetData>
    <row r="1" spans="1:26" ht="15.75" customHeight="1" x14ac:dyDescent="0.2">
      <c r="A1" s="180" t="s">
        <v>166</v>
      </c>
      <c r="B1" s="181"/>
      <c r="C1" s="181"/>
      <c r="D1" s="181"/>
      <c r="E1" s="181"/>
      <c r="F1" s="182"/>
      <c r="G1" s="56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 customHeight="1" thickBot="1" x14ac:dyDescent="0.25">
      <c r="A2" s="73" t="s">
        <v>167</v>
      </c>
      <c r="B2" s="74" t="s">
        <v>168</v>
      </c>
      <c r="C2" s="75"/>
      <c r="D2" s="75"/>
      <c r="E2" s="75"/>
      <c r="F2" s="76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 customHeight="1" thickBot="1" x14ac:dyDescent="0.25">
      <c r="A3" s="56"/>
      <c r="B3" s="56"/>
      <c r="C3" s="56"/>
      <c r="D3" s="56"/>
      <c r="E3" s="56"/>
      <c r="F3" s="56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5.75" customHeight="1" thickBot="1" x14ac:dyDescent="0.25">
      <c r="A4" s="111" t="s">
        <v>265</v>
      </c>
      <c r="B4" s="78" t="s">
        <v>169</v>
      </c>
      <c r="C4" s="78" t="s">
        <v>170</v>
      </c>
      <c r="D4" s="78" t="s">
        <v>171</v>
      </c>
      <c r="E4" s="78" t="s">
        <v>172</v>
      </c>
      <c r="F4" s="79" t="s">
        <v>173</v>
      </c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">
      <c r="A5" s="65" t="s">
        <v>174</v>
      </c>
      <c r="B5" s="40">
        <v>15</v>
      </c>
      <c r="C5" s="40">
        <v>1</v>
      </c>
      <c r="D5" s="40">
        <v>17</v>
      </c>
      <c r="E5" s="40">
        <v>10</v>
      </c>
      <c r="F5" s="43">
        <v>3</v>
      </c>
      <c r="H5" s="54"/>
      <c r="I5" s="54"/>
      <c r="J5" s="28"/>
      <c r="K5" s="28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 x14ac:dyDescent="0.2">
      <c r="A6" s="65" t="s">
        <v>175</v>
      </c>
      <c r="B6" s="40">
        <v>0</v>
      </c>
      <c r="C6" s="40">
        <v>0</v>
      </c>
      <c r="D6" s="40">
        <v>1</v>
      </c>
      <c r="E6" s="40">
        <v>2</v>
      </c>
      <c r="F6" s="43">
        <v>0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 customHeight="1" x14ac:dyDescent="0.2">
      <c r="A7" s="65" t="s">
        <v>174</v>
      </c>
      <c r="B7" s="40">
        <v>15</v>
      </c>
      <c r="C7" s="40">
        <v>5</v>
      </c>
      <c r="D7" s="40">
        <v>20</v>
      </c>
      <c r="E7" s="40">
        <v>8</v>
      </c>
      <c r="F7" s="43">
        <v>3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75" customHeight="1" x14ac:dyDescent="0.2">
      <c r="A8" s="65" t="s">
        <v>175</v>
      </c>
      <c r="B8" s="40">
        <v>0</v>
      </c>
      <c r="C8" s="40">
        <v>0</v>
      </c>
      <c r="D8" s="40">
        <v>2</v>
      </c>
      <c r="E8" s="40">
        <v>1</v>
      </c>
      <c r="F8" s="43">
        <v>2</v>
      </c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">
      <c r="A9" s="65" t="s">
        <v>174</v>
      </c>
      <c r="B9" s="40">
        <v>7</v>
      </c>
      <c r="C9" s="40">
        <v>2</v>
      </c>
      <c r="D9" s="40">
        <v>17</v>
      </c>
      <c r="E9" s="40">
        <v>8</v>
      </c>
      <c r="F9" s="43">
        <v>1</v>
      </c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">
      <c r="A10" s="65" t="s">
        <v>175</v>
      </c>
      <c r="B10" s="40">
        <v>0</v>
      </c>
      <c r="C10" s="40">
        <v>0</v>
      </c>
      <c r="D10" s="40">
        <v>0</v>
      </c>
      <c r="E10" s="40">
        <v>2</v>
      </c>
      <c r="F10" s="43">
        <v>0</v>
      </c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">
      <c r="A11" s="65" t="s">
        <v>174</v>
      </c>
      <c r="B11" s="40">
        <v>6</v>
      </c>
      <c r="C11" s="40">
        <v>4</v>
      </c>
      <c r="D11" s="40">
        <v>22</v>
      </c>
      <c r="E11" s="40">
        <v>9</v>
      </c>
      <c r="F11" s="43">
        <v>4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">
      <c r="A12" s="65" t="s">
        <v>175</v>
      </c>
      <c r="B12" s="40">
        <v>0</v>
      </c>
      <c r="C12" s="40">
        <v>0</v>
      </c>
      <c r="D12" s="40">
        <v>1</v>
      </c>
      <c r="E12" s="40">
        <v>0</v>
      </c>
      <c r="F12" s="43">
        <v>0</v>
      </c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">
      <c r="A13" s="65" t="s">
        <v>174</v>
      </c>
      <c r="B13" s="40">
        <v>10</v>
      </c>
      <c r="C13" s="40">
        <v>11</v>
      </c>
      <c r="D13" s="40">
        <v>13</v>
      </c>
      <c r="E13" s="40">
        <v>6</v>
      </c>
      <c r="F13" s="43">
        <v>0</v>
      </c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">
      <c r="A14" s="65" t="s">
        <v>175</v>
      </c>
      <c r="B14" s="40">
        <v>2</v>
      </c>
      <c r="C14" s="40">
        <v>0</v>
      </c>
      <c r="D14" s="40">
        <v>2</v>
      </c>
      <c r="E14" s="40">
        <v>3</v>
      </c>
      <c r="F14" s="43">
        <v>0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 thickBot="1" x14ac:dyDescent="0.25">
      <c r="A15" s="81" t="s">
        <v>176</v>
      </c>
      <c r="B15" s="40">
        <f t="shared" ref="B15:F15" si="0">SUM(B5:B14)</f>
        <v>55</v>
      </c>
      <c r="C15" s="40">
        <f t="shared" si="0"/>
        <v>23</v>
      </c>
      <c r="D15" s="40">
        <f t="shared" si="0"/>
        <v>95</v>
      </c>
      <c r="E15" s="40">
        <f t="shared" si="0"/>
        <v>49</v>
      </c>
      <c r="F15" s="43">
        <f t="shared" si="0"/>
        <v>13</v>
      </c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 thickBot="1" x14ac:dyDescent="0.25">
      <c r="A16" s="77" t="s">
        <v>177</v>
      </c>
      <c r="B16" s="78" t="s">
        <v>169</v>
      </c>
      <c r="C16" s="78" t="s">
        <v>170</v>
      </c>
      <c r="D16" s="78" t="s">
        <v>171</v>
      </c>
      <c r="E16" s="78" t="s">
        <v>172</v>
      </c>
      <c r="F16" s="79" t="s">
        <v>173</v>
      </c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75" customHeight="1" x14ac:dyDescent="0.2">
      <c r="A17" s="65" t="s">
        <v>174</v>
      </c>
      <c r="B17" s="40">
        <v>9</v>
      </c>
      <c r="C17" s="40">
        <v>5</v>
      </c>
      <c r="D17" s="40">
        <v>15</v>
      </c>
      <c r="E17" s="40">
        <v>4</v>
      </c>
      <c r="F17" s="43">
        <v>1</v>
      </c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 x14ac:dyDescent="0.2">
      <c r="A18" s="65" t="s">
        <v>175</v>
      </c>
      <c r="B18" s="40">
        <v>0</v>
      </c>
      <c r="C18" s="40">
        <v>0</v>
      </c>
      <c r="D18" s="40">
        <v>1</v>
      </c>
      <c r="E18" s="40">
        <v>1</v>
      </c>
      <c r="F18" s="43">
        <v>1</v>
      </c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 x14ac:dyDescent="0.2">
      <c r="A19" s="65" t="s">
        <v>174</v>
      </c>
      <c r="B19" s="40">
        <v>9</v>
      </c>
      <c r="C19" s="40">
        <v>8</v>
      </c>
      <c r="D19" s="40">
        <v>9</v>
      </c>
      <c r="E19" s="40">
        <v>10</v>
      </c>
      <c r="F19" s="43">
        <v>2</v>
      </c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 x14ac:dyDescent="0.2">
      <c r="A20" s="65" t="s">
        <v>175</v>
      </c>
      <c r="B20" s="40">
        <v>0</v>
      </c>
      <c r="C20" s="40">
        <v>0</v>
      </c>
      <c r="D20" s="40">
        <v>1</v>
      </c>
      <c r="E20" s="40">
        <v>3</v>
      </c>
      <c r="F20" s="43">
        <v>1</v>
      </c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 x14ac:dyDescent="0.2">
      <c r="A21" s="65" t="s">
        <v>174</v>
      </c>
      <c r="B21" s="40">
        <v>6</v>
      </c>
      <c r="C21" s="40">
        <v>20</v>
      </c>
      <c r="D21" s="40">
        <v>10</v>
      </c>
      <c r="E21" s="40">
        <v>9</v>
      </c>
      <c r="F21" s="43">
        <v>3</v>
      </c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 x14ac:dyDescent="0.2">
      <c r="A22" s="65" t="s">
        <v>175</v>
      </c>
      <c r="B22" s="40">
        <v>0</v>
      </c>
      <c r="C22" s="40">
        <v>7</v>
      </c>
      <c r="D22" s="40">
        <v>1</v>
      </c>
      <c r="E22" s="40">
        <v>8</v>
      </c>
      <c r="F22" s="43">
        <v>2</v>
      </c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 x14ac:dyDescent="0.2">
      <c r="A23" s="65" t="s">
        <v>174</v>
      </c>
      <c r="B23" s="40">
        <v>7</v>
      </c>
      <c r="C23" s="40">
        <v>10</v>
      </c>
      <c r="D23" s="40">
        <v>12</v>
      </c>
      <c r="E23" s="40">
        <v>10</v>
      </c>
      <c r="F23" s="43">
        <v>1</v>
      </c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 x14ac:dyDescent="0.2">
      <c r="A24" s="65" t="s">
        <v>175</v>
      </c>
      <c r="B24" s="40">
        <v>0</v>
      </c>
      <c r="C24" s="40">
        <v>2</v>
      </c>
      <c r="D24" s="40">
        <v>2</v>
      </c>
      <c r="E24" s="40">
        <v>2</v>
      </c>
      <c r="F24" s="43">
        <v>0</v>
      </c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 x14ac:dyDescent="0.2">
      <c r="A25" s="65" t="s">
        <v>174</v>
      </c>
      <c r="B25" s="40">
        <v>9</v>
      </c>
      <c r="C25" s="40">
        <v>8</v>
      </c>
      <c r="D25" s="40">
        <v>15</v>
      </c>
      <c r="E25" s="40">
        <v>8</v>
      </c>
      <c r="F25" s="43">
        <v>0</v>
      </c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 x14ac:dyDescent="0.2">
      <c r="A26" s="65" t="s">
        <v>175</v>
      </c>
      <c r="B26" s="40">
        <v>0</v>
      </c>
      <c r="C26" s="40">
        <v>0</v>
      </c>
      <c r="D26" s="40">
        <v>2</v>
      </c>
      <c r="E26" s="40">
        <v>3</v>
      </c>
      <c r="F26" s="43">
        <v>0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 thickBot="1" x14ac:dyDescent="0.25">
      <c r="A27" s="81" t="s">
        <v>176</v>
      </c>
      <c r="B27" s="40">
        <f t="shared" ref="B27:F27" si="1">SUM(B17:B26)</f>
        <v>40</v>
      </c>
      <c r="C27" s="40">
        <f t="shared" si="1"/>
        <v>60</v>
      </c>
      <c r="D27" s="40">
        <f t="shared" si="1"/>
        <v>68</v>
      </c>
      <c r="E27" s="40">
        <f t="shared" si="1"/>
        <v>58</v>
      </c>
      <c r="F27" s="43">
        <f t="shared" si="1"/>
        <v>11</v>
      </c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 thickBot="1" x14ac:dyDescent="0.25">
      <c r="A28" s="111" t="s">
        <v>264</v>
      </c>
      <c r="B28" s="78" t="s">
        <v>169</v>
      </c>
      <c r="C28" s="78" t="s">
        <v>170</v>
      </c>
      <c r="D28" s="78" t="s">
        <v>171</v>
      </c>
      <c r="E28" s="78" t="s">
        <v>172</v>
      </c>
      <c r="F28" s="79" t="s">
        <v>173</v>
      </c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 x14ac:dyDescent="0.2">
      <c r="A29" s="65" t="s">
        <v>174</v>
      </c>
      <c r="B29" s="40">
        <v>9</v>
      </c>
      <c r="C29" s="40">
        <v>15</v>
      </c>
      <c r="D29" s="40">
        <v>11</v>
      </c>
      <c r="E29" s="40">
        <v>9</v>
      </c>
      <c r="F29" s="43">
        <v>0</v>
      </c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 x14ac:dyDescent="0.2">
      <c r="A30" s="65" t="s">
        <v>175</v>
      </c>
      <c r="B30" s="40">
        <v>0</v>
      </c>
      <c r="C30" s="40">
        <v>0</v>
      </c>
      <c r="D30" s="40">
        <v>1</v>
      </c>
      <c r="E30" s="40">
        <v>3</v>
      </c>
      <c r="F30" s="43">
        <v>0</v>
      </c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 x14ac:dyDescent="0.2">
      <c r="A31" s="65" t="s">
        <v>174</v>
      </c>
      <c r="B31" s="40">
        <v>12</v>
      </c>
      <c r="C31" s="40">
        <v>9</v>
      </c>
      <c r="D31" s="40">
        <v>7</v>
      </c>
      <c r="E31" s="40">
        <v>7</v>
      </c>
      <c r="F31" s="43">
        <v>4</v>
      </c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 x14ac:dyDescent="0.2">
      <c r="A32" s="65" t="s">
        <v>175</v>
      </c>
      <c r="B32" s="40">
        <v>0</v>
      </c>
      <c r="C32" s="40">
        <v>0</v>
      </c>
      <c r="D32" s="40">
        <v>1</v>
      </c>
      <c r="E32" s="40">
        <v>4</v>
      </c>
      <c r="F32" s="43">
        <v>3</v>
      </c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 x14ac:dyDescent="0.2">
      <c r="A33" s="65" t="s">
        <v>174</v>
      </c>
      <c r="B33" s="40">
        <v>10</v>
      </c>
      <c r="C33" s="40">
        <v>5</v>
      </c>
      <c r="D33" s="40">
        <v>16</v>
      </c>
      <c r="E33" s="40">
        <v>9</v>
      </c>
      <c r="F33" s="43">
        <v>1</v>
      </c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 x14ac:dyDescent="0.2">
      <c r="A34" s="65" t="s">
        <v>175</v>
      </c>
      <c r="B34" s="40">
        <v>0</v>
      </c>
      <c r="C34" s="40">
        <v>0</v>
      </c>
      <c r="D34" s="40">
        <v>2</v>
      </c>
      <c r="E34" s="40">
        <v>2</v>
      </c>
      <c r="F34" s="43">
        <v>1</v>
      </c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">
      <c r="A35" s="65" t="s">
        <v>174</v>
      </c>
      <c r="B35" s="40">
        <v>3</v>
      </c>
      <c r="C35" s="40">
        <v>10</v>
      </c>
      <c r="D35" s="40">
        <v>18</v>
      </c>
      <c r="E35" s="40">
        <v>5</v>
      </c>
      <c r="F35" s="43">
        <v>2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 x14ac:dyDescent="0.2">
      <c r="A36" s="65" t="s">
        <v>175</v>
      </c>
      <c r="B36" s="40">
        <v>0</v>
      </c>
      <c r="C36" s="40">
        <v>0</v>
      </c>
      <c r="D36" s="40">
        <v>0</v>
      </c>
      <c r="E36" s="40">
        <v>0</v>
      </c>
      <c r="F36" s="43">
        <v>1</v>
      </c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 x14ac:dyDescent="0.2">
      <c r="A37" s="65" t="s">
        <v>174</v>
      </c>
      <c r="B37" s="40">
        <v>10</v>
      </c>
      <c r="C37" s="40">
        <v>22</v>
      </c>
      <c r="D37" s="40">
        <v>9</v>
      </c>
      <c r="E37" s="40">
        <v>7</v>
      </c>
      <c r="F37" s="43">
        <v>0</v>
      </c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 x14ac:dyDescent="0.2">
      <c r="A38" s="65" t="s">
        <v>175</v>
      </c>
      <c r="B38" s="40">
        <v>0</v>
      </c>
      <c r="C38" s="40">
        <v>2</v>
      </c>
      <c r="D38" s="40">
        <v>1</v>
      </c>
      <c r="E38" s="40">
        <v>2</v>
      </c>
      <c r="F38" s="43">
        <v>0</v>
      </c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 thickBot="1" x14ac:dyDescent="0.25">
      <c r="A39" s="81" t="s">
        <v>176</v>
      </c>
      <c r="B39" s="40">
        <f t="shared" ref="B39:F39" si="2">SUM(B29:B38)</f>
        <v>44</v>
      </c>
      <c r="C39" s="40">
        <f t="shared" si="2"/>
        <v>63</v>
      </c>
      <c r="D39" s="40">
        <f t="shared" si="2"/>
        <v>66</v>
      </c>
      <c r="E39" s="40">
        <f t="shared" si="2"/>
        <v>48</v>
      </c>
      <c r="F39" s="43">
        <f t="shared" si="2"/>
        <v>12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 thickBot="1" x14ac:dyDescent="0.25">
      <c r="A40" s="77" t="s">
        <v>178</v>
      </c>
      <c r="B40" s="78" t="s">
        <v>169</v>
      </c>
      <c r="C40" s="78" t="s">
        <v>170</v>
      </c>
      <c r="D40" s="78" t="s">
        <v>171</v>
      </c>
      <c r="E40" s="78" t="s">
        <v>172</v>
      </c>
      <c r="F40" s="79" t="s">
        <v>173</v>
      </c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 x14ac:dyDescent="0.2">
      <c r="A41" s="65" t="s">
        <v>174</v>
      </c>
      <c r="B41" s="40">
        <v>3</v>
      </c>
      <c r="C41" s="40">
        <v>8</v>
      </c>
      <c r="D41" s="40">
        <v>17</v>
      </c>
      <c r="E41" s="40">
        <v>7</v>
      </c>
      <c r="F41" s="43">
        <v>2</v>
      </c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 x14ac:dyDescent="0.2">
      <c r="A42" s="65" t="s">
        <v>175</v>
      </c>
      <c r="B42" s="40">
        <v>0</v>
      </c>
      <c r="C42" s="40">
        <v>4</v>
      </c>
      <c r="D42" s="40">
        <v>2</v>
      </c>
      <c r="E42" s="40">
        <v>4</v>
      </c>
      <c r="F42" s="43">
        <v>0</v>
      </c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 x14ac:dyDescent="0.2">
      <c r="A43" s="65" t="s">
        <v>174</v>
      </c>
      <c r="B43" s="40">
        <v>2</v>
      </c>
      <c r="C43" s="40">
        <v>3</v>
      </c>
      <c r="D43" s="40">
        <v>8</v>
      </c>
      <c r="E43" s="40">
        <v>8</v>
      </c>
      <c r="F43" s="43">
        <v>2</v>
      </c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">
      <c r="A44" s="65" t="s">
        <v>175</v>
      </c>
      <c r="B44" s="40">
        <v>0</v>
      </c>
      <c r="C44" s="40">
        <v>2</v>
      </c>
      <c r="D44" s="40">
        <v>1</v>
      </c>
      <c r="E44" s="40">
        <v>3</v>
      </c>
      <c r="F44" s="43">
        <v>0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 x14ac:dyDescent="0.2">
      <c r="A45" s="65" t="s">
        <v>174</v>
      </c>
      <c r="B45" s="40">
        <v>6</v>
      </c>
      <c r="C45" s="40">
        <v>10</v>
      </c>
      <c r="D45" s="40">
        <v>16</v>
      </c>
      <c r="E45" s="40">
        <v>7</v>
      </c>
      <c r="F45" s="43">
        <v>1</v>
      </c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 x14ac:dyDescent="0.2">
      <c r="A46" s="65" t="s">
        <v>175</v>
      </c>
      <c r="B46" s="40">
        <v>0</v>
      </c>
      <c r="C46" s="40">
        <v>4</v>
      </c>
      <c r="D46" s="40">
        <v>2</v>
      </c>
      <c r="E46" s="40">
        <v>4</v>
      </c>
      <c r="F46" s="43">
        <v>1</v>
      </c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 x14ac:dyDescent="0.2">
      <c r="A47" s="65" t="s">
        <v>174</v>
      </c>
      <c r="B47" s="40">
        <v>3</v>
      </c>
      <c r="C47" s="40">
        <v>8</v>
      </c>
      <c r="D47" s="40">
        <v>15</v>
      </c>
      <c r="E47" s="40">
        <v>10</v>
      </c>
      <c r="F47" s="43">
        <v>3</v>
      </c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">
      <c r="A48" s="65" t="s">
        <v>175</v>
      </c>
      <c r="B48" s="40">
        <v>0</v>
      </c>
      <c r="C48" s="40">
        <v>3</v>
      </c>
      <c r="D48" s="40">
        <v>3</v>
      </c>
      <c r="E48" s="40">
        <v>3</v>
      </c>
      <c r="F48" s="43">
        <v>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 x14ac:dyDescent="0.2">
      <c r="A49" s="65" t="s">
        <v>174</v>
      </c>
      <c r="B49" s="40">
        <v>2</v>
      </c>
      <c r="C49" s="40">
        <v>6</v>
      </c>
      <c r="D49" s="40">
        <v>19</v>
      </c>
      <c r="E49" s="40">
        <v>9</v>
      </c>
      <c r="F49" s="43">
        <v>1</v>
      </c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 x14ac:dyDescent="0.2">
      <c r="A50" s="65" t="s">
        <v>175</v>
      </c>
      <c r="B50" s="40">
        <v>0</v>
      </c>
      <c r="C50" s="40">
        <v>2</v>
      </c>
      <c r="D50" s="40">
        <v>3</v>
      </c>
      <c r="E50" s="40">
        <v>6</v>
      </c>
      <c r="F50" s="43">
        <v>1</v>
      </c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 thickBot="1" x14ac:dyDescent="0.25">
      <c r="A51" s="81" t="s">
        <v>176</v>
      </c>
      <c r="B51" s="40">
        <f t="shared" ref="B51:F51" si="3">SUM(B41:B50)</f>
        <v>16</v>
      </c>
      <c r="C51" s="40">
        <f t="shared" si="3"/>
        <v>50</v>
      </c>
      <c r="D51" s="40">
        <f t="shared" si="3"/>
        <v>86</v>
      </c>
      <c r="E51" s="40">
        <f t="shared" si="3"/>
        <v>61</v>
      </c>
      <c r="F51" s="43">
        <f t="shared" si="3"/>
        <v>11</v>
      </c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 thickBot="1" x14ac:dyDescent="0.25">
      <c r="A52" s="77" t="s">
        <v>179</v>
      </c>
      <c r="B52" s="78" t="s">
        <v>169</v>
      </c>
      <c r="C52" s="78" t="s">
        <v>170</v>
      </c>
      <c r="D52" s="78" t="s">
        <v>171</v>
      </c>
      <c r="E52" s="78" t="s">
        <v>172</v>
      </c>
      <c r="F52" s="79" t="s">
        <v>173</v>
      </c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">
      <c r="A53" s="65" t="s">
        <v>174</v>
      </c>
      <c r="B53" s="40">
        <v>11</v>
      </c>
      <c r="C53" s="40">
        <v>5</v>
      </c>
      <c r="D53" s="40">
        <v>19</v>
      </c>
      <c r="E53" s="40">
        <v>9</v>
      </c>
      <c r="F53" s="43">
        <v>0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2">
      <c r="A54" s="65" t="s">
        <v>175</v>
      </c>
      <c r="B54" s="40">
        <v>0</v>
      </c>
      <c r="C54" s="40">
        <v>0</v>
      </c>
      <c r="D54" s="40">
        <v>0</v>
      </c>
      <c r="E54" s="40">
        <v>0</v>
      </c>
      <c r="F54" s="43">
        <v>0</v>
      </c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">
      <c r="A55" s="65" t="s">
        <v>174</v>
      </c>
      <c r="B55" s="40">
        <v>10</v>
      </c>
      <c r="C55" s="40">
        <v>5</v>
      </c>
      <c r="D55" s="40">
        <v>22</v>
      </c>
      <c r="E55" s="40">
        <v>14</v>
      </c>
      <c r="F55" s="43">
        <v>0</v>
      </c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">
      <c r="A56" s="65" t="s">
        <v>175</v>
      </c>
      <c r="B56" s="40">
        <v>0</v>
      </c>
      <c r="C56" s="40">
        <v>0</v>
      </c>
      <c r="D56" s="40">
        <v>0</v>
      </c>
      <c r="E56" s="40">
        <v>0</v>
      </c>
      <c r="F56" s="43">
        <v>0</v>
      </c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">
      <c r="A57" s="65" t="s">
        <v>174</v>
      </c>
      <c r="B57" s="40">
        <v>5</v>
      </c>
      <c r="C57" s="40">
        <v>5</v>
      </c>
      <c r="D57" s="40">
        <v>20</v>
      </c>
      <c r="E57" s="40">
        <v>11</v>
      </c>
      <c r="F57" s="43">
        <v>0</v>
      </c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">
      <c r="A58" s="65" t="s">
        <v>175</v>
      </c>
      <c r="B58" s="40">
        <v>0</v>
      </c>
      <c r="C58" s="40">
        <v>0</v>
      </c>
      <c r="D58" s="40">
        <v>0</v>
      </c>
      <c r="E58" s="40">
        <v>0</v>
      </c>
      <c r="F58" s="43">
        <v>0</v>
      </c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">
      <c r="A59" s="65" t="s">
        <v>174</v>
      </c>
      <c r="B59" s="40">
        <v>7</v>
      </c>
      <c r="C59" s="40">
        <v>9</v>
      </c>
      <c r="D59" s="40">
        <v>17</v>
      </c>
      <c r="E59" s="40">
        <v>10</v>
      </c>
      <c r="F59" s="43">
        <v>0</v>
      </c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">
      <c r="A60" s="65" t="s">
        <v>175</v>
      </c>
      <c r="B60" s="40">
        <v>0</v>
      </c>
      <c r="C60" s="40">
        <v>0</v>
      </c>
      <c r="D60" s="40">
        <v>0</v>
      </c>
      <c r="E60" s="40">
        <v>0</v>
      </c>
      <c r="F60" s="43">
        <v>0</v>
      </c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">
      <c r="A61" s="65" t="s">
        <v>174</v>
      </c>
      <c r="B61" s="40">
        <v>4</v>
      </c>
      <c r="C61" s="40">
        <v>5</v>
      </c>
      <c r="D61" s="40">
        <v>16</v>
      </c>
      <c r="E61" s="40">
        <v>8</v>
      </c>
      <c r="F61" s="43">
        <v>1</v>
      </c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">
      <c r="A62" s="65" t="s">
        <v>175</v>
      </c>
      <c r="B62" s="40">
        <v>0</v>
      </c>
      <c r="C62" s="40">
        <v>0</v>
      </c>
      <c r="D62" s="40">
        <v>0</v>
      </c>
      <c r="E62" s="40">
        <v>0</v>
      </c>
      <c r="F62" s="43">
        <v>0</v>
      </c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thickBot="1" x14ac:dyDescent="0.25">
      <c r="A63" s="81" t="s">
        <v>176</v>
      </c>
      <c r="B63" s="40">
        <f t="shared" ref="B63:F63" si="4">SUM(B53:B62)</f>
        <v>37</v>
      </c>
      <c r="C63" s="40">
        <f t="shared" si="4"/>
        <v>29</v>
      </c>
      <c r="D63" s="40">
        <f t="shared" si="4"/>
        <v>94</v>
      </c>
      <c r="E63" s="40">
        <f t="shared" si="4"/>
        <v>52</v>
      </c>
      <c r="F63" s="43">
        <f t="shared" si="4"/>
        <v>1</v>
      </c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thickBot="1" x14ac:dyDescent="0.25">
      <c r="A64" s="77" t="s">
        <v>180</v>
      </c>
      <c r="B64" s="78" t="s">
        <v>169</v>
      </c>
      <c r="C64" s="78" t="s">
        <v>170</v>
      </c>
      <c r="D64" s="78" t="s">
        <v>171</v>
      </c>
      <c r="E64" s="78" t="s">
        <v>172</v>
      </c>
      <c r="F64" s="79" t="s">
        <v>173</v>
      </c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">
      <c r="A65" s="65" t="s">
        <v>174</v>
      </c>
      <c r="B65" s="40">
        <v>8</v>
      </c>
      <c r="C65" s="40">
        <v>2</v>
      </c>
      <c r="D65" s="40">
        <v>12</v>
      </c>
      <c r="E65" s="40">
        <v>7</v>
      </c>
      <c r="F65" s="43">
        <v>0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">
      <c r="A66" s="65" t="s">
        <v>175</v>
      </c>
      <c r="B66" s="40">
        <v>0</v>
      </c>
      <c r="C66" s="40">
        <v>0</v>
      </c>
      <c r="D66" s="40">
        <v>0</v>
      </c>
      <c r="E66" s="40">
        <v>0</v>
      </c>
      <c r="F66" s="43">
        <v>0</v>
      </c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">
      <c r="A67" s="65" t="s">
        <v>174</v>
      </c>
      <c r="B67" s="40">
        <v>5</v>
      </c>
      <c r="C67" s="40">
        <v>2</v>
      </c>
      <c r="D67" s="40">
        <v>12</v>
      </c>
      <c r="E67" s="40">
        <v>9</v>
      </c>
      <c r="F67" s="43">
        <v>1</v>
      </c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">
      <c r="A68" s="65" t="s">
        <v>175</v>
      </c>
      <c r="B68" s="40">
        <v>0</v>
      </c>
      <c r="C68" s="40">
        <v>0</v>
      </c>
      <c r="D68" s="40">
        <v>0</v>
      </c>
      <c r="E68" s="40">
        <v>0</v>
      </c>
      <c r="F68" s="43">
        <v>0</v>
      </c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">
      <c r="A69" s="65" t="s">
        <v>174</v>
      </c>
      <c r="B69" s="40">
        <v>9</v>
      </c>
      <c r="C69" s="40">
        <v>2</v>
      </c>
      <c r="D69" s="40">
        <v>11</v>
      </c>
      <c r="E69" s="40">
        <v>6</v>
      </c>
      <c r="F69" s="43">
        <v>0</v>
      </c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">
      <c r="A70" s="65" t="s">
        <v>175</v>
      </c>
      <c r="B70" s="40">
        <v>0</v>
      </c>
      <c r="C70" s="40">
        <v>0</v>
      </c>
      <c r="D70" s="40">
        <v>0</v>
      </c>
      <c r="E70" s="40">
        <v>0</v>
      </c>
      <c r="F70" s="43">
        <v>0</v>
      </c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">
      <c r="A71" s="65" t="s">
        <v>174</v>
      </c>
      <c r="B71" s="40">
        <v>4</v>
      </c>
      <c r="C71" s="40">
        <v>4</v>
      </c>
      <c r="D71" s="40">
        <v>10</v>
      </c>
      <c r="E71" s="40">
        <v>5</v>
      </c>
      <c r="F71" s="43">
        <v>0</v>
      </c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">
      <c r="A72" s="65" t="s">
        <v>175</v>
      </c>
      <c r="B72" s="40">
        <v>0</v>
      </c>
      <c r="C72" s="40">
        <v>0</v>
      </c>
      <c r="D72" s="40">
        <v>0</v>
      </c>
      <c r="E72" s="40">
        <v>0</v>
      </c>
      <c r="F72" s="43">
        <v>0</v>
      </c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">
      <c r="A73" s="65" t="s">
        <v>174</v>
      </c>
      <c r="B73" s="40">
        <v>4</v>
      </c>
      <c r="C73" s="40">
        <v>3</v>
      </c>
      <c r="D73" s="40">
        <v>13</v>
      </c>
      <c r="E73" s="40">
        <v>7</v>
      </c>
      <c r="F73" s="43">
        <v>1</v>
      </c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">
      <c r="A74" s="65" t="s">
        <v>175</v>
      </c>
      <c r="B74" s="40">
        <v>0</v>
      </c>
      <c r="C74" s="40">
        <v>0</v>
      </c>
      <c r="D74" s="40">
        <v>0</v>
      </c>
      <c r="E74" s="40">
        <v>0</v>
      </c>
      <c r="F74" s="43">
        <v>0</v>
      </c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thickBot="1" x14ac:dyDescent="0.25">
      <c r="A75" s="81" t="s">
        <v>176</v>
      </c>
      <c r="B75" s="40">
        <f t="shared" ref="B75:F75" si="5">SUM(B65:B74)</f>
        <v>30</v>
      </c>
      <c r="C75" s="40">
        <f t="shared" si="5"/>
        <v>13</v>
      </c>
      <c r="D75" s="40">
        <f t="shared" si="5"/>
        <v>58</v>
      </c>
      <c r="E75" s="40">
        <f t="shared" si="5"/>
        <v>34</v>
      </c>
      <c r="F75" s="43">
        <f t="shared" si="5"/>
        <v>2</v>
      </c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thickBot="1" x14ac:dyDescent="0.25">
      <c r="A76" s="77" t="s">
        <v>181</v>
      </c>
      <c r="B76" s="78" t="s">
        <v>169</v>
      </c>
      <c r="C76" s="78" t="s">
        <v>170</v>
      </c>
      <c r="D76" s="78" t="s">
        <v>171</v>
      </c>
      <c r="E76" s="78" t="s">
        <v>172</v>
      </c>
      <c r="F76" s="79" t="s">
        <v>173</v>
      </c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">
      <c r="A77" s="65" t="s">
        <v>174</v>
      </c>
      <c r="B77" s="40">
        <v>3</v>
      </c>
      <c r="C77" s="40">
        <v>7</v>
      </c>
      <c r="D77" s="40">
        <v>10</v>
      </c>
      <c r="E77" s="40">
        <v>8</v>
      </c>
      <c r="F77" s="43">
        <v>0</v>
      </c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">
      <c r="A78" s="65" t="s">
        <v>175</v>
      </c>
      <c r="B78" s="40">
        <v>0</v>
      </c>
      <c r="C78" s="40">
        <v>0</v>
      </c>
      <c r="D78" s="40">
        <v>0</v>
      </c>
      <c r="E78" s="40">
        <v>0</v>
      </c>
      <c r="F78" s="43">
        <v>0</v>
      </c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">
      <c r="A79" s="65" t="s">
        <v>174</v>
      </c>
      <c r="B79" s="40">
        <v>4</v>
      </c>
      <c r="C79" s="40">
        <v>4</v>
      </c>
      <c r="D79" s="40">
        <v>9</v>
      </c>
      <c r="E79" s="40">
        <v>7</v>
      </c>
      <c r="F79" s="43">
        <v>0</v>
      </c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">
      <c r="A80" s="65" t="s">
        <v>175</v>
      </c>
      <c r="B80" s="40">
        <v>0</v>
      </c>
      <c r="C80" s="40">
        <v>0</v>
      </c>
      <c r="D80" s="40">
        <v>0</v>
      </c>
      <c r="E80" s="40">
        <v>0</v>
      </c>
      <c r="F80" s="43">
        <v>0</v>
      </c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">
      <c r="A81" s="65" t="s">
        <v>174</v>
      </c>
      <c r="B81" s="40">
        <v>1</v>
      </c>
      <c r="C81" s="40">
        <v>6</v>
      </c>
      <c r="D81" s="40">
        <v>10</v>
      </c>
      <c r="E81" s="40">
        <v>8</v>
      </c>
      <c r="F81" s="43">
        <v>1</v>
      </c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">
      <c r="A82" s="65" t="s">
        <v>175</v>
      </c>
      <c r="B82" s="40">
        <v>0</v>
      </c>
      <c r="C82" s="40">
        <v>0</v>
      </c>
      <c r="D82" s="40">
        <v>0</v>
      </c>
      <c r="E82" s="40">
        <v>0</v>
      </c>
      <c r="F82" s="43">
        <v>1</v>
      </c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">
      <c r="A83" s="65" t="s">
        <v>174</v>
      </c>
      <c r="B83" s="40">
        <v>2</v>
      </c>
      <c r="C83" s="40">
        <v>8</v>
      </c>
      <c r="D83" s="40">
        <v>10</v>
      </c>
      <c r="E83" s="40">
        <v>4</v>
      </c>
      <c r="F83" s="43">
        <v>0</v>
      </c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">
      <c r="A84" s="65" t="s">
        <v>175</v>
      </c>
      <c r="B84" s="40">
        <v>0</v>
      </c>
      <c r="C84" s="40">
        <v>0</v>
      </c>
      <c r="D84" s="40">
        <v>0</v>
      </c>
      <c r="E84" s="40">
        <v>1</v>
      </c>
      <c r="F84" s="43">
        <v>0</v>
      </c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">
      <c r="A85" s="65" t="s">
        <v>174</v>
      </c>
      <c r="B85" s="40">
        <v>5</v>
      </c>
      <c r="C85" s="40">
        <v>3</v>
      </c>
      <c r="D85" s="40">
        <v>9</v>
      </c>
      <c r="E85" s="40">
        <v>7</v>
      </c>
      <c r="F85" s="43">
        <v>1</v>
      </c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">
      <c r="A86" s="65" t="s">
        <v>175</v>
      </c>
      <c r="B86" s="40">
        <v>0</v>
      </c>
      <c r="C86" s="40">
        <v>0</v>
      </c>
      <c r="D86" s="40">
        <v>0</v>
      </c>
      <c r="E86" s="40">
        <v>1</v>
      </c>
      <c r="F86" s="43">
        <v>1</v>
      </c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thickBot="1" x14ac:dyDescent="0.25">
      <c r="A87" s="81" t="s">
        <v>176</v>
      </c>
      <c r="B87" s="40">
        <f t="shared" ref="B87:F87" si="6">SUM(B77:B86)</f>
        <v>15</v>
      </c>
      <c r="C87" s="40">
        <f t="shared" si="6"/>
        <v>28</v>
      </c>
      <c r="D87" s="40">
        <f t="shared" si="6"/>
        <v>48</v>
      </c>
      <c r="E87" s="40">
        <f t="shared" si="6"/>
        <v>36</v>
      </c>
      <c r="F87" s="43">
        <f t="shared" si="6"/>
        <v>4</v>
      </c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thickBot="1" x14ac:dyDescent="0.25">
      <c r="A88" s="77" t="s">
        <v>182</v>
      </c>
      <c r="B88" s="78" t="s">
        <v>169</v>
      </c>
      <c r="C88" s="78" t="s">
        <v>170</v>
      </c>
      <c r="D88" s="78" t="s">
        <v>171</v>
      </c>
      <c r="E88" s="78" t="s">
        <v>172</v>
      </c>
      <c r="F88" s="79" t="s">
        <v>173</v>
      </c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">
      <c r="A89" s="65" t="s">
        <v>174</v>
      </c>
      <c r="B89" s="40">
        <v>7</v>
      </c>
      <c r="C89" s="40">
        <v>3</v>
      </c>
      <c r="D89" s="40">
        <v>17</v>
      </c>
      <c r="E89" s="40">
        <v>4</v>
      </c>
      <c r="F89" s="43">
        <v>0</v>
      </c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">
      <c r="A90" s="65" t="s">
        <v>175</v>
      </c>
      <c r="B90" s="40">
        <v>0</v>
      </c>
      <c r="C90" s="40">
        <v>0</v>
      </c>
      <c r="D90" s="40">
        <v>1</v>
      </c>
      <c r="E90" s="40">
        <v>1</v>
      </c>
      <c r="F90" s="43">
        <v>0</v>
      </c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">
      <c r="A91" s="65" t="s">
        <v>174</v>
      </c>
      <c r="B91" s="40">
        <v>8</v>
      </c>
      <c r="C91" s="40">
        <v>0</v>
      </c>
      <c r="D91" s="40">
        <v>17</v>
      </c>
      <c r="E91" s="40">
        <v>5</v>
      </c>
      <c r="F91" s="43">
        <v>0</v>
      </c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">
      <c r="A92" s="65" t="s">
        <v>175</v>
      </c>
      <c r="B92" s="40">
        <v>0</v>
      </c>
      <c r="C92" s="40">
        <v>0</v>
      </c>
      <c r="D92" s="40">
        <v>1</v>
      </c>
      <c r="E92" s="40">
        <v>2</v>
      </c>
      <c r="F92" s="43">
        <v>0</v>
      </c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">
      <c r="A93" s="65" t="s">
        <v>174</v>
      </c>
      <c r="B93" s="40">
        <v>7</v>
      </c>
      <c r="C93" s="40">
        <v>2</v>
      </c>
      <c r="D93" s="40">
        <v>14</v>
      </c>
      <c r="E93" s="40">
        <v>6</v>
      </c>
      <c r="F93" s="43">
        <v>0</v>
      </c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">
      <c r="A94" s="65" t="s">
        <v>175</v>
      </c>
      <c r="B94" s="40">
        <v>0</v>
      </c>
      <c r="C94" s="40">
        <v>0</v>
      </c>
      <c r="D94" s="40">
        <v>1</v>
      </c>
      <c r="E94" s="40">
        <v>0</v>
      </c>
      <c r="F94" s="43">
        <v>0</v>
      </c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">
      <c r="A95" s="65" t="s">
        <v>174</v>
      </c>
      <c r="B95" s="40">
        <v>3</v>
      </c>
      <c r="C95" s="40">
        <v>2</v>
      </c>
      <c r="D95" s="40">
        <v>12</v>
      </c>
      <c r="E95" s="40">
        <v>8</v>
      </c>
      <c r="F95" s="43">
        <v>0</v>
      </c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">
      <c r="A96" s="65" t="s">
        <v>175</v>
      </c>
      <c r="B96" s="40">
        <v>0</v>
      </c>
      <c r="C96" s="40">
        <v>0</v>
      </c>
      <c r="D96" s="40">
        <v>0</v>
      </c>
      <c r="E96" s="40">
        <v>0</v>
      </c>
      <c r="F96" s="43">
        <v>0</v>
      </c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">
      <c r="A97" s="65" t="s">
        <v>174</v>
      </c>
      <c r="B97" s="40">
        <v>6</v>
      </c>
      <c r="C97" s="40">
        <v>3</v>
      </c>
      <c r="D97" s="40">
        <v>14</v>
      </c>
      <c r="E97" s="40">
        <v>4</v>
      </c>
      <c r="F97" s="43">
        <v>0</v>
      </c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">
      <c r="A98" s="65" t="s">
        <v>175</v>
      </c>
      <c r="B98" s="40">
        <v>0</v>
      </c>
      <c r="C98" s="40">
        <v>0</v>
      </c>
      <c r="D98" s="40">
        <v>0</v>
      </c>
      <c r="E98" s="40">
        <v>0</v>
      </c>
      <c r="F98" s="43">
        <v>0</v>
      </c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">
      <c r="A99" s="82" t="s">
        <v>176</v>
      </c>
      <c r="B99" s="46">
        <f t="shared" ref="B99:F99" si="7">SUM(B89:B98)</f>
        <v>31</v>
      </c>
      <c r="C99" s="46">
        <f t="shared" si="7"/>
        <v>10</v>
      </c>
      <c r="D99" s="46">
        <f t="shared" si="7"/>
        <v>77</v>
      </c>
      <c r="E99" s="46">
        <f t="shared" si="7"/>
        <v>30</v>
      </c>
      <c r="F99" s="67">
        <f t="shared" si="7"/>
        <v>0</v>
      </c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">
      <c r="A100" s="83"/>
      <c r="B100" s="83"/>
      <c r="C100" s="83"/>
      <c r="D100" s="83"/>
      <c r="E100" s="83"/>
      <c r="F100" s="8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thickBot="1" x14ac:dyDescent="0.25">
      <c r="A101" s="84" t="s">
        <v>183</v>
      </c>
      <c r="B101" s="55"/>
      <c r="C101" s="55"/>
      <c r="D101" s="55"/>
      <c r="E101" s="55"/>
      <c r="F101" s="19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thickBot="1" x14ac:dyDescent="0.25">
      <c r="A102" s="77" t="s">
        <v>184</v>
      </c>
      <c r="B102" s="78" t="s">
        <v>169</v>
      </c>
      <c r="C102" s="78" t="s">
        <v>170</v>
      </c>
      <c r="D102" s="78" t="s">
        <v>171</v>
      </c>
      <c r="E102" s="78" t="s">
        <v>172</v>
      </c>
      <c r="F102" s="79" t="s">
        <v>173</v>
      </c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">
      <c r="A103" s="65" t="s">
        <v>174</v>
      </c>
      <c r="B103" s="40">
        <v>2</v>
      </c>
      <c r="C103" s="40">
        <v>2</v>
      </c>
      <c r="D103" s="40">
        <v>4</v>
      </c>
      <c r="E103" s="40">
        <v>8</v>
      </c>
      <c r="F103" s="43">
        <v>5</v>
      </c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">
      <c r="A104" s="65" t="s">
        <v>175</v>
      </c>
      <c r="B104" s="40">
        <v>0</v>
      </c>
      <c r="C104" s="40">
        <v>0</v>
      </c>
      <c r="D104" s="40">
        <v>0</v>
      </c>
      <c r="E104" s="40">
        <v>0</v>
      </c>
      <c r="F104" s="43">
        <v>0</v>
      </c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">
      <c r="A105" s="65" t="s">
        <v>174</v>
      </c>
      <c r="B105" s="40">
        <v>2</v>
      </c>
      <c r="C105" s="40">
        <v>1</v>
      </c>
      <c r="D105" s="40">
        <v>3</v>
      </c>
      <c r="E105" s="40">
        <v>10</v>
      </c>
      <c r="F105" s="43">
        <v>2</v>
      </c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">
      <c r="A106" s="65" t="s">
        <v>175</v>
      </c>
      <c r="B106" s="40">
        <v>0</v>
      </c>
      <c r="C106" s="40">
        <v>0</v>
      </c>
      <c r="D106" s="40">
        <v>0</v>
      </c>
      <c r="E106" s="40">
        <v>1</v>
      </c>
      <c r="F106" s="43">
        <v>0</v>
      </c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">
      <c r="A107" s="65" t="s">
        <v>174</v>
      </c>
      <c r="B107" s="40">
        <v>3</v>
      </c>
      <c r="C107" s="40">
        <v>2</v>
      </c>
      <c r="D107" s="40">
        <v>1</v>
      </c>
      <c r="E107" s="40">
        <v>10</v>
      </c>
      <c r="F107" s="43">
        <v>1</v>
      </c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">
      <c r="A108" s="65" t="s">
        <v>175</v>
      </c>
      <c r="B108" s="40">
        <v>0</v>
      </c>
      <c r="C108" s="40">
        <v>0</v>
      </c>
      <c r="D108" s="40">
        <v>0</v>
      </c>
      <c r="E108" s="40">
        <v>0</v>
      </c>
      <c r="F108" s="43">
        <v>0</v>
      </c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">
      <c r="A109" s="65" t="s">
        <v>174</v>
      </c>
      <c r="B109" s="40">
        <v>1</v>
      </c>
      <c r="C109" s="40">
        <v>2</v>
      </c>
      <c r="D109" s="40">
        <v>2</v>
      </c>
      <c r="E109" s="40">
        <v>7</v>
      </c>
      <c r="F109" s="43">
        <v>1</v>
      </c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">
      <c r="A110" s="65" t="s">
        <v>175</v>
      </c>
      <c r="B110" s="40">
        <v>0</v>
      </c>
      <c r="C110" s="40">
        <v>0</v>
      </c>
      <c r="D110" s="40">
        <v>0</v>
      </c>
      <c r="E110" s="40">
        <v>1</v>
      </c>
      <c r="F110" s="43">
        <v>0</v>
      </c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">
      <c r="A111" s="65" t="s">
        <v>174</v>
      </c>
      <c r="B111" s="40">
        <v>0</v>
      </c>
      <c r="C111" s="40">
        <v>6</v>
      </c>
      <c r="D111" s="40">
        <v>2</v>
      </c>
      <c r="E111" s="40">
        <v>6</v>
      </c>
      <c r="F111" s="43">
        <v>6</v>
      </c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">
      <c r="A112" s="65" t="s">
        <v>175</v>
      </c>
      <c r="B112" s="40">
        <v>0</v>
      </c>
      <c r="C112" s="40">
        <v>0</v>
      </c>
      <c r="D112" s="40">
        <v>0</v>
      </c>
      <c r="E112" s="40">
        <v>1</v>
      </c>
      <c r="F112" s="43">
        <v>0</v>
      </c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thickBot="1" x14ac:dyDescent="0.25">
      <c r="A113" s="81" t="s">
        <v>176</v>
      </c>
      <c r="B113" s="40">
        <f t="shared" ref="B113:F113" si="8">SUM(B103:B112)</f>
        <v>8</v>
      </c>
      <c r="C113" s="40">
        <f t="shared" si="8"/>
        <v>13</v>
      </c>
      <c r="D113" s="40">
        <f t="shared" si="8"/>
        <v>12</v>
      </c>
      <c r="E113" s="40">
        <f t="shared" si="8"/>
        <v>44</v>
      </c>
      <c r="F113" s="43">
        <f t="shared" si="8"/>
        <v>15</v>
      </c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thickBot="1" x14ac:dyDescent="0.25">
      <c r="A114" s="77" t="s">
        <v>185</v>
      </c>
      <c r="B114" s="78" t="s">
        <v>169</v>
      </c>
      <c r="C114" s="78" t="s">
        <v>170</v>
      </c>
      <c r="D114" s="78" t="s">
        <v>171</v>
      </c>
      <c r="E114" s="78" t="s">
        <v>172</v>
      </c>
      <c r="F114" s="79" t="s">
        <v>173</v>
      </c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">
      <c r="A115" s="65" t="s">
        <v>174</v>
      </c>
      <c r="B115" s="40">
        <v>0</v>
      </c>
      <c r="C115" s="40">
        <v>3</v>
      </c>
      <c r="D115" s="40">
        <v>3</v>
      </c>
      <c r="E115" s="40">
        <v>9</v>
      </c>
      <c r="F115" s="43">
        <v>2</v>
      </c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">
      <c r="A116" s="65" t="s">
        <v>175</v>
      </c>
      <c r="B116" s="40">
        <v>0</v>
      </c>
      <c r="C116" s="40">
        <v>0</v>
      </c>
      <c r="D116" s="40">
        <v>1</v>
      </c>
      <c r="E116" s="40">
        <v>0</v>
      </c>
      <c r="F116" s="43">
        <v>0</v>
      </c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">
      <c r="A117" s="65" t="s">
        <v>174</v>
      </c>
      <c r="B117" s="40">
        <v>3</v>
      </c>
      <c r="C117" s="40">
        <v>2</v>
      </c>
      <c r="D117" s="40">
        <v>3</v>
      </c>
      <c r="E117" s="40">
        <v>6</v>
      </c>
      <c r="F117" s="43">
        <v>1</v>
      </c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">
      <c r="A118" s="65" t="s">
        <v>175</v>
      </c>
      <c r="B118" s="40">
        <v>0</v>
      </c>
      <c r="C118" s="40">
        <v>0</v>
      </c>
      <c r="D118" s="40">
        <v>0</v>
      </c>
      <c r="E118" s="40">
        <v>0</v>
      </c>
      <c r="F118" s="43">
        <v>0</v>
      </c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">
      <c r="A119" s="65" t="s">
        <v>174</v>
      </c>
      <c r="B119" s="40">
        <v>1</v>
      </c>
      <c r="C119" s="40">
        <v>2</v>
      </c>
      <c r="D119" s="40">
        <v>2</v>
      </c>
      <c r="E119" s="40">
        <v>7</v>
      </c>
      <c r="F119" s="43">
        <v>2</v>
      </c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">
      <c r="A120" s="65" t="s">
        <v>175</v>
      </c>
      <c r="B120" s="40">
        <v>0</v>
      </c>
      <c r="C120" s="40">
        <v>0</v>
      </c>
      <c r="D120" s="40">
        <v>0</v>
      </c>
      <c r="E120" s="40">
        <v>1</v>
      </c>
      <c r="F120" s="43">
        <v>1</v>
      </c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">
      <c r="A121" s="65" t="s">
        <v>174</v>
      </c>
      <c r="B121" s="40">
        <v>2</v>
      </c>
      <c r="C121" s="40">
        <v>3</v>
      </c>
      <c r="D121" s="40">
        <v>3</v>
      </c>
      <c r="E121" s="40">
        <v>5</v>
      </c>
      <c r="F121" s="43">
        <v>1</v>
      </c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">
      <c r="A122" s="65" t="s">
        <v>175</v>
      </c>
      <c r="B122" s="40">
        <v>0</v>
      </c>
      <c r="C122" s="40">
        <v>0</v>
      </c>
      <c r="D122" s="40">
        <v>0</v>
      </c>
      <c r="E122" s="40">
        <v>1</v>
      </c>
      <c r="F122" s="43">
        <v>1</v>
      </c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">
      <c r="A123" s="65" t="s">
        <v>174</v>
      </c>
      <c r="B123" s="40">
        <v>1</v>
      </c>
      <c r="C123" s="40">
        <v>4</v>
      </c>
      <c r="D123" s="40">
        <v>3</v>
      </c>
      <c r="E123" s="40">
        <v>3</v>
      </c>
      <c r="F123" s="43">
        <v>2</v>
      </c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">
      <c r="A124" s="65" t="s">
        <v>175</v>
      </c>
      <c r="B124" s="40">
        <v>0</v>
      </c>
      <c r="C124" s="40">
        <v>0</v>
      </c>
      <c r="D124" s="40">
        <v>0</v>
      </c>
      <c r="E124" s="40">
        <v>0</v>
      </c>
      <c r="F124" s="43">
        <v>0</v>
      </c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thickBot="1" x14ac:dyDescent="0.25">
      <c r="A125" s="81" t="s">
        <v>176</v>
      </c>
      <c r="B125" s="40">
        <f t="shared" ref="B125:F125" si="9">SUM(B115:B124)</f>
        <v>7</v>
      </c>
      <c r="C125" s="40">
        <f t="shared" si="9"/>
        <v>14</v>
      </c>
      <c r="D125" s="40">
        <f t="shared" si="9"/>
        <v>15</v>
      </c>
      <c r="E125" s="40">
        <f t="shared" si="9"/>
        <v>32</v>
      </c>
      <c r="F125" s="43">
        <f t="shared" si="9"/>
        <v>10</v>
      </c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thickBot="1" x14ac:dyDescent="0.25">
      <c r="A126" s="77" t="s">
        <v>186</v>
      </c>
      <c r="B126" s="78" t="s">
        <v>169</v>
      </c>
      <c r="C126" s="78" t="s">
        <v>170</v>
      </c>
      <c r="D126" s="78" t="s">
        <v>171</v>
      </c>
      <c r="E126" s="78" t="s">
        <v>172</v>
      </c>
      <c r="F126" s="79" t="s">
        <v>173</v>
      </c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">
      <c r="A127" s="65" t="s">
        <v>174</v>
      </c>
      <c r="B127" s="40">
        <v>0</v>
      </c>
      <c r="C127" s="40">
        <v>3</v>
      </c>
      <c r="D127" s="40">
        <v>2</v>
      </c>
      <c r="E127" s="40">
        <v>8</v>
      </c>
      <c r="F127" s="43">
        <v>3</v>
      </c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">
      <c r="A128" s="65" t="s">
        <v>175</v>
      </c>
      <c r="B128" s="40">
        <v>0</v>
      </c>
      <c r="C128" s="40">
        <v>0</v>
      </c>
      <c r="D128" s="40">
        <v>0</v>
      </c>
      <c r="E128" s="40">
        <v>0</v>
      </c>
      <c r="F128" s="43">
        <v>0</v>
      </c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">
      <c r="A129" s="65" t="s">
        <v>174</v>
      </c>
      <c r="B129" s="40">
        <v>0</v>
      </c>
      <c r="C129" s="40">
        <v>2</v>
      </c>
      <c r="D129" s="40">
        <v>2</v>
      </c>
      <c r="E129" s="40">
        <v>6</v>
      </c>
      <c r="F129" s="43">
        <v>2</v>
      </c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">
      <c r="A130" s="65" t="s">
        <v>175</v>
      </c>
      <c r="B130" s="40">
        <v>0</v>
      </c>
      <c r="C130" s="40">
        <v>0</v>
      </c>
      <c r="D130" s="40">
        <v>0</v>
      </c>
      <c r="E130" s="40">
        <v>1</v>
      </c>
      <c r="F130" s="43">
        <v>1</v>
      </c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">
      <c r="A131" s="65" t="s">
        <v>174</v>
      </c>
      <c r="B131" s="40">
        <v>0</v>
      </c>
      <c r="C131" s="40">
        <v>2</v>
      </c>
      <c r="D131" s="40">
        <v>2</v>
      </c>
      <c r="E131" s="40">
        <v>9</v>
      </c>
      <c r="F131" s="43">
        <v>4</v>
      </c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">
      <c r="A132" s="65" t="s">
        <v>175</v>
      </c>
      <c r="B132" s="40">
        <v>0</v>
      </c>
      <c r="C132" s="40">
        <v>0</v>
      </c>
      <c r="D132" s="40">
        <v>0</v>
      </c>
      <c r="E132" s="40">
        <v>0</v>
      </c>
      <c r="F132" s="43">
        <v>0</v>
      </c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">
      <c r="A133" s="65" t="s">
        <v>174</v>
      </c>
      <c r="B133" s="40">
        <v>3</v>
      </c>
      <c r="C133" s="40">
        <v>0</v>
      </c>
      <c r="D133" s="40">
        <v>3</v>
      </c>
      <c r="E133" s="40">
        <v>7</v>
      </c>
      <c r="F133" s="43">
        <v>0</v>
      </c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">
      <c r="A134" s="65" t="s">
        <v>175</v>
      </c>
      <c r="B134" s="40">
        <v>0</v>
      </c>
      <c r="C134" s="40">
        <v>0</v>
      </c>
      <c r="D134" s="40">
        <v>0</v>
      </c>
      <c r="E134" s="40">
        <v>0</v>
      </c>
      <c r="F134" s="43">
        <v>0</v>
      </c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">
      <c r="A135" s="65" t="s">
        <v>174</v>
      </c>
      <c r="B135" s="40">
        <v>2</v>
      </c>
      <c r="C135" s="40">
        <v>2</v>
      </c>
      <c r="D135" s="40">
        <v>3</v>
      </c>
      <c r="E135" s="40">
        <v>3</v>
      </c>
      <c r="F135" s="43">
        <v>1</v>
      </c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">
      <c r="A136" s="65" t="s">
        <v>175</v>
      </c>
      <c r="B136" s="40">
        <v>0</v>
      </c>
      <c r="C136" s="40">
        <v>0</v>
      </c>
      <c r="D136" s="40">
        <v>0</v>
      </c>
      <c r="E136" s="40">
        <v>0</v>
      </c>
      <c r="F136" s="43">
        <v>0</v>
      </c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thickBot="1" x14ac:dyDescent="0.25">
      <c r="A137" s="81" t="s">
        <v>176</v>
      </c>
      <c r="B137" s="40">
        <f t="shared" ref="B137:F137" si="10">SUM(B127:B136)</f>
        <v>5</v>
      </c>
      <c r="C137" s="40">
        <f t="shared" si="10"/>
        <v>9</v>
      </c>
      <c r="D137" s="40">
        <f t="shared" si="10"/>
        <v>12</v>
      </c>
      <c r="E137" s="40">
        <f t="shared" si="10"/>
        <v>34</v>
      </c>
      <c r="F137" s="43">
        <f t="shared" si="10"/>
        <v>11</v>
      </c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thickBot="1" x14ac:dyDescent="0.25">
      <c r="A138" s="111" t="s">
        <v>265</v>
      </c>
      <c r="B138" s="78" t="s">
        <v>169</v>
      </c>
      <c r="C138" s="78" t="s">
        <v>170</v>
      </c>
      <c r="D138" s="78" t="s">
        <v>171</v>
      </c>
      <c r="E138" s="78" t="s">
        <v>172</v>
      </c>
      <c r="F138" s="79" t="s">
        <v>173</v>
      </c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">
      <c r="A139" s="65" t="s">
        <v>174</v>
      </c>
      <c r="B139" s="40">
        <v>3</v>
      </c>
      <c r="C139" s="40">
        <v>7</v>
      </c>
      <c r="D139" s="40">
        <v>5</v>
      </c>
      <c r="E139" s="40">
        <v>10</v>
      </c>
      <c r="F139" s="43">
        <v>6</v>
      </c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">
      <c r="A140" s="65" t="s">
        <v>175</v>
      </c>
      <c r="B140" s="40">
        <v>0</v>
      </c>
      <c r="C140" s="40">
        <v>0</v>
      </c>
      <c r="D140" s="40">
        <v>0</v>
      </c>
      <c r="E140" s="40">
        <v>1</v>
      </c>
      <c r="F140" s="43">
        <v>1</v>
      </c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">
      <c r="A141" s="65" t="s">
        <v>174</v>
      </c>
      <c r="B141" s="40">
        <v>5</v>
      </c>
      <c r="C141" s="40">
        <v>8</v>
      </c>
      <c r="D141" s="40">
        <v>5</v>
      </c>
      <c r="E141" s="40">
        <v>9</v>
      </c>
      <c r="F141" s="43">
        <v>10</v>
      </c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">
      <c r="A142" s="65" t="s">
        <v>175</v>
      </c>
      <c r="B142" s="40">
        <v>0</v>
      </c>
      <c r="C142" s="40">
        <v>0</v>
      </c>
      <c r="D142" s="40">
        <v>1</v>
      </c>
      <c r="E142" s="40">
        <v>3</v>
      </c>
      <c r="F142" s="43">
        <v>2</v>
      </c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">
      <c r="A143" s="65" t="s">
        <v>174</v>
      </c>
      <c r="B143" s="40">
        <v>8</v>
      </c>
      <c r="C143" s="40">
        <v>7</v>
      </c>
      <c r="D143" s="40">
        <v>5</v>
      </c>
      <c r="E143" s="40">
        <v>10</v>
      </c>
      <c r="F143" s="43">
        <v>4</v>
      </c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">
      <c r="A144" s="65" t="s">
        <v>175</v>
      </c>
      <c r="B144" s="40">
        <v>0</v>
      </c>
      <c r="C144" s="40">
        <v>0</v>
      </c>
      <c r="D144" s="40">
        <v>0</v>
      </c>
      <c r="E144" s="40">
        <v>2</v>
      </c>
      <c r="F144" s="43">
        <v>2</v>
      </c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">
      <c r="A145" s="65" t="s">
        <v>174</v>
      </c>
      <c r="B145" s="40">
        <v>4</v>
      </c>
      <c r="C145" s="40">
        <v>5</v>
      </c>
      <c r="D145" s="40">
        <v>3</v>
      </c>
      <c r="E145" s="40">
        <v>6</v>
      </c>
      <c r="F145" s="43">
        <v>6</v>
      </c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">
      <c r="A146" s="65" t="s">
        <v>175</v>
      </c>
      <c r="B146" s="40">
        <v>0</v>
      </c>
      <c r="C146" s="40">
        <v>0</v>
      </c>
      <c r="D146" s="40">
        <v>1</v>
      </c>
      <c r="E146" s="40">
        <v>0</v>
      </c>
      <c r="F146" s="43">
        <v>1</v>
      </c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">
      <c r="A147" s="65" t="s">
        <v>174</v>
      </c>
      <c r="B147" s="40">
        <v>4</v>
      </c>
      <c r="C147" s="40">
        <v>6</v>
      </c>
      <c r="D147" s="40">
        <v>5</v>
      </c>
      <c r="E147" s="40">
        <v>8</v>
      </c>
      <c r="F147" s="43">
        <v>8</v>
      </c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">
      <c r="A148" s="65" t="s">
        <v>175</v>
      </c>
      <c r="B148" s="40">
        <v>0</v>
      </c>
      <c r="C148" s="40">
        <v>1</v>
      </c>
      <c r="D148" s="40">
        <v>2</v>
      </c>
      <c r="E148" s="40">
        <v>0</v>
      </c>
      <c r="F148" s="43">
        <v>1</v>
      </c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thickBot="1" x14ac:dyDescent="0.25">
      <c r="A149" s="81" t="s">
        <v>176</v>
      </c>
      <c r="B149" s="40">
        <f t="shared" ref="B149:F149" si="11">SUM(B139:B148)</f>
        <v>24</v>
      </c>
      <c r="C149" s="40">
        <f t="shared" si="11"/>
        <v>34</v>
      </c>
      <c r="D149" s="40">
        <f t="shared" si="11"/>
        <v>27</v>
      </c>
      <c r="E149" s="40">
        <f t="shared" si="11"/>
        <v>49</v>
      </c>
      <c r="F149" s="43">
        <f t="shared" si="11"/>
        <v>41</v>
      </c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thickBot="1" x14ac:dyDescent="0.25">
      <c r="A150" s="77" t="s">
        <v>177</v>
      </c>
      <c r="B150" s="78" t="s">
        <v>169</v>
      </c>
      <c r="C150" s="78" t="s">
        <v>170</v>
      </c>
      <c r="D150" s="78" t="s">
        <v>171</v>
      </c>
      <c r="E150" s="78" t="s">
        <v>172</v>
      </c>
      <c r="F150" s="79" t="s">
        <v>173</v>
      </c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">
      <c r="A151" s="65" t="s">
        <v>174</v>
      </c>
      <c r="B151" s="40">
        <v>4</v>
      </c>
      <c r="C151" s="40">
        <v>8</v>
      </c>
      <c r="D151" s="40">
        <v>3</v>
      </c>
      <c r="E151" s="40">
        <v>7</v>
      </c>
      <c r="F151" s="43">
        <v>7</v>
      </c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">
      <c r="A152" s="65" t="s">
        <v>175</v>
      </c>
      <c r="B152" s="40">
        <v>0</v>
      </c>
      <c r="C152" s="40">
        <v>0</v>
      </c>
      <c r="D152" s="40">
        <v>0</v>
      </c>
      <c r="E152" s="40">
        <v>0</v>
      </c>
      <c r="F152" s="43">
        <v>0</v>
      </c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">
      <c r="A153" s="65" t="s">
        <v>174</v>
      </c>
      <c r="B153" s="40">
        <v>9</v>
      </c>
      <c r="C153" s="40">
        <v>3</v>
      </c>
      <c r="D153" s="40">
        <v>5</v>
      </c>
      <c r="E153" s="40">
        <v>9</v>
      </c>
      <c r="F153" s="43">
        <v>8</v>
      </c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">
      <c r="A154" s="65" t="s">
        <v>175</v>
      </c>
      <c r="B154" s="40">
        <v>0</v>
      </c>
      <c r="C154" s="40">
        <v>1</v>
      </c>
      <c r="D154" s="40">
        <v>1</v>
      </c>
      <c r="E154" s="40">
        <v>3</v>
      </c>
      <c r="F154" s="43">
        <v>4</v>
      </c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">
      <c r="A155" s="65" t="s">
        <v>174</v>
      </c>
      <c r="B155" s="40">
        <v>5</v>
      </c>
      <c r="C155" s="40">
        <v>4</v>
      </c>
      <c r="D155" s="40">
        <v>6</v>
      </c>
      <c r="E155" s="40">
        <v>7</v>
      </c>
      <c r="F155" s="43">
        <v>6</v>
      </c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">
      <c r="A156" s="65" t="s">
        <v>175</v>
      </c>
      <c r="B156" s="40">
        <v>0</v>
      </c>
      <c r="C156" s="40">
        <v>0</v>
      </c>
      <c r="D156" s="40">
        <v>3</v>
      </c>
      <c r="E156" s="40">
        <v>2</v>
      </c>
      <c r="F156" s="43">
        <v>0</v>
      </c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">
      <c r="A157" s="65" t="s">
        <v>174</v>
      </c>
      <c r="B157" s="40">
        <v>2</v>
      </c>
      <c r="C157" s="40">
        <v>6</v>
      </c>
      <c r="D157" s="40">
        <v>3</v>
      </c>
      <c r="E157" s="40">
        <v>8</v>
      </c>
      <c r="F157" s="43">
        <v>5</v>
      </c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">
      <c r="A158" s="65" t="s">
        <v>175</v>
      </c>
      <c r="B158" s="40">
        <v>0</v>
      </c>
      <c r="C158" s="40">
        <v>0</v>
      </c>
      <c r="D158" s="40">
        <v>1</v>
      </c>
      <c r="E158" s="40">
        <v>0</v>
      </c>
      <c r="F158" s="43">
        <v>1</v>
      </c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">
      <c r="A159" s="65" t="s">
        <v>174</v>
      </c>
      <c r="B159" s="40">
        <v>4</v>
      </c>
      <c r="C159" s="40">
        <v>9</v>
      </c>
      <c r="D159" s="40">
        <v>2</v>
      </c>
      <c r="E159" s="40">
        <v>10</v>
      </c>
      <c r="F159" s="43">
        <v>6</v>
      </c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">
      <c r="A160" s="65" t="s">
        <v>175</v>
      </c>
      <c r="B160" s="40">
        <v>0</v>
      </c>
      <c r="C160" s="40">
        <v>0</v>
      </c>
      <c r="D160" s="40">
        <v>0</v>
      </c>
      <c r="E160" s="40">
        <v>0</v>
      </c>
      <c r="F160" s="43">
        <v>0</v>
      </c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thickBot="1" x14ac:dyDescent="0.25">
      <c r="A161" s="81" t="s">
        <v>176</v>
      </c>
      <c r="B161" s="40">
        <f t="shared" ref="B161:F161" si="12">SUM(B151:B160)</f>
        <v>24</v>
      </c>
      <c r="C161" s="40">
        <f t="shared" si="12"/>
        <v>31</v>
      </c>
      <c r="D161" s="40">
        <f t="shared" si="12"/>
        <v>24</v>
      </c>
      <c r="E161" s="40">
        <f t="shared" si="12"/>
        <v>46</v>
      </c>
      <c r="F161" s="43">
        <f t="shared" si="12"/>
        <v>37</v>
      </c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thickBot="1" x14ac:dyDescent="0.25">
      <c r="A162" s="111" t="s">
        <v>264</v>
      </c>
      <c r="B162" s="78" t="s">
        <v>169</v>
      </c>
      <c r="C162" s="78" t="s">
        <v>170</v>
      </c>
      <c r="D162" s="78" t="s">
        <v>171</v>
      </c>
      <c r="E162" s="78" t="s">
        <v>172</v>
      </c>
      <c r="F162" s="79" t="s">
        <v>173</v>
      </c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">
      <c r="A163" s="65" t="s">
        <v>174</v>
      </c>
      <c r="B163" s="40">
        <v>3</v>
      </c>
      <c r="C163" s="40">
        <v>7</v>
      </c>
      <c r="D163" s="40">
        <v>4</v>
      </c>
      <c r="E163" s="40">
        <v>8</v>
      </c>
      <c r="F163" s="43">
        <v>9</v>
      </c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">
      <c r="A164" s="65" t="s">
        <v>175</v>
      </c>
      <c r="B164" s="40">
        <v>0</v>
      </c>
      <c r="C164" s="40">
        <v>0</v>
      </c>
      <c r="D164" s="40">
        <v>3</v>
      </c>
      <c r="E164" s="40">
        <v>0</v>
      </c>
      <c r="F164" s="43">
        <v>2</v>
      </c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">
      <c r="A165" s="65" t="s">
        <v>174</v>
      </c>
      <c r="B165" s="40">
        <v>6</v>
      </c>
      <c r="C165" s="40">
        <v>9</v>
      </c>
      <c r="D165" s="40">
        <v>5</v>
      </c>
      <c r="E165" s="40">
        <v>8</v>
      </c>
      <c r="F165" s="43">
        <v>3</v>
      </c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">
      <c r="A166" s="65" t="s">
        <v>175</v>
      </c>
      <c r="B166" s="40">
        <v>0</v>
      </c>
      <c r="C166" s="40">
        <v>2</v>
      </c>
      <c r="D166" s="40">
        <v>1</v>
      </c>
      <c r="E166" s="40">
        <v>1</v>
      </c>
      <c r="F166" s="43">
        <v>0</v>
      </c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">
      <c r="A167" s="65" t="s">
        <v>174</v>
      </c>
      <c r="B167" s="40">
        <v>1</v>
      </c>
      <c r="C167" s="40">
        <v>4</v>
      </c>
      <c r="D167" s="40">
        <v>5</v>
      </c>
      <c r="E167" s="40">
        <v>11</v>
      </c>
      <c r="F167" s="43">
        <v>7</v>
      </c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">
      <c r="A168" s="65" t="s">
        <v>175</v>
      </c>
      <c r="B168" s="40">
        <v>0</v>
      </c>
      <c r="C168" s="40">
        <v>1</v>
      </c>
      <c r="D168" s="40">
        <v>0</v>
      </c>
      <c r="E168" s="40">
        <v>0</v>
      </c>
      <c r="F168" s="43">
        <v>2</v>
      </c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">
      <c r="A169" s="65" t="s">
        <v>174</v>
      </c>
      <c r="B169" s="40">
        <v>7</v>
      </c>
      <c r="C169" s="40">
        <v>8</v>
      </c>
      <c r="D169" s="40">
        <v>3</v>
      </c>
      <c r="E169" s="40">
        <v>9</v>
      </c>
      <c r="F169" s="43">
        <v>7</v>
      </c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">
      <c r="A170" s="65" t="s">
        <v>175</v>
      </c>
      <c r="B170" s="40">
        <v>0</v>
      </c>
      <c r="C170" s="40">
        <v>2</v>
      </c>
      <c r="D170" s="40">
        <v>0</v>
      </c>
      <c r="E170" s="40">
        <v>1</v>
      </c>
      <c r="F170" s="43">
        <v>2</v>
      </c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">
      <c r="A171" s="65" t="s">
        <v>174</v>
      </c>
      <c r="B171" s="40">
        <v>9</v>
      </c>
      <c r="C171" s="40">
        <v>10</v>
      </c>
      <c r="D171" s="40">
        <v>3</v>
      </c>
      <c r="E171" s="40">
        <v>9</v>
      </c>
      <c r="F171" s="43">
        <v>3</v>
      </c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">
      <c r="A172" s="65" t="s">
        <v>175</v>
      </c>
      <c r="B172" s="40">
        <v>0</v>
      </c>
      <c r="C172" s="40">
        <v>0</v>
      </c>
      <c r="D172" s="40">
        <v>0</v>
      </c>
      <c r="E172" s="40">
        <v>0</v>
      </c>
      <c r="F172" s="43">
        <v>0</v>
      </c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">
      <c r="A173" s="82" t="s">
        <v>176</v>
      </c>
      <c r="B173" s="46">
        <f t="shared" ref="B173:F173" si="13">SUM(B163:B172)</f>
        <v>26</v>
      </c>
      <c r="C173" s="46">
        <f t="shared" si="13"/>
        <v>43</v>
      </c>
      <c r="D173" s="46">
        <f t="shared" si="13"/>
        <v>24</v>
      </c>
      <c r="E173" s="46">
        <f t="shared" si="13"/>
        <v>47</v>
      </c>
      <c r="F173" s="67">
        <f t="shared" si="13"/>
        <v>35</v>
      </c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">
      <c r="A174" s="80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">
    <mergeCell ref="A1:F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M1" sqref="M1:N1"/>
    </sheetView>
  </sheetViews>
  <sheetFormatPr baseColWidth="10" defaultColWidth="12.6640625" defaultRowHeight="15" customHeight="1" x14ac:dyDescent="0.15"/>
  <cols>
    <col min="1" max="1" width="18.33203125" customWidth="1"/>
    <col min="2" max="2" width="32.1640625" customWidth="1"/>
    <col min="3" max="8" width="12.6640625" customWidth="1"/>
    <col min="9" max="9" width="17.83203125" customWidth="1"/>
    <col min="10" max="11" width="12.6640625" customWidth="1"/>
    <col min="12" max="12" width="10" customWidth="1"/>
    <col min="13" max="13" width="12.6640625" customWidth="1"/>
    <col min="14" max="14" width="18.5" customWidth="1"/>
    <col min="15" max="15" width="14.6640625" customWidth="1"/>
    <col min="16" max="17" width="12.6640625" customWidth="1"/>
  </cols>
  <sheetData>
    <row r="1" spans="1:26" ht="15.75" customHeight="1" x14ac:dyDescent="0.2">
      <c r="A1" s="129" t="s">
        <v>54</v>
      </c>
      <c r="B1" s="130" t="s">
        <v>187</v>
      </c>
      <c r="C1" s="183" t="s">
        <v>319</v>
      </c>
      <c r="D1" s="183"/>
      <c r="E1" s="183"/>
      <c r="F1" s="183"/>
      <c r="G1" s="184"/>
      <c r="H1" s="54"/>
      <c r="I1" s="185" t="s">
        <v>188</v>
      </c>
      <c r="J1" s="186"/>
      <c r="K1" s="187"/>
      <c r="M1" s="188" t="s">
        <v>189</v>
      </c>
      <c r="N1" s="189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5.75" customHeight="1" x14ac:dyDescent="0.2">
      <c r="A2" s="106"/>
      <c r="B2" s="105" t="s">
        <v>190</v>
      </c>
      <c r="C2" s="105" t="s">
        <v>191</v>
      </c>
      <c r="D2" s="105" t="s">
        <v>192</v>
      </c>
      <c r="E2" s="105" t="s">
        <v>193</v>
      </c>
      <c r="F2" s="105" t="s">
        <v>194</v>
      </c>
      <c r="G2" s="107" t="s">
        <v>195</v>
      </c>
      <c r="H2" s="54"/>
      <c r="I2" s="85" t="s">
        <v>54</v>
      </c>
      <c r="J2" s="28" t="s">
        <v>114</v>
      </c>
      <c r="K2" s="86" t="s">
        <v>113</v>
      </c>
      <c r="M2" s="106" t="s">
        <v>114</v>
      </c>
      <c r="N2" s="107" t="s">
        <v>113</v>
      </c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5.75" customHeight="1" x14ac:dyDescent="0.2">
      <c r="A3" s="106" t="s">
        <v>5</v>
      </c>
      <c r="B3" s="105">
        <v>188.72019299999999</v>
      </c>
      <c r="C3" s="105">
        <v>227.31532200000001</v>
      </c>
      <c r="D3" s="105">
        <v>176.77252300000001</v>
      </c>
      <c r="E3" s="105">
        <v>55.680672000000001</v>
      </c>
      <c r="F3" s="105">
        <v>52.174048900000003</v>
      </c>
      <c r="G3" s="107">
        <v>35.503050100000003</v>
      </c>
      <c r="H3" s="54"/>
      <c r="I3" s="85" t="s">
        <v>5</v>
      </c>
      <c r="J3" s="28">
        <f t="shared" ref="J3:J5" si="0">AVERAGE(B3:D3)</f>
        <v>197.60267933333333</v>
      </c>
      <c r="K3" s="86">
        <f t="shared" ref="K3:K5" si="1">AVERAGE(E3:G3)</f>
        <v>47.785923666666669</v>
      </c>
      <c r="M3" s="106">
        <v>1</v>
      </c>
      <c r="N3" s="107">
        <v>0.24182831846149835</v>
      </c>
      <c r="P3" s="103"/>
      <c r="Q3" s="28"/>
      <c r="R3" s="54"/>
      <c r="S3" s="54"/>
      <c r="T3" s="54"/>
      <c r="U3" s="54"/>
      <c r="V3" s="54"/>
      <c r="W3" s="54"/>
      <c r="X3" s="54"/>
      <c r="Y3" s="54"/>
      <c r="Z3" s="54"/>
    </row>
    <row r="4" spans="1:26" ht="15.75" customHeight="1" x14ac:dyDescent="0.2">
      <c r="A4" s="106" t="s">
        <v>196</v>
      </c>
      <c r="B4" s="105">
        <v>3528.4415199999999</v>
      </c>
      <c r="C4" s="105">
        <v>5935.3087800000003</v>
      </c>
      <c r="D4" s="105">
        <v>3539.8919799999999</v>
      </c>
      <c r="E4" s="105">
        <v>4407.4131900000002</v>
      </c>
      <c r="F4" s="105">
        <v>5945.0465299999996</v>
      </c>
      <c r="G4" s="107">
        <v>5935.5493999999999</v>
      </c>
      <c r="H4" s="54"/>
      <c r="I4" s="85" t="s">
        <v>197</v>
      </c>
      <c r="J4" s="28">
        <f t="shared" si="0"/>
        <v>4334.547426666667</v>
      </c>
      <c r="K4" s="86">
        <f t="shared" si="1"/>
        <v>5429.3363733333326</v>
      </c>
      <c r="M4" s="106">
        <v>1</v>
      </c>
      <c r="N4" s="107">
        <v>1.2525728383847849</v>
      </c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thickBot="1" x14ac:dyDescent="0.25">
      <c r="A5" s="108" t="s">
        <v>6</v>
      </c>
      <c r="B5" s="131">
        <v>31567.253499999999</v>
      </c>
      <c r="C5" s="131">
        <v>37162.090300000003</v>
      </c>
      <c r="D5" s="131">
        <v>30900.547699999999</v>
      </c>
      <c r="E5" s="131">
        <v>36728.123299999999</v>
      </c>
      <c r="F5" s="131">
        <v>33155.676399999997</v>
      </c>
      <c r="G5" s="109">
        <v>33179.4689</v>
      </c>
      <c r="H5" s="54"/>
      <c r="I5" s="87" t="s">
        <v>43</v>
      </c>
      <c r="J5" s="88">
        <f t="shared" si="0"/>
        <v>33209.963833333335</v>
      </c>
      <c r="K5" s="89">
        <f t="shared" si="1"/>
        <v>34354.422866666668</v>
      </c>
      <c r="L5" s="54"/>
      <c r="M5" s="108">
        <v>1</v>
      </c>
      <c r="N5" s="109">
        <v>1.2525728383847849</v>
      </c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5.75" customHeight="1" x14ac:dyDescent="0.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N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5.75" customHeight="1" x14ac:dyDescent="0.2">
      <c r="A7" s="110" t="s">
        <v>262</v>
      </c>
      <c r="B7" s="54"/>
      <c r="C7" s="54"/>
      <c r="D7" s="54"/>
      <c r="E7" s="54"/>
      <c r="F7" s="54"/>
      <c r="G7" s="54"/>
      <c r="H7" s="54"/>
      <c r="I7" s="54"/>
      <c r="J7" s="54"/>
      <c r="K7" s="54"/>
      <c r="N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5.75" customHeight="1" x14ac:dyDescent="0.2"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5.75" customHeight="1" x14ac:dyDescent="0.2">
      <c r="A9" s="54"/>
      <c r="C9" s="54"/>
      <c r="D9" s="54"/>
      <c r="E9" s="54"/>
      <c r="F9" s="54"/>
      <c r="G9" s="54"/>
      <c r="H9" s="54"/>
      <c r="I9" s="54"/>
      <c r="J9" s="54"/>
      <c r="K9" s="54"/>
      <c r="L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5.75" customHeight="1" x14ac:dyDescent="0.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5.75" customHeight="1" x14ac:dyDescent="0.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5.75" customHeight="1" x14ac:dyDescent="0.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5.75" customHeight="1" x14ac:dyDescent="0.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5.75" customHeight="1" x14ac:dyDescent="0.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5.75" customHeight="1" x14ac:dyDescent="0.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5.75" customHeight="1" x14ac:dyDescent="0.2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5.75" customHeight="1" x14ac:dyDescent="0.2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5.75" customHeight="1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5.75" customHeight="1" x14ac:dyDescent="0.2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5.75" customHeight="1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5.75" customHeight="1" x14ac:dyDescent="0.2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5.75" customHeight="1" x14ac:dyDescent="0.2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5.75" customHeight="1" x14ac:dyDescent="0.2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5.75" customHeight="1" x14ac:dyDescent="0.2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5.75" customHeight="1" x14ac:dyDescent="0.2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5.75" customHeight="1" x14ac:dyDescent="0.2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2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5.75" customHeight="1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5.75" customHeight="1" x14ac:dyDescent="0.2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5.75" customHeight="1" x14ac:dyDescent="0.2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5.75" customHeight="1" x14ac:dyDescent="0.2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5.75" customHeight="1" x14ac:dyDescent="0.2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5.75" customHeight="1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5.75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5.75" customHeight="1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5.75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5.75" customHeight="1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5.75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5.75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5.75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5.75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5.75" customHeight="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5.7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5.75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5.75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5.75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5.75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5.75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5.75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3">
    <mergeCell ref="C1:G1"/>
    <mergeCell ref="I1:K1"/>
    <mergeCell ref="M1:N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tabSelected="1" workbookViewId="0">
      <selection sqref="A1:XFD1"/>
    </sheetView>
  </sheetViews>
  <sheetFormatPr baseColWidth="10" defaultColWidth="12.6640625" defaultRowHeight="15" customHeight="1" x14ac:dyDescent="0.15"/>
  <cols>
    <col min="1" max="1" width="3.6640625" customWidth="1"/>
    <col min="2" max="2" width="28.1640625" customWidth="1"/>
    <col min="3" max="3" width="59.1640625" customWidth="1"/>
    <col min="4" max="27" width="12.6640625" customWidth="1"/>
  </cols>
  <sheetData>
    <row r="1" spans="1:27" ht="15.75" customHeight="1" x14ac:dyDescent="0.2">
      <c r="A1" s="90" t="s">
        <v>198</v>
      </c>
      <c r="B1" s="91" t="s">
        <v>199</v>
      </c>
      <c r="C1" s="91" t="s">
        <v>200</v>
      </c>
      <c r="D1" s="91" t="s">
        <v>201</v>
      </c>
      <c r="E1" s="91" t="s">
        <v>202</v>
      </c>
      <c r="F1" s="91" t="s">
        <v>37</v>
      </c>
      <c r="G1" s="91" t="s">
        <v>203</v>
      </c>
      <c r="H1" s="91" t="s">
        <v>204</v>
      </c>
      <c r="I1" s="91" t="s">
        <v>205</v>
      </c>
      <c r="J1" s="91" t="s">
        <v>206</v>
      </c>
      <c r="K1" s="92" t="s">
        <v>207</v>
      </c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ht="15.75" customHeight="1" x14ac:dyDescent="0.2">
      <c r="A2" s="94" t="s">
        <v>208</v>
      </c>
      <c r="B2" s="95" t="s">
        <v>209</v>
      </c>
      <c r="C2" s="93">
        <v>6.0979834500000001</v>
      </c>
      <c r="D2" s="96">
        <v>2.2899999999999999E-75</v>
      </c>
      <c r="E2" s="96">
        <v>6.7599999999999998E-71</v>
      </c>
      <c r="F2" s="93">
        <v>83.179990099999998</v>
      </c>
      <c r="G2" s="93">
        <v>54.1856291</v>
      </c>
      <c r="H2" s="93">
        <v>96.825150800000003</v>
      </c>
      <c r="I2" s="93">
        <v>6634.6400700000004</v>
      </c>
      <c r="J2" s="93">
        <v>4576.4094299999997</v>
      </c>
      <c r="K2" s="97">
        <v>4933.0553799999998</v>
      </c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 spans="1:27" ht="15.75" customHeight="1" x14ac:dyDescent="0.2">
      <c r="A3" s="94" t="s">
        <v>210</v>
      </c>
      <c r="B3" s="104" t="s">
        <v>263</v>
      </c>
      <c r="C3" s="93">
        <v>4.7359025299999997</v>
      </c>
      <c r="D3" s="96">
        <v>1.26E-63</v>
      </c>
      <c r="E3" s="96">
        <v>1.5900000000000001E-59</v>
      </c>
      <c r="F3" s="93">
        <v>83.179990099999998</v>
      </c>
      <c r="G3" s="93">
        <v>113.657661</v>
      </c>
      <c r="H3" s="93">
        <v>113.702929</v>
      </c>
      <c r="I3" s="93">
        <v>3275.55953</v>
      </c>
      <c r="J3" s="93">
        <v>2491.3108299999999</v>
      </c>
      <c r="K3" s="97">
        <v>2490.81925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 spans="1:27" ht="15.75" customHeight="1" x14ac:dyDescent="0.2">
      <c r="A4" s="94" t="s">
        <v>211</v>
      </c>
      <c r="B4" s="95" t="s">
        <v>212</v>
      </c>
      <c r="C4" s="93">
        <v>4.00088781</v>
      </c>
      <c r="D4" s="96">
        <v>1.21E-55</v>
      </c>
      <c r="E4" s="96">
        <v>8.2100000000000003E-52</v>
      </c>
      <c r="F4" s="93">
        <v>120.745147</v>
      </c>
      <c r="G4" s="93">
        <v>84.582445399999997</v>
      </c>
      <c r="H4" s="93">
        <v>104.81988800000001</v>
      </c>
      <c r="I4" s="93">
        <v>1795.2216699999999</v>
      </c>
      <c r="J4" s="93">
        <v>1565.22147</v>
      </c>
      <c r="K4" s="97">
        <v>1628.46885</v>
      </c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 spans="1:27" ht="15.75" customHeight="1" x14ac:dyDescent="0.2">
      <c r="A5" s="94" t="s">
        <v>213</v>
      </c>
      <c r="B5" s="95" t="s">
        <v>214</v>
      </c>
      <c r="C5" s="93">
        <v>-2.2191296</v>
      </c>
      <c r="D5" s="93">
        <v>5.5416399999999996E-3</v>
      </c>
      <c r="E5" s="93">
        <v>4.6729109999999997E-2</v>
      </c>
      <c r="F5" s="93">
        <v>14.3105359</v>
      </c>
      <c r="G5" s="93">
        <v>18.5024099</v>
      </c>
      <c r="H5" s="93">
        <v>23.984211699999999</v>
      </c>
      <c r="I5" s="93">
        <v>1.9200231699999999</v>
      </c>
      <c r="J5" s="93">
        <v>7.45343555</v>
      </c>
      <c r="K5" s="97">
        <v>2.8028723800000002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 spans="1:27" ht="15.75" customHeight="1" x14ac:dyDescent="0.2">
      <c r="A6" s="94" t="s">
        <v>215</v>
      </c>
      <c r="B6" s="95" t="s">
        <v>216</v>
      </c>
      <c r="C6" s="93">
        <v>4.1144592700000002</v>
      </c>
      <c r="D6" s="96">
        <v>3.2400000000000001E-50</v>
      </c>
      <c r="E6" s="96">
        <v>1.9099999999999999E-46</v>
      </c>
      <c r="F6" s="93">
        <v>52.7701013</v>
      </c>
      <c r="G6" s="93">
        <v>39.648021300000003</v>
      </c>
      <c r="H6" s="93">
        <v>56.851464700000001</v>
      </c>
      <c r="I6" s="93">
        <v>793.92958199999998</v>
      </c>
      <c r="J6" s="93">
        <v>884.16379300000006</v>
      </c>
      <c r="K6" s="97">
        <v>929.61933799999997</v>
      </c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 spans="1:27" ht="15.75" customHeight="1" x14ac:dyDescent="0.2">
      <c r="A7" s="94" t="s">
        <v>217</v>
      </c>
      <c r="B7" s="93" t="s">
        <v>218</v>
      </c>
      <c r="C7" s="93">
        <v>5.7540233799999996</v>
      </c>
      <c r="D7" s="96">
        <v>1.3600000000000001E-56</v>
      </c>
      <c r="E7" s="96">
        <v>1E-52</v>
      </c>
      <c r="F7" s="93">
        <v>44.720424800000004</v>
      </c>
      <c r="G7" s="93">
        <v>27.753614899999999</v>
      </c>
      <c r="H7" s="93">
        <v>47.080119199999999</v>
      </c>
      <c r="I7" s="93">
        <v>2856.0344700000001</v>
      </c>
      <c r="J7" s="93">
        <v>1900.62607</v>
      </c>
      <c r="K7" s="97">
        <v>1758.33527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 spans="1:27" ht="15.75" customHeight="1" x14ac:dyDescent="0.2">
      <c r="A8" s="94" t="s">
        <v>219</v>
      </c>
      <c r="B8" s="93" t="s">
        <v>220</v>
      </c>
      <c r="C8" s="93">
        <v>5.9888789200000003</v>
      </c>
      <c r="D8" s="96">
        <v>5.74E-51</v>
      </c>
      <c r="E8" s="96">
        <v>3.6299999999999998E-47</v>
      </c>
      <c r="F8" s="93">
        <v>43.826016299999999</v>
      </c>
      <c r="G8" s="93">
        <v>23.788812799999999</v>
      </c>
      <c r="H8" s="93">
        <v>31.090644699999999</v>
      </c>
      <c r="I8" s="93">
        <v>2926.1153199999999</v>
      </c>
      <c r="J8" s="93">
        <v>1736.65048</v>
      </c>
      <c r="K8" s="97">
        <v>1661.16903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27" ht="15.75" customHeight="1" x14ac:dyDescent="0.2">
      <c r="A9" s="94" t="s">
        <v>221</v>
      </c>
      <c r="B9" s="93" t="s">
        <v>222</v>
      </c>
      <c r="C9" s="93">
        <v>-7.5495802999999997</v>
      </c>
      <c r="D9" s="96">
        <v>9.5899999999999996E-51</v>
      </c>
      <c r="E9" s="96">
        <v>5.8599999999999999E-47</v>
      </c>
      <c r="F9" s="93">
        <v>752.19754499999999</v>
      </c>
      <c r="G9" s="93">
        <v>659.47875399999998</v>
      </c>
      <c r="H9" s="93">
        <v>707.09009200000003</v>
      </c>
      <c r="I9" s="93">
        <v>5.7600695200000001</v>
      </c>
      <c r="J9" s="93">
        <v>3.72671778</v>
      </c>
      <c r="K9" s="97">
        <v>1.8685815800000001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27" ht="15.75" customHeight="1" x14ac:dyDescent="0.2">
      <c r="A10" s="94" t="s">
        <v>223</v>
      </c>
      <c r="B10" s="93" t="s">
        <v>224</v>
      </c>
      <c r="C10" s="93">
        <v>-6.4681654999999996</v>
      </c>
      <c r="D10" s="96">
        <v>5.7899999999999998E-58</v>
      </c>
      <c r="E10" s="96">
        <v>4.4600000000000002E-54</v>
      </c>
      <c r="F10" s="93">
        <v>663.65110400000003</v>
      </c>
      <c r="G10" s="93">
        <v>844.50285299999996</v>
      </c>
      <c r="H10" s="93">
        <v>830.56436699999995</v>
      </c>
      <c r="I10" s="93">
        <v>12.4801506</v>
      </c>
      <c r="J10" s="93">
        <v>6.5217561100000001</v>
      </c>
      <c r="K10" s="97">
        <v>7.4743263400000002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27" ht="15.75" customHeight="1" x14ac:dyDescent="0.2">
      <c r="A11" s="94" t="s">
        <v>225</v>
      </c>
      <c r="B11" s="93" t="s">
        <v>226</v>
      </c>
      <c r="C11" s="93">
        <v>-8.0284838000000001</v>
      </c>
      <c r="D11" s="96">
        <v>2.2999999999999999E-54</v>
      </c>
      <c r="E11" s="96">
        <v>1.51E-50</v>
      </c>
      <c r="F11" s="93">
        <v>1075.0790099999999</v>
      </c>
      <c r="G11" s="93">
        <v>937.014903</v>
      </c>
      <c r="H11" s="93">
        <v>943.37899200000004</v>
      </c>
      <c r="I11" s="93">
        <v>6.7200810999999998</v>
      </c>
      <c r="J11" s="93">
        <v>0.93167944000000003</v>
      </c>
      <c r="K11" s="97">
        <v>3.7371631700000001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27" ht="15.75" customHeight="1" x14ac:dyDescent="0.2">
      <c r="A12" s="94" t="s">
        <v>227</v>
      </c>
      <c r="B12" s="93" t="s">
        <v>228</v>
      </c>
      <c r="C12" s="93">
        <v>-6.9953358000000003</v>
      </c>
      <c r="D12" s="96">
        <v>2.5500000000000001E-63</v>
      </c>
      <c r="E12" s="96">
        <v>3.0099999999999999E-59</v>
      </c>
      <c r="F12" s="93">
        <v>1296.8923199999999</v>
      </c>
      <c r="G12" s="93">
        <v>876.22127</v>
      </c>
      <c r="H12" s="93">
        <v>1185.8860199999999</v>
      </c>
      <c r="I12" s="93">
        <v>5.7600695200000001</v>
      </c>
      <c r="J12" s="93">
        <v>10.2484739</v>
      </c>
      <c r="K12" s="97">
        <v>10.2771987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27" ht="15.75" customHeight="1" x14ac:dyDescent="0.2">
      <c r="A13" s="94" t="s">
        <v>229</v>
      </c>
      <c r="B13" s="93" t="s">
        <v>228</v>
      </c>
      <c r="C13" s="93">
        <v>-7.7841657</v>
      </c>
      <c r="D13" s="96">
        <v>2.5800000000000001E-61</v>
      </c>
      <c r="E13" s="96">
        <v>2.5399999999999999E-57</v>
      </c>
      <c r="F13" s="93">
        <v>1067.92374</v>
      </c>
      <c r="G13" s="93">
        <v>1444.5095799999999</v>
      </c>
      <c r="H13" s="93">
        <v>1022.43806</v>
      </c>
      <c r="I13" s="93">
        <v>7.6800926900000004</v>
      </c>
      <c r="J13" s="93">
        <v>3.72671778</v>
      </c>
      <c r="K13" s="97">
        <v>4.67145396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54"/>
    </row>
    <row r="14" spans="1:27" ht="15.75" customHeight="1" x14ac:dyDescent="0.2">
      <c r="A14" s="94" t="s">
        <v>230</v>
      </c>
      <c r="B14" s="93" t="s">
        <v>231</v>
      </c>
      <c r="C14" s="93">
        <v>-7.4550127000000002</v>
      </c>
      <c r="D14" s="96">
        <v>1.1500000000000001E-60</v>
      </c>
      <c r="E14" s="96">
        <v>1.01E-56</v>
      </c>
      <c r="F14" s="93">
        <v>1155.5757799999999</v>
      </c>
      <c r="G14" s="93">
        <v>1587.24245</v>
      </c>
      <c r="H14" s="93">
        <v>1052.6404</v>
      </c>
      <c r="I14" s="93">
        <v>3.8400463500000002</v>
      </c>
      <c r="J14" s="93">
        <v>10.2484739</v>
      </c>
      <c r="K14" s="97">
        <v>7.4743263400000002</v>
      </c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 spans="1:27" ht="15.75" customHeight="1" x14ac:dyDescent="0.2">
      <c r="A15" s="94" t="s">
        <v>232</v>
      </c>
      <c r="B15" s="93" t="s">
        <v>224</v>
      </c>
      <c r="C15" s="93">
        <v>-6.7851857000000004</v>
      </c>
      <c r="D15" s="96">
        <v>1.1000000000000001E-65</v>
      </c>
      <c r="E15" s="96">
        <v>1.5000000000000001E-61</v>
      </c>
      <c r="F15" s="93">
        <v>1297.78673</v>
      </c>
      <c r="G15" s="93">
        <v>1626.8904700000001</v>
      </c>
      <c r="H15" s="93">
        <v>1550.97902</v>
      </c>
      <c r="I15" s="93">
        <v>18.240220099999998</v>
      </c>
      <c r="J15" s="93">
        <v>6.5217561100000001</v>
      </c>
      <c r="K15" s="97">
        <v>15.8829435</v>
      </c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</row>
    <row r="16" spans="1:27" ht="15.75" customHeight="1" x14ac:dyDescent="0.2">
      <c r="A16" s="94" t="s">
        <v>233</v>
      </c>
      <c r="B16" s="93" t="s">
        <v>228</v>
      </c>
      <c r="C16" s="93">
        <v>-7.1584669999999999</v>
      </c>
      <c r="D16" s="96">
        <v>2.3999999999999999E-77</v>
      </c>
      <c r="E16" s="96">
        <v>8.5100000000000001E-73</v>
      </c>
      <c r="F16" s="93">
        <v>1722.63076</v>
      </c>
      <c r="G16" s="93">
        <v>1229.0886599999999</v>
      </c>
      <c r="H16" s="93">
        <v>1616.71353</v>
      </c>
      <c r="I16" s="93">
        <v>7.6800926900000004</v>
      </c>
      <c r="J16" s="93">
        <v>12.1118328</v>
      </c>
      <c r="K16" s="97">
        <v>12.1457803</v>
      </c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 spans="1:27" ht="15.75" customHeight="1" x14ac:dyDescent="0.2">
      <c r="A17" s="94" t="s">
        <v>234</v>
      </c>
      <c r="B17" s="95" t="s">
        <v>235</v>
      </c>
      <c r="C17" s="93">
        <v>-6.8384938000000002</v>
      </c>
      <c r="D17" s="96">
        <v>5.7299999999999998E-67</v>
      </c>
      <c r="E17" s="96">
        <v>9.2200000000000005E-63</v>
      </c>
      <c r="F17" s="93">
        <v>1759.30151</v>
      </c>
      <c r="G17" s="93">
        <v>1168.29503</v>
      </c>
      <c r="H17" s="93">
        <v>1594.5059200000001</v>
      </c>
      <c r="I17" s="93">
        <v>10.5601275</v>
      </c>
      <c r="J17" s="93">
        <v>10.2484739</v>
      </c>
      <c r="K17" s="97">
        <v>18.6858158</v>
      </c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 spans="1:27" ht="15.75" customHeight="1" x14ac:dyDescent="0.2">
      <c r="A18" s="94" t="s">
        <v>236</v>
      </c>
      <c r="B18" s="95" t="s">
        <v>237</v>
      </c>
      <c r="C18" s="93">
        <v>-9.0285632000000007</v>
      </c>
      <c r="D18" s="96">
        <v>8.1299999999999998E-67</v>
      </c>
      <c r="E18" s="96">
        <v>1.1999999999999999E-62</v>
      </c>
      <c r="F18" s="93">
        <v>2080.3941599999998</v>
      </c>
      <c r="G18" s="93">
        <v>1525.1272200000001</v>
      </c>
      <c r="H18" s="93">
        <v>2298.9310999999998</v>
      </c>
      <c r="I18" s="93">
        <v>4.8000579300000004</v>
      </c>
      <c r="J18" s="93">
        <v>2.7950383300000001</v>
      </c>
      <c r="K18" s="97">
        <v>3.7371631700000001</v>
      </c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 spans="1:27" ht="15.75" customHeight="1" x14ac:dyDescent="0.2">
      <c r="A19" s="94" t="s">
        <v>238</v>
      </c>
      <c r="B19" s="93" t="s">
        <v>224</v>
      </c>
      <c r="C19" s="93">
        <v>-7.9617363000000001</v>
      </c>
      <c r="D19" s="96">
        <v>2.7300000000000002E-56</v>
      </c>
      <c r="E19" s="96">
        <v>1.94E-52</v>
      </c>
      <c r="F19" s="93">
        <v>1734.2580700000001</v>
      </c>
      <c r="G19" s="93">
        <v>1589.8856499999999</v>
      </c>
      <c r="H19" s="93">
        <v>1590.95271</v>
      </c>
      <c r="I19" s="93">
        <v>1.9200231699999999</v>
      </c>
      <c r="J19" s="93">
        <v>13.0435122</v>
      </c>
      <c r="K19" s="97">
        <v>4.67145396</v>
      </c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 spans="1:27" ht="15.75" customHeight="1" x14ac:dyDescent="0.2">
      <c r="A20" s="94" t="s">
        <v>239</v>
      </c>
      <c r="B20" s="93" t="s">
        <v>240</v>
      </c>
      <c r="C20" s="93">
        <v>-9.8536053999999993</v>
      </c>
      <c r="D20" s="96">
        <v>2.3599999999999999E-73</v>
      </c>
      <c r="E20" s="96">
        <v>5.9699999999999997E-69</v>
      </c>
      <c r="F20" s="93">
        <v>2762.8278399999999</v>
      </c>
      <c r="G20" s="93">
        <v>3059.5056399999999</v>
      </c>
      <c r="H20" s="93">
        <v>2878.1053999999999</v>
      </c>
      <c r="I20" s="93">
        <v>0</v>
      </c>
      <c r="J20" s="93">
        <v>3.72671778</v>
      </c>
      <c r="K20" s="97">
        <v>5.6057447500000004</v>
      </c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 spans="1:27" ht="15.75" customHeight="1" x14ac:dyDescent="0.2">
      <c r="A21" s="94" t="s">
        <v>241</v>
      </c>
      <c r="B21" s="93" t="s">
        <v>242</v>
      </c>
      <c r="C21" s="93">
        <v>-8.7583357999999993</v>
      </c>
      <c r="D21" s="96">
        <v>1.14E-67</v>
      </c>
      <c r="E21" s="96">
        <v>2.0100000000000001E-63</v>
      </c>
      <c r="F21" s="93">
        <v>2466.7786299999998</v>
      </c>
      <c r="G21" s="93">
        <v>1926.89383</v>
      </c>
      <c r="H21" s="93">
        <v>2530.7784799999999</v>
      </c>
      <c r="I21" s="93">
        <v>3.8400463500000002</v>
      </c>
      <c r="J21" s="93">
        <v>10.2484739</v>
      </c>
      <c r="K21" s="97">
        <v>1.8685815800000001</v>
      </c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 spans="1:27" ht="15.75" customHeight="1" x14ac:dyDescent="0.2">
      <c r="A22" s="94" t="s">
        <v>243</v>
      </c>
      <c r="B22" s="93" t="s">
        <v>244</v>
      </c>
      <c r="C22" s="93">
        <v>-8.4017818999999996</v>
      </c>
      <c r="D22" s="96">
        <v>1.3299999999999999E-60</v>
      </c>
      <c r="E22" s="96">
        <v>1.1300000000000001E-56</v>
      </c>
      <c r="F22" s="93">
        <v>2752.9893499999998</v>
      </c>
      <c r="G22" s="93">
        <v>2160.8171600000001</v>
      </c>
      <c r="H22" s="93">
        <v>2714.65744</v>
      </c>
      <c r="I22" s="93">
        <v>4.8000579300000004</v>
      </c>
      <c r="J22" s="93">
        <v>14.9068711</v>
      </c>
      <c r="K22" s="97">
        <v>2.8028723800000002</v>
      </c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 spans="1:27" ht="15.75" customHeight="1" x14ac:dyDescent="0.2">
      <c r="A23" s="94" t="s">
        <v>245</v>
      </c>
      <c r="B23" s="54" t="s">
        <v>246</v>
      </c>
      <c r="C23" s="93">
        <v>-7.3216204999999999</v>
      </c>
      <c r="D23" s="96">
        <v>4.4299999999999998E-72</v>
      </c>
      <c r="E23" s="96">
        <v>8.7200000000000005E-68</v>
      </c>
      <c r="F23" s="93">
        <v>2823.6476200000002</v>
      </c>
      <c r="G23" s="93">
        <v>5139.7051600000004</v>
      </c>
      <c r="H23" s="93">
        <v>2752.8545199999999</v>
      </c>
      <c r="I23" s="93">
        <v>27.840336000000001</v>
      </c>
      <c r="J23" s="93">
        <v>19.5652683</v>
      </c>
      <c r="K23" s="97">
        <v>19.6201066</v>
      </c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1:27" ht="15.75" customHeight="1" x14ac:dyDescent="0.2">
      <c r="A24" s="94" t="s">
        <v>247</v>
      </c>
      <c r="B24" s="95" t="s">
        <v>248</v>
      </c>
      <c r="C24" s="93">
        <v>-9.6207972999999996</v>
      </c>
      <c r="D24" s="96">
        <v>1.02E-61</v>
      </c>
      <c r="E24" s="96">
        <v>1.13E-57</v>
      </c>
      <c r="F24" s="93">
        <v>3201.0880099999999</v>
      </c>
      <c r="G24" s="93">
        <v>7860.8810199999998</v>
      </c>
      <c r="H24" s="93">
        <v>3024.6755800000001</v>
      </c>
      <c r="I24" s="93">
        <v>5.7600695200000001</v>
      </c>
      <c r="J24" s="93">
        <v>7.45343555</v>
      </c>
      <c r="K24" s="97">
        <v>4.67145396</v>
      </c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1:27" ht="15.75" customHeight="1" x14ac:dyDescent="0.2">
      <c r="A25" s="94" t="s">
        <v>249</v>
      </c>
      <c r="B25" s="95" t="s">
        <v>250</v>
      </c>
      <c r="C25" s="93">
        <v>-8.7395838000000001</v>
      </c>
      <c r="D25" s="96">
        <v>3.0299999999999998E-102</v>
      </c>
      <c r="E25" s="96">
        <v>5.3699999999999996E-97</v>
      </c>
      <c r="F25" s="93">
        <v>3027.57276</v>
      </c>
      <c r="G25" s="93">
        <v>3880.2196800000002</v>
      </c>
      <c r="H25" s="93">
        <v>3154.3679900000002</v>
      </c>
      <c r="I25" s="93">
        <v>6.7200810999999998</v>
      </c>
      <c r="J25" s="93">
        <v>5.5900766700000002</v>
      </c>
      <c r="K25" s="97">
        <v>11.211489500000001</v>
      </c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1:27" ht="15.75" customHeight="1" x14ac:dyDescent="0.2">
      <c r="A26" s="94" t="s">
        <v>251</v>
      </c>
      <c r="B26" s="93" t="s">
        <v>224</v>
      </c>
      <c r="C26" s="93">
        <v>-10.325497</v>
      </c>
      <c r="D26" s="96">
        <v>8.0699999999999998E-80</v>
      </c>
      <c r="E26" s="96">
        <v>3.5699999999999998E-75</v>
      </c>
      <c r="F26" s="93">
        <v>4470.2536600000003</v>
      </c>
      <c r="G26" s="93">
        <v>4999.6154800000004</v>
      </c>
      <c r="H26" s="93">
        <v>3797.50018</v>
      </c>
      <c r="I26" s="93">
        <v>0</v>
      </c>
      <c r="J26" s="93">
        <v>4.6583972200000003</v>
      </c>
      <c r="K26" s="97">
        <v>5.6057447500000004</v>
      </c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1:27" ht="15.75" customHeight="1" x14ac:dyDescent="0.2">
      <c r="A27" s="94" t="s">
        <v>252</v>
      </c>
      <c r="B27" s="93" t="s">
        <v>253</v>
      </c>
      <c r="C27" s="93">
        <v>-4.0829370999999997</v>
      </c>
      <c r="D27" s="96">
        <v>1.14E-60</v>
      </c>
      <c r="E27" s="96">
        <v>1.01E-56</v>
      </c>
      <c r="F27" s="93">
        <v>2022.2576100000001</v>
      </c>
      <c r="G27" s="93">
        <v>2216.3243900000002</v>
      </c>
      <c r="H27" s="93">
        <v>2043.9878200000001</v>
      </c>
      <c r="I27" s="93">
        <v>105.601275</v>
      </c>
      <c r="J27" s="93">
        <v>116.459931</v>
      </c>
      <c r="K27" s="97">
        <v>148.55223599999999</v>
      </c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1:27" ht="15.75" customHeight="1" x14ac:dyDescent="0.2">
      <c r="A28" s="94" t="s">
        <v>254</v>
      </c>
      <c r="B28" s="93" t="s">
        <v>255</v>
      </c>
      <c r="C28" s="93">
        <v>-4.1065006999999998</v>
      </c>
      <c r="D28" s="96">
        <v>1.2800000000000001E-61</v>
      </c>
      <c r="E28" s="96">
        <v>1.3299999999999999E-57</v>
      </c>
      <c r="F28" s="93">
        <v>759.35281299999997</v>
      </c>
      <c r="G28" s="93">
        <v>732.16679299999998</v>
      </c>
      <c r="H28" s="93">
        <v>747.06377799999996</v>
      </c>
      <c r="I28" s="93">
        <v>43.2005214</v>
      </c>
      <c r="J28" s="93">
        <v>43.788933900000004</v>
      </c>
      <c r="K28" s="97">
        <v>42.977376399999997</v>
      </c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 spans="1:27" ht="15.75" customHeight="1" x14ac:dyDescent="0.2">
      <c r="A29" s="94" t="s">
        <v>256</v>
      </c>
      <c r="B29" s="93" t="s">
        <v>257</v>
      </c>
      <c r="C29" s="93">
        <v>-5.4958219000000001</v>
      </c>
      <c r="D29" s="96">
        <v>6.6900000000000003E-94</v>
      </c>
      <c r="E29" s="96">
        <v>5.9300000000000003E-89</v>
      </c>
      <c r="F29" s="93">
        <v>1428.3703700000001</v>
      </c>
      <c r="G29" s="93">
        <v>1652.00089</v>
      </c>
      <c r="H29" s="93">
        <v>1551.86733</v>
      </c>
      <c r="I29" s="93">
        <v>32.640393899999999</v>
      </c>
      <c r="J29" s="93">
        <v>31.677101100000002</v>
      </c>
      <c r="K29" s="97">
        <v>38.305922500000001</v>
      </c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1:27" ht="15.75" customHeight="1" x14ac:dyDescent="0.2">
      <c r="A30" s="94" t="s">
        <v>258</v>
      </c>
      <c r="B30" s="93" t="s">
        <v>259</v>
      </c>
      <c r="C30" s="93">
        <v>-5.9886020000000002</v>
      </c>
      <c r="D30" s="96">
        <v>3.7699999999999999E-86</v>
      </c>
      <c r="E30" s="96">
        <v>2.2299999999999998E-81</v>
      </c>
      <c r="F30" s="93">
        <v>1391.6996200000001</v>
      </c>
      <c r="G30" s="93">
        <v>1488.1224</v>
      </c>
      <c r="H30" s="93">
        <v>1245.4023999999999</v>
      </c>
      <c r="I30" s="93">
        <v>19.2002317</v>
      </c>
      <c r="J30" s="93">
        <v>19.5652683</v>
      </c>
      <c r="K30" s="97">
        <v>26.160142199999999</v>
      </c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1:27" ht="15.75" customHeight="1" thickBot="1" x14ac:dyDescent="0.25">
      <c r="A31" s="99" t="s">
        <v>260</v>
      </c>
      <c r="B31" s="100" t="s">
        <v>261</v>
      </c>
      <c r="C31" s="100">
        <v>-5.6936286999999997</v>
      </c>
      <c r="D31" s="101">
        <v>6.0799999999999994E-73</v>
      </c>
      <c r="E31" s="101">
        <v>1.3500000000000001E-68</v>
      </c>
      <c r="F31" s="100">
        <v>1238.75577</v>
      </c>
      <c r="G31" s="100">
        <v>1295.1686999999999</v>
      </c>
      <c r="H31" s="100">
        <v>1261.3918699999999</v>
      </c>
      <c r="I31" s="100">
        <v>16.320197</v>
      </c>
      <c r="J31" s="100">
        <v>29.8137422</v>
      </c>
      <c r="K31" s="102">
        <v>27.094432999999999</v>
      </c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1:27" ht="15.75" customHeight="1" x14ac:dyDescent="0.2">
      <c r="A32" s="93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1:27" ht="15.75" customHeight="1" x14ac:dyDescent="0.2">
      <c r="A33" s="54"/>
      <c r="B33" s="54"/>
      <c r="C33" s="93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 spans="1:27" ht="15.75" customHeight="1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 spans="1:27" ht="15.75" customHeight="1" x14ac:dyDescent="0.2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 spans="1:27" ht="15.75" customHeight="1" x14ac:dyDescent="0.2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 spans="1:27" ht="15.75" customHeight="1" x14ac:dyDescent="0.2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 spans="1:27" ht="15.75" customHeight="1" x14ac:dyDescent="0.2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 ht="15.75" customHeight="1" x14ac:dyDescent="0.2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 spans="1:27" ht="15.75" customHeight="1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 spans="1:27" ht="15.75" customHeight="1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 spans="1:27" ht="15.75" customHeight="1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 spans="1:27" ht="15.75" customHeight="1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 spans="1:27" ht="15.75" customHeight="1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27" ht="15.75" customHeight="1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 spans="1:27" ht="15.75" customHeight="1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 spans="1:27" ht="15.75" customHeight="1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 spans="1:27" ht="15.75" customHeight="1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1:27" ht="15.75" customHeight="1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1:27" ht="15.75" customHeight="1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spans="1:27" ht="15.75" customHeight="1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1:27" ht="15.75" customHeight="1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 spans="1:27" ht="15.75" customHeight="1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 spans="1:27" ht="15.75" customHeight="1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 spans="1:27" ht="15.75" customHeight="1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 spans="1:27" ht="15.75" customHeight="1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 spans="1:27" ht="15.75" customHeight="1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 spans="1:27" ht="15.75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 spans="1:27" ht="15.75" customHeight="1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 spans="1:27" ht="15.75" customHeight="1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 spans="1:27" ht="15.75" customHeight="1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 spans="1:27" ht="15.75" customHeight="1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 spans="1:27" ht="15.75" customHeight="1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 spans="1:27" ht="15.75" customHeight="1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 spans="1:27" ht="15.75" customHeight="1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 spans="1:27" ht="15.75" customHeight="1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 spans="1:27" ht="15.75" customHeight="1" x14ac:dyDescent="0.2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1:27" ht="15.75" customHeight="1" x14ac:dyDescent="0.2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1:27" ht="15.75" customHeight="1" x14ac:dyDescent="0.2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 spans="1:27" ht="15.75" customHeight="1" x14ac:dyDescent="0.2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 spans="1:27" ht="15.75" customHeight="1" x14ac:dyDescent="0.2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 spans="1:27" ht="15.75" customHeight="1" x14ac:dyDescent="0.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 spans="1:27" ht="15.75" customHeight="1" x14ac:dyDescent="0.2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 spans="1:27" ht="15.75" customHeight="1" x14ac:dyDescent="0.2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 spans="1:27" ht="15.75" customHeight="1" x14ac:dyDescent="0.2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 spans="1:27" ht="15.75" customHeight="1" x14ac:dyDescent="0.2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spans="1:27" ht="15.75" customHeight="1" x14ac:dyDescent="0.2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 spans="1:27" ht="15.75" customHeight="1" x14ac:dyDescent="0.2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 spans="1:27" ht="15.75" customHeight="1" x14ac:dyDescent="0.2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 spans="1:27" ht="15.75" customHeight="1" x14ac:dyDescent="0.2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 spans="1:27" ht="15.75" customHeight="1" x14ac:dyDescent="0.2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 spans="1:27" ht="15.75" customHeight="1" x14ac:dyDescent="0.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 spans="1:27" ht="15.75" customHeight="1" x14ac:dyDescent="0.2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 spans="1:27" ht="15.75" customHeight="1" x14ac:dyDescent="0.2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 spans="1:27" ht="15.75" customHeight="1" x14ac:dyDescent="0.2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 spans="1:27" ht="15.75" customHeight="1" x14ac:dyDescent="0.2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 spans="1:27" ht="15.75" customHeight="1" x14ac:dyDescent="0.2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 spans="1:27" ht="15.75" customHeight="1" x14ac:dyDescent="0.2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 spans="1:27" ht="15.75" customHeight="1" x14ac:dyDescent="0.2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 spans="1:27" ht="15.75" customHeight="1" x14ac:dyDescent="0.2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 spans="1:27" ht="15.75" customHeight="1" x14ac:dyDescent="0.2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 spans="1:27" ht="15.75" customHeight="1" x14ac:dyDescent="0.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 spans="1:27" ht="15.75" customHeight="1" x14ac:dyDescent="0.2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 spans="1:27" ht="15.75" customHeight="1" x14ac:dyDescent="0.2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 spans="1:27" ht="15.75" customHeight="1" x14ac:dyDescent="0.2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 spans="1:27" ht="15.75" customHeight="1" x14ac:dyDescent="0.2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 spans="1:27" ht="15.75" customHeight="1" x14ac:dyDescent="0.2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 spans="1:27" ht="15.75" customHeight="1" x14ac:dyDescent="0.2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 spans="1:27" ht="15.75" customHeight="1" x14ac:dyDescent="0.2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 spans="1:27" ht="15.75" customHeight="1" x14ac:dyDescent="0.2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 spans="1:27" ht="15.75" customHeight="1" x14ac:dyDescent="0.2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 spans="1:27" ht="15.75" customHeight="1" x14ac:dyDescent="0.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 spans="1:27" ht="15.75" customHeight="1" x14ac:dyDescent="0.2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 spans="1:27" ht="15.75" customHeight="1" x14ac:dyDescent="0.2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 spans="1:27" ht="15.75" customHeight="1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 spans="1:27" ht="15.75" customHeight="1" x14ac:dyDescent="0.2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 spans="1:27" ht="15.75" customHeight="1" x14ac:dyDescent="0.2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 spans="1:27" ht="15.75" customHeight="1" x14ac:dyDescent="0.2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 spans="1:27" ht="15.75" customHeight="1" x14ac:dyDescent="0.2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 spans="1:27" ht="15.75" customHeight="1" x14ac:dyDescent="0.2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 spans="1:27" ht="15.75" customHeight="1" x14ac:dyDescent="0.2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 spans="1:27" ht="15.75" customHeight="1" x14ac:dyDescent="0.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 spans="1:27" ht="15.75" customHeight="1" x14ac:dyDescent="0.2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 spans="1:27" ht="15.75" customHeight="1" x14ac:dyDescent="0.2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spans="1:27" ht="15.75" customHeight="1" x14ac:dyDescent="0.2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 spans="1:27" ht="15.75" customHeight="1" x14ac:dyDescent="0.2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 spans="1:27" ht="15.75" customHeight="1" x14ac:dyDescent="0.2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 spans="1:27" ht="15.75" customHeight="1" x14ac:dyDescent="0.2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 spans="1:27" ht="15.75" customHeight="1" x14ac:dyDescent="0.2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 spans="1:27" ht="15.75" customHeight="1" x14ac:dyDescent="0.2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 spans="1:27" ht="15.75" customHeight="1" x14ac:dyDescent="0.2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 spans="1:27" ht="15.75" customHeight="1" x14ac:dyDescent="0.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 spans="1:27" ht="15.75" customHeight="1" x14ac:dyDescent="0.2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 spans="1:27" ht="15.75" customHeight="1" x14ac:dyDescent="0.2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 spans="1:27" ht="15.75" customHeight="1" x14ac:dyDescent="0.2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 spans="1:27" ht="15.75" customHeight="1" x14ac:dyDescent="0.2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 spans="1:27" ht="15.75" customHeight="1" x14ac:dyDescent="0.2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 spans="1:27" ht="15.75" customHeight="1" x14ac:dyDescent="0.2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 spans="1:27" ht="15.75" customHeight="1" x14ac:dyDescent="0.2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 spans="1:27" ht="15.75" customHeight="1" x14ac:dyDescent="0.2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 spans="1:27" ht="15.75" customHeight="1" x14ac:dyDescent="0.2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 spans="1:27" ht="15.75" customHeight="1" x14ac:dyDescent="0.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 spans="1:27" ht="15.75" customHeight="1" x14ac:dyDescent="0.2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 spans="1:27" ht="15.75" customHeight="1" x14ac:dyDescent="0.2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 spans="1:27" ht="15.75" customHeight="1" x14ac:dyDescent="0.2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 spans="1:27" ht="15.75" customHeight="1" x14ac:dyDescent="0.2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 spans="1:27" ht="15.75" customHeight="1" x14ac:dyDescent="0.2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 spans="1:27" ht="15.75" customHeight="1" x14ac:dyDescent="0.2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 spans="1:27" ht="15.75" customHeight="1" x14ac:dyDescent="0.2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 spans="1:27" ht="15.75" customHeight="1" x14ac:dyDescent="0.2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 spans="1:27" ht="15.75" customHeight="1" x14ac:dyDescent="0.2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 spans="1:27" ht="15.75" customHeight="1" x14ac:dyDescent="0.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 spans="1:27" ht="15.75" customHeight="1" x14ac:dyDescent="0.2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 spans="1:27" ht="15.75" customHeight="1" x14ac:dyDescent="0.2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 spans="1:27" ht="15.75" customHeight="1" x14ac:dyDescent="0.2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 spans="1:27" ht="15.75" customHeight="1" x14ac:dyDescent="0.2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 spans="1:27" ht="15.75" customHeight="1" x14ac:dyDescent="0.2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 spans="1:27" ht="15.75" customHeight="1" x14ac:dyDescent="0.2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 spans="1:27" ht="15.75" customHeight="1" x14ac:dyDescent="0.2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 spans="1:27" ht="15.75" customHeight="1" x14ac:dyDescent="0.2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 spans="1:27" ht="15.75" customHeight="1" x14ac:dyDescent="0.2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 spans="1:27" ht="15.75" customHeight="1" x14ac:dyDescent="0.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1:27" ht="15.75" customHeight="1" x14ac:dyDescent="0.2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 spans="1:27" ht="15.75" customHeight="1" x14ac:dyDescent="0.2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 spans="1:27" ht="15.75" customHeight="1" x14ac:dyDescent="0.2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 spans="1:27" ht="15.75" customHeight="1" x14ac:dyDescent="0.2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 spans="1:27" ht="15.75" customHeight="1" x14ac:dyDescent="0.2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 spans="1:27" ht="15.75" customHeight="1" x14ac:dyDescent="0.2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 spans="1:27" ht="15.75" customHeight="1" x14ac:dyDescent="0.2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 spans="1:27" ht="15.75" customHeight="1" x14ac:dyDescent="0.2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 spans="1:27" ht="15.75" customHeight="1" x14ac:dyDescent="0.2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 spans="1:27" ht="15.75" customHeight="1" x14ac:dyDescent="0.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 spans="1:27" ht="15.75" customHeight="1" x14ac:dyDescent="0.2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 spans="1:27" ht="15.75" customHeight="1" x14ac:dyDescent="0.2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 spans="1:27" ht="15.75" customHeight="1" x14ac:dyDescent="0.2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 spans="1:27" ht="15.75" customHeight="1" x14ac:dyDescent="0.2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 spans="1:27" ht="15.75" customHeight="1" x14ac:dyDescent="0.2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 spans="1:27" ht="15.75" customHeight="1" x14ac:dyDescent="0.2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 spans="1:27" ht="15.75" customHeight="1" x14ac:dyDescent="0.2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 spans="1:27" ht="15.75" customHeight="1" x14ac:dyDescent="0.2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 spans="1:27" ht="15.75" customHeight="1" x14ac:dyDescent="0.2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 spans="1:27" ht="15.75" customHeight="1" x14ac:dyDescent="0.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 spans="1:27" ht="15.75" customHeight="1" x14ac:dyDescent="0.2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 spans="1:27" ht="15.75" customHeight="1" x14ac:dyDescent="0.2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 spans="1:27" ht="15.75" customHeight="1" x14ac:dyDescent="0.2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 spans="1:27" ht="15.75" customHeight="1" x14ac:dyDescent="0.2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 spans="1:27" ht="15.75" customHeight="1" x14ac:dyDescent="0.2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 spans="1:27" ht="15.75" customHeight="1" x14ac:dyDescent="0.2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 spans="1:27" ht="15.75" customHeight="1" x14ac:dyDescent="0.2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 spans="1:27" ht="15.75" customHeight="1" x14ac:dyDescent="0.2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 spans="1:27" ht="15.75" customHeight="1" x14ac:dyDescent="0.2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 spans="1:27" ht="15.75" customHeight="1" x14ac:dyDescent="0.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 spans="1:27" ht="15.75" customHeight="1" x14ac:dyDescent="0.2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 spans="1:27" ht="15.75" customHeight="1" x14ac:dyDescent="0.2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 spans="1:27" ht="15.75" customHeight="1" x14ac:dyDescent="0.2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 spans="1:27" ht="15.75" customHeight="1" x14ac:dyDescent="0.2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 spans="1:27" ht="15.75" customHeight="1" x14ac:dyDescent="0.2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 spans="1:27" ht="15.75" customHeight="1" x14ac:dyDescent="0.2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 spans="1:27" ht="15.75" customHeight="1" x14ac:dyDescent="0.2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 spans="1:27" ht="15.75" customHeight="1" x14ac:dyDescent="0.2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1:27" ht="15.75" customHeight="1" x14ac:dyDescent="0.2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 spans="1:27" ht="15.75" customHeight="1" x14ac:dyDescent="0.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 spans="1:27" ht="15.75" customHeight="1" x14ac:dyDescent="0.2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 spans="1:27" ht="15.75" customHeight="1" x14ac:dyDescent="0.2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 spans="1:27" ht="15.75" customHeight="1" x14ac:dyDescent="0.2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 spans="1:27" ht="15.75" customHeight="1" x14ac:dyDescent="0.2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 spans="1:27" ht="15.75" customHeight="1" x14ac:dyDescent="0.2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 spans="1:27" ht="15.75" customHeight="1" x14ac:dyDescent="0.2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 spans="1:27" ht="15.75" customHeight="1" x14ac:dyDescent="0.2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 spans="1:27" ht="15.75" customHeight="1" x14ac:dyDescent="0.2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 spans="1:27" ht="15.75" customHeight="1" x14ac:dyDescent="0.2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 spans="1:27" ht="15.75" customHeight="1" x14ac:dyDescent="0.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 spans="1:27" ht="15.75" customHeight="1" x14ac:dyDescent="0.2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 spans="1:27" ht="15.75" customHeight="1" x14ac:dyDescent="0.2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 spans="1:27" ht="15.75" customHeight="1" x14ac:dyDescent="0.2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 spans="1:27" ht="15.75" customHeight="1" x14ac:dyDescent="0.2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 spans="1:27" ht="15.75" customHeight="1" x14ac:dyDescent="0.2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 spans="1:27" ht="15.75" customHeight="1" x14ac:dyDescent="0.2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 spans="1:27" ht="15.75" customHeight="1" x14ac:dyDescent="0.2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 spans="1:27" ht="15.75" customHeight="1" x14ac:dyDescent="0.2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 spans="1:27" ht="15.75" customHeight="1" x14ac:dyDescent="0.2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 spans="1:27" ht="15.75" customHeight="1" x14ac:dyDescent="0.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 spans="1:27" ht="15.75" customHeight="1" x14ac:dyDescent="0.2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 spans="1:27" ht="15.75" customHeight="1" x14ac:dyDescent="0.2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 spans="1:27" ht="15.75" customHeight="1" x14ac:dyDescent="0.2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 spans="1:27" ht="15.75" customHeight="1" x14ac:dyDescent="0.2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 spans="1:27" ht="15.75" customHeight="1" x14ac:dyDescent="0.2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 spans="1:27" ht="15.75" customHeight="1" x14ac:dyDescent="0.2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 spans="1:27" ht="15.75" customHeight="1" x14ac:dyDescent="0.2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 spans="1:27" ht="15.75" customHeight="1" x14ac:dyDescent="0.2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 spans="1:27" ht="15.75" customHeight="1" x14ac:dyDescent="0.2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 spans="1:27" ht="15.75" customHeight="1" x14ac:dyDescent="0.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 spans="1:27" ht="15.75" customHeight="1" x14ac:dyDescent="0.2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 spans="1:27" ht="15.75" customHeight="1" x14ac:dyDescent="0.2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 spans="1:27" ht="15.75" customHeight="1" x14ac:dyDescent="0.2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 spans="1:27" ht="15.75" customHeight="1" x14ac:dyDescent="0.2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 spans="1:27" ht="15.75" customHeight="1" x14ac:dyDescent="0.2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 spans="1:27" ht="15.75" customHeight="1" x14ac:dyDescent="0.2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1:27" ht="15.75" customHeight="1" x14ac:dyDescent="0.2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 spans="1:27" ht="15.75" customHeight="1" x14ac:dyDescent="0.2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 spans="1:27" ht="15.75" customHeight="1" x14ac:dyDescent="0.2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 spans="1:27" ht="15.75" customHeight="1" x14ac:dyDescent="0.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 spans="1:27" ht="15.75" customHeight="1" x14ac:dyDescent="0.2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 spans="1:27" ht="15.75" customHeight="1" x14ac:dyDescent="0.2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 spans="1:27" ht="15.75" customHeight="1" x14ac:dyDescent="0.2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 spans="1:27" ht="15.75" customHeight="1" x14ac:dyDescent="0.2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 spans="1:27" ht="15.75" customHeight="1" x14ac:dyDescent="0.2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 spans="1:27" ht="15.75" customHeight="1" x14ac:dyDescent="0.2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 spans="1:27" ht="15.75" customHeight="1" x14ac:dyDescent="0.2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 spans="1:27" ht="15.75" customHeight="1" x14ac:dyDescent="0.2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 spans="1:27" ht="15.75" customHeight="1" x14ac:dyDescent="0.2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 spans="1:27" ht="15.75" customHeight="1" x14ac:dyDescent="0.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 spans="1:27" ht="15.75" customHeight="1" x14ac:dyDescent="0.2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 spans="1:27" ht="15.75" customHeight="1" x14ac:dyDescent="0.2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 spans="1:27" ht="15.75" customHeight="1" x14ac:dyDescent="0.2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 spans="1:27" ht="15.75" customHeight="1" x14ac:dyDescent="0.2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 spans="1:27" ht="15.75" customHeight="1" x14ac:dyDescent="0.2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 spans="1:27" ht="15.75" customHeight="1" x14ac:dyDescent="0.2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 spans="1:27" ht="15.75" customHeight="1" x14ac:dyDescent="0.2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 spans="1:27" ht="15.75" customHeight="1" x14ac:dyDescent="0.2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 spans="1:27" ht="15.75" customHeight="1" x14ac:dyDescent="0.2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 spans="1:27" ht="15.75" customHeight="1" x14ac:dyDescent="0.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 spans="1:27" ht="15.75" customHeight="1" x14ac:dyDescent="0.2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 spans="1:27" ht="15.75" customHeight="1" x14ac:dyDescent="0.2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 spans="1:27" ht="15.75" customHeight="1" x14ac:dyDescent="0.2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 spans="1:27" ht="15.75" customHeight="1" x14ac:dyDescent="0.2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 spans="1:27" ht="15.75" customHeight="1" x14ac:dyDescent="0.2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 spans="1:27" ht="15.75" customHeight="1" x14ac:dyDescent="0.2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 spans="1:27" ht="15.75" customHeight="1" x14ac:dyDescent="0.2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 spans="1:27" ht="15.75" customHeight="1" x14ac:dyDescent="0.2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 spans="1:27" ht="15.75" customHeight="1" x14ac:dyDescent="0.2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 spans="1:27" ht="15.75" customHeight="1" x14ac:dyDescent="0.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 spans="1:27" ht="15.75" customHeight="1" x14ac:dyDescent="0.2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 spans="1:27" ht="15.75" customHeight="1" x14ac:dyDescent="0.2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 spans="1:27" ht="15.75" customHeight="1" x14ac:dyDescent="0.2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 spans="1:27" ht="15.75" customHeight="1" x14ac:dyDescent="0.2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1:27" ht="15.75" customHeight="1" x14ac:dyDescent="0.2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 spans="1:27" ht="15.75" customHeight="1" x14ac:dyDescent="0.2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 spans="1:27" ht="15.75" customHeight="1" x14ac:dyDescent="0.2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 spans="1:27" ht="15.75" customHeight="1" x14ac:dyDescent="0.2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 spans="1:27" ht="15.75" customHeight="1" x14ac:dyDescent="0.2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 spans="1:27" ht="15.75" customHeight="1" x14ac:dyDescent="0.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 spans="1:27" ht="15.75" customHeight="1" x14ac:dyDescent="0.2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 spans="1:27" ht="15.75" customHeight="1" x14ac:dyDescent="0.2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 spans="1:27" ht="15.75" customHeight="1" x14ac:dyDescent="0.2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 spans="1:27" ht="15.75" customHeight="1" x14ac:dyDescent="0.2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 spans="1:27" ht="15.75" customHeight="1" x14ac:dyDescent="0.2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 spans="1:27" ht="15.75" customHeight="1" x14ac:dyDescent="0.2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 spans="1:27" ht="15.75" customHeight="1" x14ac:dyDescent="0.2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 spans="1:27" ht="15.75" customHeight="1" x14ac:dyDescent="0.2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 spans="1:27" ht="15.75" customHeight="1" x14ac:dyDescent="0.2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 spans="1:27" ht="15.75" customHeight="1" x14ac:dyDescent="0.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 spans="1:27" ht="15.75" customHeight="1" x14ac:dyDescent="0.2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 spans="1:27" ht="15.75" customHeight="1" x14ac:dyDescent="0.2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 spans="1:27" ht="15.75" customHeight="1" x14ac:dyDescent="0.2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 spans="1:27" ht="15.75" customHeight="1" x14ac:dyDescent="0.2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 spans="1:27" ht="15.75" customHeight="1" x14ac:dyDescent="0.2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 spans="1:27" ht="15.75" customHeight="1" x14ac:dyDescent="0.2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 spans="1:27" ht="15.75" customHeight="1" x14ac:dyDescent="0.2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 spans="1:27" ht="15.75" customHeight="1" x14ac:dyDescent="0.2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 spans="1:27" ht="15.75" customHeight="1" x14ac:dyDescent="0.2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 spans="1:27" ht="15.75" customHeight="1" x14ac:dyDescent="0.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 spans="1:27" ht="15.75" customHeight="1" x14ac:dyDescent="0.2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 spans="1:27" ht="15.75" customHeight="1" x14ac:dyDescent="0.2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 spans="1:27" ht="15.75" customHeight="1" x14ac:dyDescent="0.2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 spans="1:27" ht="15.75" customHeight="1" x14ac:dyDescent="0.2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 spans="1:27" ht="15.75" customHeight="1" x14ac:dyDescent="0.2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 spans="1:27" ht="15.75" customHeight="1" x14ac:dyDescent="0.2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 spans="1:27" ht="15.75" customHeight="1" x14ac:dyDescent="0.2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 spans="1:27" ht="15.75" customHeight="1" x14ac:dyDescent="0.2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 spans="1:27" ht="15.75" customHeight="1" x14ac:dyDescent="0.2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 spans="1:27" ht="15.75" customHeight="1" x14ac:dyDescent="0.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 spans="1:27" ht="15.75" customHeight="1" x14ac:dyDescent="0.2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 spans="1:27" ht="15.75" customHeight="1" x14ac:dyDescent="0.2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ht="15.75" customHeight="1" x14ac:dyDescent="0.2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 spans="1:27" ht="15.75" customHeight="1" x14ac:dyDescent="0.2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 spans="1:27" ht="15.75" customHeight="1" x14ac:dyDescent="0.2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 spans="1:27" ht="15.75" customHeight="1" x14ac:dyDescent="0.2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 spans="1:27" ht="15.75" customHeight="1" x14ac:dyDescent="0.2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 spans="1:27" ht="15.75" customHeight="1" x14ac:dyDescent="0.2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 spans="1:27" ht="15.75" customHeight="1" x14ac:dyDescent="0.2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 spans="1:27" ht="15.75" customHeight="1" x14ac:dyDescent="0.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 spans="1:27" ht="15.75" customHeight="1" x14ac:dyDescent="0.2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 spans="1:27" ht="15.75" customHeight="1" x14ac:dyDescent="0.2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 spans="1:27" ht="15.75" customHeight="1" x14ac:dyDescent="0.2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 spans="1:27" ht="15.75" customHeight="1" x14ac:dyDescent="0.2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 spans="1:27" ht="15.75" customHeight="1" x14ac:dyDescent="0.2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 spans="1:27" ht="15.75" customHeight="1" x14ac:dyDescent="0.2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 spans="1:27" ht="15.75" customHeight="1" x14ac:dyDescent="0.2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 spans="1:27" ht="15.75" customHeight="1" x14ac:dyDescent="0.2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 spans="1:27" ht="15.75" customHeight="1" x14ac:dyDescent="0.2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 spans="1:27" ht="15.75" customHeight="1" x14ac:dyDescent="0.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 spans="1:27" ht="15.75" customHeight="1" x14ac:dyDescent="0.2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 spans="1:27" ht="15.75" customHeight="1" x14ac:dyDescent="0.2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 spans="1:27" ht="15.75" customHeight="1" x14ac:dyDescent="0.2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 spans="1:27" ht="15.75" customHeight="1" x14ac:dyDescent="0.2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 spans="1:27" ht="15.75" customHeight="1" x14ac:dyDescent="0.2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 spans="1:27" ht="15.75" customHeight="1" x14ac:dyDescent="0.2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 spans="1:27" ht="15.75" customHeight="1" x14ac:dyDescent="0.2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 spans="1:27" ht="15.75" customHeight="1" x14ac:dyDescent="0.2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 spans="1:27" ht="15.75" customHeight="1" x14ac:dyDescent="0.2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 spans="1:27" ht="15.75" customHeight="1" x14ac:dyDescent="0.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 spans="1:27" ht="15.75" customHeight="1" x14ac:dyDescent="0.2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 spans="1:27" ht="15.75" customHeight="1" x14ac:dyDescent="0.2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 spans="1:27" ht="15.75" customHeight="1" x14ac:dyDescent="0.2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 spans="1:27" ht="15.75" customHeight="1" x14ac:dyDescent="0.2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 spans="1:27" ht="15.75" customHeight="1" x14ac:dyDescent="0.2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 spans="1:27" ht="15.75" customHeight="1" x14ac:dyDescent="0.2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 spans="1:27" ht="15.75" customHeight="1" x14ac:dyDescent="0.2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 spans="1:27" ht="15.75" customHeight="1" x14ac:dyDescent="0.2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 spans="1:27" ht="15.75" customHeight="1" x14ac:dyDescent="0.2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 spans="1:27" ht="15.75" customHeight="1" x14ac:dyDescent="0.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ht="15.75" customHeight="1" x14ac:dyDescent="0.2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 spans="1:27" ht="15.75" customHeight="1" x14ac:dyDescent="0.2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 spans="1:27" ht="15.75" customHeight="1" x14ac:dyDescent="0.2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 spans="1:27" ht="15.75" customHeight="1" x14ac:dyDescent="0.2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 spans="1:27" ht="15.75" customHeight="1" x14ac:dyDescent="0.2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 spans="1:27" ht="15.75" customHeight="1" x14ac:dyDescent="0.2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 spans="1:27" ht="15.75" customHeight="1" x14ac:dyDescent="0.2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 spans="1:27" ht="15.75" customHeight="1" x14ac:dyDescent="0.2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 spans="1:27" ht="15.75" customHeight="1" x14ac:dyDescent="0.2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 spans="1:27" ht="15.75" customHeight="1" x14ac:dyDescent="0.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 spans="1:27" ht="15.75" customHeight="1" x14ac:dyDescent="0.2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 spans="1:27" ht="15.75" customHeight="1" x14ac:dyDescent="0.2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 spans="1:27" ht="15.75" customHeight="1" x14ac:dyDescent="0.2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 spans="1:27" ht="15.75" customHeight="1" x14ac:dyDescent="0.2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 spans="1:27" ht="15.75" customHeight="1" x14ac:dyDescent="0.2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 spans="1:27" ht="15.75" customHeight="1" x14ac:dyDescent="0.2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 spans="1:27" ht="15.75" customHeight="1" x14ac:dyDescent="0.2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 spans="1:27" ht="15.75" customHeight="1" x14ac:dyDescent="0.2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 spans="1:27" ht="15.75" customHeight="1" x14ac:dyDescent="0.2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 spans="1:27" ht="15.75" customHeight="1" x14ac:dyDescent="0.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 spans="1:27" ht="15.75" customHeight="1" x14ac:dyDescent="0.2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 spans="1:27" ht="15.75" customHeight="1" x14ac:dyDescent="0.2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 spans="1:27" ht="15.75" customHeight="1" x14ac:dyDescent="0.2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 spans="1:27" ht="15.75" customHeight="1" x14ac:dyDescent="0.2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 spans="1:27" ht="15.75" customHeight="1" x14ac:dyDescent="0.2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 spans="1:27" ht="15.75" customHeight="1" x14ac:dyDescent="0.2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 spans="1:27" ht="15.75" customHeight="1" x14ac:dyDescent="0.2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 spans="1:27" ht="15.75" customHeight="1" x14ac:dyDescent="0.2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 spans="1:27" ht="15.75" customHeight="1" x14ac:dyDescent="0.2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 spans="1:27" ht="15.75" customHeight="1" x14ac:dyDescent="0.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 spans="1:27" ht="15.75" customHeight="1" x14ac:dyDescent="0.2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 spans="1:27" ht="15.75" customHeight="1" x14ac:dyDescent="0.2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 spans="1:27" ht="15.75" customHeight="1" x14ac:dyDescent="0.2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 spans="1:27" ht="15.75" customHeight="1" x14ac:dyDescent="0.2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 spans="1:27" ht="15.75" customHeight="1" x14ac:dyDescent="0.2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 spans="1:27" ht="15.75" customHeight="1" x14ac:dyDescent="0.2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 spans="1:27" ht="15.75" customHeight="1" x14ac:dyDescent="0.2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 spans="1:27" ht="15.75" customHeight="1" x14ac:dyDescent="0.2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 spans="1:27" ht="15.75" customHeight="1" x14ac:dyDescent="0.2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 spans="1:27" ht="15.75" customHeight="1" x14ac:dyDescent="0.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 spans="1:27" ht="15.75" customHeight="1" x14ac:dyDescent="0.2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 spans="1:27" ht="15.75" customHeight="1" x14ac:dyDescent="0.2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 spans="1:27" ht="15.75" customHeight="1" x14ac:dyDescent="0.2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 spans="1:27" ht="15.75" customHeight="1" x14ac:dyDescent="0.2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 spans="1:27" ht="15.75" customHeight="1" x14ac:dyDescent="0.2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 spans="1:27" ht="15.75" customHeight="1" x14ac:dyDescent="0.2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 spans="1:27" ht="15.75" customHeight="1" x14ac:dyDescent="0.2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 spans="1:27" ht="15.75" customHeight="1" x14ac:dyDescent="0.2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 spans="1:27" ht="15.75" customHeight="1" x14ac:dyDescent="0.2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 spans="1:27" ht="15.75" customHeight="1" x14ac:dyDescent="0.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 spans="1:27" ht="15.75" customHeight="1" x14ac:dyDescent="0.2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 spans="1:27" ht="15.75" customHeight="1" x14ac:dyDescent="0.2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 spans="1:27" ht="15.75" customHeight="1" x14ac:dyDescent="0.2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 spans="1:27" ht="15.75" customHeight="1" x14ac:dyDescent="0.2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 spans="1:27" ht="15.75" customHeight="1" x14ac:dyDescent="0.2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 spans="1:27" ht="15.75" customHeight="1" x14ac:dyDescent="0.2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 spans="1:27" ht="15.75" customHeight="1" x14ac:dyDescent="0.2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 spans="1:27" ht="15.75" customHeight="1" x14ac:dyDescent="0.2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 spans="1:27" ht="15.75" customHeight="1" x14ac:dyDescent="0.2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 spans="1:27" ht="15.75" customHeight="1" x14ac:dyDescent="0.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 spans="1:27" ht="15.75" customHeight="1" x14ac:dyDescent="0.2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 spans="1:27" ht="15.75" customHeight="1" x14ac:dyDescent="0.2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 spans="1:27" ht="15.75" customHeight="1" x14ac:dyDescent="0.2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 spans="1:27" ht="15.75" customHeight="1" x14ac:dyDescent="0.2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 spans="1:27" ht="15.75" customHeight="1" x14ac:dyDescent="0.2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 spans="1:27" ht="15.75" customHeight="1" x14ac:dyDescent="0.2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 spans="1:27" ht="15.75" customHeight="1" x14ac:dyDescent="0.2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 spans="1:27" ht="15.75" customHeight="1" x14ac:dyDescent="0.2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 spans="1:27" ht="15.75" customHeight="1" x14ac:dyDescent="0.2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 spans="1:27" ht="15.75" customHeight="1" x14ac:dyDescent="0.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 spans="1:27" ht="15.75" customHeight="1" x14ac:dyDescent="0.2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 spans="1:27" ht="15.75" customHeight="1" x14ac:dyDescent="0.2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 spans="1:27" ht="15.75" customHeight="1" x14ac:dyDescent="0.2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 spans="1:27" ht="15.75" customHeight="1" x14ac:dyDescent="0.2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 spans="1:27" ht="15.75" customHeight="1" x14ac:dyDescent="0.2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 spans="1:27" ht="15.75" customHeight="1" x14ac:dyDescent="0.2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 spans="1:27" ht="15.75" customHeight="1" x14ac:dyDescent="0.2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 spans="1:27" ht="15.75" customHeight="1" x14ac:dyDescent="0.2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 spans="1:27" ht="15.75" customHeight="1" x14ac:dyDescent="0.2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 spans="1:27" ht="15.75" customHeight="1" x14ac:dyDescent="0.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 spans="1:27" ht="15.75" customHeight="1" x14ac:dyDescent="0.2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 spans="1:27" ht="15.75" customHeight="1" x14ac:dyDescent="0.2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 spans="1:27" ht="15.75" customHeight="1" x14ac:dyDescent="0.2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 spans="1:27" ht="15.75" customHeight="1" x14ac:dyDescent="0.2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 spans="1:27" ht="15.75" customHeight="1" x14ac:dyDescent="0.2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 spans="1:27" ht="15.75" customHeight="1" x14ac:dyDescent="0.2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 spans="1:27" ht="15.75" customHeight="1" x14ac:dyDescent="0.2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 spans="1:27" ht="15.75" customHeight="1" x14ac:dyDescent="0.2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 spans="1:27" ht="15.75" customHeight="1" x14ac:dyDescent="0.2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 spans="1:27" ht="15.75" customHeight="1" x14ac:dyDescent="0.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 spans="1:27" ht="15.75" customHeight="1" x14ac:dyDescent="0.2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 spans="1:27" ht="15.75" customHeight="1" x14ac:dyDescent="0.2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 spans="1:27" ht="15.75" customHeight="1" x14ac:dyDescent="0.2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 spans="1:27" ht="15.75" customHeight="1" x14ac:dyDescent="0.2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 spans="1:27" ht="15.75" customHeight="1" x14ac:dyDescent="0.2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 spans="1:27" ht="15.75" customHeight="1" x14ac:dyDescent="0.2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 spans="1:27" ht="15.75" customHeight="1" x14ac:dyDescent="0.2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 spans="1:27" ht="15.75" customHeight="1" x14ac:dyDescent="0.2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 spans="1:27" ht="15.75" customHeight="1" x14ac:dyDescent="0.2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 spans="1:27" ht="15.75" customHeight="1" x14ac:dyDescent="0.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 spans="1:27" ht="15.75" customHeight="1" x14ac:dyDescent="0.2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 spans="1:27" ht="15.75" customHeight="1" x14ac:dyDescent="0.2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 spans="1:27" ht="15.75" customHeight="1" x14ac:dyDescent="0.2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 spans="1:27" ht="15.75" customHeight="1" x14ac:dyDescent="0.2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 spans="1:27" ht="15.75" customHeight="1" x14ac:dyDescent="0.2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 spans="1:27" ht="15.75" customHeight="1" x14ac:dyDescent="0.2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 spans="1:27" ht="15.75" customHeight="1" x14ac:dyDescent="0.2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 spans="1:27" ht="15.75" customHeight="1" x14ac:dyDescent="0.2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 spans="1:27" ht="15.75" customHeight="1" x14ac:dyDescent="0.2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 spans="1:27" ht="15.75" customHeight="1" x14ac:dyDescent="0.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 spans="1:27" ht="15.75" customHeight="1" x14ac:dyDescent="0.2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 spans="1:27" ht="15.75" customHeight="1" x14ac:dyDescent="0.2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 spans="1:27" ht="15.75" customHeight="1" x14ac:dyDescent="0.2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 spans="1:27" ht="15.75" customHeight="1" x14ac:dyDescent="0.2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 spans="1:27" ht="15.75" customHeight="1" x14ac:dyDescent="0.2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 spans="1:27" ht="15.75" customHeight="1" x14ac:dyDescent="0.2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 spans="1:27" ht="15.75" customHeight="1" x14ac:dyDescent="0.2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 spans="1:27" ht="15.75" customHeight="1" x14ac:dyDescent="0.2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 spans="1:27" ht="15.75" customHeight="1" x14ac:dyDescent="0.2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 spans="1:27" ht="15.75" customHeight="1" x14ac:dyDescent="0.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 spans="1:27" ht="15.75" customHeight="1" x14ac:dyDescent="0.2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 spans="1:27" ht="15.75" customHeight="1" x14ac:dyDescent="0.2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 spans="1:27" ht="15.75" customHeight="1" x14ac:dyDescent="0.2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 spans="1:27" ht="15.75" customHeight="1" x14ac:dyDescent="0.2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 spans="1:27" ht="15.75" customHeight="1" x14ac:dyDescent="0.2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 spans="1:27" ht="15.75" customHeight="1" x14ac:dyDescent="0.2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 spans="1:27" ht="15.75" customHeight="1" x14ac:dyDescent="0.2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 spans="1:27" ht="15.75" customHeight="1" x14ac:dyDescent="0.2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 spans="1:27" ht="15.75" customHeight="1" x14ac:dyDescent="0.2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 spans="1:27" ht="15.75" customHeight="1" x14ac:dyDescent="0.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 spans="1:27" ht="15.75" customHeight="1" x14ac:dyDescent="0.2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 spans="1:27" ht="15.75" customHeight="1" x14ac:dyDescent="0.2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 spans="1:27" ht="15.75" customHeight="1" x14ac:dyDescent="0.2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 spans="1:27" ht="15.75" customHeight="1" x14ac:dyDescent="0.2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 spans="1:27" ht="15.75" customHeight="1" x14ac:dyDescent="0.2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 spans="1:27" ht="15.75" customHeight="1" x14ac:dyDescent="0.2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 spans="1:27" ht="15.75" customHeight="1" x14ac:dyDescent="0.2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 spans="1:27" ht="15.75" customHeight="1" x14ac:dyDescent="0.2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 spans="1:27" ht="15.75" customHeight="1" x14ac:dyDescent="0.2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 spans="1:27" ht="15.75" customHeight="1" x14ac:dyDescent="0.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 spans="1:27" ht="15.75" customHeight="1" x14ac:dyDescent="0.2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 spans="1:27" ht="15.75" customHeight="1" x14ac:dyDescent="0.2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 spans="1:27" ht="15.75" customHeight="1" x14ac:dyDescent="0.2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 spans="1:27" ht="15.75" customHeight="1" x14ac:dyDescent="0.2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 spans="1:27" ht="15.75" customHeight="1" x14ac:dyDescent="0.2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 spans="1:27" ht="15.75" customHeight="1" x14ac:dyDescent="0.2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 spans="1:27" ht="15.75" customHeight="1" x14ac:dyDescent="0.2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 spans="1:27" ht="15.75" customHeight="1" x14ac:dyDescent="0.2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 spans="1:27" ht="15.75" customHeight="1" x14ac:dyDescent="0.2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 spans="1:27" ht="15.75" customHeight="1" x14ac:dyDescent="0.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 spans="1:27" ht="15.75" customHeight="1" x14ac:dyDescent="0.2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 spans="1:27" ht="15.75" customHeight="1" x14ac:dyDescent="0.2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 spans="1:27" ht="15.75" customHeight="1" x14ac:dyDescent="0.2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 spans="1:27" ht="15.75" customHeight="1" x14ac:dyDescent="0.2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 spans="1:27" ht="15.75" customHeight="1" x14ac:dyDescent="0.2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 spans="1:27" ht="15.75" customHeight="1" x14ac:dyDescent="0.2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 spans="1:27" ht="15.75" customHeight="1" x14ac:dyDescent="0.2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 spans="1:27" ht="15.75" customHeight="1" x14ac:dyDescent="0.2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 spans="1:27" ht="15.75" customHeight="1" x14ac:dyDescent="0.2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 spans="1:27" ht="15.75" customHeight="1" x14ac:dyDescent="0.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 spans="1:27" ht="15.75" customHeight="1" x14ac:dyDescent="0.2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 spans="1:27" ht="15.75" customHeight="1" x14ac:dyDescent="0.2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 spans="1:27" ht="15.75" customHeight="1" x14ac:dyDescent="0.2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 spans="1:27" ht="15.75" customHeight="1" x14ac:dyDescent="0.2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 spans="1:27" ht="15.75" customHeight="1" x14ac:dyDescent="0.2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 spans="1:27" ht="15.75" customHeight="1" x14ac:dyDescent="0.2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 spans="1:27" ht="15.75" customHeight="1" x14ac:dyDescent="0.2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 spans="1:27" ht="15.75" customHeight="1" x14ac:dyDescent="0.2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 spans="1:27" ht="15.75" customHeight="1" x14ac:dyDescent="0.2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 spans="1:27" ht="15.75" customHeight="1" x14ac:dyDescent="0.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 spans="1:27" ht="15.75" customHeight="1" x14ac:dyDescent="0.2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 spans="1:27" ht="15.75" customHeight="1" x14ac:dyDescent="0.2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 spans="1:27" ht="15.75" customHeight="1" x14ac:dyDescent="0.2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 spans="1:27" ht="15.75" customHeight="1" x14ac:dyDescent="0.2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 spans="1:27" ht="15.75" customHeight="1" x14ac:dyDescent="0.2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 spans="1:27" ht="15.75" customHeight="1" x14ac:dyDescent="0.2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 spans="1:27" ht="15.75" customHeight="1" x14ac:dyDescent="0.2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 spans="1:27" ht="15.75" customHeight="1" x14ac:dyDescent="0.2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 spans="1:27" ht="15.75" customHeight="1" x14ac:dyDescent="0.2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 spans="1:27" ht="15.75" customHeight="1" x14ac:dyDescent="0.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 spans="1:27" ht="15.75" customHeight="1" x14ac:dyDescent="0.2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 spans="1:27" ht="15.75" customHeight="1" x14ac:dyDescent="0.2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 spans="1:27" ht="15.75" customHeight="1" x14ac:dyDescent="0.2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 spans="1:27" ht="15.75" customHeight="1" x14ac:dyDescent="0.2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 spans="1:27" ht="15.75" customHeight="1" x14ac:dyDescent="0.2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 spans="1:27" ht="15.75" customHeight="1" x14ac:dyDescent="0.2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 spans="1:27" ht="15.75" customHeight="1" x14ac:dyDescent="0.2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 spans="1:27" ht="15.75" customHeight="1" x14ac:dyDescent="0.2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 spans="1:27" ht="15.75" customHeight="1" x14ac:dyDescent="0.2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 spans="1:27" ht="15.75" customHeight="1" x14ac:dyDescent="0.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 spans="1:27" ht="15.75" customHeight="1" x14ac:dyDescent="0.2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 spans="1:27" ht="15.75" customHeight="1" x14ac:dyDescent="0.2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 spans="1:27" ht="15.75" customHeight="1" x14ac:dyDescent="0.2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 spans="1:27" ht="15.75" customHeight="1" x14ac:dyDescent="0.2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 spans="1:27" ht="15.75" customHeight="1" x14ac:dyDescent="0.2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 spans="1:27" ht="15.75" customHeight="1" x14ac:dyDescent="0.2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 spans="1:27" ht="15.75" customHeight="1" x14ac:dyDescent="0.2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 spans="1:27" ht="15.75" customHeight="1" x14ac:dyDescent="0.2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 spans="1:27" ht="15.75" customHeight="1" x14ac:dyDescent="0.2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 spans="1:27" ht="15.75" customHeight="1" x14ac:dyDescent="0.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 spans="1:27" ht="15.75" customHeight="1" x14ac:dyDescent="0.2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 spans="1:27" ht="15.75" customHeight="1" x14ac:dyDescent="0.2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 spans="1:27" ht="15.75" customHeight="1" x14ac:dyDescent="0.2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 spans="1:27" ht="15.75" customHeight="1" x14ac:dyDescent="0.2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 spans="1:27" ht="15.75" customHeight="1" x14ac:dyDescent="0.2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 spans="1:27" ht="15.75" customHeight="1" x14ac:dyDescent="0.2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 spans="1:27" ht="15.75" customHeight="1" x14ac:dyDescent="0.2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 spans="1:27" ht="15.75" customHeight="1" x14ac:dyDescent="0.2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 spans="1:27" ht="15.75" customHeight="1" x14ac:dyDescent="0.2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 spans="1:27" ht="15.75" customHeight="1" x14ac:dyDescent="0.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 spans="1:27" ht="15.75" customHeight="1" x14ac:dyDescent="0.2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 spans="1:27" ht="15.75" customHeight="1" x14ac:dyDescent="0.2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 spans="1:27" ht="15.75" customHeight="1" x14ac:dyDescent="0.2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 spans="1:27" ht="15.75" customHeight="1" x14ac:dyDescent="0.2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 spans="1:27" ht="15.75" customHeight="1" x14ac:dyDescent="0.2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 spans="1:27" ht="15.75" customHeight="1" x14ac:dyDescent="0.2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 spans="1:27" ht="15.75" customHeight="1" x14ac:dyDescent="0.2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 spans="1:27" ht="15.75" customHeight="1" x14ac:dyDescent="0.2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 spans="1:27" ht="15.75" customHeight="1" x14ac:dyDescent="0.2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 spans="1:27" ht="15.75" customHeight="1" x14ac:dyDescent="0.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 spans="1:27" ht="15.75" customHeight="1" x14ac:dyDescent="0.2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 spans="1:27" ht="15.75" customHeight="1" x14ac:dyDescent="0.2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 spans="1:27" ht="15.75" customHeight="1" x14ac:dyDescent="0.2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 spans="1:27" ht="15.75" customHeight="1" x14ac:dyDescent="0.2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 spans="1:27" ht="15.75" customHeight="1" x14ac:dyDescent="0.2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 spans="1:27" ht="15.75" customHeight="1" x14ac:dyDescent="0.2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 spans="1:27" ht="15.75" customHeight="1" x14ac:dyDescent="0.2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 spans="1:27" ht="15.75" customHeight="1" x14ac:dyDescent="0.2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 spans="1:27" ht="15.75" customHeight="1" x14ac:dyDescent="0.2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 spans="1:27" ht="15.75" customHeight="1" x14ac:dyDescent="0.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 spans="1:27" ht="15.75" customHeight="1" x14ac:dyDescent="0.2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 spans="1:27" ht="15.75" customHeight="1" x14ac:dyDescent="0.2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 spans="1:27" ht="15.75" customHeight="1" x14ac:dyDescent="0.2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 spans="1:27" ht="15.75" customHeight="1" x14ac:dyDescent="0.2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 spans="1:27" ht="15.75" customHeight="1" x14ac:dyDescent="0.2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 spans="1:27" ht="15.75" customHeight="1" x14ac:dyDescent="0.2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 spans="1:27" ht="15.75" customHeight="1" x14ac:dyDescent="0.2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 spans="1:27" ht="15.75" customHeight="1" x14ac:dyDescent="0.2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 spans="1:27" ht="15.75" customHeight="1" x14ac:dyDescent="0.2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 spans="1:27" ht="15.75" customHeight="1" x14ac:dyDescent="0.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 spans="1:27" ht="15.75" customHeight="1" x14ac:dyDescent="0.2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 spans="1:27" ht="15.75" customHeight="1" x14ac:dyDescent="0.2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 spans="1:27" ht="15.75" customHeight="1" x14ac:dyDescent="0.2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 spans="1:27" ht="15.75" customHeight="1" x14ac:dyDescent="0.2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 spans="1:27" ht="15.75" customHeight="1" x14ac:dyDescent="0.2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 spans="1:27" ht="15.75" customHeight="1" x14ac:dyDescent="0.2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 spans="1:27" ht="15.75" customHeight="1" x14ac:dyDescent="0.2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 spans="1:27" ht="15.75" customHeight="1" x14ac:dyDescent="0.2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 spans="1:27" ht="15.75" customHeight="1" x14ac:dyDescent="0.2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 spans="1:27" ht="15.75" customHeight="1" x14ac:dyDescent="0.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 spans="1:27" ht="15.75" customHeight="1" x14ac:dyDescent="0.2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 spans="1:27" ht="15.75" customHeight="1" x14ac:dyDescent="0.2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 spans="1:27" ht="15.75" customHeight="1" x14ac:dyDescent="0.2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 spans="1:27" ht="15.75" customHeight="1" x14ac:dyDescent="0.2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 spans="1:27" ht="15.75" customHeight="1" x14ac:dyDescent="0.2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 spans="1:27" ht="15.75" customHeight="1" x14ac:dyDescent="0.2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 spans="1:27" ht="15.75" customHeight="1" x14ac:dyDescent="0.2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 spans="1:27" ht="15.75" customHeight="1" x14ac:dyDescent="0.2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 spans="1:27" ht="15.75" customHeight="1" x14ac:dyDescent="0.2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 spans="1:27" ht="15.75" customHeight="1" x14ac:dyDescent="0.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 spans="1:27" ht="15.75" customHeight="1" x14ac:dyDescent="0.2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 spans="1:27" ht="15.75" customHeight="1" x14ac:dyDescent="0.2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 spans="1:27" ht="15.75" customHeight="1" x14ac:dyDescent="0.2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 spans="1:27" ht="15.75" customHeight="1" x14ac:dyDescent="0.2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 spans="1:27" ht="15.75" customHeight="1" x14ac:dyDescent="0.2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 spans="1:27" ht="15.75" customHeight="1" x14ac:dyDescent="0.2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 spans="1:27" ht="15.75" customHeight="1" x14ac:dyDescent="0.2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 spans="1:27" ht="15.75" customHeight="1" x14ac:dyDescent="0.2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 spans="1:27" ht="15.75" customHeight="1" x14ac:dyDescent="0.2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 spans="1:27" ht="15.75" customHeight="1" x14ac:dyDescent="0.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 spans="1:27" ht="15.75" customHeight="1" x14ac:dyDescent="0.2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 spans="1:27" ht="15.75" customHeight="1" x14ac:dyDescent="0.2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 spans="1:27" ht="15.75" customHeight="1" x14ac:dyDescent="0.2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 spans="1:27" ht="15.75" customHeight="1" x14ac:dyDescent="0.2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 spans="1:27" ht="15.75" customHeight="1" x14ac:dyDescent="0.2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 spans="1:27" ht="15.75" customHeight="1" x14ac:dyDescent="0.2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 spans="1:27" ht="15.75" customHeight="1" x14ac:dyDescent="0.2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 spans="1:27" ht="15.75" customHeight="1" x14ac:dyDescent="0.2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 spans="1:27" ht="15.75" customHeight="1" x14ac:dyDescent="0.2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 spans="1:27" ht="15.75" customHeight="1" x14ac:dyDescent="0.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 spans="1:27" ht="15.75" customHeight="1" x14ac:dyDescent="0.2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 spans="1:27" ht="15.75" customHeight="1" x14ac:dyDescent="0.2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 spans="1:27" ht="15.75" customHeight="1" x14ac:dyDescent="0.2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 spans="1:27" ht="15.75" customHeight="1" x14ac:dyDescent="0.2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 spans="1:27" ht="15.75" customHeight="1" x14ac:dyDescent="0.2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 spans="1:27" ht="15.75" customHeight="1" x14ac:dyDescent="0.2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 spans="1:27" ht="15.75" customHeight="1" x14ac:dyDescent="0.2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 spans="1:27" ht="15.75" customHeight="1" x14ac:dyDescent="0.2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 spans="1:27" ht="15.75" customHeight="1" x14ac:dyDescent="0.2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 spans="1:27" ht="15.75" customHeight="1" x14ac:dyDescent="0.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 spans="1:27" ht="15.75" customHeight="1" x14ac:dyDescent="0.2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 spans="1:27" ht="15.75" customHeight="1" x14ac:dyDescent="0.2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 spans="1:27" ht="15.75" customHeight="1" x14ac:dyDescent="0.2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 spans="1:27" ht="15.75" customHeight="1" x14ac:dyDescent="0.2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 spans="1:27" ht="15.75" customHeight="1" x14ac:dyDescent="0.2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 spans="1:27" ht="15.75" customHeight="1" x14ac:dyDescent="0.2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 spans="1:27" ht="15.75" customHeight="1" x14ac:dyDescent="0.2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 spans="1:27" ht="15.75" customHeight="1" x14ac:dyDescent="0.2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 spans="1:27" ht="15.75" customHeight="1" x14ac:dyDescent="0.2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 spans="1:27" ht="15.75" customHeight="1" x14ac:dyDescent="0.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 spans="1:27" ht="15.75" customHeight="1" x14ac:dyDescent="0.2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 spans="1:27" ht="15.75" customHeight="1" x14ac:dyDescent="0.2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 spans="1:27" ht="15.75" customHeight="1" x14ac:dyDescent="0.2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 spans="1:27" ht="15.75" customHeight="1" x14ac:dyDescent="0.2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 spans="1:27" ht="15.75" customHeight="1" x14ac:dyDescent="0.2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 spans="1:27" ht="15.75" customHeight="1" x14ac:dyDescent="0.2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 spans="1:27" ht="15.75" customHeight="1" x14ac:dyDescent="0.2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 spans="1:27" ht="15.75" customHeight="1" x14ac:dyDescent="0.2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 spans="1:27" ht="15.75" customHeight="1" x14ac:dyDescent="0.2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 spans="1:27" ht="15.75" customHeight="1" x14ac:dyDescent="0.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 spans="1:27" ht="15.75" customHeight="1" x14ac:dyDescent="0.2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 spans="1:27" ht="15.75" customHeight="1" x14ac:dyDescent="0.2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 spans="1:27" ht="15.75" customHeight="1" x14ac:dyDescent="0.2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 spans="1:27" ht="15.75" customHeight="1" x14ac:dyDescent="0.2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 spans="1:27" ht="15.75" customHeight="1" x14ac:dyDescent="0.2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 spans="1:27" ht="15.75" customHeight="1" x14ac:dyDescent="0.2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 spans="1:27" ht="15.75" customHeight="1" x14ac:dyDescent="0.2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 spans="1:27" ht="15.75" customHeight="1" x14ac:dyDescent="0.2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 spans="1:27" ht="15.75" customHeight="1" x14ac:dyDescent="0.2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 spans="1:27" ht="15.75" customHeight="1" x14ac:dyDescent="0.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 spans="1:27" ht="15.75" customHeight="1" x14ac:dyDescent="0.2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 spans="1:27" ht="15.75" customHeight="1" x14ac:dyDescent="0.2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 spans="1:27" ht="15.75" customHeight="1" x14ac:dyDescent="0.2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 spans="1:27" ht="15.75" customHeight="1" x14ac:dyDescent="0.2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 spans="1:27" ht="15.75" customHeight="1" x14ac:dyDescent="0.2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 spans="1:27" ht="15.75" customHeight="1" x14ac:dyDescent="0.2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 spans="1:27" ht="15.75" customHeight="1" x14ac:dyDescent="0.2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 spans="1:27" ht="15.75" customHeight="1" x14ac:dyDescent="0.2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 spans="1:27" ht="15.75" customHeight="1" x14ac:dyDescent="0.2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 spans="1:27" ht="15.75" customHeight="1" x14ac:dyDescent="0.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 spans="1:27" ht="15.75" customHeight="1" x14ac:dyDescent="0.2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 spans="1:27" ht="15.75" customHeight="1" x14ac:dyDescent="0.2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 spans="1:27" ht="15.75" customHeight="1" x14ac:dyDescent="0.2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 spans="1:27" ht="15.75" customHeight="1" x14ac:dyDescent="0.2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 spans="1:27" ht="15.75" customHeight="1" x14ac:dyDescent="0.2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 spans="1:27" ht="15.75" customHeight="1" x14ac:dyDescent="0.2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 spans="1:27" ht="15.75" customHeight="1" x14ac:dyDescent="0.2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 spans="1:27" ht="15.75" customHeight="1" x14ac:dyDescent="0.2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 spans="1:27" ht="15.75" customHeight="1" x14ac:dyDescent="0.2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 spans="1:27" ht="15.75" customHeight="1" x14ac:dyDescent="0.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 spans="1:27" ht="15.75" customHeight="1" x14ac:dyDescent="0.2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 spans="1:27" ht="15.75" customHeight="1" x14ac:dyDescent="0.2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 spans="1:27" ht="15.75" customHeight="1" x14ac:dyDescent="0.2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 spans="1:27" ht="15.75" customHeight="1" x14ac:dyDescent="0.2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 spans="1:27" ht="15.75" customHeight="1" x14ac:dyDescent="0.2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 spans="1:27" ht="15.75" customHeight="1" x14ac:dyDescent="0.2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 spans="1:27" ht="15.75" customHeight="1" x14ac:dyDescent="0.2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 spans="1:27" ht="15.75" customHeight="1" x14ac:dyDescent="0.2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 spans="1:27" ht="15.75" customHeight="1" x14ac:dyDescent="0.2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 spans="1:27" ht="15.75" customHeight="1" x14ac:dyDescent="0.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 spans="1:27" ht="15.75" customHeight="1" x14ac:dyDescent="0.2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 spans="1:27" ht="15.75" customHeight="1" x14ac:dyDescent="0.2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 spans="1:27" ht="15.75" customHeight="1" x14ac:dyDescent="0.2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 spans="1:27" ht="15.75" customHeight="1" x14ac:dyDescent="0.2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 spans="1:27" ht="15.75" customHeight="1" x14ac:dyDescent="0.2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 spans="1:27" ht="15.75" customHeight="1" x14ac:dyDescent="0.2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 spans="1:27" ht="15.75" customHeight="1" x14ac:dyDescent="0.2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 spans="1:27" ht="15.75" customHeight="1" x14ac:dyDescent="0.2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 spans="1:27" ht="15.75" customHeight="1" x14ac:dyDescent="0.2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 spans="1:27" ht="15.75" customHeight="1" x14ac:dyDescent="0.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 spans="1:27" ht="15.75" customHeight="1" x14ac:dyDescent="0.2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 spans="1:27" ht="15.75" customHeight="1" x14ac:dyDescent="0.2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 spans="1:27" ht="15.75" customHeight="1" x14ac:dyDescent="0.2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 spans="1:27" ht="15.75" customHeight="1" x14ac:dyDescent="0.2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 spans="1:27" ht="15.75" customHeight="1" x14ac:dyDescent="0.2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 spans="1:27" ht="15.75" customHeight="1" x14ac:dyDescent="0.2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 spans="1:27" ht="15.75" customHeight="1" x14ac:dyDescent="0.2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 spans="1:27" ht="15.75" customHeight="1" x14ac:dyDescent="0.2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 spans="1:27" ht="15.75" customHeight="1" x14ac:dyDescent="0.2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 spans="1:27" ht="15.75" customHeight="1" x14ac:dyDescent="0.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 spans="1:27" ht="15.75" customHeight="1" x14ac:dyDescent="0.2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 spans="1:27" ht="15.75" customHeight="1" x14ac:dyDescent="0.2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 spans="1:27" ht="15.75" customHeight="1" x14ac:dyDescent="0.2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 spans="1:27" ht="15.75" customHeight="1" x14ac:dyDescent="0.2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 spans="1:27" ht="15.75" customHeight="1" x14ac:dyDescent="0.2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 spans="1:27" ht="15.75" customHeight="1" x14ac:dyDescent="0.2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 spans="1:27" ht="15.75" customHeight="1" x14ac:dyDescent="0.2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 spans="1:27" ht="15.75" customHeight="1" x14ac:dyDescent="0.2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 spans="1:27" ht="15.75" customHeight="1" x14ac:dyDescent="0.2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 spans="1:27" ht="15.75" customHeight="1" x14ac:dyDescent="0.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 spans="1:27" ht="15.75" customHeight="1" x14ac:dyDescent="0.2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 spans="1:27" ht="15.75" customHeight="1" x14ac:dyDescent="0.2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 spans="1:27" ht="15.75" customHeight="1" x14ac:dyDescent="0.2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 spans="1:27" ht="15.75" customHeight="1" x14ac:dyDescent="0.2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 spans="1:27" ht="15.75" customHeight="1" x14ac:dyDescent="0.2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 spans="1:27" ht="15.75" customHeight="1" x14ac:dyDescent="0.2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 spans="1:27" ht="15.75" customHeight="1" x14ac:dyDescent="0.2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 spans="1:27" ht="15.75" customHeight="1" x14ac:dyDescent="0.2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 spans="1:27" ht="15.75" customHeight="1" x14ac:dyDescent="0.2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 spans="1:27" ht="15.75" customHeight="1" x14ac:dyDescent="0.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 spans="1:27" ht="15.75" customHeight="1" x14ac:dyDescent="0.2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 spans="1:27" ht="15.75" customHeight="1" x14ac:dyDescent="0.2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 spans="1:27" ht="15.75" customHeight="1" x14ac:dyDescent="0.2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 spans="1:27" ht="15.75" customHeight="1" x14ac:dyDescent="0.2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 spans="1:27" ht="15.75" customHeight="1" x14ac:dyDescent="0.2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 spans="1:27" ht="15.75" customHeight="1" x14ac:dyDescent="0.2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 spans="1:27" ht="15.75" customHeight="1" x14ac:dyDescent="0.2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 spans="1:27" ht="15.75" customHeight="1" x14ac:dyDescent="0.2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 spans="1:27" ht="15.75" customHeight="1" x14ac:dyDescent="0.2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 spans="1:27" ht="15.75" customHeight="1" x14ac:dyDescent="0.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 spans="1:27" ht="15.75" customHeight="1" x14ac:dyDescent="0.2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 spans="1:27" ht="15.75" customHeight="1" x14ac:dyDescent="0.2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 spans="1:27" ht="15.75" customHeight="1" x14ac:dyDescent="0.2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 spans="1:27" ht="15.75" customHeight="1" x14ac:dyDescent="0.2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 spans="1:27" ht="15.75" customHeight="1" x14ac:dyDescent="0.2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 spans="1:27" ht="15.75" customHeight="1" x14ac:dyDescent="0.2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 spans="1:27" ht="15.75" customHeight="1" x14ac:dyDescent="0.2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 spans="1:27" ht="15.75" customHeight="1" x14ac:dyDescent="0.2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 spans="1:27" ht="15.75" customHeight="1" x14ac:dyDescent="0.2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 spans="1:27" ht="15.75" customHeight="1" x14ac:dyDescent="0.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 spans="1:27" ht="15.75" customHeight="1" x14ac:dyDescent="0.2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 spans="1:27" ht="15.75" customHeight="1" x14ac:dyDescent="0.2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 spans="1:27" ht="15.75" customHeight="1" x14ac:dyDescent="0.2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 spans="1:27" ht="15.75" customHeight="1" x14ac:dyDescent="0.2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 spans="1:27" ht="15.75" customHeight="1" x14ac:dyDescent="0.2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 spans="1:27" ht="15.75" customHeight="1" x14ac:dyDescent="0.2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 spans="1:27" ht="15.75" customHeight="1" x14ac:dyDescent="0.2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 spans="1:27" ht="15.75" customHeight="1" x14ac:dyDescent="0.2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 spans="1:27" ht="15.75" customHeight="1" x14ac:dyDescent="0.2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 spans="1:27" ht="15.75" customHeight="1" x14ac:dyDescent="0.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 spans="1:27" ht="15.75" customHeight="1" x14ac:dyDescent="0.2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 spans="1:27" ht="15.75" customHeight="1" x14ac:dyDescent="0.2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 spans="1:27" ht="15.75" customHeight="1" x14ac:dyDescent="0.2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 spans="1:27" ht="15.75" customHeight="1" x14ac:dyDescent="0.2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 spans="1:27" ht="15.75" customHeight="1" x14ac:dyDescent="0.2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 spans="1:27" ht="15.75" customHeight="1" x14ac:dyDescent="0.2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 spans="1:27" ht="15.75" customHeight="1" x14ac:dyDescent="0.2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 spans="1:27" ht="15.75" customHeight="1" x14ac:dyDescent="0.2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 spans="1:27" ht="15.75" customHeight="1" x14ac:dyDescent="0.2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 spans="1:27" ht="15.75" customHeight="1" x14ac:dyDescent="0.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 spans="1:27" ht="15.75" customHeight="1" x14ac:dyDescent="0.2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 spans="1:27" ht="15.75" customHeight="1" x14ac:dyDescent="0.2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 spans="1:27" ht="15.75" customHeight="1" x14ac:dyDescent="0.2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 spans="1:27" ht="15.75" customHeight="1" x14ac:dyDescent="0.2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 spans="1:27" ht="15.75" customHeight="1" x14ac:dyDescent="0.2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 spans="1:27" ht="15.75" customHeight="1" x14ac:dyDescent="0.2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 spans="1:27" ht="15.75" customHeight="1" x14ac:dyDescent="0.2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 spans="1:27" ht="15.75" customHeight="1" x14ac:dyDescent="0.2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 spans="1:27" ht="15.75" customHeight="1" x14ac:dyDescent="0.2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 spans="1:27" ht="15.75" customHeight="1" x14ac:dyDescent="0.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 spans="1:27" ht="15.75" customHeight="1" x14ac:dyDescent="0.2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 spans="1:27" ht="15.75" customHeight="1" x14ac:dyDescent="0.2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 spans="1:27" ht="15.75" customHeight="1" x14ac:dyDescent="0.2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 spans="1:27" ht="15.75" customHeight="1" x14ac:dyDescent="0.2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 spans="1:27" ht="15.75" customHeight="1" x14ac:dyDescent="0.2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 spans="1:27" ht="15.75" customHeight="1" x14ac:dyDescent="0.2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 spans="1:27" ht="15.75" customHeight="1" x14ac:dyDescent="0.2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 spans="1:27" ht="15.75" customHeight="1" x14ac:dyDescent="0.2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 spans="1:27" ht="15.75" customHeight="1" x14ac:dyDescent="0.2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 spans="1:27" ht="15.75" customHeight="1" x14ac:dyDescent="0.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 spans="1:27" ht="15.75" customHeight="1" x14ac:dyDescent="0.2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 spans="1:27" ht="15.75" customHeight="1" x14ac:dyDescent="0.2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 spans="1:27" ht="15.75" customHeight="1" x14ac:dyDescent="0.2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 spans="1:27" ht="15.75" customHeight="1" x14ac:dyDescent="0.2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 spans="1:27" ht="15.75" customHeight="1" x14ac:dyDescent="0.2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 spans="1:27" ht="15.75" customHeight="1" x14ac:dyDescent="0.2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 spans="1:27" ht="15.75" customHeight="1" x14ac:dyDescent="0.2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 spans="1:27" ht="15.75" customHeight="1" x14ac:dyDescent="0.2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 spans="1:27" ht="15.75" customHeight="1" x14ac:dyDescent="0.2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 spans="1:27" ht="15.75" customHeight="1" x14ac:dyDescent="0.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 spans="1:27" ht="15.75" customHeight="1" x14ac:dyDescent="0.2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 spans="1:27" ht="15.75" customHeight="1" x14ac:dyDescent="0.2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 spans="1:27" ht="15.75" customHeight="1" x14ac:dyDescent="0.2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 spans="1:27" ht="15.75" customHeight="1" x14ac:dyDescent="0.2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 spans="1:27" ht="15.75" customHeight="1" x14ac:dyDescent="0.2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 spans="1:27" ht="15.75" customHeight="1" x14ac:dyDescent="0.2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 spans="1:27" ht="15.75" customHeight="1" x14ac:dyDescent="0.2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 spans="1:27" ht="15.75" customHeight="1" x14ac:dyDescent="0.2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 spans="1:27" ht="15.75" customHeight="1" x14ac:dyDescent="0.2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 spans="1:27" ht="15.75" customHeight="1" x14ac:dyDescent="0.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 spans="1:27" ht="15.75" customHeight="1" x14ac:dyDescent="0.2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 spans="1:27" ht="15.75" customHeight="1" x14ac:dyDescent="0.2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 spans="1:27" ht="15.75" customHeight="1" x14ac:dyDescent="0.2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 spans="1:27" ht="15.75" customHeight="1" x14ac:dyDescent="0.2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 spans="1:27" ht="15.75" customHeight="1" x14ac:dyDescent="0.2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 spans="1:27" ht="15.75" customHeight="1" x14ac:dyDescent="0.2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 spans="1:27" ht="15.75" customHeight="1" x14ac:dyDescent="0.2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 spans="1:27" ht="15.75" customHeight="1" x14ac:dyDescent="0.2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 spans="1:27" ht="15.75" customHeight="1" x14ac:dyDescent="0.2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 spans="1:27" ht="15.75" customHeight="1" x14ac:dyDescent="0.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 spans="1:27" ht="15.75" customHeight="1" x14ac:dyDescent="0.2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 spans="1:27" ht="15.75" customHeight="1" x14ac:dyDescent="0.2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 spans="1:27" ht="15.75" customHeight="1" x14ac:dyDescent="0.2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 spans="1:27" ht="15.75" customHeight="1" x14ac:dyDescent="0.2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 spans="1:27" ht="15.75" customHeight="1" x14ac:dyDescent="0.2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 spans="1:27" ht="15.75" customHeight="1" x14ac:dyDescent="0.2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 spans="1:27" ht="15.75" customHeight="1" x14ac:dyDescent="0.2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 spans="1:27" ht="15.75" customHeight="1" x14ac:dyDescent="0.2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 spans="1:27" ht="15.75" customHeight="1" x14ac:dyDescent="0.2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 spans="1:27" ht="15.75" customHeight="1" x14ac:dyDescent="0.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 spans="1:27" ht="15.75" customHeight="1" x14ac:dyDescent="0.2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 spans="1:27" ht="15.75" customHeight="1" x14ac:dyDescent="0.2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 spans="1:27" ht="15.75" customHeight="1" x14ac:dyDescent="0.2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 spans="1:27" ht="15.75" customHeight="1" x14ac:dyDescent="0.2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 spans="1:27" ht="15.75" customHeight="1" x14ac:dyDescent="0.2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 spans="1:27" ht="15.75" customHeight="1" x14ac:dyDescent="0.2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 spans="1:27" ht="15.75" customHeight="1" x14ac:dyDescent="0.2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 spans="1:27" ht="15.75" customHeight="1" x14ac:dyDescent="0.2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 spans="1:27" ht="15.75" customHeight="1" x14ac:dyDescent="0.2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 spans="1:27" ht="15.75" customHeight="1" x14ac:dyDescent="0.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 spans="1:27" ht="15.75" customHeight="1" x14ac:dyDescent="0.2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 spans="1:27" ht="15.75" customHeight="1" x14ac:dyDescent="0.2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 spans="1:27" ht="15.75" customHeight="1" x14ac:dyDescent="0.2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 spans="1:27" ht="15.75" customHeight="1" x14ac:dyDescent="0.2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 spans="1:27" ht="15.75" customHeight="1" x14ac:dyDescent="0.2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 spans="1:27" ht="15.75" customHeight="1" x14ac:dyDescent="0.2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 spans="1:27" ht="15.75" customHeight="1" x14ac:dyDescent="0.2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 spans="1:27" ht="15.75" customHeight="1" x14ac:dyDescent="0.2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 spans="1:27" ht="15.75" customHeight="1" x14ac:dyDescent="0.2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 spans="1:27" ht="15.75" customHeight="1" x14ac:dyDescent="0.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 spans="1:27" ht="15.75" customHeight="1" x14ac:dyDescent="0.2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 spans="1:27" ht="15.75" customHeight="1" x14ac:dyDescent="0.2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 spans="1:27" ht="15.75" customHeight="1" x14ac:dyDescent="0.2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 spans="1:27" ht="15.75" customHeight="1" x14ac:dyDescent="0.2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 spans="1:27" ht="15.75" customHeight="1" x14ac:dyDescent="0.2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 spans="1:27" ht="15.75" customHeight="1" x14ac:dyDescent="0.2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 spans="1:27" ht="15.75" customHeight="1" x14ac:dyDescent="0.2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 spans="1:27" ht="15.75" customHeight="1" x14ac:dyDescent="0.2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 spans="1:27" ht="15.75" customHeight="1" x14ac:dyDescent="0.2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 spans="1:27" ht="15.75" customHeight="1" x14ac:dyDescent="0.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 spans="1:27" ht="15.75" customHeight="1" x14ac:dyDescent="0.2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 spans="1:27" ht="15.75" customHeight="1" x14ac:dyDescent="0.2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 spans="1:27" ht="15.75" customHeight="1" x14ac:dyDescent="0.2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 spans="1:27" ht="15.75" customHeight="1" x14ac:dyDescent="0.2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 spans="1:27" ht="15.75" customHeight="1" x14ac:dyDescent="0.2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 spans="1:27" ht="15.75" customHeight="1" x14ac:dyDescent="0.2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 spans="1:27" ht="15.75" customHeight="1" x14ac:dyDescent="0.2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 spans="1:27" ht="15.75" customHeight="1" x14ac:dyDescent="0.2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 spans="1:27" ht="15.75" customHeight="1" x14ac:dyDescent="0.2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 spans="1:27" ht="15.75" customHeight="1" x14ac:dyDescent="0.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 spans="1:27" ht="15.75" customHeight="1" x14ac:dyDescent="0.2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 spans="1:27" ht="15.75" customHeight="1" x14ac:dyDescent="0.2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 spans="1:27" ht="15.75" customHeight="1" x14ac:dyDescent="0.2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 spans="1:27" ht="15.75" customHeight="1" x14ac:dyDescent="0.2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 spans="1:27" ht="15.75" customHeight="1" x14ac:dyDescent="0.2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 spans="1:27" ht="15.75" customHeight="1" x14ac:dyDescent="0.2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 spans="1:27" ht="15.75" customHeight="1" x14ac:dyDescent="0.2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 spans="1:27" ht="15.75" customHeight="1" x14ac:dyDescent="0.2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 spans="1:27" ht="15.75" customHeight="1" x14ac:dyDescent="0.2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 spans="1:27" ht="15.75" customHeight="1" x14ac:dyDescent="0.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 spans="1:27" ht="15.75" customHeight="1" x14ac:dyDescent="0.2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 spans="1:27" ht="15.75" customHeight="1" x14ac:dyDescent="0.2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 spans="1:27" ht="15.75" customHeight="1" x14ac:dyDescent="0.2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 spans="1:27" ht="15.75" customHeight="1" x14ac:dyDescent="0.2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 spans="1:27" ht="15.75" customHeight="1" x14ac:dyDescent="0.2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 spans="1:27" ht="15.75" customHeight="1" x14ac:dyDescent="0.2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 spans="1:27" ht="15.75" customHeight="1" x14ac:dyDescent="0.2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 spans="1:27" ht="15.75" customHeight="1" x14ac:dyDescent="0.2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 spans="1:27" ht="15.75" customHeight="1" x14ac:dyDescent="0.2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 spans="1:27" ht="15.75" customHeight="1" x14ac:dyDescent="0.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 spans="1:27" ht="15.75" customHeight="1" x14ac:dyDescent="0.2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 spans="1:27" ht="15.75" customHeight="1" x14ac:dyDescent="0.2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 spans="1:27" ht="15.75" customHeight="1" x14ac:dyDescent="0.2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 spans="1:27" ht="15.75" customHeight="1" x14ac:dyDescent="0.2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 spans="1:27" ht="15.75" customHeight="1" x14ac:dyDescent="0.2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 spans="1:27" ht="15.75" customHeight="1" x14ac:dyDescent="0.2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 spans="1:27" ht="15.75" customHeight="1" x14ac:dyDescent="0.2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 spans="1:27" ht="15.75" customHeight="1" x14ac:dyDescent="0.2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 spans="1:27" ht="15.75" customHeight="1" x14ac:dyDescent="0.2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 spans="1:27" ht="15.75" customHeight="1" x14ac:dyDescent="0.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 spans="1:27" ht="15.75" customHeight="1" x14ac:dyDescent="0.2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 spans="1:27" ht="15.75" customHeight="1" x14ac:dyDescent="0.2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 spans="1:27" ht="15.75" customHeight="1" x14ac:dyDescent="0.2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 spans="1:27" ht="15.75" customHeight="1" x14ac:dyDescent="0.2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 spans="1:27" ht="15.75" customHeight="1" x14ac:dyDescent="0.2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 spans="1:27" ht="15.75" customHeight="1" x14ac:dyDescent="0.2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 spans="1:27" ht="15.75" customHeight="1" x14ac:dyDescent="0.2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 spans="1:27" ht="15.75" customHeight="1" x14ac:dyDescent="0.2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 spans="1:27" ht="15.75" customHeight="1" x14ac:dyDescent="0.2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 spans="1:27" ht="15.75" customHeight="1" x14ac:dyDescent="0.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 spans="1:27" ht="15.75" customHeight="1" x14ac:dyDescent="0.2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 spans="1:27" ht="15.75" customHeight="1" x14ac:dyDescent="0.2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 spans="1:27" ht="15.75" customHeight="1" x14ac:dyDescent="0.2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 spans="1:27" ht="15.75" customHeight="1" x14ac:dyDescent="0.2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 spans="1:27" ht="15.75" customHeight="1" x14ac:dyDescent="0.2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 spans="1:27" ht="15.75" customHeight="1" x14ac:dyDescent="0.2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 spans="1:27" ht="15.75" customHeight="1" x14ac:dyDescent="0.2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 spans="1:27" ht="15.75" customHeight="1" x14ac:dyDescent="0.2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 spans="1:27" ht="15.75" customHeight="1" x14ac:dyDescent="0.2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 spans="1:27" ht="15.75" customHeight="1" x14ac:dyDescent="0.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 spans="1:27" ht="15.75" customHeight="1" x14ac:dyDescent="0.2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 spans="1:27" ht="15.75" customHeight="1" x14ac:dyDescent="0.2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 spans="1:27" ht="15.75" customHeight="1" x14ac:dyDescent="0.2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 spans="1:27" ht="15.75" customHeight="1" x14ac:dyDescent="0.2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 spans="1:27" ht="15.75" customHeight="1" x14ac:dyDescent="0.2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 spans="1:27" ht="15.75" customHeight="1" x14ac:dyDescent="0.2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 spans="1:27" ht="15.75" customHeight="1" x14ac:dyDescent="0.2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 spans="1:27" ht="15.75" customHeight="1" x14ac:dyDescent="0.2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 spans="1:27" ht="15.75" customHeight="1" x14ac:dyDescent="0.2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 spans="1:27" ht="15.75" customHeight="1" x14ac:dyDescent="0.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 spans="1:27" ht="15.75" customHeight="1" x14ac:dyDescent="0.2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 spans="1:27" ht="15.75" customHeight="1" x14ac:dyDescent="0.2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 spans="1:27" ht="15.75" customHeight="1" x14ac:dyDescent="0.2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 spans="1:27" ht="15.75" customHeight="1" x14ac:dyDescent="0.2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 spans="1:27" ht="15.75" customHeight="1" x14ac:dyDescent="0.2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 spans="1:27" ht="15.75" customHeight="1" x14ac:dyDescent="0.2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 spans="1:27" ht="15.75" customHeight="1" x14ac:dyDescent="0.2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 spans="1:27" ht="15.75" customHeight="1" x14ac:dyDescent="0.2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 spans="1:27" ht="15.75" customHeight="1" x14ac:dyDescent="0.2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 spans="1:27" ht="15.75" customHeight="1" x14ac:dyDescent="0.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 spans="1:27" ht="15.75" customHeight="1" x14ac:dyDescent="0.2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 spans="1:27" ht="15.75" customHeight="1" x14ac:dyDescent="0.2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 spans="1:27" ht="15.75" customHeight="1" x14ac:dyDescent="0.2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 spans="1:27" ht="15.75" customHeight="1" x14ac:dyDescent="0.2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 spans="1:27" ht="15.75" customHeight="1" x14ac:dyDescent="0.2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 spans="1:27" ht="15.75" customHeight="1" x14ac:dyDescent="0.2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 spans="1:27" ht="15.75" customHeight="1" x14ac:dyDescent="0.2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 spans="1:27" ht="15.75" customHeight="1" x14ac:dyDescent="0.2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 spans="1:27" ht="15.75" customHeight="1" x14ac:dyDescent="0.2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 spans="1:27" ht="15.75" customHeight="1" x14ac:dyDescent="0.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 spans="1:27" ht="15.75" customHeight="1" x14ac:dyDescent="0.2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 spans="1:27" ht="15.75" customHeight="1" x14ac:dyDescent="0.2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 spans="1:27" ht="15.75" customHeight="1" x14ac:dyDescent="0.2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 spans="1:27" ht="15.75" customHeight="1" x14ac:dyDescent="0.2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 spans="1:27" ht="15.75" customHeight="1" x14ac:dyDescent="0.2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 spans="1:27" ht="15.75" customHeight="1" x14ac:dyDescent="0.2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 spans="1:27" ht="15.75" customHeight="1" x14ac:dyDescent="0.2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 spans="1:27" ht="15.75" customHeight="1" x14ac:dyDescent="0.2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 spans="1:27" ht="15.75" customHeight="1" x14ac:dyDescent="0.2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 spans="1:27" ht="15.75" customHeight="1" x14ac:dyDescent="0.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 spans="1:27" ht="15.75" customHeight="1" x14ac:dyDescent="0.2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 spans="1:27" ht="15.75" customHeight="1" x14ac:dyDescent="0.2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 spans="1:27" ht="15.75" customHeight="1" x14ac:dyDescent="0.2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 spans="1:27" ht="15.75" customHeight="1" x14ac:dyDescent="0.2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 spans="1:27" ht="15.75" customHeight="1" x14ac:dyDescent="0.2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 spans="1:27" ht="15.75" customHeight="1" x14ac:dyDescent="0.2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 spans="1:27" ht="15.75" customHeight="1" x14ac:dyDescent="0.2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 spans="1:27" ht="15.75" customHeight="1" x14ac:dyDescent="0.2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 spans="1:27" ht="15.75" customHeight="1" x14ac:dyDescent="0.2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 spans="1:27" ht="15.75" customHeight="1" x14ac:dyDescent="0.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 spans="1:27" ht="15.75" customHeight="1" x14ac:dyDescent="0.2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 spans="1:27" ht="15.75" customHeight="1" x14ac:dyDescent="0.2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 spans="1:27" ht="15.75" customHeight="1" x14ac:dyDescent="0.2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 spans="1:27" ht="15.75" customHeight="1" x14ac:dyDescent="0.2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 spans="1:27" ht="15.75" customHeight="1" x14ac:dyDescent="0.2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 spans="1:27" ht="15.75" customHeight="1" x14ac:dyDescent="0.2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 spans="1:27" ht="15.75" customHeight="1" x14ac:dyDescent="0.2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 spans="1:27" ht="15.75" customHeight="1" x14ac:dyDescent="0.2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 spans="1:27" ht="15.75" customHeight="1" x14ac:dyDescent="0.2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 spans="1:27" ht="15.75" customHeight="1" x14ac:dyDescent="0.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 spans="1:27" ht="15.75" customHeight="1" x14ac:dyDescent="0.2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 spans="1:27" ht="15.75" customHeight="1" x14ac:dyDescent="0.2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 spans="1:27" ht="15.75" customHeight="1" x14ac:dyDescent="0.2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 spans="1:27" ht="15.75" customHeight="1" x14ac:dyDescent="0.2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 spans="1:27" ht="15.75" customHeight="1" x14ac:dyDescent="0.2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 spans="1:27" ht="15.75" customHeight="1" x14ac:dyDescent="0.2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 spans="1:27" ht="15.75" customHeight="1" x14ac:dyDescent="0.2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 spans="1:27" ht="15.75" customHeight="1" x14ac:dyDescent="0.2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 spans="1:27" ht="15.75" customHeight="1" x14ac:dyDescent="0.2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 spans="1:27" ht="15.75" customHeight="1" x14ac:dyDescent="0.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 spans="1:27" ht="15.75" customHeight="1" x14ac:dyDescent="0.2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 spans="1:27" ht="15.75" customHeight="1" x14ac:dyDescent="0.2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 spans="1:27" ht="15.75" customHeight="1" x14ac:dyDescent="0.2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 spans="1:27" ht="15.75" customHeight="1" x14ac:dyDescent="0.2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 spans="1:27" ht="15.75" customHeight="1" x14ac:dyDescent="0.2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 spans="1:27" ht="15.75" customHeight="1" x14ac:dyDescent="0.2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 spans="1:27" ht="15.75" customHeight="1" x14ac:dyDescent="0.2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 spans="1:27" ht="15.75" customHeight="1" x14ac:dyDescent="0.2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</sheetData>
  <autoFilter ref="F1:F1000" xr:uid="{00000000-0009-0000-0000-000009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qPCR VIGS TthPMX</vt:lpstr>
      <vt:lpstr>qPCR VIGS PDS</vt:lpstr>
      <vt:lpstr>qPCR Tth Tissue expression</vt:lpstr>
      <vt:lpstr>qPCR Tcl, Tth sepal VIGS</vt:lpstr>
      <vt:lpstr>qPCR Tcl, Tth dissected</vt:lpstr>
      <vt:lpstr>Tth VIGS stomatal density</vt:lpstr>
      <vt:lpstr>Tth VIGS trichome height</vt:lpstr>
      <vt:lpstr>Tobacco Trichome density</vt:lpstr>
      <vt:lpstr>Tth VIGS RNA-seq validation</vt:lpstr>
      <vt:lpstr>RNA-seq Significant 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 Zahid</cp:lastModifiedBy>
  <dcterms:created xsi:type="dcterms:W3CDTF">2024-03-05T18:27:57Z</dcterms:created>
  <dcterms:modified xsi:type="dcterms:W3CDTF">2024-03-06T04:09:47Z</dcterms:modified>
</cp:coreProperties>
</file>