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\Project\Essie_Kelp_Farms\"/>
    </mc:Choice>
  </mc:AlternateContent>
  <xr:revisionPtr revIDLastSave="0" documentId="13_ncr:1_{9E9EE39A-5036-450E-90C1-B391946D65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an gene copy numbers" sheetId="1" r:id="rId1"/>
    <sheet name="qPCR raw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06" i="2" l="1"/>
  <c r="AE106" i="2"/>
  <c r="AD106" i="2"/>
  <c r="AC106" i="2"/>
  <c r="AB106" i="2"/>
  <c r="Z106" i="2"/>
  <c r="Y106" i="2"/>
  <c r="AA106" i="2" s="1"/>
  <c r="X106" i="2"/>
  <c r="W106" i="2"/>
  <c r="V106" i="2"/>
  <c r="V67" i="2"/>
  <c r="AA67" i="2" s="1"/>
  <c r="W67" i="2"/>
  <c r="X67" i="2"/>
  <c r="Y67" i="2"/>
  <c r="Z67" i="2" s="1"/>
  <c r="AB67" i="2"/>
  <c r="AC67" i="2"/>
  <c r="AD67" i="2"/>
  <c r="AE67" i="2"/>
  <c r="AG67" i="2" s="1"/>
  <c r="AF67" i="2"/>
  <c r="AF26" i="2"/>
  <c r="AE26" i="2"/>
  <c r="AG26" i="2" s="1"/>
  <c r="AD26" i="2"/>
  <c r="AC26" i="2"/>
  <c r="AB26" i="2"/>
  <c r="Z26" i="2"/>
  <c r="Y26" i="2"/>
  <c r="X26" i="2"/>
  <c r="W26" i="2"/>
  <c r="V26" i="2"/>
  <c r="AA26" i="2" s="1"/>
  <c r="V5" i="2"/>
  <c r="W5" i="2"/>
  <c r="X5" i="2"/>
  <c r="Y5" i="2"/>
  <c r="Z5" i="2"/>
  <c r="AA5" i="2"/>
  <c r="AB5" i="2"/>
  <c r="AC5" i="2"/>
  <c r="AD5" i="2"/>
  <c r="AE5" i="2"/>
  <c r="AG5" i="2" s="1"/>
  <c r="AF5" i="2"/>
  <c r="V8" i="2"/>
  <c r="W8" i="2"/>
  <c r="X8" i="2"/>
  <c r="Y8" i="2"/>
  <c r="Z8" i="2"/>
  <c r="AA8" i="2"/>
  <c r="AB8" i="2"/>
  <c r="AC8" i="2"/>
  <c r="AD8" i="2"/>
  <c r="AE8" i="2"/>
  <c r="AG8" i="2" s="1"/>
  <c r="AF8" i="2"/>
  <c r="V11" i="2"/>
  <c r="W11" i="2"/>
  <c r="X11" i="2"/>
  <c r="Y11" i="2"/>
  <c r="Z11" i="2"/>
  <c r="AA11" i="2"/>
  <c r="AB11" i="2"/>
  <c r="AC11" i="2"/>
  <c r="AD11" i="2"/>
  <c r="AE11" i="2"/>
  <c r="AG11" i="2" s="1"/>
  <c r="AF11" i="2"/>
  <c r="V14" i="2"/>
  <c r="W14" i="2"/>
  <c r="X14" i="2"/>
  <c r="Y14" i="2"/>
  <c r="Z14" i="2"/>
  <c r="AA14" i="2"/>
  <c r="AB14" i="2"/>
  <c r="AC14" i="2"/>
  <c r="AD14" i="2"/>
  <c r="AE14" i="2"/>
  <c r="AG14" i="2" s="1"/>
  <c r="AF14" i="2"/>
  <c r="V17" i="2"/>
  <c r="W17" i="2"/>
  <c r="X17" i="2"/>
  <c r="Y17" i="2"/>
  <c r="Z17" i="2"/>
  <c r="AA17" i="2"/>
  <c r="AB17" i="2"/>
  <c r="AC17" i="2"/>
  <c r="AD17" i="2"/>
  <c r="AE17" i="2"/>
  <c r="AG17" i="2" s="1"/>
  <c r="AF17" i="2"/>
  <c r="V20" i="2"/>
  <c r="W20" i="2"/>
  <c r="X20" i="2"/>
  <c r="Y20" i="2"/>
  <c r="Z20" i="2"/>
  <c r="AA20" i="2"/>
  <c r="AB20" i="2"/>
  <c r="AC20" i="2"/>
  <c r="AD20" i="2"/>
  <c r="AE20" i="2"/>
  <c r="AG20" i="2" s="1"/>
  <c r="AF20" i="2"/>
  <c r="V23" i="2"/>
  <c r="W23" i="2"/>
  <c r="X23" i="2"/>
  <c r="Y23" i="2"/>
  <c r="Z23" i="2"/>
  <c r="AA23" i="2"/>
  <c r="AB23" i="2"/>
  <c r="AC23" i="2"/>
  <c r="AD23" i="2"/>
  <c r="AE23" i="2"/>
  <c r="AG23" i="2" s="1"/>
  <c r="AF23" i="2"/>
  <c r="V31" i="2"/>
  <c r="W31" i="2"/>
  <c r="X31" i="2"/>
  <c r="Y31" i="2"/>
  <c r="Z31" i="2"/>
  <c r="AA31" i="2"/>
  <c r="AB31" i="2"/>
  <c r="AC31" i="2"/>
  <c r="AD31" i="2"/>
  <c r="AE31" i="2"/>
  <c r="AG31" i="2" s="1"/>
  <c r="AF31" i="2"/>
  <c r="V34" i="2"/>
  <c r="W34" i="2"/>
  <c r="X34" i="2"/>
  <c r="Y34" i="2"/>
  <c r="Z34" i="2"/>
  <c r="AA34" i="2"/>
  <c r="AB34" i="2"/>
  <c r="AC34" i="2"/>
  <c r="AD34" i="2"/>
  <c r="AE34" i="2"/>
  <c r="AG34" i="2" s="1"/>
  <c r="AF34" i="2"/>
  <c r="V37" i="2"/>
  <c r="W37" i="2"/>
  <c r="X37" i="2"/>
  <c r="Y37" i="2"/>
  <c r="Z37" i="2"/>
  <c r="AA37" i="2"/>
  <c r="AB37" i="2"/>
  <c r="AC37" i="2"/>
  <c r="AD37" i="2"/>
  <c r="AE37" i="2"/>
  <c r="AG37" i="2" s="1"/>
  <c r="AF37" i="2"/>
  <c r="V40" i="2"/>
  <c r="W40" i="2"/>
  <c r="X40" i="2"/>
  <c r="Y40" i="2"/>
  <c r="Z40" i="2"/>
  <c r="AA40" i="2"/>
  <c r="AB40" i="2"/>
  <c r="AC40" i="2"/>
  <c r="AD40" i="2"/>
  <c r="AE40" i="2"/>
  <c r="AG40" i="2" s="1"/>
  <c r="AF40" i="2"/>
  <c r="V43" i="2"/>
  <c r="W43" i="2"/>
  <c r="X43" i="2"/>
  <c r="Y43" i="2"/>
  <c r="Z43" i="2"/>
  <c r="AA43" i="2"/>
  <c r="AB43" i="2"/>
  <c r="AG43" i="2" s="1"/>
  <c r="AC43" i="2"/>
  <c r="AD43" i="2"/>
  <c r="AE43" i="2"/>
  <c r="AF43" i="2"/>
  <c r="V46" i="2"/>
  <c r="W46" i="2"/>
  <c r="X46" i="2"/>
  <c r="Y46" i="2"/>
  <c r="AA46" i="2" s="1"/>
  <c r="Z46" i="2"/>
  <c r="AB46" i="2"/>
  <c r="AC46" i="2"/>
  <c r="AD46" i="2"/>
  <c r="AE46" i="2"/>
  <c r="AF46" i="2" s="1"/>
  <c r="V49" i="2"/>
  <c r="W49" i="2"/>
  <c r="X49" i="2"/>
  <c r="Y49" i="2"/>
  <c r="AA49" i="2" s="1"/>
  <c r="Z49" i="2"/>
  <c r="AB49" i="2"/>
  <c r="AG49" i="2" s="1"/>
  <c r="AC49" i="2"/>
  <c r="AD49" i="2"/>
  <c r="AE49" i="2"/>
  <c r="AF49" i="2" s="1"/>
  <c r="V52" i="2"/>
  <c r="W52" i="2"/>
  <c r="X52" i="2"/>
  <c r="Y52" i="2"/>
  <c r="AA52" i="2" s="1"/>
  <c r="Z52" i="2"/>
  <c r="AB52" i="2"/>
  <c r="AC52" i="2"/>
  <c r="AD52" i="2"/>
  <c r="AE52" i="2"/>
  <c r="AF52" i="2" s="1"/>
  <c r="V55" i="2"/>
  <c r="W55" i="2"/>
  <c r="X55" i="2"/>
  <c r="Y55" i="2"/>
  <c r="AA55" i="2" s="1"/>
  <c r="Z55" i="2"/>
  <c r="AB55" i="2"/>
  <c r="AG55" i="2" s="1"/>
  <c r="AC55" i="2"/>
  <c r="AD55" i="2"/>
  <c r="AE55" i="2"/>
  <c r="AF55" i="2" s="1"/>
  <c r="V58" i="2"/>
  <c r="W58" i="2"/>
  <c r="X58" i="2"/>
  <c r="Y58" i="2"/>
  <c r="AA58" i="2" s="1"/>
  <c r="Z58" i="2"/>
  <c r="AB58" i="2"/>
  <c r="AC58" i="2"/>
  <c r="AD58" i="2"/>
  <c r="AE58" i="2"/>
  <c r="AF58" i="2" s="1"/>
  <c r="V61" i="2"/>
  <c r="W61" i="2"/>
  <c r="X61" i="2"/>
  <c r="Y61" i="2"/>
  <c r="AA61" i="2" s="1"/>
  <c r="Z61" i="2"/>
  <c r="AB61" i="2"/>
  <c r="AG61" i="2" s="1"/>
  <c r="AC61" i="2"/>
  <c r="AD61" i="2"/>
  <c r="AE61" i="2"/>
  <c r="AF61" i="2" s="1"/>
  <c r="V64" i="2"/>
  <c r="W64" i="2"/>
  <c r="X64" i="2"/>
  <c r="Y64" i="2"/>
  <c r="AA64" i="2" s="1"/>
  <c r="Z64" i="2"/>
  <c r="AB64" i="2"/>
  <c r="AC64" i="2"/>
  <c r="AD64" i="2"/>
  <c r="AE64" i="2"/>
  <c r="AF64" i="2" s="1"/>
  <c r="V70" i="2"/>
  <c r="AA70" i="2" s="1"/>
  <c r="W70" i="2"/>
  <c r="X70" i="2"/>
  <c r="Y70" i="2"/>
  <c r="Z70" i="2"/>
  <c r="AB70" i="2"/>
  <c r="AC70" i="2"/>
  <c r="AD70" i="2"/>
  <c r="AE70" i="2"/>
  <c r="AF70" i="2" s="1"/>
  <c r="V73" i="2"/>
  <c r="AA73" i="2" s="1"/>
  <c r="W73" i="2"/>
  <c r="X73" i="2"/>
  <c r="Y73" i="2"/>
  <c r="Z73" i="2" s="1"/>
  <c r="AB73" i="2"/>
  <c r="AG73" i="2" s="1"/>
  <c r="AC73" i="2"/>
  <c r="AD73" i="2"/>
  <c r="AE73" i="2"/>
  <c r="AF73" i="2" s="1"/>
  <c r="V76" i="2"/>
  <c r="W76" i="2"/>
  <c r="X76" i="2"/>
  <c r="Y76" i="2"/>
  <c r="Z76" i="2"/>
  <c r="AB76" i="2"/>
  <c r="AC76" i="2"/>
  <c r="AD76" i="2"/>
  <c r="AE76" i="2"/>
  <c r="AF76" i="2" s="1"/>
  <c r="V79" i="2"/>
  <c r="AA79" i="2" s="1"/>
  <c r="W79" i="2"/>
  <c r="X79" i="2"/>
  <c r="Y79" i="2"/>
  <c r="Z79" i="2" s="1"/>
  <c r="AB79" i="2"/>
  <c r="AG79" i="2" s="1"/>
  <c r="AC79" i="2"/>
  <c r="AD79" i="2"/>
  <c r="AE79" i="2"/>
  <c r="AF79" i="2" s="1"/>
  <c r="V82" i="2"/>
  <c r="W82" i="2"/>
  <c r="X82" i="2"/>
  <c r="Y82" i="2"/>
  <c r="Z82" i="2"/>
  <c r="AB82" i="2"/>
  <c r="AC82" i="2"/>
  <c r="AD82" i="2"/>
  <c r="AE82" i="2"/>
  <c r="AF82" i="2" s="1"/>
  <c r="V85" i="2"/>
  <c r="AA85" i="2" s="1"/>
  <c r="W85" i="2"/>
  <c r="X85" i="2"/>
  <c r="Y85" i="2"/>
  <c r="Z85" i="2"/>
  <c r="AB85" i="2"/>
  <c r="AG85" i="2" s="1"/>
  <c r="AC85" i="2"/>
  <c r="AD85" i="2"/>
  <c r="AE85" i="2"/>
  <c r="AF85" i="2" s="1"/>
  <c r="V88" i="2"/>
  <c r="W88" i="2"/>
  <c r="X88" i="2"/>
  <c r="Y88" i="2"/>
  <c r="Z88" i="2"/>
  <c r="AB88" i="2"/>
  <c r="AG88" i="2" s="1"/>
  <c r="AC88" i="2"/>
  <c r="AD88" i="2"/>
  <c r="AE88" i="2"/>
  <c r="AF88" i="2" s="1"/>
  <c r="V91" i="2"/>
  <c r="W91" i="2"/>
  <c r="X91" i="2"/>
  <c r="Y91" i="2"/>
  <c r="Z91" i="2"/>
  <c r="AA91" i="2"/>
  <c r="AB91" i="2"/>
  <c r="AG91" i="2" s="1"/>
  <c r="AC91" i="2"/>
  <c r="AD91" i="2"/>
  <c r="AE91" i="2"/>
  <c r="AF91" i="2"/>
  <c r="V94" i="2"/>
  <c r="W94" i="2"/>
  <c r="X94" i="2"/>
  <c r="Y94" i="2"/>
  <c r="Z94" i="2"/>
  <c r="AA94" i="2"/>
  <c r="AB94" i="2"/>
  <c r="AG94" i="2" s="1"/>
  <c r="AC94" i="2"/>
  <c r="AD94" i="2"/>
  <c r="AE94" i="2"/>
  <c r="AF94" i="2"/>
  <c r="V97" i="2"/>
  <c r="W97" i="2"/>
  <c r="X97" i="2"/>
  <c r="Y97" i="2"/>
  <c r="Z97" i="2"/>
  <c r="AA97" i="2"/>
  <c r="AB97" i="2"/>
  <c r="AG97" i="2" s="1"/>
  <c r="AC97" i="2"/>
  <c r="AD97" i="2"/>
  <c r="AE97" i="2"/>
  <c r="AF97" i="2"/>
  <c r="V100" i="2"/>
  <c r="W100" i="2"/>
  <c r="X100" i="2"/>
  <c r="Y100" i="2"/>
  <c r="Z100" i="2" s="1"/>
  <c r="AB100" i="2"/>
  <c r="AG100" i="2" s="1"/>
  <c r="AC100" i="2"/>
  <c r="AD100" i="2"/>
  <c r="AE100" i="2"/>
  <c r="AF100" i="2"/>
  <c r="V103" i="2"/>
  <c r="W103" i="2"/>
  <c r="X103" i="2"/>
  <c r="Y103" i="2"/>
  <c r="AA103" i="2" s="1"/>
  <c r="Z103" i="2"/>
  <c r="AB103" i="2"/>
  <c r="AG103" i="2" s="1"/>
  <c r="AC103" i="2"/>
  <c r="AD103" i="2"/>
  <c r="AE103" i="2"/>
  <c r="AF103" i="2"/>
  <c r="V112" i="2"/>
  <c r="W112" i="2"/>
  <c r="X112" i="2"/>
  <c r="Y112" i="2"/>
  <c r="AA112" i="2" s="1"/>
  <c r="Z112" i="2"/>
  <c r="AB112" i="2"/>
  <c r="AG112" i="2" s="1"/>
  <c r="AC112" i="2"/>
  <c r="AD112" i="2"/>
  <c r="AE112" i="2"/>
  <c r="AF112" i="2"/>
  <c r="AG2" i="2"/>
  <c r="L115" i="2"/>
  <c r="D115" i="2"/>
  <c r="AF2" i="2"/>
  <c r="AE2" i="2"/>
  <c r="AD2" i="2"/>
  <c r="AC2" i="2"/>
  <c r="Y2" i="2"/>
  <c r="AA2" i="2" s="1"/>
  <c r="X2" i="2"/>
  <c r="W2" i="2"/>
  <c r="V2" i="2"/>
  <c r="P85" i="2"/>
  <c r="O46" i="2"/>
  <c r="O58" i="2"/>
  <c r="N14" i="2"/>
  <c r="O14" i="2" s="1"/>
  <c r="N15" i="2"/>
  <c r="O15" i="2" s="1"/>
  <c r="N26" i="2"/>
  <c r="O26" i="2" s="1"/>
  <c r="N27" i="2"/>
  <c r="O27" i="2" s="1"/>
  <c r="N38" i="2"/>
  <c r="O38" i="2" s="1"/>
  <c r="N39" i="2"/>
  <c r="O39" i="2" s="1"/>
  <c r="N50" i="2"/>
  <c r="O50" i="2" s="1"/>
  <c r="N51" i="2"/>
  <c r="O51" i="2" s="1"/>
  <c r="N62" i="2"/>
  <c r="O62" i="2" s="1"/>
  <c r="N63" i="2"/>
  <c r="O63" i="2" s="1"/>
  <c r="N74" i="2"/>
  <c r="O74" i="2" s="1"/>
  <c r="N75" i="2"/>
  <c r="O75" i="2" s="1"/>
  <c r="N86" i="2"/>
  <c r="O86" i="2" s="1"/>
  <c r="N87" i="2"/>
  <c r="O87" i="2" s="1"/>
  <c r="N90" i="2"/>
  <c r="O90" i="2" s="1"/>
  <c r="N98" i="2"/>
  <c r="O98" i="2" s="1"/>
  <c r="N99" i="2"/>
  <c r="O99" i="2" s="1"/>
  <c r="N110" i="2"/>
  <c r="O110" i="2" s="1"/>
  <c r="N111" i="2"/>
  <c r="O111" i="2" s="1"/>
  <c r="M9" i="2"/>
  <c r="N9" i="2" s="1"/>
  <c r="O9" i="2" s="1"/>
  <c r="M10" i="2"/>
  <c r="N10" i="2" s="1"/>
  <c r="O10" i="2" s="1"/>
  <c r="M11" i="2"/>
  <c r="N11" i="2" s="1"/>
  <c r="O11" i="2" s="1"/>
  <c r="M12" i="2"/>
  <c r="N12" i="2" s="1"/>
  <c r="O12" i="2" s="1"/>
  <c r="M13" i="2"/>
  <c r="N13" i="2" s="1"/>
  <c r="O13" i="2" s="1"/>
  <c r="M14" i="2"/>
  <c r="M15" i="2"/>
  <c r="M21" i="2"/>
  <c r="N21" i="2" s="1"/>
  <c r="O21" i="2" s="1"/>
  <c r="M22" i="2"/>
  <c r="N22" i="2" s="1"/>
  <c r="O22" i="2" s="1"/>
  <c r="M23" i="2"/>
  <c r="N23" i="2" s="1"/>
  <c r="O23" i="2" s="1"/>
  <c r="M24" i="2"/>
  <c r="N24" i="2" s="1"/>
  <c r="O24" i="2" s="1"/>
  <c r="M25" i="2"/>
  <c r="N25" i="2" s="1"/>
  <c r="O25" i="2" s="1"/>
  <c r="M26" i="2"/>
  <c r="M27" i="2"/>
  <c r="M33" i="2"/>
  <c r="N33" i="2" s="1"/>
  <c r="O33" i="2" s="1"/>
  <c r="M34" i="2"/>
  <c r="N34" i="2" s="1"/>
  <c r="O34" i="2" s="1"/>
  <c r="M35" i="2"/>
  <c r="N35" i="2" s="1"/>
  <c r="O35" i="2" s="1"/>
  <c r="M36" i="2"/>
  <c r="N36" i="2" s="1"/>
  <c r="O36" i="2" s="1"/>
  <c r="M37" i="2"/>
  <c r="N37" i="2" s="1"/>
  <c r="O37" i="2" s="1"/>
  <c r="M38" i="2"/>
  <c r="M39" i="2"/>
  <c r="M45" i="2"/>
  <c r="N45" i="2" s="1"/>
  <c r="O45" i="2" s="1"/>
  <c r="M46" i="2"/>
  <c r="N46" i="2" s="1"/>
  <c r="M47" i="2"/>
  <c r="N47" i="2" s="1"/>
  <c r="O47" i="2" s="1"/>
  <c r="M48" i="2"/>
  <c r="N48" i="2" s="1"/>
  <c r="O48" i="2" s="1"/>
  <c r="M49" i="2"/>
  <c r="N49" i="2" s="1"/>
  <c r="O49" i="2" s="1"/>
  <c r="M50" i="2"/>
  <c r="M51" i="2"/>
  <c r="M57" i="2"/>
  <c r="N57" i="2" s="1"/>
  <c r="O57" i="2" s="1"/>
  <c r="M58" i="2"/>
  <c r="N58" i="2" s="1"/>
  <c r="M59" i="2"/>
  <c r="N59" i="2" s="1"/>
  <c r="O59" i="2" s="1"/>
  <c r="M60" i="2"/>
  <c r="N60" i="2" s="1"/>
  <c r="O60" i="2" s="1"/>
  <c r="M61" i="2"/>
  <c r="N61" i="2" s="1"/>
  <c r="O61" i="2" s="1"/>
  <c r="M62" i="2"/>
  <c r="M63" i="2"/>
  <c r="M69" i="2"/>
  <c r="N69" i="2" s="1"/>
  <c r="O69" i="2" s="1"/>
  <c r="M70" i="2"/>
  <c r="N70" i="2" s="1"/>
  <c r="O70" i="2" s="1"/>
  <c r="M71" i="2"/>
  <c r="N71" i="2" s="1"/>
  <c r="O71" i="2" s="1"/>
  <c r="M72" i="2"/>
  <c r="N72" i="2" s="1"/>
  <c r="O72" i="2" s="1"/>
  <c r="M73" i="2"/>
  <c r="N73" i="2" s="1"/>
  <c r="O73" i="2" s="1"/>
  <c r="M74" i="2"/>
  <c r="M75" i="2"/>
  <c r="M81" i="2"/>
  <c r="N81" i="2" s="1"/>
  <c r="O81" i="2" s="1"/>
  <c r="M82" i="2"/>
  <c r="N82" i="2" s="1"/>
  <c r="O82" i="2" s="1"/>
  <c r="M83" i="2"/>
  <c r="N83" i="2" s="1"/>
  <c r="O83" i="2" s="1"/>
  <c r="M84" i="2"/>
  <c r="N84" i="2" s="1"/>
  <c r="O84" i="2" s="1"/>
  <c r="M85" i="2"/>
  <c r="N85" i="2" s="1"/>
  <c r="O85" i="2" s="1"/>
  <c r="M86" i="2"/>
  <c r="M87" i="2"/>
  <c r="M93" i="2"/>
  <c r="N93" i="2" s="1"/>
  <c r="O93" i="2" s="1"/>
  <c r="M94" i="2"/>
  <c r="N94" i="2" s="1"/>
  <c r="O94" i="2" s="1"/>
  <c r="M95" i="2"/>
  <c r="N95" i="2" s="1"/>
  <c r="O95" i="2" s="1"/>
  <c r="M96" i="2"/>
  <c r="N96" i="2" s="1"/>
  <c r="O96" i="2" s="1"/>
  <c r="M97" i="2"/>
  <c r="N97" i="2" s="1"/>
  <c r="O97" i="2" s="1"/>
  <c r="M98" i="2"/>
  <c r="M99" i="2"/>
  <c r="M105" i="2"/>
  <c r="N105" i="2" s="1"/>
  <c r="O105" i="2" s="1"/>
  <c r="M106" i="2"/>
  <c r="N106" i="2" s="1"/>
  <c r="O106" i="2" s="1"/>
  <c r="M107" i="2"/>
  <c r="N107" i="2" s="1"/>
  <c r="O107" i="2" s="1"/>
  <c r="M108" i="2"/>
  <c r="N108" i="2" s="1"/>
  <c r="O108" i="2" s="1"/>
  <c r="M109" i="2"/>
  <c r="N109" i="2" s="1"/>
  <c r="O109" i="2" s="1"/>
  <c r="M110" i="2"/>
  <c r="M111" i="2"/>
  <c r="L3" i="2"/>
  <c r="M3" i="2" s="1"/>
  <c r="N3" i="2" s="1"/>
  <c r="O3" i="2" s="1"/>
  <c r="L4" i="2"/>
  <c r="M4" i="2" s="1"/>
  <c r="N4" i="2" s="1"/>
  <c r="O4" i="2" s="1"/>
  <c r="L5" i="2"/>
  <c r="M5" i="2" s="1"/>
  <c r="N5" i="2" s="1"/>
  <c r="O5" i="2" s="1"/>
  <c r="L6" i="2"/>
  <c r="M6" i="2" s="1"/>
  <c r="N6" i="2" s="1"/>
  <c r="O6" i="2" s="1"/>
  <c r="L7" i="2"/>
  <c r="M7" i="2" s="1"/>
  <c r="N7" i="2" s="1"/>
  <c r="O7" i="2" s="1"/>
  <c r="L8" i="2"/>
  <c r="M8" i="2" s="1"/>
  <c r="N8" i="2" s="1"/>
  <c r="O8" i="2" s="1"/>
  <c r="L9" i="2"/>
  <c r="L10" i="2"/>
  <c r="L11" i="2"/>
  <c r="L12" i="2"/>
  <c r="L13" i="2"/>
  <c r="L14" i="2"/>
  <c r="L15" i="2"/>
  <c r="L16" i="2"/>
  <c r="M16" i="2" s="1"/>
  <c r="N16" i="2" s="1"/>
  <c r="O16" i="2" s="1"/>
  <c r="L17" i="2"/>
  <c r="M17" i="2" s="1"/>
  <c r="N17" i="2" s="1"/>
  <c r="O17" i="2" s="1"/>
  <c r="L18" i="2"/>
  <c r="M18" i="2" s="1"/>
  <c r="N18" i="2" s="1"/>
  <c r="O18" i="2" s="1"/>
  <c r="L19" i="2"/>
  <c r="M19" i="2" s="1"/>
  <c r="N19" i="2" s="1"/>
  <c r="O19" i="2" s="1"/>
  <c r="L20" i="2"/>
  <c r="M20" i="2" s="1"/>
  <c r="N20" i="2" s="1"/>
  <c r="O20" i="2" s="1"/>
  <c r="L21" i="2"/>
  <c r="L22" i="2"/>
  <c r="L23" i="2"/>
  <c r="L24" i="2"/>
  <c r="L25" i="2"/>
  <c r="L26" i="2"/>
  <c r="L27" i="2"/>
  <c r="L28" i="2"/>
  <c r="M28" i="2" s="1"/>
  <c r="N28" i="2" s="1"/>
  <c r="O28" i="2" s="1"/>
  <c r="L29" i="2"/>
  <c r="M29" i="2" s="1"/>
  <c r="N29" i="2" s="1"/>
  <c r="O29" i="2" s="1"/>
  <c r="L30" i="2"/>
  <c r="M30" i="2" s="1"/>
  <c r="N30" i="2" s="1"/>
  <c r="O30" i="2" s="1"/>
  <c r="L31" i="2"/>
  <c r="M31" i="2" s="1"/>
  <c r="N31" i="2" s="1"/>
  <c r="O31" i="2" s="1"/>
  <c r="L32" i="2"/>
  <c r="M32" i="2" s="1"/>
  <c r="N32" i="2" s="1"/>
  <c r="O32" i="2" s="1"/>
  <c r="L33" i="2"/>
  <c r="L34" i="2"/>
  <c r="L35" i="2"/>
  <c r="L36" i="2"/>
  <c r="L37" i="2"/>
  <c r="L38" i="2"/>
  <c r="L39" i="2"/>
  <c r="L40" i="2"/>
  <c r="M40" i="2" s="1"/>
  <c r="N40" i="2" s="1"/>
  <c r="O40" i="2" s="1"/>
  <c r="L41" i="2"/>
  <c r="M41" i="2" s="1"/>
  <c r="N41" i="2" s="1"/>
  <c r="O41" i="2" s="1"/>
  <c r="L42" i="2"/>
  <c r="M42" i="2" s="1"/>
  <c r="N42" i="2" s="1"/>
  <c r="O42" i="2" s="1"/>
  <c r="L43" i="2"/>
  <c r="M43" i="2" s="1"/>
  <c r="N43" i="2" s="1"/>
  <c r="O43" i="2" s="1"/>
  <c r="L44" i="2"/>
  <c r="M44" i="2" s="1"/>
  <c r="N44" i="2" s="1"/>
  <c r="O44" i="2" s="1"/>
  <c r="L45" i="2"/>
  <c r="L46" i="2"/>
  <c r="L47" i="2"/>
  <c r="L48" i="2"/>
  <c r="L49" i="2"/>
  <c r="L50" i="2"/>
  <c r="L51" i="2"/>
  <c r="L52" i="2"/>
  <c r="M52" i="2" s="1"/>
  <c r="N52" i="2" s="1"/>
  <c r="O52" i="2" s="1"/>
  <c r="L53" i="2"/>
  <c r="M53" i="2" s="1"/>
  <c r="N53" i="2" s="1"/>
  <c r="O53" i="2" s="1"/>
  <c r="L54" i="2"/>
  <c r="M54" i="2" s="1"/>
  <c r="N54" i="2" s="1"/>
  <c r="O54" i="2" s="1"/>
  <c r="L55" i="2"/>
  <c r="M55" i="2" s="1"/>
  <c r="N55" i="2" s="1"/>
  <c r="O55" i="2" s="1"/>
  <c r="L56" i="2"/>
  <c r="M56" i="2" s="1"/>
  <c r="N56" i="2" s="1"/>
  <c r="O56" i="2" s="1"/>
  <c r="L57" i="2"/>
  <c r="L58" i="2"/>
  <c r="L59" i="2"/>
  <c r="L60" i="2"/>
  <c r="L61" i="2"/>
  <c r="L62" i="2"/>
  <c r="L63" i="2"/>
  <c r="L64" i="2"/>
  <c r="M64" i="2" s="1"/>
  <c r="N64" i="2" s="1"/>
  <c r="O64" i="2" s="1"/>
  <c r="L65" i="2"/>
  <c r="M65" i="2" s="1"/>
  <c r="N65" i="2" s="1"/>
  <c r="O65" i="2" s="1"/>
  <c r="L66" i="2"/>
  <c r="M66" i="2" s="1"/>
  <c r="N66" i="2" s="1"/>
  <c r="O66" i="2" s="1"/>
  <c r="L67" i="2"/>
  <c r="M67" i="2" s="1"/>
  <c r="N67" i="2" s="1"/>
  <c r="O67" i="2" s="1"/>
  <c r="L68" i="2"/>
  <c r="M68" i="2" s="1"/>
  <c r="N68" i="2" s="1"/>
  <c r="O68" i="2" s="1"/>
  <c r="L69" i="2"/>
  <c r="L70" i="2"/>
  <c r="L71" i="2"/>
  <c r="L72" i="2"/>
  <c r="L73" i="2"/>
  <c r="L74" i="2"/>
  <c r="L75" i="2"/>
  <c r="L76" i="2"/>
  <c r="M76" i="2" s="1"/>
  <c r="N76" i="2" s="1"/>
  <c r="O76" i="2" s="1"/>
  <c r="L77" i="2"/>
  <c r="M77" i="2" s="1"/>
  <c r="N77" i="2" s="1"/>
  <c r="O77" i="2" s="1"/>
  <c r="L78" i="2"/>
  <c r="M78" i="2" s="1"/>
  <c r="N78" i="2" s="1"/>
  <c r="O78" i="2" s="1"/>
  <c r="L79" i="2"/>
  <c r="M79" i="2" s="1"/>
  <c r="N79" i="2" s="1"/>
  <c r="O79" i="2" s="1"/>
  <c r="L80" i="2"/>
  <c r="M80" i="2" s="1"/>
  <c r="N80" i="2" s="1"/>
  <c r="O80" i="2" s="1"/>
  <c r="L81" i="2"/>
  <c r="L82" i="2"/>
  <c r="L83" i="2"/>
  <c r="L84" i="2"/>
  <c r="L85" i="2"/>
  <c r="L86" i="2"/>
  <c r="L87" i="2"/>
  <c r="L88" i="2"/>
  <c r="M88" i="2" s="1"/>
  <c r="N88" i="2" s="1"/>
  <c r="O88" i="2" s="1"/>
  <c r="L89" i="2"/>
  <c r="M89" i="2" s="1"/>
  <c r="N89" i="2" s="1"/>
  <c r="O89" i="2" s="1"/>
  <c r="L90" i="2"/>
  <c r="M90" i="2" s="1"/>
  <c r="L91" i="2"/>
  <c r="M91" i="2" s="1"/>
  <c r="N91" i="2" s="1"/>
  <c r="O91" i="2" s="1"/>
  <c r="L92" i="2"/>
  <c r="M92" i="2" s="1"/>
  <c r="N92" i="2" s="1"/>
  <c r="O92" i="2" s="1"/>
  <c r="L93" i="2"/>
  <c r="L94" i="2"/>
  <c r="L95" i="2"/>
  <c r="L96" i="2"/>
  <c r="L97" i="2"/>
  <c r="L98" i="2"/>
  <c r="L99" i="2"/>
  <c r="L100" i="2"/>
  <c r="M100" i="2" s="1"/>
  <c r="N100" i="2" s="1"/>
  <c r="O100" i="2" s="1"/>
  <c r="L101" i="2"/>
  <c r="M101" i="2" s="1"/>
  <c r="N101" i="2" s="1"/>
  <c r="O101" i="2" s="1"/>
  <c r="L102" i="2"/>
  <c r="M102" i="2" s="1"/>
  <c r="N102" i="2" s="1"/>
  <c r="O102" i="2" s="1"/>
  <c r="L103" i="2"/>
  <c r="M103" i="2" s="1"/>
  <c r="N103" i="2" s="1"/>
  <c r="O103" i="2" s="1"/>
  <c r="L104" i="2"/>
  <c r="M104" i="2" s="1"/>
  <c r="N104" i="2" s="1"/>
  <c r="O104" i="2" s="1"/>
  <c r="L105" i="2"/>
  <c r="L106" i="2"/>
  <c r="L107" i="2"/>
  <c r="L108" i="2"/>
  <c r="L109" i="2"/>
  <c r="L110" i="2"/>
  <c r="L111" i="2"/>
  <c r="L112" i="2"/>
  <c r="M112" i="2" s="1"/>
  <c r="N112" i="2" s="1"/>
  <c r="O112" i="2" s="1"/>
  <c r="L113" i="2"/>
  <c r="M113" i="2" s="1"/>
  <c r="N113" i="2" s="1"/>
  <c r="O113" i="2" s="1"/>
  <c r="L114" i="2"/>
  <c r="M114" i="2" s="1"/>
  <c r="N114" i="2" s="1"/>
  <c r="O114" i="2" s="1"/>
  <c r="L2" i="2"/>
  <c r="D35" i="1"/>
  <c r="D36" i="1"/>
  <c r="D37" i="1"/>
  <c r="D27" i="1"/>
  <c r="D28" i="1"/>
  <c r="D29" i="1"/>
  <c r="D30" i="1"/>
  <c r="D31" i="1"/>
  <c r="D32" i="1"/>
  <c r="D33" i="1"/>
  <c r="D34" i="1"/>
  <c r="D14" i="1"/>
  <c r="D23" i="1"/>
  <c r="D24" i="1"/>
  <c r="D25" i="1"/>
  <c r="D15" i="1"/>
  <c r="D16" i="1"/>
  <c r="D17" i="1"/>
  <c r="D18" i="1"/>
  <c r="D19" i="1"/>
  <c r="D20" i="1"/>
  <c r="D21" i="1"/>
  <c r="D22" i="1"/>
  <c r="D2" i="1"/>
  <c r="D11" i="1"/>
  <c r="D12" i="1"/>
  <c r="D13" i="1"/>
  <c r="D3" i="1"/>
  <c r="D4" i="1"/>
  <c r="D5" i="1"/>
  <c r="D6" i="1"/>
  <c r="D7" i="1"/>
  <c r="D8" i="1"/>
  <c r="D9" i="1"/>
  <c r="D10" i="1"/>
  <c r="D26" i="1"/>
  <c r="E38" i="1"/>
  <c r="AG106" i="2" l="1"/>
  <c r="AG82" i="2"/>
  <c r="AG76" i="2"/>
  <c r="AG70" i="2"/>
  <c r="AG64" i="2"/>
  <c r="AG58" i="2"/>
  <c r="AG52" i="2"/>
  <c r="AG46" i="2"/>
  <c r="AA100" i="2"/>
  <c r="AA88" i="2"/>
  <c r="AA82" i="2"/>
  <c r="AA76" i="2"/>
  <c r="S82" i="2"/>
  <c r="T82" i="2" s="1"/>
  <c r="P82" i="2"/>
  <c r="U82" i="2" s="1"/>
  <c r="Q82" i="2"/>
  <c r="R82" i="2"/>
  <c r="P100" i="2"/>
  <c r="U100" i="2" s="1"/>
  <c r="S100" i="2"/>
  <c r="T100" i="2" s="1"/>
  <c r="Q100" i="2"/>
  <c r="R100" i="2"/>
  <c r="P34" i="2"/>
  <c r="Q34" i="2"/>
  <c r="R34" i="2"/>
  <c r="S34" i="2"/>
  <c r="P76" i="2"/>
  <c r="Q76" i="2"/>
  <c r="R76" i="2"/>
  <c r="S76" i="2"/>
  <c r="T76" i="2" s="1"/>
  <c r="P94" i="2"/>
  <c r="U94" i="2" s="1"/>
  <c r="Q94" i="2"/>
  <c r="R94" i="2"/>
  <c r="S94" i="2"/>
  <c r="T94" i="2" s="1"/>
  <c r="P70" i="2"/>
  <c r="U70" i="2" s="1"/>
  <c r="Q70" i="2"/>
  <c r="R70" i="2"/>
  <c r="S70" i="2"/>
  <c r="T70" i="2" s="1"/>
  <c r="P88" i="2"/>
  <c r="Q88" i="2"/>
  <c r="R88" i="2"/>
  <c r="S88" i="2"/>
  <c r="T88" i="2" s="1"/>
  <c r="P64" i="2"/>
  <c r="U64" i="2" s="1"/>
  <c r="Q64" i="2"/>
  <c r="R64" i="2"/>
  <c r="S64" i="2"/>
  <c r="T64" i="2" s="1"/>
  <c r="R112" i="2"/>
  <c r="S112" i="2"/>
  <c r="T112" i="2" s="1"/>
  <c r="P112" i="2"/>
  <c r="U112" i="2" s="1"/>
  <c r="Q112" i="2"/>
  <c r="S106" i="2"/>
  <c r="T106" i="2" s="1"/>
  <c r="Q106" i="2"/>
  <c r="P106" i="2"/>
  <c r="U106" i="2" s="1"/>
  <c r="R106" i="2"/>
  <c r="Q40" i="2"/>
  <c r="R40" i="2"/>
  <c r="P40" i="2"/>
  <c r="S40" i="2"/>
  <c r="P11" i="2"/>
  <c r="U11" i="2" s="1"/>
  <c r="Q11" i="2"/>
  <c r="R11" i="2"/>
  <c r="S11" i="2"/>
  <c r="T11" i="2" s="1"/>
  <c r="P46" i="2"/>
  <c r="Q46" i="2"/>
  <c r="R46" i="2"/>
  <c r="S46" i="2"/>
  <c r="T46" i="2" s="1"/>
  <c r="Q85" i="2"/>
  <c r="R85" i="2"/>
  <c r="S85" i="2"/>
  <c r="T85" i="2" s="1"/>
  <c r="Q67" i="2"/>
  <c r="R67" i="2"/>
  <c r="S67" i="2"/>
  <c r="T67" i="2" s="1"/>
  <c r="P67" i="2"/>
  <c r="U67" i="2" s="1"/>
  <c r="P55" i="2"/>
  <c r="Q55" i="2"/>
  <c r="R55" i="2"/>
  <c r="S55" i="2"/>
  <c r="T55" i="2" s="1"/>
  <c r="P43" i="2"/>
  <c r="U43" i="2" s="1"/>
  <c r="Q43" i="2"/>
  <c r="R43" i="2"/>
  <c r="S43" i="2"/>
  <c r="T43" i="2" s="1"/>
  <c r="R31" i="2"/>
  <c r="S31" i="2"/>
  <c r="T31" i="2" s="1"/>
  <c r="P31" i="2"/>
  <c r="Q31" i="2"/>
  <c r="U85" i="2"/>
  <c r="P20" i="2"/>
  <c r="R20" i="2"/>
  <c r="S20" i="2"/>
  <c r="Q20" i="2"/>
  <c r="AB2" i="2"/>
  <c r="M2" i="2"/>
  <c r="N2" i="2" s="1"/>
  <c r="O2" i="2" s="1"/>
  <c r="Q91" i="2"/>
  <c r="R91" i="2"/>
  <c r="S91" i="2"/>
  <c r="T91" i="2" s="1"/>
  <c r="P91" i="2"/>
  <c r="P37" i="2"/>
  <c r="Q37" i="2"/>
  <c r="R37" i="2"/>
  <c r="S37" i="2"/>
  <c r="T37" i="2" s="1"/>
  <c r="P23" i="2"/>
  <c r="U23" i="2" s="1"/>
  <c r="Q23" i="2"/>
  <c r="R23" i="2"/>
  <c r="S23" i="2"/>
  <c r="T23" i="2" s="1"/>
  <c r="Q14" i="2"/>
  <c r="R14" i="2"/>
  <c r="S14" i="2"/>
  <c r="T14" i="2" s="1"/>
  <c r="P14" i="2"/>
  <c r="P8" i="2"/>
  <c r="R8" i="2"/>
  <c r="S8" i="2"/>
  <c r="Q8" i="2"/>
  <c r="P61" i="2"/>
  <c r="U61" i="2" s="1"/>
  <c r="Q61" i="2"/>
  <c r="R61" i="2"/>
  <c r="S61" i="2"/>
  <c r="T61" i="2" s="1"/>
  <c r="P103" i="2"/>
  <c r="Q103" i="2"/>
  <c r="R103" i="2"/>
  <c r="S103" i="2"/>
  <c r="T103" i="2" s="1"/>
  <c r="P79" i="2"/>
  <c r="Q79" i="2"/>
  <c r="R79" i="2"/>
  <c r="S79" i="2"/>
  <c r="T79" i="2" s="1"/>
  <c r="S17" i="2"/>
  <c r="T17" i="2" s="1"/>
  <c r="P17" i="2"/>
  <c r="U17" i="2" s="1"/>
  <c r="Q17" i="2"/>
  <c r="R17" i="2"/>
  <c r="P5" i="2"/>
  <c r="Q5" i="2"/>
  <c r="R5" i="2"/>
  <c r="S5" i="2"/>
  <c r="T5" i="2" s="1"/>
  <c r="P97" i="2"/>
  <c r="Q97" i="2"/>
  <c r="R97" i="2"/>
  <c r="S97" i="2"/>
  <c r="T97" i="2" s="1"/>
  <c r="P73" i="2"/>
  <c r="U73" i="2" s="1"/>
  <c r="Q73" i="2"/>
  <c r="R73" i="2"/>
  <c r="S73" i="2"/>
  <c r="T73" i="2" s="1"/>
  <c r="S58" i="2"/>
  <c r="T58" i="2" s="1"/>
  <c r="P58" i="2"/>
  <c r="U58" i="2" s="1"/>
  <c r="Q58" i="2"/>
  <c r="R58" i="2"/>
  <c r="P52" i="2"/>
  <c r="U52" i="2" s="1"/>
  <c r="Q52" i="2"/>
  <c r="R52" i="2"/>
  <c r="S52" i="2"/>
  <c r="T52" i="2" s="1"/>
  <c r="P49" i="2"/>
  <c r="R49" i="2"/>
  <c r="S49" i="2"/>
  <c r="T49" i="2" s="1"/>
  <c r="Q49" i="2"/>
  <c r="Q26" i="2"/>
  <c r="S26" i="2"/>
  <c r="T26" i="2" s="1"/>
  <c r="R26" i="2"/>
  <c r="P26" i="2"/>
  <c r="Z2" i="2"/>
  <c r="U26" i="2"/>
  <c r="U20" i="2" l="1"/>
  <c r="T20" i="2"/>
  <c r="U55" i="2"/>
  <c r="U34" i="2"/>
  <c r="T34" i="2"/>
  <c r="U79" i="2"/>
  <c r="U14" i="2"/>
  <c r="U91" i="2"/>
  <c r="U31" i="2"/>
  <c r="U97" i="2"/>
  <c r="U40" i="2"/>
  <c r="T40" i="2"/>
  <c r="U37" i="2"/>
  <c r="U103" i="2"/>
  <c r="U49" i="2"/>
  <c r="U5" i="2"/>
  <c r="S2" i="2"/>
  <c r="T2" i="2" s="1"/>
  <c r="R2" i="2"/>
  <c r="Q2" i="2"/>
  <c r="P2" i="2"/>
  <c r="U8" i="2"/>
  <c r="T8" i="2"/>
  <c r="U46" i="2"/>
  <c r="U88" i="2"/>
  <c r="U76" i="2"/>
  <c r="F38" i="1"/>
  <c r="D38" i="1" s="1"/>
  <c r="C38" i="1"/>
  <c r="K38" i="1" s="1"/>
  <c r="K35" i="1"/>
  <c r="K36" i="1"/>
  <c r="K37" i="1"/>
  <c r="K27" i="1"/>
  <c r="K28" i="1"/>
  <c r="K29" i="1"/>
  <c r="K30" i="1"/>
  <c r="K31" i="1"/>
  <c r="K32" i="1"/>
  <c r="K33" i="1"/>
  <c r="K34" i="1"/>
  <c r="K14" i="1"/>
  <c r="K23" i="1"/>
  <c r="K24" i="1"/>
  <c r="K25" i="1"/>
  <c r="K15" i="1"/>
  <c r="K16" i="1"/>
  <c r="K17" i="1"/>
  <c r="K18" i="1"/>
  <c r="K19" i="1"/>
  <c r="K20" i="1"/>
  <c r="K21" i="1"/>
  <c r="K22" i="1"/>
  <c r="K2" i="1"/>
  <c r="K11" i="1"/>
  <c r="K12" i="1"/>
  <c r="K13" i="1"/>
  <c r="K3" i="1"/>
  <c r="K4" i="1"/>
  <c r="K5" i="1"/>
  <c r="K6" i="1"/>
  <c r="K7" i="1"/>
  <c r="K8" i="1"/>
  <c r="K9" i="1"/>
  <c r="K10" i="1"/>
  <c r="K26" i="1"/>
  <c r="U2" i="2" l="1"/>
  <c r="L36" i="1"/>
  <c r="M36" i="1" s="1"/>
  <c r="N36" i="1" s="1"/>
  <c r="P36" i="1" s="1"/>
  <c r="L13" i="1"/>
  <c r="M13" i="1" s="1"/>
  <c r="N13" i="1" s="1"/>
  <c r="P13" i="1" s="1"/>
  <c r="L25" i="1"/>
  <c r="M25" i="1" s="1"/>
  <c r="N25" i="1" s="1"/>
  <c r="P25" i="1" s="1"/>
  <c r="L37" i="1"/>
  <c r="M37" i="1" s="1"/>
  <c r="N37" i="1" s="1"/>
  <c r="P37" i="1" s="1"/>
  <c r="L24" i="1"/>
  <c r="M24" i="1" s="1"/>
  <c r="N24" i="1" s="1"/>
  <c r="P24" i="1" s="1"/>
  <c r="L11" i="1"/>
  <c r="M11" i="1" s="1"/>
  <c r="N11" i="1" s="1"/>
  <c r="L35" i="1"/>
  <c r="M35" i="1" s="1"/>
  <c r="N35" i="1" s="1"/>
  <c r="L2" i="1"/>
  <c r="M2" i="1" s="1"/>
  <c r="N2" i="1" s="1"/>
  <c r="L9" i="1"/>
  <c r="M9" i="1" s="1"/>
  <c r="N9" i="1" s="1"/>
  <c r="P9" i="1" s="1"/>
  <c r="L12" i="1"/>
  <c r="M12" i="1" s="1"/>
  <c r="N12" i="1" s="1"/>
  <c r="P12" i="1" s="1"/>
  <c r="L23" i="1"/>
  <c r="M23" i="1" s="1"/>
  <c r="N23" i="1" s="1"/>
  <c r="M26" i="1"/>
  <c r="N26" i="1" s="1"/>
  <c r="L26" i="1"/>
  <c r="L14" i="1"/>
  <c r="M14" i="1" s="1"/>
  <c r="N14" i="1" s="1"/>
  <c r="L10" i="1"/>
  <c r="M10" i="1" s="1"/>
  <c r="N10" i="1" s="1"/>
  <c r="P10" i="1" s="1"/>
  <c r="L34" i="1"/>
  <c r="M34" i="1" s="1"/>
  <c r="N34" i="1" s="1"/>
  <c r="P34" i="1" s="1"/>
  <c r="L33" i="1"/>
  <c r="M33" i="1" s="1"/>
  <c r="N33" i="1" s="1"/>
  <c r="P33" i="1" s="1"/>
  <c r="L20" i="1"/>
  <c r="M20" i="1" s="1"/>
  <c r="N20" i="1" s="1"/>
  <c r="L32" i="1"/>
  <c r="M32" i="1" s="1"/>
  <c r="N32" i="1" s="1"/>
  <c r="L31" i="1"/>
  <c r="M31" i="1" s="1"/>
  <c r="N31" i="1" s="1"/>
  <c r="P31" i="1" s="1"/>
  <c r="L30" i="1"/>
  <c r="M30" i="1" s="1"/>
  <c r="N30" i="1" s="1"/>
  <c r="P30" i="1" s="1"/>
  <c r="L21" i="1"/>
  <c r="M21" i="1" s="1"/>
  <c r="N21" i="1" s="1"/>
  <c r="P21" i="1" s="1"/>
  <c r="L19" i="1"/>
  <c r="M19" i="1" s="1"/>
  <c r="N19" i="1" s="1"/>
  <c r="P19" i="1" s="1"/>
  <c r="L6" i="1"/>
  <c r="M6" i="1" s="1"/>
  <c r="N6" i="1" s="1"/>
  <c r="P6" i="1" s="1"/>
  <c r="L5" i="1"/>
  <c r="M5" i="1" s="1"/>
  <c r="N5" i="1" s="1"/>
  <c r="L29" i="1"/>
  <c r="M29" i="1" s="1"/>
  <c r="N29" i="1" s="1"/>
  <c r="L4" i="1"/>
  <c r="M4" i="1" s="1"/>
  <c r="N4" i="1" s="1"/>
  <c r="P4" i="1" s="1"/>
  <c r="L16" i="1"/>
  <c r="M16" i="1" s="1"/>
  <c r="N16" i="1" s="1"/>
  <c r="P16" i="1" s="1"/>
  <c r="L28" i="1"/>
  <c r="M28" i="1" s="1"/>
  <c r="N28" i="1" s="1"/>
  <c r="P28" i="1" s="1"/>
  <c r="L38" i="1"/>
  <c r="M38" i="1" s="1"/>
  <c r="N38" i="1" s="1"/>
  <c r="P38" i="1" s="1"/>
  <c r="M22" i="1"/>
  <c r="N22" i="1" s="1"/>
  <c r="P22" i="1" s="1"/>
  <c r="L22" i="1"/>
  <c r="L8" i="1"/>
  <c r="M8" i="1" s="1"/>
  <c r="N8" i="1" s="1"/>
  <c r="L7" i="1"/>
  <c r="M7" i="1" s="1"/>
  <c r="N7" i="1" s="1"/>
  <c r="P7" i="1" s="1"/>
  <c r="L18" i="1"/>
  <c r="M18" i="1" s="1"/>
  <c r="N18" i="1" s="1"/>
  <c r="P18" i="1" s="1"/>
  <c r="L17" i="1"/>
  <c r="M17" i="1" s="1"/>
  <c r="N17" i="1" s="1"/>
  <c r="L3" i="1"/>
  <c r="M3" i="1" s="1"/>
  <c r="N3" i="1" s="1"/>
  <c r="P3" i="1" s="1"/>
  <c r="L15" i="1"/>
  <c r="M15" i="1" s="1"/>
  <c r="N15" i="1" s="1"/>
  <c r="P15" i="1" s="1"/>
  <c r="L27" i="1"/>
  <c r="M27" i="1" s="1"/>
  <c r="N27" i="1" s="1"/>
  <c r="P27" i="1" s="1"/>
  <c r="P11" i="1" l="1"/>
  <c r="V11" i="1"/>
  <c r="W11" i="1"/>
  <c r="X11" i="1"/>
  <c r="Y11" i="1"/>
  <c r="Z11" i="1" s="1"/>
  <c r="P32" i="1"/>
  <c r="V32" i="1"/>
  <c r="W32" i="1"/>
  <c r="X32" i="1"/>
  <c r="Y32" i="1"/>
  <c r="Z32" i="1" s="1"/>
  <c r="P5" i="1"/>
  <c r="X5" i="1"/>
  <c r="Y5" i="1"/>
  <c r="Z5" i="1" s="1"/>
  <c r="V5" i="1"/>
  <c r="W5" i="1"/>
  <c r="P2" i="1"/>
  <c r="Y2" i="1"/>
  <c r="Z2" i="1" s="1"/>
  <c r="X2" i="1"/>
  <c r="W2" i="1"/>
  <c r="V2" i="1"/>
  <c r="P35" i="1"/>
  <c r="X35" i="1"/>
  <c r="V35" i="1"/>
  <c r="W35" i="1"/>
  <c r="Y35" i="1"/>
  <c r="Z35" i="1" s="1"/>
  <c r="P20" i="1"/>
  <c r="V20" i="1"/>
  <c r="W20" i="1"/>
  <c r="X20" i="1"/>
  <c r="Y20" i="1"/>
  <c r="Z20" i="1" s="1"/>
  <c r="P29" i="1"/>
  <c r="X29" i="1"/>
  <c r="Y29" i="1"/>
  <c r="Z29" i="1" s="1"/>
  <c r="V29" i="1"/>
  <c r="AA29" i="1" s="1"/>
  <c r="W29" i="1"/>
  <c r="P17" i="1"/>
  <c r="V17" i="1"/>
  <c r="AA17" i="1" s="1"/>
  <c r="W17" i="1"/>
  <c r="X17" i="1"/>
  <c r="Y17" i="1"/>
  <c r="Z17" i="1" s="1"/>
  <c r="P14" i="1"/>
  <c r="W14" i="1"/>
  <c r="X14" i="1"/>
  <c r="Y14" i="1"/>
  <c r="Z14" i="1" s="1"/>
  <c r="V14" i="1"/>
  <c r="AA14" i="1" s="1"/>
  <c r="P26" i="1"/>
  <c r="V26" i="1"/>
  <c r="AA26" i="1" s="1"/>
  <c r="W26" i="1"/>
  <c r="X26" i="1"/>
  <c r="Y26" i="1"/>
  <c r="Z26" i="1" s="1"/>
  <c r="P8" i="1"/>
  <c r="V8" i="1"/>
  <c r="W8" i="1"/>
  <c r="X8" i="1"/>
  <c r="Y8" i="1"/>
  <c r="Z8" i="1" s="1"/>
  <c r="P23" i="1"/>
  <c r="V23" i="1"/>
  <c r="AA23" i="1" s="1"/>
  <c r="W23" i="1"/>
  <c r="X23" i="1"/>
  <c r="Y23" i="1"/>
  <c r="Z23" i="1" s="1"/>
  <c r="AA35" i="1" l="1"/>
  <c r="AA2" i="1"/>
  <c r="AA32" i="1"/>
  <c r="AA8" i="1"/>
  <c r="AA20" i="1"/>
  <c r="AA5" i="1"/>
  <c r="AA11" i="1"/>
</calcChain>
</file>

<file path=xl/sharedStrings.xml><?xml version="1.0" encoding="utf-8"?>
<sst xmlns="http://schemas.openxmlformats.org/spreadsheetml/2006/main" count="288" uniqueCount="100">
  <si>
    <t>Sample_ID</t>
  </si>
  <si>
    <t>qPCR_run_no</t>
  </si>
  <si>
    <t>Site</t>
  </si>
  <si>
    <t>C1</t>
  </si>
  <si>
    <t>C_1</t>
  </si>
  <si>
    <t>MFSF</t>
  </si>
  <si>
    <t>C10</t>
  </si>
  <si>
    <t>C_4</t>
  </si>
  <si>
    <t>C11</t>
  </si>
  <si>
    <t>C12</t>
  </si>
  <si>
    <t>C2</t>
  </si>
  <si>
    <t>C3</t>
  </si>
  <si>
    <t>C4</t>
  </si>
  <si>
    <t>C_2</t>
  </si>
  <si>
    <t>C5</t>
  </si>
  <si>
    <t>C6</t>
  </si>
  <si>
    <t>C7</t>
  </si>
  <si>
    <t>C_3</t>
  </si>
  <si>
    <t>C8</t>
  </si>
  <si>
    <t>C9</t>
  </si>
  <si>
    <t>D1</t>
  </si>
  <si>
    <t>D_1</t>
  </si>
  <si>
    <t>DMC</t>
  </si>
  <si>
    <t>D10</t>
  </si>
  <si>
    <t>D_4</t>
  </si>
  <si>
    <t>D11</t>
  </si>
  <si>
    <t>D12</t>
  </si>
  <si>
    <t>D2</t>
  </si>
  <si>
    <t>D3</t>
  </si>
  <si>
    <t>D4</t>
  </si>
  <si>
    <t>D_2</t>
  </si>
  <si>
    <t>D5</t>
  </si>
  <si>
    <t>D6</t>
  </si>
  <si>
    <t>D7</t>
  </si>
  <si>
    <t>D_3</t>
  </si>
  <si>
    <t>D8</t>
  </si>
  <si>
    <t>D9</t>
  </si>
  <si>
    <t>P1</t>
  </si>
  <si>
    <t>P_1</t>
  </si>
  <si>
    <t>Control</t>
  </si>
  <si>
    <t>P10</t>
  </si>
  <si>
    <t>P_4</t>
  </si>
  <si>
    <t>P11</t>
  </si>
  <si>
    <t>P12</t>
  </si>
  <si>
    <t>P2</t>
  </si>
  <si>
    <t>P3</t>
  </si>
  <si>
    <t>P4</t>
  </si>
  <si>
    <t>P_2</t>
  </si>
  <si>
    <t>P5</t>
  </si>
  <si>
    <t>P6</t>
  </si>
  <si>
    <t>P7</t>
  </si>
  <si>
    <t>P_3</t>
  </si>
  <si>
    <t>P8</t>
  </si>
  <si>
    <t>P9</t>
  </si>
  <si>
    <t>Powersoil elution volume (uL)</t>
  </si>
  <si>
    <t>Powersoil sediment weight used (g)</t>
  </si>
  <si>
    <t>Mean daily water temperature (deg C)</t>
  </si>
  <si>
    <t>Wet weight: dry weight conversion factor</t>
  </si>
  <si>
    <t>Gene copy no /ng of DNA</t>
  </si>
  <si>
    <t>Gene copy number/extraction</t>
  </si>
  <si>
    <t>Gene copy no/gram of wet sediment</t>
  </si>
  <si>
    <t>Gene copy number/gram of dry sediment (CNGDS)</t>
  </si>
  <si>
    <t>Sediment grab_ID</t>
  </si>
  <si>
    <t>Log CNGDS</t>
  </si>
  <si>
    <t>Sampling Date</t>
  </si>
  <si>
    <t>qPCR extract concentration (Qubit) (ng/uL)</t>
  </si>
  <si>
    <t>Powersoil extract concentration (Nanodrop) (ng/uL)</t>
  </si>
  <si>
    <t>Powersoil Max extraction efficiency factor</t>
  </si>
  <si>
    <t>LOD + LOQ estimate using mean values for all samples</t>
  </si>
  <si>
    <t>Z-score</t>
  </si>
  <si>
    <t>Mean qPCR reaction gene copy number</t>
  </si>
  <si>
    <t>Copy_no</t>
  </si>
  <si>
    <t>CQ value</t>
  </si>
  <si>
    <t>Theoretical qPCR extract conc</t>
  </si>
  <si>
    <t>NA</t>
  </si>
  <si>
    <t>Dilution factor for Powersoil extract used in Zymo kit (uL)</t>
  </si>
  <si>
    <t>Mean</t>
  </si>
  <si>
    <t>Max</t>
  </si>
  <si>
    <t>Min</t>
  </si>
  <si>
    <t>SD</t>
  </si>
  <si>
    <t>SE</t>
  </si>
  <si>
    <t>Sample mean</t>
  </si>
  <si>
    <t>Sample max</t>
  </si>
  <si>
    <t>Sample min</t>
  </si>
  <si>
    <t>Sample SD</t>
  </si>
  <si>
    <t>Sample SE</t>
  </si>
  <si>
    <t>Sample Z-score</t>
  </si>
  <si>
    <t>Reaction mean</t>
  </si>
  <si>
    <t>Reaction max</t>
  </si>
  <si>
    <t>Reaction min</t>
  </si>
  <si>
    <t>Reaction SD</t>
  </si>
  <si>
    <t>Reaction SE</t>
  </si>
  <si>
    <t>Reaction Z-score</t>
  </si>
  <si>
    <t>Per ng DNA mean</t>
  </si>
  <si>
    <t>Per ng DNA max</t>
  </si>
  <si>
    <t>Per ng DNA min</t>
  </si>
  <si>
    <t>Per ng DNA SD</t>
  </si>
  <si>
    <t>Per ng DNA SE</t>
  </si>
  <si>
    <t>Per ng DNA Z-score</t>
  </si>
  <si>
    <t>Conservative_GCNGSD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</si>
</sst>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5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8"/>
  <sheetViews>
    <sheetView tabSelected="1" workbookViewId="0">
      <selection activeCell="K25" sqref="K25"/>
    </sheetView>
  </sheetViews>
  <sheetFormatPr defaultRowHeight="14.4" x14ac:dyDescent="0.3"/>
  <cols>
    <col min="1" max="1" width="13.6640625" customWidth="1"/>
    <col min="3" max="4" width="18" customWidth="1"/>
    <col min="5" max="5" width="12.77734375" customWidth="1"/>
    <col min="6" max="6" width="18" customWidth="1"/>
    <col min="10" max="10" width="17.5546875" customWidth="1"/>
    <col min="11" max="11" width="22.6640625" customWidth="1"/>
    <col min="12" max="12" width="23.6640625" customWidth="1"/>
    <col min="13" max="13" width="26.6640625" customWidth="1"/>
    <col min="14" max="15" width="13.33203125" customWidth="1"/>
    <col min="16" max="16" width="16.88671875" customWidth="1"/>
    <col min="17" max="17" width="14.44140625" customWidth="1"/>
    <col min="21" max="21" width="13.33203125" customWidth="1"/>
    <col min="22" max="22" width="11.21875" customWidth="1"/>
  </cols>
  <sheetData>
    <row r="1" spans="1:27" x14ac:dyDescent="0.3">
      <c r="A1" t="s">
        <v>0</v>
      </c>
      <c r="B1" t="s">
        <v>62</v>
      </c>
      <c r="C1" t="s">
        <v>65</v>
      </c>
      <c r="D1" t="s">
        <v>75</v>
      </c>
      <c r="E1" t="s">
        <v>73</v>
      </c>
      <c r="F1" t="s">
        <v>66</v>
      </c>
      <c r="G1" t="s">
        <v>54</v>
      </c>
      <c r="H1" t="s">
        <v>1</v>
      </c>
      <c r="I1" t="s">
        <v>55</v>
      </c>
      <c r="J1" t="s">
        <v>70</v>
      </c>
      <c r="K1" t="s">
        <v>58</v>
      </c>
      <c r="L1" t="s">
        <v>59</v>
      </c>
      <c r="M1" t="s">
        <v>60</v>
      </c>
      <c r="N1" t="s">
        <v>61</v>
      </c>
      <c r="O1" t="s">
        <v>99</v>
      </c>
      <c r="P1" t="s">
        <v>63</v>
      </c>
      <c r="Q1" t="s">
        <v>64</v>
      </c>
      <c r="R1" t="s">
        <v>2</v>
      </c>
      <c r="S1" t="s">
        <v>56</v>
      </c>
      <c r="T1" t="s">
        <v>57</v>
      </c>
      <c r="U1" t="s">
        <v>67</v>
      </c>
      <c r="V1" t="s">
        <v>81</v>
      </c>
      <c r="W1" t="s">
        <v>82</v>
      </c>
      <c r="X1" t="s">
        <v>83</v>
      </c>
      <c r="Y1" t="s">
        <v>84</v>
      </c>
      <c r="Z1" t="s">
        <v>85</v>
      </c>
      <c r="AA1" t="s">
        <v>86</v>
      </c>
    </row>
    <row r="2" spans="1:27" x14ac:dyDescent="0.3">
      <c r="A2" t="s">
        <v>37</v>
      </c>
      <c r="B2" t="s">
        <v>38</v>
      </c>
      <c r="C2">
        <v>28.3</v>
      </c>
      <c r="D2">
        <f t="shared" ref="D2:D38" si="0">F2/E2</f>
        <v>10</v>
      </c>
      <c r="E2">
        <v>18.100000000000001</v>
      </c>
      <c r="F2">
        <v>181</v>
      </c>
      <c r="G2">
        <v>500</v>
      </c>
      <c r="H2">
        <v>1</v>
      </c>
      <c r="I2">
        <v>3.8811</v>
      </c>
      <c r="J2">
        <v>14.520866010000001</v>
      </c>
      <c r="K2">
        <f t="shared" ref="K2:K38" si="1">J2/C2</f>
        <v>0.51310480600706709</v>
      </c>
      <c r="L2">
        <f t="shared" ref="L2:L38" si="2">K2*(C2*105/0.95)*(500/100*D2)</f>
        <v>80246.891107894742</v>
      </c>
      <c r="M2">
        <f t="shared" ref="M2:M38" si="3">L2*U2/I2</f>
        <v>41352.653169408026</v>
      </c>
      <c r="N2">
        <f t="shared" ref="N2:N38" si="4">M2*T2</f>
        <v>122708.16966510673</v>
      </c>
      <c r="O2">
        <v>14.520866010000001</v>
      </c>
      <c r="P2">
        <f t="shared" ref="P2:P38" si="5">LOG(N2)</f>
        <v>5.0888734781496732</v>
      </c>
      <c r="Q2" s="1">
        <v>44255</v>
      </c>
      <c r="R2" t="s">
        <v>39</v>
      </c>
      <c r="S2">
        <v>2.74</v>
      </c>
      <c r="T2">
        <v>2.9673590509999999</v>
      </c>
      <c r="U2">
        <v>2</v>
      </c>
      <c r="V2">
        <f>AVERAGE(N2:N4)</f>
        <v>106326.35484874989</v>
      </c>
      <c r="W2">
        <f>MAX(N2:N4)</f>
        <v>122708.16966510673</v>
      </c>
      <c r="X2">
        <f>MIN(N2:N4)</f>
        <v>84351.192962355562</v>
      </c>
      <c r="Y2">
        <f>_xlfn.STDEV.P(N2:N4)</f>
        <v>16150.924927658054</v>
      </c>
      <c r="Z2">
        <f>Y2/SQRT(COUNT(N2:N4))</f>
        <v>9324.740854644815</v>
      </c>
      <c r="AA2">
        <f>(V2-24973.44191)/Y2</f>
        <v>5.037043593672772</v>
      </c>
    </row>
    <row r="3" spans="1:27" x14ac:dyDescent="0.3">
      <c r="A3" t="s">
        <v>44</v>
      </c>
      <c r="B3" t="s">
        <v>38</v>
      </c>
      <c r="C3">
        <v>25.2</v>
      </c>
      <c r="D3">
        <f t="shared" si="0"/>
        <v>10</v>
      </c>
      <c r="E3">
        <v>15.7</v>
      </c>
      <c r="F3">
        <v>157</v>
      </c>
      <c r="G3">
        <v>500</v>
      </c>
      <c r="H3">
        <v>1</v>
      </c>
      <c r="I3">
        <v>4.0255999999999998</v>
      </c>
      <c r="J3">
        <v>13.73729964</v>
      </c>
      <c r="K3">
        <f t="shared" si="1"/>
        <v>0.54513093809523805</v>
      </c>
      <c r="L3">
        <f t="shared" si="2"/>
        <v>75916.655905263149</v>
      </c>
      <c r="M3">
        <f t="shared" si="3"/>
        <v>37716.939539578278</v>
      </c>
      <c r="N3">
        <f t="shared" si="4"/>
        <v>111919.70191878737</v>
      </c>
      <c r="O3">
        <v>13.73729964</v>
      </c>
      <c r="P3">
        <f t="shared" si="5"/>
        <v>5.0489065448075898</v>
      </c>
      <c r="Q3" s="1">
        <v>44255</v>
      </c>
      <c r="R3" t="s">
        <v>39</v>
      </c>
      <c r="S3">
        <v>2.74</v>
      </c>
      <c r="T3">
        <v>2.9673590509999999</v>
      </c>
      <c r="U3">
        <v>2</v>
      </c>
    </row>
    <row r="4" spans="1:27" x14ac:dyDescent="0.3">
      <c r="A4" t="s">
        <v>45</v>
      </c>
      <c r="B4" t="s">
        <v>38</v>
      </c>
      <c r="C4">
        <v>27.3</v>
      </c>
      <c r="D4">
        <f t="shared" si="0"/>
        <v>10</v>
      </c>
      <c r="E4">
        <v>16.2</v>
      </c>
      <c r="F4">
        <v>162</v>
      </c>
      <c r="G4">
        <v>500</v>
      </c>
      <c r="H4">
        <v>2</v>
      </c>
      <c r="I4">
        <v>4.0223000000000004</v>
      </c>
      <c r="J4">
        <v>10.34498571</v>
      </c>
      <c r="K4">
        <f t="shared" si="1"/>
        <v>0.37893720549450549</v>
      </c>
      <c r="L4">
        <f t="shared" si="2"/>
        <v>57169.65787105263</v>
      </c>
      <c r="M4">
        <f t="shared" si="3"/>
        <v>28426.352022998097</v>
      </c>
      <c r="N4">
        <f t="shared" si="4"/>
        <v>84351.192962355562</v>
      </c>
      <c r="O4">
        <v>10.34498571</v>
      </c>
      <c r="P4">
        <f t="shared" si="5"/>
        <v>4.9260912291101402</v>
      </c>
      <c r="Q4" s="1">
        <v>44255</v>
      </c>
      <c r="R4" t="s">
        <v>39</v>
      </c>
      <c r="S4">
        <v>2.74</v>
      </c>
      <c r="T4">
        <v>2.9673590509999999</v>
      </c>
      <c r="U4">
        <v>2</v>
      </c>
    </row>
    <row r="5" spans="1:27" x14ac:dyDescent="0.3">
      <c r="A5" t="s">
        <v>46</v>
      </c>
      <c r="B5" t="s">
        <v>47</v>
      </c>
      <c r="C5">
        <v>29.6</v>
      </c>
      <c r="D5">
        <f t="shared" si="0"/>
        <v>10</v>
      </c>
      <c r="E5">
        <v>20.3</v>
      </c>
      <c r="F5">
        <v>203</v>
      </c>
      <c r="G5">
        <v>500</v>
      </c>
      <c r="H5">
        <v>1</v>
      </c>
      <c r="I5">
        <v>3.8791000000000002</v>
      </c>
      <c r="J5">
        <v>7.9341911700000001</v>
      </c>
      <c r="K5">
        <f t="shared" si="1"/>
        <v>0.26804699898648648</v>
      </c>
      <c r="L5">
        <f t="shared" si="2"/>
        <v>43846.845939473686</v>
      </c>
      <c r="M5">
        <f t="shared" si="3"/>
        <v>22606.710803781127</v>
      </c>
      <c r="N5">
        <f t="shared" si="4"/>
        <v>67082.227916939402</v>
      </c>
      <c r="O5">
        <v>7.9341911700000001</v>
      </c>
      <c r="P5">
        <f t="shared" si="5"/>
        <v>4.826607477845279</v>
      </c>
      <c r="Q5" s="1">
        <v>44342</v>
      </c>
      <c r="R5" t="s">
        <v>39</v>
      </c>
      <c r="S5">
        <v>13.83</v>
      </c>
      <c r="T5">
        <v>2.9673590509999999</v>
      </c>
      <c r="U5">
        <v>2</v>
      </c>
      <c r="V5">
        <f t="shared" ref="V5:V35" si="6">AVERAGE(N5:N7)</f>
        <v>56880.550261442339</v>
      </c>
      <c r="W5">
        <f t="shared" ref="W5:W35" si="7">MAX(N5:N7)</f>
        <v>67082.227916939402</v>
      </c>
      <c r="X5">
        <f t="shared" ref="X5:X35" si="8">MIN(N5:N7)</f>
        <v>44963.77797893525</v>
      </c>
      <c r="Y5">
        <f t="shared" ref="Y5:Y35" si="9">_xlfn.STDEV.P(N5:N7)</f>
        <v>9110.8952761587498</v>
      </c>
      <c r="Z5">
        <f t="shared" ref="Z5:Z35" si="10">Y5/SQRT(COUNT(N5:N7))</f>
        <v>5260.1778402487444</v>
      </c>
      <c r="AA5">
        <f t="shared" ref="AA5:AA35" si="11">(V5-24973.44191)/Y5</f>
        <v>3.502082658653356</v>
      </c>
    </row>
    <row r="6" spans="1:27" x14ac:dyDescent="0.3">
      <c r="A6" t="s">
        <v>48</v>
      </c>
      <c r="B6" t="s">
        <v>47</v>
      </c>
      <c r="C6">
        <v>28.9</v>
      </c>
      <c r="D6">
        <f t="shared" si="0"/>
        <v>10</v>
      </c>
      <c r="E6">
        <v>18</v>
      </c>
      <c r="F6">
        <v>180</v>
      </c>
      <c r="G6">
        <v>500</v>
      </c>
      <c r="H6">
        <v>1</v>
      </c>
      <c r="I6">
        <v>3.8485999999999998</v>
      </c>
      <c r="J6">
        <v>6.8759438399999997</v>
      </c>
      <c r="K6">
        <f t="shared" si="1"/>
        <v>0.2379219321799308</v>
      </c>
      <c r="L6">
        <f t="shared" si="2"/>
        <v>37998.63701052632</v>
      </c>
      <c r="M6">
        <f t="shared" si="3"/>
        <v>19746.732323715805</v>
      </c>
      <c r="N6">
        <f t="shared" si="4"/>
        <v>58595.644888452356</v>
      </c>
      <c r="O6">
        <v>6.8759438399999997</v>
      </c>
      <c r="P6">
        <f t="shared" si="5"/>
        <v>4.7678653383525527</v>
      </c>
      <c r="Q6" s="1">
        <v>44342</v>
      </c>
      <c r="R6" t="s">
        <v>39</v>
      </c>
      <c r="S6">
        <v>13.83</v>
      </c>
      <c r="T6">
        <v>2.9673590509999999</v>
      </c>
      <c r="U6">
        <v>2</v>
      </c>
    </row>
    <row r="7" spans="1:27" x14ac:dyDescent="0.3">
      <c r="A7" t="s">
        <v>49</v>
      </c>
      <c r="B7" t="s">
        <v>47</v>
      </c>
      <c r="C7">
        <v>30.3</v>
      </c>
      <c r="D7">
        <f t="shared" si="0"/>
        <v>10</v>
      </c>
      <c r="E7">
        <v>19.8</v>
      </c>
      <c r="F7">
        <v>198</v>
      </c>
      <c r="G7">
        <v>500</v>
      </c>
      <c r="H7">
        <v>2</v>
      </c>
      <c r="I7">
        <v>4.0749000000000004</v>
      </c>
      <c r="J7">
        <v>5.5865534349999999</v>
      </c>
      <c r="K7">
        <f t="shared" si="1"/>
        <v>0.1843747008250825</v>
      </c>
      <c r="L7">
        <f t="shared" si="2"/>
        <v>30873.05845657895</v>
      </c>
      <c r="M7">
        <f t="shared" si="3"/>
        <v>15152.793176067607</v>
      </c>
      <c r="N7">
        <f t="shared" si="4"/>
        <v>44963.77797893525</v>
      </c>
      <c r="O7">
        <v>5.5865534349999999</v>
      </c>
      <c r="P7">
        <f t="shared" si="5"/>
        <v>4.652862794697838</v>
      </c>
      <c r="Q7" s="1">
        <v>44342</v>
      </c>
      <c r="R7" t="s">
        <v>39</v>
      </c>
      <c r="S7">
        <v>13.83</v>
      </c>
      <c r="T7">
        <v>2.9673590509999999</v>
      </c>
      <c r="U7">
        <v>2</v>
      </c>
    </row>
    <row r="8" spans="1:27" x14ac:dyDescent="0.3">
      <c r="A8" t="s">
        <v>50</v>
      </c>
      <c r="B8" t="s">
        <v>51</v>
      </c>
      <c r="C8">
        <v>28.6</v>
      </c>
      <c r="D8">
        <f t="shared" si="0"/>
        <v>4.92</v>
      </c>
      <c r="E8">
        <v>17.5</v>
      </c>
      <c r="F8">
        <v>86.1</v>
      </c>
      <c r="G8">
        <v>500</v>
      </c>
      <c r="H8">
        <v>1</v>
      </c>
      <c r="I8">
        <v>4</v>
      </c>
      <c r="J8">
        <v>9.9732561640000004</v>
      </c>
      <c r="K8">
        <f t="shared" si="1"/>
        <v>0.34871525048951046</v>
      </c>
      <c r="L8">
        <f t="shared" si="2"/>
        <v>27116.758601696845</v>
      </c>
      <c r="M8">
        <f t="shared" si="3"/>
        <v>13558.379300848423</v>
      </c>
      <c r="N8">
        <f t="shared" si="4"/>
        <v>40232.57953526362</v>
      </c>
      <c r="O8">
        <v>9.9732561640000004</v>
      </c>
      <c r="P8">
        <f t="shared" si="5"/>
        <v>4.6045778785075395</v>
      </c>
      <c r="Q8" s="1">
        <v>44365</v>
      </c>
      <c r="R8" t="s">
        <v>39</v>
      </c>
      <c r="S8">
        <v>15.6</v>
      </c>
      <c r="T8">
        <v>2.9673590509999999</v>
      </c>
      <c r="U8">
        <v>2</v>
      </c>
      <c r="V8">
        <f t="shared" si="6"/>
        <v>46620.666216661717</v>
      </c>
      <c r="W8">
        <f t="shared" si="7"/>
        <v>67713.501107542252</v>
      </c>
      <c r="X8">
        <f t="shared" si="8"/>
        <v>31915.918007179283</v>
      </c>
      <c r="Y8">
        <f t="shared" si="9"/>
        <v>15296.458795935747</v>
      </c>
      <c r="Z8">
        <f t="shared" si="10"/>
        <v>8831.4146034815221</v>
      </c>
      <c r="AA8" s="2">
        <f t="shared" si="11"/>
        <v>1.4151788067714968</v>
      </c>
    </row>
    <row r="9" spans="1:27" x14ac:dyDescent="0.3">
      <c r="A9" t="s">
        <v>52</v>
      </c>
      <c r="B9" t="s">
        <v>51</v>
      </c>
      <c r="C9">
        <v>19.8</v>
      </c>
      <c r="D9">
        <f t="shared" si="0"/>
        <v>5.0103092783505163</v>
      </c>
      <c r="E9">
        <v>19.399999999999999</v>
      </c>
      <c r="F9">
        <v>97.2</v>
      </c>
      <c r="G9">
        <v>500</v>
      </c>
      <c r="H9">
        <v>2</v>
      </c>
      <c r="I9">
        <v>4</v>
      </c>
      <c r="J9">
        <v>16.482949680000001</v>
      </c>
      <c r="K9">
        <f t="shared" si="1"/>
        <v>0.83247220606060612</v>
      </c>
      <c r="L9">
        <f t="shared" si="2"/>
        <v>45638.89973794901</v>
      </c>
      <c r="M9">
        <f t="shared" si="3"/>
        <v>22819.449868974505</v>
      </c>
      <c r="N9">
        <f t="shared" si="4"/>
        <v>67713.501107542252</v>
      </c>
      <c r="O9">
        <v>16.482949680000001</v>
      </c>
      <c r="P9">
        <f t="shared" si="5"/>
        <v>4.8306752694520787</v>
      </c>
      <c r="Q9" s="1">
        <v>44365</v>
      </c>
      <c r="R9" t="s">
        <v>39</v>
      </c>
      <c r="S9">
        <v>16.600000000000001</v>
      </c>
      <c r="T9">
        <v>2.9673590509999999</v>
      </c>
      <c r="U9">
        <v>2</v>
      </c>
    </row>
    <row r="10" spans="1:27" x14ac:dyDescent="0.3">
      <c r="A10" t="s">
        <v>53</v>
      </c>
      <c r="B10" t="s">
        <v>51</v>
      </c>
      <c r="C10">
        <v>28.5</v>
      </c>
      <c r="D10">
        <f t="shared" si="0"/>
        <v>4.9945355191256828</v>
      </c>
      <c r="E10">
        <v>18.3</v>
      </c>
      <c r="F10">
        <v>91.4</v>
      </c>
      <c r="G10">
        <v>500</v>
      </c>
      <c r="H10">
        <v>2</v>
      </c>
      <c r="I10">
        <v>4</v>
      </c>
      <c r="J10">
        <v>7.7935698660000003</v>
      </c>
      <c r="K10">
        <f t="shared" si="1"/>
        <v>0.27345859178947368</v>
      </c>
      <c r="L10">
        <f t="shared" si="2"/>
        <v>21511.328732816219</v>
      </c>
      <c r="M10">
        <f t="shared" si="3"/>
        <v>10755.664366408109</v>
      </c>
      <c r="N10">
        <f t="shared" si="4"/>
        <v>31915.918007179283</v>
      </c>
      <c r="O10">
        <v>7.7935698660000003</v>
      </c>
      <c r="P10">
        <f t="shared" si="5"/>
        <v>4.5040073406886973</v>
      </c>
      <c r="Q10" s="1">
        <v>44365</v>
      </c>
      <c r="R10" t="s">
        <v>39</v>
      </c>
      <c r="S10">
        <v>15.6</v>
      </c>
      <c r="T10">
        <v>2.9673590509999999</v>
      </c>
      <c r="U10">
        <v>2</v>
      </c>
    </row>
    <row r="11" spans="1:27" x14ac:dyDescent="0.3">
      <c r="A11" t="s">
        <v>40</v>
      </c>
      <c r="B11" t="s">
        <v>41</v>
      </c>
      <c r="C11">
        <v>10.3</v>
      </c>
      <c r="D11">
        <f t="shared" si="0"/>
        <v>1</v>
      </c>
      <c r="E11">
        <v>8.25</v>
      </c>
      <c r="F11">
        <v>8.25</v>
      </c>
      <c r="G11">
        <v>500</v>
      </c>
      <c r="H11">
        <v>2</v>
      </c>
      <c r="I11">
        <v>4</v>
      </c>
      <c r="J11" s="2">
        <v>3.460416908</v>
      </c>
      <c r="K11">
        <f t="shared" si="1"/>
        <v>0.33596280660194172</v>
      </c>
      <c r="L11">
        <f t="shared" si="2"/>
        <v>1912.3356596842104</v>
      </c>
      <c r="M11">
        <f t="shared" si="3"/>
        <v>956.16782984210522</v>
      </c>
      <c r="N11">
        <f t="shared" si="4"/>
        <v>2837.2932641569987</v>
      </c>
      <c r="O11">
        <v>0</v>
      </c>
      <c r="P11">
        <f t="shared" si="5"/>
        <v>3.4529042270269921</v>
      </c>
      <c r="Q11" s="1">
        <v>44396</v>
      </c>
      <c r="R11" t="s">
        <v>39</v>
      </c>
      <c r="S11">
        <v>17.190000000000001</v>
      </c>
      <c r="T11">
        <v>2.9673590509999999</v>
      </c>
      <c r="U11">
        <v>2</v>
      </c>
      <c r="V11">
        <f t="shared" si="6"/>
        <v>12029.495423442371</v>
      </c>
      <c r="W11">
        <f t="shared" si="7"/>
        <v>20125.97681489796</v>
      </c>
      <c r="X11">
        <f t="shared" si="8"/>
        <v>2837.2932641569987</v>
      </c>
      <c r="Y11">
        <f t="shared" si="9"/>
        <v>7100.4740560146365</v>
      </c>
      <c r="Z11">
        <f t="shared" si="10"/>
        <v>4099.4606076140044</v>
      </c>
      <c r="AA11" s="3">
        <f t="shared" si="11"/>
        <v>-1.8229693376026257</v>
      </c>
    </row>
    <row r="12" spans="1:27" x14ac:dyDescent="0.3">
      <c r="A12" t="s">
        <v>42</v>
      </c>
      <c r="B12" t="s">
        <v>41</v>
      </c>
      <c r="C12">
        <v>18.8</v>
      </c>
      <c r="D12">
        <f t="shared" si="0"/>
        <v>4</v>
      </c>
      <c r="E12">
        <v>11.6</v>
      </c>
      <c r="F12">
        <v>46.4</v>
      </c>
      <c r="G12">
        <v>500</v>
      </c>
      <c r="H12">
        <v>1</v>
      </c>
      <c r="I12">
        <v>4</v>
      </c>
      <c r="J12" s="2">
        <v>4.0019409169999998</v>
      </c>
      <c r="K12">
        <f t="shared" si="1"/>
        <v>0.21286919771276594</v>
      </c>
      <c r="L12">
        <f t="shared" si="2"/>
        <v>8846.3957112631579</v>
      </c>
      <c r="M12">
        <f t="shared" si="3"/>
        <v>4423.1978556315789</v>
      </c>
      <c r="N12">
        <f t="shared" si="4"/>
        <v>13125.216191272157</v>
      </c>
      <c r="O12">
        <v>0</v>
      </c>
      <c r="P12">
        <f t="shared" si="5"/>
        <v>4.1181064655944342</v>
      </c>
      <c r="Q12" s="1">
        <v>44396</v>
      </c>
      <c r="R12" t="s">
        <v>39</v>
      </c>
      <c r="S12">
        <v>17.190000000000001</v>
      </c>
      <c r="T12">
        <v>2.9673590509999999</v>
      </c>
      <c r="U12">
        <v>2</v>
      </c>
    </row>
    <row r="13" spans="1:27" x14ac:dyDescent="0.3">
      <c r="A13" t="s">
        <v>43</v>
      </c>
      <c r="B13" t="s">
        <v>41</v>
      </c>
      <c r="C13">
        <v>19.399999999999999</v>
      </c>
      <c r="D13">
        <f t="shared" si="0"/>
        <v>5.0060975609756095</v>
      </c>
      <c r="E13">
        <v>16.399999999999999</v>
      </c>
      <c r="F13">
        <v>82.1</v>
      </c>
      <c r="G13">
        <v>500</v>
      </c>
      <c r="H13">
        <v>1</v>
      </c>
      <c r="I13">
        <v>4</v>
      </c>
      <c r="J13" s="2">
        <v>4.9032253910000003</v>
      </c>
      <c r="K13">
        <f t="shared" si="1"/>
        <v>0.25274357685567012</v>
      </c>
      <c r="L13">
        <f t="shared" si="2"/>
        <v>13564.908370704588</v>
      </c>
      <c r="M13">
        <f t="shared" si="3"/>
        <v>6782.4541853522942</v>
      </c>
      <c r="N13">
        <f t="shared" si="4"/>
        <v>20125.97681489796</v>
      </c>
      <c r="O13">
        <v>0</v>
      </c>
      <c r="P13">
        <f t="shared" si="5"/>
        <v>4.3037569680473577</v>
      </c>
      <c r="Q13" s="1">
        <v>44396</v>
      </c>
      <c r="R13" t="s">
        <v>39</v>
      </c>
      <c r="S13">
        <v>17.190000000000001</v>
      </c>
      <c r="T13">
        <v>2.9673590509999999</v>
      </c>
      <c r="U13">
        <v>2</v>
      </c>
    </row>
    <row r="14" spans="1:27" x14ac:dyDescent="0.3">
      <c r="A14" t="s">
        <v>20</v>
      </c>
      <c r="B14" t="s">
        <v>21</v>
      </c>
      <c r="C14">
        <v>17.5</v>
      </c>
      <c r="D14">
        <f t="shared" si="0"/>
        <v>4.9950000000000001</v>
      </c>
      <c r="E14">
        <v>20</v>
      </c>
      <c r="F14">
        <v>99.9</v>
      </c>
      <c r="G14">
        <v>500</v>
      </c>
      <c r="H14">
        <v>2</v>
      </c>
      <c r="I14">
        <v>4</v>
      </c>
      <c r="J14">
        <v>9.2372259539999995</v>
      </c>
      <c r="K14">
        <f t="shared" si="1"/>
        <v>0.52784148308571421</v>
      </c>
      <c r="L14">
        <f t="shared" si="2"/>
        <v>25498.389906442895</v>
      </c>
      <c r="M14">
        <f t="shared" si="3"/>
        <v>12749.194953221448</v>
      </c>
      <c r="N14">
        <f t="shared" si="4"/>
        <v>37831.43903740518</v>
      </c>
      <c r="O14">
        <v>9.2372259539999995</v>
      </c>
      <c r="P14">
        <f t="shared" si="5"/>
        <v>4.5778528613593021</v>
      </c>
      <c r="Q14" s="1">
        <v>44255</v>
      </c>
      <c r="R14" t="s">
        <v>22</v>
      </c>
      <c r="S14">
        <v>2.74</v>
      </c>
      <c r="T14">
        <v>2.9673590509999999</v>
      </c>
      <c r="U14">
        <v>2</v>
      </c>
      <c r="V14">
        <f t="shared" si="6"/>
        <v>63174.249645035801</v>
      </c>
      <c r="W14">
        <f t="shared" si="7"/>
        <v>91373.793331129942</v>
      </c>
      <c r="X14">
        <f t="shared" si="8"/>
        <v>37831.43903740518</v>
      </c>
      <c r="Y14">
        <f t="shared" si="9"/>
        <v>21951.713961023288</v>
      </c>
      <c r="Z14">
        <f t="shared" si="10"/>
        <v>12673.827964570462</v>
      </c>
      <c r="AA14" s="2">
        <f t="shared" si="11"/>
        <v>1.7402198207786348</v>
      </c>
    </row>
    <row r="15" spans="1:27" x14ac:dyDescent="0.3">
      <c r="A15" t="s">
        <v>27</v>
      </c>
      <c r="B15" t="s">
        <v>21</v>
      </c>
      <c r="C15">
        <v>30.6</v>
      </c>
      <c r="D15">
        <f t="shared" si="0"/>
        <v>10</v>
      </c>
      <c r="E15">
        <v>11.9</v>
      </c>
      <c r="F15">
        <v>119</v>
      </c>
      <c r="G15">
        <v>500</v>
      </c>
      <c r="H15">
        <v>1</v>
      </c>
      <c r="I15">
        <v>3.9119000000000002</v>
      </c>
      <c r="J15">
        <v>7.1944136360000002</v>
      </c>
      <c r="K15">
        <f t="shared" si="1"/>
        <v>0.23511155673202613</v>
      </c>
      <c r="L15">
        <f t="shared" si="2"/>
        <v>39758.601672631579</v>
      </c>
      <c r="M15">
        <f t="shared" si="3"/>
        <v>20327.003079133709</v>
      </c>
      <c r="N15">
        <f t="shared" si="4"/>
        <v>60317.516566572274</v>
      </c>
      <c r="O15">
        <v>7.1944136360000002</v>
      </c>
      <c r="P15">
        <f t="shared" si="5"/>
        <v>4.780443452164822</v>
      </c>
      <c r="Q15" s="1">
        <v>44255</v>
      </c>
      <c r="R15" t="s">
        <v>22</v>
      </c>
      <c r="S15">
        <v>2.74</v>
      </c>
      <c r="T15">
        <v>2.9673590509999999</v>
      </c>
      <c r="U15">
        <v>2</v>
      </c>
    </row>
    <row r="16" spans="1:27" x14ac:dyDescent="0.3">
      <c r="A16" t="s">
        <v>28</v>
      </c>
      <c r="B16" t="s">
        <v>21</v>
      </c>
      <c r="C16">
        <v>20.399999999999999</v>
      </c>
      <c r="D16">
        <f t="shared" si="0"/>
        <v>10</v>
      </c>
      <c r="E16">
        <v>12</v>
      </c>
      <c r="F16">
        <v>120</v>
      </c>
      <c r="G16">
        <v>500</v>
      </c>
      <c r="H16">
        <v>1</v>
      </c>
      <c r="I16">
        <v>3.9853000000000001</v>
      </c>
      <c r="J16">
        <v>11.10316723</v>
      </c>
      <c r="K16">
        <f t="shared" si="1"/>
        <v>0.54427290343137258</v>
      </c>
      <c r="L16">
        <f t="shared" si="2"/>
        <v>61359.608376315795</v>
      </c>
      <c r="M16">
        <f t="shared" si="3"/>
        <v>30792.968346832506</v>
      </c>
      <c r="N16">
        <f t="shared" si="4"/>
        <v>91373.793331129942</v>
      </c>
      <c r="O16">
        <v>11.10316723</v>
      </c>
      <c r="P16">
        <f t="shared" si="5"/>
        <v>4.9608216547747599</v>
      </c>
      <c r="Q16" s="1">
        <v>44255</v>
      </c>
      <c r="R16" t="s">
        <v>22</v>
      </c>
      <c r="S16">
        <v>2.74</v>
      </c>
      <c r="T16">
        <v>2.9673590509999999</v>
      </c>
      <c r="U16">
        <v>2</v>
      </c>
    </row>
    <row r="17" spans="1:27" x14ac:dyDescent="0.3">
      <c r="A17" t="s">
        <v>29</v>
      </c>
      <c r="B17" t="s">
        <v>30</v>
      </c>
      <c r="C17">
        <v>23.7</v>
      </c>
      <c r="D17">
        <f t="shared" si="0"/>
        <v>4.9925373134328357</v>
      </c>
      <c r="E17">
        <v>13.4</v>
      </c>
      <c r="F17">
        <v>66.900000000000006</v>
      </c>
      <c r="G17">
        <v>500</v>
      </c>
      <c r="H17">
        <v>1</v>
      </c>
      <c r="I17">
        <v>4</v>
      </c>
      <c r="J17">
        <v>11.092244539999999</v>
      </c>
      <c r="K17">
        <f t="shared" si="1"/>
        <v>0.46802719578059071</v>
      </c>
      <c r="L17">
        <f t="shared" si="2"/>
        <v>30603.877364976426</v>
      </c>
      <c r="M17">
        <f t="shared" si="3"/>
        <v>15301.938682488213</v>
      </c>
      <c r="N17">
        <f t="shared" si="4"/>
        <v>45406.346247328409</v>
      </c>
      <c r="O17">
        <v>11.092244539999999</v>
      </c>
      <c r="P17">
        <f t="shared" si="5"/>
        <v>4.6571165565482868</v>
      </c>
      <c r="Q17" s="1">
        <v>44342</v>
      </c>
      <c r="R17" t="s">
        <v>22</v>
      </c>
      <c r="S17">
        <v>13.83</v>
      </c>
      <c r="T17">
        <v>2.9673590509999999</v>
      </c>
      <c r="U17">
        <v>2</v>
      </c>
      <c r="V17">
        <f t="shared" si="6"/>
        <v>45284.919973908058</v>
      </c>
      <c r="W17">
        <f t="shared" si="7"/>
        <v>47858.677395654951</v>
      </c>
      <c r="X17">
        <f t="shared" si="8"/>
        <v>42589.73627874082</v>
      </c>
      <c r="Y17">
        <f t="shared" si="9"/>
        <v>2152.7491537233109</v>
      </c>
      <c r="Z17">
        <f t="shared" si="10"/>
        <v>1242.8903033998927</v>
      </c>
      <c r="AA17">
        <f t="shared" si="11"/>
        <v>9.435134617880637</v>
      </c>
    </row>
    <row r="18" spans="1:27" x14ac:dyDescent="0.3">
      <c r="A18" t="s">
        <v>31</v>
      </c>
      <c r="B18" t="s">
        <v>30</v>
      </c>
      <c r="C18">
        <v>18.8</v>
      </c>
      <c r="D18">
        <f t="shared" si="0"/>
        <v>4.9900990099009901</v>
      </c>
      <c r="E18">
        <v>10.1</v>
      </c>
      <c r="F18">
        <v>50.4</v>
      </c>
      <c r="G18">
        <v>500</v>
      </c>
      <c r="H18">
        <v>1</v>
      </c>
      <c r="I18">
        <v>4</v>
      </c>
      <c r="J18">
        <v>10.40926312</v>
      </c>
      <c r="K18">
        <f t="shared" si="1"/>
        <v>0.55368420851063826</v>
      </c>
      <c r="L18">
        <f t="shared" si="2"/>
        <v>28705.482246503387</v>
      </c>
      <c r="M18">
        <f t="shared" si="3"/>
        <v>14352.741123251693</v>
      </c>
      <c r="N18">
        <f t="shared" si="4"/>
        <v>42589.73627874082</v>
      </c>
      <c r="O18">
        <v>10.40926312</v>
      </c>
      <c r="P18">
        <f t="shared" si="5"/>
        <v>4.629304950873415</v>
      </c>
      <c r="Q18" s="1">
        <v>44342</v>
      </c>
      <c r="R18" t="s">
        <v>22</v>
      </c>
      <c r="S18">
        <v>13.83</v>
      </c>
      <c r="T18">
        <v>2.9673590509999999</v>
      </c>
      <c r="U18">
        <v>2</v>
      </c>
    </row>
    <row r="19" spans="1:27" x14ac:dyDescent="0.3">
      <c r="A19" t="s">
        <v>32</v>
      </c>
      <c r="B19" t="s">
        <v>30</v>
      </c>
      <c r="C19">
        <v>21.7</v>
      </c>
      <c r="D19">
        <f t="shared" si="0"/>
        <v>3.9929078014184398</v>
      </c>
      <c r="E19">
        <v>14.1</v>
      </c>
      <c r="F19">
        <v>56.3</v>
      </c>
      <c r="G19">
        <v>500</v>
      </c>
      <c r="H19">
        <v>2</v>
      </c>
      <c r="I19">
        <v>4</v>
      </c>
      <c r="J19">
        <v>14.618257529999999</v>
      </c>
      <c r="K19">
        <f t="shared" si="1"/>
        <v>0.67365242073732723</v>
      </c>
      <c r="L19">
        <f t="shared" si="2"/>
        <v>32256.748558639425</v>
      </c>
      <c r="M19">
        <f t="shared" si="3"/>
        <v>16128.374279319713</v>
      </c>
      <c r="N19">
        <f t="shared" si="4"/>
        <v>47858.677395654951</v>
      </c>
      <c r="O19">
        <v>14.618257529999999</v>
      </c>
      <c r="P19">
        <f t="shared" si="5"/>
        <v>4.6799606924448724</v>
      </c>
      <c r="Q19" s="1">
        <v>44342</v>
      </c>
      <c r="R19" t="s">
        <v>22</v>
      </c>
      <c r="S19">
        <v>13.83</v>
      </c>
      <c r="T19">
        <v>2.9673590509999999</v>
      </c>
      <c r="U19">
        <v>2</v>
      </c>
    </row>
    <row r="20" spans="1:27" x14ac:dyDescent="0.3">
      <c r="A20" t="s">
        <v>33</v>
      </c>
      <c r="B20" t="s">
        <v>34</v>
      </c>
      <c r="C20">
        <v>2.25</v>
      </c>
      <c r="D20">
        <f t="shared" si="0"/>
        <v>1</v>
      </c>
      <c r="E20">
        <v>2.25</v>
      </c>
      <c r="F20">
        <v>2.25</v>
      </c>
      <c r="G20">
        <v>500</v>
      </c>
      <c r="H20">
        <v>2</v>
      </c>
      <c r="I20">
        <v>4</v>
      </c>
      <c r="J20" s="2">
        <v>4.7158831799999996</v>
      </c>
      <c r="K20">
        <f t="shared" si="1"/>
        <v>2.0959480799999999</v>
      </c>
      <c r="L20">
        <f t="shared" si="2"/>
        <v>2606.1459678947367</v>
      </c>
      <c r="M20">
        <f t="shared" si="3"/>
        <v>1303.0729839473684</v>
      </c>
      <c r="N20">
        <f t="shared" si="4"/>
        <v>3866.6854130298011</v>
      </c>
      <c r="O20">
        <v>0</v>
      </c>
      <c r="P20">
        <f t="shared" si="5"/>
        <v>3.5873388400475137</v>
      </c>
      <c r="Q20" s="1">
        <v>44365</v>
      </c>
      <c r="R20" t="s">
        <v>22</v>
      </c>
      <c r="S20">
        <v>15.6</v>
      </c>
      <c r="T20">
        <v>2.9673590509999999</v>
      </c>
      <c r="U20">
        <v>2</v>
      </c>
      <c r="V20">
        <f t="shared" si="6"/>
        <v>21654.302416230643</v>
      </c>
      <c r="W20">
        <f t="shared" si="7"/>
        <v>31999.952028121766</v>
      </c>
      <c r="X20">
        <f t="shared" si="8"/>
        <v>3866.6854130298011</v>
      </c>
      <c r="Y20">
        <f t="shared" si="9"/>
        <v>12633.482802957909</v>
      </c>
      <c r="Z20">
        <f t="shared" si="10"/>
        <v>7293.9446970902573</v>
      </c>
      <c r="AA20" s="3">
        <f t="shared" si="11"/>
        <v>-0.26272561141985645</v>
      </c>
    </row>
    <row r="21" spans="1:27" x14ac:dyDescent="0.3">
      <c r="A21" t="s">
        <v>35</v>
      </c>
      <c r="B21" t="s">
        <v>34</v>
      </c>
      <c r="C21">
        <v>17.899999999999999</v>
      </c>
      <c r="D21">
        <f t="shared" si="0"/>
        <v>4.0081967213114753</v>
      </c>
      <c r="E21">
        <v>12.2</v>
      </c>
      <c r="F21">
        <v>48.9</v>
      </c>
      <c r="G21">
        <v>500</v>
      </c>
      <c r="H21">
        <v>1</v>
      </c>
      <c r="I21">
        <v>4</v>
      </c>
      <c r="J21">
        <v>8.8534489030000003</v>
      </c>
      <c r="K21">
        <f t="shared" si="1"/>
        <v>0.49460608396648048</v>
      </c>
      <c r="L21">
        <f t="shared" si="2"/>
        <v>19610.885846614969</v>
      </c>
      <c r="M21">
        <f t="shared" si="3"/>
        <v>9805.4429233074843</v>
      </c>
      <c r="N21">
        <f t="shared" si="4"/>
        <v>29096.26980754036</v>
      </c>
      <c r="O21">
        <v>8.8534489030000003</v>
      </c>
      <c r="P21">
        <f t="shared" si="5"/>
        <v>4.4638373152456747</v>
      </c>
      <c r="Q21" s="1">
        <v>44365</v>
      </c>
      <c r="R21" t="s">
        <v>22</v>
      </c>
      <c r="S21">
        <v>15.6</v>
      </c>
      <c r="T21">
        <v>2.9673590509999999</v>
      </c>
      <c r="U21">
        <v>2</v>
      </c>
    </row>
    <row r="22" spans="1:27" x14ac:dyDescent="0.3">
      <c r="A22" t="s">
        <v>36</v>
      </c>
      <c r="B22" t="s">
        <v>34</v>
      </c>
      <c r="C22">
        <v>20.6</v>
      </c>
      <c r="D22">
        <f t="shared" si="0"/>
        <v>3.9854014598540148</v>
      </c>
      <c r="E22">
        <v>13.7</v>
      </c>
      <c r="F22">
        <v>54.6</v>
      </c>
      <c r="G22">
        <v>500</v>
      </c>
      <c r="H22">
        <v>1</v>
      </c>
      <c r="I22">
        <v>4</v>
      </c>
      <c r="J22">
        <v>9.7926774509999994</v>
      </c>
      <c r="K22">
        <f t="shared" si="1"/>
        <v>0.47537269179611646</v>
      </c>
      <c r="L22">
        <f t="shared" si="2"/>
        <v>21567.967662920862</v>
      </c>
      <c r="M22">
        <f t="shared" si="3"/>
        <v>10783.983831460431</v>
      </c>
      <c r="N22">
        <f t="shared" si="4"/>
        <v>31999.952028121766</v>
      </c>
      <c r="O22">
        <v>9.7926774509999994</v>
      </c>
      <c r="P22">
        <f t="shared" si="5"/>
        <v>4.505149327259355</v>
      </c>
      <c r="Q22" s="1">
        <v>44365</v>
      </c>
      <c r="R22" t="s">
        <v>22</v>
      </c>
      <c r="S22">
        <v>15.6</v>
      </c>
      <c r="T22">
        <v>2.9673590509999999</v>
      </c>
      <c r="U22">
        <v>2</v>
      </c>
    </row>
    <row r="23" spans="1:27" x14ac:dyDescent="0.3">
      <c r="A23" t="s">
        <v>23</v>
      </c>
      <c r="B23" t="s">
        <v>24</v>
      </c>
      <c r="C23">
        <v>20.5</v>
      </c>
      <c r="D23">
        <f t="shared" si="0"/>
        <v>4.984962406015037</v>
      </c>
      <c r="E23">
        <v>13.3</v>
      </c>
      <c r="F23">
        <v>66.3</v>
      </c>
      <c r="G23">
        <v>500</v>
      </c>
      <c r="H23">
        <v>1</v>
      </c>
      <c r="I23">
        <v>4</v>
      </c>
      <c r="J23">
        <v>13.25943487</v>
      </c>
      <c r="K23">
        <f t="shared" si="1"/>
        <v>0.64680170097560974</v>
      </c>
      <c r="L23">
        <f t="shared" si="2"/>
        <v>36527.722931343487</v>
      </c>
      <c r="M23">
        <f t="shared" si="3"/>
        <v>18263.861465671744</v>
      </c>
      <c r="N23">
        <f t="shared" si="4"/>
        <v>54195.43462637117</v>
      </c>
      <c r="O23">
        <v>13.25943487</v>
      </c>
      <c r="P23">
        <f t="shared" si="5"/>
        <v>4.7339627035110148</v>
      </c>
      <c r="Q23" s="1">
        <v>44396</v>
      </c>
      <c r="R23" t="s">
        <v>22</v>
      </c>
      <c r="S23">
        <v>17.190000000000001</v>
      </c>
      <c r="T23">
        <v>2.9673590509999999</v>
      </c>
      <c r="U23">
        <v>2</v>
      </c>
      <c r="V23">
        <f t="shared" si="6"/>
        <v>47909.963220323298</v>
      </c>
      <c r="W23">
        <f t="shared" si="7"/>
        <v>54195.43462637117</v>
      </c>
      <c r="X23">
        <f t="shared" si="8"/>
        <v>36718.145476463447</v>
      </c>
      <c r="Y23">
        <f t="shared" si="9"/>
        <v>7933.8130722157148</v>
      </c>
      <c r="Z23">
        <f t="shared" si="10"/>
        <v>4580.5891129439151</v>
      </c>
      <c r="AA23">
        <f t="shared" si="11"/>
        <v>2.890983326875598</v>
      </c>
    </row>
    <row r="24" spans="1:27" x14ac:dyDescent="0.3">
      <c r="A24" t="s">
        <v>25</v>
      </c>
      <c r="B24" t="s">
        <v>24</v>
      </c>
      <c r="C24">
        <v>28.6</v>
      </c>
      <c r="D24">
        <f t="shared" si="0"/>
        <v>4.9946236559139781</v>
      </c>
      <c r="E24">
        <v>18.600000000000001</v>
      </c>
      <c r="F24">
        <v>92.9</v>
      </c>
      <c r="G24">
        <v>500</v>
      </c>
      <c r="H24">
        <v>1</v>
      </c>
      <c r="I24">
        <v>4</v>
      </c>
      <c r="J24">
        <v>8.9660708580000001</v>
      </c>
      <c r="K24">
        <f t="shared" si="1"/>
        <v>0.31349898104895102</v>
      </c>
      <c r="L24">
        <f t="shared" si="2"/>
        <v>24748.030046508484</v>
      </c>
      <c r="M24">
        <f t="shared" si="3"/>
        <v>12374.015023254242</v>
      </c>
      <c r="N24">
        <f t="shared" si="4"/>
        <v>36718.145476463447</v>
      </c>
      <c r="O24">
        <v>8.9660708580000001</v>
      </c>
      <c r="P24">
        <f t="shared" si="5"/>
        <v>4.5648807381697942</v>
      </c>
      <c r="Q24" s="1">
        <v>44396</v>
      </c>
      <c r="R24" t="s">
        <v>22</v>
      </c>
      <c r="S24">
        <v>17.190000000000001</v>
      </c>
      <c r="T24">
        <v>2.9673590509999999</v>
      </c>
      <c r="U24">
        <v>2</v>
      </c>
    </row>
    <row r="25" spans="1:27" x14ac:dyDescent="0.3">
      <c r="A25" t="s">
        <v>26</v>
      </c>
      <c r="B25" t="s">
        <v>24</v>
      </c>
      <c r="C25">
        <v>26.5</v>
      </c>
      <c r="D25">
        <f t="shared" si="0"/>
        <v>5</v>
      </c>
      <c r="E25">
        <v>19.3</v>
      </c>
      <c r="F25">
        <v>96.5</v>
      </c>
      <c r="G25">
        <v>500</v>
      </c>
      <c r="H25">
        <v>2</v>
      </c>
      <c r="I25">
        <v>4</v>
      </c>
      <c r="J25">
        <v>12.88315543</v>
      </c>
      <c r="K25">
        <f t="shared" si="1"/>
        <v>0.48615680867924532</v>
      </c>
      <c r="L25">
        <f t="shared" si="2"/>
        <v>35598.19263552632</v>
      </c>
      <c r="M25">
        <f t="shared" si="3"/>
        <v>17799.09631776316</v>
      </c>
      <c r="N25">
        <f t="shared" si="4"/>
        <v>52816.309558135283</v>
      </c>
      <c r="O25">
        <v>12.88315543</v>
      </c>
      <c r="P25">
        <f t="shared" si="5"/>
        <v>4.7227680524080027</v>
      </c>
      <c r="Q25" s="1">
        <v>44396</v>
      </c>
      <c r="R25" t="s">
        <v>22</v>
      </c>
      <c r="S25">
        <v>17.190000000000001</v>
      </c>
      <c r="T25">
        <v>2.9673590509999999</v>
      </c>
      <c r="U25">
        <v>2</v>
      </c>
    </row>
    <row r="26" spans="1:27" x14ac:dyDescent="0.3">
      <c r="A26" t="s">
        <v>3</v>
      </c>
      <c r="B26" t="s">
        <v>4</v>
      </c>
      <c r="C26">
        <v>15.1</v>
      </c>
      <c r="D26">
        <f t="shared" si="0"/>
        <v>10</v>
      </c>
      <c r="E26">
        <v>11.7</v>
      </c>
      <c r="F26">
        <v>117</v>
      </c>
      <c r="G26">
        <v>500</v>
      </c>
      <c r="H26">
        <v>1</v>
      </c>
      <c r="I26">
        <v>3.9123000000000001</v>
      </c>
      <c r="J26">
        <v>7.6840974040000001</v>
      </c>
      <c r="K26">
        <f t="shared" si="1"/>
        <v>0.50888062278145696</v>
      </c>
      <c r="L26">
        <f t="shared" si="2"/>
        <v>42464.748811578946</v>
      </c>
      <c r="M26">
        <f t="shared" si="3"/>
        <v>21708.329530751191</v>
      </c>
      <c r="N26">
        <f t="shared" si="4"/>
        <v>64416.408115165126</v>
      </c>
      <c r="O26">
        <v>7.6840974040000001</v>
      </c>
      <c r="P26">
        <f t="shared" si="5"/>
        <v>4.808996504723754</v>
      </c>
      <c r="Q26" s="1">
        <v>44255</v>
      </c>
      <c r="R26" t="s">
        <v>5</v>
      </c>
      <c r="S26">
        <v>2.74</v>
      </c>
      <c r="T26">
        <v>2.9673590509999999</v>
      </c>
      <c r="U26">
        <v>2</v>
      </c>
      <c r="V26">
        <f t="shared" si="6"/>
        <v>179464.90211124078</v>
      </c>
      <c r="W26">
        <f t="shared" si="7"/>
        <v>349760.0090732355</v>
      </c>
      <c r="X26">
        <f t="shared" si="8"/>
        <v>64416.408115165126</v>
      </c>
      <c r="Y26">
        <f t="shared" si="9"/>
        <v>122866.82176265529</v>
      </c>
      <c r="Z26">
        <f t="shared" si="10"/>
        <v>70937.192619142807</v>
      </c>
      <c r="AA26" s="2">
        <f t="shared" si="11"/>
        <v>1.2573895701451083</v>
      </c>
    </row>
    <row r="27" spans="1:27" x14ac:dyDescent="0.3">
      <c r="A27" t="s">
        <v>10</v>
      </c>
      <c r="B27" t="s">
        <v>4</v>
      </c>
      <c r="C27">
        <v>16.2</v>
      </c>
      <c r="D27">
        <f t="shared" si="0"/>
        <v>10</v>
      </c>
      <c r="E27">
        <v>12.4</v>
      </c>
      <c r="F27">
        <v>124</v>
      </c>
      <c r="G27">
        <v>500</v>
      </c>
      <c r="H27">
        <v>1</v>
      </c>
      <c r="I27">
        <v>4.0364000000000004</v>
      </c>
      <c r="J27">
        <v>43.04557922</v>
      </c>
      <c r="K27">
        <f t="shared" si="1"/>
        <v>2.6571345197530865</v>
      </c>
      <c r="L27">
        <f t="shared" si="2"/>
        <v>237883.46411052634</v>
      </c>
      <c r="M27">
        <f t="shared" si="3"/>
        <v>117869.12303563884</v>
      </c>
      <c r="N27">
        <f t="shared" si="4"/>
        <v>349760.0090732355</v>
      </c>
      <c r="O27">
        <v>43.04557922</v>
      </c>
      <c r="P27">
        <f t="shared" si="5"/>
        <v>5.5437701515357798</v>
      </c>
      <c r="Q27" s="1">
        <v>44255</v>
      </c>
      <c r="R27" t="s">
        <v>5</v>
      </c>
      <c r="S27">
        <v>2.74</v>
      </c>
      <c r="T27">
        <v>2.9673590509999999</v>
      </c>
      <c r="U27">
        <v>2</v>
      </c>
    </row>
    <row r="28" spans="1:27" x14ac:dyDescent="0.3">
      <c r="A28" t="s">
        <v>11</v>
      </c>
      <c r="B28" t="s">
        <v>4</v>
      </c>
      <c r="C28">
        <v>18.899999999999999</v>
      </c>
      <c r="D28">
        <f t="shared" si="0"/>
        <v>10</v>
      </c>
      <c r="E28">
        <v>12.1</v>
      </c>
      <c r="F28">
        <v>121</v>
      </c>
      <c r="G28">
        <v>500</v>
      </c>
      <c r="H28">
        <v>2</v>
      </c>
      <c r="I28">
        <v>4.0942999999999996</v>
      </c>
      <c r="J28">
        <v>15.507058020000001</v>
      </c>
      <c r="K28">
        <f t="shared" si="1"/>
        <v>0.82047926031746043</v>
      </c>
      <c r="L28">
        <f t="shared" si="2"/>
        <v>85696.899584210536</v>
      </c>
      <c r="M28">
        <f t="shared" si="3"/>
        <v>41861.563434145297</v>
      </c>
      <c r="N28">
        <f t="shared" si="4"/>
        <v>124218.28914532169</v>
      </c>
      <c r="O28">
        <v>15.507058020000001</v>
      </c>
      <c r="P28">
        <f t="shared" si="5"/>
        <v>5.0941855434261729</v>
      </c>
      <c r="Q28" s="1">
        <v>44255</v>
      </c>
      <c r="R28" t="s">
        <v>5</v>
      </c>
      <c r="S28">
        <v>2.74</v>
      </c>
      <c r="T28">
        <v>2.9673590509999999</v>
      </c>
      <c r="U28">
        <v>2</v>
      </c>
    </row>
    <row r="29" spans="1:27" x14ac:dyDescent="0.3">
      <c r="A29" t="s">
        <v>12</v>
      </c>
      <c r="B29" t="s">
        <v>13</v>
      </c>
      <c r="C29">
        <v>18.600000000000001</v>
      </c>
      <c r="D29">
        <f t="shared" si="0"/>
        <v>4.8656716417910451</v>
      </c>
      <c r="E29">
        <v>13.4</v>
      </c>
      <c r="F29">
        <v>65.2</v>
      </c>
      <c r="G29">
        <v>500</v>
      </c>
      <c r="H29">
        <v>1</v>
      </c>
      <c r="I29">
        <v>4</v>
      </c>
      <c r="J29">
        <v>12.12231719</v>
      </c>
      <c r="K29">
        <f t="shared" si="1"/>
        <v>0.65173748333333326</v>
      </c>
      <c r="L29">
        <f t="shared" si="2"/>
        <v>32595.98722809898</v>
      </c>
      <c r="M29">
        <f t="shared" si="3"/>
        <v>16297.99361404949</v>
      </c>
      <c r="N29">
        <f t="shared" si="4"/>
        <v>48361.998863789951</v>
      </c>
      <c r="O29">
        <v>12.12231719</v>
      </c>
      <c r="P29">
        <f t="shared" si="5"/>
        <v>4.6845042425107781</v>
      </c>
      <c r="Q29" s="1">
        <v>44342</v>
      </c>
      <c r="R29" t="s">
        <v>5</v>
      </c>
      <c r="S29">
        <v>13.83</v>
      </c>
      <c r="T29">
        <v>2.9673590509999999</v>
      </c>
      <c r="U29">
        <v>2</v>
      </c>
      <c r="V29">
        <f t="shared" si="6"/>
        <v>482416.75714466086</v>
      </c>
      <c r="W29">
        <f t="shared" si="7"/>
        <v>1357650.3134626106</v>
      </c>
      <c r="X29">
        <f t="shared" si="8"/>
        <v>41237.959107581963</v>
      </c>
      <c r="Y29">
        <f t="shared" si="9"/>
        <v>618890.41655979573</v>
      </c>
      <c r="Z29">
        <f t="shared" si="10"/>
        <v>357316.54859967768</v>
      </c>
      <c r="AA29" s="2">
        <f t="shared" si="11"/>
        <v>0.73913459151207228</v>
      </c>
    </row>
    <row r="30" spans="1:27" x14ac:dyDescent="0.3">
      <c r="A30" t="s">
        <v>14</v>
      </c>
      <c r="B30" t="s">
        <v>13</v>
      </c>
      <c r="C30">
        <v>15.1</v>
      </c>
      <c r="D30">
        <f t="shared" si="0"/>
        <v>4.0098039215686274</v>
      </c>
      <c r="E30">
        <v>10.199999999999999</v>
      </c>
      <c r="F30">
        <v>40.9</v>
      </c>
      <c r="G30">
        <v>500</v>
      </c>
      <c r="H30">
        <v>2</v>
      </c>
      <c r="I30">
        <v>4</v>
      </c>
      <c r="J30">
        <v>12.542907680000001</v>
      </c>
      <c r="K30">
        <f t="shared" si="1"/>
        <v>0.83065613774834446</v>
      </c>
      <c r="L30">
        <f t="shared" si="2"/>
        <v>27794.384433312694</v>
      </c>
      <c r="M30">
        <f t="shared" si="3"/>
        <v>13897.192216656347</v>
      </c>
      <c r="N30">
        <f t="shared" si="4"/>
        <v>41237.959107581963</v>
      </c>
      <c r="O30">
        <v>12.542907680000001</v>
      </c>
      <c r="P30">
        <f t="shared" si="5"/>
        <v>4.6152971636374751</v>
      </c>
      <c r="Q30" s="1">
        <v>44342</v>
      </c>
      <c r="R30" t="s">
        <v>5</v>
      </c>
      <c r="S30">
        <v>13.83</v>
      </c>
      <c r="T30">
        <v>2.9673590509999999</v>
      </c>
      <c r="U30">
        <v>2</v>
      </c>
    </row>
    <row r="31" spans="1:27" x14ac:dyDescent="0.3">
      <c r="A31" t="s">
        <v>15</v>
      </c>
      <c r="B31" t="s">
        <v>13</v>
      </c>
      <c r="C31">
        <v>20.2</v>
      </c>
      <c r="D31">
        <f t="shared" si="0"/>
        <v>3.9933333333333332</v>
      </c>
      <c r="E31">
        <v>15</v>
      </c>
      <c r="F31">
        <v>59.9</v>
      </c>
      <c r="G31">
        <v>500</v>
      </c>
      <c r="H31">
        <v>2</v>
      </c>
      <c r="I31">
        <v>4</v>
      </c>
      <c r="J31">
        <v>414.64512070000001</v>
      </c>
      <c r="K31">
        <f t="shared" si="1"/>
        <v>20.526986173267328</v>
      </c>
      <c r="L31">
        <f t="shared" si="2"/>
        <v>915056.31110268412</v>
      </c>
      <c r="M31">
        <f t="shared" si="3"/>
        <v>457528.15555134206</v>
      </c>
      <c r="N31">
        <f t="shared" si="4"/>
        <v>1357650.3134626106</v>
      </c>
      <c r="O31">
        <v>414.64512070000001</v>
      </c>
      <c r="P31">
        <f t="shared" si="5"/>
        <v>6.1327879242229111</v>
      </c>
      <c r="Q31" s="1">
        <v>44342</v>
      </c>
      <c r="R31" t="s">
        <v>5</v>
      </c>
      <c r="S31">
        <v>13.83</v>
      </c>
      <c r="T31">
        <v>2.9673590509999999</v>
      </c>
      <c r="U31">
        <v>2</v>
      </c>
    </row>
    <row r="32" spans="1:27" x14ac:dyDescent="0.3">
      <c r="A32" t="s">
        <v>16</v>
      </c>
      <c r="B32" t="s">
        <v>17</v>
      </c>
      <c r="C32">
        <v>11.7</v>
      </c>
      <c r="D32">
        <f t="shared" si="0"/>
        <v>1</v>
      </c>
      <c r="E32">
        <v>12.2</v>
      </c>
      <c r="F32">
        <v>12.2</v>
      </c>
      <c r="G32">
        <v>500</v>
      </c>
      <c r="H32">
        <v>1</v>
      </c>
      <c r="I32">
        <v>4</v>
      </c>
      <c r="J32">
        <v>8.1273417210000005</v>
      </c>
      <c r="K32">
        <f t="shared" si="1"/>
        <v>0.69464459153846159</v>
      </c>
      <c r="L32">
        <f t="shared" si="2"/>
        <v>4491.4256879210534</v>
      </c>
      <c r="M32">
        <f t="shared" si="3"/>
        <v>2245.7128439605267</v>
      </c>
      <c r="N32">
        <f t="shared" si="4"/>
        <v>6663.8363334732194</v>
      </c>
      <c r="O32">
        <v>8.1273417210000005</v>
      </c>
      <c r="P32">
        <f t="shared" si="5"/>
        <v>3.8237243220808566</v>
      </c>
      <c r="Q32" s="1">
        <v>44365</v>
      </c>
      <c r="R32" t="s">
        <v>5</v>
      </c>
      <c r="S32">
        <v>15.6</v>
      </c>
      <c r="T32">
        <v>2.9673590509999999</v>
      </c>
      <c r="U32">
        <v>2</v>
      </c>
      <c r="V32">
        <f t="shared" si="6"/>
        <v>8754.4637219634951</v>
      </c>
      <c r="W32">
        <f t="shared" si="7"/>
        <v>11553.310248919799</v>
      </c>
      <c r="X32">
        <f t="shared" si="8"/>
        <v>6663.8363334732194</v>
      </c>
      <c r="Y32">
        <f t="shared" si="9"/>
        <v>2057.9795194195185</v>
      </c>
      <c r="Z32">
        <f t="shared" si="10"/>
        <v>1188.1750295235956</v>
      </c>
      <c r="AA32" s="3">
        <f t="shared" si="11"/>
        <v>-7.8810202118101218</v>
      </c>
    </row>
    <row r="33" spans="1:27" x14ac:dyDescent="0.3">
      <c r="A33" t="s">
        <v>18</v>
      </c>
      <c r="B33" t="s">
        <v>17</v>
      </c>
      <c r="C33">
        <v>11.8</v>
      </c>
      <c r="D33">
        <f t="shared" si="0"/>
        <v>1</v>
      </c>
      <c r="E33">
        <v>7.81</v>
      </c>
      <c r="F33">
        <v>7.81</v>
      </c>
      <c r="G33">
        <v>500</v>
      </c>
      <c r="H33">
        <v>2</v>
      </c>
      <c r="I33">
        <v>4</v>
      </c>
      <c r="J33">
        <v>14.09063724</v>
      </c>
      <c r="K33">
        <f t="shared" si="1"/>
        <v>1.1941217999999998</v>
      </c>
      <c r="L33">
        <f t="shared" si="2"/>
        <v>7786.9311063157884</v>
      </c>
      <c r="M33">
        <f t="shared" si="3"/>
        <v>3893.4655531578942</v>
      </c>
      <c r="N33">
        <f t="shared" si="4"/>
        <v>11553.310248919799</v>
      </c>
      <c r="O33">
        <v>14.09063724</v>
      </c>
      <c r="P33">
        <f t="shared" si="5"/>
        <v>4.062706435904909</v>
      </c>
      <c r="Q33" s="1">
        <v>44365</v>
      </c>
      <c r="R33" t="s">
        <v>5</v>
      </c>
      <c r="S33">
        <v>15.6</v>
      </c>
      <c r="T33">
        <v>2.9673590509999999</v>
      </c>
      <c r="U33">
        <v>2</v>
      </c>
    </row>
    <row r="34" spans="1:27" x14ac:dyDescent="0.3">
      <c r="A34" t="s">
        <v>19</v>
      </c>
      <c r="B34" t="s">
        <v>17</v>
      </c>
      <c r="C34">
        <v>11.3</v>
      </c>
      <c r="D34">
        <f t="shared" si="0"/>
        <v>1</v>
      </c>
      <c r="E34">
        <v>11.7</v>
      </c>
      <c r="F34">
        <v>11.7</v>
      </c>
      <c r="G34">
        <v>500</v>
      </c>
      <c r="H34">
        <v>1</v>
      </c>
      <c r="I34">
        <v>4</v>
      </c>
      <c r="J34">
        <v>9.8133531539999996</v>
      </c>
      <c r="K34">
        <f t="shared" si="1"/>
        <v>0.86843833221238931</v>
      </c>
      <c r="L34">
        <f t="shared" si="2"/>
        <v>5423.168848263158</v>
      </c>
      <c r="M34">
        <f t="shared" si="3"/>
        <v>2711.584424131579</v>
      </c>
      <c r="N34">
        <f t="shared" si="4"/>
        <v>8046.2445834974633</v>
      </c>
      <c r="O34">
        <v>9.8133531539999996</v>
      </c>
      <c r="P34">
        <f t="shared" si="5"/>
        <v>3.9055932297824563</v>
      </c>
      <c r="Q34" s="1">
        <v>44365</v>
      </c>
      <c r="R34" t="s">
        <v>5</v>
      </c>
      <c r="S34">
        <v>15.6</v>
      </c>
      <c r="T34">
        <v>2.9673590509999999</v>
      </c>
      <c r="U34">
        <v>2</v>
      </c>
    </row>
    <row r="35" spans="1:27" x14ac:dyDescent="0.3">
      <c r="A35" t="s">
        <v>6</v>
      </c>
      <c r="B35" t="s">
        <v>7</v>
      </c>
      <c r="C35">
        <v>22.6</v>
      </c>
      <c r="D35">
        <f t="shared" si="0"/>
        <v>4</v>
      </c>
      <c r="E35">
        <v>13.9</v>
      </c>
      <c r="F35">
        <v>55.6</v>
      </c>
      <c r="G35">
        <v>500</v>
      </c>
      <c r="H35">
        <v>1</v>
      </c>
      <c r="I35">
        <v>4</v>
      </c>
      <c r="J35">
        <v>14.92251012</v>
      </c>
      <c r="K35">
        <f t="shared" si="1"/>
        <v>0.6602880584070796</v>
      </c>
      <c r="L35">
        <f t="shared" si="2"/>
        <v>32986.60131789474</v>
      </c>
      <c r="M35">
        <f t="shared" si="3"/>
        <v>16493.30065894737</v>
      </c>
      <c r="N35">
        <f t="shared" si="4"/>
        <v>48941.544991191739</v>
      </c>
      <c r="O35">
        <v>14.92251012</v>
      </c>
      <c r="P35">
        <f t="shared" si="5"/>
        <v>4.6896776750803033</v>
      </c>
      <c r="Q35" s="1">
        <v>44396</v>
      </c>
      <c r="R35" t="s">
        <v>5</v>
      </c>
      <c r="S35">
        <v>17.190000000000001</v>
      </c>
      <c r="T35">
        <v>2.9673590509999999</v>
      </c>
      <c r="U35">
        <v>2</v>
      </c>
      <c r="V35">
        <f t="shared" si="6"/>
        <v>36336.555357110708</v>
      </c>
      <c r="W35">
        <f t="shared" si="7"/>
        <v>48941.544991191739</v>
      </c>
      <c r="X35">
        <f t="shared" si="8"/>
        <v>20493.018922534764</v>
      </c>
      <c r="Y35">
        <f t="shared" si="9"/>
        <v>11837.674262117842</v>
      </c>
      <c r="Z35">
        <f t="shared" si="10"/>
        <v>6834.484421812841</v>
      </c>
      <c r="AA35" s="2">
        <f t="shared" si="11"/>
        <v>0.95991097537412451</v>
      </c>
    </row>
    <row r="36" spans="1:27" x14ac:dyDescent="0.3">
      <c r="A36" t="s">
        <v>8</v>
      </c>
      <c r="B36" t="s">
        <v>7</v>
      </c>
      <c r="C36">
        <v>18.3</v>
      </c>
      <c r="D36">
        <f t="shared" si="0"/>
        <v>3.9912280701754383</v>
      </c>
      <c r="E36">
        <v>11.4</v>
      </c>
      <c r="F36">
        <v>45.5</v>
      </c>
      <c r="G36">
        <v>500</v>
      </c>
      <c r="H36">
        <v>2</v>
      </c>
      <c r="I36">
        <v>4</v>
      </c>
      <c r="J36">
        <v>12.09315718</v>
      </c>
      <c r="K36">
        <f t="shared" si="1"/>
        <v>0.66082826120218574</v>
      </c>
      <c r="L36">
        <f t="shared" si="2"/>
        <v>26673.618849238224</v>
      </c>
      <c r="M36">
        <f t="shared" si="3"/>
        <v>13336.809424619112</v>
      </c>
      <c r="N36">
        <f t="shared" si="4"/>
        <v>39575.102157605623</v>
      </c>
      <c r="O36">
        <v>12.09315718</v>
      </c>
      <c r="P36">
        <f t="shared" si="5"/>
        <v>4.5974220446064624</v>
      </c>
      <c r="Q36" s="1">
        <v>44396</v>
      </c>
      <c r="R36" t="s">
        <v>5</v>
      </c>
      <c r="S36">
        <v>17.190000000000001</v>
      </c>
      <c r="T36">
        <v>2.9673590509999999</v>
      </c>
      <c r="U36">
        <v>2</v>
      </c>
    </row>
    <row r="37" spans="1:27" x14ac:dyDescent="0.3">
      <c r="A37" t="s">
        <v>9</v>
      </c>
      <c r="B37" t="s">
        <v>7</v>
      </c>
      <c r="C37">
        <v>23</v>
      </c>
      <c r="D37">
        <f t="shared" si="0"/>
        <v>3.9854014598540148</v>
      </c>
      <c r="E37">
        <v>13.7</v>
      </c>
      <c r="F37">
        <v>54.6</v>
      </c>
      <c r="G37">
        <v>500</v>
      </c>
      <c r="H37">
        <v>1</v>
      </c>
      <c r="I37">
        <v>4</v>
      </c>
      <c r="J37">
        <v>6.2713070359999996</v>
      </c>
      <c r="K37">
        <f t="shared" si="1"/>
        <v>0.27266552330434779</v>
      </c>
      <c r="L37">
        <f t="shared" si="2"/>
        <v>13812.294751205533</v>
      </c>
      <c r="M37">
        <f t="shared" si="3"/>
        <v>6906.1473756027663</v>
      </c>
      <c r="N37">
        <f t="shared" si="4"/>
        <v>20493.018922534764</v>
      </c>
      <c r="O37">
        <v>6.2713070359999996</v>
      </c>
      <c r="P37">
        <f t="shared" si="5"/>
        <v>4.3116059410669418</v>
      </c>
      <c r="Q37" s="1">
        <v>44396</v>
      </c>
      <c r="R37" t="s">
        <v>5</v>
      </c>
      <c r="S37">
        <v>17.190000000000001</v>
      </c>
      <c r="T37">
        <v>2.9673590509999999</v>
      </c>
      <c r="U37">
        <v>2</v>
      </c>
    </row>
    <row r="38" spans="1:27" x14ac:dyDescent="0.3">
      <c r="A38" t="s">
        <v>68</v>
      </c>
      <c r="B38" t="s">
        <v>74</v>
      </c>
      <c r="C38">
        <f>AVERAGE(C2:C37)</f>
        <v>20.745833333333334</v>
      </c>
      <c r="D38">
        <f t="shared" si="0"/>
        <v>6.091617086042973</v>
      </c>
      <c r="E38">
        <f>AVERAGE(E2:E37)</f>
        <v>14.053055555555554</v>
      </c>
      <c r="F38">
        <f>AVERAGE(F2:F37)</f>
        <v>85.605833333333337</v>
      </c>
      <c r="G38">
        <v>500</v>
      </c>
      <c r="H38" t="s">
        <v>74</v>
      </c>
      <c r="I38">
        <v>4</v>
      </c>
      <c r="J38">
        <v>5</v>
      </c>
      <c r="K38">
        <f t="shared" si="1"/>
        <v>0.24101225145611568</v>
      </c>
      <c r="L38">
        <f t="shared" si="2"/>
        <v>16832.099843013479</v>
      </c>
      <c r="M38">
        <f t="shared" si="3"/>
        <v>8416.0499215067393</v>
      </c>
      <c r="N38">
        <f t="shared" si="4"/>
        <v>24973.441908250861</v>
      </c>
      <c r="O38">
        <v>5</v>
      </c>
      <c r="P38">
        <f t="shared" si="5"/>
        <v>4.3974784021329656</v>
      </c>
      <c r="Q38" t="s">
        <v>74</v>
      </c>
      <c r="R38" t="s">
        <v>74</v>
      </c>
      <c r="S38" t="s">
        <v>74</v>
      </c>
      <c r="T38">
        <v>2.9673590509999999</v>
      </c>
      <c r="U38">
        <v>2</v>
      </c>
    </row>
  </sheetData>
  <sortState xmlns:xlrd2="http://schemas.microsoft.com/office/spreadsheetml/2017/richdata2" ref="A2:U38">
    <sortCondition ref="R2:R38"/>
    <sortCondition ref="Q2:Q3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4DF0D-62B1-4420-B282-59B074296176}">
  <dimension ref="A1:AG115"/>
  <sheetViews>
    <sheetView topLeftCell="K1" workbookViewId="0">
      <selection activeCell="AB26" sqref="AB26"/>
    </sheetView>
  </sheetViews>
  <sheetFormatPr defaultRowHeight="14.4" x14ac:dyDescent="0.3"/>
  <cols>
    <col min="1" max="1" width="12.109375" customWidth="1"/>
    <col min="8" max="8" width="17.5546875" customWidth="1"/>
    <col min="10" max="10" width="5.5546875" customWidth="1"/>
    <col min="11" max="11" width="9.33203125" customWidth="1"/>
    <col min="12" max="12" width="12" customWidth="1"/>
  </cols>
  <sheetData>
    <row r="1" spans="1:33" x14ac:dyDescent="0.3">
      <c r="A1" t="s">
        <v>0</v>
      </c>
      <c r="B1" t="s">
        <v>72</v>
      </c>
      <c r="C1" t="s">
        <v>71</v>
      </c>
      <c r="D1" t="s">
        <v>65</v>
      </c>
      <c r="E1" t="s">
        <v>66</v>
      </c>
      <c r="F1" t="s">
        <v>54</v>
      </c>
      <c r="G1" t="s">
        <v>55</v>
      </c>
      <c r="H1" t="s">
        <v>70</v>
      </c>
      <c r="I1" t="s">
        <v>57</v>
      </c>
      <c r="J1" t="s">
        <v>67</v>
      </c>
      <c r="K1" t="s">
        <v>75</v>
      </c>
      <c r="L1" t="s">
        <v>58</v>
      </c>
      <c r="M1" t="s">
        <v>59</v>
      </c>
      <c r="N1" t="s">
        <v>60</v>
      </c>
      <c r="O1" t="s">
        <v>61</v>
      </c>
      <c r="P1" t="s">
        <v>76</v>
      </c>
      <c r="Q1" t="s">
        <v>77</v>
      </c>
      <c r="R1" t="s">
        <v>78</v>
      </c>
      <c r="S1" t="s">
        <v>79</v>
      </c>
      <c r="T1" t="s">
        <v>80</v>
      </c>
      <c r="U1" t="s">
        <v>69</v>
      </c>
      <c r="V1" t="s">
        <v>87</v>
      </c>
      <c r="W1" t="s">
        <v>88</v>
      </c>
      <c r="X1" t="s">
        <v>89</v>
      </c>
      <c r="Y1" t="s">
        <v>90</v>
      </c>
      <c r="Z1" t="s">
        <v>91</v>
      </c>
      <c r="AA1" t="s">
        <v>92</v>
      </c>
      <c r="AB1" t="s">
        <v>93</v>
      </c>
      <c r="AC1" t="s">
        <v>94</v>
      </c>
      <c r="AD1" t="s">
        <v>95</v>
      </c>
      <c r="AE1" t="s">
        <v>96</v>
      </c>
      <c r="AF1" t="s">
        <v>97</v>
      </c>
      <c r="AG1" t="s">
        <v>98</v>
      </c>
    </row>
    <row r="2" spans="1:33" x14ac:dyDescent="0.3">
      <c r="A2" t="s">
        <v>3</v>
      </c>
      <c r="B2">
        <v>34.718106580284498</v>
      </c>
      <c r="C2">
        <v>8.2412484577515563</v>
      </c>
      <c r="D2">
        <v>15.1</v>
      </c>
      <c r="E2">
        <v>117</v>
      </c>
      <c r="F2">
        <v>500</v>
      </c>
      <c r="G2">
        <v>3.9123000000000001</v>
      </c>
      <c r="H2">
        <v>7.6840974040000001</v>
      </c>
      <c r="I2">
        <v>2.9673590509999999</v>
      </c>
      <c r="J2">
        <v>2</v>
      </c>
      <c r="K2">
        <v>10</v>
      </c>
      <c r="L2">
        <f>C2/D2</f>
        <v>0.54577804355970572</v>
      </c>
      <c r="M2">
        <f>L2*(D2*105/0.95)*(500/100*K2)</f>
        <v>45543.741477048075</v>
      </c>
      <c r="N2">
        <f>M2*J2/G2</f>
        <v>23282.33595432256</v>
      </c>
      <c r="O2">
        <f>N2*I2</f>
        <v>69087.050322481766</v>
      </c>
      <c r="P2">
        <f>AVERAGE(O2:O4)</f>
        <v>64416.408115789374</v>
      </c>
      <c r="Q2">
        <f>MAX(O2:O4)</f>
        <v>70523.913532720893</v>
      </c>
      <c r="R2">
        <f>MIN(O2:O4)</f>
        <v>53638.260492165457</v>
      </c>
      <c r="S2">
        <f>_xlfn.STDEV.P(O2:O4)</f>
        <v>7643.8425598083859</v>
      </c>
      <c r="T2">
        <f>S2/SQRT(COUNT(O2:O4))</f>
        <v>4413.1745595484899</v>
      </c>
      <c r="U2">
        <f>(P2-24973.44)/S2</f>
        <v>5.1600968762991011</v>
      </c>
      <c r="V2">
        <f>AVERAGE(C2:C4)</f>
        <v>7.6840974040744641</v>
      </c>
      <c r="W2">
        <f>MAX(C2:C4)</f>
        <v>8.4126488382875557</v>
      </c>
      <c r="X2">
        <f>MIN(C2:C4)</f>
        <v>6.3983949161842784</v>
      </c>
      <c r="Y2">
        <f>_xlfn.STDEV.P(C2:C4)</f>
        <v>0.91181785028122908</v>
      </c>
      <c r="Z2">
        <f>Y2/SQRT(COUNT(C2:C4))</f>
        <v>0.5264382813117735</v>
      </c>
      <c r="AA2">
        <f>(V2-5)/Y2</f>
        <v>2.9436771864540887</v>
      </c>
      <c r="AB2">
        <f>AVERAGE(L2:L4)</f>
        <v>0.50888062278638835</v>
      </c>
      <c r="AC2">
        <f>MAX(L2:L4)</f>
        <v>0.55712906213824875</v>
      </c>
      <c r="AD2">
        <f>MIN(L2:L4)</f>
        <v>0.42373476266121052</v>
      </c>
      <c r="AE2">
        <f>_xlfn.STDEV.P(L2:L4)</f>
        <v>6.0385288098094424E-2</v>
      </c>
      <c r="AF2">
        <f>AE2/SQRT(COUNT(L2:L4))</f>
        <v>3.4863462338527926E-2</v>
      </c>
      <c r="AG2">
        <f>(AB2-0.241416882)/AE2</f>
        <v>4.4292864903103562</v>
      </c>
    </row>
    <row r="3" spans="1:33" x14ac:dyDescent="0.3">
      <c r="A3" t="s">
        <v>3</v>
      </c>
      <c r="B3">
        <v>35.095558386944603</v>
      </c>
      <c r="C3">
        <v>6.3983949161842784</v>
      </c>
      <c r="D3">
        <v>15.1</v>
      </c>
      <c r="E3">
        <v>117</v>
      </c>
      <c r="F3">
        <v>500</v>
      </c>
      <c r="G3">
        <v>3.9123000000000001</v>
      </c>
      <c r="H3">
        <v>7.6840974040000001</v>
      </c>
      <c r="I3">
        <v>2.9673590509999999</v>
      </c>
      <c r="J3">
        <v>2</v>
      </c>
      <c r="K3">
        <v>10</v>
      </c>
      <c r="L3">
        <f t="shared" ref="L3:L66" si="0">C3/D3</f>
        <v>0.42373476266121052</v>
      </c>
      <c r="M3">
        <f t="shared" ref="M3:M66" si="1">L3*(D3*105/0.95)*(500/100*K3)</f>
        <v>35359.550852597335</v>
      </c>
      <c r="N3">
        <f t="shared" ref="N3:N66" si="2">M3*J3/G3</f>
        <v>18076.093782479529</v>
      </c>
      <c r="O3">
        <f t="shared" ref="O3:O66" si="3">N3*I3</f>
        <v>53638.260492165457</v>
      </c>
    </row>
    <row r="4" spans="1:33" x14ac:dyDescent="0.3">
      <c r="A4" t="s">
        <v>3</v>
      </c>
      <c r="B4">
        <v>34.687409111707701</v>
      </c>
      <c r="C4">
        <v>8.4126488382875557</v>
      </c>
      <c r="D4">
        <v>15.1</v>
      </c>
      <c r="E4">
        <v>117</v>
      </c>
      <c r="F4">
        <v>500</v>
      </c>
      <c r="G4">
        <v>3.9123000000000001</v>
      </c>
      <c r="H4">
        <v>7.6840974040000001</v>
      </c>
      <c r="I4">
        <v>2.9673590509999999</v>
      </c>
      <c r="J4">
        <v>2</v>
      </c>
      <c r="K4">
        <v>10</v>
      </c>
      <c r="L4">
        <f t="shared" si="0"/>
        <v>0.55712906213824875</v>
      </c>
      <c r="M4">
        <f t="shared" si="1"/>
        <v>46490.954106325975</v>
      </c>
      <c r="N4">
        <f t="shared" si="2"/>
        <v>23766.558856082596</v>
      </c>
      <c r="O4">
        <f t="shared" si="3"/>
        <v>70523.913532720893</v>
      </c>
    </row>
    <row r="5" spans="1:33" x14ac:dyDescent="0.3">
      <c r="A5" t="s">
        <v>6</v>
      </c>
      <c r="B5">
        <v>34.131537207333899</v>
      </c>
      <c r="C5">
        <v>12.212777376872166</v>
      </c>
      <c r="D5">
        <v>22.6</v>
      </c>
      <c r="E5">
        <v>55.6</v>
      </c>
      <c r="F5">
        <v>500</v>
      </c>
      <c r="G5">
        <v>4</v>
      </c>
      <c r="H5">
        <v>14.92251012</v>
      </c>
      <c r="I5">
        <v>2.9673590509999999</v>
      </c>
      <c r="J5">
        <v>2</v>
      </c>
      <c r="K5">
        <v>4</v>
      </c>
      <c r="L5">
        <f t="shared" si="0"/>
        <v>0.54038837950761798</v>
      </c>
      <c r="M5">
        <f t="shared" si="1"/>
        <v>26996.665780454263</v>
      </c>
      <c r="N5">
        <f t="shared" si="2"/>
        <v>13498.332890227131</v>
      </c>
      <c r="O5">
        <f t="shared" si="3"/>
        <v>40054.400275226464</v>
      </c>
      <c r="P5">
        <f t="shared" ref="P5:P64" si="4">AVERAGE(O5:O7)</f>
        <v>48941.545006021683</v>
      </c>
      <c r="Q5">
        <f t="shared" ref="Q5:Q64" si="5">MAX(O5:O7)</f>
        <v>59711.077717022199</v>
      </c>
      <c r="R5">
        <f t="shared" ref="R5:R64" si="6">MIN(O5:O7)</f>
        <v>40054.400275226464</v>
      </c>
      <c r="S5">
        <f t="shared" ref="S5:S64" si="7">_xlfn.STDEV.P(O5:O7)</f>
        <v>8134.4444757551637</v>
      </c>
      <c r="T5">
        <f t="shared" ref="T5:T64" si="8">S5/SQRT(COUNT(O5:O7))</f>
        <v>4696.4237077853086</v>
      </c>
      <c r="U5">
        <f t="shared" ref="U5:U64" si="9">(P5-24973.44)/S5</f>
        <v>2.9464956184111881</v>
      </c>
      <c r="V5">
        <f t="shared" ref="V5:V64" si="10">AVERAGE(C5:C7)</f>
        <v>14.922510124521722</v>
      </c>
      <c r="W5">
        <f t="shared" ref="W5:W64" si="11">MAX(C5:C7)</f>
        <v>18.206191930980832</v>
      </c>
      <c r="X5">
        <f t="shared" ref="X5:X64" si="12">MIN(C5:C7)</f>
        <v>12.212777376872166</v>
      </c>
      <c r="Y5">
        <f t="shared" ref="Y5:Y64" si="13">_xlfn.STDEV.P(C5:C7)</f>
        <v>2.4802308556438466</v>
      </c>
      <c r="Z5">
        <f t="shared" ref="Z5:Z64" si="14">Y5/SQRT(COUNT(C5:C7))</f>
        <v>1.4319619521583908</v>
      </c>
      <c r="AA5">
        <f t="shared" ref="AA5:AA64" si="15">(V5-5)/Y5</f>
        <v>4.0006397396204969</v>
      </c>
      <c r="AB5">
        <f t="shared" ref="AB5:AB64" si="16">AVERAGE(L5:L7)</f>
        <v>0.66028805860715589</v>
      </c>
      <c r="AC5">
        <f t="shared" ref="AC5:AC64" si="17">MAX(L5:L7)</f>
        <v>0.80558371376021376</v>
      </c>
      <c r="AD5">
        <f t="shared" ref="AD5:AD64" si="18">MIN(L5:L7)</f>
        <v>0.54038837950761798</v>
      </c>
      <c r="AE5">
        <f t="shared" ref="AE5:AE64" si="19">_xlfn.STDEV.P(L5:L7)</f>
        <v>0.10974472812583344</v>
      </c>
      <c r="AF5">
        <f t="shared" ref="AF5:AF64" si="20">AE5/SQRT(COUNT(L5:L7))</f>
        <v>6.336114832559224E-2</v>
      </c>
      <c r="AG5">
        <f t="shared" ref="AG5:AG64" si="21">(AB5-0.241416882)/AE5</f>
        <v>3.816777204339854</v>
      </c>
    </row>
    <row r="6" spans="1:33" x14ac:dyDescent="0.3">
      <c r="A6" t="s">
        <v>6</v>
      </c>
      <c r="B6">
        <v>33.536097452602398</v>
      </c>
      <c r="C6">
        <v>18.206191930980832</v>
      </c>
      <c r="D6">
        <v>22.6</v>
      </c>
      <c r="E6">
        <v>55.6</v>
      </c>
      <c r="F6">
        <v>500</v>
      </c>
      <c r="G6">
        <v>4</v>
      </c>
      <c r="H6">
        <v>14.92251012</v>
      </c>
      <c r="I6">
        <v>2.9673590509999999</v>
      </c>
      <c r="J6">
        <v>2</v>
      </c>
      <c r="K6">
        <v>4</v>
      </c>
      <c r="L6">
        <f t="shared" si="0"/>
        <v>0.80558371376021376</v>
      </c>
      <c r="M6">
        <f t="shared" si="1"/>
        <v>40245.266373747101</v>
      </c>
      <c r="N6">
        <f t="shared" si="2"/>
        <v>20122.633186873551</v>
      </c>
      <c r="O6">
        <f t="shared" si="3"/>
        <v>59711.077717022199</v>
      </c>
    </row>
    <row r="7" spans="1:33" x14ac:dyDescent="0.3">
      <c r="A7" t="s">
        <v>6</v>
      </c>
      <c r="B7">
        <v>33.891190998668797</v>
      </c>
      <c r="C7">
        <v>14.348561065712166</v>
      </c>
      <c r="D7">
        <v>22.6</v>
      </c>
      <c r="E7">
        <v>55.6</v>
      </c>
      <c r="F7">
        <v>500</v>
      </c>
      <c r="G7">
        <v>4</v>
      </c>
      <c r="H7">
        <v>14.92251012</v>
      </c>
      <c r="I7">
        <v>2.9673590509999999</v>
      </c>
      <c r="J7">
        <v>2</v>
      </c>
      <c r="K7">
        <v>4</v>
      </c>
      <c r="L7">
        <f t="shared" si="0"/>
        <v>0.63489208255363561</v>
      </c>
      <c r="M7">
        <f t="shared" si="1"/>
        <v>31717.871829469001</v>
      </c>
      <c r="N7">
        <f t="shared" si="2"/>
        <v>15858.9359147345</v>
      </c>
      <c r="O7">
        <f t="shared" si="3"/>
        <v>47059.157025816385</v>
      </c>
    </row>
    <row r="8" spans="1:33" x14ac:dyDescent="0.3">
      <c r="A8" t="s">
        <v>8</v>
      </c>
      <c r="B8">
        <v>34.143670758334601</v>
      </c>
      <c r="C8">
        <v>10.400251886406799</v>
      </c>
      <c r="D8">
        <v>18.3</v>
      </c>
      <c r="E8">
        <v>45.5</v>
      </c>
      <c r="F8">
        <v>500</v>
      </c>
      <c r="G8">
        <v>4</v>
      </c>
      <c r="H8">
        <v>12.09315718</v>
      </c>
      <c r="I8">
        <v>2.9673590509999999</v>
      </c>
      <c r="J8">
        <v>2</v>
      </c>
      <c r="K8">
        <v>3.9912280701754383</v>
      </c>
      <c r="L8">
        <f t="shared" si="0"/>
        <v>0.56831977521348631</v>
      </c>
      <c r="M8">
        <f t="shared" si="1"/>
        <v>22939.613752219986</v>
      </c>
      <c r="N8">
        <f t="shared" si="2"/>
        <v>11469.806876109993</v>
      </c>
      <c r="O8">
        <f t="shared" si="3"/>
        <v>34035.035247047024</v>
      </c>
      <c r="P8">
        <f t="shared" si="4"/>
        <v>39575.102152874875</v>
      </c>
      <c r="Q8">
        <f t="shared" si="5"/>
        <v>43912.442515665716</v>
      </c>
      <c r="R8">
        <f t="shared" si="6"/>
        <v>34035.035247047024</v>
      </c>
      <c r="S8">
        <f t="shared" si="7"/>
        <v>4121.1411801857312</v>
      </c>
      <c r="T8">
        <f t="shared" si="8"/>
        <v>2379.3419697486838</v>
      </c>
      <c r="U8">
        <f t="shared" si="9"/>
        <v>3.5431113651429942</v>
      </c>
      <c r="V8">
        <f t="shared" si="10"/>
        <v>12.093157178554399</v>
      </c>
      <c r="W8">
        <f t="shared" si="11"/>
        <v>13.418539448990501</v>
      </c>
      <c r="X8">
        <f t="shared" si="12"/>
        <v>10.400251886406799</v>
      </c>
      <c r="Y8">
        <f t="shared" si="13"/>
        <v>1.2593172306790834</v>
      </c>
      <c r="Z8">
        <f t="shared" si="14"/>
        <v>0.72706714212770285</v>
      </c>
      <c r="AA8">
        <f t="shared" si="15"/>
        <v>5.6325419884308525</v>
      </c>
      <c r="AB8">
        <f t="shared" si="16"/>
        <v>0.66082826112319126</v>
      </c>
      <c r="AC8">
        <f t="shared" si="17"/>
        <v>0.7332535218027596</v>
      </c>
      <c r="AD8">
        <f t="shared" si="18"/>
        <v>0.56831977521348631</v>
      </c>
      <c r="AE8">
        <f t="shared" si="19"/>
        <v>6.8815149217435465E-2</v>
      </c>
      <c r="AF8">
        <f t="shared" si="20"/>
        <v>3.9730444925010634E-2</v>
      </c>
      <c r="AG8">
        <f t="shared" si="21"/>
        <v>6.094753610109537</v>
      </c>
    </row>
    <row r="9" spans="1:33" x14ac:dyDescent="0.3">
      <c r="A9" t="s">
        <v>8</v>
      </c>
      <c r="B9">
        <v>33.7773715807092</v>
      </c>
      <c r="C9">
        <v>13.418539448990501</v>
      </c>
      <c r="D9">
        <v>18.3</v>
      </c>
      <c r="E9">
        <v>45.5</v>
      </c>
      <c r="F9">
        <v>500</v>
      </c>
      <c r="G9">
        <v>4</v>
      </c>
      <c r="H9">
        <v>12.09315718</v>
      </c>
      <c r="I9">
        <v>2.9673590509999999</v>
      </c>
      <c r="J9">
        <v>2</v>
      </c>
      <c r="K9">
        <v>3.9912280701754383</v>
      </c>
      <c r="L9">
        <f t="shared" si="0"/>
        <v>0.7332535218027596</v>
      </c>
      <c r="M9">
        <f t="shared" si="1"/>
        <v>29596.98625002406</v>
      </c>
      <c r="N9">
        <f t="shared" si="2"/>
        <v>14798.49312501203</v>
      </c>
      <c r="O9">
        <f t="shared" si="3"/>
        <v>43912.442515665716</v>
      </c>
    </row>
    <row r="10" spans="1:33" x14ac:dyDescent="0.3">
      <c r="A10" t="s">
        <v>8</v>
      </c>
      <c r="B10">
        <v>33.883835656478702</v>
      </c>
      <c r="C10">
        <v>12.4606802002659</v>
      </c>
      <c r="D10">
        <v>18.3</v>
      </c>
      <c r="E10">
        <v>45.5</v>
      </c>
      <c r="F10">
        <v>500</v>
      </c>
      <c r="G10">
        <v>4</v>
      </c>
      <c r="H10">
        <v>12.09315718</v>
      </c>
      <c r="I10">
        <v>2.9673590509999999</v>
      </c>
      <c r="J10">
        <v>2</v>
      </c>
      <c r="K10">
        <v>3.9912280701754383</v>
      </c>
      <c r="L10">
        <f t="shared" si="0"/>
        <v>0.68091148635332788</v>
      </c>
      <c r="M10">
        <f t="shared" si="1"/>
        <v>27484.25653590505</v>
      </c>
      <c r="N10">
        <f t="shared" si="2"/>
        <v>13742.128267952525</v>
      </c>
      <c r="O10">
        <f t="shared" si="3"/>
        <v>40777.828695911878</v>
      </c>
    </row>
    <row r="11" spans="1:33" x14ac:dyDescent="0.3">
      <c r="A11" t="s">
        <v>9</v>
      </c>
      <c r="B11">
        <v>35.019173040007701</v>
      </c>
      <c r="C11">
        <v>6.7346661786532218</v>
      </c>
      <c r="D11">
        <v>23</v>
      </c>
      <c r="E11">
        <v>54.6</v>
      </c>
      <c r="F11">
        <v>500</v>
      </c>
      <c r="G11">
        <v>4</v>
      </c>
      <c r="H11">
        <v>6.2713070359999996</v>
      </c>
      <c r="I11">
        <v>2.9673590509999999</v>
      </c>
      <c r="J11">
        <v>2</v>
      </c>
      <c r="K11">
        <v>3.9854014598540148</v>
      </c>
      <c r="L11">
        <f t="shared" si="0"/>
        <v>0.29281157298492266</v>
      </c>
      <c r="M11">
        <f t="shared" si="1"/>
        <v>14832.824126860898</v>
      </c>
      <c r="N11">
        <f t="shared" si="2"/>
        <v>7416.4120634304491</v>
      </c>
      <c r="O11">
        <f t="shared" si="3"/>
        <v>22007.157462365929</v>
      </c>
      <c r="P11">
        <f t="shared" si="4"/>
        <v>20493.018920907609</v>
      </c>
      <c r="Q11">
        <f t="shared" si="5"/>
        <v>22007.157462365929</v>
      </c>
      <c r="R11">
        <f t="shared" si="6"/>
        <v>19730.476981754389</v>
      </c>
      <c r="S11">
        <f t="shared" si="7"/>
        <v>1070.6669547986826</v>
      </c>
      <c r="T11">
        <f t="shared" si="8"/>
        <v>618.14985456545628</v>
      </c>
      <c r="U11" s="3">
        <f t="shared" si="9"/>
        <v>-4.1847010025025408</v>
      </c>
      <c r="V11">
        <f t="shared" si="10"/>
        <v>6.2713070355020548</v>
      </c>
      <c r="W11">
        <f t="shared" si="11"/>
        <v>6.7346661786532218</v>
      </c>
      <c r="X11">
        <f t="shared" si="12"/>
        <v>6.0379527090197769</v>
      </c>
      <c r="Y11">
        <f t="shared" si="13"/>
        <v>0.32764724573880272</v>
      </c>
      <c r="Z11">
        <f t="shared" si="14"/>
        <v>0.18916722552653722</v>
      </c>
      <c r="AA11">
        <f t="shared" si="15"/>
        <v>3.880109025898935</v>
      </c>
      <c r="AB11">
        <f t="shared" si="16"/>
        <v>0.272665523282698</v>
      </c>
      <c r="AC11">
        <f t="shared" si="17"/>
        <v>0.29281157298492266</v>
      </c>
      <c r="AD11">
        <f t="shared" si="18"/>
        <v>0.26251968300085987</v>
      </c>
      <c r="AE11">
        <f t="shared" si="19"/>
        <v>1.4245532423426199E-2</v>
      </c>
      <c r="AF11">
        <f t="shared" si="20"/>
        <v>8.2246619794146582E-3</v>
      </c>
      <c r="AG11">
        <f t="shared" si="21"/>
        <v>2.1935748242944491</v>
      </c>
    </row>
    <row r="12" spans="1:33" x14ac:dyDescent="0.3">
      <c r="A12" t="s">
        <v>9</v>
      </c>
      <c r="B12">
        <v>35.181199405530897</v>
      </c>
      <c r="C12">
        <v>6.0413022188331666</v>
      </c>
      <c r="D12">
        <v>23</v>
      </c>
      <c r="E12">
        <v>54.6</v>
      </c>
      <c r="F12">
        <v>500</v>
      </c>
      <c r="G12">
        <v>4</v>
      </c>
      <c r="H12">
        <v>6.2713070359999996</v>
      </c>
      <c r="I12">
        <v>2.9673590509999999</v>
      </c>
      <c r="J12">
        <v>2</v>
      </c>
      <c r="K12">
        <v>3.9854014598540148</v>
      </c>
      <c r="L12">
        <f t="shared" si="0"/>
        <v>0.26266531386231157</v>
      </c>
      <c r="M12">
        <f t="shared" si="1"/>
        <v>13305.718640249921</v>
      </c>
      <c r="N12">
        <f t="shared" si="2"/>
        <v>6652.8593201249605</v>
      </c>
      <c r="O12">
        <f t="shared" si="3"/>
        <v>19741.422318602508</v>
      </c>
    </row>
    <row r="13" spans="1:33" x14ac:dyDescent="0.3">
      <c r="A13" t="s">
        <v>9</v>
      </c>
      <c r="B13">
        <v>35.182026456829199</v>
      </c>
      <c r="C13">
        <v>6.0379527090197769</v>
      </c>
      <c r="D13">
        <v>23</v>
      </c>
      <c r="E13">
        <v>54.6</v>
      </c>
      <c r="F13">
        <v>500</v>
      </c>
      <c r="G13">
        <v>4</v>
      </c>
      <c r="H13">
        <v>6.2713070359999996</v>
      </c>
      <c r="I13">
        <v>2.9673590509999999</v>
      </c>
      <c r="J13">
        <v>2</v>
      </c>
      <c r="K13">
        <v>3.9854014598540148</v>
      </c>
      <c r="L13">
        <f t="shared" si="0"/>
        <v>0.26251968300085987</v>
      </c>
      <c r="M13">
        <f t="shared" si="1"/>
        <v>13298.341483215669</v>
      </c>
      <c r="N13">
        <f t="shared" si="2"/>
        <v>6649.1707416078343</v>
      </c>
      <c r="O13">
        <f t="shared" si="3"/>
        <v>19730.476981754389</v>
      </c>
    </row>
    <row r="14" spans="1:33" x14ac:dyDescent="0.3">
      <c r="A14" t="s">
        <v>10</v>
      </c>
      <c r="B14">
        <v>32.102765841060702</v>
      </c>
      <c r="C14">
        <v>47.603146495973775</v>
      </c>
      <c r="D14">
        <v>16.2</v>
      </c>
      <c r="E14">
        <v>124</v>
      </c>
      <c r="F14">
        <v>500</v>
      </c>
      <c r="G14">
        <v>4.0364000000000004</v>
      </c>
      <c r="H14">
        <v>43.04557922</v>
      </c>
      <c r="I14">
        <v>2.9673590509999999</v>
      </c>
      <c r="J14">
        <v>2</v>
      </c>
      <c r="K14">
        <v>10</v>
      </c>
      <c r="L14">
        <f t="shared" si="0"/>
        <v>2.938465833084801</v>
      </c>
      <c r="M14">
        <f t="shared" si="1"/>
        <v>263070.02010932879</v>
      </c>
      <c r="N14">
        <f t="shared" si="2"/>
        <v>130348.83565024713</v>
      </c>
      <c r="O14">
        <f t="shared" si="3"/>
        <v>386791.79725407227</v>
      </c>
      <c r="P14">
        <f t="shared" si="4"/>
        <v>349760.00911353086</v>
      </c>
      <c r="Q14">
        <f t="shared" si="5"/>
        <v>386791.79725407227</v>
      </c>
      <c r="R14">
        <f t="shared" si="6"/>
        <v>318977.77965025697</v>
      </c>
      <c r="S14">
        <f t="shared" si="7"/>
        <v>28035.429770656276</v>
      </c>
      <c r="T14">
        <f t="shared" si="8"/>
        <v>16186.26292493525</v>
      </c>
      <c r="U14">
        <f t="shared" si="9"/>
        <v>11.584861433209554</v>
      </c>
      <c r="V14">
        <f t="shared" si="10"/>
        <v>43.045579224959226</v>
      </c>
      <c r="W14">
        <f t="shared" si="11"/>
        <v>47.603146495973775</v>
      </c>
      <c r="X14">
        <f t="shared" si="12"/>
        <v>39.257156127531502</v>
      </c>
      <c r="Y14">
        <f t="shared" si="13"/>
        <v>3.4503696301850257</v>
      </c>
      <c r="Z14">
        <f t="shared" si="14"/>
        <v>1.9920718347910342</v>
      </c>
      <c r="AA14">
        <f t="shared" si="15"/>
        <v>11.026522750526016</v>
      </c>
      <c r="AB14">
        <f t="shared" si="16"/>
        <v>2.6571345200592109</v>
      </c>
      <c r="AC14">
        <f t="shared" si="17"/>
        <v>2.938465833084801</v>
      </c>
      <c r="AD14">
        <f t="shared" si="18"/>
        <v>2.4232812424402161</v>
      </c>
      <c r="AE14">
        <f t="shared" si="19"/>
        <v>0.21298577964105103</v>
      </c>
      <c r="AF14">
        <f t="shared" si="20"/>
        <v>0.12296739720932313</v>
      </c>
      <c r="AG14">
        <f t="shared" si="21"/>
        <v>11.342154589524547</v>
      </c>
    </row>
    <row r="15" spans="1:33" x14ac:dyDescent="0.3">
      <c r="A15" t="s">
        <v>10</v>
      </c>
      <c r="B15">
        <v>32.390234014616397</v>
      </c>
      <c r="C15">
        <v>39.257156127531502</v>
      </c>
      <c r="D15">
        <v>16.2</v>
      </c>
      <c r="E15">
        <v>124</v>
      </c>
      <c r="F15">
        <v>500</v>
      </c>
      <c r="G15">
        <v>4.0364000000000004</v>
      </c>
      <c r="H15">
        <v>43.04557922</v>
      </c>
      <c r="I15">
        <v>2.9673590509999999</v>
      </c>
      <c r="J15">
        <v>2</v>
      </c>
      <c r="K15">
        <v>10</v>
      </c>
      <c r="L15">
        <f t="shared" si="0"/>
        <v>2.4232812424402161</v>
      </c>
      <c r="M15">
        <f t="shared" si="1"/>
        <v>216947.44175741094</v>
      </c>
      <c r="N15">
        <f t="shared" si="2"/>
        <v>107495.51172203493</v>
      </c>
      <c r="O15">
        <f t="shared" si="3"/>
        <v>318977.77965025697</v>
      </c>
    </row>
    <row r="16" spans="1:33" x14ac:dyDescent="0.3">
      <c r="A16" t="s">
        <v>10</v>
      </c>
      <c r="B16">
        <v>32.279735452298198</v>
      </c>
      <c r="C16">
        <v>42.276435051372388</v>
      </c>
      <c r="D16">
        <v>16.2</v>
      </c>
      <c r="E16">
        <v>124</v>
      </c>
      <c r="F16">
        <v>500</v>
      </c>
      <c r="G16">
        <v>4.0364000000000004</v>
      </c>
      <c r="H16">
        <v>43.04557922</v>
      </c>
      <c r="I16">
        <v>2.9673590509999999</v>
      </c>
      <c r="J16">
        <v>2</v>
      </c>
      <c r="K16">
        <v>10</v>
      </c>
      <c r="L16">
        <f t="shared" si="0"/>
        <v>2.6096564846526165</v>
      </c>
      <c r="M16">
        <f t="shared" si="1"/>
        <v>233632.93054705791</v>
      </c>
      <c r="N16">
        <f t="shared" si="2"/>
        <v>115763.02177537305</v>
      </c>
      <c r="O16">
        <f t="shared" si="3"/>
        <v>343510.45043626329</v>
      </c>
    </row>
    <row r="17" spans="1:33" x14ac:dyDescent="0.3">
      <c r="A17" t="s">
        <v>11</v>
      </c>
      <c r="B17">
        <v>33.399450367871196</v>
      </c>
      <c r="C17">
        <v>17.453307088962799</v>
      </c>
      <c r="D17">
        <v>18.899999999999999</v>
      </c>
      <c r="E17">
        <v>121</v>
      </c>
      <c r="F17">
        <v>500</v>
      </c>
      <c r="G17">
        <v>4.0942999999999996</v>
      </c>
      <c r="H17">
        <v>15.507058020000001</v>
      </c>
      <c r="I17">
        <v>2.9673590509999999</v>
      </c>
      <c r="J17">
        <v>2</v>
      </c>
      <c r="K17">
        <v>10</v>
      </c>
      <c r="L17">
        <f t="shared" si="0"/>
        <v>0.92345540153242323</v>
      </c>
      <c r="M17">
        <f t="shared" si="1"/>
        <v>96452.486544268089</v>
      </c>
      <c r="N17">
        <f t="shared" si="2"/>
        <v>47115.495466511049</v>
      </c>
      <c r="O17">
        <f t="shared" si="3"/>
        <v>139808.59191490102</v>
      </c>
      <c r="P17">
        <f t="shared" si="4"/>
        <v>124218.289126762</v>
      </c>
      <c r="Q17">
        <f t="shared" si="5"/>
        <v>139808.59191490102</v>
      </c>
      <c r="R17">
        <f t="shared" si="6"/>
        <v>94598.731309233306</v>
      </c>
      <c r="S17">
        <f t="shared" si="7"/>
        <v>20953.883832609125</v>
      </c>
      <c r="T17">
        <f t="shared" si="8"/>
        <v>12097.730471325025</v>
      </c>
      <c r="U17">
        <f t="shared" si="9"/>
        <v>4.736346250632252</v>
      </c>
      <c r="V17">
        <f t="shared" si="10"/>
        <v>15.507058017683065</v>
      </c>
      <c r="W17">
        <f t="shared" si="11"/>
        <v>17.453307088962799</v>
      </c>
      <c r="X17">
        <f t="shared" si="12"/>
        <v>11.8094366387103</v>
      </c>
      <c r="Y17">
        <f t="shared" si="13"/>
        <v>2.6158232782974093</v>
      </c>
      <c r="Z17">
        <f t="shared" si="14"/>
        <v>1.5102462738774987</v>
      </c>
      <c r="AA17">
        <f t="shared" si="15"/>
        <v>4.016730833790084</v>
      </c>
      <c r="AB17">
        <f t="shared" si="16"/>
        <v>0.82047926019487127</v>
      </c>
      <c r="AC17">
        <f t="shared" si="17"/>
        <v>0.92345540153242323</v>
      </c>
      <c r="AD17">
        <f t="shared" si="18"/>
        <v>0.62483791739207939</v>
      </c>
      <c r="AE17">
        <f t="shared" si="19"/>
        <v>0.13840334805806323</v>
      </c>
      <c r="AF17">
        <f t="shared" si="20"/>
        <v>7.9907210258068281E-2</v>
      </c>
      <c r="AG17">
        <f t="shared" si="21"/>
        <v>4.1838755082134425</v>
      </c>
    </row>
    <row r="18" spans="1:33" x14ac:dyDescent="0.3">
      <c r="A18" t="s">
        <v>11</v>
      </c>
      <c r="B18">
        <v>33.961002364371303</v>
      </c>
      <c r="C18">
        <v>11.8094366387103</v>
      </c>
      <c r="D18">
        <v>18.899999999999999</v>
      </c>
      <c r="E18">
        <v>121</v>
      </c>
      <c r="F18">
        <v>500</v>
      </c>
      <c r="G18">
        <v>4.0942999999999996</v>
      </c>
      <c r="H18">
        <v>15.507058020000001</v>
      </c>
      <c r="I18">
        <v>2.9673590509999999</v>
      </c>
      <c r="J18">
        <v>2</v>
      </c>
      <c r="K18">
        <v>10</v>
      </c>
      <c r="L18">
        <f t="shared" si="0"/>
        <v>0.62483791739207939</v>
      </c>
      <c r="M18">
        <f t="shared" si="1"/>
        <v>65262.676161293755</v>
      </c>
      <c r="N18">
        <f t="shared" si="2"/>
        <v>31879.77244525011</v>
      </c>
      <c r="O18">
        <f t="shared" si="3"/>
        <v>94598.731309233306</v>
      </c>
    </row>
    <row r="19" spans="1:33" x14ac:dyDescent="0.3">
      <c r="A19" t="s">
        <v>11</v>
      </c>
      <c r="B19">
        <v>33.4155918125036</v>
      </c>
      <c r="C19">
        <v>17.2584303253761</v>
      </c>
      <c r="D19">
        <v>18.899999999999999</v>
      </c>
      <c r="E19">
        <v>121</v>
      </c>
      <c r="F19">
        <v>500</v>
      </c>
      <c r="G19">
        <v>4.0942999999999996</v>
      </c>
      <c r="H19">
        <v>15.507058020000001</v>
      </c>
      <c r="I19">
        <v>2.9673590509999999</v>
      </c>
      <c r="J19">
        <v>2</v>
      </c>
      <c r="K19">
        <v>10</v>
      </c>
      <c r="L19">
        <f t="shared" si="0"/>
        <v>0.91314446166011121</v>
      </c>
      <c r="M19">
        <f t="shared" si="1"/>
        <v>95375.536008657393</v>
      </c>
      <c r="N19">
        <f t="shared" si="2"/>
        <v>46589.4223719109</v>
      </c>
      <c r="O19">
        <f t="shared" si="3"/>
        <v>138247.54415615168</v>
      </c>
    </row>
    <row r="20" spans="1:33" x14ac:dyDescent="0.3">
      <c r="A20" t="s">
        <v>12</v>
      </c>
      <c r="B20">
        <v>33.859164027912897</v>
      </c>
      <c r="C20">
        <v>14.660044312214222</v>
      </c>
      <c r="D20">
        <v>18.600000000000001</v>
      </c>
      <c r="E20">
        <v>65.2</v>
      </c>
      <c r="F20">
        <v>500</v>
      </c>
      <c r="G20">
        <v>4</v>
      </c>
      <c r="H20">
        <v>12.12231719</v>
      </c>
      <c r="I20">
        <v>2.9673590509999999</v>
      </c>
      <c r="J20">
        <v>2</v>
      </c>
      <c r="K20">
        <v>4.8656716417910451</v>
      </c>
      <c r="L20">
        <f t="shared" si="0"/>
        <v>0.78817442538786131</v>
      </c>
      <c r="M20">
        <f t="shared" si="1"/>
        <v>39419.742090109423</v>
      </c>
      <c r="N20">
        <f t="shared" si="2"/>
        <v>19709.871045054711</v>
      </c>
      <c r="O20">
        <f t="shared" si="3"/>
        <v>58486.264239585922</v>
      </c>
      <c r="P20">
        <f t="shared" si="4"/>
        <v>48361.998881957341</v>
      </c>
      <c r="Q20">
        <f t="shared" si="5"/>
        <v>58486.264239585922</v>
      </c>
      <c r="R20">
        <f t="shared" si="6"/>
        <v>40372.053436734539</v>
      </c>
      <c r="S20">
        <f t="shared" si="7"/>
        <v>7547.5227445347246</v>
      </c>
      <c r="T20">
        <f t="shared" si="8"/>
        <v>4357.5642882719467</v>
      </c>
      <c r="U20">
        <f t="shared" si="9"/>
        <v>3.0988391388278163</v>
      </c>
      <c r="V20">
        <f t="shared" si="10"/>
        <v>12.122317194553796</v>
      </c>
      <c r="W20">
        <f t="shared" si="11"/>
        <v>14.660044312214222</v>
      </c>
      <c r="X20">
        <f t="shared" si="12"/>
        <v>10.119574229140389</v>
      </c>
      <c r="Y20">
        <f t="shared" si="13"/>
        <v>1.8918462192945653</v>
      </c>
      <c r="Z20">
        <f t="shared" si="14"/>
        <v>1.0922579239750931</v>
      </c>
      <c r="AA20">
        <f t="shared" si="15"/>
        <v>3.764744259821275</v>
      </c>
      <c r="AB20">
        <f t="shared" si="16"/>
        <v>0.65173748357816097</v>
      </c>
      <c r="AC20">
        <f t="shared" si="17"/>
        <v>0.78817442538786131</v>
      </c>
      <c r="AD20">
        <f t="shared" si="18"/>
        <v>0.54406313059894562</v>
      </c>
      <c r="AE20">
        <f t="shared" si="19"/>
        <v>0.10171216232766536</v>
      </c>
      <c r="AF20">
        <f t="shared" si="20"/>
        <v>5.8723544299736516E-2</v>
      </c>
      <c r="AG20">
        <f t="shared" si="21"/>
        <v>4.0341350747840226</v>
      </c>
    </row>
    <row r="21" spans="1:33" x14ac:dyDescent="0.3">
      <c r="A21" t="s">
        <v>12</v>
      </c>
      <c r="B21">
        <v>34.411915840080098</v>
      </c>
      <c r="C21">
        <v>10.119574229140389</v>
      </c>
      <c r="D21">
        <v>18.600000000000001</v>
      </c>
      <c r="E21">
        <v>65.2</v>
      </c>
      <c r="F21">
        <v>500</v>
      </c>
      <c r="G21">
        <v>4</v>
      </c>
      <c r="H21">
        <v>12.12231719</v>
      </c>
      <c r="I21">
        <v>2.9673590509999999</v>
      </c>
      <c r="J21">
        <v>2</v>
      </c>
      <c r="K21">
        <v>4.8656716417910451</v>
      </c>
      <c r="L21">
        <f t="shared" si="0"/>
        <v>0.54406313059894562</v>
      </c>
      <c r="M21">
        <f t="shared" si="1"/>
        <v>27210.764011270669</v>
      </c>
      <c r="N21">
        <f t="shared" si="2"/>
        <v>13605.382005635334</v>
      </c>
      <c r="O21">
        <f t="shared" si="3"/>
        <v>40372.053436734539</v>
      </c>
    </row>
    <row r="22" spans="1:33" x14ac:dyDescent="0.3">
      <c r="A22" t="s">
        <v>12</v>
      </c>
      <c r="B22">
        <v>34.209934492358499</v>
      </c>
      <c r="C22">
        <v>11.587333042306778</v>
      </c>
      <c r="D22">
        <v>18.600000000000001</v>
      </c>
      <c r="E22">
        <v>65.2</v>
      </c>
      <c r="F22">
        <v>500</v>
      </c>
      <c r="G22">
        <v>4</v>
      </c>
      <c r="H22">
        <v>12.12231719</v>
      </c>
      <c r="I22">
        <v>2.9673590509999999</v>
      </c>
      <c r="J22">
        <v>2</v>
      </c>
      <c r="K22">
        <v>4.8656716417910451</v>
      </c>
      <c r="L22">
        <f t="shared" si="0"/>
        <v>0.6229748947476762</v>
      </c>
      <c r="M22">
        <f t="shared" si="1"/>
        <v>31157.455619651304</v>
      </c>
      <c r="N22">
        <f t="shared" si="2"/>
        <v>15578.727809825652</v>
      </c>
      <c r="O22">
        <f t="shared" si="3"/>
        <v>46227.678969551554</v>
      </c>
    </row>
    <row r="23" spans="1:33" x14ac:dyDescent="0.3">
      <c r="A23" t="s">
        <v>14</v>
      </c>
      <c r="B23">
        <v>33.830714395051203</v>
      </c>
      <c r="C23">
        <v>12.9297471611081</v>
      </c>
      <c r="D23">
        <v>15.1</v>
      </c>
      <c r="E23">
        <v>40.9</v>
      </c>
      <c r="F23">
        <v>500</v>
      </c>
      <c r="G23">
        <v>4</v>
      </c>
      <c r="H23">
        <v>12.542907680000001</v>
      </c>
      <c r="I23">
        <v>2.9673590509999999</v>
      </c>
      <c r="J23">
        <v>2</v>
      </c>
      <c r="K23">
        <v>4.0098039215686274</v>
      </c>
      <c r="L23">
        <f t="shared" si="0"/>
        <v>0.85627464643100004</v>
      </c>
      <c r="M23">
        <f t="shared" si="1"/>
        <v>28651.599165830103</v>
      </c>
      <c r="N23">
        <f t="shared" si="2"/>
        <v>14325.799582915051</v>
      </c>
      <c r="O23">
        <f t="shared" si="3"/>
        <v>42509.791055175003</v>
      </c>
      <c r="P23">
        <f t="shared" si="4"/>
        <v>41237.959094038837</v>
      </c>
      <c r="Q23">
        <f t="shared" si="5"/>
        <v>42509.791055175003</v>
      </c>
      <c r="R23">
        <f t="shared" si="6"/>
        <v>39206.249476644785</v>
      </c>
      <c r="S23">
        <f t="shared" si="7"/>
        <v>1451.7592269678566</v>
      </c>
      <c r="T23">
        <f t="shared" si="8"/>
        <v>838.17358048841504</v>
      </c>
      <c r="U23">
        <f t="shared" si="9"/>
        <v>11.203317183668879</v>
      </c>
      <c r="V23">
        <f t="shared" si="10"/>
        <v>12.542907675880734</v>
      </c>
      <c r="W23">
        <f t="shared" si="11"/>
        <v>12.9297471611081</v>
      </c>
      <c r="X23">
        <f t="shared" si="12"/>
        <v>11.9249443548284</v>
      </c>
      <c r="Y23">
        <f t="shared" si="13"/>
        <v>0.44156603167342573</v>
      </c>
      <c r="Z23">
        <f t="shared" si="14"/>
        <v>0.2549382672516472</v>
      </c>
      <c r="AA23">
        <f t="shared" si="15"/>
        <v>17.082173751669675</v>
      </c>
      <c r="AB23">
        <f t="shared" si="16"/>
        <v>0.83065613747554534</v>
      </c>
      <c r="AC23">
        <f t="shared" si="17"/>
        <v>0.85627464643100004</v>
      </c>
      <c r="AD23">
        <f t="shared" si="18"/>
        <v>0.78973141422704629</v>
      </c>
      <c r="AE23">
        <f t="shared" si="19"/>
        <v>2.9242783554531533E-2</v>
      </c>
      <c r="AF23">
        <f t="shared" si="20"/>
        <v>1.6883328957062745E-2</v>
      </c>
      <c r="AG23">
        <f t="shared" si="21"/>
        <v>20.149903116327494</v>
      </c>
    </row>
    <row r="24" spans="1:33" x14ac:dyDescent="0.3">
      <c r="A24" t="s">
        <v>14</v>
      </c>
      <c r="B24">
        <v>33.8481322525273</v>
      </c>
      <c r="C24">
        <v>12.774031511705701</v>
      </c>
      <c r="D24">
        <v>15.1</v>
      </c>
      <c r="E24">
        <v>40.9</v>
      </c>
      <c r="F24">
        <v>500</v>
      </c>
      <c r="G24">
        <v>4</v>
      </c>
      <c r="H24">
        <v>12.542907680000001</v>
      </c>
      <c r="I24">
        <v>2.9673590509999999</v>
      </c>
      <c r="J24">
        <v>2</v>
      </c>
      <c r="K24">
        <v>4.0098039215686274</v>
      </c>
      <c r="L24">
        <f t="shared" si="0"/>
        <v>0.84596235176858947</v>
      </c>
      <c r="M24">
        <f t="shared" si="1"/>
        <v>28306.541964406671</v>
      </c>
      <c r="N24">
        <f t="shared" si="2"/>
        <v>14153.270982203336</v>
      </c>
      <c r="O24">
        <f t="shared" si="3"/>
        <v>41997.836750296723</v>
      </c>
    </row>
    <row r="25" spans="1:33" x14ac:dyDescent="0.3">
      <c r="A25" t="s">
        <v>14</v>
      </c>
      <c r="B25">
        <v>33.947010014779003</v>
      </c>
      <c r="C25">
        <v>11.9249443548284</v>
      </c>
      <c r="D25">
        <v>15.1</v>
      </c>
      <c r="E25">
        <v>40.9</v>
      </c>
      <c r="F25">
        <v>500</v>
      </c>
      <c r="G25">
        <v>4</v>
      </c>
      <c r="H25">
        <v>12.542907680000001</v>
      </c>
      <c r="I25">
        <v>2.9673590509999999</v>
      </c>
      <c r="J25">
        <v>2</v>
      </c>
      <c r="K25">
        <v>4.0098039215686274</v>
      </c>
      <c r="L25">
        <f t="shared" si="0"/>
        <v>0.78973141422704629</v>
      </c>
      <c r="M25">
        <f t="shared" si="1"/>
        <v>26425.012142317111</v>
      </c>
      <c r="N25">
        <f t="shared" si="2"/>
        <v>13212.506071158556</v>
      </c>
      <c r="O25">
        <f t="shared" si="3"/>
        <v>39206.249476644785</v>
      </c>
    </row>
    <row r="26" spans="1:33" x14ac:dyDescent="0.3">
      <c r="A26" t="s">
        <v>15</v>
      </c>
      <c r="B26">
        <v>28.867337610488001</v>
      </c>
      <c r="C26">
        <v>408.37466180950503</v>
      </c>
      <c r="D26">
        <v>20.2</v>
      </c>
      <c r="E26">
        <v>59.9</v>
      </c>
      <c r="F26">
        <v>500</v>
      </c>
      <c r="G26">
        <v>4</v>
      </c>
      <c r="H26">
        <v>414.64512070000001</v>
      </c>
      <c r="I26">
        <v>2.9673590509999999</v>
      </c>
      <c r="J26">
        <v>2</v>
      </c>
      <c r="K26">
        <v>3.9933333333333332</v>
      </c>
      <c r="L26">
        <f t="shared" si="0"/>
        <v>20.216567416312131</v>
      </c>
      <c r="M26">
        <f t="shared" si="1"/>
        <v>901218.39840381814</v>
      </c>
      <c r="N26">
        <f t="shared" si="2"/>
        <v>450609.19920190907</v>
      </c>
      <c r="O26">
        <f t="shared" si="3"/>
        <v>1337119.2857156468</v>
      </c>
      <c r="P26">
        <f>AVERAGE(O26:O30)</f>
        <v>950581.87229256728</v>
      </c>
      <c r="Q26">
        <f>MAX(O26:O30)</f>
        <v>1402867.7273968817</v>
      </c>
      <c r="R26">
        <f>MIN(O26:O30)</f>
        <v>329229.59501863935</v>
      </c>
      <c r="S26">
        <f>_xlfn.STDEV.P(O26:O30)</f>
        <v>499217.7947046248</v>
      </c>
      <c r="T26">
        <f>S26/SQRT(COUNT(O26:O30))</f>
        <v>223256.98490741511</v>
      </c>
      <c r="U26" s="2">
        <f t="shared" si="9"/>
        <v>1.8541174655847907</v>
      </c>
      <c r="V26">
        <f>AVERAGE(C26:C30)</f>
        <v>414.64512072696499</v>
      </c>
      <c r="W26">
        <f>MAX(C26:C30)</f>
        <v>428.45514222954898</v>
      </c>
      <c r="X26">
        <f>MIN(C26:C30)</f>
        <v>401.5346850495506</v>
      </c>
      <c r="Y26">
        <f>_xlfn.STDEV.P(C26:C30)</f>
        <v>11.230738178905474</v>
      </c>
      <c r="Z26">
        <f>Y26/SQRT(COUNT(C26:C30))</f>
        <v>5.0225388011069665</v>
      </c>
      <c r="AA26">
        <f t="shared" si="15"/>
        <v>36.475351326094952</v>
      </c>
      <c r="AB26">
        <f>AVERAGE(L26:L30)</f>
        <v>20.526986174602229</v>
      </c>
      <c r="AC26">
        <f>MAX(L26:L30)</f>
        <v>21.210650605423218</v>
      </c>
      <c r="AD26">
        <f>MIN(L26:L30)</f>
        <v>19.877954705423299</v>
      </c>
      <c r="AE26">
        <f>_xlfn.STDEV.P(L26:L30)</f>
        <v>0.55597713756957789</v>
      </c>
      <c r="AF26">
        <f>AE26/SQRT(COUNT(L26:L30))</f>
        <v>0.24864053470826566</v>
      </c>
      <c r="AG26">
        <f t="shared" si="21"/>
        <v>36.486337156379179</v>
      </c>
    </row>
    <row r="27" spans="1:33" x14ac:dyDescent="0.3">
      <c r="A27" t="s">
        <v>15</v>
      </c>
      <c r="B27">
        <v>28.871812044933701</v>
      </c>
      <c r="C27">
        <v>407.10555814184102</v>
      </c>
      <c r="D27">
        <v>20.2</v>
      </c>
      <c r="E27">
        <v>59.9</v>
      </c>
      <c r="F27">
        <v>500</v>
      </c>
      <c r="G27">
        <v>4</v>
      </c>
      <c r="H27">
        <v>414.64512070000001</v>
      </c>
      <c r="I27">
        <v>2.9673590509999999</v>
      </c>
      <c r="J27">
        <v>2</v>
      </c>
      <c r="K27">
        <v>3.9933333333333332</v>
      </c>
      <c r="L27">
        <f t="shared" si="0"/>
        <v>20.153740502071336</v>
      </c>
      <c r="M27">
        <f t="shared" si="1"/>
        <v>898417.68699407321</v>
      </c>
      <c r="N27">
        <f t="shared" si="2"/>
        <v>449208.84349703661</v>
      </c>
      <c r="O27">
        <f t="shared" si="3"/>
        <v>1332963.927540174</v>
      </c>
    </row>
    <row r="28" spans="1:33" x14ac:dyDescent="0.3">
      <c r="A28" t="s">
        <v>15</v>
      </c>
      <c r="B28">
        <v>28.7983335785257</v>
      </c>
      <c r="C28">
        <v>428.45514222954898</v>
      </c>
      <c r="D28">
        <v>20.2</v>
      </c>
      <c r="E28">
        <v>59.9</v>
      </c>
      <c r="F28">
        <v>500</v>
      </c>
      <c r="G28">
        <v>4</v>
      </c>
      <c r="H28">
        <v>414.64512070000001</v>
      </c>
      <c r="I28">
        <v>2.9673590509999999</v>
      </c>
      <c r="J28">
        <v>2</v>
      </c>
      <c r="K28">
        <v>3.9933333333333332</v>
      </c>
      <c r="L28">
        <f t="shared" si="0"/>
        <v>21.210650605423218</v>
      </c>
      <c r="M28">
        <f t="shared" si="1"/>
        <v>945532.84808868368</v>
      </c>
      <c r="N28">
        <f t="shared" si="2"/>
        <v>472766.42404434184</v>
      </c>
      <c r="O28">
        <f t="shared" si="3"/>
        <v>1402867.7273968817</v>
      </c>
    </row>
    <row r="29" spans="1:33" x14ac:dyDescent="0.3">
      <c r="A29" t="s">
        <v>15</v>
      </c>
      <c r="B29">
        <v>28.997127301718798</v>
      </c>
      <c r="C29">
        <v>427.75555640437932</v>
      </c>
      <c r="D29">
        <v>20.2</v>
      </c>
      <c r="E29">
        <v>59.9</v>
      </c>
      <c r="F29">
        <v>500</v>
      </c>
      <c r="G29">
        <v>4</v>
      </c>
      <c r="H29">
        <v>414.64512070000001</v>
      </c>
      <c r="I29">
        <v>2.9673590509999999</v>
      </c>
      <c r="J29">
        <v>2</v>
      </c>
      <c r="K29">
        <v>1</v>
      </c>
      <c r="L29">
        <f t="shared" si="0"/>
        <v>21.176017643781154</v>
      </c>
      <c r="M29">
        <f t="shared" si="1"/>
        <v>236391.22853926223</v>
      </c>
      <c r="N29">
        <f t="shared" si="2"/>
        <v>118195.61426963111</v>
      </c>
      <c r="O29">
        <f t="shared" si="3"/>
        <v>350728.82579149463</v>
      </c>
    </row>
    <row r="30" spans="1:33" x14ac:dyDescent="0.3">
      <c r="A30" t="s">
        <v>15</v>
      </c>
      <c r="B30">
        <v>29.091463133236498</v>
      </c>
      <c r="C30">
        <v>401.5346850495506</v>
      </c>
      <c r="D30">
        <v>20.2</v>
      </c>
      <c r="E30">
        <v>59.9</v>
      </c>
      <c r="F30">
        <v>500</v>
      </c>
      <c r="G30">
        <v>4</v>
      </c>
      <c r="H30">
        <v>414.64512070000001</v>
      </c>
      <c r="I30">
        <v>2.9673590509999999</v>
      </c>
      <c r="J30">
        <v>2</v>
      </c>
      <c r="K30">
        <v>1</v>
      </c>
      <c r="L30">
        <f t="shared" si="0"/>
        <v>19.877954705423299</v>
      </c>
      <c r="M30">
        <f t="shared" si="1"/>
        <v>221900.74700106747</v>
      </c>
      <c r="N30">
        <f t="shared" si="2"/>
        <v>110950.37350053374</v>
      </c>
      <c r="O30">
        <f t="shared" si="3"/>
        <v>329229.59501863935</v>
      </c>
    </row>
    <row r="31" spans="1:33" x14ac:dyDescent="0.3">
      <c r="A31" t="s">
        <v>16</v>
      </c>
      <c r="B31">
        <v>34.8572164591247</v>
      </c>
      <c r="C31">
        <v>7.5072566357378889</v>
      </c>
      <c r="D31">
        <v>11.7</v>
      </c>
      <c r="E31">
        <v>12.2</v>
      </c>
      <c r="F31">
        <v>500</v>
      </c>
      <c r="G31">
        <v>4</v>
      </c>
      <c r="H31">
        <v>8.1273417210000005</v>
      </c>
      <c r="I31">
        <v>2.9673590509999999</v>
      </c>
      <c r="J31">
        <v>2</v>
      </c>
      <c r="K31">
        <v>1</v>
      </c>
      <c r="L31">
        <f t="shared" si="0"/>
        <v>0.64164586630238374</v>
      </c>
      <c r="M31">
        <f t="shared" si="1"/>
        <v>4148.7470881709387</v>
      </c>
      <c r="N31">
        <f t="shared" si="2"/>
        <v>2074.3735440854693</v>
      </c>
      <c r="O31">
        <f t="shared" si="3"/>
        <v>6155.4111111969651</v>
      </c>
      <c r="P31">
        <f t="shared" si="4"/>
        <v>6663.8363332881272</v>
      </c>
      <c r="Q31">
        <f t="shared" si="5"/>
        <v>8642.885570627679</v>
      </c>
      <c r="R31">
        <f t="shared" si="6"/>
        <v>5193.2123180397375</v>
      </c>
      <c r="S31">
        <f t="shared" si="7"/>
        <v>1453.486278400773</v>
      </c>
      <c r="T31">
        <f t="shared" si="8"/>
        <v>839.1706940981137</v>
      </c>
      <c r="U31" s="3">
        <f t="shared" si="9"/>
        <v>-12.597025468212452</v>
      </c>
      <c r="V31">
        <f t="shared" si="10"/>
        <v>8.1273417207742593</v>
      </c>
      <c r="W31">
        <f t="shared" si="11"/>
        <v>10.541027866358167</v>
      </c>
      <c r="X31">
        <f t="shared" si="12"/>
        <v>6.3337406602267219</v>
      </c>
      <c r="Y31">
        <f t="shared" si="13"/>
        <v>1.7726995502590137</v>
      </c>
      <c r="Z31">
        <f t="shared" si="14"/>
        <v>1.0234685625343702</v>
      </c>
      <c r="AA31">
        <f t="shared" si="15"/>
        <v>1.7641690721461036</v>
      </c>
      <c r="AB31">
        <f t="shared" si="16"/>
        <v>0.69464459151916758</v>
      </c>
      <c r="AC31">
        <f t="shared" si="17"/>
        <v>0.9009425526801853</v>
      </c>
      <c r="AD31">
        <f t="shared" si="18"/>
        <v>0.54134535557493357</v>
      </c>
      <c r="AE31">
        <f t="shared" si="19"/>
        <v>0.15151278207341984</v>
      </c>
      <c r="AF31">
        <f t="shared" si="20"/>
        <v>8.7475945515758047E-2</v>
      </c>
      <c r="AG31">
        <f t="shared" si="21"/>
        <v>2.9913496624960869</v>
      </c>
    </row>
    <row r="32" spans="1:33" x14ac:dyDescent="0.3">
      <c r="A32" t="s">
        <v>16</v>
      </c>
      <c r="B32">
        <v>35.110704141890203</v>
      </c>
      <c r="C32">
        <v>6.3337406602267219</v>
      </c>
      <c r="D32">
        <v>11.7</v>
      </c>
      <c r="E32">
        <v>12.2</v>
      </c>
      <c r="F32">
        <v>500</v>
      </c>
      <c r="G32">
        <v>4</v>
      </c>
      <c r="H32">
        <v>8.1273417210000005</v>
      </c>
      <c r="I32">
        <v>2.9673590509999999</v>
      </c>
      <c r="J32">
        <v>2</v>
      </c>
      <c r="K32">
        <v>1</v>
      </c>
      <c r="L32">
        <f t="shared" si="0"/>
        <v>0.54134535557493357</v>
      </c>
      <c r="M32">
        <f t="shared" si="1"/>
        <v>3500.2251017042413</v>
      </c>
      <c r="N32">
        <f t="shared" si="2"/>
        <v>1750.1125508521206</v>
      </c>
      <c r="O32">
        <f t="shared" si="3"/>
        <v>5193.2123180397375</v>
      </c>
    </row>
    <row r="33" spans="1:33" x14ac:dyDescent="0.3">
      <c r="A33" t="s">
        <v>16</v>
      </c>
      <c r="B33">
        <v>34.351066144295601</v>
      </c>
      <c r="C33">
        <v>10.541027866358167</v>
      </c>
      <c r="D33">
        <v>11.7</v>
      </c>
      <c r="E33">
        <v>12.2</v>
      </c>
      <c r="F33">
        <v>500</v>
      </c>
      <c r="G33">
        <v>4</v>
      </c>
      <c r="H33">
        <v>8.1273417210000005</v>
      </c>
      <c r="I33">
        <v>2.9673590509999999</v>
      </c>
      <c r="J33">
        <v>2</v>
      </c>
      <c r="K33">
        <v>1</v>
      </c>
      <c r="L33">
        <f t="shared" si="0"/>
        <v>0.9009425526801853</v>
      </c>
      <c r="M33">
        <f t="shared" si="1"/>
        <v>5825.3048735137245</v>
      </c>
      <c r="N33">
        <f t="shared" si="2"/>
        <v>2912.6524367568622</v>
      </c>
      <c r="O33">
        <f t="shared" si="3"/>
        <v>8642.885570627679</v>
      </c>
    </row>
    <row r="34" spans="1:33" x14ac:dyDescent="0.3">
      <c r="A34" t="s">
        <v>18</v>
      </c>
      <c r="B34">
        <v>33.525216212998401</v>
      </c>
      <c r="C34">
        <v>15.9912731470803</v>
      </c>
      <c r="D34">
        <v>11.8</v>
      </c>
      <c r="E34">
        <v>7.81</v>
      </c>
      <c r="F34">
        <v>500</v>
      </c>
      <c r="G34">
        <v>4</v>
      </c>
      <c r="H34">
        <v>14.09063724</v>
      </c>
      <c r="I34">
        <v>2.9673590509999999</v>
      </c>
      <c r="J34">
        <v>2</v>
      </c>
      <c r="K34">
        <v>1</v>
      </c>
      <c r="L34">
        <f t="shared" si="0"/>
        <v>1.3551926395830762</v>
      </c>
      <c r="M34">
        <f t="shared" si="1"/>
        <v>8837.2825286496409</v>
      </c>
      <c r="N34">
        <f t="shared" si="2"/>
        <v>4418.6412643248204</v>
      </c>
      <c r="O34">
        <f t="shared" si="3"/>
        <v>13111.695148816339</v>
      </c>
      <c r="P34">
        <f t="shared" si="4"/>
        <v>11553.310246285126</v>
      </c>
      <c r="Q34">
        <f t="shared" si="5"/>
        <v>13111.695148816339</v>
      </c>
      <c r="R34">
        <f t="shared" si="6"/>
        <v>9818.1543579984846</v>
      </c>
      <c r="S34">
        <f t="shared" si="7"/>
        <v>1350.3798777255197</v>
      </c>
      <c r="T34">
        <f t="shared" si="8"/>
        <v>779.64218591308281</v>
      </c>
      <c r="U34" s="3">
        <f t="shared" si="9"/>
        <v>-9.9380403803992916</v>
      </c>
      <c r="V34">
        <f t="shared" si="10"/>
        <v>14.0906372367867</v>
      </c>
      <c r="W34">
        <f t="shared" si="11"/>
        <v>15.9912731470803</v>
      </c>
      <c r="X34">
        <f t="shared" si="12"/>
        <v>11.9744080652397</v>
      </c>
      <c r="Y34">
        <f t="shared" si="13"/>
        <v>1.6469490200875332</v>
      </c>
      <c r="Z34">
        <f t="shared" si="14"/>
        <v>0.95086646008912767</v>
      </c>
      <c r="AA34">
        <f t="shared" si="15"/>
        <v>5.5196834424805354</v>
      </c>
      <c r="AB34">
        <f t="shared" si="16"/>
        <v>1.1941217997276865</v>
      </c>
      <c r="AC34">
        <f t="shared" si="17"/>
        <v>1.3551926395830762</v>
      </c>
      <c r="AD34">
        <f t="shared" si="18"/>
        <v>1.0147803445118388</v>
      </c>
      <c r="AE34">
        <f t="shared" si="19"/>
        <v>0.13957195085487695</v>
      </c>
      <c r="AF34">
        <f t="shared" si="20"/>
        <v>8.0581903397384427E-2</v>
      </c>
      <c r="AG34">
        <f t="shared" si="21"/>
        <v>6.8259052903708621</v>
      </c>
    </row>
    <row r="35" spans="1:33" x14ac:dyDescent="0.3">
      <c r="A35" t="s">
        <v>18</v>
      </c>
      <c r="B35">
        <v>33.685284969215402</v>
      </c>
      <c r="C35">
        <v>14.306230498040099</v>
      </c>
      <c r="D35">
        <v>11.8</v>
      </c>
      <c r="E35">
        <v>7.81</v>
      </c>
      <c r="F35">
        <v>500</v>
      </c>
      <c r="G35">
        <v>4</v>
      </c>
      <c r="H35">
        <v>14.09063724</v>
      </c>
      <c r="I35">
        <v>2.9673590509999999</v>
      </c>
      <c r="J35">
        <v>2</v>
      </c>
      <c r="K35">
        <v>1</v>
      </c>
      <c r="L35">
        <f t="shared" si="0"/>
        <v>1.212392415088144</v>
      </c>
      <c r="M35">
        <f t="shared" si="1"/>
        <v>7906.074748916898</v>
      </c>
      <c r="N35">
        <f t="shared" si="2"/>
        <v>3953.037374458449</v>
      </c>
      <c r="O35">
        <f t="shared" si="3"/>
        <v>11730.081232040555</v>
      </c>
    </row>
    <row r="36" spans="1:33" x14ac:dyDescent="0.3">
      <c r="A36" t="s">
        <v>18</v>
      </c>
      <c r="B36">
        <v>33.941059489440804</v>
      </c>
      <c r="C36">
        <v>11.9744080652397</v>
      </c>
      <c r="D36">
        <v>11.8</v>
      </c>
      <c r="E36">
        <v>7.81</v>
      </c>
      <c r="F36">
        <v>500</v>
      </c>
      <c r="G36">
        <v>4</v>
      </c>
      <c r="H36">
        <v>14.09063724</v>
      </c>
      <c r="I36">
        <v>2.9673590509999999</v>
      </c>
      <c r="J36">
        <v>2</v>
      </c>
      <c r="K36">
        <v>1</v>
      </c>
      <c r="L36">
        <f t="shared" si="0"/>
        <v>1.0147803445118388</v>
      </c>
      <c r="M36">
        <f t="shared" si="1"/>
        <v>6617.4360360535184</v>
      </c>
      <c r="N36">
        <f t="shared" si="2"/>
        <v>3308.7180180267592</v>
      </c>
      <c r="O36">
        <f t="shared" si="3"/>
        <v>9818.1543579984846</v>
      </c>
    </row>
    <row r="37" spans="1:33" x14ac:dyDescent="0.3">
      <c r="A37" t="s">
        <v>19</v>
      </c>
      <c r="B37">
        <v>34.538990400097603</v>
      </c>
      <c r="C37">
        <v>9.2929892616851095</v>
      </c>
      <c r="D37">
        <v>11.3</v>
      </c>
      <c r="E37">
        <v>11.7</v>
      </c>
      <c r="F37">
        <v>500</v>
      </c>
      <c r="G37">
        <v>4</v>
      </c>
      <c r="H37">
        <v>9.8133531539999996</v>
      </c>
      <c r="I37">
        <v>2.9673590509999999</v>
      </c>
      <c r="J37">
        <v>2</v>
      </c>
      <c r="K37">
        <v>1</v>
      </c>
      <c r="L37">
        <f t="shared" si="0"/>
        <v>0.8223884302376202</v>
      </c>
      <c r="M37">
        <f t="shared" si="1"/>
        <v>5135.5993288259815</v>
      </c>
      <c r="N37">
        <f t="shared" si="2"/>
        <v>2567.7996644129908</v>
      </c>
      <c r="O37">
        <f t="shared" si="3"/>
        <v>7619.5835753506508</v>
      </c>
      <c r="P37">
        <f t="shared" si="4"/>
        <v>8046.2445837673849</v>
      </c>
      <c r="Q37">
        <f t="shared" si="5"/>
        <v>8615.9047221274795</v>
      </c>
      <c r="R37">
        <f t="shared" si="6"/>
        <v>7619.5835753506508</v>
      </c>
      <c r="S37">
        <f t="shared" si="7"/>
        <v>419.12648866588563</v>
      </c>
      <c r="T37">
        <f t="shared" si="8"/>
        <v>241.9827910557517</v>
      </c>
      <c r="U37" s="3">
        <f t="shared" si="9"/>
        <v>-40.386842335146319</v>
      </c>
      <c r="V37">
        <f t="shared" si="10"/>
        <v>9.813353154329203</v>
      </c>
      <c r="W37">
        <f t="shared" si="11"/>
        <v>10.508121509612554</v>
      </c>
      <c r="X37">
        <f t="shared" si="12"/>
        <v>9.2929892616851095</v>
      </c>
      <c r="Y37">
        <f t="shared" si="13"/>
        <v>0.51117464884301367</v>
      </c>
      <c r="Z37">
        <f t="shared" si="14"/>
        <v>0.29512682111242639</v>
      </c>
      <c r="AA37">
        <f t="shared" si="15"/>
        <v>9.4162595215229992</v>
      </c>
      <c r="AB37">
        <f t="shared" si="16"/>
        <v>0.86843833224152223</v>
      </c>
      <c r="AC37">
        <f t="shared" si="17"/>
        <v>0.92992225748783652</v>
      </c>
      <c r="AD37">
        <f t="shared" si="18"/>
        <v>0.8223884302376202</v>
      </c>
      <c r="AE37">
        <f t="shared" si="19"/>
        <v>4.5236694587877317E-2</v>
      </c>
      <c r="AF37">
        <f t="shared" si="20"/>
        <v>2.6117417797559859E-2</v>
      </c>
      <c r="AG37">
        <f t="shared" si="21"/>
        <v>13.860903320941437</v>
      </c>
    </row>
    <row r="38" spans="1:33" x14ac:dyDescent="0.3">
      <c r="A38" t="s">
        <v>19</v>
      </c>
      <c r="B38">
        <v>34.4844812038436</v>
      </c>
      <c r="C38">
        <v>9.6389486916899436</v>
      </c>
      <c r="D38">
        <v>11.3</v>
      </c>
      <c r="E38">
        <v>11.7</v>
      </c>
      <c r="F38">
        <v>500</v>
      </c>
      <c r="G38">
        <v>4</v>
      </c>
      <c r="H38">
        <v>9.8133531539999996</v>
      </c>
      <c r="I38">
        <v>2.9673590509999999</v>
      </c>
      <c r="J38">
        <v>2</v>
      </c>
      <c r="K38">
        <v>1</v>
      </c>
      <c r="L38">
        <f t="shared" si="0"/>
        <v>0.85300430899910995</v>
      </c>
      <c r="M38">
        <f t="shared" si="1"/>
        <v>5326.7874348812848</v>
      </c>
      <c r="N38">
        <f t="shared" si="2"/>
        <v>2663.3937174406424</v>
      </c>
      <c r="O38">
        <f t="shared" si="3"/>
        <v>7903.2454538240263</v>
      </c>
    </row>
    <row r="39" spans="1:33" x14ac:dyDescent="0.3">
      <c r="A39" t="s">
        <v>19</v>
      </c>
      <c r="B39">
        <v>34.355728838506103</v>
      </c>
      <c r="C39">
        <v>10.508121509612554</v>
      </c>
      <c r="D39">
        <v>11.3</v>
      </c>
      <c r="E39">
        <v>11.7</v>
      </c>
      <c r="F39">
        <v>500</v>
      </c>
      <c r="G39">
        <v>4</v>
      </c>
      <c r="H39">
        <v>9.8133531539999996</v>
      </c>
      <c r="I39">
        <v>2.9673590509999999</v>
      </c>
      <c r="J39">
        <v>2</v>
      </c>
      <c r="K39">
        <v>1</v>
      </c>
      <c r="L39">
        <f t="shared" si="0"/>
        <v>0.92992225748783652</v>
      </c>
      <c r="M39">
        <f t="shared" si="1"/>
        <v>5807.1197816279901</v>
      </c>
      <c r="N39">
        <f t="shared" si="2"/>
        <v>2903.559890813995</v>
      </c>
      <c r="O39">
        <f t="shared" si="3"/>
        <v>8615.9047221274795</v>
      </c>
    </row>
    <row r="40" spans="1:33" x14ac:dyDescent="0.3">
      <c r="A40" t="s">
        <v>20</v>
      </c>
      <c r="B40">
        <v>34.2907375279175</v>
      </c>
      <c r="C40">
        <v>9.3888850042654806</v>
      </c>
      <c r="D40">
        <v>17.5</v>
      </c>
      <c r="E40">
        <v>99.9</v>
      </c>
      <c r="F40">
        <v>500</v>
      </c>
      <c r="G40">
        <v>4</v>
      </c>
      <c r="H40">
        <v>9.2372259539999995</v>
      </c>
      <c r="I40">
        <v>2.9673590509999999</v>
      </c>
      <c r="J40">
        <v>2</v>
      </c>
      <c r="K40">
        <v>4.9950000000000001</v>
      </c>
      <c r="L40">
        <f t="shared" si="0"/>
        <v>0.536507714529456</v>
      </c>
      <c r="M40">
        <f t="shared" si="1"/>
        <v>25917.028750590202</v>
      </c>
      <c r="N40">
        <f t="shared" si="2"/>
        <v>12958.514375295101</v>
      </c>
      <c r="O40">
        <f t="shared" si="3"/>
        <v>38452.56491904553</v>
      </c>
      <c r="P40">
        <f t="shared" si="4"/>
        <v>37831.439036888856</v>
      </c>
      <c r="Q40">
        <f t="shared" si="5"/>
        <v>41877.699669396308</v>
      </c>
      <c r="R40">
        <f t="shared" si="6"/>
        <v>33164.052522224745</v>
      </c>
      <c r="S40">
        <f t="shared" si="7"/>
        <v>3584.3418431158279</v>
      </c>
      <c r="T40">
        <f t="shared" si="8"/>
        <v>2069.4207279905627</v>
      </c>
      <c r="U40">
        <f t="shared" si="9"/>
        <v>3.5872691834860104</v>
      </c>
      <c r="V40">
        <f t="shared" si="10"/>
        <v>9.2372259538739314</v>
      </c>
      <c r="W40">
        <f t="shared" si="11"/>
        <v>10.225193228771699</v>
      </c>
      <c r="X40">
        <f t="shared" si="12"/>
        <v>8.0975996285846108</v>
      </c>
      <c r="Y40">
        <f t="shared" si="13"/>
        <v>0.87518149834325387</v>
      </c>
      <c r="Z40">
        <f t="shared" si="14"/>
        <v>0.50528627365825762</v>
      </c>
      <c r="AA40">
        <f t="shared" si="15"/>
        <v>4.841539682791665</v>
      </c>
      <c r="AB40">
        <f t="shared" si="16"/>
        <v>0.5278414830785102</v>
      </c>
      <c r="AC40">
        <f t="shared" si="17"/>
        <v>0.58429675592981134</v>
      </c>
      <c r="AD40">
        <f t="shared" si="18"/>
        <v>0.46271997877626347</v>
      </c>
      <c r="AE40">
        <f t="shared" si="19"/>
        <v>5.0010371333900197E-2</v>
      </c>
      <c r="AF40">
        <f t="shared" si="20"/>
        <v>2.8873501351900425E-2</v>
      </c>
      <c r="AG40">
        <f t="shared" si="21"/>
        <v>5.7273040259221881</v>
      </c>
    </row>
    <row r="41" spans="1:33" x14ac:dyDescent="0.3">
      <c r="A41" t="s">
        <v>20</v>
      </c>
      <c r="B41">
        <v>34.503436374373003</v>
      </c>
      <c r="C41">
        <v>8.0975996285846108</v>
      </c>
      <c r="D41">
        <v>17.5</v>
      </c>
      <c r="E41">
        <v>99.9</v>
      </c>
      <c r="F41">
        <v>500</v>
      </c>
      <c r="G41">
        <v>4</v>
      </c>
      <c r="H41">
        <v>9.2372259539999995</v>
      </c>
      <c r="I41">
        <v>2.9673590509999999</v>
      </c>
      <c r="J41">
        <v>2</v>
      </c>
      <c r="K41">
        <v>4.9950000000000001</v>
      </c>
      <c r="L41">
        <f t="shared" si="0"/>
        <v>0.46271997877626347</v>
      </c>
      <c r="M41">
        <f t="shared" si="1"/>
        <v>22352.57139579955</v>
      </c>
      <c r="N41">
        <f t="shared" si="2"/>
        <v>11176.285697899775</v>
      </c>
      <c r="O41">
        <f t="shared" si="3"/>
        <v>33164.052522224745</v>
      </c>
    </row>
    <row r="42" spans="1:33" x14ac:dyDescent="0.3">
      <c r="A42" t="s">
        <v>20</v>
      </c>
      <c r="B42">
        <v>34.168073848482798</v>
      </c>
      <c r="C42">
        <v>10.225193228771699</v>
      </c>
      <c r="D42">
        <v>17.5</v>
      </c>
      <c r="E42">
        <v>99.9</v>
      </c>
      <c r="F42">
        <v>500</v>
      </c>
      <c r="G42">
        <v>4</v>
      </c>
      <c r="H42">
        <v>9.2372259539999995</v>
      </c>
      <c r="I42">
        <v>2.9673590509999999</v>
      </c>
      <c r="J42">
        <v>2</v>
      </c>
      <c r="K42">
        <v>4.9950000000000001</v>
      </c>
      <c r="L42">
        <f t="shared" si="0"/>
        <v>0.58429675592981134</v>
      </c>
      <c r="M42">
        <f t="shared" si="1"/>
        <v>28225.569571894932</v>
      </c>
      <c r="N42">
        <f t="shared" si="2"/>
        <v>14112.784785947466</v>
      </c>
      <c r="O42">
        <f t="shared" si="3"/>
        <v>41877.699669396308</v>
      </c>
    </row>
    <row r="43" spans="1:33" x14ac:dyDescent="0.3">
      <c r="A43" t="s">
        <v>23</v>
      </c>
      <c r="B43">
        <v>34.371161210264702</v>
      </c>
      <c r="C43">
        <v>10.399940445168943</v>
      </c>
      <c r="D43">
        <v>20.5</v>
      </c>
      <c r="E43">
        <v>66.3</v>
      </c>
      <c r="F43">
        <v>500</v>
      </c>
      <c r="G43">
        <v>4</v>
      </c>
      <c r="H43">
        <v>13.25943487</v>
      </c>
      <c r="I43">
        <v>2.9673590509999999</v>
      </c>
      <c r="J43">
        <v>2</v>
      </c>
      <c r="K43">
        <v>4.984962406015037</v>
      </c>
      <c r="L43">
        <f t="shared" si="0"/>
        <v>0.50731416805702156</v>
      </c>
      <c r="M43">
        <f t="shared" si="1"/>
        <v>28650.251447979255</v>
      </c>
      <c r="N43">
        <f t="shared" si="2"/>
        <v>14325.125723989628</v>
      </c>
      <c r="O43">
        <f t="shared" si="3"/>
        <v>42507.79147379355</v>
      </c>
      <c r="P43">
        <f t="shared" si="4"/>
        <v>54195.434606138755</v>
      </c>
      <c r="Q43">
        <f t="shared" si="5"/>
        <v>62493.398242009804</v>
      </c>
      <c r="R43">
        <f t="shared" si="6"/>
        <v>42507.79147379355</v>
      </c>
      <c r="S43">
        <f t="shared" si="7"/>
        <v>8503.8644074348376</v>
      </c>
      <c r="T43">
        <f t="shared" si="8"/>
        <v>4909.708404784581</v>
      </c>
      <c r="U43">
        <f t="shared" si="9"/>
        <v>3.4363194432627924</v>
      </c>
      <c r="V43">
        <f t="shared" si="10"/>
        <v>13.259434865049942</v>
      </c>
      <c r="W43">
        <f t="shared" si="11"/>
        <v>15.289611560596221</v>
      </c>
      <c r="X43">
        <f t="shared" si="12"/>
        <v>10.399940445168943</v>
      </c>
      <c r="Y43">
        <f t="shared" si="13"/>
        <v>2.0805523017030558</v>
      </c>
      <c r="Z43">
        <f t="shared" si="14"/>
        <v>1.2012074314513548</v>
      </c>
      <c r="AA43">
        <f t="shared" si="15"/>
        <v>3.9698280395494518</v>
      </c>
      <c r="AB43">
        <f t="shared" si="16"/>
        <v>0.64680170073414356</v>
      </c>
      <c r="AC43">
        <f t="shared" si="17"/>
        <v>0.74583471027298642</v>
      </c>
      <c r="AD43">
        <f t="shared" si="18"/>
        <v>0.50731416805702156</v>
      </c>
      <c r="AE43">
        <f t="shared" si="19"/>
        <v>0.10149035618063655</v>
      </c>
      <c r="AF43">
        <f t="shared" si="20"/>
        <v>5.8595484461041514E-2</v>
      </c>
      <c r="AG43">
        <f t="shared" si="21"/>
        <v>3.9943186130180055</v>
      </c>
    </row>
    <row r="44" spans="1:33" x14ac:dyDescent="0.3">
      <c r="A44" t="s">
        <v>23</v>
      </c>
      <c r="B44">
        <v>33.918441102460903</v>
      </c>
      <c r="C44">
        <v>14.088752589384665</v>
      </c>
      <c r="D44">
        <v>20.5</v>
      </c>
      <c r="E44">
        <v>66.3</v>
      </c>
      <c r="F44">
        <v>500</v>
      </c>
      <c r="G44">
        <v>4</v>
      </c>
      <c r="H44">
        <v>13.25943487</v>
      </c>
      <c r="I44">
        <v>2.9673590509999999</v>
      </c>
      <c r="J44">
        <v>2</v>
      </c>
      <c r="K44">
        <v>4.984962406015037</v>
      </c>
      <c r="L44">
        <f t="shared" si="0"/>
        <v>0.68725622387242269</v>
      </c>
      <c r="M44">
        <f t="shared" si="1"/>
        <v>38812.366897903179</v>
      </c>
      <c r="N44">
        <f t="shared" si="2"/>
        <v>19406.18344895159</v>
      </c>
      <c r="O44">
        <f t="shared" si="3"/>
        <v>57585.11410261289</v>
      </c>
    </row>
    <row r="45" spans="1:33" x14ac:dyDescent="0.3">
      <c r="A45" t="s">
        <v>23</v>
      </c>
      <c r="B45">
        <v>33.796458533035299</v>
      </c>
      <c r="C45">
        <v>15.289611560596221</v>
      </c>
      <c r="D45">
        <v>20.5</v>
      </c>
      <c r="E45">
        <v>66.3</v>
      </c>
      <c r="F45">
        <v>500</v>
      </c>
      <c r="G45">
        <v>4</v>
      </c>
      <c r="H45">
        <v>13.25943487</v>
      </c>
      <c r="I45">
        <v>2.9673590509999999</v>
      </c>
      <c r="J45">
        <v>2</v>
      </c>
      <c r="K45">
        <v>4.984962406015037</v>
      </c>
      <c r="L45">
        <f t="shared" si="0"/>
        <v>0.74583471027298642</v>
      </c>
      <c r="M45">
        <f t="shared" si="1"/>
        <v>42120.550407238065</v>
      </c>
      <c r="N45">
        <f t="shared" si="2"/>
        <v>21060.275203619032</v>
      </c>
      <c r="O45">
        <f t="shared" si="3"/>
        <v>62493.398242009804</v>
      </c>
    </row>
    <row r="46" spans="1:33" x14ac:dyDescent="0.3">
      <c r="A46" t="s">
        <v>25</v>
      </c>
      <c r="B46">
        <v>34.615906827953197</v>
      </c>
      <c r="C46">
        <v>8.8258337270574998</v>
      </c>
      <c r="D46">
        <v>28.6</v>
      </c>
      <c r="E46">
        <v>92.9</v>
      </c>
      <c r="F46">
        <v>500</v>
      </c>
      <c r="G46">
        <v>4</v>
      </c>
      <c r="H46">
        <v>8.9660708580000001</v>
      </c>
      <c r="I46">
        <v>2.9673590509999999</v>
      </c>
      <c r="J46">
        <v>2</v>
      </c>
      <c r="K46">
        <v>4.9946236559139781</v>
      </c>
      <c r="L46">
        <f t="shared" si="0"/>
        <v>0.30859558486215033</v>
      </c>
      <c r="M46">
        <f t="shared" si="1"/>
        <v>24360.949374811084</v>
      </c>
      <c r="N46">
        <f t="shared" si="2"/>
        <v>12180.474687405542</v>
      </c>
      <c r="O46">
        <f t="shared" si="3"/>
        <v>36143.841809149228</v>
      </c>
      <c r="P46">
        <f t="shared" si="4"/>
        <v>36718.145474675119</v>
      </c>
      <c r="Q46">
        <f t="shared" si="5"/>
        <v>38837.698293816269</v>
      </c>
      <c r="R46">
        <f t="shared" si="6"/>
        <v>35172.896321059874</v>
      </c>
      <c r="S46">
        <f t="shared" si="7"/>
        <v>1550.2821033728351</v>
      </c>
      <c r="T46">
        <f t="shared" si="8"/>
        <v>895.05578970216561</v>
      </c>
      <c r="U46">
        <f t="shared" si="9"/>
        <v>7.5758505172207213</v>
      </c>
      <c r="V46">
        <f t="shared" si="10"/>
        <v>8.9660708575633148</v>
      </c>
      <c r="W46">
        <f t="shared" si="11"/>
        <v>9.4836367780936666</v>
      </c>
      <c r="X46">
        <f t="shared" si="12"/>
        <v>8.588742067538778</v>
      </c>
      <c r="Y46">
        <f t="shared" si="13"/>
        <v>0.37855776778378064</v>
      </c>
      <c r="Z46">
        <f t="shared" si="14"/>
        <v>0.21856042913378962</v>
      </c>
      <c r="AA46">
        <f t="shared" si="15"/>
        <v>10.476791642084597</v>
      </c>
      <c r="AB46">
        <f t="shared" si="16"/>
        <v>0.31349898103368234</v>
      </c>
      <c r="AC46">
        <f t="shared" si="17"/>
        <v>0.33159569154173657</v>
      </c>
      <c r="AD46">
        <f t="shared" si="18"/>
        <v>0.30030566669716008</v>
      </c>
      <c r="AE46">
        <f t="shared" si="19"/>
        <v>1.3236285586845465E-2</v>
      </c>
      <c r="AF46">
        <f t="shared" si="20"/>
        <v>7.6419730466359935E-3</v>
      </c>
      <c r="AG46">
        <f t="shared" si="21"/>
        <v>5.4457950881113693</v>
      </c>
    </row>
    <row r="47" spans="1:33" x14ac:dyDescent="0.3">
      <c r="A47" t="s">
        <v>25</v>
      </c>
      <c r="B47">
        <v>34.656515757432899</v>
      </c>
      <c r="C47">
        <v>8.588742067538778</v>
      </c>
      <c r="D47">
        <v>28.6</v>
      </c>
      <c r="E47">
        <v>92.9</v>
      </c>
      <c r="F47">
        <v>500</v>
      </c>
      <c r="G47">
        <v>4</v>
      </c>
      <c r="H47">
        <v>8.9660708580000001</v>
      </c>
      <c r="I47">
        <v>2.9673590509999999</v>
      </c>
      <c r="J47">
        <v>2</v>
      </c>
      <c r="K47">
        <v>4.9946236559139781</v>
      </c>
      <c r="L47">
        <f t="shared" si="0"/>
        <v>0.30030566669716008</v>
      </c>
      <c r="M47">
        <f t="shared" si="1"/>
        <v>23706.532115961236</v>
      </c>
      <c r="N47">
        <f t="shared" si="2"/>
        <v>11853.266057980618</v>
      </c>
      <c r="O47">
        <f t="shared" si="3"/>
        <v>35172.896321059874</v>
      </c>
    </row>
    <row r="48" spans="1:33" x14ac:dyDescent="0.3">
      <c r="A48" t="s">
        <v>25</v>
      </c>
      <c r="B48">
        <v>34.508705939058999</v>
      </c>
      <c r="C48">
        <v>9.4836367780936666</v>
      </c>
      <c r="D48">
        <v>28.6</v>
      </c>
      <c r="E48">
        <v>92.9</v>
      </c>
      <c r="F48">
        <v>500</v>
      </c>
      <c r="G48">
        <v>4</v>
      </c>
      <c r="H48">
        <v>8.9660708580000001</v>
      </c>
      <c r="I48">
        <v>2.9673590509999999</v>
      </c>
      <c r="J48">
        <v>2</v>
      </c>
      <c r="K48">
        <v>4.9946236559139781</v>
      </c>
      <c r="L48">
        <f t="shared" si="0"/>
        <v>0.33159569154173657</v>
      </c>
      <c r="M48">
        <f t="shared" si="1"/>
        <v>26176.608645137141</v>
      </c>
      <c r="N48">
        <f t="shared" si="2"/>
        <v>13088.304322568571</v>
      </c>
      <c r="O48">
        <f t="shared" si="3"/>
        <v>38837.698293816269</v>
      </c>
    </row>
    <row r="49" spans="1:33" x14ac:dyDescent="0.3">
      <c r="A49" t="s">
        <v>26</v>
      </c>
      <c r="B49">
        <v>34.072148925695203</v>
      </c>
      <c r="C49">
        <v>10.9307779874584</v>
      </c>
      <c r="D49">
        <v>26.5</v>
      </c>
      <c r="E49">
        <v>96.5</v>
      </c>
      <c r="F49">
        <v>500</v>
      </c>
      <c r="G49">
        <v>4</v>
      </c>
      <c r="H49">
        <v>12.88315543</v>
      </c>
      <c r="I49">
        <v>2.9673590509999999</v>
      </c>
      <c r="J49">
        <v>2</v>
      </c>
      <c r="K49">
        <v>5</v>
      </c>
      <c r="L49">
        <f t="shared" si="0"/>
        <v>0.41248218820597737</v>
      </c>
      <c r="M49">
        <f t="shared" si="1"/>
        <v>30203.465491661369</v>
      </c>
      <c r="N49">
        <f t="shared" si="2"/>
        <v>15101.732745830685</v>
      </c>
      <c r="O49">
        <f t="shared" si="3"/>
        <v>44812.263349123765</v>
      </c>
      <c r="P49">
        <f t="shared" si="4"/>
        <v>52816.309562174523</v>
      </c>
      <c r="Q49">
        <f t="shared" si="5"/>
        <v>61554.813841423129</v>
      </c>
      <c r="R49">
        <f t="shared" si="6"/>
        <v>44812.263349123765</v>
      </c>
      <c r="S49">
        <f t="shared" si="7"/>
        <v>6854.8192650645524</v>
      </c>
      <c r="T49">
        <f t="shared" si="8"/>
        <v>3957.631747931252</v>
      </c>
      <c r="U49">
        <f t="shared" si="9"/>
        <v>4.0617948461566513</v>
      </c>
      <c r="V49">
        <f t="shared" si="10"/>
        <v>12.883155430985267</v>
      </c>
      <c r="W49">
        <f t="shared" si="11"/>
        <v>15.0146846839211</v>
      </c>
      <c r="X49">
        <f t="shared" si="12"/>
        <v>10.9307779874584</v>
      </c>
      <c r="Y49">
        <f t="shared" si="13"/>
        <v>1.6720536284190819</v>
      </c>
      <c r="Z49">
        <f t="shared" si="14"/>
        <v>0.96536061246724747</v>
      </c>
      <c r="AA49">
        <f t="shared" si="15"/>
        <v>4.714654659993621</v>
      </c>
      <c r="AB49">
        <f t="shared" si="16"/>
        <v>0.48615680871642519</v>
      </c>
      <c r="AC49">
        <f t="shared" si="17"/>
        <v>0.56659187486494722</v>
      </c>
      <c r="AD49">
        <f t="shared" si="18"/>
        <v>0.41248218820597737</v>
      </c>
      <c r="AE49">
        <f t="shared" si="19"/>
        <v>6.3096363336568539E-2</v>
      </c>
      <c r="AF49">
        <f t="shared" si="20"/>
        <v>3.6428702357254282E-2</v>
      </c>
      <c r="AG49">
        <f t="shared" si="21"/>
        <v>3.8788277766649371</v>
      </c>
    </row>
    <row r="50" spans="1:33" x14ac:dyDescent="0.3">
      <c r="A50" t="s">
        <v>26</v>
      </c>
      <c r="B50">
        <v>33.615802872369699</v>
      </c>
      <c r="C50">
        <v>15.0146846839211</v>
      </c>
      <c r="D50">
        <v>26.5</v>
      </c>
      <c r="E50">
        <v>96.5</v>
      </c>
      <c r="F50">
        <v>500</v>
      </c>
      <c r="G50">
        <v>4</v>
      </c>
      <c r="H50">
        <v>12.88315543</v>
      </c>
      <c r="I50">
        <v>2.9673590509999999</v>
      </c>
      <c r="J50">
        <v>2</v>
      </c>
      <c r="K50">
        <v>5</v>
      </c>
      <c r="L50">
        <f t="shared" si="0"/>
        <v>0.56659187486494722</v>
      </c>
      <c r="M50">
        <f t="shared" si="1"/>
        <v>41487.944521360943</v>
      </c>
      <c r="N50">
        <f t="shared" si="2"/>
        <v>20743.972260680472</v>
      </c>
      <c r="O50">
        <f t="shared" si="3"/>
        <v>61554.813841423129</v>
      </c>
    </row>
    <row r="51" spans="1:33" x14ac:dyDescent="0.3">
      <c r="A51" t="s">
        <v>26</v>
      </c>
      <c r="B51">
        <v>33.856034676647702</v>
      </c>
      <c r="C51">
        <v>12.7040036215763</v>
      </c>
      <c r="D51">
        <v>26.5</v>
      </c>
      <c r="E51">
        <v>96.5</v>
      </c>
      <c r="F51">
        <v>500</v>
      </c>
      <c r="G51">
        <v>4</v>
      </c>
      <c r="H51">
        <v>12.88315543</v>
      </c>
      <c r="I51">
        <v>2.9673590509999999</v>
      </c>
      <c r="J51">
        <v>2</v>
      </c>
      <c r="K51">
        <v>5</v>
      </c>
      <c r="L51">
        <f t="shared" si="0"/>
        <v>0.47939636307835093</v>
      </c>
      <c r="M51">
        <f t="shared" si="1"/>
        <v>35103.167901723988</v>
      </c>
      <c r="N51">
        <f t="shared" si="2"/>
        <v>17551.583950861994</v>
      </c>
      <c r="O51">
        <f t="shared" si="3"/>
        <v>52081.851495976676</v>
      </c>
    </row>
    <row r="52" spans="1:33" x14ac:dyDescent="0.3">
      <c r="A52" t="s">
        <v>27</v>
      </c>
      <c r="B52">
        <v>34.826967103016898</v>
      </c>
      <c r="C52">
        <v>7.6610891491265001</v>
      </c>
      <c r="D52">
        <v>30.6</v>
      </c>
      <c r="E52">
        <v>119</v>
      </c>
      <c r="F52">
        <v>500</v>
      </c>
      <c r="G52">
        <v>3.9119000000000002</v>
      </c>
      <c r="H52">
        <v>7.1944136360000002</v>
      </c>
      <c r="I52">
        <v>2.9673590509999999</v>
      </c>
      <c r="J52">
        <v>2</v>
      </c>
      <c r="K52">
        <v>10</v>
      </c>
      <c r="L52">
        <f t="shared" si="0"/>
        <v>0.25036239049433007</v>
      </c>
      <c r="M52">
        <f t="shared" si="1"/>
        <v>42337.597929383293</v>
      </c>
      <c r="N52">
        <f t="shared" si="2"/>
        <v>21645.542027855157</v>
      </c>
      <c r="O52">
        <f t="shared" si="3"/>
        <v>64230.095050156895</v>
      </c>
      <c r="P52">
        <f t="shared" si="4"/>
        <v>60317.516567208069</v>
      </c>
      <c r="Q52">
        <f t="shared" si="5"/>
        <v>66209.686257669207</v>
      </c>
      <c r="R52">
        <f t="shared" si="6"/>
        <v>50512.768393798084</v>
      </c>
      <c r="S52">
        <f t="shared" si="7"/>
        <v>6979.9479651930505</v>
      </c>
      <c r="T52">
        <f t="shared" si="8"/>
        <v>4029.8748366337886</v>
      </c>
      <c r="U52">
        <f t="shared" si="9"/>
        <v>5.0636590334854352</v>
      </c>
      <c r="V52">
        <f t="shared" si="10"/>
        <v>7.1944136360758337</v>
      </c>
      <c r="W52">
        <f t="shared" si="11"/>
        <v>7.897206263817611</v>
      </c>
      <c r="X52">
        <f t="shared" si="12"/>
        <v>6.0249454952833883</v>
      </c>
      <c r="Y52">
        <f t="shared" si="13"/>
        <v>0.83253813614708894</v>
      </c>
      <c r="Z52">
        <f t="shared" si="14"/>
        <v>0.48066611701515111</v>
      </c>
      <c r="AA52">
        <f t="shared" si="15"/>
        <v>2.6358115512057876</v>
      </c>
      <c r="AB52">
        <f t="shared" si="16"/>
        <v>0.23511155673450435</v>
      </c>
      <c r="AC52">
        <f t="shared" si="17"/>
        <v>0.25807863607247095</v>
      </c>
      <c r="AD52">
        <f t="shared" si="18"/>
        <v>0.19689364363671202</v>
      </c>
      <c r="AE52">
        <f t="shared" si="19"/>
        <v>2.7207128632258059E-2</v>
      </c>
      <c r="AF52">
        <f t="shared" si="20"/>
        <v>1.5708043039710965E-2</v>
      </c>
      <c r="AG52">
        <f t="shared" si="21"/>
        <v>-0.23175269065401344</v>
      </c>
    </row>
    <row r="53" spans="1:33" x14ac:dyDescent="0.3">
      <c r="A53" t="s">
        <v>27</v>
      </c>
      <c r="B53">
        <v>34.7816992258524</v>
      </c>
      <c r="C53">
        <v>7.897206263817611</v>
      </c>
      <c r="D53">
        <v>30.6</v>
      </c>
      <c r="E53">
        <v>119</v>
      </c>
      <c r="F53">
        <v>500</v>
      </c>
      <c r="G53">
        <v>3.9119000000000002</v>
      </c>
      <c r="H53">
        <v>7.1944136360000002</v>
      </c>
      <c r="I53">
        <v>2.9673590509999999</v>
      </c>
      <c r="J53">
        <v>2</v>
      </c>
      <c r="K53">
        <v>10</v>
      </c>
      <c r="L53">
        <f t="shared" si="0"/>
        <v>0.25807863607247095</v>
      </c>
      <c r="M53">
        <f t="shared" si="1"/>
        <v>43642.455668465751</v>
      </c>
      <c r="N53">
        <f t="shared" si="2"/>
        <v>22312.664264662057</v>
      </c>
      <c r="O53">
        <f t="shared" si="3"/>
        <v>66209.686257669207</v>
      </c>
    </row>
    <row r="54" spans="1:33" x14ac:dyDescent="0.3">
      <c r="A54" t="s">
        <v>27</v>
      </c>
      <c r="B54">
        <v>35.185242516596801</v>
      </c>
      <c r="C54">
        <v>6.0249454952833883</v>
      </c>
      <c r="D54">
        <v>30.6</v>
      </c>
      <c r="E54">
        <v>119</v>
      </c>
      <c r="F54">
        <v>500</v>
      </c>
      <c r="G54">
        <v>3.9119000000000002</v>
      </c>
      <c r="H54">
        <v>7.1944136360000002</v>
      </c>
      <c r="I54">
        <v>2.9673590509999999</v>
      </c>
      <c r="J54">
        <v>2</v>
      </c>
      <c r="K54">
        <v>10</v>
      </c>
      <c r="L54">
        <f t="shared" si="0"/>
        <v>0.19689364363671202</v>
      </c>
      <c r="M54">
        <f t="shared" si="1"/>
        <v>33295.751421302935</v>
      </c>
      <c r="N54">
        <f t="shared" si="2"/>
        <v>17022.802945526691</v>
      </c>
      <c r="O54">
        <f t="shared" si="3"/>
        <v>50512.768393798084</v>
      </c>
    </row>
    <row r="55" spans="1:33" x14ac:dyDescent="0.3">
      <c r="A55" t="s">
        <v>28</v>
      </c>
      <c r="B55">
        <v>34.645773388387802</v>
      </c>
      <c r="C55">
        <v>8.6508337512979452</v>
      </c>
      <c r="D55">
        <v>20.399999999999999</v>
      </c>
      <c r="E55">
        <v>120</v>
      </c>
      <c r="F55">
        <v>500</v>
      </c>
      <c r="G55">
        <v>3.9853000000000001</v>
      </c>
      <c r="H55">
        <v>11.10316723</v>
      </c>
      <c r="I55">
        <v>2.9673590509999999</v>
      </c>
      <c r="J55">
        <v>2</v>
      </c>
      <c r="K55">
        <v>10</v>
      </c>
      <c r="L55">
        <f t="shared" si="0"/>
        <v>0.42406047800480129</v>
      </c>
      <c r="M55">
        <f t="shared" si="1"/>
        <v>47807.239151909707</v>
      </c>
      <c r="N55">
        <f t="shared" si="2"/>
        <v>23991.789402007231</v>
      </c>
      <c r="O55">
        <f t="shared" si="3"/>
        <v>71192.253431732024</v>
      </c>
      <c r="P55">
        <f t="shared" si="4"/>
        <v>91373.793310381312</v>
      </c>
      <c r="Q55">
        <f t="shared" si="5"/>
        <v>103647.32862000779</v>
      </c>
      <c r="R55">
        <f t="shared" si="6"/>
        <v>71192.253431732024</v>
      </c>
      <c r="S55">
        <f t="shared" si="7"/>
        <v>14381.362442803709</v>
      </c>
      <c r="T55">
        <f t="shared" si="8"/>
        <v>8303.0834776662959</v>
      </c>
      <c r="U55">
        <f t="shared" si="9"/>
        <v>4.6171114575870655</v>
      </c>
      <c r="V55">
        <f t="shared" si="10"/>
        <v>11.103167227478759</v>
      </c>
      <c r="W55">
        <f t="shared" si="11"/>
        <v>12.594569850463277</v>
      </c>
      <c r="X55">
        <f t="shared" si="12"/>
        <v>8.6508337512979452</v>
      </c>
      <c r="Y55">
        <f t="shared" si="13"/>
        <v>1.7475324858083772</v>
      </c>
      <c r="Z55">
        <f t="shared" si="14"/>
        <v>1.0089383510990826</v>
      </c>
      <c r="AA55">
        <f t="shared" si="15"/>
        <v>3.4924485107099699</v>
      </c>
      <c r="AB55">
        <f t="shared" si="16"/>
        <v>0.54427290330778233</v>
      </c>
      <c r="AC55">
        <f t="shared" si="17"/>
        <v>0.61738087502270966</v>
      </c>
      <c r="AD55">
        <f t="shared" si="18"/>
        <v>0.42406047800480129</v>
      </c>
      <c r="AE55">
        <f t="shared" si="19"/>
        <v>8.5663357147469296E-2</v>
      </c>
      <c r="AF55">
        <f t="shared" si="20"/>
        <v>4.9457762308778457E-2</v>
      </c>
      <c r="AG55">
        <f t="shared" si="21"/>
        <v>3.5354208776386886</v>
      </c>
    </row>
    <row r="56" spans="1:33" x14ac:dyDescent="0.3">
      <c r="A56" t="s">
        <v>28</v>
      </c>
      <c r="B56">
        <v>34.085630868380797</v>
      </c>
      <c r="C56">
        <v>12.594569850463277</v>
      </c>
      <c r="D56">
        <v>20.399999999999999</v>
      </c>
      <c r="E56">
        <v>120</v>
      </c>
      <c r="F56">
        <v>500</v>
      </c>
      <c r="G56">
        <v>3.9853000000000001</v>
      </c>
      <c r="H56">
        <v>11.10316723</v>
      </c>
      <c r="I56">
        <v>2.9673590509999999</v>
      </c>
      <c r="J56">
        <v>2</v>
      </c>
      <c r="K56">
        <v>10</v>
      </c>
      <c r="L56">
        <f t="shared" si="0"/>
        <v>0.61738087502270966</v>
      </c>
      <c r="M56">
        <f t="shared" si="1"/>
        <v>69601.570226244425</v>
      </c>
      <c r="N56">
        <f t="shared" si="2"/>
        <v>34929.149738410873</v>
      </c>
      <c r="O56">
        <f t="shared" si="3"/>
        <v>103647.32862000779</v>
      </c>
    </row>
    <row r="57" spans="1:33" x14ac:dyDescent="0.3">
      <c r="A57" t="s">
        <v>28</v>
      </c>
      <c r="B57">
        <v>34.149803670486001</v>
      </c>
      <c r="C57">
        <v>12.064098080675056</v>
      </c>
      <c r="D57">
        <v>20.399999999999999</v>
      </c>
      <c r="E57">
        <v>120</v>
      </c>
      <c r="F57">
        <v>500</v>
      </c>
      <c r="G57">
        <v>3.9853000000000001</v>
      </c>
      <c r="H57">
        <v>11.10316723</v>
      </c>
      <c r="I57">
        <v>2.9673590509999999</v>
      </c>
      <c r="J57">
        <v>2</v>
      </c>
      <c r="K57">
        <v>10</v>
      </c>
      <c r="L57">
        <f t="shared" si="0"/>
        <v>0.59137735689583615</v>
      </c>
      <c r="M57">
        <f t="shared" si="1"/>
        <v>66670.015708993742</v>
      </c>
      <c r="N57">
        <f t="shared" si="2"/>
        <v>33457.965879102572</v>
      </c>
      <c r="O57">
        <f t="shared" si="3"/>
        <v>99281.797879404185</v>
      </c>
    </row>
    <row r="58" spans="1:33" x14ac:dyDescent="0.3">
      <c r="A58" t="s">
        <v>29</v>
      </c>
      <c r="B58">
        <v>34.246991177492298</v>
      </c>
      <c r="C58">
        <v>11.302949767613944</v>
      </c>
      <c r="D58">
        <v>23.7</v>
      </c>
      <c r="E58">
        <v>66.900000000000006</v>
      </c>
      <c r="F58">
        <v>500</v>
      </c>
      <c r="G58">
        <v>4</v>
      </c>
      <c r="H58">
        <v>11.092244539999999</v>
      </c>
      <c r="I58">
        <v>2.9673590509999999</v>
      </c>
      <c r="J58">
        <v>2</v>
      </c>
      <c r="K58">
        <v>4.9925373134328357</v>
      </c>
      <c r="L58">
        <f t="shared" si="0"/>
        <v>0.47691771171366854</v>
      </c>
      <c r="M58">
        <f t="shared" si="1"/>
        <v>31185.220205264784</v>
      </c>
      <c r="N58">
        <f t="shared" si="2"/>
        <v>15592.610102632392</v>
      </c>
      <c r="O58">
        <f t="shared" si="3"/>
        <v>46268.872716760263</v>
      </c>
      <c r="P58">
        <f t="shared" si="4"/>
        <v>45406.346260568615</v>
      </c>
      <c r="Q58">
        <f t="shared" si="5"/>
        <v>50933.032544716814</v>
      </c>
      <c r="R58">
        <f t="shared" si="6"/>
        <v>39017.133520228759</v>
      </c>
      <c r="S58">
        <f t="shared" si="7"/>
        <v>4902.7289207931299</v>
      </c>
      <c r="T58">
        <f t="shared" si="8"/>
        <v>2830.5918621836772</v>
      </c>
      <c r="U58">
        <f t="shared" si="9"/>
        <v>4.1676598055238019</v>
      </c>
      <c r="V58">
        <f t="shared" si="10"/>
        <v>11.092244543234424</v>
      </c>
      <c r="W58">
        <f t="shared" si="11"/>
        <v>12.442349998223388</v>
      </c>
      <c r="X58">
        <f t="shared" si="12"/>
        <v>9.5314338638659439</v>
      </c>
      <c r="Y58">
        <f t="shared" si="13"/>
        <v>1.1976798971348213</v>
      </c>
      <c r="Z58">
        <f t="shared" si="14"/>
        <v>0.69148081101379244</v>
      </c>
      <c r="AA58">
        <f t="shared" si="15"/>
        <v>5.0867051854245391</v>
      </c>
      <c r="AB58">
        <f t="shared" si="16"/>
        <v>0.46802719591706438</v>
      </c>
      <c r="AC58">
        <f t="shared" si="17"/>
        <v>0.52499367081111348</v>
      </c>
      <c r="AD58">
        <f t="shared" si="18"/>
        <v>0.40217020522641117</v>
      </c>
      <c r="AE58">
        <f t="shared" si="19"/>
        <v>5.0535016756742698E-2</v>
      </c>
      <c r="AF58">
        <f t="shared" si="20"/>
        <v>2.9176405528007647E-2</v>
      </c>
      <c r="AG58">
        <f t="shared" si="21"/>
        <v>4.4842235831816284</v>
      </c>
    </row>
    <row r="59" spans="1:33" x14ac:dyDescent="0.3">
      <c r="A59" t="s">
        <v>29</v>
      </c>
      <c r="B59">
        <v>34.103764595549798</v>
      </c>
      <c r="C59">
        <v>12.442349998223388</v>
      </c>
      <c r="D59">
        <v>23.7</v>
      </c>
      <c r="E59">
        <v>66.900000000000006</v>
      </c>
      <c r="F59">
        <v>500</v>
      </c>
      <c r="G59">
        <v>4</v>
      </c>
      <c r="H59">
        <v>11.092244539999999</v>
      </c>
      <c r="I59">
        <v>2.9673590509999999</v>
      </c>
      <c r="J59">
        <v>2</v>
      </c>
      <c r="K59">
        <v>4.9925373134328357</v>
      </c>
      <c r="L59">
        <f t="shared" si="0"/>
        <v>0.52499367081111348</v>
      </c>
      <c r="M59">
        <f t="shared" si="1"/>
        <v>34328.863928719635</v>
      </c>
      <c r="N59">
        <f t="shared" si="2"/>
        <v>17164.431964359817</v>
      </c>
      <c r="O59">
        <f t="shared" si="3"/>
        <v>50933.032544716814</v>
      </c>
    </row>
    <row r="60" spans="1:33" x14ac:dyDescent="0.3">
      <c r="A60" t="s">
        <v>29</v>
      </c>
      <c r="B60">
        <v>34.501208797369898</v>
      </c>
      <c r="C60">
        <v>9.5314338638659439</v>
      </c>
      <c r="D60">
        <v>23.7</v>
      </c>
      <c r="E60">
        <v>66.900000000000006</v>
      </c>
      <c r="F60">
        <v>500</v>
      </c>
      <c r="G60">
        <v>4</v>
      </c>
      <c r="H60">
        <v>11.092244539999999</v>
      </c>
      <c r="I60">
        <v>2.9673590509999999</v>
      </c>
      <c r="J60">
        <v>2</v>
      </c>
      <c r="K60">
        <v>4.9925373134328357</v>
      </c>
      <c r="L60">
        <f t="shared" si="0"/>
        <v>0.40217020522641117</v>
      </c>
      <c r="M60">
        <f t="shared" si="1"/>
        <v>26297.547987716542</v>
      </c>
      <c r="N60">
        <f t="shared" si="2"/>
        <v>13148.773993858271</v>
      </c>
      <c r="O60">
        <f t="shared" si="3"/>
        <v>39017.133520228759</v>
      </c>
    </row>
    <row r="61" spans="1:33" x14ac:dyDescent="0.3">
      <c r="A61" t="s">
        <v>31</v>
      </c>
      <c r="B61">
        <v>34.380565815205003</v>
      </c>
      <c r="C61">
        <v>10.334560976723944</v>
      </c>
      <c r="D61">
        <v>18.8</v>
      </c>
      <c r="E61">
        <v>50.4</v>
      </c>
      <c r="F61">
        <v>500</v>
      </c>
      <c r="G61">
        <v>4</v>
      </c>
      <c r="H61">
        <v>10.40926312</v>
      </c>
      <c r="I61">
        <v>2.9673590509999999</v>
      </c>
      <c r="J61">
        <v>2</v>
      </c>
      <c r="K61">
        <v>4.9900990099009901</v>
      </c>
      <c r="L61">
        <f t="shared" si="0"/>
        <v>0.54971069025127361</v>
      </c>
      <c r="M61">
        <f t="shared" si="1"/>
        <v>28499.477169787973</v>
      </c>
      <c r="N61">
        <f t="shared" si="2"/>
        <v>14249.738584893987</v>
      </c>
      <c r="O61">
        <f t="shared" si="3"/>
        <v>42284.090764269102</v>
      </c>
      <c r="P61">
        <f t="shared" si="4"/>
        <v>42589.736265170002</v>
      </c>
      <c r="Q61">
        <f t="shared" si="5"/>
        <v>49739.152023695286</v>
      </c>
      <c r="R61">
        <f t="shared" si="6"/>
        <v>35745.966007545598</v>
      </c>
      <c r="S61">
        <f t="shared" si="7"/>
        <v>5716.7810348019439</v>
      </c>
      <c r="T61">
        <f t="shared" si="8"/>
        <v>3300.5850693410498</v>
      </c>
      <c r="U61">
        <f t="shared" si="9"/>
        <v>3.0815062109126794</v>
      </c>
      <c r="V61">
        <f t="shared" si="10"/>
        <v>10.409263116683185</v>
      </c>
      <c r="W61">
        <f t="shared" si="11"/>
        <v>12.156635988346443</v>
      </c>
      <c r="X61">
        <f t="shared" si="12"/>
        <v>8.7365923849791667</v>
      </c>
      <c r="Y61">
        <f t="shared" si="13"/>
        <v>1.3972257917075555</v>
      </c>
      <c r="Z61">
        <f t="shared" si="14"/>
        <v>0.80668868696104512</v>
      </c>
      <c r="AA61">
        <f t="shared" si="15"/>
        <v>3.8714309088672789</v>
      </c>
      <c r="AB61">
        <f t="shared" si="16"/>
        <v>0.55368420833421184</v>
      </c>
      <c r="AC61">
        <f t="shared" si="17"/>
        <v>0.64662957384821496</v>
      </c>
      <c r="AD61">
        <f t="shared" si="18"/>
        <v>0.46471236090314716</v>
      </c>
      <c r="AE61">
        <f t="shared" si="19"/>
        <v>7.432052083550901E-2</v>
      </c>
      <c r="AF61">
        <f t="shared" si="20"/>
        <v>4.2908972710694319E-2</v>
      </c>
      <c r="AG61">
        <f t="shared" si="21"/>
        <v>4.2016299512397408</v>
      </c>
    </row>
    <row r="62" spans="1:33" x14ac:dyDescent="0.3">
      <c r="A62" t="s">
        <v>31</v>
      </c>
      <c r="B62">
        <v>34.631062550627803</v>
      </c>
      <c r="C62">
        <v>8.7365923849791667</v>
      </c>
      <c r="D62">
        <v>18.8</v>
      </c>
      <c r="E62">
        <v>50.4</v>
      </c>
      <c r="F62">
        <v>500</v>
      </c>
      <c r="G62">
        <v>4</v>
      </c>
      <c r="H62">
        <v>10.40926312</v>
      </c>
      <c r="I62">
        <v>2.9673590509999999</v>
      </c>
      <c r="J62">
        <v>2</v>
      </c>
      <c r="K62">
        <v>4.9900990099009901</v>
      </c>
      <c r="L62">
        <f t="shared" si="0"/>
        <v>0.46471236090314716</v>
      </c>
      <c r="M62">
        <f t="shared" si="1"/>
        <v>24092.781084580383</v>
      </c>
      <c r="N62">
        <f t="shared" si="2"/>
        <v>12046.390542290192</v>
      </c>
      <c r="O62">
        <f t="shared" si="3"/>
        <v>35745.966007545598</v>
      </c>
    </row>
    <row r="63" spans="1:33" x14ac:dyDescent="0.3">
      <c r="A63" t="s">
        <v>31</v>
      </c>
      <c r="B63">
        <v>34.138408369087202</v>
      </c>
      <c r="C63">
        <v>12.156635988346443</v>
      </c>
      <c r="D63">
        <v>18.8</v>
      </c>
      <c r="E63">
        <v>50.4</v>
      </c>
      <c r="F63">
        <v>500</v>
      </c>
      <c r="G63">
        <v>4</v>
      </c>
      <c r="H63">
        <v>10.40926312</v>
      </c>
      <c r="I63">
        <v>2.9673590509999999</v>
      </c>
      <c r="J63">
        <v>2</v>
      </c>
      <c r="K63">
        <v>4.9900990099009901</v>
      </c>
      <c r="L63">
        <f t="shared" si="0"/>
        <v>0.64662957384821496</v>
      </c>
      <c r="M63">
        <f t="shared" si="1"/>
        <v>33524.188457701603</v>
      </c>
      <c r="N63">
        <f t="shared" si="2"/>
        <v>16762.094228850801</v>
      </c>
      <c r="O63">
        <f t="shared" si="3"/>
        <v>49739.152023695286</v>
      </c>
    </row>
    <row r="64" spans="1:33" x14ac:dyDescent="0.3">
      <c r="A64" t="s">
        <v>32</v>
      </c>
      <c r="B64">
        <v>33.659643613140403</v>
      </c>
      <c r="C64">
        <v>14.563697182454</v>
      </c>
      <c r="D64">
        <v>21.7</v>
      </c>
      <c r="E64">
        <v>56.3</v>
      </c>
      <c r="F64">
        <v>500</v>
      </c>
      <c r="G64">
        <v>4</v>
      </c>
      <c r="H64">
        <v>14.618257529999999</v>
      </c>
      <c r="I64">
        <v>2.9673590509999999</v>
      </c>
      <c r="J64">
        <v>2</v>
      </c>
      <c r="K64">
        <v>3.9929078014184398</v>
      </c>
      <c r="L64">
        <f t="shared" si="0"/>
        <v>0.67113811900709675</v>
      </c>
      <c r="M64">
        <f t="shared" si="1"/>
        <v>32136.355316937974</v>
      </c>
      <c r="N64">
        <f t="shared" si="2"/>
        <v>16068.177658468987</v>
      </c>
      <c r="O64">
        <f t="shared" si="3"/>
        <v>47680.05240793393</v>
      </c>
      <c r="P64">
        <f t="shared" si="4"/>
        <v>47858.677396531588</v>
      </c>
      <c r="Q64">
        <f t="shared" si="5"/>
        <v>50662.38193819642</v>
      </c>
      <c r="R64">
        <f t="shared" si="6"/>
        <v>45233.597843464406</v>
      </c>
      <c r="S64">
        <f t="shared" si="7"/>
        <v>2219.8880379751076</v>
      </c>
      <c r="T64">
        <f t="shared" si="8"/>
        <v>1281.6529562957587</v>
      </c>
      <c r="U64">
        <f t="shared" si="9"/>
        <v>10.309185420633456</v>
      </c>
      <c r="V64">
        <f t="shared" si="10"/>
        <v>14.618257530267767</v>
      </c>
      <c r="W64">
        <f t="shared" si="11"/>
        <v>15.4746388023463</v>
      </c>
      <c r="X64">
        <f t="shared" si="12"/>
        <v>13.816436606003</v>
      </c>
      <c r="Y64">
        <f t="shared" si="13"/>
        <v>0.67805666167098722</v>
      </c>
      <c r="Z64">
        <f t="shared" si="14"/>
        <v>0.39147619614156348</v>
      </c>
      <c r="AA64">
        <f t="shared" si="15"/>
        <v>14.185035077400103</v>
      </c>
      <c r="AB64">
        <f t="shared" si="16"/>
        <v>0.67365242074966669</v>
      </c>
      <c r="AC64">
        <f t="shared" si="17"/>
        <v>0.71311699549982954</v>
      </c>
      <c r="AD64">
        <f t="shared" si="18"/>
        <v>0.63670214774207379</v>
      </c>
      <c r="AE64">
        <f t="shared" si="19"/>
        <v>3.124685076824826E-2</v>
      </c>
      <c r="AF64">
        <f t="shared" si="20"/>
        <v>1.8040377702376199E-2</v>
      </c>
      <c r="AG64">
        <f t="shared" si="21"/>
        <v>13.83293125939227</v>
      </c>
    </row>
    <row r="65" spans="1:33" x14ac:dyDescent="0.3">
      <c r="A65" t="s">
        <v>32</v>
      </c>
      <c r="B65">
        <v>33.735363883792701</v>
      </c>
      <c r="C65">
        <v>13.816436606003</v>
      </c>
      <c r="D65">
        <v>21.7</v>
      </c>
      <c r="E65">
        <v>56.3</v>
      </c>
      <c r="F65">
        <v>500</v>
      </c>
      <c r="G65">
        <v>4</v>
      </c>
      <c r="H65">
        <v>14.618257529999999</v>
      </c>
      <c r="I65">
        <v>2.9673590509999999</v>
      </c>
      <c r="J65">
        <v>2</v>
      </c>
      <c r="K65">
        <v>3.9929078014184398</v>
      </c>
      <c r="L65">
        <f t="shared" si="0"/>
        <v>0.63670214774207379</v>
      </c>
      <c r="M65">
        <f t="shared" si="1"/>
        <v>30487.444940793859</v>
      </c>
      <c r="N65">
        <f t="shared" si="2"/>
        <v>15243.72247039693</v>
      </c>
      <c r="O65">
        <f t="shared" si="3"/>
        <v>45233.597843464406</v>
      </c>
    </row>
    <row r="66" spans="1:33" x14ac:dyDescent="0.3">
      <c r="A66" t="s">
        <v>32</v>
      </c>
      <c r="B66">
        <v>33.572426442542103</v>
      </c>
      <c r="C66">
        <v>15.4746388023463</v>
      </c>
      <c r="D66">
        <v>21.7</v>
      </c>
      <c r="E66">
        <v>56.3</v>
      </c>
      <c r="F66">
        <v>500</v>
      </c>
      <c r="G66">
        <v>4</v>
      </c>
      <c r="H66">
        <v>14.618257529999999</v>
      </c>
      <c r="I66">
        <v>2.9673590509999999</v>
      </c>
      <c r="J66">
        <v>2</v>
      </c>
      <c r="K66">
        <v>3.9929078014184398</v>
      </c>
      <c r="L66">
        <f t="shared" si="0"/>
        <v>0.71311699549982954</v>
      </c>
      <c r="M66">
        <f t="shared" si="1"/>
        <v>34146.445419959004</v>
      </c>
      <c r="N66">
        <f t="shared" si="2"/>
        <v>17073.222709979502</v>
      </c>
      <c r="O66">
        <f t="shared" si="3"/>
        <v>50662.38193819642</v>
      </c>
    </row>
    <row r="67" spans="1:33" x14ac:dyDescent="0.3">
      <c r="A67" t="s">
        <v>33</v>
      </c>
      <c r="B67">
        <v>35.408240271541601</v>
      </c>
      <c r="C67">
        <v>4.3152811341186297</v>
      </c>
      <c r="D67">
        <v>2.25</v>
      </c>
      <c r="E67">
        <v>2.25</v>
      </c>
      <c r="F67">
        <v>500</v>
      </c>
      <c r="G67">
        <v>4</v>
      </c>
      <c r="H67">
        <v>4.7158831799999996</v>
      </c>
      <c r="I67">
        <v>2.9673590509999999</v>
      </c>
      <c r="J67">
        <v>2</v>
      </c>
      <c r="K67">
        <v>1</v>
      </c>
      <c r="L67">
        <f t="shared" ref="L67:L114" si="22">C67/D67</f>
        <v>1.9179027262749466</v>
      </c>
      <c r="M67">
        <f t="shared" ref="M67:M114" si="23">L67*(D67*105/0.95)*(500/100*K67)</f>
        <v>2384.7606267497695</v>
      </c>
      <c r="N67">
        <f t="shared" ref="N67:N114" si="24">M67*J67/G67</f>
        <v>1192.3803133748847</v>
      </c>
      <c r="O67">
        <f t="shared" ref="O67:O114" si="25">N67*I67</f>
        <v>3538.2205151271805</v>
      </c>
      <c r="P67">
        <f t="shared" ref="P67:P112" si="26">AVERAGE(O67:O69)</f>
        <v>3866.6854130472148</v>
      </c>
      <c r="Q67">
        <f t="shared" ref="Q67:Q112" si="27">MAX(O67:O69)</f>
        <v>4828.3841569510314</v>
      </c>
      <c r="R67">
        <f t="shared" ref="R67:R112" si="28">MIN(O67:O69)</f>
        <v>3233.4515670634314</v>
      </c>
      <c r="S67">
        <f t="shared" ref="S67:S112" si="29">_xlfn.STDEV.P(O67:O69)</f>
        <v>691.31246357712257</v>
      </c>
      <c r="T67">
        <f t="shared" ref="T67:T112" si="30">S67/SQRT(COUNT(O67:O69))</f>
        <v>399.12943694039512</v>
      </c>
      <c r="U67" s="3">
        <f t="shared" ref="U67:U112" si="31">(P67-24973.44)/S67</f>
        <v>-30.531424933000821</v>
      </c>
      <c r="V67">
        <f t="shared" ref="V67:V112" si="32">AVERAGE(C67:C69)</f>
        <v>4.7158831800212369</v>
      </c>
      <c r="W67">
        <f t="shared" ref="W67:W112" si="33">MAX(C67:C69)</f>
        <v>5.8887892859383104</v>
      </c>
      <c r="X67">
        <f t="shared" ref="X67:X112" si="34">MIN(C67:C69)</f>
        <v>3.94357912000677</v>
      </c>
      <c r="Y67">
        <f t="shared" ref="Y67:Y112" si="35">_xlfn.STDEV.P(C67:C69)</f>
        <v>0.84313784827743876</v>
      </c>
      <c r="Z67">
        <f t="shared" ref="Z67:Z112" si="36">Y67/SQRT(COUNT(C67:C69))</f>
        <v>0.48678586366694115</v>
      </c>
      <c r="AA67">
        <f t="shared" ref="AA67:AA112" si="37">(V67-5)/Y67</f>
        <v>-0.3369755260770515</v>
      </c>
      <c r="AB67">
        <f t="shared" ref="AB67:AB112" si="38">AVERAGE(L67:L69)</f>
        <v>2.0959480800094386</v>
      </c>
      <c r="AC67">
        <f t="shared" ref="AC67:AC112" si="39">MAX(L67:L69)</f>
        <v>2.6172396826392492</v>
      </c>
      <c r="AD67">
        <f t="shared" ref="AD67:AD112" si="40">MIN(L67:L69)</f>
        <v>1.75270183111412</v>
      </c>
      <c r="AE67">
        <f t="shared" ref="AE67:AE112" si="41">_xlfn.STDEV.P(L67:L69)</f>
        <v>0.37472793256775366</v>
      </c>
      <c r="AF67">
        <f t="shared" ref="AF67:AF112" si="42">AE67/SQRT(COUNT(L67:L69))</f>
        <v>0.21634927274086452</v>
      </c>
      <c r="AG67">
        <f t="shared" ref="AG67:AG112" si="43">(AB67-0.241416882)/AE67</f>
        <v>4.9490070977671916</v>
      </c>
    </row>
    <row r="68" spans="1:33" x14ac:dyDescent="0.3">
      <c r="A68" t="s">
        <v>33</v>
      </c>
      <c r="B68">
        <v>34.961322092266499</v>
      </c>
      <c r="C68">
        <v>5.8887892859383104</v>
      </c>
      <c r="D68">
        <v>2.25</v>
      </c>
      <c r="E68">
        <v>2.25</v>
      </c>
      <c r="F68">
        <v>500</v>
      </c>
      <c r="G68">
        <v>4</v>
      </c>
      <c r="H68">
        <v>4.7158831799999996</v>
      </c>
      <c r="I68">
        <v>2.9673590509999999</v>
      </c>
      <c r="J68">
        <v>2</v>
      </c>
      <c r="K68">
        <v>1</v>
      </c>
      <c r="L68">
        <f t="shared" si="22"/>
        <v>2.6172396826392492</v>
      </c>
      <c r="M68">
        <f t="shared" si="23"/>
        <v>3254.3309211764354</v>
      </c>
      <c r="N68">
        <f t="shared" si="24"/>
        <v>1627.1654605882177</v>
      </c>
      <c r="O68">
        <f t="shared" si="25"/>
        <v>4828.3841569510314</v>
      </c>
    </row>
    <row r="69" spans="1:33" x14ac:dyDescent="0.3">
      <c r="A69" t="s">
        <v>33</v>
      </c>
      <c r="B69">
        <v>35.537726153314303</v>
      </c>
      <c r="C69">
        <v>3.94357912000677</v>
      </c>
      <c r="D69">
        <v>2.25</v>
      </c>
      <c r="E69">
        <v>2.25</v>
      </c>
      <c r="F69">
        <v>500</v>
      </c>
      <c r="G69">
        <v>4</v>
      </c>
      <c r="H69">
        <v>4.7158831799999996</v>
      </c>
      <c r="I69">
        <v>2.9673590509999999</v>
      </c>
      <c r="J69">
        <v>2</v>
      </c>
      <c r="K69">
        <v>1</v>
      </c>
      <c r="L69">
        <f t="shared" si="22"/>
        <v>1.75270183111412</v>
      </c>
      <c r="M69">
        <f t="shared" si="23"/>
        <v>2179.346355793215</v>
      </c>
      <c r="N69">
        <f t="shared" si="24"/>
        <v>1089.6731778966075</v>
      </c>
      <c r="O69">
        <f t="shared" si="25"/>
        <v>3233.4515670634314</v>
      </c>
    </row>
    <row r="70" spans="1:33" x14ac:dyDescent="0.3">
      <c r="A70" t="s">
        <v>35</v>
      </c>
      <c r="B70">
        <v>34.9833169652184</v>
      </c>
      <c r="C70">
        <v>6.8985548637273331</v>
      </c>
      <c r="D70">
        <v>17.899999999999999</v>
      </c>
      <c r="E70">
        <v>48.9</v>
      </c>
      <c r="F70">
        <v>500</v>
      </c>
      <c r="G70">
        <v>4</v>
      </c>
      <c r="H70">
        <v>8.8534489030000003</v>
      </c>
      <c r="I70">
        <v>2.9673590509999999</v>
      </c>
      <c r="J70">
        <v>2</v>
      </c>
      <c r="K70">
        <v>4.0081967213114753</v>
      </c>
      <c r="L70">
        <f t="shared" si="22"/>
        <v>0.38539412646521415</v>
      </c>
      <c r="M70">
        <f t="shared" si="23"/>
        <v>15280.685913635885</v>
      </c>
      <c r="N70">
        <f t="shared" si="24"/>
        <v>7640.3429568179426</v>
      </c>
      <c r="O70">
        <f t="shared" si="25"/>
        <v>22671.640825657822</v>
      </c>
      <c r="P70">
        <f t="shared" si="26"/>
        <v>29096.269807693538</v>
      </c>
      <c r="Q70">
        <f t="shared" si="27"/>
        <v>37010.143573554618</v>
      </c>
      <c r="R70">
        <f t="shared" si="28"/>
        <v>22671.640825657822</v>
      </c>
      <c r="S70">
        <f t="shared" si="29"/>
        <v>5947.6355404185442</v>
      </c>
      <c r="T70">
        <f t="shared" si="30"/>
        <v>3433.8689803024322</v>
      </c>
      <c r="U70" s="2">
        <f t="shared" si="31"/>
        <v>0.69318803744376867</v>
      </c>
      <c r="V70">
        <f t="shared" si="32"/>
        <v>8.8534489030466101</v>
      </c>
      <c r="W70">
        <f t="shared" si="33"/>
        <v>11.261492183999611</v>
      </c>
      <c r="X70">
        <f t="shared" si="34"/>
        <v>6.8985548637273331</v>
      </c>
      <c r="Y70">
        <f t="shared" si="35"/>
        <v>1.8097538859471276</v>
      </c>
      <c r="Z70">
        <f t="shared" si="36"/>
        <v>1.0448618932185454</v>
      </c>
      <c r="AA70">
        <f t="shared" si="37"/>
        <v>2.1292668207367451</v>
      </c>
      <c r="AB70">
        <f t="shared" si="38"/>
        <v>0.49460608396908445</v>
      </c>
      <c r="AC70">
        <f t="shared" si="39"/>
        <v>0.62913364156422413</v>
      </c>
      <c r="AD70">
        <f t="shared" si="40"/>
        <v>0.38539412646521415</v>
      </c>
      <c r="AE70">
        <f t="shared" si="41"/>
        <v>0.10110356904732533</v>
      </c>
      <c r="AF70">
        <f t="shared" si="42"/>
        <v>5.8372172805505197E-2</v>
      </c>
      <c r="AG70">
        <f t="shared" si="43"/>
        <v>2.504255827512575</v>
      </c>
    </row>
    <row r="71" spans="1:33" x14ac:dyDescent="0.3">
      <c r="A71" t="s">
        <v>35</v>
      </c>
      <c r="B71">
        <v>34.689599824960098</v>
      </c>
      <c r="C71">
        <v>8.4002996614128893</v>
      </c>
      <c r="D71">
        <v>17.899999999999999</v>
      </c>
      <c r="E71">
        <v>48.9</v>
      </c>
      <c r="F71">
        <v>500</v>
      </c>
      <c r="G71">
        <v>4</v>
      </c>
      <c r="H71">
        <v>8.8534489030000003</v>
      </c>
      <c r="I71">
        <v>2.9673590509999999</v>
      </c>
      <c r="J71">
        <v>2</v>
      </c>
      <c r="K71">
        <v>4.0081967213114753</v>
      </c>
      <c r="L71">
        <f t="shared" si="22"/>
        <v>0.46929048387781508</v>
      </c>
      <c r="M71">
        <f t="shared" si="23"/>
        <v>18607.134862607625</v>
      </c>
      <c r="N71">
        <f t="shared" si="24"/>
        <v>9303.5674313038126</v>
      </c>
      <c r="O71">
        <f t="shared" si="25"/>
        <v>27607.025023868187</v>
      </c>
    </row>
    <row r="72" spans="1:33" x14ac:dyDescent="0.3">
      <c r="A72" t="s">
        <v>35</v>
      </c>
      <c r="B72">
        <v>34.252471059479099</v>
      </c>
      <c r="C72">
        <v>11.261492183999611</v>
      </c>
      <c r="D72">
        <v>17.899999999999999</v>
      </c>
      <c r="E72">
        <v>48.9</v>
      </c>
      <c r="F72">
        <v>500</v>
      </c>
      <c r="G72">
        <v>4</v>
      </c>
      <c r="H72">
        <v>8.8534489030000003</v>
      </c>
      <c r="I72">
        <v>2.9673590509999999</v>
      </c>
      <c r="J72">
        <v>2</v>
      </c>
      <c r="K72">
        <v>4.0081967213114753</v>
      </c>
      <c r="L72">
        <f t="shared" si="22"/>
        <v>0.62913364156422413</v>
      </c>
      <c r="M72">
        <f t="shared" si="23"/>
        <v>24944.836763911127</v>
      </c>
      <c r="N72">
        <f t="shared" si="24"/>
        <v>12472.418381955564</v>
      </c>
      <c r="O72">
        <f t="shared" si="25"/>
        <v>37010.143573554618</v>
      </c>
    </row>
    <row r="73" spans="1:33" x14ac:dyDescent="0.3">
      <c r="A73" t="s">
        <v>36</v>
      </c>
      <c r="B73">
        <v>34.581995895497698</v>
      </c>
      <c r="C73">
        <v>9.0288268325715553</v>
      </c>
      <c r="D73">
        <v>20.6</v>
      </c>
      <c r="E73">
        <v>54.6</v>
      </c>
      <c r="F73">
        <v>500</v>
      </c>
      <c r="G73">
        <v>4</v>
      </c>
      <c r="H73">
        <v>9.7926774509999994</v>
      </c>
      <c r="I73">
        <v>2.9673590509999999</v>
      </c>
      <c r="J73">
        <v>2</v>
      </c>
      <c r="K73">
        <v>3.9854014598540148</v>
      </c>
      <c r="L73">
        <f t="shared" si="22"/>
        <v>0.43829256468793953</v>
      </c>
      <c r="M73">
        <f t="shared" si="23"/>
        <v>19885.618221718294</v>
      </c>
      <c r="N73">
        <f t="shared" si="24"/>
        <v>9942.809110859147</v>
      </c>
      <c r="O73">
        <f t="shared" si="25"/>
        <v>29503.884607473152</v>
      </c>
      <c r="P73">
        <f t="shared" si="26"/>
        <v>31999.952029704076</v>
      </c>
      <c r="Q73">
        <f t="shared" si="27"/>
        <v>34259.113790115916</v>
      </c>
      <c r="R73">
        <f t="shared" si="28"/>
        <v>29503.884607473152</v>
      </c>
      <c r="S73">
        <f t="shared" si="29"/>
        <v>1948.52839587825</v>
      </c>
      <c r="T73">
        <f t="shared" si="30"/>
        <v>1124.9833938839374</v>
      </c>
      <c r="U73">
        <f t="shared" si="31"/>
        <v>3.6060608839816548</v>
      </c>
      <c r="V73">
        <f t="shared" si="32"/>
        <v>9.7926774514842236</v>
      </c>
      <c r="W73">
        <f t="shared" si="33"/>
        <v>10.484029813822278</v>
      </c>
      <c r="X73">
        <f t="shared" si="34"/>
        <v>9.0288268325715553</v>
      </c>
      <c r="Y73">
        <f t="shared" si="35"/>
        <v>0.59629183406841801</v>
      </c>
      <c r="Z73">
        <f t="shared" si="36"/>
        <v>0.34426925091497684</v>
      </c>
      <c r="AA73">
        <f t="shared" si="37"/>
        <v>8.037469536995733</v>
      </c>
      <c r="AB73">
        <f t="shared" si="38"/>
        <v>0.47537269181962244</v>
      </c>
      <c r="AC73">
        <f t="shared" si="39"/>
        <v>0.50893348610787759</v>
      </c>
      <c r="AD73">
        <f t="shared" si="40"/>
        <v>0.43829256468793953</v>
      </c>
      <c r="AE73">
        <f t="shared" si="41"/>
        <v>2.8946205537301865E-2</v>
      </c>
      <c r="AF73">
        <f t="shared" si="42"/>
        <v>1.6712099558979468E-2</v>
      </c>
      <c r="AG73">
        <f t="shared" si="43"/>
        <v>8.0824344841375684</v>
      </c>
    </row>
    <row r="74" spans="1:33" x14ac:dyDescent="0.3">
      <c r="A74" t="s">
        <v>36</v>
      </c>
      <c r="B74">
        <v>34.359151799435402</v>
      </c>
      <c r="C74">
        <v>10.484029813822278</v>
      </c>
      <c r="D74">
        <v>20.6</v>
      </c>
      <c r="E74">
        <v>54.6</v>
      </c>
      <c r="F74">
        <v>500</v>
      </c>
      <c r="G74">
        <v>4</v>
      </c>
      <c r="H74">
        <v>9.7926774509999994</v>
      </c>
      <c r="I74">
        <v>2.9673590509999999</v>
      </c>
      <c r="J74">
        <v>2</v>
      </c>
      <c r="K74">
        <v>3.9854014598540148</v>
      </c>
      <c r="L74">
        <f t="shared" si="22"/>
        <v>0.50893348610787759</v>
      </c>
      <c r="M74">
        <f t="shared" si="23"/>
        <v>23090.642690220178</v>
      </c>
      <c r="N74">
        <f t="shared" si="24"/>
        <v>11545.321345110089</v>
      </c>
      <c r="O74">
        <f t="shared" si="25"/>
        <v>34259.113790115916</v>
      </c>
    </row>
    <row r="75" spans="1:33" x14ac:dyDescent="0.3">
      <c r="A75" t="s">
        <v>36</v>
      </c>
      <c r="B75">
        <v>34.449884970658303</v>
      </c>
      <c r="C75">
        <v>9.8651757080588336</v>
      </c>
      <c r="D75">
        <v>20.6</v>
      </c>
      <c r="E75">
        <v>54.6</v>
      </c>
      <c r="F75">
        <v>500</v>
      </c>
      <c r="G75">
        <v>4</v>
      </c>
      <c r="H75">
        <v>9.7926774509999994</v>
      </c>
      <c r="I75">
        <v>2.9673590509999999</v>
      </c>
      <c r="J75">
        <v>2</v>
      </c>
      <c r="K75">
        <v>3.9854014598540148</v>
      </c>
      <c r="L75">
        <f t="shared" si="22"/>
        <v>0.47889202466305014</v>
      </c>
      <c r="M75">
        <f t="shared" si="23"/>
        <v>21727.642080023546</v>
      </c>
      <c r="N75">
        <f t="shared" si="24"/>
        <v>10863.821040011773</v>
      </c>
      <c r="O75">
        <f t="shared" si="25"/>
        <v>32236.857691523168</v>
      </c>
    </row>
    <row r="76" spans="1:33" x14ac:dyDescent="0.3">
      <c r="A76" t="s">
        <v>37</v>
      </c>
      <c r="B76">
        <v>33.715096656265302</v>
      </c>
      <c r="C76">
        <v>16.146959463555444</v>
      </c>
      <c r="D76">
        <v>28.3</v>
      </c>
      <c r="E76">
        <v>181</v>
      </c>
      <c r="F76">
        <v>500</v>
      </c>
      <c r="G76">
        <v>3.8811</v>
      </c>
      <c r="H76">
        <v>14.520866010000001</v>
      </c>
      <c r="I76">
        <v>2.9673590509999999</v>
      </c>
      <c r="J76">
        <v>2</v>
      </c>
      <c r="K76">
        <v>10</v>
      </c>
      <c r="L76">
        <f t="shared" si="22"/>
        <v>0.5705639386415351</v>
      </c>
      <c r="M76">
        <f t="shared" si="23"/>
        <v>89233.197035437974</v>
      </c>
      <c r="N76">
        <f t="shared" si="24"/>
        <v>45983.456770213583</v>
      </c>
      <c r="O76">
        <f t="shared" si="25"/>
        <v>136449.42664336049</v>
      </c>
      <c r="P76">
        <f t="shared" si="26"/>
        <v>122708.16970259567</v>
      </c>
      <c r="Q76">
        <f t="shared" si="27"/>
        <v>136449.42664336049</v>
      </c>
      <c r="R76">
        <f t="shared" si="28"/>
        <v>97935.325997135529</v>
      </c>
      <c r="S76">
        <f t="shared" si="29"/>
        <v>17551.940387644401</v>
      </c>
      <c r="T76">
        <f t="shared" si="30"/>
        <v>10133.617507606759</v>
      </c>
      <c r="U76">
        <f t="shared" si="31"/>
        <v>5.5683148155742099</v>
      </c>
      <c r="V76">
        <f t="shared" si="32"/>
        <v>14.520866014436315</v>
      </c>
      <c r="W76">
        <f t="shared" si="33"/>
        <v>16.146959463555444</v>
      </c>
      <c r="X76">
        <f t="shared" si="34"/>
        <v>11.589332237056945</v>
      </c>
      <c r="Y76">
        <f t="shared" si="35"/>
        <v>2.077036722820313</v>
      </c>
      <c r="Z76">
        <f t="shared" si="36"/>
        <v>1.1991777110370458</v>
      </c>
      <c r="AA76">
        <f t="shared" si="37"/>
        <v>4.5838698516164733</v>
      </c>
      <c r="AB76">
        <f t="shared" si="38"/>
        <v>0.51310480616382736</v>
      </c>
      <c r="AC76">
        <f t="shared" si="39"/>
        <v>0.5705639386415351</v>
      </c>
      <c r="AD76">
        <f t="shared" si="40"/>
        <v>0.40951704017869062</v>
      </c>
      <c r="AE76">
        <f t="shared" si="41"/>
        <v>7.3393523774569772E-2</v>
      </c>
      <c r="AF76">
        <f t="shared" si="42"/>
        <v>4.2373770708023062E-2</v>
      </c>
      <c r="AG76">
        <f t="shared" si="43"/>
        <v>3.7017969732360081</v>
      </c>
    </row>
    <row r="77" spans="1:33" x14ac:dyDescent="0.3">
      <c r="A77" t="s">
        <v>37</v>
      </c>
      <c r="B77">
        <v>33.745009269983797</v>
      </c>
      <c r="C77">
        <v>15.826306342696556</v>
      </c>
      <c r="D77">
        <v>28.3</v>
      </c>
      <c r="E77">
        <v>181</v>
      </c>
      <c r="F77">
        <v>500</v>
      </c>
      <c r="G77">
        <v>3.8811</v>
      </c>
      <c r="H77">
        <v>14.520866010000001</v>
      </c>
      <c r="I77">
        <v>2.9673590509999999</v>
      </c>
      <c r="J77">
        <v>2</v>
      </c>
      <c r="K77">
        <v>10</v>
      </c>
      <c r="L77">
        <f t="shared" si="22"/>
        <v>0.55923343967125638</v>
      </c>
      <c r="M77">
        <f t="shared" si="23"/>
        <v>87461.166630691485</v>
      </c>
      <c r="N77">
        <f t="shared" si="24"/>
        <v>45070.297921048921</v>
      </c>
      <c r="O77">
        <f t="shared" si="25"/>
        <v>133739.75646729098</v>
      </c>
    </row>
    <row r="78" spans="1:33" x14ac:dyDescent="0.3">
      <c r="A78" t="s">
        <v>37</v>
      </c>
      <c r="B78">
        <v>34.209677218604099</v>
      </c>
      <c r="C78">
        <v>11.589332237056945</v>
      </c>
      <c r="D78">
        <v>28.3</v>
      </c>
      <c r="E78">
        <v>181</v>
      </c>
      <c r="F78">
        <v>500</v>
      </c>
      <c r="G78">
        <v>3.8811</v>
      </c>
      <c r="H78">
        <v>14.520866010000001</v>
      </c>
      <c r="I78">
        <v>2.9673590509999999</v>
      </c>
      <c r="J78">
        <v>2</v>
      </c>
      <c r="K78">
        <v>10</v>
      </c>
      <c r="L78">
        <f t="shared" si="22"/>
        <v>0.40951704017869062</v>
      </c>
      <c r="M78">
        <f t="shared" si="23"/>
        <v>64046.309731104171</v>
      </c>
      <c r="N78">
        <f t="shared" si="24"/>
        <v>33004.204854862888</v>
      </c>
      <c r="O78">
        <f t="shared" si="25"/>
        <v>97935.325997135529</v>
      </c>
    </row>
    <row r="79" spans="1:33" x14ac:dyDescent="0.3">
      <c r="A79" t="s">
        <v>40</v>
      </c>
      <c r="B79">
        <v>36.047816308759401</v>
      </c>
      <c r="C79">
        <v>2.7655974700821799</v>
      </c>
      <c r="D79">
        <v>10.3</v>
      </c>
      <c r="E79">
        <v>8.25</v>
      </c>
      <c r="F79">
        <v>500</v>
      </c>
      <c r="G79">
        <v>4</v>
      </c>
      <c r="H79">
        <v>3.460416908</v>
      </c>
      <c r="I79">
        <v>2.9673590509999999</v>
      </c>
      <c r="J79">
        <v>2</v>
      </c>
      <c r="K79">
        <v>1</v>
      </c>
      <c r="L79">
        <f t="shared" si="22"/>
        <v>0.2685046087458427</v>
      </c>
      <c r="M79">
        <f t="shared" si="23"/>
        <v>1528.3564966243625</v>
      </c>
      <c r="N79">
        <f t="shared" si="24"/>
        <v>764.17824831218127</v>
      </c>
      <c r="O79">
        <f t="shared" si="25"/>
        <v>2267.5912417064765</v>
      </c>
      <c r="P79">
        <f t="shared" si="26"/>
        <v>2837.2932644293301</v>
      </c>
      <c r="Q79">
        <f t="shared" si="27"/>
        <v>3946.5056164317512</v>
      </c>
      <c r="R79">
        <f t="shared" si="28"/>
        <v>2267.5912417064765</v>
      </c>
      <c r="S79">
        <f t="shared" si="29"/>
        <v>784.4284186439196</v>
      </c>
      <c r="T79">
        <f t="shared" si="30"/>
        <v>452.88995866405946</v>
      </c>
      <c r="U79" s="3">
        <f t="shared" si="31"/>
        <v>-28.219460449735525</v>
      </c>
      <c r="V79">
        <f t="shared" si="32"/>
        <v>3.4604169083321401</v>
      </c>
      <c r="W79">
        <f t="shared" si="33"/>
        <v>4.8132334204356404</v>
      </c>
      <c r="X79">
        <f t="shared" si="34"/>
        <v>2.7655974700821799</v>
      </c>
      <c r="Y79">
        <f t="shared" si="35"/>
        <v>0.95670384069290959</v>
      </c>
      <c r="Z79">
        <f t="shared" si="36"/>
        <v>0.55235321995880027</v>
      </c>
      <c r="AA79">
        <f t="shared" si="37"/>
        <v>-1.6092577725545554</v>
      </c>
      <c r="AB79">
        <f t="shared" si="38"/>
        <v>0.33596280663418837</v>
      </c>
      <c r="AC79">
        <f t="shared" si="39"/>
        <v>0.46730421557627572</v>
      </c>
      <c r="AD79">
        <f t="shared" si="40"/>
        <v>0.2685046087458427</v>
      </c>
      <c r="AE79">
        <f t="shared" si="41"/>
        <v>9.2883868028437913E-2</v>
      </c>
      <c r="AF79">
        <f t="shared" si="42"/>
        <v>5.362652620959231E-2</v>
      </c>
      <c r="AG79">
        <f t="shared" si="43"/>
        <v>1.0178939210977045</v>
      </c>
    </row>
    <row r="80" spans="1:33" x14ac:dyDescent="0.3">
      <c r="A80" t="s">
        <v>40</v>
      </c>
      <c r="B80">
        <v>36.028802393338701</v>
      </c>
      <c r="C80">
        <v>2.8024198344786</v>
      </c>
      <c r="D80">
        <v>10.3</v>
      </c>
      <c r="E80">
        <v>8.25</v>
      </c>
      <c r="F80">
        <v>500</v>
      </c>
      <c r="G80">
        <v>4</v>
      </c>
      <c r="H80">
        <v>3.460416908</v>
      </c>
      <c r="I80">
        <v>2.9673590509999999</v>
      </c>
      <c r="J80">
        <v>2</v>
      </c>
      <c r="K80">
        <v>1</v>
      </c>
      <c r="L80">
        <f t="shared" si="22"/>
        <v>0.27207959558044659</v>
      </c>
      <c r="M80">
        <f t="shared" si="23"/>
        <v>1548.7056980013315</v>
      </c>
      <c r="N80">
        <f t="shared" si="24"/>
        <v>774.35284900066574</v>
      </c>
      <c r="O80">
        <f t="shared" si="25"/>
        <v>2297.7829351497617</v>
      </c>
    </row>
    <row r="81" spans="1:33" x14ac:dyDescent="0.3">
      <c r="A81" t="s">
        <v>40</v>
      </c>
      <c r="B81">
        <v>35.251249881305199</v>
      </c>
      <c r="C81">
        <v>4.8132334204356404</v>
      </c>
      <c r="D81">
        <v>10.3</v>
      </c>
      <c r="E81">
        <v>8.25</v>
      </c>
      <c r="F81">
        <v>500</v>
      </c>
      <c r="G81">
        <v>4</v>
      </c>
      <c r="H81">
        <v>3.460416908</v>
      </c>
      <c r="I81">
        <v>2.9673590509999999</v>
      </c>
      <c r="J81">
        <v>2</v>
      </c>
      <c r="K81">
        <v>1</v>
      </c>
      <c r="L81">
        <f t="shared" si="22"/>
        <v>0.46730421557627572</v>
      </c>
      <c r="M81">
        <f t="shared" si="23"/>
        <v>2659.9447849775906</v>
      </c>
      <c r="N81">
        <f t="shared" si="24"/>
        <v>1329.9723924887953</v>
      </c>
      <c r="O81">
        <f t="shared" si="25"/>
        <v>3946.5056164317512</v>
      </c>
    </row>
    <row r="82" spans="1:33" x14ac:dyDescent="0.3">
      <c r="A82" t="s">
        <v>42</v>
      </c>
      <c r="B82">
        <v>35.873668193040402</v>
      </c>
      <c r="C82">
        <v>3.7972481137451113</v>
      </c>
      <c r="D82">
        <v>18.8</v>
      </c>
      <c r="E82">
        <v>46.4</v>
      </c>
      <c r="F82">
        <v>500</v>
      </c>
      <c r="G82">
        <v>4</v>
      </c>
      <c r="H82">
        <v>4.0019409169999998</v>
      </c>
      <c r="I82">
        <v>2.9673590509999999</v>
      </c>
      <c r="J82">
        <v>2</v>
      </c>
      <c r="K82">
        <v>4</v>
      </c>
      <c r="L82">
        <f t="shared" si="22"/>
        <v>0.20198128264601656</v>
      </c>
      <c r="M82">
        <f t="shared" si="23"/>
        <v>8393.9168830155104</v>
      </c>
      <c r="N82">
        <f t="shared" si="24"/>
        <v>4196.9584415077552</v>
      </c>
      <c r="O82">
        <f t="shared" si="25"/>
        <v>12453.882618078891</v>
      </c>
      <c r="P82">
        <f t="shared" si="26"/>
        <v>13125.216190159432</v>
      </c>
      <c r="Q82">
        <f t="shared" si="27"/>
        <v>15511.95605357159</v>
      </c>
      <c r="R82">
        <f t="shared" si="28"/>
        <v>11409.809898827811</v>
      </c>
      <c r="S82">
        <f t="shared" si="29"/>
        <v>1740.6736899778314</v>
      </c>
      <c r="T82">
        <f t="shared" si="30"/>
        <v>1004.9784234800002</v>
      </c>
      <c r="U82" s="3">
        <f t="shared" si="31"/>
        <v>-6.8066886275459604</v>
      </c>
      <c r="V82">
        <f t="shared" si="32"/>
        <v>4.0019409166607245</v>
      </c>
      <c r="W82">
        <f t="shared" si="33"/>
        <v>4.729669266306928</v>
      </c>
      <c r="X82">
        <f t="shared" si="34"/>
        <v>3.4789053699301333</v>
      </c>
      <c r="Y82">
        <f t="shared" si="35"/>
        <v>0.53073969689732881</v>
      </c>
      <c r="Z82">
        <f t="shared" si="36"/>
        <v>0.3064227068732932</v>
      </c>
      <c r="AA82">
        <f t="shared" si="37"/>
        <v>-1.8805058094841345</v>
      </c>
      <c r="AB82">
        <f t="shared" si="38"/>
        <v>0.21286919769471938</v>
      </c>
      <c r="AC82">
        <f t="shared" si="39"/>
        <v>0.25157815246313447</v>
      </c>
      <c r="AD82">
        <f t="shared" si="40"/>
        <v>0.18504815797500709</v>
      </c>
      <c r="AE82">
        <f t="shared" si="41"/>
        <v>2.8230834941347187E-2</v>
      </c>
      <c r="AF82">
        <f t="shared" si="42"/>
        <v>1.6299080152834693E-2</v>
      </c>
      <c r="AG82">
        <f t="shared" si="43"/>
        <v>-1.0112235208271994</v>
      </c>
    </row>
    <row r="83" spans="1:33" x14ac:dyDescent="0.3">
      <c r="A83" t="s">
        <v>42</v>
      </c>
      <c r="B83">
        <v>35.546213324838099</v>
      </c>
      <c r="C83">
        <v>4.729669266306928</v>
      </c>
      <c r="D83">
        <v>18.8</v>
      </c>
      <c r="E83">
        <v>46.4</v>
      </c>
      <c r="F83">
        <v>500</v>
      </c>
      <c r="G83">
        <v>4</v>
      </c>
      <c r="H83">
        <v>4.0019409169999998</v>
      </c>
      <c r="I83">
        <v>2.9673590509999999</v>
      </c>
      <c r="J83">
        <v>2</v>
      </c>
      <c r="K83">
        <v>4</v>
      </c>
      <c r="L83">
        <f t="shared" si="22"/>
        <v>0.25157815246313447</v>
      </c>
      <c r="M83">
        <f t="shared" si="23"/>
        <v>10455.058378152156</v>
      </c>
      <c r="N83">
        <f t="shared" si="24"/>
        <v>5227.5291890760782</v>
      </c>
      <c r="O83">
        <f t="shared" si="25"/>
        <v>15511.95605357159</v>
      </c>
    </row>
    <row r="84" spans="1:33" x14ac:dyDescent="0.3">
      <c r="A84" t="s">
        <v>42</v>
      </c>
      <c r="B84">
        <v>36.004243715120197</v>
      </c>
      <c r="C84">
        <v>3.4789053699301333</v>
      </c>
      <c r="D84">
        <v>18.8</v>
      </c>
      <c r="E84">
        <v>46.4</v>
      </c>
      <c r="F84">
        <v>500</v>
      </c>
      <c r="G84">
        <v>4</v>
      </c>
      <c r="H84">
        <v>4.0019409169999998</v>
      </c>
      <c r="I84">
        <v>2.9673590509999999</v>
      </c>
      <c r="J84">
        <v>2</v>
      </c>
      <c r="K84">
        <v>4</v>
      </c>
      <c r="L84">
        <f t="shared" si="22"/>
        <v>0.18504815797500709</v>
      </c>
      <c r="M84">
        <f t="shared" si="23"/>
        <v>7690.2118703718752</v>
      </c>
      <c r="N84">
        <f t="shared" si="24"/>
        <v>3845.1059351859376</v>
      </c>
      <c r="O84">
        <f t="shared" si="25"/>
        <v>11409.809898827811</v>
      </c>
    </row>
    <row r="85" spans="1:33" x14ac:dyDescent="0.3">
      <c r="A85" t="s">
        <v>43</v>
      </c>
      <c r="B85">
        <v>35.725712621914099</v>
      </c>
      <c r="C85">
        <v>4.1933081008321222</v>
      </c>
      <c r="D85">
        <v>19.399999999999999</v>
      </c>
      <c r="E85">
        <v>82.1</v>
      </c>
      <c r="F85">
        <v>500</v>
      </c>
      <c r="G85">
        <v>4</v>
      </c>
      <c r="H85">
        <v>4.9032253910000003</v>
      </c>
      <c r="I85">
        <v>2.9673590509999999</v>
      </c>
      <c r="J85">
        <v>2</v>
      </c>
      <c r="K85">
        <v>5.0060975609756095</v>
      </c>
      <c r="L85">
        <f t="shared" si="22"/>
        <v>0.21614990210474858</v>
      </c>
      <c r="M85">
        <f t="shared" si="23"/>
        <v>11600.902594102474</v>
      </c>
      <c r="N85">
        <f t="shared" si="24"/>
        <v>5800.4512970512369</v>
      </c>
      <c r="O85">
        <f t="shared" si="25"/>
        <v>17212.021656189678</v>
      </c>
      <c r="P85">
        <f t="shared" si="26"/>
        <v>20125.976813097164</v>
      </c>
      <c r="Q85">
        <f t="shared" si="27"/>
        <v>24692.909481991333</v>
      </c>
      <c r="R85">
        <f t="shared" si="28"/>
        <v>17212.021656189678</v>
      </c>
      <c r="S85">
        <f t="shared" si="29"/>
        <v>3270.0837560024875</v>
      </c>
      <c r="T85">
        <f t="shared" si="30"/>
        <v>1887.9837368006588</v>
      </c>
      <c r="U85" s="3">
        <f t="shared" si="31"/>
        <v>-1.4823666757785476</v>
      </c>
      <c r="V85">
        <f t="shared" si="32"/>
        <v>4.9032253905612775</v>
      </c>
      <c r="W85">
        <f t="shared" si="33"/>
        <v>6.0158521428952776</v>
      </c>
      <c r="X85">
        <f t="shared" si="34"/>
        <v>4.1933081008321222</v>
      </c>
      <c r="Y85">
        <f t="shared" si="35"/>
        <v>0.79667972643490392</v>
      </c>
      <c r="Z85">
        <f t="shared" si="36"/>
        <v>0.45996325451510922</v>
      </c>
      <c r="AA85">
        <f t="shared" si="37"/>
        <v>-0.12147241385416363</v>
      </c>
      <c r="AB85">
        <f t="shared" si="38"/>
        <v>0.25274357683305554</v>
      </c>
      <c r="AC85">
        <f t="shared" si="39"/>
        <v>0.31009547128326176</v>
      </c>
      <c r="AD85">
        <f t="shared" si="40"/>
        <v>0.21614990210474858</v>
      </c>
      <c r="AE85">
        <f t="shared" si="41"/>
        <v>4.1065965280149684E-2</v>
      </c>
      <c r="AF85">
        <f t="shared" si="42"/>
        <v>2.3709446109026248E-2</v>
      </c>
      <c r="AG85">
        <f t="shared" si="43"/>
        <v>0.27581708492142998</v>
      </c>
    </row>
    <row r="86" spans="1:33" x14ac:dyDescent="0.3">
      <c r="A86" t="s">
        <v>43</v>
      </c>
      <c r="B86">
        <v>35.187494992612798</v>
      </c>
      <c r="C86">
        <v>6.0158521428952776</v>
      </c>
      <c r="D86">
        <v>19.399999999999999</v>
      </c>
      <c r="E86">
        <v>82.1</v>
      </c>
      <c r="F86">
        <v>500</v>
      </c>
      <c r="G86">
        <v>4</v>
      </c>
      <c r="H86">
        <v>4.9032253910000003</v>
      </c>
      <c r="I86">
        <v>2.9673590509999999</v>
      </c>
      <c r="J86">
        <v>2</v>
      </c>
      <c r="K86">
        <v>5.0060975609756095</v>
      </c>
      <c r="L86">
        <f t="shared" si="22"/>
        <v>0.31009547128326176</v>
      </c>
      <c r="M86">
        <f t="shared" si="23"/>
        <v>16643.020987749915</v>
      </c>
      <c r="N86">
        <f t="shared" si="24"/>
        <v>8321.5104938749573</v>
      </c>
      <c r="O86">
        <f t="shared" si="25"/>
        <v>24692.909481991333</v>
      </c>
    </row>
    <row r="87" spans="1:33" x14ac:dyDescent="0.3">
      <c r="A87" t="s">
        <v>43</v>
      </c>
      <c r="B87">
        <v>35.620275481309697</v>
      </c>
      <c r="C87">
        <v>4.5005159279564326</v>
      </c>
      <c r="D87">
        <v>19.399999999999999</v>
      </c>
      <c r="E87">
        <v>82.1</v>
      </c>
      <c r="F87">
        <v>500</v>
      </c>
      <c r="G87">
        <v>4</v>
      </c>
      <c r="H87">
        <v>4.9032253910000003</v>
      </c>
      <c r="I87">
        <v>2.9673590509999999</v>
      </c>
      <c r="J87">
        <v>2</v>
      </c>
      <c r="K87">
        <v>5.0060975609756095</v>
      </c>
      <c r="L87">
        <f t="shared" si="22"/>
        <v>0.23198535711115634</v>
      </c>
      <c r="M87">
        <f t="shared" si="23"/>
        <v>12450.801526620162</v>
      </c>
      <c r="N87">
        <f t="shared" si="24"/>
        <v>6225.4007633100809</v>
      </c>
      <c r="O87">
        <f t="shared" si="25"/>
        <v>18472.999301110478</v>
      </c>
    </row>
    <row r="88" spans="1:33" x14ac:dyDescent="0.3">
      <c r="A88" t="s">
        <v>44</v>
      </c>
      <c r="B88">
        <v>34.499930908780698</v>
      </c>
      <c r="C88">
        <v>9.5396048784367764</v>
      </c>
      <c r="D88">
        <v>25.2</v>
      </c>
      <c r="E88">
        <v>157</v>
      </c>
      <c r="F88">
        <v>500</v>
      </c>
      <c r="G88">
        <v>4.0255999999999998</v>
      </c>
      <c r="H88">
        <v>13.73729964</v>
      </c>
      <c r="I88">
        <v>2.9673590509999999</v>
      </c>
      <c r="J88">
        <v>2</v>
      </c>
      <c r="K88">
        <v>10</v>
      </c>
      <c r="L88">
        <f t="shared" si="22"/>
        <v>0.37855574914431656</v>
      </c>
      <c r="M88">
        <f t="shared" si="23"/>
        <v>52718.86906504535</v>
      </c>
      <c r="N88">
        <f t="shared" si="24"/>
        <v>26191.806967927936</v>
      </c>
      <c r="O88">
        <f t="shared" si="25"/>
        <v>77720.495468325826</v>
      </c>
      <c r="P88">
        <f t="shared" si="26"/>
        <v>111919.70193549611</v>
      </c>
      <c r="Q88">
        <f t="shared" si="27"/>
        <v>152316.47479184787</v>
      </c>
      <c r="R88">
        <f t="shared" si="28"/>
        <v>77720.495468325826</v>
      </c>
      <c r="S88">
        <f t="shared" si="29"/>
        <v>30767.37887947847</v>
      </c>
      <c r="T88">
        <f t="shared" si="30"/>
        <v>17763.554478326103</v>
      </c>
      <c r="U88">
        <f t="shared" si="31"/>
        <v>2.8259235951193875</v>
      </c>
      <c r="V88">
        <f t="shared" si="32"/>
        <v>13.73729964205087</v>
      </c>
      <c r="W88">
        <f t="shared" si="33"/>
        <v>18.695698956046609</v>
      </c>
      <c r="X88">
        <f t="shared" si="34"/>
        <v>9.5396048784367764</v>
      </c>
      <c r="Y88">
        <f t="shared" si="35"/>
        <v>3.7764638000152955</v>
      </c>
      <c r="Z88">
        <f t="shared" si="36"/>
        <v>2.1803423915237081</v>
      </c>
      <c r="AA88">
        <f t="shared" si="37"/>
        <v>2.3136193287528619</v>
      </c>
      <c r="AB88">
        <f t="shared" si="38"/>
        <v>0.54513093817662173</v>
      </c>
      <c r="AC88">
        <f t="shared" si="39"/>
        <v>0.7418928157161353</v>
      </c>
      <c r="AD88">
        <f t="shared" si="40"/>
        <v>0.37855574914431656</v>
      </c>
      <c r="AE88">
        <f t="shared" si="41"/>
        <v>0.14985967460378186</v>
      </c>
      <c r="AF88">
        <f t="shared" si="42"/>
        <v>8.6521523473163178E-2</v>
      </c>
      <c r="AG88">
        <f t="shared" si="43"/>
        <v>2.0266563168485434</v>
      </c>
    </row>
    <row r="89" spans="1:33" x14ac:dyDescent="0.3">
      <c r="A89" t="s">
        <v>44</v>
      </c>
      <c r="B89">
        <v>34.041068815681903</v>
      </c>
      <c r="C89">
        <v>12.976595091669221</v>
      </c>
      <c r="D89">
        <v>25.2</v>
      </c>
      <c r="E89">
        <v>157</v>
      </c>
      <c r="F89">
        <v>500</v>
      </c>
      <c r="G89">
        <v>4.0255999999999998</v>
      </c>
      <c r="H89">
        <v>13.73729964</v>
      </c>
      <c r="I89">
        <v>2.9673590509999999</v>
      </c>
      <c r="J89">
        <v>2</v>
      </c>
      <c r="K89">
        <v>10</v>
      </c>
      <c r="L89">
        <f t="shared" si="22"/>
        <v>0.51494424966941355</v>
      </c>
      <c r="M89">
        <f t="shared" si="23"/>
        <v>71712.762348698336</v>
      </c>
      <c r="N89">
        <f t="shared" si="24"/>
        <v>35628.35967244552</v>
      </c>
      <c r="O89">
        <f t="shared" si="25"/>
        <v>105722.1355463146</v>
      </c>
    </row>
    <row r="90" spans="1:33" x14ac:dyDescent="0.3">
      <c r="A90" t="s">
        <v>44</v>
      </c>
      <c r="B90">
        <v>33.496531000172801</v>
      </c>
      <c r="C90">
        <v>18.695698956046609</v>
      </c>
      <c r="D90">
        <v>25.2</v>
      </c>
      <c r="E90">
        <v>157</v>
      </c>
      <c r="F90">
        <v>500</v>
      </c>
      <c r="G90">
        <v>4.0255999999999998</v>
      </c>
      <c r="H90">
        <v>13.73729964</v>
      </c>
      <c r="I90">
        <v>2.9673590509999999</v>
      </c>
      <c r="J90">
        <v>2</v>
      </c>
      <c r="K90">
        <v>10</v>
      </c>
      <c r="L90">
        <f t="shared" si="22"/>
        <v>0.7418928157161353</v>
      </c>
      <c r="M90">
        <f t="shared" si="23"/>
        <v>103318.33633604705</v>
      </c>
      <c r="N90">
        <f t="shared" si="24"/>
        <v>51330.651995253902</v>
      </c>
      <c r="O90">
        <f t="shared" si="25"/>
        <v>152316.47479184787</v>
      </c>
    </row>
    <row r="91" spans="1:33" x14ac:dyDescent="0.3">
      <c r="A91" t="s">
        <v>45</v>
      </c>
      <c r="B91">
        <v>34.248106581201903</v>
      </c>
      <c r="C91">
        <v>9.6714838084667907</v>
      </c>
      <c r="D91">
        <v>27.3</v>
      </c>
      <c r="E91">
        <v>162</v>
      </c>
      <c r="F91">
        <v>500</v>
      </c>
      <c r="G91">
        <v>4.0223000000000004</v>
      </c>
      <c r="H91">
        <v>10.34498571</v>
      </c>
      <c r="I91">
        <v>2.9673590509999999</v>
      </c>
      <c r="J91">
        <v>2</v>
      </c>
      <c r="K91">
        <v>10</v>
      </c>
      <c r="L91">
        <f t="shared" si="22"/>
        <v>0.35426680617094469</v>
      </c>
      <c r="M91">
        <f t="shared" si="23"/>
        <v>53447.673678369109</v>
      </c>
      <c r="N91">
        <f t="shared" si="24"/>
        <v>26575.677437470651</v>
      </c>
      <c r="O91">
        <f t="shared" si="25"/>
        <v>78859.576980535014</v>
      </c>
      <c r="P91">
        <f t="shared" si="26"/>
        <v>84351.192982325054</v>
      </c>
      <c r="Q91">
        <f t="shared" si="27"/>
        <v>91623.350962800745</v>
      </c>
      <c r="R91">
        <f t="shared" si="28"/>
        <v>78859.576980535014</v>
      </c>
      <c r="S91">
        <f t="shared" si="29"/>
        <v>5360.7355758320573</v>
      </c>
      <c r="T91">
        <f t="shared" si="30"/>
        <v>3095.0221277610422</v>
      </c>
      <c r="U91">
        <f t="shared" si="31"/>
        <v>11.076418924675059</v>
      </c>
      <c r="V91">
        <f t="shared" si="32"/>
        <v>10.344985712449096</v>
      </c>
      <c r="W91">
        <f t="shared" si="33"/>
        <v>11.2368565650932</v>
      </c>
      <c r="X91">
        <f t="shared" si="34"/>
        <v>9.6714838084667907</v>
      </c>
      <c r="Y91">
        <f t="shared" si="35"/>
        <v>0.65745048741421575</v>
      </c>
      <c r="Z91">
        <f t="shared" si="36"/>
        <v>0.37957921588744814</v>
      </c>
      <c r="AA91">
        <f t="shared" si="37"/>
        <v>8.1298680505526448</v>
      </c>
      <c r="AB91">
        <f t="shared" si="38"/>
        <v>0.37893720558421601</v>
      </c>
      <c r="AC91">
        <f t="shared" si="39"/>
        <v>0.41160646758583147</v>
      </c>
      <c r="AD91">
        <f t="shared" si="40"/>
        <v>0.35426680617094469</v>
      </c>
      <c r="AE91">
        <f t="shared" si="41"/>
        <v>2.4082435436418151E-2</v>
      </c>
      <c r="AF91">
        <f t="shared" si="42"/>
        <v>1.3904000581957803E-2</v>
      </c>
      <c r="AG91">
        <f t="shared" si="43"/>
        <v>5.7103993467477059</v>
      </c>
    </row>
    <row r="92" spans="1:33" x14ac:dyDescent="0.3">
      <c r="A92" t="s">
        <v>45</v>
      </c>
      <c r="B92">
        <v>34.181999891366999</v>
      </c>
      <c r="C92">
        <v>10.1266167637873</v>
      </c>
      <c r="D92">
        <v>27.3</v>
      </c>
      <c r="E92">
        <v>162</v>
      </c>
      <c r="F92">
        <v>500</v>
      </c>
      <c r="G92">
        <v>4.0223000000000004</v>
      </c>
      <c r="H92">
        <v>10.34498571</v>
      </c>
      <c r="I92">
        <v>2.9673590509999999</v>
      </c>
      <c r="J92">
        <v>2</v>
      </c>
      <c r="K92">
        <v>10</v>
      </c>
      <c r="L92">
        <f t="shared" si="22"/>
        <v>0.37093834299587181</v>
      </c>
      <c r="M92">
        <f t="shared" si="23"/>
        <v>55962.88211566666</v>
      </c>
      <c r="N92">
        <f t="shared" si="24"/>
        <v>27826.309383022974</v>
      </c>
      <c r="O92">
        <f t="shared" si="25"/>
        <v>82570.651003639447</v>
      </c>
    </row>
    <row r="93" spans="1:33" x14ac:dyDescent="0.3">
      <c r="A93" t="s">
        <v>45</v>
      </c>
      <c r="B93">
        <v>34.032448486287201</v>
      </c>
      <c r="C93">
        <v>11.2368565650932</v>
      </c>
      <c r="D93">
        <v>27.3</v>
      </c>
      <c r="E93">
        <v>162</v>
      </c>
      <c r="F93">
        <v>500</v>
      </c>
      <c r="G93">
        <v>4.0223000000000004</v>
      </c>
      <c r="H93">
        <v>10.34498571</v>
      </c>
      <c r="I93">
        <v>2.9673590509999999</v>
      </c>
      <c r="J93">
        <v>2</v>
      </c>
      <c r="K93">
        <v>10</v>
      </c>
      <c r="L93">
        <f t="shared" si="22"/>
        <v>0.41160646758583147</v>
      </c>
      <c r="M93">
        <f t="shared" si="23"/>
        <v>62098.417859725581</v>
      </c>
      <c r="N93">
        <f t="shared" si="24"/>
        <v>30877.06926868984</v>
      </c>
      <c r="O93">
        <f t="shared" si="25"/>
        <v>91623.350962800745</v>
      </c>
    </row>
    <row r="94" spans="1:33" x14ac:dyDescent="0.3">
      <c r="A94" t="s">
        <v>46</v>
      </c>
      <c r="B94">
        <v>34.7303797119854</v>
      </c>
      <c r="C94">
        <v>8.1737022150308327</v>
      </c>
      <c r="D94">
        <v>29.6</v>
      </c>
      <c r="E94">
        <v>203</v>
      </c>
      <c r="F94">
        <v>500</v>
      </c>
      <c r="G94">
        <v>3.8791000000000002</v>
      </c>
      <c r="H94">
        <v>7.9341911700000001</v>
      </c>
      <c r="I94">
        <v>2.9673590509999999</v>
      </c>
      <c r="J94">
        <v>2</v>
      </c>
      <c r="K94">
        <v>10</v>
      </c>
      <c r="L94">
        <f t="shared" si="22"/>
        <v>0.2761385883456362</v>
      </c>
      <c r="M94">
        <f t="shared" si="23"/>
        <v>45170.459609380916</v>
      </c>
      <c r="N94">
        <f t="shared" si="24"/>
        <v>23289.144187765673</v>
      </c>
      <c r="O94">
        <f t="shared" si="25"/>
        <v>69107.252795610504</v>
      </c>
      <c r="P94">
        <f t="shared" si="26"/>
        <v>67082.227918735269</v>
      </c>
      <c r="Q94">
        <f t="shared" si="27"/>
        <v>78401.124454909354</v>
      </c>
      <c r="R94">
        <f t="shared" si="28"/>
        <v>53738.306505685941</v>
      </c>
      <c r="S94">
        <f t="shared" si="29"/>
        <v>10169.863703219988</v>
      </c>
      <c r="T94">
        <f t="shared" si="30"/>
        <v>5871.5735466758642</v>
      </c>
      <c r="U94">
        <f t="shared" si="31"/>
        <v>4.1405459451145603</v>
      </c>
      <c r="V94">
        <f t="shared" si="32"/>
        <v>7.9341911702124071</v>
      </c>
      <c r="W94">
        <f t="shared" si="33"/>
        <v>9.2729405191853331</v>
      </c>
      <c r="X94">
        <f t="shared" si="34"/>
        <v>6.3559307764210553</v>
      </c>
      <c r="Y94">
        <f t="shared" si="35"/>
        <v>1.2028467941479302</v>
      </c>
      <c r="Z94">
        <f t="shared" si="36"/>
        <v>0.6944639203951859</v>
      </c>
      <c r="AA94">
        <f t="shared" si="37"/>
        <v>2.4393723161484773</v>
      </c>
      <c r="AB94">
        <f t="shared" si="38"/>
        <v>0.26804699899366236</v>
      </c>
      <c r="AC94">
        <f t="shared" si="39"/>
        <v>0.313275017540045</v>
      </c>
      <c r="AD94">
        <f t="shared" si="40"/>
        <v>0.21472739109530592</v>
      </c>
      <c r="AE94">
        <f t="shared" si="41"/>
        <v>4.0636716018511321E-2</v>
      </c>
      <c r="AF94">
        <f t="shared" si="42"/>
        <v>2.346161893226989E-2</v>
      </c>
      <c r="AG94">
        <f t="shared" si="43"/>
        <v>0.6553215811418297</v>
      </c>
    </row>
    <row r="95" spans="1:33" x14ac:dyDescent="0.3">
      <c r="A95" t="s">
        <v>46</v>
      </c>
      <c r="B95">
        <v>34.542211186560898</v>
      </c>
      <c r="C95">
        <v>9.2729405191853331</v>
      </c>
      <c r="D95">
        <v>29.6</v>
      </c>
      <c r="E95">
        <v>203</v>
      </c>
      <c r="F95">
        <v>500</v>
      </c>
      <c r="G95">
        <v>3.8791000000000002</v>
      </c>
      <c r="H95">
        <v>7.9341911700000001</v>
      </c>
      <c r="I95">
        <v>2.9673590509999999</v>
      </c>
      <c r="J95">
        <v>2</v>
      </c>
      <c r="K95">
        <v>10</v>
      </c>
      <c r="L95">
        <f t="shared" si="22"/>
        <v>0.313275017540045</v>
      </c>
      <c r="M95">
        <f t="shared" si="23"/>
        <v>51245.197606024201</v>
      </c>
      <c r="N95">
        <f t="shared" si="24"/>
        <v>26421.178936363693</v>
      </c>
      <c r="O95">
        <f t="shared" si="25"/>
        <v>78401.124454909354</v>
      </c>
    </row>
    <row r="96" spans="1:33" x14ac:dyDescent="0.3">
      <c r="A96" t="s">
        <v>46</v>
      </c>
      <c r="B96">
        <v>35.105488581593001</v>
      </c>
      <c r="C96">
        <v>6.3559307764210553</v>
      </c>
      <c r="D96">
        <v>29.6</v>
      </c>
      <c r="E96">
        <v>203</v>
      </c>
      <c r="F96">
        <v>500</v>
      </c>
      <c r="G96">
        <v>3.8791000000000002</v>
      </c>
      <c r="H96">
        <v>7.9341911700000001</v>
      </c>
      <c r="I96">
        <v>2.9673590509999999</v>
      </c>
      <c r="J96">
        <v>2</v>
      </c>
      <c r="K96">
        <v>10</v>
      </c>
      <c r="L96">
        <f t="shared" si="22"/>
        <v>0.21472739109530592</v>
      </c>
      <c r="M96">
        <f t="shared" si="23"/>
        <v>35124.880606537416</v>
      </c>
      <c r="N96">
        <f t="shared" si="24"/>
        <v>18109.809289029628</v>
      </c>
      <c r="O96">
        <f t="shared" si="25"/>
        <v>53738.306505685941</v>
      </c>
    </row>
    <row r="97" spans="1:33" x14ac:dyDescent="0.3">
      <c r="A97" t="s">
        <v>48</v>
      </c>
      <c r="B97">
        <v>35.028501829169301</v>
      </c>
      <c r="C97">
        <v>6.6926687833997782</v>
      </c>
      <c r="D97">
        <v>28.9</v>
      </c>
      <c r="E97">
        <v>180</v>
      </c>
      <c r="F97">
        <v>500</v>
      </c>
      <c r="G97">
        <v>3.8485999999999998</v>
      </c>
      <c r="H97">
        <v>6.8759438399999997</v>
      </c>
      <c r="I97">
        <v>2.9673590509999999</v>
      </c>
      <c r="J97">
        <v>2</v>
      </c>
      <c r="K97">
        <v>10</v>
      </c>
      <c r="L97">
        <f t="shared" si="22"/>
        <v>0.23158023471971553</v>
      </c>
      <c r="M97">
        <f t="shared" si="23"/>
        <v>36985.801171419829</v>
      </c>
      <c r="N97">
        <f t="shared" si="24"/>
        <v>19220.392439546762</v>
      </c>
      <c r="O97">
        <f t="shared" si="25"/>
        <v>57033.805469261053</v>
      </c>
      <c r="P97">
        <f t="shared" si="26"/>
        <v>58595.644886393537</v>
      </c>
      <c r="Q97">
        <f t="shared" si="27"/>
        <v>62044.727696884474</v>
      </c>
      <c r="R97">
        <f t="shared" si="28"/>
        <v>56708.401493035082</v>
      </c>
      <c r="S97">
        <f t="shared" si="29"/>
        <v>2442.4852250872086</v>
      </c>
      <c r="T97">
        <f t="shared" si="30"/>
        <v>1410.1695021957837</v>
      </c>
      <c r="U97">
        <f t="shared" si="31"/>
        <v>13.765571452000517</v>
      </c>
      <c r="V97">
        <f t="shared" si="32"/>
        <v>6.8759438397584072</v>
      </c>
      <c r="W97">
        <f t="shared" si="33"/>
        <v>7.2806786924866662</v>
      </c>
      <c r="X97">
        <f t="shared" si="34"/>
        <v>6.654484043388778</v>
      </c>
      <c r="Y97">
        <f t="shared" si="35"/>
        <v>0.28661500815804103</v>
      </c>
      <c r="Z97">
        <f t="shared" si="36"/>
        <v>0.16547725211383177</v>
      </c>
      <c r="AA97">
        <f t="shared" si="37"/>
        <v>6.5451696050892139</v>
      </c>
      <c r="AB97">
        <f t="shared" si="38"/>
        <v>0.2379219321715712</v>
      </c>
      <c r="AC97">
        <f t="shared" si="39"/>
        <v>0.25192659835594</v>
      </c>
      <c r="AD97">
        <f t="shared" si="40"/>
        <v>0.23025896343905808</v>
      </c>
      <c r="AE97">
        <f t="shared" si="41"/>
        <v>9.9174743307280516E-3</v>
      </c>
      <c r="AF97">
        <f t="shared" si="42"/>
        <v>5.7258564745270449E-3</v>
      </c>
      <c r="AG97">
        <f t="shared" si="43"/>
        <v>-0.35240321395137175</v>
      </c>
    </row>
    <row r="98" spans="1:33" x14ac:dyDescent="0.3">
      <c r="A98" t="s">
        <v>48</v>
      </c>
      <c r="B98">
        <v>34.902918480044903</v>
      </c>
      <c r="C98">
        <v>7.2806786924866662</v>
      </c>
      <c r="D98">
        <v>28.9</v>
      </c>
      <c r="E98">
        <v>180</v>
      </c>
      <c r="F98">
        <v>500</v>
      </c>
      <c r="G98">
        <v>3.8485999999999998</v>
      </c>
      <c r="H98">
        <v>6.8759438399999997</v>
      </c>
      <c r="I98">
        <v>2.9673590509999999</v>
      </c>
      <c r="J98">
        <v>2</v>
      </c>
      <c r="K98">
        <v>10</v>
      </c>
      <c r="L98">
        <f t="shared" si="22"/>
        <v>0.25192659835594</v>
      </c>
      <c r="M98">
        <f t="shared" si="23"/>
        <v>40235.329616373681</v>
      </c>
      <c r="N98">
        <f t="shared" si="24"/>
        <v>20909.073229940073</v>
      </c>
      <c r="O98">
        <f t="shared" si="25"/>
        <v>62044.727696884474</v>
      </c>
    </row>
    <row r="99" spans="1:33" x14ac:dyDescent="0.3">
      <c r="A99" t="s">
        <v>48</v>
      </c>
      <c r="B99">
        <v>35.037034671456901</v>
      </c>
      <c r="C99">
        <v>6.654484043388778</v>
      </c>
      <c r="D99">
        <v>28.9</v>
      </c>
      <c r="E99">
        <v>180</v>
      </c>
      <c r="F99">
        <v>500</v>
      </c>
      <c r="G99">
        <v>3.8485999999999998</v>
      </c>
      <c r="H99">
        <v>6.8759438399999997</v>
      </c>
      <c r="I99">
        <v>2.9673590509999999</v>
      </c>
      <c r="J99">
        <v>2</v>
      </c>
      <c r="K99">
        <v>10</v>
      </c>
      <c r="L99">
        <f t="shared" si="22"/>
        <v>0.23025896343905808</v>
      </c>
      <c r="M99">
        <f t="shared" si="23"/>
        <v>36774.780239780092</v>
      </c>
      <c r="N99">
        <f t="shared" si="24"/>
        <v>19110.731299579118</v>
      </c>
      <c r="O99">
        <f t="shared" si="25"/>
        <v>56708.401493035082</v>
      </c>
    </row>
    <row r="100" spans="1:33" x14ac:dyDescent="0.3">
      <c r="A100" t="s">
        <v>49</v>
      </c>
      <c r="B100">
        <v>34.744183131251397</v>
      </c>
      <c r="C100">
        <v>6.8489677643280098</v>
      </c>
      <c r="D100">
        <v>30.3</v>
      </c>
      <c r="E100">
        <v>198</v>
      </c>
      <c r="F100">
        <v>500</v>
      </c>
      <c r="G100">
        <v>4.0749000000000004</v>
      </c>
      <c r="H100">
        <v>5.5865534349999999</v>
      </c>
      <c r="I100">
        <v>2.9673590509999999</v>
      </c>
      <c r="J100">
        <v>2</v>
      </c>
      <c r="K100">
        <v>10</v>
      </c>
      <c r="L100">
        <f t="shared" si="22"/>
        <v>0.226038540076832</v>
      </c>
      <c r="M100">
        <f t="shared" si="23"/>
        <v>37849.558697602166</v>
      </c>
      <c r="N100">
        <f t="shared" si="24"/>
        <v>18576.926401925033</v>
      </c>
      <c r="O100">
        <f t="shared" si="25"/>
        <v>55124.410698513107</v>
      </c>
      <c r="P100">
        <f t="shared" si="26"/>
        <v>44963.777978073027</v>
      </c>
      <c r="Q100">
        <f t="shared" si="27"/>
        <v>55124.410698513107</v>
      </c>
      <c r="R100">
        <f t="shared" si="28"/>
        <v>37189.682618004816</v>
      </c>
      <c r="S100">
        <f t="shared" si="29"/>
        <v>7513.7779338927994</v>
      </c>
      <c r="T100">
        <f t="shared" si="30"/>
        <v>4338.0817127640785</v>
      </c>
      <c r="U100">
        <f t="shared" si="31"/>
        <v>2.6604909213381918</v>
      </c>
      <c r="V100">
        <f t="shared" si="32"/>
        <v>5.5865534348928731</v>
      </c>
      <c r="W100">
        <f t="shared" si="33"/>
        <v>6.8489677643280098</v>
      </c>
      <c r="X100">
        <f t="shared" si="34"/>
        <v>4.6206559705349397</v>
      </c>
      <c r="Y100">
        <f t="shared" si="35"/>
        <v>0.933554158773783</v>
      </c>
      <c r="Z100">
        <f t="shared" si="36"/>
        <v>0.53898774487113832</v>
      </c>
      <c r="AA100">
        <f t="shared" si="37"/>
        <v>0.62830145351535582</v>
      </c>
      <c r="AB100">
        <f t="shared" si="38"/>
        <v>0.18437470082154697</v>
      </c>
      <c r="AC100">
        <f t="shared" si="39"/>
        <v>0.226038540076832</v>
      </c>
      <c r="AD100">
        <f t="shared" si="40"/>
        <v>0.15249689671732475</v>
      </c>
      <c r="AE100">
        <f t="shared" si="41"/>
        <v>3.0810368276362365E-2</v>
      </c>
      <c r="AF100">
        <f t="shared" si="42"/>
        <v>1.7788374418189319E-2</v>
      </c>
      <c r="AG100">
        <f t="shared" si="43"/>
        <v>-1.851395629769724</v>
      </c>
    </row>
    <row r="101" spans="1:33" x14ac:dyDescent="0.3">
      <c r="A101" t="s">
        <v>49</v>
      </c>
      <c r="B101">
        <v>35.3099486671207</v>
      </c>
      <c r="C101">
        <v>4.6206559705349397</v>
      </c>
      <c r="D101">
        <v>30.3</v>
      </c>
      <c r="E101">
        <v>198</v>
      </c>
      <c r="F101">
        <v>500</v>
      </c>
      <c r="G101">
        <v>4.0749000000000004</v>
      </c>
      <c r="H101">
        <v>5.5865534349999999</v>
      </c>
      <c r="I101">
        <v>2.9673590509999999</v>
      </c>
      <c r="J101">
        <v>2</v>
      </c>
      <c r="K101">
        <v>10</v>
      </c>
      <c r="L101">
        <f t="shared" si="22"/>
        <v>0.15249689671732475</v>
      </c>
      <c r="M101">
        <f t="shared" si="23"/>
        <v>25535.204047693092</v>
      </c>
      <c r="N101">
        <f t="shared" si="24"/>
        <v>12532.923039923968</v>
      </c>
      <c r="O101">
        <f t="shared" si="25"/>
        <v>37189.682618004816</v>
      </c>
    </row>
    <row r="102" spans="1:33" x14ac:dyDescent="0.3">
      <c r="A102" t="s">
        <v>49</v>
      </c>
      <c r="B102">
        <v>35.115464187421303</v>
      </c>
      <c r="C102">
        <v>5.2900365698156699</v>
      </c>
      <c r="D102">
        <v>30.3</v>
      </c>
      <c r="E102">
        <v>198</v>
      </c>
      <c r="F102">
        <v>500</v>
      </c>
      <c r="G102">
        <v>4.0749000000000004</v>
      </c>
      <c r="H102">
        <v>5.5865534349999999</v>
      </c>
      <c r="I102">
        <v>2.9673590509999999</v>
      </c>
      <c r="J102">
        <v>2</v>
      </c>
      <c r="K102">
        <v>10</v>
      </c>
      <c r="L102">
        <f t="shared" si="22"/>
        <v>0.17458866567048414</v>
      </c>
      <c r="M102">
        <f t="shared" si="23"/>
        <v>29234.412622665546</v>
      </c>
      <c r="N102">
        <f t="shared" si="24"/>
        <v>14348.53008548212</v>
      </c>
      <c r="O102">
        <f t="shared" si="25"/>
        <v>42577.240617701173</v>
      </c>
    </row>
    <row r="103" spans="1:33" x14ac:dyDescent="0.3">
      <c r="A103" t="s">
        <v>50</v>
      </c>
      <c r="B103">
        <v>34.264946784968402</v>
      </c>
      <c r="C103">
        <v>11.167674418465555</v>
      </c>
      <c r="D103">
        <v>28.6</v>
      </c>
      <c r="E103">
        <v>86.1</v>
      </c>
      <c r="F103">
        <v>500</v>
      </c>
      <c r="G103">
        <v>4</v>
      </c>
      <c r="H103">
        <v>9.9732561640000004</v>
      </c>
      <c r="I103">
        <v>2.9673590509999999</v>
      </c>
      <c r="J103">
        <v>2</v>
      </c>
      <c r="K103">
        <v>10</v>
      </c>
      <c r="L103">
        <f t="shared" si="22"/>
        <v>0.39047812651977465</v>
      </c>
      <c r="M103">
        <f t="shared" si="23"/>
        <v>61716.095470467539</v>
      </c>
      <c r="N103">
        <f t="shared" si="24"/>
        <v>30858.047735233769</v>
      </c>
      <c r="O103">
        <f t="shared" si="25"/>
        <v>91566.907243335969</v>
      </c>
      <c r="P103">
        <f t="shared" si="26"/>
        <v>81773.535641504277</v>
      </c>
      <c r="Q103">
        <f t="shared" si="27"/>
        <v>91566.907243335969</v>
      </c>
      <c r="R103">
        <f t="shared" si="28"/>
        <v>73550.907698794952</v>
      </c>
      <c r="S103">
        <f t="shared" si="29"/>
        <v>7438.3908039857843</v>
      </c>
      <c r="T103">
        <f t="shared" si="30"/>
        <v>4294.55693301883</v>
      </c>
      <c r="U103">
        <f t="shared" si="31"/>
        <v>7.636073061806397</v>
      </c>
      <c r="V103">
        <f t="shared" si="32"/>
        <v>9.9732561640883706</v>
      </c>
      <c r="W103">
        <f t="shared" si="33"/>
        <v>11.167674418465555</v>
      </c>
      <c r="X103">
        <f t="shared" si="34"/>
        <v>8.9704087982346117</v>
      </c>
      <c r="Y103">
        <f t="shared" si="35"/>
        <v>0.90720031064789641</v>
      </c>
      <c r="Z103">
        <f t="shared" si="36"/>
        <v>0.52377234356147517</v>
      </c>
      <c r="AA103">
        <f t="shared" si="37"/>
        <v>5.4819824306901017</v>
      </c>
      <c r="AB103">
        <f t="shared" si="38"/>
        <v>0.34871525049260033</v>
      </c>
      <c r="AC103">
        <f t="shared" si="39"/>
        <v>0.39047812651977465</v>
      </c>
      <c r="AD103">
        <f t="shared" si="40"/>
        <v>0.31365065728093044</v>
      </c>
      <c r="AE103">
        <f t="shared" si="41"/>
        <v>3.1720290582094288E-2</v>
      </c>
      <c r="AF103">
        <f t="shared" si="42"/>
        <v>1.8313718306345289E-2</v>
      </c>
      <c r="AG103">
        <f t="shared" si="43"/>
        <v>3.382641411020646</v>
      </c>
    </row>
    <row r="104" spans="1:33" x14ac:dyDescent="0.3">
      <c r="A104" t="s">
        <v>50</v>
      </c>
      <c r="B104">
        <v>34.462559664622802</v>
      </c>
      <c r="C104">
        <v>9.7816852755649446</v>
      </c>
      <c r="D104">
        <v>28.6</v>
      </c>
      <c r="E104">
        <v>86.1</v>
      </c>
      <c r="F104">
        <v>500</v>
      </c>
      <c r="G104">
        <v>4</v>
      </c>
      <c r="H104">
        <v>9.9732561640000004</v>
      </c>
      <c r="I104">
        <v>2.9673590509999999</v>
      </c>
      <c r="J104">
        <v>2</v>
      </c>
      <c r="K104">
        <v>10</v>
      </c>
      <c r="L104">
        <f t="shared" si="22"/>
        <v>0.34201696767709594</v>
      </c>
      <c r="M104">
        <f t="shared" si="23"/>
        <v>54056.681786016794</v>
      </c>
      <c r="N104">
        <f t="shared" si="24"/>
        <v>27028.340893008397</v>
      </c>
      <c r="O104">
        <f t="shared" si="25"/>
        <v>80202.791982381881</v>
      </c>
    </row>
    <row r="105" spans="1:33" x14ac:dyDescent="0.3">
      <c r="A105" t="s">
        <v>50</v>
      </c>
      <c r="B105">
        <v>34.591676126724799</v>
      </c>
      <c r="C105">
        <v>8.9704087982346117</v>
      </c>
      <c r="D105">
        <v>28.6</v>
      </c>
      <c r="E105">
        <v>86.1</v>
      </c>
      <c r="F105">
        <v>500</v>
      </c>
      <c r="G105">
        <v>4</v>
      </c>
      <c r="H105">
        <v>9.9732561640000004</v>
      </c>
      <c r="I105">
        <v>2.9673590509999999</v>
      </c>
      <c r="J105">
        <v>2</v>
      </c>
      <c r="K105">
        <v>10</v>
      </c>
      <c r="L105">
        <f t="shared" si="22"/>
        <v>0.31365065728093044</v>
      </c>
      <c r="M105">
        <f t="shared" si="23"/>
        <v>49573.311779717587</v>
      </c>
      <c r="N105">
        <f t="shared" si="24"/>
        <v>24786.655889858794</v>
      </c>
      <c r="O105">
        <f t="shared" si="25"/>
        <v>73550.907698794952</v>
      </c>
    </row>
    <row r="106" spans="1:33" x14ac:dyDescent="0.3">
      <c r="A106" t="s">
        <v>52</v>
      </c>
      <c r="B106">
        <v>33.602218832765999</v>
      </c>
      <c r="C106">
        <v>15.157237089134201</v>
      </c>
      <c r="D106">
        <v>19.8</v>
      </c>
      <c r="E106">
        <v>97.2</v>
      </c>
      <c r="F106">
        <v>500</v>
      </c>
      <c r="G106">
        <v>4</v>
      </c>
      <c r="H106">
        <v>16.482949680000001</v>
      </c>
      <c r="I106">
        <v>2.9673590509999999</v>
      </c>
      <c r="J106">
        <v>2</v>
      </c>
      <c r="K106">
        <v>4.92</v>
      </c>
      <c r="L106">
        <f t="shared" si="22"/>
        <v>0.7655170247037475</v>
      </c>
      <c r="M106">
        <f t="shared" si="23"/>
        <v>41211.729896035416</v>
      </c>
      <c r="N106">
        <f t="shared" si="24"/>
        <v>20605.864948017708</v>
      </c>
      <c r="O106">
        <f t="shared" si="25"/>
        <v>61144.99985718399</v>
      </c>
      <c r="P106">
        <f>AVERAGE(O106:O111)</f>
        <v>66492.986148569311</v>
      </c>
      <c r="Q106">
        <f>MAX(O106:O111)</f>
        <v>76097.432930424766</v>
      </c>
      <c r="R106">
        <f>MIN(O106:O111)</f>
        <v>54374.216613045231</v>
      </c>
      <c r="S106">
        <f>_xlfn.STDEV.P(O106:O111)</f>
        <v>6946.1702712700189</v>
      </c>
      <c r="T106">
        <f>S106/SQRT(COUNT(O106:O111))</f>
        <v>2835.7621385168932</v>
      </c>
      <c r="U106">
        <f t="shared" si="31"/>
        <v>5.9773291651513158</v>
      </c>
      <c r="V106">
        <f>AVERAGE(C106:C111)</f>
        <v>16.482949679817001</v>
      </c>
      <c r="W106">
        <f>MAX(C106:C111)</f>
        <v>18.863796475508853</v>
      </c>
      <c r="X106">
        <f>MIN(C106:C111)</f>
        <v>13.478827290291251</v>
      </c>
      <c r="Y106">
        <f>_xlfn.STDEV.P(C106:C111)</f>
        <v>1.7218864978174397</v>
      </c>
      <c r="Z106">
        <f>Y106/SQRT(COUNT(C106:C111))</f>
        <v>0.702957219106778</v>
      </c>
      <c r="AA106">
        <f t="shared" si="37"/>
        <v>6.6688191668684897</v>
      </c>
      <c r="AB106">
        <f>AVERAGE(L106:L111)</f>
        <v>0.83247220605136363</v>
      </c>
      <c r="AC106">
        <f>MAX(L106:L111)</f>
        <v>0.95271699371256824</v>
      </c>
      <c r="AD106">
        <f>MIN(L106:L111)</f>
        <v>0.68074885304501265</v>
      </c>
      <c r="AE106">
        <f>_xlfn.STDEV.P(L106:L111)</f>
        <v>8.6963964536236241E-2</v>
      </c>
      <c r="AF106">
        <f>AE106/SQRT(COUNT(L106:L111))</f>
        <v>3.5502889853878457E-2</v>
      </c>
      <c r="AG106">
        <f t="shared" si="43"/>
        <v>6.7965544947652665</v>
      </c>
    </row>
    <row r="107" spans="1:33" x14ac:dyDescent="0.3">
      <c r="A107" t="s">
        <v>52</v>
      </c>
      <c r="B107">
        <v>33.4092451123133</v>
      </c>
      <c r="C107">
        <v>17.334793536758301</v>
      </c>
      <c r="D107">
        <v>19.8</v>
      </c>
      <c r="E107">
        <v>97.2</v>
      </c>
      <c r="F107">
        <v>500</v>
      </c>
      <c r="G107">
        <v>4</v>
      </c>
      <c r="H107">
        <v>16.482949680000001</v>
      </c>
      <c r="I107">
        <v>2.9673590509999999</v>
      </c>
      <c r="J107">
        <v>2</v>
      </c>
      <c r="K107">
        <v>4.92</v>
      </c>
      <c r="L107">
        <f t="shared" si="22"/>
        <v>0.87549462306860104</v>
      </c>
      <c r="M107">
        <f t="shared" si="23"/>
        <v>47132.391268891261</v>
      </c>
      <c r="N107">
        <f t="shared" si="24"/>
        <v>23566.19563444563</v>
      </c>
      <c r="O107">
        <f t="shared" si="25"/>
        <v>69929.363913508918</v>
      </c>
    </row>
    <row r="108" spans="1:33" x14ac:dyDescent="0.3">
      <c r="A108" t="s">
        <v>52</v>
      </c>
      <c r="B108">
        <v>33.440936921818498</v>
      </c>
      <c r="C108">
        <v>16.956818413558501</v>
      </c>
      <c r="D108">
        <v>19.8</v>
      </c>
      <c r="E108">
        <v>97.2</v>
      </c>
      <c r="F108">
        <v>500</v>
      </c>
      <c r="G108">
        <v>4</v>
      </c>
      <c r="H108">
        <v>16.482949680000001</v>
      </c>
      <c r="I108">
        <v>2.9673590509999999</v>
      </c>
      <c r="J108">
        <v>2</v>
      </c>
      <c r="K108">
        <v>4.92</v>
      </c>
      <c r="L108">
        <f t="shared" si="22"/>
        <v>0.85640497038174246</v>
      </c>
      <c r="M108">
        <f t="shared" si="23"/>
        <v>46104.696802338542</v>
      </c>
      <c r="N108">
        <f t="shared" si="24"/>
        <v>23052.348401169271</v>
      </c>
      <c r="O108">
        <f t="shared" si="25"/>
        <v>68404.594675015018</v>
      </c>
    </row>
    <row r="109" spans="1:33" x14ac:dyDescent="0.3">
      <c r="A109" t="s">
        <v>52</v>
      </c>
      <c r="B109">
        <v>33.202360531149097</v>
      </c>
      <c r="C109">
        <v>17.106225273650903</v>
      </c>
      <c r="D109">
        <v>19.8</v>
      </c>
      <c r="E109">
        <v>97.2</v>
      </c>
      <c r="F109">
        <v>500</v>
      </c>
      <c r="G109">
        <v>4</v>
      </c>
      <c r="H109">
        <v>16.482949680000001</v>
      </c>
      <c r="I109">
        <v>2.9673590509999999</v>
      </c>
      <c r="J109">
        <v>2</v>
      </c>
      <c r="K109">
        <v>4.92</v>
      </c>
      <c r="L109">
        <f t="shared" si="22"/>
        <v>0.86395077139651022</v>
      </c>
      <c r="M109">
        <f t="shared" si="23"/>
        <v>46510.926191410828</v>
      </c>
      <c r="N109">
        <f t="shared" si="24"/>
        <v>23255.463095705414</v>
      </c>
      <c r="O109">
        <f t="shared" si="25"/>
        <v>69007.308902237943</v>
      </c>
    </row>
    <row r="110" spans="1:33" x14ac:dyDescent="0.3">
      <c r="A110" t="s">
        <v>52</v>
      </c>
      <c r="B110">
        <v>33.056509487332001</v>
      </c>
      <c r="C110">
        <v>18.863796475508853</v>
      </c>
      <c r="D110">
        <v>19.8</v>
      </c>
      <c r="E110">
        <v>97.2</v>
      </c>
      <c r="F110">
        <v>500</v>
      </c>
      <c r="G110">
        <v>4</v>
      </c>
      <c r="H110">
        <v>16.482949680000001</v>
      </c>
      <c r="I110">
        <v>2.9673590509999999</v>
      </c>
      <c r="J110">
        <v>2</v>
      </c>
      <c r="K110">
        <v>4.92</v>
      </c>
      <c r="L110">
        <f t="shared" si="22"/>
        <v>0.95271699371256824</v>
      </c>
      <c r="M110">
        <f t="shared" si="23"/>
        <v>51289.669785515121</v>
      </c>
      <c r="N110">
        <f t="shared" si="24"/>
        <v>25644.834892757561</v>
      </c>
      <c r="O110">
        <f t="shared" si="25"/>
        <v>76097.432930424766</v>
      </c>
    </row>
    <row r="111" spans="1:33" x14ac:dyDescent="0.3">
      <c r="A111" t="s">
        <v>52</v>
      </c>
      <c r="B111">
        <v>33.557767625927099</v>
      </c>
      <c r="C111">
        <v>13.478827290291251</v>
      </c>
      <c r="D111">
        <v>19.8</v>
      </c>
      <c r="E111">
        <v>97.2</v>
      </c>
      <c r="F111">
        <v>500</v>
      </c>
      <c r="G111">
        <v>4</v>
      </c>
      <c r="H111">
        <v>16.482949680000001</v>
      </c>
      <c r="I111">
        <v>2.9673590509999999</v>
      </c>
      <c r="J111">
        <v>2</v>
      </c>
      <c r="K111">
        <v>4.92</v>
      </c>
      <c r="L111">
        <f t="shared" si="22"/>
        <v>0.68074885304501265</v>
      </c>
      <c r="M111">
        <f t="shared" si="23"/>
        <v>36648.221990339269</v>
      </c>
      <c r="N111">
        <f t="shared" si="24"/>
        <v>18324.110995169634</v>
      </c>
      <c r="O111">
        <f t="shared" si="25"/>
        <v>54374.216613045231</v>
      </c>
    </row>
    <row r="112" spans="1:33" x14ac:dyDescent="0.3">
      <c r="A112" t="s">
        <v>53</v>
      </c>
      <c r="B112">
        <v>34.959122281486799</v>
      </c>
      <c r="C112">
        <v>5.8978074791548103</v>
      </c>
      <c r="D112">
        <v>28.5</v>
      </c>
      <c r="E112">
        <v>91.4</v>
      </c>
      <c r="F112">
        <v>500</v>
      </c>
      <c r="G112">
        <v>4</v>
      </c>
      <c r="H112">
        <v>7.7935698660000003</v>
      </c>
      <c r="I112">
        <v>2.9673590509999999</v>
      </c>
      <c r="J112">
        <v>2</v>
      </c>
      <c r="K112">
        <v>5.0103092783505163</v>
      </c>
      <c r="L112">
        <f t="shared" si="22"/>
        <v>0.20694061330367755</v>
      </c>
      <c r="M112">
        <f t="shared" si="23"/>
        <v>16330.174479721651</v>
      </c>
      <c r="N112">
        <f t="shared" si="24"/>
        <v>8165.0872398608253</v>
      </c>
      <c r="O112">
        <f t="shared" si="25"/>
        <v>24228.745523405625</v>
      </c>
      <c r="P112">
        <f t="shared" si="26"/>
        <v>32016.714967720658</v>
      </c>
      <c r="Q112">
        <f t="shared" si="27"/>
        <v>37621.434799651259</v>
      </c>
      <c r="R112">
        <f t="shared" si="28"/>
        <v>24228.745523405625</v>
      </c>
      <c r="S112">
        <f t="shared" si="29"/>
        <v>5681.3123874095036</v>
      </c>
      <c r="T112">
        <f t="shared" si="30"/>
        <v>3280.1072362212326</v>
      </c>
      <c r="U112" s="2">
        <f t="shared" si="31"/>
        <v>1.2397267545663277</v>
      </c>
      <c r="V112">
        <f t="shared" si="32"/>
        <v>7.7935698656860835</v>
      </c>
      <c r="W112">
        <f t="shared" si="33"/>
        <v>9.1578814645426991</v>
      </c>
      <c r="X112">
        <f t="shared" si="34"/>
        <v>5.8978074791548103</v>
      </c>
      <c r="Y112">
        <f t="shared" si="35"/>
        <v>1.3829559048985682</v>
      </c>
      <c r="Z112">
        <f t="shared" si="36"/>
        <v>0.79844996397057089</v>
      </c>
      <c r="AA112">
        <f t="shared" si="37"/>
        <v>2.0199992319284941</v>
      </c>
      <c r="AB112">
        <f t="shared" si="38"/>
        <v>0.27345859177845905</v>
      </c>
      <c r="AC112">
        <f t="shared" si="39"/>
        <v>0.32132917419448065</v>
      </c>
      <c r="AD112">
        <f t="shared" si="40"/>
        <v>0.20694061330367755</v>
      </c>
      <c r="AE112">
        <f t="shared" si="41"/>
        <v>4.8524768592932296E-2</v>
      </c>
      <c r="AF112">
        <f t="shared" si="42"/>
        <v>2.8015788209493762E-2</v>
      </c>
      <c r="AG112">
        <f t="shared" si="43"/>
        <v>0.66031659104348561</v>
      </c>
    </row>
    <row r="113" spans="1:15" x14ac:dyDescent="0.3">
      <c r="A113" t="s">
        <v>53</v>
      </c>
      <c r="B113">
        <v>34.4636192349748</v>
      </c>
      <c r="C113">
        <v>8.32502065336074</v>
      </c>
      <c r="D113">
        <v>28.5</v>
      </c>
      <c r="E113">
        <v>91.4</v>
      </c>
      <c r="F113">
        <v>500</v>
      </c>
      <c r="G113">
        <v>4</v>
      </c>
      <c r="H113">
        <v>7.7935698660000003</v>
      </c>
      <c r="I113">
        <v>2.9673590509999999</v>
      </c>
      <c r="J113">
        <v>2</v>
      </c>
      <c r="K113">
        <v>5.0103092783505163</v>
      </c>
      <c r="L113">
        <f t="shared" si="22"/>
        <v>0.29210598783721897</v>
      </c>
      <c r="M113">
        <f t="shared" si="23"/>
        <v>23050.776122680341</v>
      </c>
      <c r="N113">
        <f t="shared" si="24"/>
        <v>11525.388061340171</v>
      </c>
      <c r="O113">
        <f t="shared" si="25"/>
        <v>34199.964580105094</v>
      </c>
    </row>
    <row r="114" spans="1:15" x14ac:dyDescent="0.3">
      <c r="A114" t="s">
        <v>53</v>
      </c>
      <c r="B114">
        <v>34.326549399750299</v>
      </c>
      <c r="C114">
        <v>9.1578814645426991</v>
      </c>
      <c r="D114">
        <v>28.5</v>
      </c>
      <c r="E114">
        <v>91.4</v>
      </c>
      <c r="F114">
        <v>500</v>
      </c>
      <c r="G114">
        <v>4</v>
      </c>
      <c r="H114">
        <v>7.7935698660000003</v>
      </c>
      <c r="I114">
        <v>2.9673590509999999</v>
      </c>
      <c r="J114">
        <v>2</v>
      </c>
      <c r="K114">
        <v>5.0103092783505163</v>
      </c>
      <c r="L114">
        <f t="shared" si="22"/>
        <v>0.32132917419448065</v>
      </c>
      <c r="M114">
        <f t="shared" si="23"/>
        <v>25356.847050223219</v>
      </c>
      <c r="N114">
        <f t="shared" si="24"/>
        <v>12678.42352511161</v>
      </c>
      <c r="O114">
        <f t="shared" si="25"/>
        <v>37621.434799651259</v>
      </c>
    </row>
    <row r="115" spans="1:15" x14ac:dyDescent="0.3">
      <c r="A115" t="s">
        <v>68</v>
      </c>
      <c r="C115">
        <v>5</v>
      </c>
      <c r="D115">
        <f>AVERAGE(D2:D114)</f>
        <v>20.711061946902667</v>
      </c>
      <c r="L115">
        <f>C115/D115</f>
        <v>0.2414168820902855</v>
      </c>
      <c r="O115">
        <v>24973.441908250858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Mean gene copy numbers</vt:lpstr>
      <vt:lpstr>qPCR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Tan</cp:lastModifiedBy>
  <dcterms:created xsi:type="dcterms:W3CDTF">2023-10-31T21:23:34Z</dcterms:created>
  <dcterms:modified xsi:type="dcterms:W3CDTF">2023-11-18T18:05:35Z</dcterms:modified>
</cp:coreProperties>
</file>