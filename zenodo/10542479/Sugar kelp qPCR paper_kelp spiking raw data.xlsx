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\Project\Kelp Spiking PowerSoil Test\"/>
    </mc:Choice>
  </mc:AlternateContent>
  <xr:revisionPtr revIDLastSave="0" documentId="13_ncr:1_{42B20541-0726-4E48-A59C-7819D877C48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elp spiking experiment" sheetId="1" r:id="rId1"/>
    <sheet name="Kelp carbon convers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N9" i="1" s="1"/>
  <c r="O9" i="1" s="1"/>
  <c r="L10" i="1"/>
  <c r="L11" i="1"/>
  <c r="L12" i="1"/>
  <c r="N12" i="1" s="1"/>
  <c r="O12" i="1" s="1"/>
  <c r="L13" i="1"/>
  <c r="N13" i="1" s="1"/>
  <c r="O13" i="1" s="1"/>
  <c r="L14" i="1"/>
  <c r="L15" i="1"/>
  <c r="L16" i="1"/>
  <c r="L17" i="1"/>
  <c r="L18" i="1"/>
  <c r="L19" i="1"/>
  <c r="L20" i="1"/>
  <c r="L21" i="1"/>
  <c r="L22" i="1"/>
  <c r="L23" i="1"/>
  <c r="L24" i="1"/>
  <c r="N24" i="1" s="1"/>
  <c r="L25" i="1"/>
  <c r="N25" i="1" s="1"/>
  <c r="O25" i="1" s="1"/>
  <c r="L26" i="1"/>
  <c r="L27" i="1"/>
  <c r="L28" i="1"/>
  <c r="L29" i="1"/>
  <c r="L30" i="1"/>
  <c r="L31" i="1"/>
  <c r="L32" i="1"/>
  <c r="L33" i="1"/>
  <c r="L34" i="1"/>
  <c r="L35" i="1"/>
  <c r="L36" i="1"/>
  <c r="N36" i="1" s="1"/>
  <c r="L37" i="1"/>
  <c r="N37" i="1" s="1"/>
  <c r="O37" i="1" s="1"/>
  <c r="L38" i="1"/>
  <c r="L39" i="1"/>
  <c r="L40" i="1"/>
  <c r="L41" i="1"/>
  <c r="L42" i="1"/>
  <c r="L43" i="1"/>
  <c r="L44" i="1"/>
  <c r="L45" i="1"/>
  <c r="L46" i="1"/>
  <c r="L47" i="1"/>
  <c r="L48" i="1"/>
  <c r="N48" i="1" s="1"/>
  <c r="L49" i="1"/>
  <c r="N49" i="1" s="1"/>
  <c r="O49" i="1" s="1"/>
  <c r="L50" i="1"/>
  <c r="L51" i="1"/>
  <c r="L52" i="1"/>
  <c r="L53" i="1"/>
  <c r="L54" i="1"/>
  <c r="L55" i="1"/>
  <c r="L56" i="1"/>
  <c r="L57" i="1"/>
  <c r="L58" i="1"/>
  <c r="L59" i="1"/>
  <c r="L60" i="1"/>
  <c r="N60" i="1" s="1"/>
  <c r="L61" i="1"/>
  <c r="N61" i="1" s="1"/>
  <c r="O61" i="1" s="1"/>
  <c r="L62" i="1"/>
  <c r="L63" i="1"/>
  <c r="L64" i="1"/>
  <c r="N3" i="1"/>
  <c r="O3" i="1" s="1"/>
  <c r="L2" i="1"/>
  <c r="N2" i="1" s="1"/>
  <c r="O2" i="1" s="1"/>
  <c r="N4" i="1"/>
  <c r="N5" i="1"/>
  <c r="N6" i="1"/>
  <c r="O6" i="1" s="1"/>
  <c r="N7" i="1"/>
  <c r="N8" i="1"/>
  <c r="N10" i="1"/>
  <c r="O10" i="1" s="1"/>
  <c r="N11" i="1"/>
  <c r="N14" i="1"/>
  <c r="O14" i="1" s="1"/>
  <c r="N15" i="1"/>
  <c r="N16" i="1"/>
  <c r="N17" i="1"/>
  <c r="N18" i="1"/>
  <c r="O18" i="1" s="1"/>
  <c r="N19" i="1"/>
  <c r="N20" i="1"/>
  <c r="N21" i="1"/>
  <c r="O21" i="1" s="1"/>
  <c r="N22" i="1"/>
  <c r="O22" i="1" s="1"/>
  <c r="N23" i="1"/>
  <c r="N26" i="1"/>
  <c r="O26" i="1" s="1"/>
  <c r="N27" i="1"/>
  <c r="N28" i="1"/>
  <c r="N29" i="1"/>
  <c r="N30" i="1"/>
  <c r="N31" i="1"/>
  <c r="N32" i="1"/>
  <c r="N33" i="1"/>
  <c r="N34" i="1"/>
  <c r="N35" i="1"/>
  <c r="N38" i="1"/>
  <c r="O38" i="1" s="1"/>
  <c r="N39" i="1"/>
  <c r="N40" i="1"/>
  <c r="N41" i="1"/>
  <c r="N42" i="1"/>
  <c r="O42" i="1" s="1"/>
  <c r="N43" i="1"/>
  <c r="N44" i="1"/>
  <c r="N45" i="1"/>
  <c r="O45" i="1" s="1"/>
  <c r="N46" i="1"/>
  <c r="O46" i="1" s="1"/>
  <c r="N47" i="1"/>
  <c r="N50" i="1"/>
  <c r="N51" i="1"/>
  <c r="N52" i="1"/>
  <c r="N53" i="1"/>
  <c r="N54" i="1"/>
  <c r="O54" i="1" s="1"/>
  <c r="N55" i="1"/>
  <c r="N56" i="1"/>
  <c r="N57" i="1"/>
  <c r="O57" i="1" s="1"/>
  <c r="N58" i="1"/>
  <c r="O58" i="1" s="1"/>
  <c r="N59" i="1"/>
  <c r="N62" i="1"/>
  <c r="O62" i="1" s="1"/>
  <c r="N63" i="1"/>
  <c r="N6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2" i="1"/>
  <c r="O5" i="1"/>
  <c r="O16" i="1"/>
  <c r="O17" i="1"/>
  <c r="O28" i="1"/>
  <c r="O29" i="1"/>
  <c r="O40" i="1"/>
  <c r="O41" i="1"/>
  <c r="O52" i="1"/>
  <c r="O64" i="1"/>
  <c r="O4" i="1"/>
  <c r="O15" i="1"/>
  <c r="O27" i="1"/>
  <c r="O39" i="1"/>
  <c r="O50" i="1"/>
  <c r="O51" i="1"/>
  <c r="O53" i="1"/>
  <c r="O63" i="1"/>
  <c r="O7" i="1"/>
  <c r="O8" i="1"/>
  <c r="O19" i="1"/>
  <c r="O20" i="1"/>
  <c r="O30" i="1"/>
  <c r="O31" i="1"/>
  <c r="O32" i="1"/>
  <c r="O33" i="1"/>
  <c r="O34" i="1"/>
  <c r="O43" i="1"/>
  <c r="O44" i="1"/>
  <c r="O55" i="1"/>
  <c r="O56" i="1"/>
  <c r="S2" i="1" l="1"/>
  <c r="T2" i="1" s="1"/>
  <c r="P29" i="1"/>
  <c r="Q29" i="1"/>
  <c r="O60" i="1"/>
  <c r="O48" i="1"/>
  <c r="O36" i="1"/>
  <c r="O24" i="1"/>
  <c r="Q17" i="1"/>
  <c r="O59" i="1"/>
  <c r="P59" i="1" s="1"/>
  <c r="O47" i="1"/>
  <c r="O35" i="1"/>
  <c r="P35" i="1" s="1"/>
  <c r="O23" i="1"/>
  <c r="P23" i="1" s="1"/>
  <c r="O11" i="1"/>
  <c r="R11" i="1" s="1"/>
  <c r="Q5" i="1"/>
  <c r="P14" i="1"/>
  <c r="Q14" i="1"/>
  <c r="R14" i="1"/>
  <c r="S14" i="1"/>
  <c r="T14" i="1" s="1"/>
  <c r="S35" i="1"/>
  <c r="T35" i="1" s="1"/>
  <c r="P56" i="1"/>
  <c r="Q56" i="1"/>
  <c r="R56" i="1"/>
  <c r="S56" i="1"/>
  <c r="T56" i="1" s="1"/>
  <c r="P44" i="1"/>
  <c r="R44" i="1"/>
  <c r="S44" i="1"/>
  <c r="T44" i="1" s="1"/>
  <c r="Q44" i="1"/>
  <c r="P32" i="1"/>
  <c r="Q32" i="1"/>
  <c r="R32" i="1"/>
  <c r="S32" i="1"/>
  <c r="T32" i="1" s="1"/>
  <c r="P20" i="1"/>
  <c r="R20" i="1"/>
  <c r="S20" i="1"/>
  <c r="T20" i="1" s="1"/>
  <c r="Q20" i="1"/>
  <c r="P8" i="1"/>
  <c r="R8" i="1"/>
  <c r="Q8" i="1"/>
  <c r="S8" i="1"/>
  <c r="T8" i="1" s="1"/>
  <c r="S26" i="1"/>
  <c r="T26" i="1" s="1"/>
  <c r="Q26" i="1"/>
  <c r="P26" i="1"/>
  <c r="R26" i="1"/>
  <c r="P62" i="1"/>
  <c r="Q62" i="1"/>
  <c r="R62" i="1"/>
  <c r="S62" i="1"/>
  <c r="T62" i="1" s="1"/>
  <c r="P5" i="1"/>
  <c r="P50" i="1"/>
  <c r="Q50" i="1"/>
  <c r="R50" i="1"/>
  <c r="S50" i="1"/>
  <c r="T50" i="1" s="1"/>
  <c r="Q53" i="1"/>
  <c r="R53" i="1"/>
  <c r="S53" i="1"/>
  <c r="T53" i="1" s="1"/>
  <c r="P53" i="1"/>
  <c r="P38" i="1"/>
  <c r="Q38" i="1"/>
  <c r="R38" i="1"/>
  <c r="S38" i="1"/>
  <c r="T38" i="1" s="1"/>
  <c r="Q41" i="1"/>
  <c r="S17" i="1"/>
  <c r="T17" i="1" s="1"/>
  <c r="R2" i="1"/>
  <c r="R41" i="1"/>
  <c r="R17" i="1"/>
  <c r="P2" i="1"/>
  <c r="Q2" i="1"/>
  <c r="S41" i="1"/>
  <c r="T41" i="1" s="1"/>
  <c r="P41" i="1"/>
  <c r="P17" i="1"/>
  <c r="S29" i="1"/>
  <c r="T29" i="1" s="1"/>
  <c r="S5" i="1"/>
  <c r="T5" i="1" s="1"/>
  <c r="R29" i="1"/>
  <c r="R5" i="1"/>
  <c r="P47" i="1" l="1"/>
  <c r="R23" i="1"/>
  <c r="R59" i="1"/>
  <c r="S47" i="1"/>
  <c r="T47" i="1" s="1"/>
  <c r="Q35" i="1"/>
  <c r="P11" i="1"/>
  <c r="W5" i="1" s="1"/>
  <c r="Q47" i="1"/>
  <c r="S23" i="1"/>
  <c r="T23" i="1" s="1"/>
  <c r="Q59" i="1"/>
  <c r="S11" i="1"/>
  <c r="T11" i="1" s="1"/>
  <c r="S59" i="1"/>
  <c r="T59" i="1" s="1"/>
  <c r="Q11" i="1"/>
  <c r="Q23" i="1"/>
  <c r="R47" i="1"/>
  <c r="R35" i="1"/>
  <c r="X32" i="1"/>
  <c r="Y32" i="1" s="1"/>
  <c r="W32" i="1"/>
  <c r="V32" i="1"/>
  <c r="U32" i="1"/>
  <c r="U23" i="1"/>
  <c r="V23" i="1"/>
  <c r="W23" i="1"/>
  <c r="X23" i="1"/>
  <c r="Y23" i="1" s="1"/>
  <c r="X38" i="1"/>
  <c r="Y38" i="1" s="1"/>
  <c r="W38" i="1"/>
  <c r="U38" i="1"/>
  <c r="V38" i="1"/>
  <c r="V5" i="1"/>
  <c r="U5" i="1"/>
  <c r="X5" i="1"/>
  <c r="Y5" i="1" s="1"/>
  <c r="V47" i="1"/>
  <c r="W47" i="1"/>
  <c r="X47" i="1"/>
  <c r="Y47" i="1" s="1"/>
  <c r="U47" i="1"/>
  <c r="U56" i="1"/>
  <c r="V56" i="1"/>
  <c r="W56" i="1"/>
  <c r="X56" i="1"/>
  <c r="Y56" i="1" s="1"/>
  <c r="V14" i="1"/>
  <c r="W14" i="1"/>
  <c r="X14" i="1"/>
  <c r="Y14" i="1" s="1"/>
  <c r="U14" i="1"/>
</calcChain>
</file>

<file path=xl/sharedStrings.xml><?xml version="1.0" encoding="utf-8"?>
<sst xmlns="http://schemas.openxmlformats.org/spreadsheetml/2006/main" count="160" uniqueCount="57">
  <si>
    <t>Name</t>
  </si>
  <si>
    <t>Cq</t>
  </si>
  <si>
    <t>GSB #1</t>
  </si>
  <si>
    <t>0% #1</t>
  </si>
  <si>
    <t>0% #2</t>
  </si>
  <si>
    <t>0% #3</t>
  </si>
  <si>
    <t>0.05% #1</t>
  </si>
  <si>
    <t>0.05% #2</t>
  </si>
  <si>
    <t>0.05% #3</t>
  </si>
  <si>
    <t>0.1% #1</t>
  </si>
  <si>
    <t>0.1% #2</t>
  </si>
  <si>
    <t>0.1% #3</t>
  </si>
  <si>
    <t>0.5% #1</t>
  </si>
  <si>
    <t>0.5% #3</t>
  </si>
  <si>
    <t>1% #1</t>
  </si>
  <si>
    <t>1% #2</t>
  </si>
  <si>
    <t>1% #3</t>
  </si>
  <si>
    <t>2% #1</t>
  </si>
  <si>
    <t>2% #2</t>
  </si>
  <si>
    <t>2% #3</t>
  </si>
  <si>
    <t>5% #1</t>
  </si>
  <si>
    <t>5% #2</t>
  </si>
  <si>
    <t>5% #3</t>
  </si>
  <si>
    <t>Kelp biomass added by percentage wet weight</t>
  </si>
  <si>
    <t>Kelp carbon added by percentage dry weight</t>
  </si>
  <si>
    <t>Sediment origin</t>
  </si>
  <si>
    <t>Great Salt Bay</t>
  </si>
  <si>
    <t>Lowes Cove</t>
  </si>
  <si>
    <t>Wet weight: dry weight conversion factor</t>
  </si>
  <si>
    <t>qPCR reaction gene copy number</t>
  </si>
  <si>
    <t>Powersoil sediment weight used (g)</t>
  </si>
  <si>
    <t>qPCR extract concentration (ng/uL)</t>
  </si>
  <si>
    <t>Powersoil extract concentration (ng/uL)</t>
  </si>
  <si>
    <t>Powersoil gene copy yield</t>
  </si>
  <si>
    <t>Powersoil elution volume (uL)</t>
  </si>
  <si>
    <t>Gene copy number/gram of dry sediment</t>
  </si>
  <si>
    <t>Gene copy number/gram of wet sediment</t>
  </si>
  <si>
    <t>Mean gene copy number/gram of dry sediment</t>
  </si>
  <si>
    <t>Max</t>
  </si>
  <si>
    <t>Min</t>
  </si>
  <si>
    <t>Standard deviation</t>
  </si>
  <si>
    <t>Standard error</t>
  </si>
  <si>
    <t>Treatment mean</t>
  </si>
  <si>
    <t>Treatment max</t>
  </si>
  <si>
    <t>Treatment min</t>
  </si>
  <si>
    <t>Treatment SD</t>
  </si>
  <si>
    <t>Treatment SE</t>
  </si>
  <si>
    <t>Extraction efficiency correction factor</t>
  </si>
  <si>
    <t>Kelp mass</t>
  </si>
  <si>
    <t>Sed mass</t>
  </si>
  <si>
    <t>Wet</t>
  </si>
  <si>
    <t>Dry</t>
  </si>
  <si>
    <t>Kelp carbon dry</t>
  </si>
  <si>
    <t>Ratio</t>
  </si>
  <si>
    <t>Percent</t>
  </si>
  <si>
    <t>Initial added kelp</t>
  </si>
  <si>
    <t>Dry kelp % in dry sediment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</si>
</sst>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4"/>
  <sheetViews>
    <sheetView workbookViewId="0">
      <pane xSplit="1" topLeftCell="B1" activePane="topRight" state="frozen"/>
      <selection pane="topRight" activeCell="D14" sqref="D14:D64"/>
    </sheetView>
  </sheetViews>
  <sheetFormatPr defaultRowHeight="14.4" x14ac:dyDescent="0.3"/>
  <cols>
    <col min="1" max="1" width="18.33203125" customWidth="1"/>
    <col min="2" max="2" width="13" customWidth="1"/>
    <col min="3" max="3" width="20.109375" customWidth="1"/>
    <col min="4" max="4" width="15.21875" customWidth="1"/>
    <col min="5" max="5" width="11.44140625" customWidth="1"/>
    <col min="6" max="6" width="21.21875" customWidth="1"/>
    <col min="7" max="7" width="12.6640625" customWidth="1"/>
    <col min="9" max="9" width="15" customWidth="1"/>
    <col min="10" max="10" width="10.33203125" customWidth="1"/>
    <col min="11" max="11" width="7.109375" customWidth="1"/>
    <col min="12" max="13" width="9" customWidth="1"/>
    <col min="15" max="15" width="15.21875" customWidth="1"/>
    <col min="16" max="16" width="14.77734375" customWidth="1"/>
    <col min="21" max="23" width="11" bestFit="1" customWidth="1"/>
  </cols>
  <sheetData>
    <row r="1" spans="1:25" x14ac:dyDescent="0.3">
      <c r="A1" t="s">
        <v>0</v>
      </c>
      <c r="B1" t="s">
        <v>25</v>
      </c>
      <c r="C1" t="s">
        <v>23</v>
      </c>
      <c r="D1" t="s">
        <v>24</v>
      </c>
      <c r="E1" t="s">
        <v>1</v>
      </c>
      <c r="F1" t="s">
        <v>29</v>
      </c>
      <c r="G1" t="s">
        <v>31</v>
      </c>
      <c r="H1" t="s">
        <v>32</v>
      </c>
      <c r="I1" t="s">
        <v>30</v>
      </c>
      <c r="J1" t="s">
        <v>28</v>
      </c>
      <c r="K1" t="s">
        <v>34</v>
      </c>
      <c r="L1" t="s">
        <v>33</v>
      </c>
      <c r="M1" t="s">
        <v>47</v>
      </c>
      <c r="N1" t="s">
        <v>36</v>
      </c>
      <c r="O1" t="s">
        <v>35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</row>
    <row r="2" spans="1:25" x14ac:dyDescent="0.3">
      <c r="A2" t="s">
        <v>2</v>
      </c>
      <c r="B2" t="s">
        <v>26</v>
      </c>
      <c r="C2" s="1">
        <v>0</v>
      </c>
      <c r="D2">
        <v>0</v>
      </c>
      <c r="E2">
        <v>37.18</v>
      </c>
      <c r="F2">
        <v>1.52345</v>
      </c>
      <c r="G2">
        <v>3.26</v>
      </c>
      <c r="H2">
        <v>65</v>
      </c>
      <c r="I2">
        <v>0.31</v>
      </c>
      <c r="J2">
        <v>2.9673590509999999</v>
      </c>
      <c r="K2">
        <v>105</v>
      </c>
      <c r="L2">
        <f>(F2/G2)*H2*K2</f>
        <v>3189.4313650306749</v>
      </c>
      <c r="M2">
        <f>(8/6)^2</f>
        <v>1.7777777777777777</v>
      </c>
      <c r="N2">
        <f>(L2/I2)*M2</f>
        <v>18290.645820964444</v>
      </c>
      <c r="O2">
        <f>N2*J2</f>
        <v>54274.913425474166</v>
      </c>
      <c r="P2">
        <f>AVERAGE(O2:O4)</f>
        <v>59239.775534349516</v>
      </c>
      <c r="Q2">
        <f>MAX(O2:O4)</f>
        <v>93518.510369053591</v>
      </c>
      <c r="R2">
        <f>MIN(O2:O4)</f>
        <v>29925.902808520786</v>
      </c>
      <c r="S2">
        <f>_xlfn.STDEV.P(O2:O4)</f>
        <v>26197.866654966303</v>
      </c>
      <c r="T2">
        <f>S2/SQRT(COUNT(O2:O4))</f>
        <v>15125.345365438716</v>
      </c>
      <c r="U2">
        <v>59239.775534349516</v>
      </c>
      <c r="V2">
        <v>93518.510369053591</v>
      </c>
      <c r="W2">
        <v>29925.902808520786</v>
      </c>
      <c r="X2">
        <v>26197.866654966303</v>
      </c>
      <c r="Y2">
        <v>15125.345365438716</v>
      </c>
    </row>
    <row r="3" spans="1:25" x14ac:dyDescent="0.3">
      <c r="A3" t="s">
        <v>2</v>
      </c>
      <c r="B3" t="s">
        <v>26</v>
      </c>
      <c r="C3" s="1">
        <v>0</v>
      </c>
      <c r="D3">
        <v>0</v>
      </c>
      <c r="E3">
        <v>37.97</v>
      </c>
      <c r="F3">
        <v>0.92498999999999998</v>
      </c>
      <c r="G3">
        <v>3.77</v>
      </c>
      <c r="H3">
        <v>66.5</v>
      </c>
      <c r="I3">
        <v>0.30199999999999999</v>
      </c>
      <c r="J3">
        <v>2.9673590500000002</v>
      </c>
      <c r="K3">
        <v>105</v>
      </c>
      <c r="L3">
        <f t="shared" ref="L3:L64" si="0">(F3/G3)*H3*K3</f>
        <v>1713.1943435013261</v>
      </c>
      <c r="M3">
        <f t="shared" ref="M3:M64" si="1">(8/6)^2</f>
        <v>1.7777777777777777</v>
      </c>
      <c r="N3">
        <f t="shared" ref="N3:N64" si="2">(L3/I3)*M3</f>
        <v>10085.029247984259</v>
      </c>
      <c r="O3">
        <f t="shared" ref="O3:O64" si="3">N3*J3</f>
        <v>29925.902808520786</v>
      </c>
    </row>
    <row r="4" spans="1:25" x14ac:dyDescent="0.3">
      <c r="A4" t="s">
        <v>2</v>
      </c>
      <c r="B4" t="s">
        <v>26</v>
      </c>
      <c r="C4" s="1">
        <v>0</v>
      </c>
      <c r="D4">
        <v>0</v>
      </c>
      <c r="E4">
        <v>36.74</v>
      </c>
      <c r="F4">
        <v>2.0167041960000001</v>
      </c>
      <c r="G4">
        <v>2.31</v>
      </c>
      <c r="H4">
        <v>46.8</v>
      </c>
      <c r="I4">
        <v>0.24199999999999999</v>
      </c>
      <c r="J4">
        <v>2.9673590500000002</v>
      </c>
      <c r="K4">
        <v>105</v>
      </c>
      <c r="L4">
        <f t="shared" si="0"/>
        <v>4290.0798351272724</v>
      </c>
      <c r="M4">
        <f t="shared" si="1"/>
        <v>1.7777777777777777</v>
      </c>
      <c r="N4">
        <f t="shared" si="2"/>
        <v>31515.737999098419</v>
      </c>
      <c r="O4">
        <f t="shared" si="3"/>
        <v>93518.510369053591</v>
      </c>
    </row>
    <row r="5" spans="1:25" x14ac:dyDescent="0.3">
      <c r="A5" t="s">
        <v>3</v>
      </c>
      <c r="B5" t="s">
        <v>27</v>
      </c>
      <c r="C5" s="1">
        <v>0</v>
      </c>
      <c r="D5">
        <v>0</v>
      </c>
      <c r="E5">
        <v>36.07</v>
      </c>
      <c r="F5">
        <v>3.0954799999999998</v>
      </c>
      <c r="G5">
        <v>2.4500000000000002</v>
      </c>
      <c r="H5">
        <v>41.3</v>
      </c>
      <c r="I5">
        <v>0.29299999999999998</v>
      </c>
      <c r="J5">
        <v>2.9673590500000002</v>
      </c>
      <c r="K5">
        <v>105</v>
      </c>
      <c r="L5">
        <f t="shared" si="0"/>
        <v>5478.9995999999992</v>
      </c>
      <c r="M5">
        <f t="shared" si="1"/>
        <v>1.7777777777777777</v>
      </c>
      <c r="N5">
        <f t="shared" si="2"/>
        <v>33243.835267349255</v>
      </c>
      <c r="O5">
        <f t="shared" si="3"/>
        <v>98646.395437277984</v>
      </c>
      <c r="P5">
        <f t="shared" ref="P5:P62" si="4">AVERAGE(O5:O7)</f>
        <v>101589.28825809679</v>
      </c>
      <c r="Q5">
        <f t="shared" ref="Q5:Q62" si="5">MAX(O5:O7)</f>
        <v>119624.70438361113</v>
      </c>
      <c r="R5">
        <f t="shared" ref="R5:R62" si="6">MIN(O5:O7)</f>
        <v>86496.764953401216</v>
      </c>
      <c r="S5">
        <f t="shared" ref="S5:S62" si="7">_xlfn.STDEV.P(O5:O7)</f>
        <v>13683.580338956855</v>
      </c>
      <c r="T5">
        <f t="shared" ref="T5:T62" si="8">S5/SQRT(COUNT(O5:O7))</f>
        <v>7900.2187921746117</v>
      </c>
      <c r="U5">
        <f>AVERAGE(P5:P13)</f>
        <v>84380.148749182947</v>
      </c>
      <c r="V5">
        <f>MAX(P5:P13)</f>
        <v>101589.28825809679</v>
      </c>
      <c r="W5">
        <f>MIN(P5:P13)</f>
        <v>67586.811298893954</v>
      </c>
      <c r="X5">
        <f>_xlfn.STDEV.P(P5:P13)</f>
        <v>13884.566452341951</v>
      </c>
      <c r="Y5">
        <f>X5/(SQRT(COUNT(P5:P13)))</f>
        <v>8016.2581788408734</v>
      </c>
    </row>
    <row r="6" spans="1:25" x14ac:dyDescent="0.3">
      <c r="A6" t="s">
        <v>3</v>
      </c>
      <c r="B6" t="s">
        <v>27</v>
      </c>
      <c r="C6" s="1">
        <v>0</v>
      </c>
      <c r="D6">
        <v>0</v>
      </c>
      <c r="E6">
        <v>35.76</v>
      </c>
      <c r="F6">
        <v>3.7537699999999998</v>
      </c>
      <c r="G6">
        <v>2.4500000000000002</v>
      </c>
      <c r="H6">
        <v>41.3</v>
      </c>
      <c r="I6">
        <v>0.29299999999999998</v>
      </c>
      <c r="J6">
        <v>2.9673590509999999</v>
      </c>
      <c r="K6">
        <v>105</v>
      </c>
      <c r="L6">
        <f t="shared" si="0"/>
        <v>6644.1728999999978</v>
      </c>
      <c r="M6">
        <f t="shared" si="1"/>
        <v>1.7777777777777777</v>
      </c>
      <c r="N6">
        <f t="shared" si="2"/>
        <v>40313.525369738323</v>
      </c>
      <c r="O6">
        <f t="shared" si="3"/>
        <v>119624.70438361113</v>
      </c>
    </row>
    <row r="7" spans="1:25" x14ac:dyDescent="0.3">
      <c r="A7" t="s">
        <v>3</v>
      </c>
      <c r="B7" t="s">
        <v>27</v>
      </c>
      <c r="C7" s="1">
        <v>0</v>
      </c>
      <c r="D7">
        <v>0</v>
      </c>
      <c r="E7">
        <v>36.28</v>
      </c>
      <c r="F7">
        <v>2.7142300000000001</v>
      </c>
      <c r="G7">
        <v>2.4500000000000002</v>
      </c>
      <c r="H7">
        <v>41.3</v>
      </c>
      <c r="I7">
        <v>0.29299999999999998</v>
      </c>
      <c r="J7">
        <v>2.9673590509999999</v>
      </c>
      <c r="K7">
        <v>105</v>
      </c>
      <c r="L7">
        <f t="shared" si="0"/>
        <v>4804.1870999999992</v>
      </c>
      <c r="M7">
        <f t="shared" si="1"/>
        <v>1.7777777777777777</v>
      </c>
      <c r="N7">
        <f t="shared" si="2"/>
        <v>29149.409783845273</v>
      </c>
      <c r="O7">
        <f t="shared" si="3"/>
        <v>86496.764953401216</v>
      </c>
    </row>
    <row r="8" spans="1:25" x14ac:dyDescent="0.3">
      <c r="A8" t="s">
        <v>4</v>
      </c>
      <c r="B8" t="s">
        <v>27</v>
      </c>
      <c r="C8" s="1">
        <v>0</v>
      </c>
      <c r="D8">
        <v>0</v>
      </c>
      <c r="E8">
        <v>35.729999999999997</v>
      </c>
      <c r="F8">
        <v>3.8283100000000001</v>
      </c>
      <c r="G8">
        <v>2.76</v>
      </c>
      <c r="H8">
        <v>28.6</v>
      </c>
      <c r="I8">
        <v>0.28100000000000003</v>
      </c>
      <c r="J8">
        <v>2.9673590500000002</v>
      </c>
      <c r="K8">
        <v>105</v>
      </c>
      <c r="L8">
        <f t="shared" si="0"/>
        <v>4165.3677282608696</v>
      </c>
      <c r="M8">
        <f t="shared" si="1"/>
        <v>1.7777777777777777</v>
      </c>
      <c r="N8">
        <f t="shared" si="2"/>
        <v>26352.662574999566</v>
      </c>
      <c r="O8">
        <f t="shared" si="3"/>
        <v>78197.811783521276</v>
      </c>
      <c r="P8">
        <f t="shared" si="4"/>
        <v>67586.811298893954</v>
      </c>
      <c r="Q8">
        <f t="shared" si="5"/>
        <v>85798.399448743861</v>
      </c>
      <c r="R8">
        <f t="shared" si="6"/>
        <v>38764.222664416724</v>
      </c>
      <c r="S8">
        <f t="shared" si="7"/>
        <v>20615.502983732174</v>
      </c>
      <c r="T8">
        <f t="shared" si="8"/>
        <v>11902.366197137304</v>
      </c>
    </row>
    <row r="9" spans="1:25" x14ac:dyDescent="0.3">
      <c r="A9" t="s">
        <v>4</v>
      </c>
      <c r="B9" t="s">
        <v>27</v>
      </c>
      <c r="C9" s="1">
        <v>0</v>
      </c>
      <c r="D9">
        <v>0</v>
      </c>
      <c r="E9">
        <v>35.590000000000003</v>
      </c>
      <c r="F9">
        <v>4.2004099999999998</v>
      </c>
      <c r="G9">
        <v>2.76</v>
      </c>
      <c r="H9">
        <v>28.6</v>
      </c>
      <c r="I9">
        <v>0.28100000000000003</v>
      </c>
      <c r="J9">
        <v>2.9673590500000002</v>
      </c>
      <c r="K9">
        <v>105</v>
      </c>
      <c r="L9">
        <f t="shared" si="0"/>
        <v>4570.2287065217397</v>
      </c>
      <c r="M9">
        <f t="shared" si="1"/>
        <v>1.7777777777777777</v>
      </c>
      <c r="N9">
        <f t="shared" si="2"/>
        <v>28914.060618563788</v>
      </c>
      <c r="O9">
        <f t="shared" si="3"/>
        <v>85798.399448743861</v>
      </c>
    </row>
    <row r="10" spans="1:25" x14ac:dyDescent="0.3">
      <c r="A10" t="s">
        <v>4</v>
      </c>
      <c r="B10" t="s">
        <v>27</v>
      </c>
      <c r="C10" s="1">
        <v>0</v>
      </c>
      <c r="D10">
        <v>0</v>
      </c>
      <c r="E10">
        <v>36.840000000000003</v>
      </c>
      <c r="F10">
        <v>1.89777</v>
      </c>
      <c r="G10">
        <v>2.76</v>
      </c>
      <c r="H10">
        <v>28.6</v>
      </c>
      <c r="I10">
        <v>0.28100000000000003</v>
      </c>
      <c r="J10">
        <v>2.9673590500000002</v>
      </c>
      <c r="K10">
        <v>105</v>
      </c>
      <c r="L10">
        <f t="shared" si="0"/>
        <v>2064.8562717391305</v>
      </c>
      <c r="M10">
        <f t="shared" si="1"/>
        <v>1.7777777777777777</v>
      </c>
      <c r="N10">
        <f t="shared" si="2"/>
        <v>13063.543039867965</v>
      </c>
      <c r="O10">
        <f t="shared" si="3"/>
        <v>38764.222664416724</v>
      </c>
    </row>
    <row r="11" spans="1:25" x14ac:dyDescent="0.3">
      <c r="A11" t="s">
        <v>5</v>
      </c>
      <c r="B11" t="s">
        <v>27</v>
      </c>
      <c r="C11" s="1">
        <v>0</v>
      </c>
      <c r="D11">
        <v>0</v>
      </c>
      <c r="E11">
        <v>35.840000000000003</v>
      </c>
      <c r="F11">
        <v>3.57504</v>
      </c>
      <c r="G11">
        <v>3.14</v>
      </c>
      <c r="H11">
        <v>29.9</v>
      </c>
      <c r="I11">
        <v>0.29099999999999998</v>
      </c>
      <c r="J11">
        <v>2.9673590509999999</v>
      </c>
      <c r="K11">
        <v>105</v>
      </c>
      <c r="L11">
        <f t="shared" si="0"/>
        <v>3574.4707261146491</v>
      </c>
      <c r="M11">
        <f t="shared" si="1"/>
        <v>1.7777777777777777</v>
      </c>
      <c r="N11">
        <f t="shared" si="2"/>
        <v>21837.163657057801</v>
      </c>
      <c r="O11">
        <f t="shared" si="3"/>
        <v>64798.70522593872</v>
      </c>
      <c r="P11">
        <f t="shared" si="4"/>
        <v>83964.346690558144</v>
      </c>
      <c r="Q11">
        <f t="shared" si="5"/>
        <v>120893.99946317724</v>
      </c>
      <c r="R11">
        <f t="shared" si="6"/>
        <v>64798.70522593872</v>
      </c>
      <c r="S11">
        <f t="shared" si="7"/>
        <v>26119.476541508844</v>
      </c>
      <c r="T11">
        <f t="shared" si="8"/>
        <v>15080.086812332247</v>
      </c>
    </row>
    <row r="12" spans="1:25" x14ac:dyDescent="0.3">
      <c r="A12" t="s">
        <v>5</v>
      </c>
      <c r="B12" t="s">
        <v>27</v>
      </c>
      <c r="C12" s="1">
        <v>0</v>
      </c>
      <c r="D12">
        <v>0</v>
      </c>
      <c r="E12">
        <v>34.86</v>
      </c>
      <c r="F12">
        <v>6.6699000000000002</v>
      </c>
      <c r="G12">
        <v>3.14</v>
      </c>
      <c r="H12">
        <v>29.9</v>
      </c>
      <c r="I12">
        <v>0.29099999999999998</v>
      </c>
      <c r="J12">
        <v>2.9673590500000002</v>
      </c>
      <c r="K12">
        <v>105</v>
      </c>
      <c r="L12">
        <f t="shared" si="0"/>
        <v>6668.837914012739</v>
      </c>
      <c r="M12">
        <f t="shared" si="1"/>
        <v>1.7777777777777777</v>
      </c>
      <c r="N12">
        <f t="shared" si="2"/>
        <v>40741.27782520192</v>
      </c>
      <c r="O12">
        <f t="shared" si="3"/>
        <v>120893.99946317724</v>
      </c>
    </row>
    <row r="13" spans="1:25" x14ac:dyDescent="0.3">
      <c r="A13" t="s">
        <v>5</v>
      </c>
      <c r="B13" t="s">
        <v>27</v>
      </c>
      <c r="C13" s="1">
        <v>0</v>
      </c>
      <c r="D13">
        <v>0</v>
      </c>
      <c r="E13">
        <v>35.81</v>
      </c>
      <c r="F13">
        <v>3.6523699999999999</v>
      </c>
      <c r="G13">
        <v>3.14</v>
      </c>
      <c r="H13">
        <v>29.9</v>
      </c>
      <c r="I13">
        <v>0.29099999999999998</v>
      </c>
      <c r="J13">
        <v>2.9673590509999999</v>
      </c>
      <c r="K13">
        <v>105</v>
      </c>
      <c r="L13">
        <f t="shared" si="0"/>
        <v>3651.788412420382</v>
      </c>
      <c r="M13">
        <f t="shared" si="1"/>
        <v>1.7777777777777777</v>
      </c>
      <c r="N13">
        <f t="shared" si="2"/>
        <v>22309.513019750331</v>
      </c>
      <c r="O13">
        <f t="shared" si="3"/>
        <v>66200.335382558478</v>
      </c>
    </row>
    <row r="14" spans="1:25" x14ac:dyDescent="0.3">
      <c r="A14" t="s">
        <v>6</v>
      </c>
      <c r="B14" t="s">
        <v>27</v>
      </c>
      <c r="C14" s="2">
        <v>5.0000000000000001E-4</v>
      </c>
      <c r="D14">
        <v>4.2581603085000003E-3</v>
      </c>
      <c r="E14">
        <v>29.28</v>
      </c>
      <c r="F14">
        <v>230.24190999999999</v>
      </c>
      <c r="G14">
        <v>3.01</v>
      </c>
      <c r="H14">
        <v>33.1</v>
      </c>
      <c r="I14">
        <v>0.26300000000000001</v>
      </c>
      <c r="J14">
        <v>2.9673590500000002</v>
      </c>
      <c r="K14">
        <v>105</v>
      </c>
      <c r="L14">
        <f t="shared" si="0"/>
        <v>265849.08910465118</v>
      </c>
      <c r="M14">
        <f t="shared" si="1"/>
        <v>1.7777777777777777</v>
      </c>
      <c r="N14">
        <f t="shared" si="2"/>
        <v>1797036.5127479588</v>
      </c>
      <c r="O14">
        <f t="shared" si="3"/>
        <v>5332452.5592830963</v>
      </c>
      <c r="P14">
        <f t="shared" si="4"/>
        <v>4183714.2197489534</v>
      </c>
      <c r="Q14">
        <f t="shared" si="5"/>
        <v>5332452.5592830963</v>
      </c>
      <c r="R14">
        <f t="shared" si="6"/>
        <v>3425404.407046881</v>
      </c>
      <c r="S14">
        <f t="shared" si="7"/>
        <v>826048.42055821745</v>
      </c>
      <c r="T14">
        <f t="shared" si="8"/>
        <v>476919.27797295206</v>
      </c>
      <c r="U14">
        <f>AVERAGE(P14:P22)</f>
        <v>2919411.2503112741</v>
      </c>
      <c r="V14">
        <f t="shared" ref="V14:V56" si="9">MAX(P14:P22)</f>
        <v>4183714.2197489534</v>
      </c>
      <c r="W14">
        <f t="shared" ref="W14:W56" si="10">MIN(P14:P22)</f>
        <v>2033528.1847092723</v>
      </c>
      <c r="X14">
        <f t="shared" ref="X14:X56" si="11">_xlfn.STDEV.P(P14:P22)</f>
        <v>917687.7515561122</v>
      </c>
      <c r="Y14">
        <f t="shared" ref="Y14:Y56" si="12">X14/(SQRT(COUNT(P14:P22)))</f>
        <v>529827.27039294387</v>
      </c>
    </row>
    <row r="15" spans="1:25" x14ac:dyDescent="0.3">
      <c r="A15" t="s">
        <v>6</v>
      </c>
      <c r="B15" t="s">
        <v>27</v>
      </c>
      <c r="C15" s="2">
        <v>5.0000000000000001E-4</v>
      </c>
      <c r="D15">
        <v>4.2581603085000003E-3</v>
      </c>
      <c r="E15">
        <v>29.98</v>
      </c>
      <c r="F15">
        <v>147.90036000000001</v>
      </c>
      <c r="G15">
        <v>3.01</v>
      </c>
      <c r="H15">
        <v>33.1</v>
      </c>
      <c r="I15">
        <v>0.26300000000000001</v>
      </c>
      <c r="J15">
        <v>2.9673590500000002</v>
      </c>
      <c r="K15">
        <v>105</v>
      </c>
      <c r="L15">
        <f t="shared" si="0"/>
        <v>170773.3226511628</v>
      </c>
      <c r="M15">
        <f t="shared" si="1"/>
        <v>1.7777777777777777</v>
      </c>
      <c r="N15">
        <f t="shared" si="2"/>
        <v>1154361.285347953</v>
      </c>
      <c r="O15">
        <f t="shared" si="3"/>
        <v>3425404.407046881</v>
      </c>
    </row>
    <row r="16" spans="1:25" x14ac:dyDescent="0.3">
      <c r="A16" t="s">
        <v>6</v>
      </c>
      <c r="B16" t="s">
        <v>27</v>
      </c>
      <c r="C16" s="2">
        <v>5.0000000000000001E-4</v>
      </c>
      <c r="D16">
        <v>4.2581603085000003E-3</v>
      </c>
      <c r="E16">
        <v>29.82</v>
      </c>
      <c r="F16">
        <v>163.78455</v>
      </c>
      <c r="G16">
        <v>3.01</v>
      </c>
      <c r="H16">
        <v>33.1</v>
      </c>
      <c r="I16">
        <v>0.26300000000000001</v>
      </c>
      <c r="J16">
        <v>2.9673590509999999</v>
      </c>
      <c r="K16">
        <v>105</v>
      </c>
      <c r="L16">
        <f t="shared" si="0"/>
        <v>189114.02110465115</v>
      </c>
      <c r="M16">
        <f t="shared" si="1"/>
        <v>1.7777777777777777</v>
      </c>
      <c r="N16">
        <f t="shared" si="2"/>
        <v>1278337.2782739408</v>
      </c>
      <c r="O16">
        <f t="shared" si="3"/>
        <v>3793285.6929168836</v>
      </c>
    </row>
    <row r="17" spans="1:25" x14ac:dyDescent="0.3">
      <c r="A17" t="s">
        <v>7</v>
      </c>
      <c r="B17" t="s">
        <v>27</v>
      </c>
      <c r="C17" s="2">
        <v>5.0000000000000001E-4</v>
      </c>
      <c r="D17">
        <v>4.2581603085000003E-3</v>
      </c>
      <c r="E17">
        <v>30.31</v>
      </c>
      <c r="F17">
        <v>119.69803</v>
      </c>
      <c r="G17">
        <v>3.81</v>
      </c>
      <c r="H17">
        <v>36.700000000000003</v>
      </c>
      <c r="I17">
        <v>0.26200000000000001</v>
      </c>
      <c r="J17">
        <v>2.9673590509999999</v>
      </c>
      <c r="K17">
        <v>105</v>
      </c>
      <c r="L17">
        <f t="shared" si="0"/>
        <v>121064.66105118112</v>
      </c>
      <c r="M17">
        <f t="shared" si="1"/>
        <v>1.7777777777777777</v>
      </c>
      <c r="N17">
        <f t="shared" si="2"/>
        <v>821473.52706484217</v>
      </c>
      <c r="O17">
        <f t="shared" si="3"/>
        <v>2437606.9056927529</v>
      </c>
      <c r="P17">
        <f t="shared" si="4"/>
        <v>2033528.1847092723</v>
      </c>
      <c r="Q17">
        <f t="shared" si="5"/>
        <v>2437606.9056927529</v>
      </c>
      <c r="R17">
        <f t="shared" si="6"/>
        <v>1572242.2121630849</v>
      </c>
      <c r="S17">
        <f t="shared" si="7"/>
        <v>355592.00912041758</v>
      </c>
      <c r="T17">
        <f t="shared" si="8"/>
        <v>205301.14218735296</v>
      </c>
    </row>
    <row r="18" spans="1:25" x14ac:dyDescent="0.3">
      <c r="A18" t="s">
        <v>7</v>
      </c>
      <c r="B18" t="s">
        <v>27</v>
      </c>
      <c r="C18" s="2">
        <v>5.0000000000000001E-4</v>
      </c>
      <c r="D18">
        <v>4.2581603085000003E-3</v>
      </c>
      <c r="E18">
        <v>31</v>
      </c>
      <c r="F18">
        <v>77.204530000000005</v>
      </c>
      <c r="G18">
        <v>3.81</v>
      </c>
      <c r="H18">
        <v>36.700000000000003</v>
      </c>
      <c r="I18">
        <v>0.26200000000000001</v>
      </c>
      <c r="J18">
        <v>2.9673590509999999</v>
      </c>
      <c r="K18">
        <v>105</v>
      </c>
      <c r="L18">
        <f t="shared" si="0"/>
        <v>78085.999043307093</v>
      </c>
      <c r="M18">
        <f t="shared" si="1"/>
        <v>1.7777777777777777</v>
      </c>
      <c r="N18">
        <f t="shared" si="2"/>
        <v>529845.62539987848</v>
      </c>
      <c r="O18">
        <f t="shared" si="3"/>
        <v>1572242.2121630849</v>
      </c>
    </row>
    <row r="19" spans="1:25" x14ac:dyDescent="0.3">
      <c r="A19" t="s">
        <v>7</v>
      </c>
      <c r="B19" t="s">
        <v>27</v>
      </c>
      <c r="C19" s="2">
        <v>5.0000000000000001E-4</v>
      </c>
      <c r="D19">
        <v>4.2581603085000003E-3</v>
      </c>
      <c r="E19">
        <v>30.55</v>
      </c>
      <c r="F19">
        <v>102.66500000000001</v>
      </c>
      <c r="G19">
        <v>3.81</v>
      </c>
      <c r="H19">
        <v>36.700000000000003</v>
      </c>
      <c r="I19">
        <v>0.26200000000000001</v>
      </c>
      <c r="J19">
        <v>2.9673590509999999</v>
      </c>
      <c r="K19">
        <v>105</v>
      </c>
      <c r="L19">
        <f t="shared" si="0"/>
        <v>103837.15944881891</v>
      </c>
      <c r="M19">
        <f t="shared" si="1"/>
        <v>1.7777777777777777</v>
      </c>
      <c r="N19">
        <f t="shared" si="2"/>
        <v>704577.84189190099</v>
      </c>
      <c r="O19">
        <f t="shared" si="3"/>
        <v>2090735.4362719792</v>
      </c>
    </row>
    <row r="20" spans="1:25" x14ac:dyDescent="0.3">
      <c r="A20" t="s">
        <v>8</v>
      </c>
      <c r="B20" t="s">
        <v>27</v>
      </c>
      <c r="C20" s="2">
        <v>5.0000000000000001E-4</v>
      </c>
      <c r="D20">
        <v>4.2581603085000003E-3</v>
      </c>
      <c r="E20">
        <v>30.03</v>
      </c>
      <c r="F20">
        <v>142.96512999999999</v>
      </c>
      <c r="G20">
        <v>3.81</v>
      </c>
      <c r="H20">
        <v>35.4</v>
      </c>
      <c r="I20">
        <v>0.26200000000000001</v>
      </c>
      <c r="J20">
        <v>2.9673590509999999</v>
      </c>
      <c r="K20">
        <v>105</v>
      </c>
      <c r="L20">
        <f t="shared" si="0"/>
        <v>139475.42997637796</v>
      </c>
      <c r="M20">
        <f t="shared" si="1"/>
        <v>1.7777777777777777</v>
      </c>
      <c r="N20">
        <f t="shared" si="2"/>
        <v>946398.16777864587</v>
      </c>
      <c r="O20">
        <f t="shared" si="3"/>
        <v>2808303.1690077814</v>
      </c>
      <c r="P20">
        <f t="shared" si="4"/>
        <v>2540991.3464755961</v>
      </c>
      <c r="Q20">
        <f t="shared" si="5"/>
        <v>2808303.1690077814</v>
      </c>
      <c r="R20">
        <f t="shared" si="6"/>
        <v>2383738.9527541613</v>
      </c>
      <c r="S20">
        <f t="shared" si="7"/>
        <v>189997.37161931879</v>
      </c>
      <c r="T20">
        <f t="shared" si="8"/>
        <v>109695.03364973507</v>
      </c>
    </row>
    <row r="21" spans="1:25" x14ac:dyDescent="0.3">
      <c r="A21" t="s">
        <v>8</v>
      </c>
      <c r="B21" t="s">
        <v>27</v>
      </c>
      <c r="C21" s="2">
        <v>5.0000000000000001E-4</v>
      </c>
      <c r="D21">
        <v>4.2581603085000003E-3</v>
      </c>
      <c r="E21">
        <v>30.26</v>
      </c>
      <c r="F21">
        <v>123.75391</v>
      </c>
      <c r="G21">
        <v>3.81</v>
      </c>
      <c r="H21">
        <v>35.4</v>
      </c>
      <c r="I21">
        <v>0.26200000000000001</v>
      </c>
      <c r="J21">
        <v>2.9673590509999999</v>
      </c>
      <c r="K21">
        <v>105</v>
      </c>
      <c r="L21">
        <f t="shared" si="0"/>
        <v>120733.14526771655</v>
      </c>
      <c r="M21">
        <f t="shared" si="1"/>
        <v>1.7777777777777777</v>
      </c>
      <c r="N21">
        <f t="shared" si="2"/>
        <v>819224.05609985779</v>
      </c>
      <c r="O21">
        <f t="shared" si="3"/>
        <v>2430931.9176648445</v>
      </c>
    </row>
    <row r="22" spans="1:25" x14ac:dyDescent="0.3">
      <c r="A22" t="s">
        <v>8</v>
      </c>
      <c r="B22" t="s">
        <v>27</v>
      </c>
      <c r="C22" s="2">
        <v>5.0000000000000001E-4</v>
      </c>
      <c r="D22">
        <v>4.2581603085000003E-3</v>
      </c>
      <c r="E22">
        <v>30.29</v>
      </c>
      <c r="F22">
        <v>121.35141</v>
      </c>
      <c r="G22">
        <v>3.81</v>
      </c>
      <c r="H22">
        <v>35.4</v>
      </c>
      <c r="I22">
        <v>0.26200000000000001</v>
      </c>
      <c r="J22">
        <v>2.9673590509999999</v>
      </c>
      <c r="K22">
        <v>105</v>
      </c>
      <c r="L22">
        <f t="shared" si="0"/>
        <v>118389.28896850393</v>
      </c>
      <c r="M22">
        <f t="shared" si="1"/>
        <v>1.7777777777777777</v>
      </c>
      <c r="N22">
        <f t="shared" si="2"/>
        <v>803320.02692793158</v>
      </c>
      <c r="O22">
        <f t="shared" si="3"/>
        <v>2383738.9527541613</v>
      </c>
    </row>
    <row r="23" spans="1:25" x14ac:dyDescent="0.3">
      <c r="A23" t="s">
        <v>9</v>
      </c>
      <c r="B23" t="s">
        <v>27</v>
      </c>
      <c r="C23" s="2">
        <v>1E-3</v>
      </c>
      <c r="D23">
        <v>8.5163206170000005E-3</v>
      </c>
      <c r="E23">
        <v>28.88</v>
      </c>
      <c r="F23">
        <v>296.41401000000002</v>
      </c>
      <c r="G23">
        <v>3.31</v>
      </c>
      <c r="H23">
        <v>32</v>
      </c>
      <c r="I23">
        <v>0.26</v>
      </c>
      <c r="J23">
        <v>2.9673590509999999</v>
      </c>
      <c r="K23">
        <v>105</v>
      </c>
      <c r="L23">
        <f t="shared" si="0"/>
        <v>300891.56302114803</v>
      </c>
      <c r="M23">
        <f t="shared" si="1"/>
        <v>1.7777777777777777</v>
      </c>
      <c r="N23">
        <f t="shared" si="2"/>
        <v>2057378.20869161</v>
      </c>
      <c r="O23">
        <f t="shared" si="3"/>
        <v>6104979.8488912154</v>
      </c>
      <c r="P23">
        <f t="shared" si="4"/>
        <v>6250557.9932714654</v>
      </c>
      <c r="Q23">
        <f t="shared" si="5"/>
        <v>7444462.604139993</v>
      </c>
      <c r="R23">
        <f t="shared" si="6"/>
        <v>5202231.5267831869</v>
      </c>
      <c r="S23">
        <f t="shared" si="7"/>
        <v>921156.80827861314</v>
      </c>
      <c r="T23">
        <f t="shared" si="8"/>
        <v>531830.13122551388</v>
      </c>
      <c r="U23">
        <f>AVERAGE(P23:P31)</f>
        <v>10173291.032295303</v>
      </c>
      <c r="V23">
        <f t="shared" si="9"/>
        <v>14864367.240460789</v>
      </c>
      <c r="W23">
        <f t="shared" si="10"/>
        <v>6250557.9932714654</v>
      </c>
      <c r="X23">
        <f t="shared" si="11"/>
        <v>3558294.6154879723</v>
      </c>
      <c r="Y23">
        <f t="shared" si="12"/>
        <v>2054382.3541079769</v>
      </c>
    </row>
    <row r="24" spans="1:25" x14ac:dyDescent="0.3">
      <c r="A24" t="s">
        <v>9</v>
      </c>
      <c r="B24" t="s">
        <v>27</v>
      </c>
      <c r="C24" s="2">
        <v>1E-3</v>
      </c>
      <c r="D24">
        <v>8.5163206170000005E-3</v>
      </c>
      <c r="E24">
        <v>28.57</v>
      </c>
      <c r="F24">
        <v>361.44968</v>
      </c>
      <c r="G24">
        <v>3.31</v>
      </c>
      <c r="H24">
        <v>32</v>
      </c>
      <c r="I24">
        <v>0.26</v>
      </c>
      <c r="J24">
        <v>2.9673590509999999</v>
      </c>
      <c r="K24">
        <v>105</v>
      </c>
      <c r="L24">
        <f t="shared" si="0"/>
        <v>366909.64495468274</v>
      </c>
      <c r="M24">
        <f t="shared" si="1"/>
        <v>1.7777777777777777</v>
      </c>
      <c r="N24">
        <f t="shared" si="2"/>
        <v>2508783.8971260353</v>
      </c>
      <c r="O24">
        <f t="shared" si="3"/>
        <v>7444462.604139993</v>
      </c>
    </row>
    <row r="25" spans="1:25" x14ac:dyDescent="0.3">
      <c r="A25" t="s">
        <v>9</v>
      </c>
      <c r="B25" t="s">
        <v>27</v>
      </c>
      <c r="C25" s="2">
        <v>1E-3</v>
      </c>
      <c r="D25">
        <v>8.5163206170000005E-3</v>
      </c>
      <c r="E25">
        <v>29.14</v>
      </c>
      <c r="F25">
        <v>252.58303000000001</v>
      </c>
      <c r="G25">
        <v>3.31</v>
      </c>
      <c r="H25">
        <v>32</v>
      </c>
      <c r="I25">
        <v>0.26</v>
      </c>
      <c r="J25">
        <v>2.9673590500000002</v>
      </c>
      <c r="K25">
        <v>105</v>
      </c>
      <c r="L25">
        <f t="shared" si="0"/>
        <v>256398.48362537764</v>
      </c>
      <c r="M25">
        <f t="shared" si="1"/>
        <v>1.7777777777777777</v>
      </c>
      <c r="N25">
        <f t="shared" si="2"/>
        <v>1753152.0247889068</v>
      </c>
      <c r="O25">
        <f t="shared" si="3"/>
        <v>5202231.5267831869</v>
      </c>
    </row>
    <row r="26" spans="1:25" x14ac:dyDescent="0.3">
      <c r="A26" t="s">
        <v>10</v>
      </c>
      <c r="B26" t="s">
        <v>27</v>
      </c>
      <c r="C26" s="2">
        <v>1E-3</v>
      </c>
      <c r="D26">
        <v>8.5163206170000005E-3</v>
      </c>
      <c r="E26">
        <v>27.63</v>
      </c>
      <c r="F26">
        <v>657.38707999999997</v>
      </c>
      <c r="G26">
        <v>2.1800000000000002</v>
      </c>
      <c r="H26">
        <v>23.3</v>
      </c>
      <c r="I26">
        <v>0.25900000000000001</v>
      </c>
      <c r="J26">
        <v>2.9673590509999999</v>
      </c>
      <c r="K26">
        <v>105</v>
      </c>
      <c r="L26">
        <f t="shared" si="0"/>
        <v>737751.14276146784</v>
      </c>
      <c r="M26">
        <f t="shared" si="1"/>
        <v>1.7777777777777777</v>
      </c>
      <c r="N26">
        <f t="shared" si="2"/>
        <v>5063928.9078436224</v>
      </c>
      <c r="O26">
        <f t="shared" si="3"/>
        <v>15026495.278310318</v>
      </c>
      <c r="P26">
        <f t="shared" si="4"/>
        <v>14864367.240460789</v>
      </c>
      <c r="Q26">
        <f t="shared" si="5"/>
        <v>16337881.968433298</v>
      </c>
      <c r="R26">
        <f t="shared" si="6"/>
        <v>13228724.474638745</v>
      </c>
      <c r="S26">
        <f t="shared" si="7"/>
        <v>1274474.8476130369</v>
      </c>
      <c r="T26">
        <f t="shared" si="8"/>
        <v>735818.39634479419</v>
      </c>
    </row>
    <row r="27" spans="1:25" x14ac:dyDescent="0.3">
      <c r="A27" t="s">
        <v>10</v>
      </c>
      <c r="B27" t="s">
        <v>27</v>
      </c>
      <c r="C27" s="2">
        <v>1E-3</v>
      </c>
      <c r="D27">
        <v>8.5163206170000005E-3</v>
      </c>
      <c r="E27">
        <v>27.83</v>
      </c>
      <c r="F27">
        <v>578.73725000000002</v>
      </c>
      <c r="G27">
        <v>2.1800000000000002</v>
      </c>
      <c r="H27">
        <v>23.3</v>
      </c>
      <c r="I27">
        <v>0.25900000000000001</v>
      </c>
      <c r="J27">
        <v>2.9673590509999999</v>
      </c>
      <c r="K27">
        <v>105</v>
      </c>
      <c r="L27">
        <f t="shared" si="0"/>
        <v>649486.55143348628</v>
      </c>
      <c r="M27">
        <f t="shared" si="1"/>
        <v>1.7777777777777777</v>
      </c>
      <c r="N27">
        <f t="shared" si="2"/>
        <v>4458080.1471195966</v>
      </c>
      <c r="O27">
        <f t="shared" si="3"/>
        <v>13228724.474638745</v>
      </c>
    </row>
    <row r="28" spans="1:25" x14ac:dyDescent="0.3">
      <c r="A28" t="s">
        <v>10</v>
      </c>
      <c r="B28" t="s">
        <v>27</v>
      </c>
      <c r="C28" s="2">
        <v>1E-3</v>
      </c>
      <c r="D28">
        <v>8.5163206170000005E-3</v>
      </c>
      <c r="E28">
        <v>27.5</v>
      </c>
      <c r="F28">
        <v>714.75832000000003</v>
      </c>
      <c r="G28">
        <v>2.1800000000000002</v>
      </c>
      <c r="H28">
        <v>23.3</v>
      </c>
      <c r="I28">
        <v>0.25900000000000001</v>
      </c>
      <c r="J28">
        <v>2.9673590509999999</v>
      </c>
      <c r="K28">
        <v>105</v>
      </c>
      <c r="L28">
        <f t="shared" si="0"/>
        <v>802135.88526605512</v>
      </c>
      <c r="M28">
        <f t="shared" si="1"/>
        <v>1.7777777777777777</v>
      </c>
      <c r="N28">
        <f t="shared" si="2"/>
        <v>5505866.2223324245</v>
      </c>
      <c r="O28">
        <f t="shared" si="3"/>
        <v>16337881.968433298</v>
      </c>
    </row>
    <row r="29" spans="1:25" x14ac:dyDescent="0.3">
      <c r="A29" t="s">
        <v>11</v>
      </c>
      <c r="B29" t="s">
        <v>27</v>
      </c>
      <c r="C29" s="2">
        <v>1E-3</v>
      </c>
      <c r="D29">
        <v>8.5163206170000005E-3</v>
      </c>
      <c r="E29">
        <v>28.27</v>
      </c>
      <c r="F29">
        <v>436.55232000000001</v>
      </c>
      <c r="G29">
        <v>3.17</v>
      </c>
      <c r="H29">
        <v>31.3</v>
      </c>
      <c r="I29">
        <v>0.27</v>
      </c>
      <c r="J29">
        <v>2.9673590509999999</v>
      </c>
      <c r="K29">
        <v>105</v>
      </c>
      <c r="L29">
        <f t="shared" si="0"/>
        <v>452595.96204416407</v>
      </c>
      <c r="M29">
        <f t="shared" si="1"/>
        <v>1.7777777777777777</v>
      </c>
      <c r="N29">
        <f t="shared" si="2"/>
        <v>2980055.71716322</v>
      </c>
      <c r="O29">
        <f t="shared" si="3"/>
        <v>8842895.3048085775</v>
      </c>
      <c r="P29">
        <f t="shared" si="4"/>
        <v>9404947.8631536588</v>
      </c>
      <c r="Q29">
        <f t="shared" si="5"/>
        <v>9860692.8613850381</v>
      </c>
      <c r="R29">
        <f t="shared" si="6"/>
        <v>8842895.3048085775</v>
      </c>
      <c r="S29">
        <f t="shared" si="7"/>
        <v>422258.95652332384</v>
      </c>
      <c r="T29">
        <f t="shared" si="8"/>
        <v>243791.32221647151</v>
      </c>
    </row>
    <row r="30" spans="1:25" x14ac:dyDescent="0.3">
      <c r="A30" t="s">
        <v>11</v>
      </c>
      <c r="B30" t="s">
        <v>27</v>
      </c>
      <c r="C30" s="2">
        <v>1E-3</v>
      </c>
      <c r="D30">
        <v>8.5163206170000005E-3</v>
      </c>
      <c r="E30">
        <v>28.16</v>
      </c>
      <c r="F30">
        <v>469.54764</v>
      </c>
      <c r="G30">
        <v>3.17</v>
      </c>
      <c r="H30">
        <v>31.3</v>
      </c>
      <c r="I30">
        <v>0.27</v>
      </c>
      <c r="J30">
        <v>2.9673590509999999</v>
      </c>
      <c r="K30">
        <v>105</v>
      </c>
      <c r="L30">
        <f t="shared" si="0"/>
        <v>486803.88607570977</v>
      </c>
      <c r="M30">
        <f t="shared" si="1"/>
        <v>1.7777777777777777</v>
      </c>
      <c r="N30">
        <f t="shared" si="2"/>
        <v>3205293.0770417103</v>
      </c>
      <c r="O30">
        <f t="shared" si="3"/>
        <v>9511255.4232673589</v>
      </c>
    </row>
    <row r="31" spans="1:25" x14ac:dyDescent="0.3">
      <c r="A31" t="s">
        <v>11</v>
      </c>
      <c r="B31" t="s">
        <v>27</v>
      </c>
      <c r="C31" s="2">
        <v>1E-3</v>
      </c>
      <c r="D31">
        <v>8.5163206170000005E-3</v>
      </c>
      <c r="E31">
        <v>28.1</v>
      </c>
      <c r="F31">
        <v>486.79852</v>
      </c>
      <c r="G31">
        <v>3.17</v>
      </c>
      <c r="H31">
        <v>31.3</v>
      </c>
      <c r="I31">
        <v>0.27</v>
      </c>
      <c r="J31">
        <v>2.9673590500000002</v>
      </c>
      <c r="K31">
        <v>105</v>
      </c>
      <c r="L31">
        <f t="shared" si="0"/>
        <v>504688.74952050467</v>
      </c>
      <c r="M31">
        <f t="shared" si="1"/>
        <v>1.7777777777777777</v>
      </c>
      <c r="N31">
        <f t="shared" si="2"/>
        <v>3323053.4947852157</v>
      </c>
      <c r="O31">
        <f t="shared" si="3"/>
        <v>9860692.8613850381</v>
      </c>
    </row>
    <row r="32" spans="1:25" x14ac:dyDescent="0.3">
      <c r="A32" t="s">
        <v>12</v>
      </c>
      <c r="B32" t="s">
        <v>27</v>
      </c>
      <c r="C32" s="2">
        <v>5.0000000000000001E-3</v>
      </c>
      <c r="D32">
        <v>4.2581603085000003E-2</v>
      </c>
      <c r="E32">
        <v>26.17</v>
      </c>
      <c r="F32">
        <v>1660.43623</v>
      </c>
      <c r="G32">
        <v>2.57</v>
      </c>
      <c r="H32">
        <v>25.5</v>
      </c>
      <c r="I32">
        <v>0.27</v>
      </c>
      <c r="J32">
        <v>2.9673590500000002</v>
      </c>
      <c r="K32">
        <v>105</v>
      </c>
      <c r="L32">
        <f t="shared" si="0"/>
        <v>1729890.274640078</v>
      </c>
      <c r="M32">
        <f t="shared" si="1"/>
        <v>1.7777777777777777</v>
      </c>
      <c r="N32">
        <f t="shared" si="2"/>
        <v>11390224.030551953</v>
      </c>
      <c r="O32">
        <f t="shared" si="3"/>
        <v>33798884.35858582</v>
      </c>
      <c r="P32">
        <f t="shared" si="4"/>
        <v>35537654.631877117</v>
      </c>
      <c r="Q32">
        <f t="shared" si="5"/>
        <v>36791127.692697622</v>
      </c>
      <c r="R32">
        <f t="shared" si="6"/>
        <v>33798884.35858582</v>
      </c>
      <c r="S32">
        <f t="shared" si="7"/>
        <v>1268861.7158587631</v>
      </c>
      <c r="T32">
        <f t="shared" si="8"/>
        <v>732577.65321546735</v>
      </c>
      <c r="U32">
        <f>AVERAGE(P32:P37)</f>
        <v>28880800.381084166</v>
      </c>
      <c r="V32">
        <f>MAX(P32:P37)</f>
        <v>35537654.631877117</v>
      </c>
      <c r="W32">
        <f>MIN(P32:P37)</f>
        <v>22223946.13029122</v>
      </c>
      <c r="X32">
        <f>_xlfn.STDEV.P(P32:P37)</f>
        <v>6656854.2507929467</v>
      </c>
      <c r="Y32">
        <f>X32/(SQRT(COUNT(P32:P37)))</f>
        <v>4707106.7821061863</v>
      </c>
    </row>
    <row r="33" spans="1:25" x14ac:dyDescent="0.3">
      <c r="A33" t="s">
        <v>12</v>
      </c>
      <c r="B33" t="s">
        <v>27</v>
      </c>
      <c r="C33" s="2">
        <v>5.0000000000000001E-3</v>
      </c>
      <c r="D33">
        <v>4.2581603085000003E-2</v>
      </c>
      <c r="E33">
        <v>26.07</v>
      </c>
      <c r="F33">
        <v>1769.6978899999999</v>
      </c>
      <c r="G33">
        <v>2.57</v>
      </c>
      <c r="H33">
        <v>25.5</v>
      </c>
      <c r="I33">
        <v>0.27</v>
      </c>
      <c r="J33">
        <v>2.9673590509999999</v>
      </c>
      <c r="K33">
        <v>105</v>
      </c>
      <c r="L33">
        <f t="shared" si="0"/>
        <v>1843722.2180836578</v>
      </c>
      <c r="M33">
        <f t="shared" si="1"/>
        <v>1.7777777777777777</v>
      </c>
      <c r="N33">
        <f t="shared" si="2"/>
        <v>12139734.769275112</v>
      </c>
      <c r="O33">
        <f t="shared" si="3"/>
        <v>36022951.844347902</v>
      </c>
    </row>
    <row r="34" spans="1:25" x14ac:dyDescent="0.3">
      <c r="A34" t="s">
        <v>12</v>
      </c>
      <c r="B34" t="s">
        <v>27</v>
      </c>
      <c r="C34" s="2">
        <v>5.0000000000000001E-3</v>
      </c>
      <c r="D34">
        <v>4.2581603085000003E-2</v>
      </c>
      <c r="E34">
        <v>26.04</v>
      </c>
      <c r="F34">
        <v>1807.4360300000001</v>
      </c>
      <c r="G34">
        <v>2.57</v>
      </c>
      <c r="H34">
        <v>25.5</v>
      </c>
      <c r="I34">
        <v>0.27</v>
      </c>
      <c r="J34">
        <v>2.9673590500000002</v>
      </c>
      <c r="K34">
        <v>105</v>
      </c>
      <c r="L34">
        <f t="shared" si="0"/>
        <v>1883038.898959144</v>
      </c>
      <c r="M34">
        <f t="shared" si="1"/>
        <v>1.7777777777777777</v>
      </c>
      <c r="N34">
        <f t="shared" si="2"/>
        <v>12398610.034298889</v>
      </c>
      <c r="O34">
        <f t="shared" si="3"/>
        <v>36791127.692697622</v>
      </c>
    </row>
    <row r="35" spans="1:25" x14ac:dyDescent="0.3">
      <c r="A35" t="s">
        <v>13</v>
      </c>
      <c r="B35" t="s">
        <v>27</v>
      </c>
      <c r="C35" s="2">
        <v>5.0000000000000001E-3</v>
      </c>
      <c r="D35">
        <v>4.2581603085000003E-2</v>
      </c>
      <c r="E35">
        <v>26.61</v>
      </c>
      <c r="F35">
        <v>1251.9689699999999</v>
      </c>
      <c r="G35">
        <v>3.39</v>
      </c>
      <c r="H35">
        <v>32.799999999999997</v>
      </c>
      <c r="I35">
        <v>0.27500000000000002</v>
      </c>
      <c r="J35">
        <v>2.9673590509999999</v>
      </c>
      <c r="K35">
        <v>105</v>
      </c>
      <c r="L35">
        <f t="shared" si="0"/>
        <v>1271911.8385486724</v>
      </c>
      <c r="M35">
        <f t="shared" si="1"/>
        <v>1.7777777777777777</v>
      </c>
      <c r="N35">
        <f t="shared" si="2"/>
        <v>8222460.3704156587</v>
      </c>
      <c r="O35">
        <f t="shared" si="3"/>
        <v>24398992.201641716</v>
      </c>
      <c r="P35">
        <f t="shared" si="4"/>
        <v>22223946.13029122</v>
      </c>
      <c r="Q35">
        <f t="shared" si="5"/>
        <v>24398992.201641716</v>
      </c>
      <c r="R35">
        <f t="shared" si="6"/>
        <v>18415095.123208266</v>
      </c>
      <c r="S35">
        <f t="shared" si="7"/>
        <v>2702313.2050570939</v>
      </c>
      <c r="T35">
        <f t="shared" si="8"/>
        <v>1560181.2563743936</v>
      </c>
    </row>
    <row r="36" spans="1:25" x14ac:dyDescent="0.3">
      <c r="A36" t="s">
        <v>13</v>
      </c>
      <c r="B36" t="s">
        <v>27</v>
      </c>
      <c r="C36" s="2">
        <v>5.0000000000000001E-3</v>
      </c>
      <c r="D36">
        <v>4.2581603085000003E-2</v>
      </c>
      <c r="E36">
        <v>27.06</v>
      </c>
      <c r="F36">
        <v>944.92130999999995</v>
      </c>
      <c r="G36">
        <v>3.39</v>
      </c>
      <c r="H36">
        <v>32.799999999999997</v>
      </c>
      <c r="I36">
        <v>0.27500000000000002</v>
      </c>
      <c r="J36">
        <v>2.9673590509999999</v>
      </c>
      <c r="K36">
        <v>105</v>
      </c>
      <c r="L36">
        <f t="shared" si="0"/>
        <v>959973.15387610614</v>
      </c>
      <c r="M36">
        <f t="shared" si="1"/>
        <v>1.7777777777777777</v>
      </c>
      <c r="N36">
        <f t="shared" si="2"/>
        <v>6205887.0553606851</v>
      </c>
      <c r="O36">
        <f t="shared" si="3"/>
        <v>18415095.123208266</v>
      </c>
    </row>
    <row r="37" spans="1:25" x14ac:dyDescent="0.3">
      <c r="A37" t="s">
        <v>13</v>
      </c>
      <c r="B37" t="s">
        <v>27</v>
      </c>
      <c r="C37" s="2">
        <v>5.0000000000000001E-3</v>
      </c>
      <c r="D37">
        <v>4.2581603085000003E-2</v>
      </c>
      <c r="E37">
        <v>26.65</v>
      </c>
      <c r="F37">
        <v>1224.1966299999999</v>
      </c>
      <c r="G37">
        <v>3.39</v>
      </c>
      <c r="H37">
        <v>32.799999999999997</v>
      </c>
      <c r="I37">
        <v>0.27500000000000002</v>
      </c>
      <c r="J37">
        <v>2.9673590509999999</v>
      </c>
      <c r="K37">
        <v>105</v>
      </c>
      <c r="L37">
        <f t="shared" si="0"/>
        <v>1243697.1072920351</v>
      </c>
      <c r="M37">
        <f t="shared" si="1"/>
        <v>1.7777777777777777</v>
      </c>
      <c r="N37">
        <f t="shared" si="2"/>
        <v>8040062.1077464884</v>
      </c>
      <c r="O37">
        <f t="shared" si="3"/>
        <v>23857751.066023678</v>
      </c>
    </row>
    <row r="38" spans="1:25" x14ac:dyDescent="0.3">
      <c r="A38" t="s">
        <v>14</v>
      </c>
      <c r="B38" t="s">
        <v>27</v>
      </c>
      <c r="C38" s="1">
        <v>0.01</v>
      </c>
      <c r="D38">
        <v>8.7640949999999995E-2</v>
      </c>
      <c r="E38">
        <v>27.68</v>
      </c>
      <c r="F38">
        <v>638.12683000000004</v>
      </c>
      <c r="G38">
        <v>2.3199999999999998</v>
      </c>
      <c r="H38">
        <v>42.4</v>
      </c>
      <c r="I38">
        <v>0.27500000000000002</v>
      </c>
      <c r="J38">
        <v>2.9673590500000002</v>
      </c>
      <c r="K38">
        <v>105</v>
      </c>
      <c r="L38">
        <f t="shared" si="0"/>
        <v>1224543.3823965518</v>
      </c>
      <c r="M38">
        <f t="shared" si="1"/>
        <v>1.7777777777777777</v>
      </c>
      <c r="N38">
        <f t="shared" si="2"/>
        <v>7916240.0478160903</v>
      </c>
      <c r="O38">
        <f t="shared" si="3"/>
        <v>23490326.547859509</v>
      </c>
      <c r="P38">
        <f t="shared" si="4"/>
        <v>23463542.222712915</v>
      </c>
      <c r="Q38">
        <f t="shared" si="5"/>
        <v>24979102.271476462</v>
      </c>
      <c r="R38">
        <f t="shared" si="6"/>
        <v>21921197.848802768</v>
      </c>
      <c r="S38">
        <f t="shared" si="7"/>
        <v>1248527.9104094296</v>
      </c>
      <c r="T38">
        <f t="shared" si="8"/>
        <v>720837.9251656452</v>
      </c>
      <c r="U38">
        <f>AVERAGE(P38:P46)</f>
        <v>28506642.306354742</v>
      </c>
      <c r="V38">
        <f t="shared" si="9"/>
        <v>31156102.047454488</v>
      </c>
      <c r="W38">
        <f t="shared" si="10"/>
        <v>23463542.222712915</v>
      </c>
      <c r="X38">
        <f t="shared" si="11"/>
        <v>3567539.2762510376</v>
      </c>
      <c r="Y38">
        <f t="shared" si="12"/>
        <v>2059719.7614880993</v>
      </c>
    </row>
    <row r="39" spans="1:25" x14ac:dyDescent="0.3">
      <c r="A39" t="s">
        <v>14</v>
      </c>
      <c r="B39" t="s">
        <v>27</v>
      </c>
      <c r="C39" s="1">
        <v>0.01</v>
      </c>
      <c r="D39">
        <v>8.7640949999999995E-2</v>
      </c>
      <c r="E39">
        <v>27.78</v>
      </c>
      <c r="F39">
        <v>595.50063999999998</v>
      </c>
      <c r="G39">
        <v>2.3199999999999998</v>
      </c>
      <c r="H39">
        <v>42.4</v>
      </c>
      <c r="I39">
        <v>0.27500000000000002</v>
      </c>
      <c r="J39">
        <v>2.9673590500000002</v>
      </c>
      <c r="K39">
        <v>105</v>
      </c>
      <c r="L39">
        <f t="shared" si="0"/>
        <v>1142745.1936551724</v>
      </c>
      <c r="M39">
        <f t="shared" si="1"/>
        <v>1.7777777777777777</v>
      </c>
      <c r="N39">
        <f t="shared" si="2"/>
        <v>7387443.6761546489</v>
      </c>
      <c r="O39">
        <f t="shared" si="3"/>
        <v>21921197.848802768</v>
      </c>
    </row>
    <row r="40" spans="1:25" x14ac:dyDescent="0.3">
      <c r="A40" t="s">
        <v>14</v>
      </c>
      <c r="B40" t="s">
        <v>27</v>
      </c>
      <c r="C40" s="1">
        <v>0.01</v>
      </c>
      <c r="D40">
        <v>8.7640949999999995E-2</v>
      </c>
      <c r="E40">
        <v>27.58</v>
      </c>
      <c r="F40">
        <v>678.57019000000003</v>
      </c>
      <c r="G40">
        <v>2.3199999999999998</v>
      </c>
      <c r="H40">
        <v>42.4</v>
      </c>
      <c r="I40">
        <v>0.27500000000000002</v>
      </c>
      <c r="J40">
        <v>2.9673590500000002</v>
      </c>
      <c r="K40">
        <v>105</v>
      </c>
      <c r="L40">
        <f t="shared" si="0"/>
        <v>1302152.795637931</v>
      </c>
      <c r="M40">
        <f t="shared" si="1"/>
        <v>1.7777777777777777</v>
      </c>
      <c r="N40">
        <f t="shared" si="2"/>
        <v>8417957.4667502604</v>
      </c>
      <c r="O40">
        <f t="shared" si="3"/>
        <v>24979102.271476462</v>
      </c>
    </row>
    <row r="41" spans="1:25" x14ac:dyDescent="0.3">
      <c r="A41" t="s">
        <v>15</v>
      </c>
      <c r="B41" t="s">
        <v>27</v>
      </c>
      <c r="C41" s="1">
        <v>0.01</v>
      </c>
      <c r="D41">
        <v>8.7640949999999995E-2</v>
      </c>
      <c r="E41">
        <v>27.45</v>
      </c>
      <c r="F41">
        <v>735.88190999999995</v>
      </c>
      <c r="G41">
        <v>2.21</v>
      </c>
      <c r="H41">
        <v>44.9</v>
      </c>
      <c r="I41">
        <v>0.28000000000000003</v>
      </c>
      <c r="J41">
        <v>2.9673590509999999</v>
      </c>
      <c r="K41">
        <v>105</v>
      </c>
      <c r="L41">
        <f t="shared" si="0"/>
        <v>1569825.9116266968</v>
      </c>
      <c r="M41">
        <f t="shared" si="1"/>
        <v>1.7777777777777777</v>
      </c>
      <c r="N41">
        <f t="shared" si="2"/>
        <v>9967148.6452488676</v>
      </c>
      <c r="O41">
        <f t="shared" si="3"/>
        <v>29576108.745141614</v>
      </c>
      <c r="P41">
        <f t="shared" si="4"/>
        <v>31156102.047454488</v>
      </c>
      <c r="Q41">
        <f t="shared" si="5"/>
        <v>35769713.57690379</v>
      </c>
      <c r="R41">
        <f t="shared" si="6"/>
        <v>28122483.820318062</v>
      </c>
      <c r="S41">
        <f t="shared" si="7"/>
        <v>3315852.3151690578</v>
      </c>
      <c r="T41">
        <f t="shared" si="8"/>
        <v>1914408.2267558994</v>
      </c>
    </row>
    <row r="42" spans="1:25" x14ac:dyDescent="0.3">
      <c r="A42" t="s">
        <v>15</v>
      </c>
      <c r="B42" t="s">
        <v>27</v>
      </c>
      <c r="C42" s="1">
        <v>0.01</v>
      </c>
      <c r="D42">
        <v>8.7640949999999995E-2</v>
      </c>
      <c r="E42">
        <v>27.53</v>
      </c>
      <c r="F42">
        <v>699.71433000000002</v>
      </c>
      <c r="G42">
        <v>2.21</v>
      </c>
      <c r="H42">
        <v>44.9</v>
      </c>
      <c r="I42">
        <v>0.28000000000000003</v>
      </c>
      <c r="J42">
        <v>2.9673590500000002</v>
      </c>
      <c r="K42">
        <v>105</v>
      </c>
      <c r="L42">
        <f t="shared" si="0"/>
        <v>1492671.1351968327</v>
      </c>
      <c r="M42">
        <f t="shared" si="1"/>
        <v>1.7777777777777777</v>
      </c>
      <c r="N42">
        <f t="shared" si="2"/>
        <v>9477277.0488687772</v>
      </c>
      <c r="O42">
        <f t="shared" si="3"/>
        <v>28122483.820318062</v>
      </c>
    </row>
    <row r="43" spans="1:25" x14ac:dyDescent="0.3">
      <c r="A43" t="s">
        <v>15</v>
      </c>
      <c r="B43" t="s">
        <v>27</v>
      </c>
      <c r="C43" s="1">
        <v>0.01</v>
      </c>
      <c r="D43">
        <v>8.7640949999999995E-2</v>
      </c>
      <c r="E43">
        <v>27.15</v>
      </c>
      <c r="F43">
        <v>889.98473000000001</v>
      </c>
      <c r="G43">
        <v>2.21</v>
      </c>
      <c r="H43">
        <v>44.9</v>
      </c>
      <c r="I43">
        <v>0.28000000000000003</v>
      </c>
      <c r="J43">
        <v>2.9673590500000002</v>
      </c>
      <c r="K43">
        <v>105</v>
      </c>
      <c r="L43">
        <f t="shared" si="0"/>
        <v>1898566.9726628962</v>
      </c>
      <c r="M43">
        <f t="shared" si="1"/>
        <v>1.7777777777777777</v>
      </c>
      <c r="N43">
        <f t="shared" si="2"/>
        <v>12054393.477224736</v>
      </c>
      <c r="O43">
        <f t="shared" si="3"/>
        <v>35769713.57690379</v>
      </c>
    </row>
    <row r="44" spans="1:25" x14ac:dyDescent="0.3">
      <c r="A44" t="s">
        <v>16</v>
      </c>
      <c r="B44" t="s">
        <v>27</v>
      </c>
      <c r="C44" s="1">
        <v>0.01</v>
      </c>
      <c r="D44">
        <v>8.7640949999999995E-2</v>
      </c>
      <c r="E44">
        <v>26.18</v>
      </c>
      <c r="F44">
        <v>1651.3814199999999</v>
      </c>
      <c r="G44">
        <v>3.89</v>
      </c>
      <c r="H44">
        <v>37.9</v>
      </c>
      <c r="I44">
        <v>0.27500000000000002</v>
      </c>
      <c r="J44">
        <v>2.9673590509999999</v>
      </c>
      <c r="K44">
        <v>105</v>
      </c>
      <c r="L44">
        <f t="shared" si="0"/>
        <v>1689375.928249357</v>
      </c>
      <c r="M44">
        <f t="shared" si="1"/>
        <v>1.7777777777777777</v>
      </c>
      <c r="N44">
        <f t="shared" si="2"/>
        <v>10921218.122016044</v>
      </c>
      <c r="O44">
        <f t="shared" si="3"/>
        <v>32407175.442309529</v>
      </c>
      <c r="P44">
        <f t="shared" si="4"/>
        <v>30900282.648896825</v>
      </c>
      <c r="Q44">
        <f t="shared" si="5"/>
        <v>32407175.442309529</v>
      </c>
      <c r="R44">
        <f t="shared" si="6"/>
        <v>28715429.511403132</v>
      </c>
      <c r="S44">
        <f t="shared" si="7"/>
        <v>1581554.0196698506</v>
      </c>
      <c r="T44">
        <f t="shared" si="8"/>
        <v>913110.63899432297</v>
      </c>
    </row>
    <row r="45" spans="1:25" x14ac:dyDescent="0.3">
      <c r="A45" t="s">
        <v>16</v>
      </c>
      <c r="B45" t="s">
        <v>27</v>
      </c>
      <c r="C45" s="1">
        <v>0.01</v>
      </c>
      <c r="D45">
        <v>8.7640949999999995E-2</v>
      </c>
      <c r="E45">
        <v>26.22</v>
      </c>
      <c r="F45">
        <v>1609.1412800000001</v>
      </c>
      <c r="G45">
        <v>3.89</v>
      </c>
      <c r="H45">
        <v>37.9</v>
      </c>
      <c r="I45">
        <v>0.27500000000000002</v>
      </c>
      <c r="J45">
        <v>2.9673590500000002</v>
      </c>
      <c r="K45">
        <v>105</v>
      </c>
      <c r="L45">
        <f t="shared" si="0"/>
        <v>1646163.9392699227</v>
      </c>
      <c r="M45">
        <f t="shared" si="1"/>
        <v>1.7777777777777777</v>
      </c>
      <c r="N45">
        <f t="shared" si="2"/>
        <v>10641867.890229803</v>
      </c>
      <c r="O45">
        <f t="shared" si="3"/>
        <v>31578242.992977813</v>
      </c>
    </row>
    <row r="46" spans="1:25" x14ac:dyDescent="0.3">
      <c r="A46" t="s">
        <v>16</v>
      </c>
      <c r="B46" t="s">
        <v>27</v>
      </c>
      <c r="C46" s="1">
        <v>0.01</v>
      </c>
      <c r="D46">
        <v>8.7640949999999995E-2</v>
      </c>
      <c r="E46">
        <v>26.37</v>
      </c>
      <c r="F46">
        <v>1463.2601</v>
      </c>
      <c r="G46">
        <v>3.89</v>
      </c>
      <c r="H46">
        <v>37.9</v>
      </c>
      <c r="I46">
        <v>0.27500000000000002</v>
      </c>
      <c r="J46">
        <v>2.9673590500000002</v>
      </c>
      <c r="K46">
        <v>105</v>
      </c>
      <c r="L46">
        <f t="shared" si="0"/>
        <v>1496926.3670822622</v>
      </c>
      <c r="M46">
        <f t="shared" si="1"/>
        <v>1.7777777777777777</v>
      </c>
      <c r="N46">
        <f t="shared" si="2"/>
        <v>9677099.7467944194</v>
      </c>
      <c r="O46">
        <f t="shared" si="3"/>
        <v>28715429.511403132</v>
      </c>
    </row>
    <row r="47" spans="1:25" x14ac:dyDescent="0.3">
      <c r="A47" t="s">
        <v>17</v>
      </c>
      <c r="B47" t="s">
        <v>27</v>
      </c>
      <c r="C47" s="1">
        <v>0.02</v>
      </c>
      <c r="D47">
        <v>0.17032641234000001</v>
      </c>
      <c r="E47">
        <v>25.74</v>
      </c>
      <c r="F47">
        <v>2187.2328499999999</v>
      </c>
      <c r="G47">
        <v>2.0499999999999998</v>
      </c>
      <c r="H47">
        <v>25.9</v>
      </c>
      <c r="I47">
        <v>0.25600000000000001</v>
      </c>
      <c r="J47">
        <v>2.9673590500000002</v>
      </c>
      <c r="K47">
        <v>105</v>
      </c>
      <c r="L47">
        <f t="shared" si="0"/>
        <v>2901551.0905243908</v>
      </c>
      <c r="M47">
        <f t="shared" si="1"/>
        <v>1.7777777777777777</v>
      </c>
      <c r="N47">
        <f t="shared" si="2"/>
        <v>20149660.350863822</v>
      </c>
      <c r="O47">
        <f t="shared" si="3"/>
        <v>59791276.996561944</v>
      </c>
      <c r="P47">
        <f t="shared" si="4"/>
        <v>59664656.558112539</v>
      </c>
      <c r="Q47">
        <f t="shared" si="5"/>
        <v>63385882.421203963</v>
      </c>
      <c r="R47">
        <f t="shared" si="6"/>
        <v>55816810.256571725</v>
      </c>
      <c r="S47">
        <f t="shared" si="7"/>
        <v>3091357.6208442226</v>
      </c>
      <c r="T47">
        <f t="shared" si="8"/>
        <v>1784796.1545558132</v>
      </c>
      <c r="U47">
        <f>AVERAGE(P47:P55)</f>
        <v>68875970.043889925</v>
      </c>
      <c r="V47">
        <f t="shared" si="9"/>
        <v>85718189.216026604</v>
      </c>
      <c r="W47">
        <f t="shared" si="10"/>
        <v>59664656.558112539</v>
      </c>
      <c r="X47">
        <f t="shared" si="11"/>
        <v>11926711.818011198</v>
      </c>
      <c r="Y47">
        <f t="shared" si="12"/>
        <v>6885890.278675857</v>
      </c>
    </row>
    <row r="48" spans="1:25" x14ac:dyDescent="0.3">
      <c r="A48" t="s">
        <v>17</v>
      </c>
      <c r="B48" t="s">
        <v>27</v>
      </c>
      <c r="C48" s="1">
        <v>0.02</v>
      </c>
      <c r="D48">
        <v>0.17032641234000001</v>
      </c>
      <c r="E48">
        <v>25.84</v>
      </c>
      <c r="F48">
        <v>2041.8423399999999</v>
      </c>
      <c r="G48">
        <v>2.0499999999999998</v>
      </c>
      <c r="H48">
        <v>25.9</v>
      </c>
      <c r="I48">
        <v>0.25600000000000001</v>
      </c>
      <c r="J48">
        <v>2.9673590509999999</v>
      </c>
      <c r="K48">
        <v>105</v>
      </c>
      <c r="L48">
        <f t="shared" si="0"/>
        <v>2708678.1676243902</v>
      </c>
      <c r="M48">
        <f t="shared" si="1"/>
        <v>1.7777777777777777</v>
      </c>
      <c r="N48">
        <f t="shared" si="2"/>
        <v>18810265.052947152</v>
      </c>
      <c r="O48">
        <f t="shared" si="3"/>
        <v>55816810.256571725</v>
      </c>
    </row>
    <row r="49" spans="1:25" x14ac:dyDescent="0.3">
      <c r="A49" t="s">
        <v>17</v>
      </c>
      <c r="B49" t="s">
        <v>27</v>
      </c>
      <c r="C49" s="1">
        <v>0.02</v>
      </c>
      <c r="D49">
        <v>0.17032641234000001</v>
      </c>
      <c r="E49">
        <v>25.64</v>
      </c>
      <c r="F49">
        <v>2318.7276000000002</v>
      </c>
      <c r="G49">
        <v>2.0499999999999998</v>
      </c>
      <c r="H49">
        <v>25.9</v>
      </c>
      <c r="I49">
        <v>0.25600000000000001</v>
      </c>
      <c r="J49">
        <v>2.9673590509999999</v>
      </c>
      <c r="K49">
        <v>105</v>
      </c>
      <c r="L49">
        <f t="shared" si="0"/>
        <v>3075990.1015609759</v>
      </c>
      <c r="M49">
        <f t="shared" si="1"/>
        <v>1.7777777777777777</v>
      </c>
      <c r="N49">
        <f t="shared" si="2"/>
        <v>21361042.371951222</v>
      </c>
      <c r="O49">
        <f t="shared" si="3"/>
        <v>63385882.421203963</v>
      </c>
    </row>
    <row r="50" spans="1:25" x14ac:dyDescent="0.3">
      <c r="A50" t="s">
        <v>18</v>
      </c>
      <c r="B50" t="s">
        <v>27</v>
      </c>
      <c r="C50" s="1">
        <v>0.02</v>
      </c>
      <c r="D50">
        <v>0.17032641234000001</v>
      </c>
      <c r="E50">
        <v>26.01</v>
      </c>
      <c r="F50">
        <v>1838.6916000000001</v>
      </c>
      <c r="G50">
        <v>2.44</v>
      </c>
      <c r="H50">
        <v>51.8</v>
      </c>
      <c r="I50">
        <v>0.27600000000000002</v>
      </c>
      <c r="J50">
        <v>2.9673590509999999</v>
      </c>
      <c r="K50">
        <v>105</v>
      </c>
      <c r="L50">
        <f t="shared" si="0"/>
        <v>4098624.4313114756</v>
      </c>
      <c r="M50">
        <f t="shared" si="1"/>
        <v>1.7777777777777777</v>
      </c>
      <c r="N50">
        <f t="shared" si="2"/>
        <v>26400157.367545731</v>
      </c>
      <c r="O50">
        <f t="shared" si="3"/>
        <v>78338745.912411153</v>
      </c>
      <c r="P50">
        <f t="shared" si="4"/>
        <v>85718189.216026604</v>
      </c>
      <c r="Q50">
        <f t="shared" si="5"/>
        <v>99095498.629321754</v>
      </c>
      <c r="R50">
        <f t="shared" si="6"/>
        <v>78338745.912411153</v>
      </c>
      <c r="S50">
        <f t="shared" si="7"/>
        <v>9475986.9930955712</v>
      </c>
      <c r="T50">
        <f t="shared" si="8"/>
        <v>5470963.6413011206</v>
      </c>
    </row>
    <row r="51" spans="1:25" x14ac:dyDescent="0.3">
      <c r="A51" t="s">
        <v>18</v>
      </c>
      <c r="B51" t="s">
        <v>27</v>
      </c>
      <c r="C51" s="1">
        <v>0.02</v>
      </c>
      <c r="D51">
        <v>0.17032641234000001</v>
      </c>
      <c r="E51">
        <v>25.64</v>
      </c>
      <c r="F51">
        <v>2325.8741100000002</v>
      </c>
      <c r="G51">
        <v>2.44</v>
      </c>
      <c r="H51">
        <v>51.8</v>
      </c>
      <c r="I51">
        <v>0.27600000000000002</v>
      </c>
      <c r="J51">
        <v>2.9673590509999999</v>
      </c>
      <c r="K51">
        <v>105</v>
      </c>
      <c r="L51">
        <f t="shared" si="0"/>
        <v>5184602.1656926228</v>
      </c>
      <c r="M51">
        <f t="shared" si="1"/>
        <v>1.7777777777777777</v>
      </c>
      <c r="N51">
        <f t="shared" si="2"/>
        <v>33395183.031836536</v>
      </c>
      <c r="O51">
        <f t="shared" si="3"/>
        <v>99095498.629321754</v>
      </c>
    </row>
    <row r="52" spans="1:25" x14ac:dyDescent="0.3">
      <c r="A52" t="s">
        <v>18</v>
      </c>
      <c r="B52" t="s">
        <v>27</v>
      </c>
      <c r="C52" s="1">
        <v>0.02</v>
      </c>
      <c r="D52">
        <v>0.17032641234000001</v>
      </c>
      <c r="E52">
        <v>25.98</v>
      </c>
      <c r="F52">
        <v>1871.1186499999999</v>
      </c>
      <c r="G52">
        <v>2.44</v>
      </c>
      <c r="H52">
        <v>51.8</v>
      </c>
      <c r="I52">
        <v>0.27600000000000002</v>
      </c>
      <c r="J52">
        <v>2.9673590500000002</v>
      </c>
      <c r="K52">
        <v>105</v>
      </c>
      <c r="L52">
        <f t="shared" si="0"/>
        <v>4170907.5153073762</v>
      </c>
      <c r="M52">
        <f t="shared" si="1"/>
        <v>1.7777777777777777</v>
      </c>
      <c r="N52">
        <f t="shared" si="2"/>
        <v>26865748.890868764</v>
      </c>
      <c r="O52">
        <f t="shared" si="3"/>
        <v>79720323.10634689</v>
      </c>
    </row>
    <row r="53" spans="1:25" x14ac:dyDescent="0.3">
      <c r="A53" t="s">
        <v>19</v>
      </c>
      <c r="B53" t="s">
        <v>27</v>
      </c>
      <c r="C53" s="1">
        <v>0.02</v>
      </c>
      <c r="D53">
        <v>0.17032641234000001</v>
      </c>
      <c r="E53">
        <v>25.46</v>
      </c>
      <c r="F53">
        <v>2613.4377399999998</v>
      </c>
      <c r="G53">
        <v>2.66</v>
      </c>
      <c r="H53">
        <v>29.1</v>
      </c>
      <c r="I53">
        <v>0.252</v>
      </c>
      <c r="J53">
        <v>2.9673590500000002</v>
      </c>
      <c r="K53">
        <v>105</v>
      </c>
      <c r="L53">
        <f t="shared" si="0"/>
        <v>3002014.667131579</v>
      </c>
      <c r="M53">
        <f t="shared" si="1"/>
        <v>1.7777777777777777</v>
      </c>
      <c r="N53">
        <f t="shared" si="2"/>
        <v>21178233.983291563</v>
      </c>
      <c r="O53">
        <f t="shared" si="3"/>
        <v>62843424.273337774</v>
      </c>
      <c r="P53">
        <f t="shared" si="4"/>
        <v>61245064.357530653</v>
      </c>
      <c r="Q53">
        <f t="shared" si="5"/>
        <v>65888120.885827877</v>
      </c>
      <c r="R53">
        <f t="shared" si="6"/>
        <v>55003647.913426317</v>
      </c>
      <c r="S53">
        <f t="shared" si="7"/>
        <v>4585048.4393718392</v>
      </c>
      <c r="T53">
        <f t="shared" si="8"/>
        <v>2647178.9507188052</v>
      </c>
    </row>
    <row r="54" spans="1:25" x14ac:dyDescent="0.3">
      <c r="A54" t="s">
        <v>19</v>
      </c>
      <c r="B54" t="s">
        <v>27</v>
      </c>
      <c r="C54" s="1">
        <v>0.02</v>
      </c>
      <c r="D54">
        <v>0.17032641234000001</v>
      </c>
      <c r="E54">
        <v>25.38</v>
      </c>
      <c r="F54">
        <v>2740.056</v>
      </c>
      <c r="G54">
        <v>2.66</v>
      </c>
      <c r="H54">
        <v>29.1</v>
      </c>
      <c r="I54">
        <v>0.252</v>
      </c>
      <c r="J54">
        <v>2.9673590500000002</v>
      </c>
      <c r="K54">
        <v>105</v>
      </c>
      <c r="L54">
        <f t="shared" si="0"/>
        <v>3147459.0631578951</v>
      </c>
      <c r="M54">
        <f t="shared" si="1"/>
        <v>1.7777777777777777</v>
      </c>
      <c r="N54">
        <f t="shared" si="2"/>
        <v>22204296.741854638</v>
      </c>
      <c r="O54">
        <f t="shared" si="3"/>
        <v>65888120.885827877</v>
      </c>
    </row>
    <row r="55" spans="1:25" x14ac:dyDescent="0.3">
      <c r="A55" t="s">
        <v>19</v>
      </c>
      <c r="B55" t="s">
        <v>27</v>
      </c>
      <c r="C55" s="1">
        <v>0.02</v>
      </c>
      <c r="D55">
        <v>0.17032641234000001</v>
      </c>
      <c r="E55">
        <v>25.67</v>
      </c>
      <c r="F55">
        <v>2287.4089199999999</v>
      </c>
      <c r="G55">
        <v>2.66</v>
      </c>
      <c r="H55">
        <v>29.1</v>
      </c>
      <c r="I55">
        <v>0.252</v>
      </c>
      <c r="J55">
        <v>2.9673590509999999</v>
      </c>
      <c r="K55">
        <v>105</v>
      </c>
      <c r="L55">
        <f t="shared" si="0"/>
        <v>2627510.5094210524</v>
      </c>
      <c r="M55">
        <f t="shared" si="1"/>
        <v>1.7777777777777777</v>
      </c>
      <c r="N55">
        <f t="shared" si="2"/>
        <v>18536229.343358394</v>
      </c>
      <c r="O55">
        <f t="shared" si="3"/>
        <v>55003647.913426317</v>
      </c>
    </row>
    <row r="56" spans="1:25" x14ac:dyDescent="0.3">
      <c r="A56" t="s">
        <v>20</v>
      </c>
      <c r="B56" t="s">
        <v>27</v>
      </c>
      <c r="C56" s="1">
        <v>0.05</v>
      </c>
      <c r="D56">
        <v>0.42581603084999992</v>
      </c>
      <c r="E56">
        <v>25.19</v>
      </c>
      <c r="F56">
        <v>3097.43102</v>
      </c>
      <c r="G56">
        <v>2.09</v>
      </c>
      <c r="H56">
        <v>46.7</v>
      </c>
      <c r="I56">
        <v>0.25700000000000001</v>
      </c>
      <c r="J56">
        <v>2.9673590509999999</v>
      </c>
      <c r="K56">
        <v>105</v>
      </c>
      <c r="L56">
        <f t="shared" si="0"/>
        <v>7267106.7017081352</v>
      </c>
      <c r="M56">
        <f t="shared" si="1"/>
        <v>1.7777777777777777</v>
      </c>
      <c r="N56">
        <f t="shared" si="2"/>
        <v>50269652.930103831</v>
      </c>
      <c r="O56">
        <f t="shared" si="3"/>
        <v>149168109.61277226</v>
      </c>
      <c r="P56">
        <f t="shared" si="4"/>
        <v>161146718.74271956</v>
      </c>
      <c r="Q56">
        <f t="shared" si="5"/>
        <v>169168131.39294815</v>
      </c>
      <c r="R56">
        <f t="shared" si="6"/>
        <v>149168109.61277226</v>
      </c>
      <c r="S56">
        <f t="shared" si="7"/>
        <v>8631136.3016388286</v>
      </c>
      <c r="T56">
        <f t="shared" si="8"/>
        <v>4983188.8671635287</v>
      </c>
      <c r="U56">
        <f>AVERAGE(P56:P64)</f>
        <v>172460789.05531174</v>
      </c>
      <c r="V56">
        <f t="shared" si="9"/>
        <v>222191935.52048543</v>
      </c>
      <c r="W56">
        <f t="shared" si="10"/>
        <v>134043712.90273024</v>
      </c>
      <c r="X56">
        <f t="shared" si="11"/>
        <v>36864919.439724289</v>
      </c>
      <c r="Y56">
        <f t="shared" si="12"/>
        <v>21283971.162178688</v>
      </c>
    </row>
    <row r="57" spans="1:25" x14ac:dyDescent="0.3">
      <c r="A57" t="s">
        <v>20</v>
      </c>
      <c r="B57" t="s">
        <v>27</v>
      </c>
      <c r="C57" s="1">
        <v>0.05</v>
      </c>
      <c r="D57">
        <v>0.42581603084999992</v>
      </c>
      <c r="E57">
        <v>24.99</v>
      </c>
      <c r="F57">
        <v>3512.7254699999999</v>
      </c>
      <c r="G57">
        <v>2.09</v>
      </c>
      <c r="H57">
        <v>46.7</v>
      </c>
      <c r="I57">
        <v>0.25700000000000001</v>
      </c>
      <c r="J57">
        <v>2.9673590500000002</v>
      </c>
      <c r="K57">
        <v>105</v>
      </c>
      <c r="L57">
        <f t="shared" si="0"/>
        <v>8241459.0153803835</v>
      </c>
      <c r="M57">
        <f t="shared" si="1"/>
        <v>1.7777777777777777</v>
      </c>
      <c r="N57">
        <f t="shared" si="2"/>
        <v>57009660.287974976</v>
      </c>
      <c r="O57">
        <f t="shared" si="3"/>
        <v>169168131.39294815</v>
      </c>
    </row>
    <row r="58" spans="1:25" x14ac:dyDescent="0.3">
      <c r="A58" t="s">
        <v>20</v>
      </c>
      <c r="B58" t="s">
        <v>27</v>
      </c>
      <c r="C58" s="1">
        <v>0.05</v>
      </c>
      <c r="D58">
        <v>0.42581603084999992</v>
      </c>
      <c r="E58">
        <v>25.03</v>
      </c>
      <c r="F58">
        <v>3428.3332399999999</v>
      </c>
      <c r="G58">
        <v>2.09</v>
      </c>
      <c r="H58">
        <v>46.7</v>
      </c>
      <c r="I58">
        <v>0.25700000000000001</v>
      </c>
      <c r="J58">
        <v>2.9673590509999999</v>
      </c>
      <c r="K58">
        <v>105</v>
      </c>
      <c r="L58">
        <f t="shared" si="0"/>
        <v>8043460.3073397139</v>
      </c>
      <c r="M58">
        <f t="shared" si="1"/>
        <v>1.7777777777777777</v>
      </c>
      <c r="N58">
        <f t="shared" si="2"/>
        <v>55640019.419557035</v>
      </c>
      <c r="O58">
        <f t="shared" si="3"/>
        <v>165103915.22243834</v>
      </c>
    </row>
    <row r="59" spans="1:25" x14ac:dyDescent="0.3">
      <c r="A59" t="s">
        <v>21</v>
      </c>
      <c r="B59" t="s">
        <v>27</v>
      </c>
      <c r="C59" s="1">
        <v>0.05</v>
      </c>
      <c r="D59">
        <v>0.42581603084999992</v>
      </c>
      <c r="E59">
        <v>24.14</v>
      </c>
      <c r="F59">
        <v>6020.28611</v>
      </c>
      <c r="G59">
        <v>2.4</v>
      </c>
      <c r="H59">
        <v>49.2</v>
      </c>
      <c r="I59">
        <v>0.253</v>
      </c>
      <c r="J59">
        <v>2.9673590509999999</v>
      </c>
      <c r="K59">
        <v>105</v>
      </c>
      <c r="L59">
        <f t="shared" si="0"/>
        <v>12958665.851775</v>
      </c>
      <c r="M59">
        <f t="shared" si="1"/>
        <v>1.7777777777777777</v>
      </c>
      <c r="N59">
        <f t="shared" si="2"/>
        <v>91057818.896969691</v>
      </c>
      <c r="O59">
        <f t="shared" si="3"/>
        <v>270201243.06824183</v>
      </c>
      <c r="P59">
        <f t="shared" si="4"/>
        <v>222191935.52048543</v>
      </c>
      <c r="Q59">
        <f t="shared" si="5"/>
        <v>270201243.06824183</v>
      </c>
      <c r="R59">
        <f t="shared" si="6"/>
        <v>182998522.43729573</v>
      </c>
      <c r="S59">
        <f t="shared" si="7"/>
        <v>36142021.874520592</v>
      </c>
      <c r="T59">
        <f t="shared" si="8"/>
        <v>20866606.058311809</v>
      </c>
    </row>
    <row r="60" spans="1:25" x14ac:dyDescent="0.3">
      <c r="A60" t="s">
        <v>21</v>
      </c>
      <c r="B60" t="s">
        <v>27</v>
      </c>
      <c r="C60" s="1">
        <v>0.05</v>
      </c>
      <c r="D60">
        <v>0.42581603084999992</v>
      </c>
      <c r="E60">
        <v>24.75</v>
      </c>
      <c r="F60">
        <v>4077.3441699999998</v>
      </c>
      <c r="G60">
        <v>2.4</v>
      </c>
      <c r="H60">
        <v>49.2</v>
      </c>
      <c r="I60">
        <v>0.253</v>
      </c>
      <c r="J60">
        <v>2.9673590500000002</v>
      </c>
      <c r="K60">
        <v>105</v>
      </c>
      <c r="L60">
        <f t="shared" si="0"/>
        <v>8776483.325925</v>
      </c>
      <c r="M60">
        <f t="shared" si="1"/>
        <v>1.7777777777777777</v>
      </c>
      <c r="N60">
        <f t="shared" si="2"/>
        <v>61670502.070619233</v>
      </c>
      <c r="O60">
        <f t="shared" si="3"/>
        <v>182998522.43729573</v>
      </c>
    </row>
    <row r="61" spans="1:25" x14ac:dyDescent="0.3">
      <c r="A61" t="s">
        <v>21</v>
      </c>
      <c r="B61" t="s">
        <v>27</v>
      </c>
      <c r="C61" s="1">
        <v>0.05</v>
      </c>
      <c r="D61">
        <v>0.42581603084999992</v>
      </c>
      <c r="E61">
        <v>24.51</v>
      </c>
      <c r="F61">
        <v>4754.1780399999998</v>
      </c>
      <c r="G61">
        <v>2.4</v>
      </c>
      <c r="H61">
        <v>49.2</v>
      </c>
      <c r="I61">
        <v>0.253</v>
      </c>
      <c r="J61">
        <v>2.9673590509999999</v>
      </c>
      <c r="K61">
        <v>105</v>
      </c>
      <c r="L61">
        <f t="shared" si="0"/>
        <v>10233368.2311</v>
      </c>
      <c r="M61">
        <f t="shared" si="1"/>
        <v>1.7777777777777777</v>
      </c>
      <c r="N61">
        <f t="shared" si="2"/>
        <v>71907725.822397888</v>
      </c>
      <c r="O61">
        <f t="shared" si="3"/>
        <v>213376041.05591878</v>
      </c>
    </row>
    <row r="62" spans="1:25" x14ac:dyDescent="0.3">
      <c r="A62" t="s">
        <v>22</v>
      </c>
      <c r="B62" t="s">
        <v>27</v>
      </c>
      <c r="C62" s="1">
        <v>0.05</v>
      </c>
      <c r="D62">
        <v>0.42581603084999992</v>
      </c>
      <c r="E62">
        <v>25.01</v>
      </c>
      <c r="F62">
        <v>3458.2531800000002</v>
      </c>
      <c r="G62">
        <v>2.21</v>
      </c>
      <c r="H62">
        <v>44.2</v>
      </c>
      <c r="I62">
        <v>0.27800000000000002</v>
      </c>
      <c r="J62">
        <v>2.9673590500000002</v>
      </c>
      <c r="K62">
        <v>105</v>
      </c>
      <c r="L62">
        <f t="shared" si="0"/>
        <v>7262331.6780000012</v>
      </c>
      <c r="M62">
        <f t="shared" si="1"/>
        <v>1.7777777777777777</v>
      </c>
      <c r="N62">
        <f t="shared" si="2"/>
        <v>46441769.323741011</v>
      </c>
      <c r="O62">
        <f t="shared" si="3"/>
        <v>137809404.50081527</v>
      </c>
      <c r="P62">
        <f t="shared" si="4"/>
        <v>134043712.90273024</v>
      </c>
      <c r="Q62">
        <f t="shared" si="5"/>
        <v>146004420.64571956</v>
      </c>
      <c r="R62">
        <f t="shared" si="6"/>
        <v>118317313.56165592</v>
      </c>
      <c r="S62">
        <f t="shared" si="7"/>
        <v>11612616.689905791</v>
      </c>
      <c r="T62">
        <f t="shared" si="8"/>
        <v>6704547.3719130494</v>
      </c>
    </row>
    <row r="63" spans="1:25" x14ac:dyDescent="0.3">
      <c r="A63" t="s">
        <v>22</v>
      </c>
      <c r="B63" t="s">
        <v>27</v>
      </c>
      <c r="C63" s="1">
        <v>0.05</v>
      </c>
      <c r="D63">
        <v>0.42581603084999992</v>
      </c>
      <c r="E63">
        <v>24.92</v>
      </c>
      <c r="F63">
        <v>3663.90272</v>
      </c>
      <c r="G63">
        <v>2.21</v>
      </c>
      <c r="H63">
        <v>44.2</v>
      </c>
      <c r="I63">
        <v>0.27800000000000002</v>
      </c>
      <c r="J63">
        <v>2.9673590500000002</v>
      </c>
      <c r="K63">
        <v>105</v>
      </c>
      <c r="L63">
        <f t="shared" si="0"/>
        <v>7694195.7120000012</v>
      </c>
      <c r="M63">
        <f t="shared" si="1"/>
        <v>1.7777777777777777</v>
      </c>
      <c r="N63">
        <f t="shared" si="2"/>
        <v>49203489.764988013</v>
      </c>
      <c r="O63">
        <f t="shared" si="3"/>
        <v>146004420.64571956</v>
      </c>
    </row>
    <row r="64" spans="1:25" x14ac:dyDescent="0.3">
      <c r="A64" t="s">
        <v>22</v>
      </c>
      <c r="B64" t="s">
        <v>27</v>
      </c>
      <c r="C64" s="1">
        <v>0.05</v>
      </c>
      <c r="D64">
        <v>0.42581603084999992</v>
      </c>
      <c r="E64">
        <v>25.41</v>
      </c>
      <c r="F64">
        <v>2969.1095999999998</v>
      </c>
      <c r="G64">
        <v>2.21</v>
      </c>
      <c r="H64">
        <v>44.2</v>
      </c>
      <c r="I64">
        <v>0.27800000000000002</v>
      </c>
      <c r="J64">
        <v>2.9673590500000002</v>
      </c>
      <c r="K64">
        <v>105</v>
      </c>
      <c r="L64">
        <f t="shared" si="0"/>
        <v>6235130.1599999992</v>
      </c>
      <c r="M64">
        <f t="shared" si="1"/>
        <v>1.7777777777777777</v>
      </c>
      <c r="N64">
        <f t="shared" si="2"/>
        <v>39872934.676258981</v>
      </c>
      <c r="O64">
        <f t="shared" si="3"/>
        <v>118317313.56165592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0EC6-86B6-47D4-836D-A30B1175FB0E}">
  <dimension ref="A2:C16"/>
  <sheetViews>
    <sheetView tabSelected="1" workbookViewId="0">
      <selection activeCell="H16" sqref="H16"/>
    </sheetView>
  </sheetViews>
  <sheetFormatPr defaultRowHeight="14.4" x14ac:dyDescent="0.3"/>
  <sheetData>
    <row r="2" spans="1:3" x14ac:dyDescent="0.3">
      <c r="B2" t="s">
        <v>48</v>
      </c>
      <c r="C2" t="s">
        <v>49</v>
      </c>
    </row>
    <row r="3" spans="1:3" x14ac:dyDescent="0.3">
      <c r="A3" t="s">
        <v>50</v>
      </c>
      <c r="B3">
        <v>0.05</v>
      </c>
      <c r="C3">
        <v>1</v>
      </c>
    </row>
    <row r="4" spans="1:3" x14ac:dyDescent="0.3">
      <c r="A4" t="s">
        <v>51</v>
      </c>
      <c r="B4">
        <v>5.0000000000000001E-3</v>
      </c>
      <c r="C4">
        <v>0.3369999943721001</v>
      </c>
    </row>
    <row r="5" spans="1:3" x14ac:dyDescent="0.3">
      <c r="A5" t="s">
        <v>52</v>
      </c>
      <c r="B5">
        <v>1.4349999999999999E-3</v>
      </c>
      <c r="C5">
        <v>0.3369999943721001</v>
      </c>
    </row>
    <row r="6" spans="1:3" x14ac:dyDescent="0.3">
      <c r="A6" t="s">
        <v>53</v>
      </c>
      <c r="B6">
        <v>4.2581603084999994E-3</v>
      </c>
    </row>
    <row r="7" spans="1:3" x14ac:dyDescent="0.3">
      <c r="A7" t="s">
        <v>54</v>
      </c>
      <c r="B7">
        <v>0.42581603084999992</v>
      </c>
    </row>
    <row r="10" spans="1:3" x14ac:dyDescent="0.3">
      <c r="A10" t="s">
        <v>55</v>
      </c>
      <c r="B10" t="s">
        <v>56</v>
      </c>
    </row>
    <row r="11" spans="1:3" x14ac:dyDescent="0.3">
      <c r="A11">
        <v>5.0000000000000001E-4</v>
      </c>
      <c r="B11">
        <v>4.2581603085000003E-3</v>
      </c>
    </row>
    <row r="12" spans="1:3" x14ac:dyDescent="0.3">
      <c r="A12">
        <v>1E-3</v>
      </c>
      <c r="B12">
        <v>8.5163206170000005E-3</v>
      </c>
    </row>
    <row r="13" spans="1:3" x14ac:dyDescent="0.3">
      <c r="A13">
        <v>5.0000000000000001E-3</v>
      </c>
      <c r="B13">
        <v>4.2581603085000003E-2</v>
      </c>
    </row>
    <row r="14" spans="1:3" x14ac:dyDescent="0.3">
      <c r="A14">
        <v>0.01</v>
      </c>
      <c r="B14">
        <v>8.5163206170000005E-2</v>
      </c>
    </row>
    <row r="15" spans="1:3" x14ac:dyDescent="0.3">
      <c r="A15">
        <v>0.02</v>
      </c>
      <c r="B15">
        <v>0.17032641234000001</v>
      </c>
    </row>
    <row r="16" spans="1:3" x14ac:dyDescent="0.3">
      <c r="A16">
        <v>0.05</v>
      </c>
      <c r="B16">
        <v>0.42581603084999992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Kelp spiking experiment</vt:lpstr>
      <vt:lpstr>Kelp carbon 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Tan</dc:creator>
  <cp:lastModifiedBy>Samuel Tan</cp:lastModifiedBy>
  <dcterms:created xsi:type="dcterms:W3CDTF">2023-10-18T21:29:31Z</dcterms:created>
  <dcterms:modified xsi:type="dcterms:W3CDTF">2023-11-03T18:03:45Z</dcterms:modified>
</cp:coreProperties>
</file>