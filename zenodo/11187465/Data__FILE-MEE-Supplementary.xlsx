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tabRatio="704"/>
  </bookViews>
  <sheets>
    <sheet name="Sheet1_FIGURE2" sheetId="1" r:id="rId1"/>
    <sheet name="Sheet2_FIGURE3" sheetId="2" r:id="rId2"/>
    <sheet name="Sheet3_FIGURE4" sheetId="3" r:id="rId3"/>
    <sheet name="Sheet4_FIGURE5" sheetId="4" r:id="rId4"/>
    <sheet name="Sheet 5_TABLE2" sheetId="6" r:id="rId5"/>
  </sheets>
  <calcPr calcId="144525"/>
</workbook>
</file>

<file path=xl/sharedStrings.xml><?xml version="1.0" encoding="utf-8"?>
<sst xmlns="http://schemas.openxmlformats.org/spreadsheetml/2006/main" count="35" uniqueCount="15">
  <si>
    <t>Sandy loam</t>
  </si>
  <si>
    <t>ACVD_3h</t>
  </si>
  <si>
    <t>ACVD_4h</t>
  </si>
  <si>
    <t>ACVD_4ht</t>
  </si>
  <si>
    <t>TCVD_1</t>
  </si>
  <si>
    <t>TCVD_2</t>
  </si>
  <si>
    <t>Loam soil</t>
  </si>
  <si>
    <t>Clay soil</t>
  </si>
  <si>
    <t>LC</t>
  </si>
  <si>
    <t>DL</t>
  </si>
  <si>
    <t>TH</t>
  </si>
  <si>
    <t>ZY</t>
  </si>
  <si>
    <t>AS</t>
  </si>
  <si>
    <t>BN</t>
  </si>
  <si>
    <t>JD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</si>
</sst>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6">
    <font>
      <sz val="11"/>
      <color theme="1"/>
      <name val="宋体"/>
      <charset val="134"/>
      <scheme val="minor"/>
    </font>
    <font>
      <sz val="11"/>
      <name val="Arial Unicode MS"/>
      <charset val="134"/>
    </font>
    <font>
      <sz val="11"/>
      <color theme="1"/>
      <name val="Arial Unicode MS"/>
      <charset val="134"/>
    </font>
    <font>
      <sz val="10"/>
      <name val="Arial Unicode MS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 Unicode M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3" borderId="1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176" fontId="2" fillId="0" borderId="0" xfId="0" applyNumberFormat="1" applyFont="1" applyFill="1" applyAlignment="1"/>
    <xf numFmtId="176" fontId="2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>
      <alignment horizontal="right"/>
    </xf>
    <xf numFmtId="0" fontId="2" fillId="0" borderId="0" xfId="0" applyFont="1" applyFill="1" applyAlignment="1"/>
    <xf numFmtId="176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176" fontId="2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7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176" fontId="6" fillId="0" borderId="0" xfId="0" applyNumberFormat="1" applyFont="1" applyFill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tabSelected="1" workbookViewId="0">
      <selection activeCell="G14" sqref="G14"/>
    </sheetView>
  </sheetViews>
  <sheetFormatPr defaultColWidth="9" defaultRowHeight="14.4"/>
  <sheetData>
    <row r="1" ht="15" spans="1:21">
      <c r="A1" s="17" t="s">
        <v>0</v>
      </c>
      <c r="B1" s="25" t="s">
        <v>1</v>
      </c>
      <c r="C1" s="22">
        <v>-5.23</v>
      </c>
      <c r="D1" s="22">
        <v>-0.93</v>
      </c>
      <c r="E1" s="26">
        <v>98.53</v>
      </c>
      <c r="F1" s="27" t="s">
        <v>2</v>
      </c>
      <c r="G1" s="28">
        <v>-3.09</v>
      </c>
      <c r="H1" s="28">
        <v>-0.42</v>
      </c>
      <c r="I1" s="29">
        <v>99.05</v>
      </c>
      <c r="J1" s="27" t="s">
        <v>3</v>
      </c>
      <c r="K1" s="28">
        <v>-1.57</v>
      </c>
      <c r="L1" s="28">
        <v>-0.12</v>
      </c>
      <c r="M1" s="29">
        <v>99.56</v>
      </c>
      <c r="N1" s="27" t="s">
        <v>4</v>
      </c>
      <c r="O1" s="28">
        <v>-2.74</v>
      </c>
      <c r="P1" s="28">
        <v>-0.57</v>
      </c>
      <c r="Q1" s="29">
        <v>99.48</v>
      </c>
      <c r="R1" s="27" t="s">
        <v>5</v>
      </c>
      <c r="S1" s="28">
        <v>-3.65</v>
      </c>
      <c r="T1" s="28">
        <v>-0.27</v>
      </c>
      <c r="U1" s="29">
        <v>98.36</v>
      </c>
    </row>
    <row r="2" ht="15" spans="1:21">
      <c r="A2" s="17"/>
      <c r="B2" s="25"/>
      <c r="C2" s="22">
        <v>-4.91</v>
      </c>
      <c r="D2" s="22">
        <v>-0.9</v>
      </c>
      <c r="E2" s="26">
        <v>98.74</v>
      </c>
      <c r="F2" s="27"/>
      <c r="G2" s="28">
        <v>-2.28</v>
      </c>
      <c r="H2" s="28">
        <v>-0.18</v>
      </c>
      <c r="I2" s="29">
        <v>99.94</v>
      </c>
      <c r="J2" s="27"/>
      <c r="K2" s="28">
        <v>-1.88</v>
      </c>
      <c r="L2" s="28">
        <v>-0.18</v>
      </c>
      <c r="M2" s="29">
        <v>99.64</v>
      </c>
      <c r="N2" s="27"/>
      <c r="O2" s="28">
        <v>0.55</v>
      </c>
      <c r="P2" s="28">
        <v>0.25</v>
      </c>
      <c r="Q2" s="29">
        <v>98.46</v>
      </c>
      <c r="R2" s="27"/>
      <c r="S2" s="28">
        <v>-2.7</v>
      </c>
      <c r="T2" s="28">
        <v>0.09</v>
      </c>
      <c r="U2" s="29">
        <v>99.2</v>
      </c>
    </row>
    <row r="3" ht="15" spans="1:21">
      <c r="A3" s="17"/>
      <c r="B3" s="25"/>
      <c r="C3" s="22">
        <v>-4.16</v>
      </c>
      <c r="D3" s="22">
        <v>-0.74</v>
      </c>
      <c r="E3" s="26">
        <v>98.93</v>
      </c>
      <c r="F3" s="27"/>
      <c r="G3" s="28">
        <v>-2.25</v>
      </c>
      <c r="H3" s="28">
        <v>-0.15</v>
      </c>
      <c r="I3" s="29">
        <v>99.86</v>
      </c>
      <c r="J3" s="27"/>
      <c r="K3" s="28">
        <v>-1.85</v>
      </c>
      <c r="L3" s="28">
        <v>-0.16</v>
      </c>
      <c r="M3" s="29">
        <v>99.58</v>
      </c>
      <c r="N3" s="27"/>
      <c r="O3" s="28">
        <v>-1.25</v>
      </c>
      <c r="P3" s="28">
        <v>-0.56</v>
      </c>
      <c r="Q3" s="29">
        <v>100.37</v>
      </c>
      <c r="R3" s="27"/>
      <c r="S3" s="28">
        <v>-4</v>
      </c>
      <c r="T3" s="28">
        <v>-0.28</v>
      </c>
      <c r="U3" s="29">
        <v>99.14</v>
      </c>
    </row>
    <row r="4" ht="15" spans="1:21">
      <c r="A4" s="17"/>
      <c r="B4" s="25"/>
      <c r="C4" s="22">
        <v>-4.94</v>
      </c>
      <c r="D4" s="22">
        <v>-0.9</v>
      </c>
      <c r="E4" s="26">
        <v>98.48</v>
      </c>
      <c r="F4" s="27"/>
      <c r="G4" s="28">
        <v>-3.22</v>
      </c>
      <c r="H4" s="28">
        <v>-0.27</v>
      </c>
      <c r="I4" s="29">
        <v>99.8</v>
      </c>
      <c r="J4" s="27"/>
      <c r="K4" s="28">
        <v>-2.16</v>
      </c>
      <c r="L4" s="28">
        <v>-0.16</v>
      </c>
      <c r="M4" s="29">
        <v>99.63</v>
      </c>
      <c r="N4" s="27"/>
      <c r="O4" s="28">
        <v>1.11</v>
      </c>
      <c r="P4" s="28">
        <v>0.98</v>
      </c>
      <c r="Q4" s="29">
        <v>99.38</v>
      </c>
      <c r="R4" s="27"/>
      <c r="S4" s="28">
        <v>-2.28</v>
      </c>
      <c r="T4" s="28">
        <v>-0.45</v>
      </c>
      <c r="U4" s="29">
        <v>100.62</v>
      </c>
    </row>
    <row r="5" ht="15" spans="1:21">
      <c r="A5" s="17"/>
      <c r="B5" s="25"/>
      <c r="C5" s="22">
        <v>-4.16</v>
      </c>
      <c r="D5" s="22">
        <v>-0.59</v>
      </c>
      <c r="E5" s="26">
        <v>99.19</v>
      </c>
      <c r="F5" s="27"/>
      <c r="G5" s="28">
        <v>-2.48</v>
      </c>
      <c r="H5" s="28">
        <v>-0.42</v>
      </c>
      <c r="I5" s="29">
        <v>100.03</v>
      </c>
      <c r="J5" s="27"/>
      <c r="K5" s="28">
        <v>-1.47</v>
      </c>
      <c r="L5" s="28">
        <v>-0.26</v>
      </c>
      <c r="M5" s="29">
        <v>99.63</v>
      </c>
      <c r="N5" s="27"/>
      <c r="O5" s="28">
        <v>0.03</v>
      </c>
      <c r="P5" s="28">
        <v>0.71</v>
      </c>
      <c r="Q5" s="29">
        <v>99.52</v>
      </c>
      <c r="R5" s="27"/>
      <c r="S5" s="28">
        <v>-2.44</v>
      </c>
      <c r="T5" s="28">
        <v>-0.53</v>
      </c>
      <c r="U5" s="29">
        <v>100.86</v>
      </c>
    </row>
    <row r="6" ht="15" spans="1:21">
      <c r="A6" s="17"/>
      <c r="B6" s="25"/>
      <c r="C6" s="22">
        <v>-4.83</v>
      </c>
      <c r="D6" s="22">
        <v>-0.6</v>
      </c>
      <c r="E6" s="26">
        <v>98.5</v>
      </c>
      <c r="F6" s="27"/>
      <c r="G6" s="28">
        <v>-2.89</v>
      </c>
      <c r="H6" s="28">
        <v>-0.34</v>
      </c>
      <c r="I6" s="29">
        <v>99.9</v>
      </c>
      <c r="J6" s="27"/>
      <c r="K6" s="28">
        <v>-1.71</v>
      </c>
      <c r="L6" s="28">
        <v>-0.19</v>
      </c>
      <c r="M6" s="29">
        <v>99.54</v>
      </c>
      <c r="N6" s="27"/>
      <c r="O6" s="28">
        <v>-1.11</v>
      </c>
      <c r="P6" s="28">
        <v>-0.14</v>
      </c>
      <c r="Q6" s="29">
        <v>99.95</v>
      </c>
      <c r="R6" s="27"/>
      <c r="S6" s="28">
        <v>-1.89</v>
      </c>
      <c r="T6" s="28">
        <v>-0.32</v>
      </c>
      <c r="U6" s="29">
        <v>98.87</v>
      </c>
    </row>
    <row r="7" ht="15" spans="1:21">
      <c r="A7" s="17"/>
      <c r="B7" s="25"/>
      <c r="C7" s="22">
        <v>-6.69</v>
      </c>
      <c r="D7" s="22">
        <v>-1.01</v>
      </c>
      <c r="E7" s="26">
        <v>98.22</v>
      </c>
      <c r="F7" s="27"/>
      <c r="G7" s="28">
        <v>-3.54</v>
      </c>
      <c r="H7" s="28">
        <v>-0.53</v>
      </c>
      <c r="I7" s="29">
        <v>99.81</v>
      </c>
      <c r="J7" s="27"/>
      <c r="K7" s="28">
        <v>-2.4</v>
      </c>
      <c r="L7" s="28">
        <v>-0.24</v>
      </c>
      <c r="M7" s="29">
        <v>99.64</v>
      </c>
      <c r="N7" s="27"/>
      <c r="O7" s="28">
        <v>-0.07</v>
      </c>
      <c r="P7" s="28">
        <v>0.07</v>
      </c>
      <c r="Q7" s="29">
        <v>99.85</v>
      </c>
      <c r="R7" s="27"/>
      <c r="S7" s="28">
        <v>-1.76</v>
      </c>
      <c r="T7" s="28">
        <v>-0.42</v>
      </c>
      <c r="U7" s="29">
        <v>100.7</v>
      </c>
    </row>
    <row r="8" ht="15" spans="1:21">
      <c r="A8" s="17"/>
      <c r="B8" s="25"/>
      <c r="C8" s="22">
        <v>-4.54</v>
      </c>
      <c r="D8" s="22">
        <v>-0.59</v>
      </c>
      <c r="E8" s="26">
        <v>98.89</v>
      </c>
      <c r="F8" s="27"/>
      <c r="G8" s="28">
        <v>-3.75</v>
      </c>
      <c r="H8" s="28">
        <v>-0.58</v>
      </c>
      <c r="I8" s="29">
        <v>99.96</v>
      </c>
      <c r="J8" s="27"/>
      <c r="K8" s="28">
        <v>-2.14</v>
      </c>
      <c r="L8" s="28">
        <v>-0.18</v>
      </c>
      <c r="M8" s="29">
        <v>99.58</v>
      </c>
      <c r="N8" s="27"/>
      <c r="O8" s="28">
        <v>-1.02</v>
      </c>
      <c r="P8" s="28">
        <v>-0.1</v>
      </c>
      <c r="Q8" s="29">
        <v>100.15</v>
      </c>
      <c r="R8" s="27"/>
      <c r="S8" s="28">
        <v>-2.63</v>
      </c>
      <c r="T8" s="28">
        <v>-0.26</v>
      </c>
      <c r="U8" s="29">
        <v>99.32</v>
      </c>
    </row>
    <row r="9" ht="15" spans="1:21">
      <c r="A9" s="17"/>
      <c r="B9" s="25"/>
      <c r="C9" s="22">
        <v>-5.25</v>
      </c>
      <c r="D9" s="22">
        <v>-0.79</v>
      </c>
      <c r="E9" s="26">
        <v>97.68</v>
      </c>
      <c r="F9" s="27"/>
      <c r="G9" s="28">
        <v>-2.86</v>
      </c>
      <c r="H9" s="28">
        <v>-0.45</v>
      </c>
      <c r="I9" s="29">
        <v>100.17</v>
      </c>
      <c r="J9" s="27"/>
      <c r="K9" s="28">
        <v>-1.86</v>
      </c>
      <c r="L9" s="28">
        <v>-0.18</v>
      </c>
      <c r="M9" s="29">
        <v>99.62</v>
      </c>
      <c r="N9" s="27"/>
      <c r="O9" s="28">
        <v>-1.64</v>
      </c>
      <c r="P9" s="28">
        <v>-0.06</v>
      </c>
      <c r="Q9" s="29">
        <v>100.18</v>
      </c>
      <c r="R9" s="27"/>
      <c r="S9" s="28">
        <v>-0.93</v>
      </c>
      <c r="T9" s="28">
        <v>-0.26</v>
      </c>
      <c r="U9" s="29">
        <v>99.71</v>
      </c>
    </row>
    <row r="10" ht="15" spans="1:21">
      <c r="A10" s="17"/>
      <c r="B10" s="25"/>
      <c r="C10" s="22">
        <v>-5.07</v>
      </c>
      <c r="D10" s="22">
        <v>-0.67</v>
      </c>
      <c r="E10" s="26">
        <v>98.51</v>
      </c>
      <c r="F10" s="27"/>
      <c r="G10" s="28">
        <v>-4.16</v>
      </c>
      <c r="H10" s="28">
        <v>-0.69</v>
      </c>
      <c r="I10" s="29">
        <v>100.34</v>
      </c>
      <c r="J10" s="27"/>
      <c r="K10" s="28">
        <v>-3.52</v>
      </c>
      <c r="L10" s="28">
        <v>-0.31</v>
      </c>
      <c r="M10" s="29">
        <v>99.74</v>
      </c>
      <c r="N10" s="27"/>
      <c r="O10" s="28">
        <v>-1.39</v>
      </c>
      <c r="P10" s="28">
        <v>0.0600000000000001</v>
      </c>
      <c r="Q10" s="29">
        <v>100.06</v>
      </c>
      <c r="R10" s="27"/>
      <c r="S10" s="28">
        <v>-1.91</v>
      </c>
      <c r="T10" s="28">
        <v>-0.45</v>
      </c>
      <c r="U10" s="29">
        <v>99.36</v>
      </c>
    </row>
    <row r="11" ht="15" spans="1:21">
      <c r="A11" s="17"/>
      <c r="B11" s="25"/>
      <c r="C11" s="22">
        <v>-3.17</v>
      </c>
      <c r="D11" s="22">
        <v>-0.27</v>
      </c>
      <c r="E11" s="26">
        <v>99.55</v>
      </c>
      <c r="F11" s="27"/>
      <c r="G11" s="28">
        <v>-4.56</v>
      </c>
      <c r="H11" s="28">
        <v>-0.94</v>
      </c>
      <c r="I11" s="29">
        <v>99.25</v>
      </c>
      <c r="J11" s="27"/>
      <c r="K11" s="28">
        <v>-2.76</v>
      </c>
      <c r="L11" s="28">
        <v>-0.24</v>
      </c>
      <c r="M11" s="29">
        <v>99.69</v>
      </c>
      <c r="N11" s="27"/>
      <c r="O11" s="28">
        <v>-0.96</v>
      </c>
      <c r="P11" s="28">
        <v>0.09</v>
      </c>
      <c r="Q11" s="29">
        <v>98.56</v>
      </c>
      <c r="R11" s="27"/>
      <c r="S11" s="28">
        <v>-1.48</v>
      </c>
      <c r="T11" s="28">
        <v>-0.16</v>
      </c>
      <c r="U11" s="29">
        <v>98.62</v>
      </c>
    </row>
    <row r="12" ht="15" spans="1:21">
      <c r="A12" s="17"/>
      <c r="B12" s="25"/>
      <c r="C12" s="22">
        <v>-3.94</v>
      </c>
      <c r="D12" s="22">
        <v>-0.38</v>
      </c>
      <c r="E12" s="26">
        <v>99.16</v>
      </c>
      <c r="F12" s="27"/>
      <c r="G12" s="28">
        <v>-3.34</v>
      </c>
      <c r="H12" s="28">
        <v>-0.49</v>
      </c>
      <c r="I12" s="29">
        <v>100.31</v>
      </c>
      <c r="J12" s="27"/>
      <c r="K12" s="28">
        <v>-3.01</v>
      </c>
      <c r="L12" s="28">
        <v>-0.36</v>
      </c>
      <c r="M12" s="29">
        <v>99.68</v>
      </c>
      <c r="N12" s="27"/>
      <c r="O12" s="28">
        <v>0.32</v>
      </c>
      <c r="P12" s="28">
        <v>0.25</v>
      </c>
      <c r="Q12" s="29">
        <v>99.37</v>
      </c>
      <c r="R12" s="27"/>
      <c r="S12" s="28">
        <v>-2.04</v>
      </c>
      <c r="T12" s="28">
        <v>-0.3</v>
      </c>
      <c r="U12" s="29">
        <v>98.18</v>
      </c>
    </row>
    <row r="13" ht="15" spans="1:21">
      <c r="A13" s="17"/>
      <c r="B13" s="25"/>
      <c r="C13" s="22">
        <v>-3.59</v>
      </c>
      <c r="D13" s="22">
        <v>-0.56</v>
      </c>
      <c r="E13" s="26">
        <v>98.63</v>
      </c>
      <c r="F13" s="27"/>
      <c r="G13" s="28">
        <v>-4.62</v>
      </c>
      <c r="H13" s="28">
        <v>-0.86</v>
      </c>
      <c r="I13" s="29">
        <v>100.3</v>
      </c>
      <c r="J13" s="27"/>
      <c r="K13" s="28">
        <v>-2.07</v>
      </c>
      <c r="L13" s="28">
        <v>-0.34</v>
      </c>
      <c r="M13" s="29">
        <v>99.98</v>
      </c>
      <c r="N13" s="27"/>
      <c r="O13" s="28">
        <v>0.27</v>
      </c>
      <c r="P13" s="28">
        <v>-0.77</v>
      </c>
      <c r="Q13" s="29">
        <v>99.88</v>
      </c>
      <c r="R13" s="27"/>
      <c r="S13" s="28">
        <v>-1.1</v>
      </c>
      <c r="T13" s="28">
        <v>-0.42</v>
      </c>
      <c r="U13" s="29">
        <v>100.53</v>
      </c>
    </row>
    <row r="14" ht="15" spans="1:21">
      <c r="A14" s="17"/>
      <c r="B14" s="25"/>
      <c r="C14" s="22">
        <v>-2.44</v>
      </c>
      <c r="D14" s="22">
        <v>-0.35</v>
      </c>
      <c r="E14" s="26">
        <v>99.45</v>
      </c>
      <c r="F14" s="27"/>
      <c r="G14" s="28">
        <v>-4.31</v>
      </c>
      <c r="H14" s="28">
        <v>-0.86</v>
      </c>
      <c r="I14" s="29">
        <v>100.15</v>
      </c>
      <c r="J14" s="27"/>
      <c r="K14" s="28">
        <v>-3.85</v>
      </c>
      <c r="L14" s="28">
        <v>-0.54</v>
      </c>
      <c r="M14" s="29">
        <v>99.93</v>
      </c>
      <c r="N14" s="27"/>
      <c r="O14" s="28">
        <v>-3.31</v>
      </c>
      <c r="P14" s="28">
        <v>-1.2</v>
      </c>
      <c r="Q14" s="29">
        <v>98.67</v>
      </c>
      <c r="R14" s="27"/>
      <c r="S14" s="28">
        <v>-2.06</v>
      </c>
      <c r="T14" s="28">
        <v>-0.32</v>
      </c>
      <c r="U14" s="29">
        <v>99.29</v>
      </c>
    </row>
    <row r="15" ht="15" spans="1:21">
      <c r="A15" s="17"/>
      <c r="B15" s="25"/>
      <c r="C15" s="22">
        <v>-4.49</v>
      </c>
      <c r="D15" s="22">
        <v>-0.66</v>
      </c>
      <c r="E15" s="26">
        <v>98.75</v>
      </c>
      <c r="F15" s="27"/>
      <c r="G15" s="28">
        <v>-3.38</v>
      </c>
      <c r="H15" s="28">
        <v>-0.51</v>
      </c>
      <c r="I15" s="29">
        <v>99.92</v>
      </c>
      <c r="J15" s="27"/>
      <c r="K15" s="28">
        <v>-2.3</v>
      </c>
      <c r="L15" s="28">
        <v>-0.25</v>
      </c>
      <c r="M15" s="29">
        <v>99.68</v>
      </c>
      <c r="N15" s="27"/>
      <c r="O15" s="28">
        <v>0.15</v>
      </c>
      <c r="P15" s="28">
        <v>-0.36</v>
      </c>
      <c r="Q15" s="29">
        <v>98.09</v>
      </c>
      <c r="R15" s="27"/>
      <c r="S15" s="28">
        <v>-2.31</v>
      </c>
      <c r="T15" s="28">
        <v>-0.28</v>
      </c>
      <c r="U15" s="29">
        <v>98.29</v>
      </c>
    </row>
    <row r="16" ht="15" spans="1:21">
      <c r="A16" s="23" t="s">
        <v>6</v>
      </c>
      <c r="B16" s="25"/>
      <c r="C16" s="22">
        <v>-4.28</v>
      </c>
      <c r="D16" s="22">
        <v>-0.39</v>
      </c>
      <c r="E16" s="26">
        <v>98.96</v>
      </c>
      <c r="F16" s="27"/>
      <c r="G16" s="28">
        <v>-2.43</v>
      </c>
      <c r="H16" s="28">
        <v>-0.88</v>
      </c>
      <c r="I16" s="29">
        <v>99.86</v>
      </c>
      <c r="J16" s="27"/>
      <c r="K16" s="28">
        <v>-0.98</v>
      </c>
      <c r="L16" s="28">
        <v>0.1</v>
      </c>
      <c r="M16" s="29">
        <v>99.64</v>
      </c>
      <c r="N16" s="27"/>
      <c r="O16" s="28">
        <v>1.33</v>
      </c>
      <c r="P16" s="28">
        <v>-0.18</v>
      </c>
      <c r="Q16" s="29">
        <v>99.62</v>
      </c>
      <c r="R16" s="27"/>
      <c r="S16" s="28">
        <v>-7.03</v>
      </c>
      <c r="T16" s="28">
        <v>-1.31</v>
      </c>
      <c r="U16" s="29">
        <v>98.71</v>
      </c>
    </row>
    <row r="17" ht="15" spans="1:21">
      <c r="A17" s="23"/>
      <c r="B17" s="25"/>
      <c r="C17" s="22">
        <v>-3.88</v>
      </c>
      <c r="D17" s="22">
        <v>-0.55</v>
      </c>
      <c r="E17" s="26">
        <v>97.65</v>
      </c>
      <c r="F17" s="27"/>
      <c r="G17" s="28">
        <v>-2.03</v>
      </c>
      <c r="H17" s="28">
        <v>-0.95</v>
      </c>
      <c r="I17" s="29">
        <v>99.77</v>
      </c>
      <c r="J17" s="27"/>
      <c r="K17" s="28">
        <v>-0.65</v>
      </c>
      <c r="L17" s="28">
        <v>0.02</v>
      </c>
      <c r="M17" s="29">
        <v>99.64</v>
      </c>
      <c r="N17" s="27"/>
      <c r="O17" s="28">
        <v>-0.49</v>
      </c>
      <c r="P17" s="28">
        <v>-0.42</v>
      </c>
      <c r="Q17" s="29">
        <v>99.47</v>
      </c>
      <c r="R17" s="27"/>
      <c r="S17" s="28">
        <v>-0.33</v>
      </c>
      <c r="T17" s="28">
        <v>0.7</v>
      </c>
      <c r="U17" s="29">
        <v>99.46</v>
      </c>
    </row>
    <row r="18" ht="15" spans="1:21">
      <c r="A18" s="23"/>
      <c r="B18" s="25"/>
      <c r="C18" s="22">
        <v>-3.99</v>
      </c>
      <c r="D18" s="22">
        <v>-0.52</v>
      </c>
      <c r="E18" s="26">
        <v>98</v>
      </c>
      <c r="F18" s="27"/>
      <c r="G18" s="28">
        <v>-2.81</v>
      </c>
      <c r="H18" s="28">
        <v>-0.9</v>
      </c>
      <c r="I18" s="29">
        <v>99.75</v>
      </c>
      <c r="J18" s="27"/>
      <c r="K18" s="28">
        <v>-1.01</v>
      </c>
      <c r="L18" s="28">
        <v>-0.08</v>
      </c>
      <c r="M18" s="29">
        <v>99.66</v>
      </c>
      <c r="N18" s="27"/>
      <c r="O18" s="28">
        <v>-1.07</v>
      </c>
      <c r="P18" s="28">
        <v>-0.73</v>
      </c>
      <c r="Q18" s="29">
        <v>99.72</v>
      </c>
      <c r="R18" s="27"/>
      <c r="S18" s="28">
        <v>-1.69</v>
      </c>
      <c r="T18" s="28">
        <v>0.13</v>
      </c>
      <c r="U18" s="29">
        <v>99.4</v>
      </c>
    </row>
    <row r="19" ht="15" spans="1:21">
      <c r="A19" s="23"/>
      <c r="B19" s="25"/>
      <c r="C19" s="22">
        <v>-5.26</v>
      </c>
      <c r="D19" s="22">
        <v>-0.72</v>
      </c>
      <c r="E19" s="26">
        <v>99.09</v>
      </c>
      <c r="F19" s="27"/>
      <c r="G19" s="28">
        <v>-2.55</v>
      </c>
      <c r="H19" s="28">
        <v>-0.12</v>
      </c>
      <c r="I19" s="29">
        <v>99.95</v>
      </c>
      <c r="J19" s="27"/>
      <c r="K19" s="28">
        <v>-1.11</v>
      </c>
      <c r="L19" s="28">
        <v>-0.04</v>
      </c>
      <c r="M19" s="29">
        <v>99.64</v>
      </c>
      <c r="N19" s="27"/>
      <c r="O19" s="28">
        <v>-0.28</v>
      </c>
      <c r="P19" s="28">
        <v>-0.39</v>
      </c>
      <c r="Q19" s="29">
        <v>99.57</v>
      </c>
      <c r="R19" s="27"/>
      <c r="S19" s="28">
        <v>1.07</v>
      </c>
      <c r="T19" s="28">
        <v>0.07</v>
      </c>
      <c r="U19" s="29">
        <v>100.25</v>
      </c>
    </row>
    <row r="20" ht="15" spans="1:21">
      <c r="A20" s="23"/>
      <c r="B20" s="25"/>
      <c r="C20" s="22">
        <v>-5.96</v>
      </c>
      <c r="D20" s="22">
        <v>-0.61</v>
      </c>
      <c r="E20" s="26">
        <v>98.65</v>
      </c>
      <c r="F20" s="27"/>
      <c r="G20" s="28">
        <v>-1.88</v>
      </c>
      <c r="H20" s="28">
        <v>-0.11</v>
      </c>
      <c r="I20" s="29">
        <v>99.57</v>
      </c>
      <c r="J20" s="27"/>
      <c r="K20" s="28">
        <v>-0.6</v>
      </c>
      <c r="L20" s="28">
        <v>0.09</v>
      </c>
      <c r="M20" s="29">
        <v>99.66</v>
      </c>
      <c r="N20" s="27"/>
      <c r="O20" s="28">
        <v>-0.69</v>
      </c>
      <c r="P20" s="28">
        <v>-0.59</v>
      </c>
      <c r="Q20" s="29">
        <v>99.34</v>
      </c>
      <c r="R20" s="27"/>
      <c r="S20" s="28">
        <v>-1.11</v>
      </c>
      <c r="T20" s="28">
        <v>-0.04</v>
      </c>
      <c r="U20" s="29">
        <v>97.34</v>
      </c>
    </row>
    <row r="21" ht="15" spans="1:21">
      <c r="A21" s="23"/>
      <c r="B21" s="25"/>
      <c r="C21" s="22">
        <v>-6.31</v>
      </c>
      <c r="D21" s="22">
        <v>-0.67</v>
      </c>
      <c r="E21" s="26">
        <v>98.25</v>
      </c>
      <c r="F21" s="27"/>
      <c r="G21" s="28">
        <v>-3.03</v>
      </c>
      <c r="H21" s="28">
        <v>-0.72</v>
      </c>
      <c r="I21" s="29">
        <v>99.6</v>
      </c>
      <c r="J21" s="27"/>
      <c r="K21" s="28">
        <v>-1.39</v>
      </c>
      <c r="L21" s="28">
        <v>0</v>
      </c>
      <c r="M21" s="29">
        <v>99.74</v>
      </c>
      <c r="N21" s="27"/>
      <c r="O21" s="28">
        <v>0.9</v>
      </c>
      <c r="P21" s="28">
        <v>0.93</v>
      </c>
      <c r="Q21" s="29">
        <v>99.1</v>
      </c>
      <c r="R21" s="27"/>
      <c r="S21" s="28">
        <v>-0.96</v>
      </c>
      <c r="T21" s="28">
        <v>-0.05</v>
      </c>
      <c r="U21" s="29">
        <v>97.29</v>
      </c>
    </row>
    <row r="22" ht="15" spans="1:21">
      <c r="A22" s="23"/>
      <c r="B22" s="25"/>
      <c r="C22" s="22">
        <v>-6.63</v>
      </c>
      <c r="D22" s="22">
        <v>-0.69</v>
      </c>
      <c r="E22" s="26">
        <v>96.84</v>
      </c>
      <c r="F22" s="27"/>
      <c r="G22" s="28">
        <v>-2.88</v>
      </c>
      <c r="H22" s="28">
        <v>-0.66</v>
      </c>
      <c r="I22" s="29">
        <v>99.36</v>
      </c>
      <c r="J22" s="27"/>
      <c r="K22" s="28">
        <v>-1.74</v>
      </c>
      <c r="L22" s="28">
        <v>-0.08</v>
      </c>
      <c r="M22" s="29">
        <v>99.79</v>
      </c>
      <c r="N22" s="27"/>
      <c r="O22" s="28">
        <v>0.05</v>
      </c>
      <c r="P22" s="28">
        <v>-0.47</v>
      </c>
      <c r="Q22" s="29">
        <v>97.51</v>
      </c>
      <c r="R22" s="27"/>
      <c r="S22" s="28">
        <v>-2.91</v>
      </c>
      <c r="T22" s="28">
        <v>-0.28</v>
      </c>
      <c r="U22" s="29">
        <v>99.85</v>
      </c>
    </row>
    <row r="23" ht="15" spans="1:21">
      <c r="A23" s="23"/>
      <c r="B23" s="25"/>
      <c r="C23" s="22">
        <v>-4.22</v>
      </c>
      <c r="D23" s="22">
        <v>-0.44</v>
      </c>
      <c r="E23" s="26">
        <v>97.85</v>
      </c>
      <c r="F23" s="27"/>
      <c r="G23" s="28">
        <v>-4.24</v>
      </c>
      <c r="H23" s="28">
        <v>-0.66</v>
      </c>
      <c r="I23" s="29">
        <v>99.5</v>
      </c>
      <c r="J23" s="27"/>
      <c r="K23" s="28">
        <v>-1.72</v>
      </c>
      <c r="L23" s="28">
        <v>-0.03</v>
      </c>
      <c r="M23" s="29">
        <v>99.69</v>
      </c>
      <c r="N23" s="27"/>
      <c r="O23" s="28">
        <v>1.02</v>
      </c>
      <c r="P23" s="28">
        <v>-0.2</v>
      </c>
      <c r="Q23" s="29">
        <v>99.33</v>
      </c>
      <c r="R23" s="27"/>
      <c r="S23" s="28">
        <v>-1.17</v>
      </c>
      <c r="T23" s="28">
        <v>-0.24</v>
      </c>
      <c r="U23" s="29">
        <v>100.28</v>
      </c>
    </row>
    <row r="24" ht="15" spans="1:21">
      <c r="A24" s="23"/>
      <c r="B24" s="25"/>
      <c r="C24" s="22">
        <v>-4.33</v>
      </c>
      <c r="D24" s="22">
        <v>-0.56</v>
      </c>
      <c r="E24" s="26">
        <v>97.55</v>
      </c>
      <c r="F24" s="27"/>
      <c r="G24" s="28">
        <v>-2.96</v>
      </c>
      <c r="H24" s="28">
        <v>-0.54</v>
      </c>
      <c r="I24" s="29">
        <v>100.02</v>
      </c>
      <c r="J24" s="27"/>
      <c r="K24" s="28">
        <v>-1.19</v>
      </c>
      <c r="L24" s="28">
        <v>0.02</v>
      </c>
      <c r="M24" s="29">
        <v>99.84</v>
      </c>
      <c r="N24" s="27"/>
      <c r="O24" s="28">
        <v>-0.34</v>
      </c>
      <c r="P24" s="28">
        <v>-0.82</v>
      </c>
      <c r="Q24" s="29">
        <v>97.55</v>
      </c>
      <c r="R24" s="27"/>
      <c r="S24" s="28">
        <v>-2.37</v>
      </c>
      <c r="T24" s="28">
        <v>-0.28</v>
      </c>
      <c r="U24" s="29">
        <v>97.61</v>
      </c>
    </row>
    <row r="25" ht="15" spans="1:21">
      <c r="A25" s="23"/>
      <c r="B25" s="25"/>
      <c r="C25" s="22">
        <v>-5.76</v>
      </c>
      <c r="D25" s="22">
        <v>-0.73</v>
      </c>
      <c r="E25" s="26">
        <v>98.76</v>
      </c>
      <c r="F25" s="27"/>
      <c r="G25" s="28">
        <v>-4.22</v>
      </c>
      <c r="H25" s="28">
        <v>-0.59</v>
      </c>
      <c r="I25" s="29">
        <v>98.37</v>
      </c>
      <c r="J25" s="27"/>
      <c r="K25" s="28">
        <v>-2.53</v>
      </c>
      <c r="L25" s="28">
        <v>-0.06</v>
      </c>
      <c r="M25" s="29">
        <v>99.76</v>
      </c>
      <c r="N25" s="27"/>
      <c r="O25" s="28">
        <v>-2.1</v>
      </c>
      <c r="P25" s="28">
        <v>-0.7</v>
      </c>
      <c r="Q25" s="29">
        <v>99.82</v>
      </c>
      <c r="R25" s="27"/>
      <c r="S25" s="28">
        <v>-6.78</v>
      </c>
      <c r="T25" s="28">
        <v>-0.78</v>
      </c>
      <c r="U25" s="29">
        <v>98.47</v>
      </c>
    </row>
    <row r="26" ht="15" spans="1:21">
      <c r="A26" s="23"/>
      <c r="B26" s="25"/>
      <c r="C26" s="22">
        <v>-5.08</v>
      </c>
      <c r="D26" s="22">
        <v>-0.96</v>
      </c>
      <c r="E26" s="26">
        <v>95.66</v>
      </c>
      <c r="F26" s="27"/>
      <c r="G26" s="28">
        <v>-4.29</v>
      </c>
      <c r="H26" s="28">
        <v>-0.35</v>
      </c>
      <c r="I26" s="29">
        <v>99.84</v>
      </c>
      <c r="J26" s="27"/>
      <c r="K26" s="28">
        <v>-1.47</v>
      </c>
      <c r="L26" s="28">
        <v>0.04</v>
      </c>
      <c r="M26" s="29">
        <v>99.92</v>
      </c>
      <c r="N26" s="27"/>
      <c r="O26" s="28">
        <v>-2.5</v>
      </c>
      <c r="P26" s="28">
        <v>-0.73</v>
      </c>
      <c r="Q26" s="29">
        <v>99.58</v>
      </c>
      <c r="R26" s="27"/>
      <c r="S26" s="28">
        <v>-1.59</v>
      </c>
      <c r="T26" s="28">
        <v>-0.22</v>
      </c>
      <c r="U26" s="29">
        <v>98.1</v>
      </c>
    </row>
    <row r="27" ht="15" spans="1:21">
      <c r="A27" s="23"/>
      <c r="B27" s="25"/>
      <c r="C27" s="22">
        <v>-5.26</v>
      </c>
      <c r="D27" s="22">
        <v>-0.86</v>
      </c>
      <c r="E27" s="26">
        <v>98.85</v>
      </c>
      <c r="F27" s="27"/>
      <c r="G27" s="28">
        <v>-4.43</v>
      </c>
      <c r="H27" s="28">
        <v>-0.27</v>
      </c>
      <c r="I27" s="29">
        <v>100.07</v>
      </c>
      <c r="J27" s="27"/>
      <c r="K27" s="28">
        <v>-2.42</v>
      </c>
      <c r="L27" s="28">
        <v>-0.08</v>
      </c>
      <c r="M27" s="29">
        <v>99.84</v>
      </c>
      <c r="N27" s="27"/>
      <c r="O27" s="28">
        <v>-1.99</v>
      </c>
      <c r="P27" s="28">
        <v>-0.69</v>
      </c>
      <c r="Q27" s="29">
        <v>97.89</v>
      </c>
      <c r="R27" s="27"/>
      <c r="S27" s="28">
        <v>-0.8</v>
      </c>
      <c r="T27" s="28">
        <v>-0.12</v>
      </c>
      <c r="U27" s="29">
        <v>98.08</v>
      </c>
    </row>
    <row r="28" ht="15" spans="1:21">
      <c r="A28" s="23"/>
      <c r="B28" s="25"/>
      <c r="C28" s="22">
        <v>-5.94</v>
      </c>
      <c r="D28" s="22">
        <v>-1.25</v>
      </c>
      <c r="E28" s="26">
        <v>97.53</v>
      </c>
      <c r="F28" s="27"/>
      <c r="G28" s="28">
        <v>-4.42</v>
      </c>
      <c r="H28" s="28">
        <v>-0.45</v>
      </c>
      <c r="I28" s="29">
        <v>99.66</v>
      </c>
      <c r="J28" s="27"/>
      <c r="K28" s="28">
        <v>-3.1</v>
      </c>
      <c r="L28" s="28">
        <v>-0.21</v>
      </c>
      <c r="M28" s="29">
        <v>100.02</v>
      </c>
      <c r="N28" s="27"/>
      <c r="O28" s="28">
        <v>-2.37</v>
      </c>
      <c r="P28" s="28">
        <v>-0.68</v>
      </c>
      <c r="Q28" s="29">
        <v>99.17</v>
      </c>
      <c r="R28" s="27"/>
      <c r="S28" s="28">
        <v>-2.59</v>
      </c>
      <c r="T28" s="28">
        <v>-0.35</v>
      </c>
      <c r="U28" s="29">
        <v>98.23</v>
      </c>
    </row>
    <row r="29" ht="15" spans="1:21">
      <c r="A29" s="23"/>
      <c r="B29" s="25"/>
      <c r="C29" s="22">
        <v>-5.66</v>
      </c>
      <c r="D29" s="22">
        <v>-1.27</v>
      </c>
      <c r="E29" s="26">
        <v>99.35</v>
      </c>
      <c r="F29" s="27"/>
      <c r="G29" s="28">
        <v>-3.4</v>
      </c>
      <c r="H29" s="28">
        <v>-0.08</v>
      </c>
      <c r="I29" s="29">
        <v>100.16</v>
      </c>
      <c r="J29" s="27"/>
      <c r="K29" s="28">
        <v>-0.86</v>
      </c>
      <c r="L29" s="28">
        <v>-0.03</v>
      </c>
      <c r="M29" s="29">
        <v>99.75</v>
      </c>
      <c r="N29" s="27"/>
      <c r="O29" s="28">
        <v>-3.05</v>
      </c>
      <c r="P29" s="28">
        <v>-0.78</v>
      </c>
      <c r="Q29" s="29">
        <v>98.36</v>
      </c>
      <c r="R29" s="27"/>
      <c r="S29" s="28">
        <v>-2.69</v>
      </c>
      <c r="T29" s="28">
        <v>-0.21</v>
      </c>
      <c r="U29" s="29">
        <v>100</v>
      </c>
    </row>
    <row r="30" ht="15" spans="1:21">
      <c r="A30" s="23"/>
      <c r="B30" s="25"/>
      <c r="C30" s="22">
        <v>-5.18</v>
      </c>
      <c r="D30" s="22">
        <v>-0.73</v>
      </c>
      <c r="E30" s="26">
        <v>98.07</v>
      </c>
      <c r="F30" s="27"/>
      <c r="G30" s="28">
        <v>-3.26</v>
      </c>
      <c r="H30" s="28">
        <v>-0.52</v>
      </c>
      <c r="I30" s="29">
        <v>99.68</v>
      </c>
      <c r="J30" s="27"/>
      <c r="K30" s="28">
        <v>-1.48</v>
      </c>
      <c r="L30" s="28">
        <v>-0.02</v>
      </c>
      <c r="M30" s="29">
        <v>99.76</v>
      </c>
      <c r="N30" s="27"/>
      <c r="O30" s="28">
        <v>-3.08</v>
      </c>
      <c r="P30" s="28">
        <v>-0.94</v>
      </c>
      <c r="Q30" s="29">
        <v>96.64</v>
      </c>
      <c r="R30" s="27"/>
      <c r="S30" s="28">
        <v>-2.08</v>
      </c>
      <c r="T30" s="28">
        <v>-0.3</v>
      </c>
      <c r="U30" s="29">
        <v>98.29</v>
      </c>
    </row>
    <row r="31" ht="15" spans="1:21">
      <c r="A31" s="24" t="s">
        <v>7</v>
      </c>
      <c r="B31" s="25"/>
      <c r="C31" s="22">
        <v>-7.75</v>
      </c>
      <c r="D31" s="22">
        <v>-0.69</v>
      </c>
      <c r="E31" s="26">
        <v>99.59</v>
      </c>
      <c r="F31" s="27"/>
      <c r="G31" s="28">
        <v>-0.12</v>
      </c>
      <c r="H31" s="28">
        <v>0.52</v>
      </c>
      <c r="I31" s="29">
        <v>99.83</v>
      </c>
      <c r="J31" s="27"/>
      <c r="K31" s="28">
        <v>-3.91</v>
      </c>
      <c r="L31" s="28">
        <v>-0.16</v>
      </c>
      <c r="M31" s="29">
        <v>100.01</v>
      </c>
      <c r="N31" s="27"/>
      <c r="O31" s="28">
        <v>-2.47</v>
      </c>
      <c r="P31" s="28">
        <v>-0.75</v>
      </c>
      <c r="Q31" s="29">
        <v>100.03</v>
      </c>
      <c r="R31" s="27"/>
      <c r="S31" s="28">
        <v>-5.27</v>
      </c>
      <c r="T31" s="28">
        <v>1.09</v>
      </c>
      <c r="U31" s="29">
        <v>100.3</v>
      </c>
    </row>
    <row r="32" ht="15" spans="1:21">
      <c r="A32" s="24"/>
      <c r="B32" s="25"/>
      <c r="C32" s="22">
        <v>-8.95</v>
      </c>
      <c r="D32" s="22">
        <v>-0.99</v>
      </c>
      <c r="E32" s="26">
        <v>99.52</v>
      </c>
      <c r="F32" s="27"/>
      <c r="G32" s="28">
        <v>-4.51</v>
      </c>
      <c r="H32" s="28">
        <v>-0.34</v>
      </c>
      <c r="I32" s="29">
        <v>99.81</v>
      </c>
      <c r="J32" s="27"/>
      <c r="K32" s="28">
        <v>-3.52</v>
      </c>
      <c r="L32" s="28">
        <v>-0.12</v>
      </c>
      <c r="M32" s="29">
        <v>100.03</v>
      </c>
      <c r="N32" s="27"/>
      <c r="O32" s="28">
        <v>-1.93</v>
      </c>
      <c r="P32" s="28">
        <v>-0.67</v>
      </c>
      <c r="Q32" s="29">
        <v>99.9</v>
      </c>
      <c r="R32" s="27"/>
      <c r="S32" s="28">
        <v>-4.88</v>
      </c>
      <c r="T32" s="28">
        <v>-0.42</v>
      </c>
      <c r="U32" s="29">
        <v>99.46</v>
      </c>
    </row>
    <row r="33" ht="15" spans="1:21">
      <c r="A33" s="24"/>
      <c r="B33" s="25"/>
      <c r="C33" s="22">
        <v>-6.85</v>
      </c>
      <c r="D33" s="22">
        <v>-0.84</v>
      </c>
      <c r="E33" s="26">
        <v>99.35</v>
      </c>
      <c r="F33" s="27"/>
      <c r="G33" s="28">
        <v>-4.05</v>
      </c>
      <c r="H33" s="28">
        <v>-0.13</v>
      </c>
      <c r="I33" s="29">
        <v>99.85</v>
      </c>
      <c r="J33" s="27"/>
      <c r="K33" s="28">
        <v>-2.02</v>
      </c>
      <c r="L33" s="28">
        <v>-0.02</v>
      </c>
      <c r="M33" s="29">
        <v>100.14</v>
      </c>
      <c r="N33" s="27"/>
      <c r="O33" s="28">
        <v>-1.26</v>
      </c>
      <c r="P33" s="28">
        <v>-0.47</v>
      </c>
      <c r="Q33" s="29">
        <v>100</v>
      </c>
      <c r="R33" s="27"/>
      <c r="S33" s="28">
        <v>-0.96</v>
      </c>
      <c r="T33" s="28">
        <v>0.15</v>
      </c>
      <c r="U33" s="29">
        <v>100.07</v>
      </c>
    </row>
    <row r="34" ht="15" spans="1:21">
      <c r="A34" s="24"/>
      <c r="B34" s="25"/>
      <c r="C34" s="22">
        <v>-8.2</v>
      </c>
      <c r="D34" s="22">
        <v>-0.81</v>
      </c>
      <c r="E34" s="26">
        <v>99.58</v>
      </c>
      <c r="F34" s="27"/>
      <c r="G34" s="28">
        <v>-4.5</v>
      </c>
      <c r="H34" s="28">
        <v>-0.22</v>
      </c>
      <c r="I34" s="29">
        <v>99.82</v>
      </c>
      <c r="J34" s="27"/>
      <c r="K34" s="28">
        <v>-3.75</v>
      </c>
      <c r="L34" s="28">
        <v>-0.14</v>
      </c>
      <c r="M34" s="29">
        <v>99.95</v>
      </c>
      <c r="N34" s="27"/>
      <c r="O34" s="28">
        <v>-2.27</v>
      </c>
      <c r="P34" s="28">
        <v>-0.73</v>
      </c>
      <c r="Q34" s="29">
        <v>100.4</v>
      </c>
      <c r="R34" s="27"/>
      <c r="S34" s="28">
        <v>-3.49</v>
      </c>
      <c r="T34" s="28">
        <v>-0.15</v>
      </c>
      <c r="U34" s="29">
        <v>99.89</v>
      </c>
    </row>
    <row r="35" ht="15" spans="1:21">
      <c r="A35" s="24"/>
      <c r="B35" s="25"/>
      <c r="C35" s="22">
        <v>-8.03</v>
      </c>
      <c r="D35" s="22">
        <v>-0.8</v>
      </c>
      <c r="E35" s="26">
        <v>99.52</v>
      </c>
      <c r="F35" s="27"/>
      <c r="G35" s="28">
        <v>-3.56</v>
      </c>
      <c r="H35" s="28">
        <v>-0.21</v>
      </c>
      <c r="I35" s="29">
        <v>99.85</v>
      </c>
      <c r="J35" s="27"/>
      <c r="K35" s="28">
        <v>-4.47</v>
      </c>
      <c r="L35" s="28">
        <v>-0.25</v>
      </c>
      <c r="M35" s="29">
        <v>100.11</v>
      </c>
      <c r="N35" s="27"/>
      <c r="O35" s="28">
        <v>-2.68</v>
      </c>
      <c r="P35" s="28">
        <v>-0.78</v>
      </c>
      <c r="Q35" s="29">
        <v>99.86</v>
      </c>
      <c r="R35" s="27"/>
      <c r="S35" s="28">
        <v>-4.61</v>
      </c>
      <c r="T35" s="28">
        <v>0.26</v>
      </c>
      <c r="U35" s="29">
        <v>100.27</v>
      </c>
    </row>
    <row r="36" ht="15" spans="1:21">
      <c r="A36" s="24"/>
      <c r="B36" s="25"/>
      <c r="C36" s="22">
        <v>-8.61</v>
      </c>
      <c r="D36" s="22">
        <v>-0.93</v>
      </c>
      <c r="E36" s="26">
        <v>99.28</v>
      </c>
      <c r="F36" s="27"/>
      <c r="G36" s="28">
        <v>-3.65</v>
      </c>
      <c r="H36" s="28">
        <v>-0.18</v>
      </c>
      <c r="I36" s="29">
        <v>99.89</v>
      </c>
      <c r="J36" s="27"/>
      <c r="K36" s="28">
        <v>-2.55</v>
      </c>
      <c r="L36" s="28">
        <v>-0.08</v>
      </c>
      <c r="M36" s="29">
        <v>100.08</v>
      </c>
      <c r="N36" s="27"/>
      <c r="O36" s="28">
        <v>-2.65</v>
      </c>
      <c r="P36" s="28">
        <v>-0.9</v>
      </c>
      <c r="Q36" s="29">
        <v>98.03</v>
      </c>
      <c r="R36" s="27"/>
      <c r="S36" s="28">
        <v>-5.34</v>
      </c>
      <c r="T36" s="28">
        <v>-0.52</v>
      </c>
      <c r="U36" s="29">
        <v>99.99</v>
      </c>
    </row>
    <row r="37" ht="15" spans="1:21">
      <c r="A37" s="24"/>
      <c r="B37" s="25"/>
      <c r="C37" s="22">
        <v>-7.87</v>
      </c>
      <c r="D37" s="22">
        <v>-0.99</v>
      </c>
      <c r="E37" s="26">
        <v>98.79</v>
      </c>
      <c r="F37" s="27"/>
      <c r="G37" s="28">
        <v>-5.48</v>
      </c>
      <c r="H37" s="28">
        <v>-0.48</v>
      </c>
      <c r="I37" s="29">
        <v>99.72</v>
      </c>
      <c r="J37" s="27"/>
      <c r="K37" s="28">
        <v>-4.01</v>
      </c>
      <c r="L37" s="28">
        <v>-0.23</v>
      </c>
      <c r="M37" s="29">
        <v>100.3</v>
      </c>
      <c r="N37" s="27"/>
      <c r="O37" s="28">
        <v>-5.56</v>
      </c>
      <c r="P37" s="28">
        <v>-1.27</v>
      </c>
      <c r="Q37" s="29">
        <v>96.92</v>
      </c>
      <c r="R37" s="27"/>
      <c r="S37" s="28">
        <v>-4.98</v>
      </c>
      <c r="T37" s="28">
        <v>-0.38</v>
      </c>
      <c r="U37" s="29">
        <v>99.68</v>
      </c>
    </row>
    <row r="38" ht="15" spans="1:21">
      <c r="A38" s="24"/>
      <c r="B38" s="25"/>
      <c r="C38" s="22">
        <v>-7.8</v>
      </c>
      <c r="D38" s="22">
        <v>-0.82</v>
      </c>
      <c r="E38" s="26">
        <v>98.33</v>
      </c>
      <c r="F38" s="27"/>
      <c r="G38" s="28">
        <v>-4.4</v>
      </c>
      <c r="H38" s="28">
        <v>-0.35</v>
      </c>
      <c r="I38" s="29">
        <v>100.08</v>
      </c>
      <c r="J38" s="27"/>
      <c r="K38" s="28">
        <v>-4.07</v>
      </c>
      <c r="L38" s="28">
        <v>-0.2</v>
      </c>
      <c r="M38" s="29">
        <v>100.33</v>
      </c>
      <c r="N38" s="27"/>
      <c r="O38" s="28">
        <v>0.68</v>
      </c>
      <c r="P38" s="28">
        <v>-0.21</v>
      </c>
      <c r="Q38" s="29">
        <v>98.48</v>
      </c>
      <c r="R38" s="27"/>
      <c r="S38" s="28">
        <v>-11.04</v>
      </c>
      <c r="T38" s="28">
        <v>-1.93</v>
      </c>
      <c r="U38" s="29">
        <v>99.73</v>
      </c>
    </row>
    <row r="39" ht="15" spans="1:21">
      <c r="A39" s="24"/>
      <c r="B39" s="25"/>
      <c r="C39" s="22">
        <v>-8.15</v>
      </c>
      <c r="D39" s="22">
        <v>-0.97</v>
      </c>
      <c r="E39" s="26">
        <v>99.59</v>
      </c>
      <c r="F39" s="27"/>
      <c r="G39" s="28">
        <v>-4.8</v>
      </c>
      <c r="H39" s="28">
        <v>-0.36</v>
      </c>
      <c r="I39" s="29">
        <v>100</v>
      </c>
      <c r="J39" s="27"/>
      <c r="K39" s="28">
        <v>-4.76</v>
      </c>
      <c r="L39" s="28">
        <v>-0.3</v>
      </c>
      <c r="M39" s="29">
        <v>100.17</v>
      </c>
      <c r="N39" s="27"/>
      <c r="O39" s="28">
        <v>0.94</v>
      </c>
      <c r="P39" s="28">
        <v>-0.16</v>
      </c>
      <c r="Q39" s="29">
        <v>99.43</v>
      </c>
      <c r="R39" s="27"/>
      <c r="S39" s="28">
        <v>-7.66</v>
      </c>
      <c r="T39" s="28">
        <v>-0.88</v>
      </c>
      <c r="U39" s="29">
        <v>99.42</v>
      </c>
    </row>
    <row r="40" ht="15" spans="1:21">
      <c r="A40" s="24"/>
      <c r="B40" s="25"/>
      <c r="C40" s="22">
        <v>-8.98</v>
      </c>
      <c r="D40" s="22">
        <v>-1.06</v>
      </c>
      <c r="E40" s="26">
        <v>99.38</v>
      </c>
      <c r="F40" s="27"/>
      <c r="G40" s="28">
        <v>-7.84</v>
      </c>
      <c r="H40" s="28">
        <v>-0.9</v>
      </c>
      <c r="I40" s="29">
        <v>99.92</v>
      </c>
      <c r="J40" s="27"/>
      <c r="K40" s="28">
        <v>-3.38</v>
      </c>
      <c r="L40" s="28">
        <v>-0.01</v>
      </c>
      <c r="M40" s="29">
        <v>100.85</v>
      </c>
      <c r="N40" s="27"/>
      <c r="O40" s="28">
        <v>-5.41</v>
      </c>
      <c r="P40" s="28">
        <v>-1.37</v>
      </c>
      <c r="Q40" s="29">
        <v>96.36</v>
      </c>
      <c r="R40" s="27"/>
      <c r="S40" s="28">
        <v>-3.14</v>
      </c>
      <c r="T40" s="28">
        <v>-0.45</v>
      </c>
      <c r="U40" s="29">
        <v>98.42</v>
      </c>
    </row>
    <row r="41" ht="15" spans="1:21">
      <c r="A41" s="24"/>
      <c r="B41" s="25"/>
      <c r="C41" s="22">
        <v>-8.06</v>
      </c>
      <c r="D41" s="22">
        <v>-1.02</v>
      </c>
      <c r="E41" s="26">
        <v>98.71</v>
      </c>
      <c r="F41" s="27"/>
      <c r="G41" s="28">
        <v>-4.37</v>
      </c>
      <c r="H41" s="28">
        <v>-0.38</v>
      </c>
      <c r="I41" s="29">
        <v>99.96</v>
      </c>
      <c r="J41" s="27"/>
      <c r="K41" s="28">
        <v>-2.83</v>
      </c>
      <c r="L41" s="28">
        <v>-0.25</v>
      </c>
      <c r="M41" s="29">
        <v>100.07</v>
      </c>
      <c r="N41" s="27"/>
      <c r="O41" s="28">
        <v>-5.04</v>
      </c>
      <c r="P41" s="28">
        <v>-1.44</v>
      </c>
      <c r="Q41" s="29">
        <v>98.18</v>
      </c>
      <c r="R41" s="27"/>
      <c r="S41" s="28">
        <v>-3.81</v>
      </c>
      <c r="T41" s="28">
        <v>-0.49</v>
      </c>
      <c r="U41" s="29">
        <v>99.61</v>
      </c>
    </row>
    <row r="42" ht="15" spans="1:21">
      <c r="A42" s="24"/>
      <c r="B42" s="25"/>
      <c r="C42" s="22">
        <v>-6.6</v>
      </c>
      <c r="D42" s="22">
        <v>-0.76</v>
      </c>
      <c r="E42" s="26">
        <v>99.24</v>
      </c>
      <c r="F42" s="27"/>
      <c r="G42" s="28">
        <v>-6.14</v>
      </c>
      <c r="H42" s="28">
        <v>-0.62</v>
      </c>
      <c r="I42" s="29">
        <v>100.02</v>
      </c>
      <c r="J42" s="27"/>
      <c r="K42" s="28">
        <v>-3.24</v>
      </c>
      <c r="L42" s="28">
        <v>-0.36</v>
      </c>
      <c r="M42" s="29">
        <v>99.31</v>
      </c>
      <c r="N42" s="27"/>
      <c r="O42" s="28">
        <v>-1.85</v>
      </c>
      <c r="P42" s="28">
        <v>0.17</v>
      </c>
      <c r="Q42" s="29">
        <v>98.64</v>
      </c>
      <c r="R42" s="27"/>
      <c r="S42" s="28">
        <v>-4.64</v>
      </c>
      <c r="T42" s="28">
        <v>-0.47</v>
      </c>
      <c r="U42" s="29">
        <v>98.41</v>
      </c>
    </row>
    <row r="43" ht="15" spans="1:21">
      <c r="A43" s="24"/>
      <c r="B43" s="25"/>
      <c r="C43" s="22">
        <v>-5.77</v>
      </c>
      <c r="D43" s="22">
        <v>-0.49</v>
      </c>
      <c r="E43" s="26">
        <v>98.85</v>
      </c>
      <c r="F43" s="27"/>
      <c r="G43" s="28">
        <v>-5.23</v>
      </c>
      <c r="H43" s="28">
        <v>-0.42</v>
      </c>
      <c r="I43" s="29">
        <v>99.89</v>
      </c>
      <c r="J43" s="27"/>
      <c r="K43" s="28">
        <v>-5.68</v>
      </c>
      <c r="L43" s="28">
        <v>-0.37</v>
      </c>
      <c r="M43" s="29">
        <v>100.1</v>
      </c>
      <c r="N43" s="27"/>
      <c r="O43" s="28">
        <v>-4.98</v>
      </c>
      <c r="P43" s="28">
        <v>-1.41</v>
      </c>
      <c r="Q43" s="29">
        <v>98.84</v>
      </c>
      <c r="R43" s="27"/>
      <c r="S43" s="28">
        <v>-7.19</v>
      </c>
      <c r="T43" s="28">
        <v>-0.73</v>
      </c>
      <c r="U43" s="29">
        <v>100.08</v>
      </c>
    </row>
    <row r="44" ht="15" spans="1:21">
      <c r="A44" s="24"/>
      <c r="B44" s="25"/>
      <c r="C44" s="22">
        <v>-8.21</v>
      </c>
      <c r="D44" s="22">
        <v>-0.82</v>
      </c>
      <c r="E44" s="26">
        <v>99.4</v>
      </c>
      <c r="F44" s="27"/>
      <c r="G44" s="28">
        <v>-6.97</v>
      </c>
      <c r="H44" s="28">
        <v>-0.69</v>
      </c>
      <c r="I44" s="29">
        <v>100.16</v>
      </c>
      <c r="J44" s="27"/>
      <c r="K44" s="28">
        <v>-6.13</v>
      </c>
      <c r="L44" s="28">
        <v>-0.29</v>
      </c>
      <c r="M44" s="29">
        <v>100.65</v>
      </c>
      <c r="N44" s="27"/>
      <c r="O44" s="28">
        <v>-3.76</v>
      </c>
      <c r="P44" s="28">
        <v>-1.22</v>
      </c>
      <c r="Q44" s="29">
        <v>99.57</v>
      </c>
      <c r="R44" s="27"/>
      <c r="S44" s="28">
        <v>-8.83</v>
      </c>
      <c r="T44" s="28">
        <v>-0.96</v>
      </c>
      <c r="U44" s="29">
        <v>98.6</v>
      </c>
    </row>
    <row r="45" ht="15" spans="1:21">
      <c r="A45" s="24"/>
      <c r="B45" s="25"/>
      <c r="C45" s="22">
        <v>-7.84</v>
      </c>
      <c r="D45" s="22">
        <v>-0.86</v>
      </c>
      <c r="E45" s="26">
        <v>99.22</v>
      </c>
      <c r="F45" s="27"/>
      <c r="G45" s="28">
        <v>-4.69</v>
      </c>
      <c r="H45" s="28">
        <v>-0.34</v>
      </c>
      <c r="I45" s="29">
        <v>99.91</v>
      </c>
      <c r="J45" s="27"/>
      <c r="K45" s="28">
        <v>-3.88</v>
      </c>
      <c r="L45" s="28">
        <v>-0.2</v>
      </c>
      <c r="M45" s="29">
        <v>100.15</v>
      </c>
      <c r="N45" s="27"/>
      <c r="O45" s="28">
        <v>-1.38</v>
      </c>
      <c r="P45" s="28">
        <v>-0.16</v>
      </c>
      <c r="Q45" s="29">
        <v>98.48</v>
      </c>
      <c r="R45" s="27"/>
      <c r="S45" s="28">
        <v>-10.19</v>
      </c>
      <c r="T45" s="28">
        <v>-1.39</v>
      </c>
      <c r="U45" s="29">
        <v>99.44</v>
      </c>
    </row>
  </sheetData>
  <mergeCells count="8">
    <mergeCell ref="A1:A15"/>
    <mergeCell ref="A16:A30"/>
    <mergeCell ref="A31:A45"/>
    <mergeCell ref="B1:B45"/>
    <mergeCell ref="F1:F45"/>
    <mergeCell ref="J1:J45"/>
    <mergeCell ref="N1:N45"/>
    <mergeCell ref="R1:R4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workbookViewId="0">
      <selection activeCell="F1" sqref="F1:F45"/>
    </sheetView>
  </sheetViews>
  <sheetFormatPr defaultColWidth="9" defaultRowHeight="14.4"/>
  <sheetData>
    <row r="1" spans="1:13">
      <c r="A1" s="17" t="s">
        <v>0</v>
      </c>
      <c r="B1" s="18" t="s">
        <v>3</v>
      </c>
      <c r="C1" s="19">
        <v>-1.57</v>
      </c>
      <c r="D1" s="20">
        <v>-0.12</v>
      </c>
      <c r="E1" s="20">
        <v>25.37</v>
      </c>
      <c r="F1" s="18" t="s">
        <v>4</v>
      </c>
      <c r="G1" s="19">
        <v>-2.74</v>
      </c>
      <c r="H1" s="20">
        <v>-0.57</v>
      </c>
      <c r="I1" s="20">
        <v>24.67</v>
      </c>
      <c r="J1" s="18" t="s">
        <v>5</v>
      </c>
      <c r="K1" s="19">
        <v>-3.65</v>
      </c>
      <c r="L1" s="20">
        <v>-0.27</v>
      </c>
      <c r="M1" s="20">
        <v>11.14</v>
      </c>
    </row>
    <row r="2" ht="15.6" spans="1:13">
      <c r="A2" s="17"/>
      <c r="B2" s="18"/>
      <c r="C2" s="19">
        <v>-1.88</v>
      </c>
      <c r="D2" s="20">
        <v>-0.18</v>
      </c>
      <c r="E2" s="20">
        <v>24.96</v>
      </c>
      <c r="F2" s="18"/>
      <c r="G2" s="19">
        <v>0.55</v>
      </c>
      <c r="H2" s="20">
        <v>0.25</v>
      </c>
      <c r="I2" s="20">
        <v>8.75</v>
      </c>
      <c r="J2" s="18"/>
      <c r="K2" s="19">
        <v>-2.7</v>
      </c>
      <c r="L2" s="20">
        <v>0.09</v>
      </c>
      <c r="M2" s="20">
        <v>24.16</v>
      </c>
    </row>
    <row r="3" ht="15.6" spans="1:13">
      <c r="A3" s="17"/>
      <c r="B3" s="18"/>
      <c r="C3" s="19">
        <v>-1.85</v>
      </c>
      <c r="D3" s="20">
        <v>-0.16</v>
      </c>
      <c r="E3" s="20">
        <v>25.38</v>
      </c>
      <c r="F3" s="18"/>
      <c r="G3" s="19">
        <v>-1.25</v>
      </c>
      <c r="H3" s="20">
        <v>-0.56</v>
      </c>
      <c r="I3" s="20">
        <v>25.5</v>
      </c>
      <c r="J3" s="18"/>
      <c r="K3" s="19">
        <v>-4</v>
      </c>
      <c r="L3" s="20">
        <v>-0.28</v>
      </c>
      <c r="M3" s="20">
        <v>11.94</v>
      </c>
    </row>
    <row r="4" ht="15.6" spans="1:13">
      <c r="A4" s="17"/>
      <c r="B4" s="18"/>
      <c r="C4" s="21">
        <v>-2.16</v>
      </c>
      <c r="D4" s="22">
        <v>-0.16</v>
      </c>
      <c r="E4" s="22">
        <v>21.95</v>
      </c>
      <c r="F4" s="18"/>
      <c r="G4" s="21">
        <v>1.11</v>
      </c>
      <c r="H4" s="22">
        <v>0.98</v>
      </c>
      <c r="I4" s="22">
        <v>23.85</v>
      </c>
      <c r="J4" s="18"/>
      <c r="K4" s="21">
        <v>-2.28</v>
      </c>
      <c r="L4" s="22">
        <v>-0.45</v>
      </c>
      <c r="M4" s="22">
        <v>10.69</v>
      </c>
    </row>
    <row r="5" ht="15.6" spans="1:13">
      <c r="A5" s="17"/>
      <c r="B5" s="18"/>
      <c r="C5" s="21">
        <v>-1.47</v>
      </c>
      <c r="D5" s="22">
        <v>-0.26</v>
      </c>
      <c r="E5" s="22">
        <v>21.78</v>
      </c>
      <c r="F5" s="18"/>
      <c r="G5" s="21">
        <v>0.03</v>
      </c>
      <c r="H5" s="22">
        <v>0.71</v>
      </c>
      <c r="I5" s="22">
        <v>22.35</v>
      </c>
      <c r="J5" s="18"/>
      <c r="K5" s="21">
        <v>-2.44</v>
      </c>
      <c r="L5" s="22">
        <v>-0.53</v>
      </c>
      <c r="M5" s="22">
        <v>12.36</v>
      </c>
    </row>
    <row r="6" ht="15.6" spans="1:13">
      <c r="A6" s="17"/>
      <c r="B6" s="18"/>
      <c r="C6" s="21">
        <v>-1.71</v>
      </c>
      <c r="D6" s="22">
        <v>-0.19</v>
      </c>
      <c r="E6" s="22">
        <v>22.65</v>
      </c>
      <c r="F6" s="18"/>
      <c r="G6" s="21">
        <v>-1.11</v>
      </c>
      <c r="H6" s="22">
        <v>-0.14</v>
      </c>
      <c r="I6" s="22">
        <v>22.21</v>
      </c>
      <c r="J6" s="18"/>
      <c r="K6" s="21">
        <v>-1.89</v>
      </c>
      <c r="L6" s="22">
        <v>-0.32</v>
      </c>
      <c r="M6" s="22">
        <v>12.77</v>
      </c>
    </row>
    <row r="7" ht="15.6" spans="1:13">
      <c r="A7" s="17"/>
      <c r="B7" s="18"/>
      <c r="C7" s="19">
        <v>-2.4</v>
      </c>
      <c r="D7" s="20">
        <v>-0.24</v>
      </c>
      <c r="E7" s="20">
        <v>18.67</v>
      </c>
      <c r="F7" s="18"/>
      <c r="G7" s="19">
        <v>-0.07</v>
      </c>
      <c r="H7" s="20">
        <v>0.07</v>
      </c>
      <c r="I7" s="20">
        <v>19.34</v>
      </c>
      <c r="J7" s="18"/>
      <c r="K7" s="19">
        <v>-1.76</v>
      </c>
      <c r="L7" s="20">
        <v>-0.42</v>
      </c>
      <c r="M7" s="20">
        <v>24.65</v>
      </c>
    </row>
    <row r="8" ht="15.6" spans="1:13">
      <c r="A8" s="17"/>
      <c r="B8" s="18"/>
      <c r="C8" s="19">
        <v>-2.14</v>
      </c>
      <c r="D8" s="20">
        <v>-0.18</v>
      </c>
      <c r="E8" s="20">
        <v>18.07</v>
      </c>
      <c r="F8" s="18"/>
      <c r="G8" s="19">
        <v>-1.02</v>
      </c>
      <c r="H8" s="20">
        <v>-0.1</v>
      </c>
      <c r="I8" s="20">
        <v>17.8</v>
      </c>
      <c r="J8" s="18"/>
      <c r="K8" s="19">
        <v>-2.63</v>
      </c>
      <c r="L8" s="20">
        <v>-0.26</v>
      </c>
      <c r="M8" s="20">
        <v>12.11</v>
      </c>
    </row>
    <row r="9" ht="15.6" spans="1:13">
      <c r="A9" s="17"/>
      <c r="B9" s="18"/>
      <c r="C9" s="19">
        <v>-1.86</v>
      </c>
      <c r="D9" s="20">
        <v>-0.18</v>
      </c>
      <c r="E9" s="20">
        <v>17.08</v>
      </c>
      <c r="F9" s="18"/>
      <c r="G9" s="19">
        <v>-1.64</v>
      </c>
      <c r="H9" s="20">
        <v>-0.06</v>
      </c>
      <c r="I9" s="20">
        <v>16.85</v>
      </c>
      <c r="J9" s="18"/>
      <c r="K9" s="19">
        <v>-0.93</v>
      </c>
      <c r="L9" s="20">
        <v>-0.26</v>
      </c>
      <c r="M9" s="20">
        <v>10.84</v>
      </c>
    </row>
    <row r="10" ht="15.6" spans="1:13">
      <c r="A10" s="17"/>
      <c r="B10" s="18"/>
      <c r="C10" s="21">
        <v>-3.52</v>
      </c>
      <c r="D10" s="22">
        <v>-0.31</v>
      </c>
      <c r="E10" s="22">
        <v>13.54</v>
      </c>
      <c r="F10" s="18"/>
      <c r="G10" s="21">
        <v>-1.39</v>
      </c>
      <c r="H10" s="22">
        <v>0.0600000000000001</v>
      </c>
      <c r="I10" s="22">
        <v>15.13</v>
      </c>
      <c r="J10" s="18"/>
      <c r="K10" s="21">
        <v>-1.91</v>
      </c>
      <c r="L10" s="22">
        <v>-0.45</v>
      </c>
      <c r="M10" s="22">
        <v>12.05</v>
      </c>
    </row>
    <row r="11" ht="15.6" spans="1:13">
      <c r="A11" s="17"/>
      <c r="B11" s="18"/>
      <c r="C11" s="21">
        <v>-2.76</v>
      </c>
      <c r="D11" s="22">
        <v>-0.24</v>
      </c>
      <c r="E11" s="22">
        <v>14.58</v>
      </c>
      <c r="F11" s="18"/>
      <c r="G11" s="21">
        <v>-0.96</v>
      </c>
      <c r="H11" s="22">
        <v>0.09</v>
      </c>
      <c r="I11" s="22">
        <v>14.14</v>
      </c>
      <c r="J11" s="18"/>
      <c r="K11" s="21">
        <v>-1.48</v>
      </c>
      <c r="L11" s="22">
        <v>-0.16</v>
      </c>
      <c r="M11" s="22">
        <v>10.43</v>
      </c>
    </row>
    <row r="12" ht="15.6" spans="1:13">
      <c r="A12" s="17"/>
      <c r="B12" s="18"/>
      <c r="C12" s="21">
        <v>-3.01</v>
      </c>
      <c r="D12" s="22">
        <v>-0.36</v>
      </c>
      <c r="E12" s="22">
        <v>15.38</v>
      </c>
      <c r="F12" s="18"/>
      <c r="G12" s="21">
        <v>0.32</v>
      </c>
      <c r="H12" s="22">
        <v>0.25</v>
      </c>
      <c r="I12" s="22">
        <v>13.13</v>
      </c>
      <c r="J12" s="18"/>
      <c r="K12" s="21">
        <v>-2.04</v>
      </c>
      <c r="L12" s="22">
        <v>-0.3</v>
      </c>
      <c r="M12" s="22">
        <v>12.21</v>
      </c>
    </row>
    <row r="13" ht="15.6" spans="1:13">
      <c r="A13" s="17"/>
      <c r="B13" s="18"/>
      <c r="C13" s="19">
        <v>-2.07</v>
      </c>
      <c r="D13" s="20">
        <v>-0.34</v>
      </c>
      <c r="E13" s="20">
        <v>8.96</v>
      </c>
      <c r="F13" s="18"/>
      <c r="G13" s="19">
        <v>0.27</v>
      </c>
      <c r="H13" s="20">
        <v>-0.77</v>
      </c>
      <c r="I13" s="20">
        <v>9.3</v>
      </c>
      <c r="J13" s="18"/>
      <c r="K13" s="19">
        <v>-1.1</v>
      </c>
      <c r="L13" s="20">
        <v>-0.42</v>
      </c>
      <c r="M13" s="20">
        <v>9.49</v>
      </c>
    </row>
    <row r="14" ht="15.6" spans="1:13">
      <c r="A14" s="17"/>
      <c r="B14" s="18"/>
      <c r="C14" s="19">
        <v>-3.85</v>
      </c>
      <c r="D14" s="20">
        <v>-0.54</v>
      </c>
      <c r="E14" s="20">
        <v>8.63</v>
      </c>
      <c r="F14" s="18"/>
      <c r="G14" s="19">
        <v>-3.31</v>
      </c>
      <c r="H14" s="20">
        <v>-1.2</v>
      </c>
      <c r="I14" s="20">
        <v>9.02</v>
      </c>
      <c r="J14" s="18"/>
      <c r="K14" s="19">
        <v>-2.06</v>
      </c>
      <c r="L14" s="20">
        <v>-0.32</v>
      </c>
      <c r="M14" s="20">
        <v>12.7</v>
      </c>
    </row>
    <row r="15" ht="15.6" spans="1:13">
      <c r="A15" s="17"/>
      <c r="B15" s="18"/>
      <c r="C15" s="19">
        <v>-2.3</v>
      </c>
      <c r="D15" s="20">
        <v>-0.25</v>
      </c>
      <c r="E15" s="20">
        <v>8.79</v>
      </c>
      <c r="F15" s="18"/>
      <c r="G15" s="19">
        <v>0.15</v>
      </c>
      <c r="H15" s="20">
        <v>-0.36</v>
      </c>
      <c r="I15" s="20">
        <v>9.19</v>
      </c>
      <c r="J15" s="18"/>
      <c r="K15" s="19">
        <v>-2.31</v>
      </c>
      <c r="L15" s="20">
        <v>-0.28</v>
      </c>
      <c r="M15" s="20">
        <v>9.56</v>
      </c>
    </row>
    <row r="16" ht="15.6" spans="1:13">
      <c r="A16" s="23" t="s">
        <v>6</v>
      </c>
      <c r="B16" s="18"/>
      <c r="C16" s="21">
        <v>-0.98</v>
      </c>
      <c r="D16" s="22">
        <v>0.1</v>
      </c>
      <c r="E16" s="22">
        <v>27.59</v>
      </c>
      <c r="F16" s="18"/>
      <c r="G16" s="21">
        <v>1.33</v>
      </c>
      <c r="H16" s="22">
        <v>-0.18</v>
      </c>
      <c r="I16" s="22">
        <v>27.22</v>
      </c>
      <c r="J16" s="18"/>
      <c r="K16" s="21">
        <v>-7.03</v>
      </c>
      <c r="L16" s="22">
        <v>-1.31</v>
      </c>
      <c r="M16" s="22">
        <v>14.72</v>
      </c>
    </row>
    <row r="17" ht="15.6" spans="1:13">
      <c r="A17" s="23"/>
      <c r="B17" s="18"/>
      <c r="C17" s="21">
        <v>-0.65</v>
      </c>
      <c r="D17" s="22">
        <v>0.02</v>
      </c>
      <c r="E17" s="22">
        <v>27.31</v>
      </c>
      <c r="F17" s="18"/>
      <c r="G17" s="21">
        <v>-0.49</v>
      </c>
      <c r="H17" s="22">
        <v>-0.42</v>
      </c>
      <c r="I17" s="22">
        <v>27.65</v>
      </c>
      <c r="J17" s="18"/>
      <c r="K17" s="21">
        <v>-0.33</v>
      </c>
      <c r="L17" s="22">
        <v>0.7</v>
      </c>
      <c r="M17" s="22">
        <v>14.71</v>
      </c>
    </row>
    <row r="18" ht="15.6" spans="1:13">
      <c r="A18" s="23"/>
      <c r="B18" s="18"/>
      <c r="C18" s="21">
        <v>-1.01</v>
      </c>
      <c r="D18" s="22">
        <v>-0.08</v>
      </c>
      <c r="E18" s="22">
        <v>26.39</v>
      </c>
      <c r="F18" s="18"/>
      <c r="G18" s="21">
        <v>-1.07</v>
      </c>
      <c r="H18" s="22">
        <v>-0.73</v>
      </c>
      <c r="I18" s="22">
        <v>26.81</v>
      </c>
      <c r="J18" s="18"/>
      <c r="K18" s="21">
        <v>-1.69</v>
      </c>
      <c r="L18" s="22">
        <v>0.13</v>
      </c>
      <c r="M18" s="22">
        <v>12.29</v>
      </c>
    </row>
    <row r="19" ht="15.6" spans="1:13">
      <c r="A19" s="23"/>
      <c r="B19" s="18"/>
      <c r="C19" s="19">
        <v>-1.11</v>
      </c>
      <c r="D19" s="20">
        <v>-0.04</v>
      </c>
      <c r="E19" s="20">
        <v>20.91</v>
      </c>
      <c r="F19" s="18"/>
      <c r="G19" s="19">
        <v>-0.28</v>
      </c>
      <c r="H19" s="20">
        <v>-0.39</v>
      </c>
      <c r="I19" s="20">
        <v>24.34</v>
      </c>
      <c r="J19" s="18"/>
      <c r="K19" s="19">
        <v>1.07</v>
      </c>
      <c r="L19" s="20">
        <v>0.07</v>
      </c>
      <c r="M19" s="20">
        <v>16.1</v>
      </c>
    </row>
    <row r="20" ht="15.6" spans="1:13">
      <c r="A20" s="23"/>
      <c r="B20" s="18"/>
      <c r="C20" s="19">
        <v>-0.6</v>
      </c>
      <c r="D20" s="20">
        <v>0.09</v>
      </c>
      <c r="E20" s="20">
        <v>21.78</v>
      </c>
      <c r="F20" s="18"/>
      <c r="G20" s="19">
        <v>-0.69</v>
      </c>
      <c r="H20" s="20">
        <v>-0.59</v>
      </c>
      <c r="I20" s="20">
        <v>22.54</v>
      </c>
      <c r="J20" s="18"/>
      <c r="K20" s="19">
        <v>-1.11</v>
      </c>
      <c r="L20" s="20">
        <v>-0.04</v>
      </c>
      <c r="M20" s="20">
        <v>15.43</v>
      </c>
    </row>
    <row r="21" ht="15.6" spans="1:13">
      <c r="A21" s="23"/>
      <c r="B21" s="18"/>
      <c r="C21" s="19">
        <v>-1.39</v>
      </c>
      <c r="D21" s="20">
        <v>0</v>
      </c>
      <c r="E21" s="20">
        <v>22.55</v>
      </c>
      <c r="F21" s="18"/>
      <c r="G21" s="19">
        <v>0.9</v>
      </c>
      <c r="H21" s="20">
        <v>0.93</v>
      </c>
      <c r="I21" s="20">
        <v>8.55</v>
      </c>
      <c r="J21" s="18"/>
      <c r="K21" s="19">
        <v>-0.96</v>
      </c>
      <c r="L21" s="20">
        <v>-0.05</v>
      </c>
      <c r="M21" s="20">
        <v>11.37</v>
      </c>
    </row>
    <row r="22" ht="15.6" spans="1:13">
      <c r="A22" s="23"/>
      <c r="B22" s="18"/>
      <c r="C22" s="21">
        <v>-1.74</v>
      </c>
      <c r="D22" s="22">
        <v>-0.08</v>
      </c>
      <c r="E22" s="22">
        <v>17.96</v>
      </c>
      <c r="F22" s="18"/>
      <c r="G22" s="21">
        <v>0.05</v>
      </c>
      <c r="H22" s="22">
        <v>-0.47</v>
      </c>
      <c r="I22" s="22">
        <v>8.16</v>
      </c>
      <c r="J22" s="18"/>
      <c r="K22" s="21">
        <v>-2.91</v>
      </c>
      <c r="L22" s="22">
        <v>-0.28</v>
      </c>
      <c r="M22" s="22">
        <v>16.07</v>
      </c>
    </row>
    <row r="23" ht="15.6" spans="1:13">
      <c r="A23" s="23"/>
      <c r="B23" s="18"/>
      <c r="C23" s="21">
        <v>-1.72</v>
      </c>
      <c r="D23" s="22">
        <v>-0.03</v>
      </c>
      <c r="E23" s="22">
        <v>18.34</v>
      </c>
      <c r="F23" s="18"/>
      <c r="G23" s="21">
        <v>1.02</v>
      </c>
      <c r="H23" s="22">
        <v>-0.2</v>
      </c>
      <c r="I23" s="22">
        <v>20.66</v>
      </c>
      <c r="J23" s="18"/>
      <c r="K23" s="21">
        <v>-1.17</v>
      </c>
      <c r="L23" s="22">
        <v>-0.24</v>
      </c>
      <c r="M23" s="22">
        <v>13.18</v>
      </c>
    </row>
    <row r="24" ht="15.6" spans="1:13">
      <c r="A24" s="23"/>
      <c r="B24" s="18"/>
      <c r="C24" s="21">
        <v>-1.19</v>
      </c>
      <c r="D24" s="22">
        <v>0.02</v>
      </c>
      <c r="E24" s="22">
        <v>19.75</v>
      </c>
      <c r="F24" s="18"/>
      <c r="G24" s="21">
        <v>-0.34</v>
      </c>
      <c r="H24" s="22">
        <v>-0.82</v>
      </c>
      <c r="I24" s="22">
        <v>8.88</v>
      </c>
      <c r="J24" s="18"/>
      <c r="K24" s="21">
        <v>-2.37</v>
      </c>
      <c r="L24" s="22">
        <v>-0.28</v>
      </c>
      <c r="M24" s="22">
        <v>11.99</v>
      </c>
    </row>
    <row r="25" ht="15.6" spans="1:13">
      <c r="A25" s="23"/>
      <c r="B25" s="18"/>
      <c r="C25" s="19">
        <v>-2.53</v>
      </c>
      <c r="D25" s="20">
        <v>-0.06</v>
      </c>
      <c r="E25" s="20">
        <v>13.29</v>
      </c>
      <c r="F25" s="18"/>
      <c r="G25" s="19">
        <v>-2.1</v>
      </c>
      <c r="H25" s="20">
        <v>-0.7</v>
      </c>
      <c r="I25" s="20">
        <v>19.48</v>
      </c>
      <c r="J25" s="18"/>
      <c r="K25" s="19">
        <v>-6.78</v>
      </c>
      <c r="L25" s="20">
        <v>-0.78</v>
      </c>
      <c r="M25" s="20">
        <v>11.79</v>
      </c>
    </row>
    <row r="26" ht="15.6" spans="1:13">
      <c r="A26" s="23"/>
      <c r="B26" s="18"/>
      <c r="C26" s="19">
        <v>-1.47</v>
      </c>
      <c r="D26" s="20">
        <v>0.04</v>
      </c>
      <c r="E26" s="20">
        <v>14.92</v>
      </c>
      <c r="F26" s="18"/>
      <c r="G26" s="19">
        <v>-2.5</v>
      </c>
      <c r="H26" s="20">
        <v>-0.73</v>
      </c>
      <c r="I26" s="20">
        <v>13.48</v>
      </c>
      <c r="J26" s="18"/>
      <c r="K26" s="19">
        <v>-1.59</v>
      </c>
      <c r="L26" s="20">
        <v>-0.22</v>
      </c>
      <c r="M26" s="20">
        <v>15.49</v>
      </c>
    </row>
    <row r="27" ht="15.6" spans="1:13">
      <c r="A27" s="23"/>
      <c r="B27" s="18"/>
      <c r="C27" s="19">
        <v>-2.42</v>
      </c>
      <c r="D27" s="20">
        <v>-0.08</v>
      </c>
      <c r="E27" s="20">
        <v>13.57</v>
      </c>
      <c r="F27" s="18"/>
      <c r="G27" s="19">
        <v>-1.99</v>
      </c>
      <c r="H27" s="20">
        <v>-0.69</v>
      </c>
      <c r="I27" s="20">
        <v>12.45</v>
      </c>
      <c r="J27" s="18"/>
      <c r="K27" s="19">
        <v>-0.8</v>
      </c>
      <c r="L27" s="20">
        <v>-0.12</v>
      </c>
      <c r="M27" s="20">
        <v>13.02</v>
      </c>
    </row>
    <row r="28" ht="15.6" spans="1:13">
      <c r="A28" s="23"/>
      <c r="B28" s="18"/>
      <c r="C28" s="21">
        <v>-3.1</v>
      </c>
      <c r="D28" s="22">
        <v>-0.21</v>
      </c>
      <c r="E28" s="22">
        <v>9.62</v>
      </c>
      <c r="F28" s="18"/>
      <c r="G28" s="21">
        <v>-2.37</v>
      </c>
      <c r="H28" s="22">
        <v>-0.68</v>
      </c>
      <c r="I28" s="22">
        <v>11.45</v>
      </c>
      <c r="J28" s="18"/>
      <c r="K28" s="21">
        <v>-2.59</v>
      </c>
      <c r="L28" s="22">
        <v>-0.35</v>
      </c>
      <c r="M28" s="22">
        <v>16.86</v>
      </c>
    </row>
    <row r="29" ht="15.6" spans="1:13">
      <c r="A29" s="23"/>
      <c r="B29" s="18"/>
      <c r="C29" s="21">
        <v>-0.86</v>
      </c>
      <c r="D29" s="22">
        <v>-0.03</v>
      </c>
      <c r="E29" s="22">
        <v>10.45</v>
      </c>
      <c r="F29" s="18"/>
      <c r="G29" s="21">
        <v>-3.05</v>
      </c>
      <c r="H29" s="22">
        <v>-0.78</v>
      </c>
      <c r="I29" s="22">
        <v>11.39</v>
      </c>
      <c r="J29" s="18"/>
      <c r="K29" s="21">
        <v>-2.69</v>
      </c>
      <c r="L29" s="22">
        <v>-0.21</v>
      </c>
      <c r="M29" s="22">
        <v>16.51</v>
      </c>
    </row>
    <row r="30" ht="15.6" spans="1:13">
      <c r="A30" s="23"/>
      <c r="B30" s="18"/>
      <c r="C30" s="21">
        <v>-1.48</v>
      </c>
      <c r="D30" s="22">
        <v>-0.02</v>
      </c>
      <c r="E30" s="22">
        <v>10.03</v>
      </c>
      <c r="F30" s="18"/>
      <c r="G30" s="21">
        <v>-3.08</v>
      </c>
      <c r="H30" s="22">
        <v>-0.94</v>
      </c>
      <c r="I30" s="22">
        <v>8.45</v>
      </c>
      <c r="J30" s="18"/>
      <c r="K30" s="21">
        <v>-2.08</v>
      </c>
      <c r="L30" s="22">
        <v>-0.3</v>
      </c>
      <c r="M30" s="22">
        <v>13.71</v>
      </c>
    </row>
    <row r="31" ht="15.6" spans="1:13">
      <c r="A31" s="24" t="s">
        <v>7</v>
      </c>
      <c r="B31" s="18"/>
      <c r="C31" s="19">
        <v>-3.91</v>
      </c>
      <c r="D31" s="20">
        <v>-0.16</v>
      </c>
      <c r="E31" s="20">
        <v>26.62</v>
      </c>
      <c r="F31" s="18"/>
      <c r="G31" s="19">
        <v>-2.47</v>
      </c>
      <c r="H31" s="20">
        <v>-0.75</v>
      </c>
      <c r="I31" s="20">
        <v>29.27</v>
      </c>
      <c r="J31" s="18"/>
      <c r="K31" s="19">
        <v>-5.27</v>
      </c>
      <c r="L31" s="20">
        <v>1.09</v>
      </c>
      <c r="M31" s="20">
        <v>17.08</v>
      </c>
    </row>
    <row r="32" ht="15.6" spans="1:13">
      <c r="A32" s="24"/>
      <c r="B32" s="18"/>
      <c r="C32" s="19">
        <v>-3.52</v>
      </c>
      <c r="D32" s="20">
        <v>-0.12</v>
      </c>
      <c r="E32" s="20">
        <v>26.91</v>
      </c>
      <c r="F32" s="18"/>
      <c r="G32" s="19">
        <v>-1.93</v>
      </c>
      <c r="H32" s="20">
        <v>-0.67</v>
      </c>
      <c r="I32" s="20">
        <v>31.78</v>
      </c>
      <c r="J32" s="18"/>
      <c r="K32" s="19">
        <v>-4.88</v>
      </c>
      <c r="L32" s="20">
        <v>-0.42</v>
      </c>
      <c r="M32" s="20">
        <v>14.13</v>
      </c>
    </row>
    <row r="33" ht="15.6" spans="1:13">
      <c r="A33" s="24"/>
      <c r="B33" s="18"/>
      <c r="C33" s="19">
        <v>-2.02</v>
      </c>
      <c r="D33" s="20">
        <v>-0.02</v>
      </c>
      <c r="E33" s="20">
        <v>27.01</v>
      </c>
      <c r="F33" s="18"/>
      <c r="G33" s="19">
        <v>-1.26</v>
      </c>
      <c r="H33" s="20">
        <v>-0.47</v>
      </c>
      <c r="I33" s="20">
        <v>33.48</v>
      </c>
      <c r="J33" s="18"/>
      <c r="K33" s="19">
        <v>-0.96</v>
      </c>
      <c r="L33" s="20">
        <v>0.15</v>
      </c>
      <c r="M33" s="20">
        <v>13.15</v>
      </c>
    </row>
    <row r="34" ht="15.6" spans="1:13">
      <c r="A34" s="24"/>
      <c r="B34" s="18"/>
      <c r="C34" s="21">
        <v>-3.75</v>
      </c>
      <c r="D34" s="22">
        <v>-0.14</v>
      </c>
      <c r="E34" s="22">
        <v>22.33</v>
      </c>
      <c r="F34" s="18"/>
      <c r="G34" s="21">
        <v>-2.27</v>
      </c>
      <c r="H34" s="22">
        <v>-0.73</v>
      </c>
      <c r="I34" s="22">
        <v>26.05</v>
      </c>
      <c r="J34" s="18"/>
      <c r="K34" s="21">
        <v>-3.49</v>
      </c>
      <c r="L34" s="22">
        <v>-0.15</v>
      </c>
      <c r="M34" s="22">
        <v>15.22</v>
      </c>
    </row>
    <row r="35" ht="15.6" spans="1:13">
      <c r="A35" s="24"/>
      <c r="B35" s="18"/>
      <c r="C35" s="21">
        <v>-4.47</v>
      </c>
      <c r="D35" s="22">
        <v>-0.25</v>
      </c>
      <c r="E35" s="22">
        <v>22.44</v>
      </c>
      <c r="F35" s="18"/>
      <c r="G35" s="21">
        <v>-2.68</v>
      </c>
      <c r="H35" s="22">
        <v>-0.78</v>
      </c>
      <c r="I35" s="22">
        <v>27.23</v>
      </c>
      <c r="J35" s="18"/>
      <c r="K35" s="21">
        <v>-4.61</v>
      </c>
      <c r="L35" s="22">
        <v>0.26</v>
      </c>
      <c r="M35" s="22">
        <v>10.26</v>
      </c>
    </row>
    <row r="36" ht="15.6" spans="1:13">
      <c r="A36" s="24"/>
      <c r="B36" s="18"/>
      <c r="C36" s="21">
        <v>-2.55</v>
      </c>
      <c r="D36" s="22">
        <v>-0.08</v>
      </c>
      <c r="E36" s="22">
        <v>21.1</v>
      </c>
      <c r="F36" s="18"/>
      <c r="G36" s="21">
        <v>-2.65</v>
      </c>
      <c r="H36" s="22">
        <v>-0.9</v>
      </c>
      <c r="I36" s="22">
        <v>23.1</v>
      </c>
      <c r="J36" s="18"/>
      <c r="K36" s="21">
        <v>-5.34</v>
      </c>
      <c r="L36" s="22">
        <v>-0.52</v>
      </c>
      <c r="M36" s="22">
        <v>13.35</v>
      </c>
    </row>
    <row r="37" ht="15.6" spans="1:13">
      <c r="A37" s="24"/>
      <c r="B37" s="18"/>
      <c r="C37" s="19">
        <v>-4.01</v>
      </c>
      <c r="D37" s="20">
        <v>-0.23</v>
      </c>
      <c r="E37" s="20">
        <v>17.37</v>
      </c>
      <c r="F37" s="18"/>
      <c r="G37" s="19">
        <v>-5.56</v>
      </c>
      <c r="H37" s="20">
        <v>-1.27</v>
      </c>
      <c r="I37" s="20">
        <v>18.14</v>
      </c>
      <c r="J37" s="18"/>
      <c r="K37" s="19">
        <v>-4.98</v>
      </c>
      <c r="L37" s="20">
        <v>-0.38</v>
      </c>
      <c r="M37" s="20">
        <v>11.63</v>
      </c>
    </row>
    <row r="38" ht="15.6" spans="1:13">
      <c r="A38" s="24"/>
      <c r="B38" s="18"/>
      <c r="C38" s="19">
        <v>-4.07</v>
      </c>
      <c r="D38" s="20">
        <v>-0.2</v>
      </c>
      <c r="E38" s="20">
        <v>19.7</v>
      </c>
      <c r="F38" s="18"/>
      <c r="G38" s="19">
        <v>0.68</v>
      </c>
      <c r="H38" s="20">
        <v>-0.21</v>
      </c>
      <c r="I38" s="20">
        <v>20.06</v>
      </c>
      <c r="J38" s="18"/>
      <c r="K38" s="19">
        <v>-11.04</v>
      </c>
      <c r="L38" s="20">
        <v>-1.93</v>
      </c>
      <c r="M38" s="20">
        <v>11.11</v>
      </c>
    </row>
    <row r="39" ht="15.6" spans="1:13">
      <c r="A39" s="24"/>
      <c r="B39" s="18"/>
      <c r="C39" s="19">
        <v>-4.76</v>
      </c>
      <c r="D39" s="20">
        <v>-0.3</v>
      </c>
      <c r="E39" s="20">
        <v>17.25</v>
      </c>
      <c r="F39" s="18"/>
      <c r="G39" s="19">
        <v>0.94</v>
      </c>
      <c r="H39" s="20">
        <v>-0.16</v>
      </c>
      <c r="I39" s="20">
        <v>20.88</v>
      </c>
      <c r="J39" s="18"/>
      <c r="K39" s="19">
        <v>-7.66</v>
      </c>
      <c r="L39" s="20">
        <v>-0.88</v>
      </c>
      <c r="M39" s="20">
        <v>11.73</v>
      </c>
    </row>
    <row r="40" ht="15.6" spans="1:13">
      <c r="A40" s="24"/>
      <c r="B40" s="18"/>
      <c r="C40" s="21">
        <v>-3.38</v>
      </c>
      <c r="D40" s="22">
        <v>-0.01</v>
      </c>
      <c r="E40" s="22">
        <v>19.61</v>
      </c>
      <c r="F40" s="18"/>
      <c r="G40" s="21">
        <v>-5.41</v>
      </c>
      <c r="H40" s="22">
        <v>-1.37</v>
      </c>
      <c r="I40" s="22">
        <v>13.58</v>
      </c>
      <c r="J40" s="18"/>
      <c r="K40" s="21">
        <v>-3.14</v>
      </c>
      <c r="L40" s="22">
        <v>-0.45</v>
      </c>
      <c r="M40" s="22">
        <v>11.37</v>
      </c>
    </row>
    <row r="41" ht="15.6" spans="1:13">
      <c r="A41" s="24"/>
      <c r="B41" s="18"/>
      <c r="C41" s="21">
        <v>-2.83</v>
      </c>
      <c r="D41" s="22">
        <v>-0.25</v>
      </c>
      <c r="E41" s="22">
        <v>13.61</v>
      </c>
      <c r="F41" s="18"/>
      <c r="G41" s="21">
        <v>-5.04</v>
      </c>
      <c r="H41" s="22">
        <v>-1.44</v>
      </c>
      <c r="I41" s="22">
        <v>15.19</v>
      </c>
      <c r="J41" s="18"/>
      <c r="K41" s="21">
        <v>-3.81</v>
      </c>
      <c r="L41" s="22">
        <v>-0.49</v>
      </c>
      <c r="M41" s="22">
        <v>8.6</v>
      </c>
    </row>
    <row r="42" ht="15.6" spans="1:13">
      <c r="A42" s="24"/>
      <c r="B42" s="18"/>
      <c r="C42" s="21">
        <v>-3.24</v>
      </c>
      <c r="D42" s="22">
        <v>-0.36</v>
      </c>
      <c r="E42" s="22">
        <v>14.64</v>
      </c>
      <c r="F42" s="18"/>
      <c r="G42" s="21">
        <v>-1.85</v>
      </c>
      <c r="H42" s="22">
        <v>0.17</v>
      </c>
      <c r="I42" s="22">
        <v>15.65</v>
      </c>
      <c r="J42" s="18"/>
      <c r="K42" s="21">
        <v>-4.64</v>
      </c>
      <c r="L42" s="22">
        <v>-0.47</v>
      </c>
      <c r="M42" s="22">
        <v>11.98</v>
      </c>
    </row>
    <row r="43" ht="15.6" spans="1:13">
      <c r="A43" s="24"/>
      <c r="B43" s="18"/>
      <c r="C43" s="19">
        <v>-5.68</v>
      </c>
      <c r="D43" s="20">
        <v>-0.37</v>
      </c>
      <c r="E43" s="20">
        <v>10.46</v>
      </c>
      <c r="F43" s="18"/>
      <c r="G43" s="19">
        <v>-4.98</v>
      </c>
      <c r="H43" s="20">
        <v>-1.41</v>
      </c>
      <c r="I43" s="20">
        <v>11.1</v>
      </c>
      <c r="J43" s="18"/>
      <c r="K43" s="19">
        <v>-7.19</v>
      </c>
      <c r="L43" s="20">
        <v>-0.73</v>
      </c>
      <c r="M43" s="20">
        <v>10.43</v>
      </c>
    </row>
    <row r="44" ht="15.6" spans="1:13">
      <c r="A44" s="24"/>
      <c r="B44" s="18"/>
      <c r="C44" s="19">
        <v>-6.13</v>
      </c>
      <c r="D44" s="20">
        <v>-0.29</v>
      </c>
      <c r="E44" s="20">
        <v>10.09</v>
      </c>
      <c r="F44" s="18"/>
      <c r="G44" s="19">
        <v>-3.76</v>
      </c>
      <c r="H44" s="20">
        <v>-1.22</v>
      </c>
      <c r="I44" s="20">
        <v>11.35</v>
      </c>
      <c r="J44" s="18"/>
      <c r="K44" s="19">
        <v>-8.83</v>
      </c>
      <c r="L44" s="20">
        <v>-0.96</v>
      </c>
      <c r="M44" s="20">
        <v>10.86</v>
      </c>
    </row>
    <row r="45" ht="15.6" spans="1:13">
      <c r="A45" s="24"/>
      <c r="B45" s="18"/>
      <c r="C45" s="19">
        <v>-3.88</v>
      </c>
      <c r="D45" s="20">
        <v>-0.2</v>
      </c>
      <c r="E45" s="20">
        <v>10.27</v>
      </c>
      <c r="F45" s="18"/>
      <c r="G45" s="19">
        <v>-1.38</v>
      </c>
      <c r="H45" s="20">
        <v>-0.16</v>
      </c>
      <c r="I45" s="20">
        <v>11.08</v>
      </c>
      <c r="J45" s="18"/>
      <c r="K45" s="19">
        <v>-10.19</v>
      </c>
      <c r="L45" s="20">
        <v>-1.39</v>
      </c>
      <c r="M45" s="20">
        <v>10.62</v>
      </c>
    </row>
  </sheetData>
  <mergeCells count="6">
    <mergeCell ref="A1:A15"/>
    <mergeCell ref="A16:A30"/>
    <mergeCell ref="A31:A45"/>
    <mergeCell ref="B1:B45"/>
    <mergeCell ref="F1:F45"/>
    <mergeCell ref="J1:J4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workbookViewId="0">
      <selection activeCell="P99" sqref="P99"/>
    </sheetView>
  </sheetViews>
  <sheetFormatPr defaultColWidth="9" defaultRowHeight="14.4"/>
  <sheetData>
    <row r="1" ht="15.6" spans="1:15">
      <c r="A1" s="12" t="s">
        <v>8</v>
      </c>
      <c r="B1" s="13">
        <v>22</v>
      </c>
      <c r="C1" s="7">
        <v>23.2</v>
      </c>
      <c r="D1" s="7">
        <v>33.6</v>
      </c>
      <c r="E1" s="14">
        <v>1</v>
      </c>
      <c r="F1" s="4">
        <v>-51.9918</v>
      </c>
      <c r="G1" s="4">
        <v>-5.8752</v>
      </c>
      <c r="H1" s="4">
        <v>-45.1282</v>
      </c>
      <c r="I1" s="4">
        <v>-5.12309</v>
      </c>
      <c r="J1" s="4">
        <v>-63.4717733333333</v>
      </c>
      <c r="K1" s="4">
        <v>-8.24382333333333</v>
      </c>
      <c r="L1" s="5">
        <f t="shared" ref="L1:L20" si="0">-0.223-15.034*B1/100+13.61*B1/100*C1/100</f>
        <v>-2.8358256</v>
      </c>
      <c r="M1" s="5">
        <f t="shared" ref="M1:M20" si="1">-0.291-4.084*B1/100+15.489*B1/100*C1/100</f>
        <v>-0.39892144</v>
      </c>
      <c r="N1" s="5">
        <f t="shared" ref="N1:N20" si="2">-0.223-15.034*B1/100+13.61*B1/100*D1/100</f>
        <v>-2.5244288</v>
      </c>
      <c r="O1" s="5">
        <f t="shared" ref="O1:O20" si="3">-0.291-4.084*B1/100+15.489*B1/100*D1/100</f>
        <v>-0.0445331199999999</v>
      </c>
    </row>
    <row r="2" ht="15.6" spans="1:15">
      <c r="A2" s="12"/>
      <c r="B2" s="13">
        <v>22</v>
      </c>
      <c r="C2" s="7">
        <v>26.16</v>
      </c>
      <c r="D2" s="7">
        <v>34.22</v>
      </c>
      <c r="E2" s="14">
        <v>2</v>
      </c>
      <c r="F2" s="4">
        <v>-52.55732</v>
      </c>
      <c r="G2" s="4">
        <v>-6.06664</v>
      </c>
      <c r="H2" s="4">
        <v>-36.6125</v>
      </c>
      <c r="I2" s="4">
        <v>-2.60729</v>
      </c>
      <c r="J2" s="4">
        <v>-58.9196666666667</v>
      </c>
      <c r="K2" s="4">
        <v>-7.04477666666667</v>
      </c>
      <c r="L2" s="5">
        <f t="shared" si="0"/>
        <v>-2.74719728</v>
      </c>
      <c r="M2" s="5">
        <f t="shared" si="1"/>
        <v>-0.298057072</v>
      </c>
      <c r="N2" s="5">
        <f t="shared" si="2"/>
        <v>-2.50586476</v>
      </c>
      <c r="O2" s="5">
        <f t="shared" si="3"/>
        <v>-0.0234061239999999</v>
      </c>
    </row>
    <row r="3" ht="15.6" spans="1:15">
      <c r="A3" s="12"/>
      <c r="B3" s="13">
        <v>22</v>
      </c>
      <c r="C3" s="7">
        <v>27.81</v>
      </c>
      <c r="D3" s="7">
        <v>34.36</v>
      </c>
      <c r="E3" s="14">
        <v>3</v>
      </c>
      <c r="F3" s="4">
        <v>-47.61967</v>
      </c>
      <c r="G3" s="4">
        <v>-5.915</v>
      </c>
      <c r="H3" s="4">
        <v>-30.9365</v>
      </c>
      <c r="I3" s="4">
        <v>-2.49208</v>
      </c>
      <c r="J3" s="4">
        <v>-57.9991666666667</v>
      </c>
      <c r="K3" s="4">
        <v>-7.28772</v>
      </c>
      <c r="L3" s="5">
        <f t="shared" si="0"/>
        <v>-2.69779298</v>
      </c>
      <c r="M3" s="5">
        <f t="shared" si="1"/>
        <v>-0.241832002</v>
      </c>
      <c r="N3" s="5">
        <f t="shared" si="2"/>
        <v>-2.50167288</v>
      </c>
      <c r="O3" s="5">
        <f t="shared" si="3"/>
        <v>-0.0186355119999999</v>
      </c>
    </row>
    <row r="4" ht="15.6" spans="1:15">
      <c r="A4" s="12"/>
      <c r="B4" s="13">
        <v>22</v>
      </c>
      <c r="C4" s="7">
        <v>27.68</v>
      </c>
      <c r="D4" s="7">
        <v>34.6</v>
      </c>
      <c r="E4" s="14">
        <v>4</v>
      </c>
      <c r="F4" s="4">
        <v>-51.11708</v>
      </c>
      <c r="G4" s="4">
        <v>-6.09817</v>
      </c>
      <c r="H4" s="4">
        <v>-38.0004</v>
      </c>
      <c r="I4" s="4">
        <v>-4.74027</v>
      </c>
      <c r="J4" s="4">
        <v>-61.2847333333333</v>
      </c>
      <c r="K4" s="4">
        <v>-7.69623666666667</v>
      </c>
      <c r="L4" s="5">
        <f t="shared" si="0"/>
        <v>-2.70168544</v>
      </c>
      <c r="M4" s="5">
        <f t="shared" si="1"/>
        <v>-0.246261856</v>
      </c>
      <c r="N4" s="5">
        <f t="shared" si="2"/>
        <v>-2.4944868</v>
      </c>
      <c r="O4" s="5">
        <f t="shared" si="3"/>
        <v>-0.0104573199999998</v>
      </c>
    </row>
    <row r="5" ht="15.6" spans="1:15">
      <c r="A5" s="12"/>
      <c r="B5" s="13">
        <v>22</v>
      </c>
      <c r="C5" s="7">
        <v>28.98</v>
      </c>
      <c r="D5" s="7">
        <v>35.28</v>
      </c>
      <c r="E5" s="14">
        <v>5</v>
      </c>
      <c r="F5" s="4">
        <v>-50.32776</v>
      </c>
      <c r="G5" s="4">
        <v>-6.14029</v>
      </c>
      <c r="H5" s="4">
        <v>-42.93362</v>
      </c>
      <c r="I5" s="4">
        <v>-5.05483</v>
      </c>
      <c r="J5" s="4">
        <v>-58.5633766666667</v>
      </c>
      <c r="K5" s="4">
        <v>-7.38653</v>
      </c>
      <c r="L5" s="5">
        <f t="shared" si="0"/>
        <v>-2.66276084</v>
      </c>
      <c r="M5" s="5">
        <f t="shared" si="1"/>
        <v>-0.201963316</v>
      </c>
      <c r="N5" s="5">
        <f t="shared" si="2"/>
        <v>-2.47412624</v>
      </c>
      <c r="O5" s="5">
        <f t="shared" si="3"/>
        <v>0.0127142240000002</v>
      </c>
    </row>
    <row r="6" ht="15.6" spans="1:15">
      <c r="A6" s="12"/>
      <c r="B6" s="13">
        <v>22</v>
      </c>
      <c r="C6" s="7">
        <v>29.65</v>
      </c>
      <c r="D6" s="7">
        <v>35.54</v>
      </c>
      <c r="E6" s="14">
        <v>6</v>
      </c>
      <c r="F6" s="4">
        <v>-54.039</v>
      </c>
      <c r="G6" s="4">
        <v>-7.08</v>
      </c>
      <c r="H6" s="4">
        <v>-69.32542</v>
      </c>
      <c r="I6" s="4">
        <v>-8.96283</v>
      </c>
      <c r="J6" s="4">
        <v>-56.88525</v>
      </c>
      <c r="K6" s="4">
        <v>-6.79002666666667</v>
      </c>
      <c r="L6" s="5">
        <f t="shared" si="0"/>
        <v>-2.6426997</v>
      </c>
      <c r="M6" s="5">
        <f t="shared" si="1"/>
        <v>-0.17913253</v>
      </c>
      <c r="N6" s="5">
        <f t="shared" si="2"/>
        <v>-2.46634132</v>
      </c>
      <c r="O6" s="5">
        <f t="shared" si="3"/>
        <v>0.0215739320000001</v>
      </c>
    </row>
    <row r="7" ht="15.6" spans="1:15">
      <c r="A7" s="12"/>
      <c r="B7" s="13">
        <v>22</v>
      </c>
      <c r="C7" s="7">
        <v>24.31</v>
      </c>
      <c r="D7" s="7">
        <v>34.08</v>
      </c>
      <c r="E7" s="14">
        <v>7</v>
      </c>
      <c r="F7" s="4">
        <v>-51.96221</v>
      </c>
      <c r="G7" s="4">
        <v>-6.29646</v>
      </c>
      <c r="H7" s="4">
        <v>-51.95896</v>
      </c>
      <c r="I7" s="4">
        <v>-6.78297</v>
      </c>
      <c r="J7" s="4">
        <v>-59.5890233333333</v>
      </c>
      <c r="K7" s="4">
        <v>-7.67950666666667</v>
      </c>
      <c r="L7" s="5">
        <f t="shared" si="0"/>
        <v>-2.80258998</v>
      </c>
      <c r="M7" s="5">
        <f t="shared" si="1"/>
        <v>-0.361097302</v>
      </c>
      <c r="N7" s="5">
        <f t="shared" si="2"/>
        <v>-2.51005664</v>
      </c>
      <c r="O7" s="5">
        <f t="shared" si="3"/>
        <v>-0.0281767359999998</v>
      </c>
    </row>
    <row r="8" ht="15.6" spans="1:15">
      <c r="A8" s="12"/>
      <c r="B8" s="13">
        <v>22</v>
      </c>
      <c r="C8" s="7">
        <v>25.5</v>
      </c>
      <c r="D8" s="7">
        <v>34.16</v>
      </c>
      <c r="E8" s="14">
        <v>8</v>
      </c>
      <c r="F8" s="4">
        <v>-53.303</v>
      </c>
      <c r="G8" s="4">
        <v>-6.70833</v>
      </c>
      <c r="H8" s="4">
        <v>-31.52275</v>
      </c>
      <c r="I8" s="4">
        <v>-2.40225</v>
      </c>
      <c r="J8" s="4">
        <v>-55.6579166666667</v>
      </c>
      <c r="K8" s="4">
        <v>-6.57630666666667</v>
      </c>
      <c r="L8" s="5">
        <f t="shared" si="0"/>
        <v>-2.766959</v>
      </c>
      <c r="M8" s="5">
        <f t="shared" si="1"/>
        <v>-0.3205471</v>
      </c>
      <c r="N8" s="5">
        <f t="shared" si="2"/>
        <v>-2.50766128</v>
      </c>
      <c r="O8" s="5">
        <f t="shared" si="3"/>
        <v>-0.0254506719999998</v>
      </c>
    </row>
    <row r="9" ht="15.6" spans="1:15">
      <c r="A9" s="12"/>
      <c r="B9" s="13">
        <v>22</v>
      </c>
      <c r="C9" s="7">
        <v>25.71</v>
      </c>
      <c r="D9" s="7">
        <v>33.18</v>
      </c>
      <c r="E9" s="14">
        <v>9</v>
      </c>
      <c r="F9" s="4">
        <v>-55.97567</v>
      </c>
      <c r="G9" s="4">
        <v>-6.888</v>
      </c>
      <c r="H9" s="4">
        <v>-28.24458</v>
      </c>
      <c r="I9" s="4">
        <v>-2.48133</v>
      </c>
      <c r="J9" s="4">
        <v>-60.09628</v>
      </c>
      <c r="K9" s="4">
        <v>-7.4035</v>
      </c>
      <c r="L9" s="5">
        <f t="shared" si="0"/>
        <v>-2.76067118</v>
      </c>
      <c r="M9" s="5">
        <f t="shared" si="1"/>
        <v>-0.313391182</v>
      </c>
      <c r="N9" s="5">
        <f t="shared" si="2"/>
        <v>-2.53700444</v>
      </c>
      <c r="O9" s="5">
        <f t="shared" si="3"/>
        <v>-0.0588449559999997</v>
      </c>
    </row>
    <row r="10" ht="15.6" spans="1:15">
      <c r="A10" s="12"/>
      <c r="B10" s="13">
        <v>22</v>
      </c>
      <c r="C10" s="7">
        <v>25.83</v>
      </c>
      <c r="D10" s="7">
        <v>32.66</v>
      </c>
      <c r="E10" s="14">
        <v>10</v>
      </c>
      <c r="F10" s="4">
        <v>-55.24033</v>
      </c>
      <c r="G10" s="4">
        <v>-6.82567</v>
      </c>
      <c r="H10" s="4">
        <v>-22.77679</v>
      </c>
      <c r="I10" s="4">
        <v>-1.92329</v>
      </c>
      <c r="J10" s="4">
        <v>-59.1721633333333</v>
      </c>
      <c r="K10" s="4">
        <v>-7.08057666666667</v>
      </c>
      <c r="L10" s="5">
        <f t="shared" si="0"/>
        <v>-2.75707814</v>
      </c>
      <c r="M10" s="5">
        <f t="shared" si="1"/>
        <v>-0.309302086</v>
      </c>
      <c r="N10" s="5">
        <f t="shared" si="2"/>
        <v>-2.55257428</v>
      </c>
      <c r="O10" s="5">
        <f t="shared" si="3"/>
        <v>-0.076564372</v>
      </c>
    </row>
    <row r="11" ht="15.6" spans="1:15">
      <c r="A11" s="12"/>
      <c r="B11" s="13">
        <v>22</v>
      </c>
      <c r="C11" s="7">
        <v>24.24</v>
      </c>
      <c r="D11" s="7">
        <v>33.26</v>
      </c>
      <c r="E11" s="14">
        <v>11</v>
      </c>
      <c r="F11" s="4">
        <v>-50.98621</v>
      </c>
      <c r="G11" s="4">
        <v>-6.99164</v>
      </c>
      <c r="H11" s="4">
        <v>-34.55895</v>
      </c>
      <c r="I11" s="4">
        <v>-5.62656</v>
      </c>
      <c r="J11" s="4">
        <v>-59.3455466666667</v>
      </c>
      <c r="K11" s="4">
        <v>-7.99494333333333</v>
      </c>
      <c r="L11" s="5">
        <f t="shared" si="0"/>
        <v>-2.80468592</v>
      </c>
      <c r="M11" s="5">
        <f t="shared" si="1"/>
        <v>-0.363482608</v>
      </c>
      <c r="N11" s="5">
        <f t="shared" si="2"/>
        <v>-2.53460908</v>
      </c>
      <c r="O11" s="5">
        <f t="shared" si="3"/>
        <v>-0.056118892</v>
      </c>
    </row>
    <row r="12" ht="15.6" spans="1:15">
      <c r="A12" s="12"/>
      <c r="B12" s="13">
        <v>22</v>
      </c>
      <c r="C12" s="7">
        <v>24.47</v>
      </c>
      <c r="D12" s="7">
        <v>33.54</v>
      </c>
      <c r="E12" s="14">
        <v>12</v>
      </c>
      <c r="F12" s="4">
        <v>-51.07253</v>
      </c>
      <c r="G12" s="4">
        <v>-6.79143</v>
      </c>
      <c r="H12" s="4">
        <v>-36.05714</v>
      </c>
      <c r="I12" s="4">
        <v>-5.8007</v>
      </c>
      <c r="J12" s="4">
        <v>-58.52995</v>
      </c>
      <c r="K12" s="4">
        <v>-7.81054333333333</v>
      </c>
      <c r="L12" s="5">
        <f t="shared" si="0"/>
        <v>-2.79779926</v>
      </c>
      <c r="M12" s="5">
        <f t="shared" si="1"/>
        <v>-0.355645174</v>
      </c>
      <c r="N12" s="5">
        <f t="shared" si="2"/>
        <v>-2.52622532</v>
      </c>
      <c r="O12" s="5">
        <f t="shared" si="3"/>
        <v>-0.0465776679999998</v>
      </c>
    </row>
    <row r="13" ht="15.6" spans="1:15">
      <c r="A13" s="12"/>
      <c r="B13" s="13">
        <v>22</v>
      </c>
      <c r="C13" s="7">
        <v>24.74</v>
      </c>
      <c r="D13" s="7">
        <v>33.78</v>
      </c>
      <c r="E13" s="14">
        <v>13</v>
      </c>
      <c r="F13" s="4">
        <v>-46.28517</v>
      </c>
      <c r="G13" s="4">
        <v>-6.30492</v>
      </c>
      <c r="H13" s="4">
        <v>-34.43998</v>
      </c>
      <c r="I13" s="4">
        <v>-5.44198</v>
      </c>
      <c r="J13" s="4">
        <v>-58.5779033333333</v>
      </c>
      <c r="K13" s="4">
        <v>-7.68625</v>
      </c>
      <c r="L13" s="5">
        <f t="shared" si="0"/>
        <v>-2.78971492</v>
      </c>
      <c r="M13" s="5">
        <f t="shared" si="1"/>
        <v>-0.346444708</v>
      </c>
      <c r="N13" s="5">
        <f t="shared" si="2"/>
        <v>-2.51903924</v>
      </c>
      <c r="O13" s="5">
        <f t="shared" si="3"/>
        <v>-0.0383994759999997</v>
      </c>
    </row>
    <row r="14" ht="15.6" spans="1:15">
      <c r="A14" s="12"/>
      <c r="B14" s="13">
        <v>22</v>
      </c>
      <c r="C14" s="7">
        <v>24.8</v>
      </c>
      <c r="D14" s="7">
        <v>34.24</v>
      </c>
      <c r="E14" s="14">
        <v>14</v>
      </c>
      <c r="F14" s="4">
        <v>-44.031</v>
      </c>
      <c r="G14" s="4">
        <v>-6.25367</v>
      </c>
      <c r="H14" s="4">
        <v>-21.18375</v>
      </c>
      <c r="I14" s="4">
        <v>-2.83625</v>
      </c>
      <c r="J14" s="4">
        <v>-56.2490833333333</v>
      </c>
      <c r="K14" s="4">
        <v>-6.57802666666667</v>
      </c>
      <c r="L14" s="5">
        <f t="shared" si="0"/>
        <v>-2.7879184</v>
      </c>
      <c r="M14" s="5">
        <f t="shared" si="1"/>
        <v>-0.34440016</v>
      </c>
      <c r="N14" s="5">
        <f t="shared" si="2"/>
        <v>-2.50526592</v>
      </c>
      <c r="O14" s="5">
        <f t="shared" si="3"/>
        <v>-0.0227246079999996</v>
      </c>
    </row>
    <row r="15" ht="15.6" spans="1:15">
      <c r="A15" s="12"/>
      <c r="B15" s="13">
        <v>22</v>
      </c>
      <c r="C15" s="7">
        <v>21.51</v>
      </c>
      <c r="D15" s="7">
        <v>34.06</v>
      </c>
      <c r="E15" s="14">
        <v>15</v>
      </c>
      <c r="F15" s="4">
        <v>-40.68964</v>
      </c>
      <c r="G15" s="4">
        <v>-5.6322</v>
      </c>
      <c r="H15" s="4">
        <v>-19.90252</v>
      </c>
      <c r="I15" s="4">
        <v>-3.6573</v>
      </c>
      <c r="J15" s="4">
        <v>-54.9514833333333</v>
      </c>
      <c r="K15" s="4">
        <v>-7.39543</v>
      </c>
      <c r="L15" s="5">
        <f t="shared" si="0"/>
        <v>-2.88642758</v>
      </c>
      <c r="M15" s="5">
        <f t="shared" si="1"/>
        <v>-0.456509542</v>
      </c>
      <c r="N15" s="5">
        <f t="shared" si="2"/>
        <v>-2.51065548</v>
      </c>
      <c r="O15" s="5">
        <f t="shared" si="3"/>
        <v>-0.0288582519999996</v>
      </c>
    </row>
    <row r="16" ht="15.6" spans="1:15">
      <c r="A16" s="12"/>
      <c r="B16" s="13">
        <v>22</v>
      </c>
      <c r="C16" s="7">
        <v>20.84</v>
      </c>
      <c r="D16" s="7">
        <v>33.98</v>
      </c>
      <c r="E16" s="14">
        <v>16</v>
      </c>
      <c r="F16" s="4">
        <v>-41.32207</v>
      </c>
      <c r="G16" s="4">
        <v>-5.52521</v>
      </c>
      <c r="H16" s="4">
        <v>-13.62759</v>
      </c>
      <c r="I16" s="4">
        <v>-2.38843</v>
      </c>
      <c r="J16" s="4">
        <v>-55.7412966666667</v>
      </c>
      <c r="K16" s="4">
        <v>-7.29378</v>
      </c>
      <c r="L16" s="5">
        <f t="shared" si="0"/>
        <v>-2.90648872</v>
      </c>
      <c r="M16" s="5">
        <f t="shared" si="1"/>
        <v>-0.479340328</v>
      </c>
      <c r="N16" s="5">
        <f t="shared" si="2"/>
        <v>-2.51305084</v>
      </c>
      <c r="O16" s="5">
        <f t="shared" si="3"/>
        <v>-0.031584316</v>
      </c>
    </row>
    <row r="17" ht="15.6" spans="1:15">
      <c r="A17" s="12"/>
      <c r="B17" s="13">
        <v>22</v>
      </c>
      <c r="C17" s="7">
        <v>20.28</v>
      </c>
      <c r="D17" s="7">
        <v>33.86</v>
      </c>
      <c r="E17" s="14">
        <v>17</v>
      </c>
      <c r="F17" s="4">
        <v>-45.10961</v>
      </c>
      <c r="G17" s="4">
        <v>-6.05776</v>
      </c>
      <c r="H17" s="4">
        <v>-24.74995</v>
      </c>
      <c r="I17" s="4">
        <v>-4.17584</v>
      </c>
      <c r="J17" s="4">
        <v>-55.1396433333333</v>
      </c>
      <c r="K17" s="4">
        <v>-7.44171</v>
      </c>
      <c r="L17" s="5">
        <f t="shared" si="0"/>
        <v>-2.92325624</v>
      </c>
      <c r="M17" s="5">
        <f t="shared" si="1"/>
        <v>-0.498422776</v>
      </c>
      <c r="N17" s="5">
        <f t="shared" si="2"/>
        <v>-2.51664388</v>
      </c>
      <c r="O17" s="5">
        <f t="shared" si="3"/>
        <v>-0.0356734119999997</v>
      </c>
    </row>
    <row r="18" ht="15.6" spans="1:15">
      <c r="A18" s="12"/>
      <c r="B18" s="13">
        <v>22</v>
      </c>
      <c r="C18" s="7">
        <v>19.02</v>
      </c>
      <c r="D18" s="7">
        <v>33.2</v>
      </c>
      <c r="E18" s="14">
        <v>18</v>
      </c>
      <c r="F18" s="4">
        <v>-46.60789</v>
      </c>
      <c r="G18" s="4">
        <v>-6.17142</v>
      </c>
      <c r="H18" s="4">
        <v>-14.25933</v>
      </c>
      <c r="I18" s="4">
        <v>-1.16258</v>
      </c>
      <c r="J18" s="4">
        <v>-53.87837</v>
      </c>
      <c r="K18" s="4">
        <v>-6.47640666666667</v>
      </c>
      <c r="L18" s="5">
        <f t="shared" si="0"/>
        <v>-2.96098316</v>
      </c>
      <c r="M18" s="5">
        <f t="shared" si="1"/>
        <v>-0.541358284</v>
      </c>
      <c r="N18" s="5">
        <f t="shared" si="2"/>
        <v>-2.5364056</v>
      </c>
      <c r="O18" s="5">
        <f t="shared" si="3"/>
        <v>-0.0581634399999997</v>
      </c>
    </row>
    <row r="19" ht="15.6" spans="1:15">
      <c r="A19" s="12"/>
      <c r="B19" s="13">
        <v>22</v>
      </c>
      <c r="C19" s="7">
        <v>19.36</v>
      </c>
      <c r="D19" s="7">
        <v>27.9</v>
      </c>
      <c r="E19" s="14">
        <v>19</v>
      </c>
      <c r="F19" s="4">
        <v>-55.60347</v>
      </c>
      <c r="G19" s="4">
        <v>-6.79442</v>
      </c>
      <c r="H19" s="4">
        <v>-28.43971</v>
      </c>
      <c r="I19" s="4">
        <v>-0.86042</v>
      </c>
      <c r="J19" s="4">
        <v>-57.8950766666667</v>
      </c>
      <c r="K19" s="4">
        <v>-7.02364</v>
      </c>
      <c r="L19" s="5">
        <f t="shared" si="0"/>
        <v>-2.95080288</v>
      </c>
      <c r="M19" s="5">
        <f t="shared" si="1"/>
        <v>-0.529772512</v>
      </c>
      <c r="N19" s="5">
        <f t="shared" si="2"/>
        <v>-2.6950982</v>
      </c>
      <c r="O19" s="5">
        <f t="shared" si="3"/>
        <v>-0.23876518</v>
      </c>
    </row>
    <row r="20" ht="15.6" spans="1:15">
      <c r="A20" s="12"/>
      <c r="B20" s="13">
        <v>22</v>
      </c>
      <c r="C20" s="7">
        <v>17.66</v>
      </c>
      <c r="D20" s="7">
        <v>27.92</v>
      </c>
      <c r="E20" s="14">
        <v>20</v>
      </c>
      <c r="F20" s="4">
        <v>-54.39063</v>
      </c>
      <c r="G20" s="4">
        <v>-6.99125</v>
      </c>
      <c r="H20" s="4">
        <v>-39.80023</v>
      </c>
      <c r="I20" s="4">
        <v>-3.33068</v>
      </c>
      <c r="J20" s="4">
        <v>-57.5584766666667</v>
      </c>
      <c r="K20" s="4">
        <v>-7.27093666666667</v>
      </c>
      <c r="L20" s="5">
        <f t="shared" si="0"/>
        <v>-3.00170428</v>
      </c>
      <c r="M20" s="5">
        <f t="shared" si="1"/>
        <v>-0.587701372</v>
      </c>
      <c r="N20" s="5">
        <f t="shared" si="2"/>
        <v>-2.69449936</v>
      </c>
      <c r="O20" s="5">
        <f t="shared" si="3"/>
        <v>-0.238083664</v>
      </c>
    </row>
    <row r="21" ht="15.6" spans="1:15">
      <c r="A21" s="12" t="s">
        <v>9</v>
      </c>
      <c r="B21" s="13">
        <v>17</v>
      </c>
      <c r="C21" s="7">
        <v>9.80625000000001</v>
      </c>
      <c r="D21" s="7">
        <v>4.96458333333334</v>
      </c>
      <c r="E21" s="14">
        <v>1</v>
      </c>
      <c r="F21" s="4">
        <v>-70.4192366230894</v>
      </c>
      <c r="G21" s="4">
        <v>-4.40005483594079</v>
      </c>
      <c r="H21" s="3">
        <v>-54.2929068312158</v>
      </c>
      <c r="I21" s="3">
        <v>0.514483832637573</v>
      </c>
      <c r="J21" s="3">
        <v>-46.5181061116452</v>
      </c>
      <c r="K21" s="3">
        <v>2.66059265372752</v>
      </c>
      <c r="L21" s="5">
        <f t="shared" ref="L21:L33" si="4">-0.223-15.034*B21/100+13.61*B21/100*C21/100</f>
        <v>-2.55189279375</v>
      </c>
      <c r="M21" s="5">
        <f t="shared" ref="M21:M33" si="5">-0.291-4.084*B21/100+15.489*B21/100*C21/100</f>
        <v>-0.727068689375</v>
      </c>
      <c r="N21" s="5">
        <f t="shared" ref="N21:N33" si="6">-0.223-15.034*B21/100+13.61*B21/100*D21/100</f>
        <v>-2.66391443541667</v>
      </c>
      <c r="O21" s="5">
        <f t="shared" ref="O21:O33" si="7">-0.291-4.084*B21/100+15.489*B21/100*D21/100</f>
        <v>-0.854556066875</v>
      </c>
    </row>
    <row r="22" ht="15.6" spans="1:15">
      <c r="A22" s="12"/>
      <c r="B22" s="13">
        <v>17</v>
      </c>
      <c r="C22" s="7">
        <v>12.275</v>
      </c>
      <c r="D22" s="7">
        <v>7.18541666666667</v>
      </c>
      <c r="E22" s="14">
        <v>2</v>
      </c>
      <c r="F22" s="4">
        <v>-45.0958777726738</v>
      </c>
      <c r="G22" s="4">
        <v>-2.89824230325041</v>
      </c>
      <c r="H22" s="3">
        <v>-60.2579140731769</v>
      </c>
      <c r="I22" s="3">
        <v>-5.46423026658096</v>
      </c>
      <c r="J22" s="3">
        <v>-84.8177273513861</v>
      </c>
      <c r="K22" s="3">
        <v>-9.89745675915697</v>
      </c>
      <c r="L22" s="5">
        <f t="shared" si="4"/>
        <v>-2.494773325</v>
      </c>
      <c r="M22" s="5">
        <f t="shared" si="5"/>
        <v>-0.6620632925</v>
      </c>
      <c r="N22" s="5">
        <f t="shared" si="6"/>
        <v>-2.61253101458333</v>
      </c>
      <c r="O22" s="5">
        <f t="shared" si="7"/>
        <v>-0.796078638125</v>
      </c>
    </row>
    <row r="23" ht="15.6" spans="1:15">
      <c r="A23" s="12"/>
      <c r="B23" s="13">
        <v>17</v>
      </c>
      <c r="C23" s="7">
        <v>10.0020833333333</v>
      </c>
      <c r="D23" s="7">
        <v>7.12604166666666</v>
      </c>
      <c r="E23" s="14">
        <v>3</v>
      </c>
      <c r="F23" s="4">
        <v>-57.2838783777207</v>
      </c>
      <c r="G23" s="4">
        <v>-2.74048714435048</v>
      </c>
      <c r="H23" s="3">
        <v>-47.7850091401217</v>
      </c>
      <c r="I23" s="3">
        <v>-2.25067370240896</v>
      </c>
      <c r="J23" s="3">
        <v>-81.3324777890662</v>
      </c>
      <c r="K23" s="3">
        <v>-8.95731028068447</v>
      </c>
      <c r="L23" s="5">
        <f t="shared" si="4"/>
        <v>-2.54736179791667</v>
      </c>
      <c r="M23" s="5">
        <f t="shared" si="5"/>
        <v>-0.721912143125001</v>
      </c>
      <c r="N23" s="5">
        <f t="shared" si="6"/>
        <v>-2.61390477395833</v>
      </c>
      <c r="O23" s="5">
        <f t="shared" si="7"/>
        <v>-0.7976420590625</v>
      </c>
    </row>
    <row r="24" ht="15.6" spans="1:15">
      <c r="A24" s="12"/>
      <c r="B24" s="13">
        <v>17</v>
      </c>
      <c r="C24" s="7">
        <v>5.825</v>
      </c>
      <c r="D24" s="7">
        <v>6.68333333333334</v>
      </c>
      <c r="E24" s="14">
        <v>4</v>
      </c>
      <c r="F24" s="4">
        <v>-52.52441132157</v>
      </c>
      <c r="G24" s="4">
        <v>-1.12484836255346</v>
      </c>
      <c r="H24" s="3">
        <v>-44.8420477458211</v>
      </c>
      <c r="I24" s="3">
        <v>0.945677800728284</v>
      </c>
      <c r="J24" s="3">
        <v>-82.7491120114215</v>
      </c>
      <c r="K24" s="3">
        <v>-8.7351475598139</v>
      </c>
      <c r="L24" s="5">
        <f t="shared" si="4"/>
        <v>-2.644006975</v>
      </c>
      <c r="M24" s="5">
        <f t="shared" si="5"/>
        <v>-0.8319001775</v>
      </c>
      <c r="N24" s="5">
        <f t="shared" si="6"/>
        <v>-2.62414771666667</v>
      </c>
      <c r="O24" s="5">
        <f t="shared" si="7"/>
        <v>-0.809299145</v>
      </c>
    </row>
    <row r="25" ht="15.6" spans="1:15">
      <c r="A25" s="12"/>
      <c r="B25" s="13">
        <v>17</v>
      </c>
      <c r="C25" s="7">
        <v>0.110395833333333</v>
      </c>
      <c r="D25" s="7">
        <v>0.0618229166666667</v>
      </c>
      <c r="E25" s="14">
        <v>5</v>
      </c>
      <c r="F25" s="15">
        <v>-34.7125810103483</v>
      </c>
      <c r="G25" s="4">
        <v>0.0220651290092206</v>
      </c>
      <c r="H25" s="3">
        <v>-47.4330651969049</v>
      </c>
      <c r="I25" s="3">
        <v>-2.80440102677282</v>
      </c>
      <c r="J25" s="3">
        <v>-78.7832655613958</v>
      </c>
      <c r="K25" s="3">
        <v>-8.37147012213114</v>
      </c>
      <c r="L25" s="5">
        <f t="shared" si="4"/>
        <v>-2.77622577160417</v>
      </c>
      <c r="M25" s="5">
        <f t="shared" si="5"/>
        <v>-0.98237313419375</v>
      </c>
      <c r="N25" s="5">
        <f t="shared" si="6"/>
        <v>-2.77734960317708</v>
      </c>
      <c r="O25" s="5">
        <f t="shared" si="7"/>
        <v>-0.983652122234375</v>
      </c>
    </row>
    <row r="26" ht="15.6" spans="1:15">
      <c r="A26" s="12"/>
      <c r="B26" s="13">
        <v>17</v>
      </c>
      <c r="C26" s="7">
        <v>5.91458333333333</v>
      </c>
      <c r="D26" s="7">
        <v>6.08125</v>
      </c>
      <c r="E26" s="14">
        <v>6</v>
      </c>
      <c r="F26" s="4">
        <v>-60.1070918646871</v>
      </c>
      <c r="G26" s="4">
        <v>-0.914346508926059</v>
      </c>
      <c r="H26" s="3">
        <v>-48.7078611977101</v>
      </c>
      <c r="I26" s="3">
        <v>0.937062736105967</v>
      </c>
      <c r="J26" s="3">
        <v>-72.762478908915</v>
      </c>
      <c r="K26" s="3">
        <v>-6.56160462550213</v>
      </c>
      <c r="L26" s="5">
        <f t="shared" si="4"/>
        <v>-2.64193428541667</v>
      </c>
      <c r="M26" s="5">
        <f t="shared" si="5"/>
        <v>-0.829541331875</v>
      </c>
      <c r="N26" s="5">
        <f t="shared" si="6"/>
        <v>-2.63807811875</v>
      </c>
      <c r="O26" s="5">
        <f t="shared" si="7"/>
        <v>-0.825152781875</v>
      </c>
    </row>
    <row r="27" ht="15.6" spans="1:15">
      <c r="A27" s="12"/>
      <c r="B27" s="13">
        <v>17</v>
      </c>
      <c r="C27" s="7">
        <v>11.6833333333333</v>
      </c>
      <c r="D27" s="7">
        <v>8.91145833333334</v>
      </c>
      <c r="E27" s="14">
        <v>7</v>
      </c>
      <c r="F27" s="4">
        <v>-57.8939855093134</v>
      </c>
      <c r="G27" s="4">
        <v>-4.94691706197437</v>
      </c>
      <c r="H27" s="3">
        <v>-70.4681270477001</v>
      </c>
      <c r="I27" s="3">
        <v>-7.66288346448479</v>
      </c>
      <c r="J27" s="3">
        <v>-70.3822652284111</v>
      </c>
      <c r="K27" s="3">
        <v>-7.17937323429526</v>
      </c>
      <c r="L27" s="5">
        <f t="shared" si="4"/>
        <v>-2.50846271666667</v>
      </c>
      <c r="M27" s="5">
        <f t="shared" si="5"/>
        <v>-0.677642645000001</v>
      </c>
      <c r="N27" s="5">
        <f t="shared" si="6"/>
        <v>-2.57259558854167</v>
      </c>
      <c r="O27" s="5">
        <f t="shared" si="7"/>
        <v>-0.7506297171875</v>
      </c>
    </row>
    <row r="28" ht="15.6" spans="1:15">
      <c r="A28" s="12"/>
      <c r="B28" s="13">
        <v>17</v>
      </c>
      <c r="C28" s="7">
        <v>12.9895833333333</v>
      </c>
      <c r="D28" s="7">
        <v>9.29479166666666</v>
      </c>
      <c r="E28" s="14">
        <v>8</v>
      </c>
      <c r="F28" s="4">
        <v>-55.5537662785359</v>
      </c>
      <c r="G28" s="4">
        <v>-3.81709305057949</v>
      </c>
      <c r="H28" s="3">
        <v>-63.9232375342275</v>
      </c>
      <c r="I28" s="3">
        <v>-6.78929672245247</v>
      </c>
      <c r="J28" s="3">
        <v>-62.9026790268823</v>
      </c>
      <c r="K28" s="3">
        <v>-5.66694345558643</v>
      </c>
      <c r="L28" s="5">
        <f t="shared" si="4"/>
        <v>-2.47824001041667</v>
      </c>
      <c r="M28" s="5">
        <f t="shared" si="5"/>
        <v>-0.643247384375001</v>
      </c>
      <c r="N28" s="5">
        <f t="shared" si="6"/>
        <v>-2.56372640520833</v>
      </c>
      <c r="O28" s="5">
        <f t="shared" si="7"/>
        <v>-0.7405360521875</v>
      </c>
    </row>
    <row r="29" ht="15.6" spans="1:15">
      <c r="A29" s="12"/>
      <c r="B29" s="13">
        <v>17</v>
      </c>
      <c r="C29" s="7">
        <v>10</v>
      </c>
      <c r="D29" s="7">
        <v>7.96666666666667</v>
      </c>
      <c r="E29" s="14">
        <v>9</v>
      </c>
      <c r="F29" s="4">
        <v>-54.819048366901</v>
      </c>
      <c r="G29" s="4">
        <v>-3.44199070043628</v>
      </c>
      <c r="H29" s="3">
        <v>-63.3773557904406</v>
      </c>
      <c r="I29" s="3">
        <v>-6.24545265254516</v>
      </c>
      <c r="J29" s="3">
        <v>-68.0987829776465</v>
      </c>
      <c r="K29" s="3">
        <v>-6.63131769368061</v>
      </c>
      <c r="L29" s="5">
        <f t="shared" si="4"/>
        <v>-2.54741</v>
      </c>
      <c r="M29" s="5">
        <f t="shared" si="5"/>
        <v>-0.721967</v>
      </c>
      <c r="N29" s="5">
        <f t="shared" si="6"/>
        <v>-2.59445523333333</v>
      </c>
      <c r="O29" s="5">
        <f t="shared" si="7"/>
        <v>-0.77550731</v>
      </c>
    </row>
    <row r="30" ht="15.6" spans="1:15">
      <c r="A30" s="12"/>
      <c r="B30" s="13">
        <v>17</v>
      </c>
      <c r="C30" s="7">
        <v>5.73125</v>
      </c>
      <c r="D30" s="7">
        <v>6.81666666666667</v>
      </c>
      <c r="E30" s="14">
        <v>10</v>
      </c>
      <c r="F30" s="4">
        <v>-65.4349795703362</v>
      </c>
      <c r="G30" s="4">
        <v>-5.77526439028306</v>
      </c>
      <c r="H30" s="3">
        <v>-62.8645130514381</v>
      </c>
      <c r="I30" s="3">
        <v>-4.73265984077456</v>
      </c>
      <c r="J30" s="3">
        <v>-69.5166848288384</v>
      </c>
      <c r="K30" s="3">
        <v>-6.91588723768121</v>
      </c>
      <c r="L30" s="5">
        <f t="shared" si="4"/>
        <v>-2.64617606875</v>
      </c>
      <c r="M30" s="5">
        <f t="shared" si="5"/>
        <v>-0.834368736875</v>
      </c>
      <c r="N30" s="5">
        <f t="shared" si="6"/>
        <v>-2.62106278333333</v>
      </c>
      <c r="O30" s="5">
        <f t="shared" si="7"/>
        <v>-0.805788305</v>
      </c>
    </row>
    <row r="31" ht="15.6" spans="1:15">
      <c r="A31" s="12"/>
      <c r="B31" s="13">
        <v>17</v>
      </c>
      <c r="C31" s="7">
        <v>4.58333333333333</v>
      </c>
      <c r="D31" s="7">
        <v>6.225</v>
      </c>
      <c r="E31" s="14">
        <v>11</v>
      </c>
      <c r="F31" s="4">
        <v>-61.4628782602643</v>
      </c>
      <c r="G31" s="4">
        <v>-2.69103013849553</v>
      </c>
      <c r="H31" s="3">
        <v>-54.2599885832941</v>
      </c>
      <c r="I31" s="3">
        <v>1.40253252365147</v>
      </c>
      <c r="J31" s="3">
        <v>-68.4039107300168</v>
      </c>
      <c r="K31" s="3">
        <v>-6.38085142951462</v>
      </c>
      <c r="L31" s="5">
        <f t="shared" si="4"/>
        <v>-2.67273541666667</v>
      </c>
      <c r="M31" s="5">
        <f t="shared" si="5"/>
        <v>-0.864594875</v>
      </c>
      <c r="N31" s="5">
        <f t="shared" si="6"/>
        <v>-2.634752175</v>
      </c>
      <c r="O31" s="5">
        <f t="shared" si="7"/>
        <v>-0.8213676575</v>
      </c>
    </row>
    <row r="32" ht="15.6" spans="1:15">
      <c r="A32" s="12"/>
      <c r="B32" s="13">
        <v>17</v>
      </c>
      <c r="C32" s="7">
        <v>6.69791666666667</v>
      </c>
      <c r="D32" s="7">
        <v>9.23437500000001</v>
      </c>
      <c r="E32" s="14">
        <v>12</v>
      </c>
      <c r="F32" s="4">
        <v>-39.265020981803</v>
      </c>
      <c r="G32" s="4">
        <v>-1.89348749058092</v>
      </c>
      <c r="H32" s="3">
        <v>-34.6391802719111</v>
      </c>
      <c r="I32" s="3">
        <v>-1.15110635722062</v>
      </c>
      <c r="J32" s="3">
        <v>-60.9572811621074</v>
      </c>
      <c r="K32" s="3">
        <v>-6.67111141900521</v>
      </c>
      <c r="L32" s="5">
        <f t="shared" si="4"/>
        <v>-2.62381030208333</v>
      </c>
      <c r="M32" s="5">
        <f t="shared" si="5"/>
        <v>-0.808915146875</v>
      </c>
      <c r="N32" s="5">
        <f t="shared" si="6"/>
        <v>-2.565124265625</v>
      </c>
      <c r="O32" s="5">
        <f t="shared" si="7"/>
        <v>-0.7421269015625</v>
      </c>
    </row>
    <row r="33" ht="15.6" spans="1:15">
      <c r="A33" s="12"/>
      <c r="B33" s="13">
        <v>17</v>
      </c>
      <c r="C33" s="7">
        <v>5.15208333333334</v>
      </c>
      <c r="D33" s="7">
        <v>6.81354166666666</v>
      </c>
      <c r="E33" s="14">
        <v>13</v>
      </c>
      <c r="F33" s="4">
        <v>-60.6916215811358</v>
      </c>
      <c r="G33" s="4">
        <v>-5.76010702983018</v>
      </c>
      <c r="H33" s="3">
        <v>-37.3205275683854</v>
      </c>
      <c r="I33" s="3">
        <v>-1.51676469481194</v>
      </c>
      <c r="J33" s="3">
        <v>-60.3928310752886</v>
      </c>
      <c r="K33" s="3">
        <v>-7.90195198781393</v>
      </c>
      <c r="L33" s="5">
        <f t="shared" si="4"/>
        <v>-2.65957624791667</v>
      </c>
      <c r="M33" s="5">
        <f t="shared" si="5"/>
        <v>-0.849618948125</v>
      </c>
      <c r="N33" s="5">
        <f t="shared" si="6"/>
        <v>-2.62113508645833</v>
      </c>
      <c r="O33" s="5">
        <f t="shared" si="7"/>
        <v>-0.8058705903125</v>
      </c>
    </row>
    <row r="34" ht="15.6" spans="1:15">
      <c r="A34" s="12" t="s">
        <v>10</v>
      </c>
      <c r="B34" s="13">
        <v>15</v>
      </c>
      <c r="C34" s="7">
        <v>18.1432258064516</v>
      </c>
      <c r="D34" s="7">
        <v>39.4252903225806</v>
      </c>
      <c r="E34" s="14">
        <v>1</v>
      </c>
      <c r="F34" s="4">
        <v>-54.7513453846154</v>
      </c>
      <c r="G34" s="4">
        <v>-6.92369615384615</v>
      </c>
      <c r="H34" s="4">
        <v>-76.040048827057</v>
      </c>
      <c r="I34" s="4">
        <v>-10.548555</v>
      </c>
      <c r="J34" s="4">
        <v>-62.7260549224102</v>
      </c>
      <c r="K34" s="4">
        <v>-8.72133125</v>
      </c>
      <c r="L34" s="5">
        <f t="shared" ref="L34:L61" si="8">-0.223-15.034*B34/100+13.61*B34/100*C34/100</f>
        <v>-2.10770604516129</v>
      </c>
      <c r="M34" s="5">
        <f t="shared" ref="M34:M61" si="9">-0.291-4.084*B34/100+15.489*B34/100*C34/100</f>
        <v>-0.482069363225807</v>
      </c>
      <c r="N34" s="5">
        <f t="shared" ref="N34:N61" si="10">-0.223-15.034*B34/100+13.61*B34/100*D34/100</f>
        <v>-1.67323269806452</v>
      </c>
      <c r="O34" s="5">
        <f t="shared" ref="O34:O61" si="11">-0.291-4.084*B34/100+15.489*B34/100*D34/100</f>
        <v>0.0123874827096765</v>
      </c>
    </row>
    <row r="35" ht="15.6" spans="1:15">
      <c r="A35" s="12"/>
      <c r="B35" s="13">
        <v>15</v>
      </c>
      <c r="C35" s="7">
        <v>14.3927096774194</v>
      </c>
      <c r="D35" s="7">
        <v>37.2646451612903</v>
      </c>
      <c r="E35" s="14">
        <v>2</v>
      </c>
      <c r="F35" s="4">
        <v>-59.199262</v>
      </c>
      <c r="G35" s="4">
        <v>-6.987446</v>
      </c>
      <c r="H35" s="4">
        <v>-69.3875760127206</v>
      </c>
      <c r="I35" s="4">
        <v>-9.20160246342303</v>
      </c>
      <c r="J35" s="4">
        <v>-64.1601870956148</v>
      </c>
      <c r="K35" s="4">
        <v>-8.65557076299248</v>
      </c>
      <c r="L35" s="5">
        <f t="shared" si="8"/>
        <v>-2.18427283193548</v>
      </c>
      <c r="M35" s="5">
        <f t="shared" si="9"/>
        <v>-0.569206979709676</v>
      </c>
      <c r="N35" s="5">
        <f t="shared" si="10"/>
        <v>-1.71734226903226</v>
      </c>
      <c r="O35" s="5">
        <f t="shared" si="11"/>
        <v>-0.0378118666451618</v>
      </c>
    </row>
    <row r="36" ht="15.6" spans="1:15">
      <c r="A36" s="12"/>
      <c r="B36" s="13">
        <v>15</v>
      </c>
      <c r="C36" s="7">
        <v>14.6036</v>
      </c>
      <c r="D36" s="7">
        <v>38.1076</v>
      </c>
      <c r="E36" s="14">
        <v>3</v>
      </c>
      <c r="F36" s="4">
        <v>-50.9205541666667</v>
      </c>
      <c r="G36" s="4">
        <v>-6.06340916666667</v>
      </c>
      <c r="H36" s="4">
        <v>-51.0625955628127</v>
      </c>
      <c r="I36" s="4">
        <v>-6.49264005545963</v>
      </c>
      <c r="J36" s="4">
        <v>-59.6044966185104</v>
      </c>
      <c r="K36" s="4">
        <v>-7.98485376347899</v>
      </c>
      <c r="L36" s="5">
        <f t="shared" si="8"/>
        <v>-2.179967506</v>
      </c>
      <c r="M36" s="5">
        <f t="shared" si="9"/>
        <v>-0.5643072594</v>
      </c>
      <c r="N36" s="5">
        <f t="shared" si="10"/>
        <v>-1.700133346</v>
      </c>
      <c r="O36" s="5">
        <f t="shared" si="11"/>
        <v>-0.0182270754</v>
      </c>
    </row>
    <row r="37" ht="15.6" spans="1:15">
      <c r="A37" s="12"/>
      <c r="B37" s="13">
        <v>15</v>
      </c>
      <c r="C37" s="7">
        <v>16.8416451612903</v>
      </c>
      <c r="D37" s="7">
        <v>39.0807419354839</v>
      </c>
      <c r="E37" s="14">
        <v>4</v>
      </c>
      <c r="F37" s="4">
        <v>-52.931198</v>
      </c>
      <c r="G37" s="4">
        <v>-6.573355</v>
      </c>
      <c r="H37" s="4">
        <v>-47.8124195111608</v>
      </c>
      <c r="I37" s="4">
        <v>-6.01009517550714</v>
      </c>
      <c r="J37" s="4">
        <v>-59.6183378387296</v>
      </c>
      <c r="K37" s="4">
        <v>-7.88350134795045</v>
      </c>
      <c r="L37" s="5">
        <f t="shared" si="8"/>
        <v>-2.13427781403226</v>
      </c>
      <c r="M37" s="5">
        <f t="shared" si="9"/>
        <v>-0.512309637145162</v>
      </c>
      <c r="N37" s="5">
        <f t="shared" si="10"/>
        <v>-1.6802666533871</v>
      </c>
      <c r="O37" s="5">
        <f t="shared" si="11"/>
        <v>0.00438241775806525</v>
      </c>
    </row>
    <row r="38" ht="15.6" spans="1:15">
      <c r="A38" s="12"/>
      <c r="B38" s="13">
        <v>15</v>
      </c>
      <c r="C38" s="7">
        <v>18.0309333333333</v>
      </c>
      <c r="D38" s="7">
        <v>38.5573666666667</v>
      </c>
      <c r="E38" s="14">
        <v>5</v>
      </c>
      <c r="F38" s="4">
        <v>-57.7070622222222</v>
      </c>
      <c r="G38" s="4">
        <v>-7.08427777777778</v>
      </c>
      <c r="H38" s="4">
        <v>-53.931975</v>
      </c>
      <c r="I38" s="4">
        <v>-7.3659880122082</v>
      </c>
      <c r="J38" s="4">
        <v>-66.306225</v>
      </c>
      <c r="K38" s="4">
        <v>-8.92600158363179</v>
      </c>
      <c r="L38" s="5">
        <f t="shared" si="8"/>
        <v>-2.109998496</v>
      </c>
      <c r="M38" s="5">
        <f t="shared" si="9"/>
        <v>-0.484678310400001</v>
      </c>
      <c r="N38" s="5">
        <f t="shared" si="10"/>
        <v>-1.6909513595</v>
      </c>
      <c r="O38" s="5">
        <f t="shared" si="11"/>
        <v>-0.00777742154999905</v>
      </c>
    </row>
    <row r="39" ht="15.6" spans="1:15">
      <c r="A39" s="12"/>
      <c r="B39" s="13">
        <v>15</v>
      </c>
      <c r="C39" s="7">
        <v>16.3652258064516</v>
      </c>
      <c r="D39" s="7">
        <v>36.418</v>
      </c>
      <c r="E39" s="14">
        <v>6</v>
      </c>
      <c r="F39" s="4">
        <v>-57.0709945454545</v>
      </c>
      <c r="G39" s="4">
        <v>-7.00138454545455</v>
      </c>
      <c r="H39" s="4">
        <v>-60.6579930217261</v>
      </c>
      <c r="I39" s="4">
        <v>-7.34826126066987</v>
      </c>
      <c r="J39" s="4">
        <v>-67.3721216157048</v>
      </c>
      <c r="K39" s="4">
        <v>-9.1896540121819</v>
      </c>
      <c r="L39" s="5">
        <f t="shared" si="8"/>
        <v>-2.14400391516129</v>
      </c>
      <c r="M39" s="5">
        <f t="shared" si="9"/>
        <v>-0.523378526225807</v>
      </c>
      <c r="N39" s="5">
        <f t="shared" si="10"/>
        <v>-1.73462653</v>
      </c>
      <c r="O39" s="5">
        <f t="shared" si="11"/>
        <v>-0.0574823969999999</v>
      </c>
    </row>
    <row r="40" ht="15.6" spans="1:15">
      <c r="A40" s="12"/>
      <c r="B40" s="13">
        <v>15</v>
      </c>
      <c r="C40" s="7">
        <v>23.0688709677419</v>
      </c>
      <c r="D40" s="7">
        <v>38.2230967741936</v>
      </c>
      <c r="E40" s="14">
        <v>7</v>
      </c>
      <c r="F40" s="4">
        <v>-48.930752</v>
      </c>
      <c r="G40" s="4">
        <v>-5.701139</v>
      </c>
      <c r="H40" s="4">
        <v>-51.4651605054147</v>
      </c>
      <c r="I40" s="4">
        <v>-6.97909610095683</v>
      </c>
      <c r="J40" s="4">
        <v>-65.5919474500594</v>
      </c>
      <c r="K40" s="4">
        <v>-8.88347935395657</v>
      </c>
      <c r="L40" s="5">
        <f t="shared" si="8"/>
        <v>-2.00714899919355</v>
      </c>
      <c r="M40" s="5">
        <f t="shared" si="9"/>
        <v>-0.367629386370969</v>
      </c>
      <c r="N40" s="5">
        <f t="shared" si="10"/>
        <v>-1.69777547935484</v>
      </c>
      <c r="O40" s="5">
        <f t="shared" si="11"/>
        <v>-0.015543681096773</v>
      </c>
    </row>
    <row r="41" ht="15.6" spans="1:15">
      <c r="A41" s="12"/>
      <c r="B41" s="13">
        <v>15</v>
      </c>
      <c r="C41" s="7">
        <v>23.4538965517241</v>
      </c>
      <c r="D41" s="7">
        <v>38.1278620689655</v>
      </c>
      <c r="E41" s="14">
        <v>8</v>
      </c>
      <c r="F41" s="4">
        <v>-44.60066</v>
      </c>
      <c r="G41" s="4">
        <v>-5.68701285714286</v>
      </c>
      <c r="H41" s="4">
        <v>-37.3824151601607</v>
      </c>
      <c r="I41" s="4">
        <v>-5.18134092730194</v>
      </c>
      <c r="J41" s="4">
        <v>-55.2046523604188</v>
      </c>
      <c r="K41" s="4">
        <v>-7.71305591084305</v>
      </c>
      <c r="L41" s="5">
        <f t="shared" si="8"/>
        <v>-1.99928870189655</v>
      </c>
      <c r="M41" s="5">
        <f t="shared" si="9"/>
        <v>-0.358683894465518</v>
      </c>
      <c r="N41" s="5">
        <f t="shared" si="10"/>
        <v>-1.69971969586207</v>
      </c>
      <c r="O41" s="5">
        <f t="shared" si="11"/>
        <v>-0.01775631662069</v>
      </c>
    </row>
    <row r="42" ht="15.6" spans="1:15">
      <c r="A42" s="12"/>
      <c r="B42" s="13">
        <v>15</v>
      </c>
      <c r="C42" s="7">
        <v>25.3782580645161</v>
      </c>
      <c r="D42" s="7">
        <v>38.6805806451613</v>
      </c>
      <c r="E42" s="14">
        <v>9</v>
      </c>
      <c r="F42" s="4">
        <v>-39.4329</v>
      </c>
      <c r="G42" s="4">
        <v>-5.227588</v>
      </c>
      <c r="H42" s="4">
        <v>-23.612619711468</v>
      </c>
      <c r="I42" s="4">
        <v>-4.12797296814326</v>
      </c>
      <c r="J42" s="4">
        <v>-45.0474591441348</v>
      </c>
      <c r="K42" s="4">
        <v>-6.60024872784815</v>
      </c>
      <c r="L42" s="5">
        <f t="shared" si="8"/>
        <v>-1.9600028616129</v>
      </c>
      <c r="M42" s="5">
        <f t="shared" si="9"/>
        <v>-0.313974241258065</v>
      </c>
      <c r="N42" s="5">
        <f t="shared" si="10"/>
        <v>-1.68843594612903</v>
      </c>
      <c r="O42" s="5">
        <f t="shared" si="11"/>
        <v>-0.00491472958064487</v>
      </c>
    </row>
    <row r="43" ht="15.6" spans="1:15">
      <c r="A43" s="12"/>
      <c r="B43" s="13">
        <v>15</v>
      </c>
      <c r="C43" s="7">
        <v>25.504</v>
      </c>
      <c r="D43" s="7">
        <v>39.1668333333333</v>
      </c>
      <c r="E43" s="14">
        <v>10</v>
      </c>
      <c r="F43" s="4">
        <v>-30.827258</v>
      </c>
      <c r="G43" s="4">
        <v>-4.456065</v>
      </c>
      <c r="H43" s="4">
        <v>-25.3195467049875</v>
      </c>
      <c r="I43" s="4">
        <v>-4.50454351118234</v>
      </c>
      <c r="J43" s="4">
        <v>-40.3590704645891</v>
      </c>
      <c r="K43" s="4">
        <v>-6.00276624557271</v>
      </c>
      <c r="L43" s="5">
        <f t="shared" si="8"/>
        <v>-1.95743584</v>
      </c>
      <c r="M43" s="5">
        <f t="shared" si="9"/>
        <v>-0.311052816</v>
      </c>
      <c r="N43" s="5">
        <f t="shared" si="10"/>
        <v>-1.6785090975</v>
      </c>
      <c r="O43" s="5">
        <f t="shared" si="11"/>
        <v>0.00638262224999919</v>
      </c>
    </row>
    <row r="44" ht="15.6" spans="1:15">
      <c r="A44" s="12"/>
      <c r="B44" s="13">
        <v>15</v>
      </c>
      <c r="C44" s="7">
        <v>26.4148064516129</v>
      </c>
      <c r="D44" s="7">
        <v>40.4593548387097</v>
      </c>
      <c r="E44" s="14">
        <v>11</v>
      </c>
      <c r="F44" s="4">
        <v>-31.1784363636364</v>
      </c>
      <c r="G44" s="4">
        <v>-4.50003181818182</v>
      </c>
      <c r="H44" s="4">
        <v>-46.55908</v>
      </c>
      <c r="I44" s="4">
        <v>-6.869185</v>
      </c>
      <c r="J44" s="4">
        <v>-41.298705</v>
      </c>
      <c r="K44" s="4">
        <v>-6.22659375</v>
      </c>
      <c r="L44" s="5">
        <f t="shared" si="8"/>
        <v>-1.93884172629032</v>
      </c>
      <c r="M44" s="5">
        <f t="shared" si="9"/>
        <v>-0.289891594306452</v>
      </c>
      <c r="N44" s="5">
        <f t="shared" si="10"/>
        <v>-1.65212227096774</v>
      </c>
      <c r="O44" s="5">
        <f t="shared" si="11"/>
        <v>0.0364124206451618</v>
      </c>
    </row>
    <row r="45" ht="15.6" spans="1:15">
      <c r="A45" s="12"/>
      <c r="B45" s="13">
        <v>15</v>
      </c>
      <c r="C45" s="8">
        <v>27.8244666666667</v>
      </c>
      <c r="D45" s="7">
        <v>41.1915</v>
      </c>
      <c r="E45" s="14">
        <v>12</v>
      </c>
      <c r="F45" s="4">
        <v>-46.58817</v>
      </c>
      <c r="G45" s="4">
        <v>-6.353868</v>
      </c>
      <c r="H45" s="4">
        <v>-60.717395</v>
      </c>
      <c r="I45" s="4">
        <v>-8.720335</v>
      </c>
      <c r="J45" s="4">
        <v>-51.4447175</v>
      </c>
      <c r="K45" s="4">
        <v>-7.4610425</v>
      </c>
      <c r="L45" s="5">
        <f t="shared" si="8"/>
        <v>-1.910063513</v>
      </c>
      <c r="M45" s="5">
        <f t="shared" si="9"/>
        <v>-0.257140253699999</v>
      </c>
      <c r="N45" s="5">
        <f t="shared" si="10"/>
        <v>-1.6371755275</v>
      </c>
      <c r="O45" s="5">
        <f t="shared" si="11"/>
        <v>0.0534227152500001</v>
      </c>
    </row>
    <row r="46" ht="15.6" spans="1:15">
      <c r="A46" s="12"/>
      <c r="B46" s="13">
        <v>15</v>
      </c>
      <c r="C46" s="8">
        <v>14.7484516129032</v>
      </c>
      <c r="D46" s="7">
        <v>37.7976774193548</v>
      </c>
      <c r="E46" s="14">
        <v>13</v>
      </c>
      <c r="F46" s="4">
        <v>-59.4538809090909</v>
      </c>
      <c r="G46" s="4">
        <v>-7.52515909090909</v>
      </c>
      <c r="H46" s="4">
        <v>-71.26609</v>
      </c>
      <c r="I46" s="4">
        <v>-8.904585</v>
      </c>
      <c r="J46" s="4">
        <v>-57.56804625</v>
      </c>
      <c r="K46" s="4">
        <v>-7.49371625</v>
      </c>
      <c r="L46" s="5">
        <f t="shared" si="8"/>
        <v>-2.17701036032258</v>
      </c>
      <c r="M46" s="5">
        <f t="shared" si="9"/>
        <v>-0.560941849451613</v>
      </c>
      <c r="N46" s="5">
        <f t="shared" si="10"/>
        <v>-1.70646041548387</v>
      </c>
      <c r="O46" s="5">
        <f t="shared" si="11"/>
        <v>-0.0254276616774203</v>
      </c>
    </row>
    <row r="47" ht="15.6" spans="1:15">
      <c r="A47" s="12"/>
      <c r="B47" s="13">
        <v>15</v>
      </c>
      <c r="C47" s="8">
        <v>15.9395806451613</v>
      </c>
      <c r="D47" s="7">
        <v>39.7714193548387</v>
      </c>
      <c r="E47" s="14">
        <v>14</v>
      </c>
      <c r="F47" s="4">
        <v>-64.4548581818182</v>
      </c>
      <c r="G47" s="4">
        <v>-7.69184</v>
      </c>
      <c r="H47" s="4">
        <v>-74.323305</v>
      </c>
      <c r="I47" s="4">
        <v>-8.725385</v>
      </c>
      <c r="J47" s="4">
        <v>-69.06528375</v>
      </c>
      <c r="K47" s="4">
        <v>-8.3247125</v>
      </c>
      <c r="L47" s="5">
        <f t="shared" si="8"/>
        <v>-2.15269346112903</v>
      </c>
      <c r="M47" s="5">
        <f t="shared" si="9"/>
        <v>-0.533267753080645</v>
      </c>
      <c r="N47" s="5">
        <f t="shared" si="10"/>
        <v>-1.66616647387097</v>
      </c>
      <c r="O47" s="5">
        <f t="shared" si="11"/>
        <v>0.0204292715806449</v>
      </c>
    </row>
    <row r="48" ht="15.6" spans="1:15">
      <c r="A48" s="12"/>
      <c r="B48" s="13">
        <v>15</v>
      </c>
      <c r="C48" s="8">
        <v>16.7320666666667</v>
      </c>
      <c r="D48" s="7">
        <v>40.0346666666667</v>
      </c>
      <c r="E48" s="14">
        <v>15</v>
      </c>
      <c r="F48" s="4">
        <v>-60.527391</v>
      </c>
      <c r="G48" s="4">
        <v>-7.469688</v>
      </c>
      <c r="H48" s="4">
        <v>-58.13959</v>
      </c>
      <c r="I48" s="4">
        <v>-7.86901</v>
      </c>
      <c r="J48" s="4">
        <v>-63.3239825</v>
      </c>
      <c r="K48" s="4">
        <v>-8.344</v>
      </c>
      <c r="L48" s="5">
        <f t="shared" si="8"/>
        <v>-2.136514859</v>
      </c>
      <c r="M48" s="5">
        <f t="shared" si="9"/>
        <v>-0.514855529099999</v>
      </c>
      <c r="N48" s="5">
        <f t="shared" si="10"/>
        <v>-1.66079228</v>
      </c>
      <c r="O48" s="5">
        <f t="shared" si="11"/>
        <v>0.0265454280000009</v>
      </c>
    </row>
    <row r="49" ht="15.6" spans="1:15">
      <c r="A49" s="12"/>
      <c r="B49" s="13">
        <v>15</v>
      </c>
      <c r="C49" s="8">
        <v>13.421064516129</v>
      </c>
      <c r="D49" s="7">
        <v>36.0134516129032</v>
      </c>
      <c r="E49" s="14">
        <v>16</v>
      </c>
      <c r="F49" s="4">
        <v>-57.13244</v>
      </c>
      <c r="G49" s="4">
        <v>-6.595987</v>
      </c>
      <c r="H49" s="4">
        <v>-53.23561</v>
      </c>
      <c r="I49" s="4">
        <v>-6.207765</v>
      </c>
      <c r="J49" s="4">
        <v>-63.49192125</v>
      </c>
      <c r="K49" s="4">
        <v>-7.13095</v>
      </c>
      <c r="L49" s="5">
        <f t="shared" si="8"/>
        <v>-2.20410896790323</v>
      </c>
      <c r="M49" s="5">
        <f t="shared" si="9"/>
        <v>-0.591781697564517</v>
      </c>
      <c r="N49" s="5">
        <f t="shared" si="10"/>
        <v>-1.74288538532258</v>
      </c>
      <c r="O49" s="5">
        <f t="shared" si="11"/>
        <v>-0.0668814719516136</v>
      </c>
    </row>
    <row r="50" ht="15.6" spans="1:15">
      <c r="A50" s="12"/>
      <c r="B50" s="13">
        <v>15</v>
      </c>
      <c r="C50" s="8">
        <v>18.6718</v>
      </c>
      <c r="D50" s="7">
        <v>39.3978</v>
      </c>
      <c r="E50" s="14">
        <v>17</v>
      </c>
      <c r="F50" s="4">
        <v>-54.6694014285714</v>
      </c>
      <c r="G50" s="4">
        <v>-6.59484</v>
      </c>
      <c r="H50" s="4">
        <v>-42.95596</v>
      </c>
      <c r="I50" s="4">
        <v>-6.41273</v>
      </c>
      <c r="J50" s="4">
        <v>-49.62207125</v>
      </c>
      <c r="K50" s="4">
        <v>-7.145195</v>
      </c>
      <c r="L50" s="5">
        <f t="shared" si="8"/>
        <v>-2.096915203</v>
      </c>
      <c r="M50" s="5">
        <f t="shared" si="9"/>
        <v>-0.4697887347</v>
      </c>
      <c r="N50" s="5">
        <f t="shared" si="10"/>
        <v>-1.673793913</v>
      </c>
      <c r="O50" s="5">
        <f t="shared" si="11"/>
        <v>0.0117487863</v>
      </c>
    </row>
    <row r="51" ht="15.6" spans="1:15">
      <c r="A51" s="12"/>
      <c r="B51" s="13">
        <v>15</v>
      </c>
      <c r="C51" s="8">
        <v>22.5554838709677</v>
      </c>
      <c r="D51" s="7">
        <v>39.3073870967742</v>
      </c>
      <c r="E51" s="14">
        <v>18</v>
      </c>
      <c r="F51" s="4">
        <v>-49.4357011111111</v>
      </c>
      <c r="G51" s="4">
        <v>-6.08161444444444</v>
      </c>
      <c r="H51" s="4">
        <v>-34.95253</v>
      </c>
      <c r="I51" s="4">
        <v>-5.187215</v>
      </c>
      <c r="J51" s="4">
        <v>-49.73402125</v>
      </c>
      <c r="K51" s="4">
        <v>-6.93263625</v>
      </c>
      <c r="L51" s="5">
        <f t="shared" si="8"/>
        <v>-2.01762979677419</v>
      </c>
      <c r="M51" s="5">
        <f t="shared" si="9"/>
        <v>-0.379557165483872</v>
      </c>
      <c r="N51" s="5">
        <f t="shared" si="10"/>
        <v>-1.67563969241935</v>
      </c>
      <c r="O51" s="5">
        <f t="shared" si="11"/>
        <v>0.00964817811290353</v>
      </c>
    </row>
    <row r="52" ht="15.6" spans="1:15">
      <c r="A52" s="12"/>
      <c r="B52" s="13">
        <v>15</v>
      </c>
      <c r="C52" s="8">
        <v>23.0476451612903</v>
      </c>
      <c r="D52" s="7">
        <v>38.5082258064516</v>
      </c>
      <c r="E52" s="14">
        <v>19</v>
      </c>
      <c r="F52" s="4">
        <v>-44.901242</v>
      </c>
      <c r="G52" s="4">
        <v>-5.475639</v>
      </c>
      <c r="H52" s="4">
        <v>-26.71065</v>
      </c>
      <c r="I52" s="4">
        <v>-4.8771</v>
      </c>
      <c r="J52" s="4">
        <v>-42.78747625</v>
      </c>
      <c r="K52" s="4">
        <v>-6.60448125</v>
      </c>
      <c r="L52" s="5">
        <f t="shared" si="8"/>
        <v>-2.00758232403226</v>
      </c>
      <c r="M52" s="5">
        <f t="shared" si="9"/>
        <v>-0.368122536145162</v>
      </c>
      <c r="N52" s="5">
        <f t="shared" si="10"/>
        <v>-1.69195457016129</v>
      </c>
      <c r="O52" s="5">
        <f t="shared" si="11"/>
        <v>-0.00891913572580671</v>
      </c>
    </row>
    <row r="53" ht="15.6" spans="1:15">
      <c r="A53" s="12"/>
      <c r="B53" s="13">
        <v>15</v>
      </c>
      <c r="C53" s="8">
        <v>23.14125</v>
      </c>
      <c r="D53" s="7">
        <v>38.8341785714286</v>
      </c>
      <c r="E53" s="14">
        <v>20</v>
      </c>
      <c r="F53" s="4">
        <v>-37.66589875</v>
      </c>
      <c r="G53" s="4">
        <v>-4.757505</v>
      </c>
      <c r="H53" s="4">
        <v>-21.14461</v>
      </c>
      <c r="I53" s="4">
        <v>-3.918735</v>
      </c>
      <c r="J53" s="4">
        <v>-39.9572975</v>
      </c>
      <c r="K53" s="4">
        <v>-6.32950875</v>
      </c>
      <c r="L53" s="5">
        <f t="shared" si="8"/>
        <v>-2.00567138125</v>
      </c>
      <c r="M53" s="5">
        <f t="shared" si="9"/>
        <v>-0.365947768125</v>
      </c>
      <c r="N53" s="5">
        <f t="shared" si="10"/>
        <v>-1.68530024446429</v>
      </c>
      <c r="O53" s="5">
        <f t="shared" si="11"/>
        <v>-0.00134611216071356</v>
      </c>
    </row>
    <row r="54" ht="15.6" spans="1:15">
      <c r="A54" s="12"/>
      <c r="B54" s="13">
        <v>15</v>
      </c>
      <c r="C54" s="8">
        <v>21.5516451612903</v>
      </c>
      <c r="D54" s="7">
        <v>38.937</v>
      </c>
      <c r="E54" s="14">
        <v>21</v>
      </c>
      <c r="F54" s="4">
        <v>-28.573069</v>
      </c>
      <c r="G54" s="4">
        <v>-3.898183</v>
      </c>
      <c r="H54" s="4">
        <v>-16.501885</v>
      </c>
      <c r="I54" s="4">
        <v>-3.2538</v>
      </c>
      <c r="J54" s="4">
        <v>-34.80400375</v>
      </c>
      <c r="K54" s="4">
        <v>-5.88418625</v>
      </c>
      <c r="L54" s="5">
        <f t="shared" si="8"/>
        <v>-2.03812316403226</v>
      </c>
      <c r="M54" s="5">
        <f t="shared" si="9"/>
        <v>-0.402879852145162</v>
      </c>
      <c r="N54" s="5">
        <f t="shared" si="10"/>
        <v>-1.683201145</v>
      </c>
      <c r="O54" s="5">
        <f t="shared" si="11"/>
        <v>0.00104278950000003</v>
      </c>
    </row>
    <row r="55" ht="15.6" spans="1:15">
      <c r="A55" s="12"/>
      <c r="B55" s="13">
        <v>15</v>
      </c>
      <c r="C55" s="8">
        <v>24.7381</v>
      </c>
      <c r="D55" s="7">
        <v>39.736</v>
      </c>
      <c r="E55" s="14">
        <v>22</v>
      </c>
      <c r="F55" s="4">
        <v>-27.307358</v>
      </c>
      <c r="G55" s="4">
        <v>-3.448564</v>
      </c>
      <c r="H55" s="4">
        <v>-17.3981</v>
      </c>
      <c r="I55" s="4">
        <v>-3.27029</v>
      </c>
      <c r="J55" s="4">
        <v>-28.4356975</v>
      </c>
      <c r="K55" s="4">
        <v>-4.76365875</v>
      </c>
      <c r="L55" s="5">
        <f t="shared" si="8"/>
        <v>-1.9730716885</v>
      </c>
      <c r="M55" s="5">
        <f t="shared" si="9"/>
        <v>-0.32884735365</v>
      </c>
      <c r="N55" s="5">
        <f t="shared" si="10"/>
        <v>-1.66688956</v>
      </c>
      <c r="O55" s="5">
        <f t="shared" si="11"/>
        <v>0.0196063559999999</v>
      </c>
    </row>
    <row r="56" ht="15.6" spans="1:15">
      <c r="A56" s="12"/>
      <c r="B56" s="13">
        <v>15</v>
      </c>
      <c r="C56" s="8">
        <v>26.7196451612903</v>
      </c>
      <c r="D56" s="7">
        <v>40.4136451612903</v>
      </c>
      <c r="E56" s="14">
        <v>23</v>
      </c>
      <c r="F56" s="4">
        <v>-30.4224554545455</v>
      </c>
      <c r="G56" s="4">
        <v>-3.27508909090909</v>
      </c>
      <c r="H56" s="4">
        <v>-26.506855</v>
      </c>
      <c r="I56" s="4">
        <v>-4.356853</v>
      </c>
      <c r="J56" s="4">
        <v>-32.36698125</v>
      </c>
      <c r="K56" s="4">
        <v>-4.772761625</v>
      </c>
      <c r="L56" s="5">
        <f t="shared" si="8"/>
        <v>-1.93261844403226</v>
      </c>
      <c r="M56" s="5">
        <f t="shared" si="9"/>
        <v>-0.282809124145162</v>
      </c>
      <c r="N56" s="5">
        <f t="shared" si="10"/>
        <v>-1.65305543403226</v>
      </c>
      <c r="O56" s="5">
        <f t="shared" si="11"/>
        <v>0.0353504248548382</v>
      </c>
    </row>
    <row r="57" ht="15.6" spans="1:15">
      <c r="A57" s="12"/>
      <c r="B57" s="13">
        <v>15</v>
      </c>
      <c r="C57" s="8">
        <v>23.0900333333333</v>
      </c>
      <c r="D57" s="7">
        <v>39.8598666666667</v>
      </c>
      <c r="E57" s="14">
        <v>24</v>
      </c>
      <c r="F57" s="4">
        <v>-35.8784125</v>
      </c>
      <c r="G57" s="4">
        <v>-4.66195625</v>
      </c>
      <c r="H57" s="4">
        <v>-53.677645</v>
      </c>
      <c r="I57" s="4">
        <v>-7.17345</v>
      </c>
      <c r="J57" s="4">
        <v>-37.155845</v>
      </c>
      <c r="K57" s="4">
        <v>-5.6246475</v>
      </c>
      <c r="L57" s="5">
        <f t="shared" si="8"/>
        <v>-2.0067169695</v>
      </c>
      <c r="M57" s="5">
        <f t="shared" si="9"/>
        <v>-0.367137710550001</v>
      </c>
      <c r="N57" s="5">
        <f t="shared" si="10"/>
        <v>-1.664360822</v>
      </c>
      <c r="O57" s="5">
        <f t="shared" si="11"/>
        <v>0.0224842122000007</v>
      </c>
    </row>
    <row r="58" ht="15.6" spans="1:15">
      <c r="A58" s="12"/>
      <c r="B58" s="13">
        <v>15</v>
      </c>
      <c r="C58" s="8">
        <v>16.9573870967742</v>
      </c>
      <c r="D58" s="7">
        <v>37.6327096774193</v>
      </c>
      <c r="E58" s="14">
        <v>25</v>
      </c>
      <c r="F58" s="4">
        <v>-41.6549825</v>
      </c>
      <c r="G58" s="4">
        <v>-5.39382166666667</v>
      </c>
      <c r="H58" s="4">
        <v>-48.23142</v>
      </c>
      <c r="I58" s="4">
        <v>-6.45232</v>
      </c>
      <c r="J58" s="4">
        <v>-39.9789175</v>
      </c>
      <c r="K58" s="4">
        <v>-5.69483375</v>
      </c>
      <c r="L58" s="5">
        <f t="shared" si="8"/>
        <v>-2.13191494241935</v>
      </c>
      <c r="M58" s="5">
        <f t="shared" si="9"/>
        <v>-0.509620546887096</v>
      </c>
      <c r="N58" s="5">
        <f t="shared" si="10"/>
        <v>-1.70982823193548</v>
      </c>
      <c r="O58" s="5">
        <f t="shared" si="11"/>
        <v>-0.0292604397096786</v>
      </c>
    </row>
    <row r="59" ht="15.6" spans="1:15">
      <c r="A59" s="12"/>
      <c r="B59" s="13">
        <v>15</v>
      </c>
      <c r="C59" s="8">
        <v>13.2068387096774</v>
      </c>
      <c r="D59" s="7">
        <v>34.2825161290323</v>
      </c>
      <c r="E59" s="14">
        <v>26</v>
      </c>
      <c r="F59" s="4">
        <v>-45.374958</v>
      </c>
      <c r="G59" s="4">
        <v>-5.365491</v>
      </c>
      <c r="H59" s="4">
        <v>-78.704125</v>
      </c>
      <c r="I59" s="4">
        <v>-10.195565</v>
      </c>
      <c r="J59" s="4">
        <v>-59.492085</v>
      </c>
      <c r="K59" s="4">
        <v>-7.97980125</v>
      </c>
      <c r="L59" s="5">
        <f t="shared" si="8"/>
        <v>-2.20848238774194</v>
      </c>
      <c r="M59" s="5">
        <f t="shared" si="9"/>
        <v>-0.59675891283871</v>
      </c>
      <c r="N59" s="5">
        <f t="shared" si="10"/>
        <v>-1.77822243322581</v>
      </c>
      <c r="O59" s="5">
        <f t="shared" si="11"/>
        <v>-0.107097161516128</v>
      </c>
    </row>
    <row r="60" ht="15.6" spans="1:15">
      <c r="A60" s="12"/>
      <c r="B60" s="13">
        <v>15</v>
      </c>
      <c r="C60" s="8">
        <v>13.7445925925926</v>
      </c>
      <c r="D60" s="7">
        <v>36.256037037037</v>
      </c>
      <c r="E60" s="14">
        <v>27</v>
      </c>
      <c r="F60" s="4">
        <v>-61.1186066666667</v>
      </c>
      <c r="G60" s="4">
        <v>-7.35826833333333</v>
      </c>
      <c r="H60" s="4">
        <v>-68.32683</v>
      </c>
      <c r="I60" s="4">
        <v>-8.519245</v>
      </c>
      <c r="J60" s="4">
        <v>-57.34605</v>
      </c>
      <c r="K60" s="4">
        <v>-7.53286125</v>
      </c>
      <c r="L60" s="5">
        <f t="shared" si="8"/>
        <v>-2.19750414222222</v>
      </c>
      <c r="M60" s="5">
        <f t="shared" si="9"/>
        <v>-0.584265008</v>
      </c>
      <c r="N60" s="5">
        <f t="shared" si="10"/>
        <v>-1.73793300388889</v>
      </c>
      <c r="O60" s="5">
        <f t="shared" si="11"/>
        <v>-0.061245363500001</v>
      </c>
    </row>
    <row r="61" ht="15.6" spans="1:15">
      <c r="A61" s="12"/>
      <c r="B61" s="13">
        <v>15</v>
      </c>
      <c r="C61" s="8">
        <v>13.491</v>
      </c>
      <c r="D61" s="7">
        <v>35.5868</v>
      </c>
      <c r="E61" s="14">
        <v>28</v>
      </c>
      <c r="F61" s="4">
        <v>-54.075635</v>
      </c>
      <c r="G61" s="4">
        <v>-5.7451325</v>
      </c>
      <c r="H61" s="4">
        <v>-42.78792</v>
      </c>
      <c r="I61" s="4">
        <v>-4.973525</v>
      </c>
      <c r="J61" s="4">
        <v>-51.15266625</v>
      </c>
      <c r="K61" s="4">
        <v>-6.64801</v>
      </c>
      <c r="L61" s="5">
        <f t="shared" si="8"/>
        <v>-2.202681235</v>
      </c>
      <c r="M61" s="5">
        <f t="shared" si="9"/>
        <v>-0.5901568515</v>
      </c>
      <c r="N61" s="5">
        <f t="shared" si="10"/>
        <v>-1.751595478</v>
      </c>
      <c r="O61" s="5">
        <f t="shared" si="11"/>
        <v>-0.0767940822000001</v>
      </c>
    </row>
    <row r="62" ht="15.6" spans="1:15">
      <c r="A62" s="12" t="s">
        <v>11</v>
      </c>
      <c r="B62" s="13">
        <v>27</v>
      </c>
      <c r="C62" s="9">
        <v>16.25</v>
      </c>
      <c r="D62" s="9">
        <v>32.9833333333333</v>
      </c>
      <c r="E62" s="14">
        <v>1</v>
      </c>
      <c r="F62" s="4">
        <v>-34.9915312708303</v>
      </c>
      <c r="G62" s="4">
        <v>-4.18430153127203</v>
      </c>
      <c r="H62" s="4">
        <v>-32.7239145099416</v>
      </c>
      <c r="I62" s="4">
        <v>-0.270296971444295</v>
      </c>
      <c r="J62" s="4">
        <v>-53.4312735617726</v>
      </c>
      <c r="K62" s="4">
        <v>-7.98428232418698</v>
      </c>
      <c r="L62" s="5">
        <f t="shared" ref="L62:L78" si="12">-0.223-15.034*B62/100+13.61*B62/100*C62/100</f>
        <v>-3.68504125</v>
      </c>
      <c r="M62" s="5">
        <f t="shared" ref="M62:M78" si="13">-0.291-4.084*B62/100+15.489*B62/100*C62/100</f>
        <v>-0.714100125</v>
      </c>
      <c r="N62" s="5">
        <f t="shared" ref="N62:N78" si="14">-0.223-15.034*B62/100+13.61*B62/100*D62/100</f>
        <v>-3.07014145</v>
      </c>
      <c r="O62" s="5">
        <f t="shared" ref="O62:O78" si="15">-0.291-4.084*B62/100+15.489*B62/100*D62/100</f>
        <v>-0.0143071050000012</v>
      </c>
    </row>
    <row r="63" ht="15.6" spans="1:15">
      <c r="A63" s="12"/>
      <c r="B63" s="13">
        <v>27</v>
      </c>
      <c r="C63" s="9">
        <v>17.065</v>
      </c>
      <c r="D63" s="9">
        <v>32.5766666666667</v>
      </c>
      <c r="E63" s="14">
        <v>2</v>
      </c>
      <c r="F63" s="4">
        <v>-41.5860049765065</v>
      </c>
      <c r="G63" s="4">
        <v>-5.68254450919033</v>
      </c>
      <c r="H63" s="4">
        <v>-37.061300601709</v>
      </c>
      <c r="I63" s="4">
        <v>-0.96532012120392</v>
      </c>
      <c r="J63" s="4">
        <v>-51.2791069993261</v>
      </c>
      <c r="K63" s="4">
        <v>-7.44789464726703</v>
      </c>
      <c r="L63" s="5">
        <f t="shared" si="12"/>
        <v>-3.655092445</v>
      </c>
      <c r="M63" s="5">
        <f t="shared" si="13"/>
        <v>-0.6800165805</v>
      </c>
      <c r="N63" s="5">
        <f t="shared" si="14"/>
        <v>-3.08508523</v>
      </c>
      <c r="O63" s="5">
        <f t="shared" si="15"/>
        <v>-0.0313140269999981</v>
      </c>
    </row>
    <row r="64" ht="15.6" spans="1:15">
      <c r="A64" s="12"/>
      <c r="B64" s="13">
        <v>27</v>
      </c>
      <c r="C64" s="9">
        <v>19.075</v>
      </c>
      <c r="D64" s="9">
        <v>31.92</v>
      </c>
      <c r="E64" s="14">
        <v>3</v>
      </c>
      <c r="F64" s="4">
        <v>-36.1053322291288</v>
      </c>
      <c r="G64" s="4">
        <v>-2.64546089956779</v>
      </c>
      <c r="H64" s="4">
        <v>-36.2312742325404</v>
      </c>
      <c r="I64" s="4">
        <v>-0.848479889336285</v>
      </c>
      <c r="J64" s="4">
        <v>-52.3646239237952</v>
      </c>
      <c r="K64" s="4">
        <v>-7.57344932944462</v>
      </c>
      <c r="L64" s="5">
        <f t="shared" si="12"/>
        <v>-3.581230975</v>
      </c>
      <c r="M64" s="5">
        <f t="shared" si="13"/>
        <v>-0.5959577775</v>
      </c>
      <c r="N64" s="5">
        <f t="shared" si="14"/>
        <v>-3.10921576</v>
      </c>
      <c r="O64" s="5">
        <f t="shared" si="15"/>
        <v>-0.0587760239999995</v>
      </c>
    </row>
    <row r="65" ht="15.6" spans="1:15">
      <c r="A65" s="12"/>
      <c r="B65" s="13">
        <v>27</v>
      </c>
      <c r="C65" s="9">
        <v>30.68</v>
      </c>
      <c r="D65" s="9">
        <v>40.2133333333333</v>
      </c>
      <c r="E65" s="14">
        <v>4</v>
      </c>
      <c r="F65" s="4">
        <v>-51.2396479319233</v>
      </c>
      <c r="G65" s="4">
        <v>-6.66149235556791</v>
      </c>
      <c r="H65" s="4">
        <v>-57.7002487074426</v>
      </c>
      <c r="I65" s="4">
        <v>-8.16599387996146</v>
      </c>
      <c r="J65" s="4">
        <v>-52.8391805624096</v>
      </c>
      <c r="K65" s="4">
        <v>-7.30920772255453</v>
      </c>
      <c r="L65" s="5">
        <f t="shared" si="12"/>
        <v>-3.15478204</v>
      </c>
      <c r="M65" s="5">
        <f t="shared" si="13"/>
        <v>-0.110633196</v>
      </c>
      <c r="N65" s="5">
        <f t="shared" si="14"/>
        <v>-2.80446064</v>
      </c>
      <c r="O65" s="5">
        <f t="shared" si="15"/>
        <v>0.288053663999999</v>
      </c>
    </row>
    <row r="66" ht="15.6" spans="1:15">
      <c r="A66" s="12"/>
      <c r="B66" s="13">
        <v>27</v>
      </c>
      <c r="C66" s="9">
        <v>19.365</v>
      </c>
      <c r="D66" s="9">
        <v>38.2833333333333</v>
      </c>
      <c r="E66" s="14">
        <v>5</v>
      </c>
      <c r="F66" s="4">
        <v>-48.376735080003</v>
      </c>
      <c r="G66" s="4">
        <v>-6.04152964969594</v>
      </c>
      <c r="H66" s="4">
        <v>-51.9127381039554</v>
      </c>
      <c r="I66" s="4">
        <v>-5.82057546681261</v>
      </c>
      <c r="J66" s="4">
        <v>-53.4822031294606</v>
      </c>
      <c r="K66" s="4">
        <v>-8.04865682002929</v>
      </c>
      <c r="L66" s="5">
        <f t="shared" si="12"/>
        <v>-3.570574345</v>
      </c>
      <c r="M66" s="5">
        <f t="shared" si="13"/>
        <v>-0.5838298905</v>
      </c>
      <c r="N66" s="5">
        <f t="shared" si="14"/>
        <v>-2.87538235</v>
      </c>
      <c r="O66" s="5">
        <f t="shared" si="15"/>
        <v>0.207340484999999</v>
      </c>
    </row>
    <row r="67" ht="15.6" spans="1:15">
      <c r="A67" s="12"/>
      <c r="B67" s="13">
        <v>27</v>
      </c>
      <c r="C67" s="9">
        <v>15.485</v>
      </c>
      <c r="D67" s="9">
        <v>34.3833333333333</v>
      </c>
      <c r="E67" s="14">
        <v>6</v>
      </c>
      <c r="F67" s="4">
        <v>-52.8710680961187</v>
      </c>
      <c r="G67" s="4">
        <v>-6.52376531024202</v>
      </c>
      <c r="H67" s="4">
        <v>-50.1225829626655</v>
      </c>
      <c r="I67" s="4">
        <v>-3.87124833369673</v>
      </c>
      <c r="J67" s="4">
        <v>-53.2278154722011</v>
      </c>
      <c r="K67" s="4">
        <v>-7.3607013229075</v>
      </c>
      <c r="L67" s="5">
        <f t="shared" si="12"/>
        <v>-3.713152705</v>
      </c>
      <c r="M67" s="5">
        <f t="shared" si="13"/>
        <v>-0.7460926545</v>
      </c>
      <c r="N67" s="5">
        <f t="shared" si="14"/>
        <v>-3.01869565</v>
      </c>
      <c r="O67" s="5">
        <f t="shared" si="15"/>
        <v>0.0442413149999985</v>
      </c>
    </row>
    <row r="68" ht="15.6" spans="1:15">
      <c r="A68" s="12"/>
      <c r="B68" s="13">
        <v>27</v>
      </c>
      <c r="C68" s="9">
        <v>36.56</v>
      </c>
      <c r="D68" s="9">
        <v>42.2066666666667</v>
      </c>
      <c r="E68" s="14">
        <v>7</v>
      </c>
      <c r="F68" s="4">
        <v>-50.149115304967</v>
      </c>
      <c r="G68" s="4">
        <v>-7.33723541060488</v>
      </c>
      <c r="H68" s="4">
        <v>-52.8303157885958</v>
      </c>
      <c r="I68" s="4">
        <v>-8.51488026274065</v>
      </c>
      <c r="J68" s="4">
        <v>-52.3333998813083</v>
      </c>
      <c r="K68" s="4">
        <v>-7.96111530149312</v>
      </c>
      <c r="L68" s="5">
        <f t="shared" si="12"/>
        <v>-2.93870968</v>
      </c>
      <c r="M68" s="5">
        <f t="shared" si="13"/>
        <v>0.135270168</v>
      </c>
      <c r="N68" s="5">
        <f t="shared" si="14"/>
        <v>-2.73121162</v>
      </c>
      <c r="O68" s="5">
        <f t="shared" si="15"/>
        <v>0.371415462000001</v>
      </c>
    </row>
    <row r="69" ht="15.6" spans="1:15">
      <c r="A69" s="12"/>
      <c r="B69" s="13">
        <v>27</v>
      </c>
      <c r="C69" s="9">
        <v>22.455</v>
      </c>
      <c r="D69" s="9">
        <v>37.8666666666667</v>
      </c>
      <c r="E69" s="14">
        <v>8</v>
      </c>
      <c r="F69" s="4">
        <v>-41.5272897524389</v>
      </c>
      <c r="G69" s="4">
        <v>-5.43021171675441</v>
      </c>
      <c r="H69" s="4">
        <v>-39.4701042796433</v>
      </c>
      <c r="I69" s="4">
        <v>-4.22896726671916</v>
      </c>
      <c r="J69" s="4">
        <v>-51.9149095254626</v>
      </c>
      <c r="K69" s="4">
        <v>-7.07009266550213</v>
      </c>
      <c r="L69" s="5">
        <f t="shared" si="12"/>
        <v>-3.457026115</v>
      </c>
      <c r="M69" s="5">
        <f t="shared" si="13"/>
        <v>-0.4546051635</v>
      </c>
      <c r="N69" s="5">
        <f t="shared" si="14"/>
        <v>-2.8906936</v>
      </c>
      <c r="O69" s="5">
        <f t="shared" si="15"/>
        <v>0.189915360000002</v>
      </c>
    </row>
    <row r="70" ht="15.6" spans="1:15">
      <c r="A70" s="12"/>
      <c r="B70" s="13">
        <v>27</v>
      </c>
      <c r="C70" s="9">
        <v>26.27</v>
      </c>
      <c r="D70" s="9">
        <v>35.3033333333333</v>
      </c>
      <c r="E70" s="14">
        <v>9</v>
      </c>
      <c r="F70" s="4">
        <v>-46.7840131348222</v>
      </c>
      <c r="G70" s="4">
        <v>-5.35451761881122</v>
      </c>
      <c r="H70" s="4">
        <v>-42.5313478558424</v>
      </c>
      <c r="I70" s="4">
        <v>-5.00354240857867</v>
      </c>
      <c r="J70" s="4">
        <v>-52.9569196216889</v>
      </c>
      <c r="K70" s="4">
        <v>-7.62311458734275</v>
      </c>
      <c r="L70" s="5">
        <f t="shared" si="12"/>
        <v>-3.31683631</v>
      </c>
      <c r="M70" s="5">
        <f t="shared" si="13"/>
        <v>-0.295060719</v>
      </c>
      <c r="N70" s="5">
        <f t="shared" si="14"/>
        <v>-2.98488841</v>
      </c>
      <c r="O70" s="5">
        <f t="shared" si="15"/>
        <v>0.0827159909999988</v>
      </c>
    </row>
    <row r="71" ht="15.6" spans="1:15">
      <c r="A71" s="12"/>
      <c r="B71" s="13">
        <v>27</v>
      </c>
      <c r="C71" s="9">
        <v>42.575</v>
      </c>
      <c r="D71" s="9">
        <v>43.9666666666667</v>
      </c>
      <c r="E71" s="14">
        <v>10</v>
      </c>
      <c r="F71" s="4">
        <v>-48.905614597951</v>
      </c>
      <c r="G71" s="4">
        <v>-6.48486188233055</v>
      </c>
      <c r="H71" s="4">
        <v>-53.4751986965424</v>
      </c>
      <c r="I71" s="4">
        <v>-8.16246792221836</v>
      </c>
      <c r="J71" s="4">
        <v>-52.9225720878708</v>
      </c>
      <c r="K71" s="4">
        <v>-7.59083393481565</v>
      </c>
      <c r="L71" s="5">
        <f t="shared" si="12"/>
        <v>-2.717676475</v>
      </c>
      <c r="M71" s="5">
        <f t="shared" si="13"/>
        <v>0.3868192725</v>
      </c>
      <c r="N71" s="5">
        <f t="shared" si="14"/>
        <v>-2.6665369</v>
      </c>
      <c r="O71" s="5">
        <f t="shared" si="15"/>
        <v>0.445019190000001</v>
      </c>
    </row>
    <row r="72" ht="15.6" spans="1:15">
      <c r="A72" s="12"/>
      <c r="B72" s="13">
        <v>27</v>
      </c>
      <c r="C72" s="9">
        <v>25.825</v>
      </c>
      <c r="D72" s="9">
        <v>40.36</v>
      </c>
      <c r="E72" s="14">
        <v>11</v>
      </c>
      <c r="F72" s="4">
        <v>-45.0723510511839</v>
      </c>
      <c r="G72" s="4">
        <v>-6.50220007682215</v>
      </c>
      <c r="H72" s="4">
        <v>-45.4148088454221</v>
      </c>
      <c r="I72" s="4">
        <v>-5.27491464716308</v>
      </c>
      <c r="J72" s="4">
        <v>-53.572327950928</v>
      </c>
      <c r="K72" s="4">
        <v>-7.27003295067257</v>
      </c>
      <c r="L72" s="5">
        <f t="shared" si="12"/>
        <v>-3.333188725</v>
      </c>
      <c r="M72" s="5">
        <f t="shared" si="13"/>
        <v>-0.3136707525</v>
      </c>
      <c r="N72" s="5">
        <f t="shared" si="14"/>
        <v>-2.79907108</v>
      </c>
      <c r="O72" s="5">
        <f t="shared" si="15"/>
        <v>0.294187308</v>
      </c>
    </row>
    <row r="73" ht="15.6" spans="1:15">
      <c r="A73" s="12"/>
      <c r="B73" s="13">
        <v>27</v>
      </c>
      <c r="C73" s="9">
        <v>25.38</v>
      </c>
      <c r="D73" s="9">
        <v>37.33</v>
      </c>
      <c r="E73" s="14">
        <v>12</v>
      </c>
      <c r="F73" s="4">
        <v>-45.9844749262982</v>
      </c>
      <c r="G73" s="4">
        <v>-6.40739256109699</v>
      </c>
      <c r="H73" s="4">
        <v>-45.7470247148501</v>
      </c>
      <c r="I73" s="4">
        <v>-6.33778078419613</v>
      </c>
      <c r="J73" s="4">
        <v>-52.1885332657922</v>
      </c>
      <c r="K73" s="4">
        <v>-7.76757517748351</v>
      </c>
      <c r="L73" s="5">
        <f t="shared" si="12"/>
        <v>-3.34954114</v>
      </c>
      <c r="M73" s="5">
        <f t="shared" si="13"/>
        <v>-0.332280786</v>
      </c>
      <c r="N73" s="5">
        <f t="shared" si="14"/>
        <v>-2.91041449</v>
      </c>
      <c r="O73" s="5">
        <f t="shared" si="15"/>
        <v>0.167471799</v>
      </c>
    </row>
    <row r="74" ht="15.6" spans="1:15">
      <c r="A74" s="12"/>
      <c r="B74" s="13">
        <v>27</v>
      </c>
      <c r="C74" s="9">
        <v>20.325</v>
      </c>
      <c r="D74" s="9">
        <v>33.7766666666667</v>
      </c>
      <c r="E74" s="14">
        <v>13</v>
      </c>
      <c r="F74" s="4">
        <v>-47.5128789833894</v>
      </c>
      <c r="G74" s="4">
        <v>-5.95791948999552</v>
      </c>
      <c r="H74" s="4">
        <v>-36.4192928644687</v>
      </c>
      <c r="I74" s="4">
        <v>-4.33542217926158</v>
      </c>
      <c r="J74" s="4">
        <v>-51.0757139949398</v>
      </c>
      <c r="K74" s="4">
        <v>-7.29643694020326</v>
      </c>
      <c r="L74" s="5">
        <f t="shared" si="12"/>
        <v>-3.535297225</v>
      </c>
      <c r="M74" s="5">
        <f t="shared" si="13"/>
        <v>-0.5436824025</v>
      </c>
      <c r="N74" s="5">
        <f t="shared" si="14"/>
        <v>-3.04098883</v>
      </c>
      <c r="O74" s="5">
        <f t="shared" si="15"/>
        <v>0.0188703330000017</v>
      </c>
    </row>
    <row r="75" ht="15.6" spans="1:15">
      <c r="A75" s="12"/>
      <c r="B75" s="13">
        <v>27</v>
      </c>
      <c r="C75" s="9">
        <v>42.715</v>
      </c>
      <c r="D75" s="9">
        <v>42.93</v>
      </c>
      <c r="E75" s="14">
        <v>14</v>
      </c>
      <c r="F75" s="4">
        <v>-48.8624352861732</v>
      </c>
      <c r="G75" s="4">
        <v>-6.43508344599897</v>
      </c>
      <c r="H75" s="4">
        <v>-54.3008500450726</v>
      </c>
      <c r="I75" s="4">
        <v>-8.03319656843321</v>
      </c>
      <c r="J75" s="4">
        <v>-51.2105732838574</v>
      </c>
      <c r="K75" s="4">
        <v>-7.48862549193687</v>
      </c>
      <c r="L75" s="5">
        <f t="shared" si="12"/>
        <v>-2.712531895</v>
      </c>
      <c r="M75" s="5">
        <f t="shared" si="13"/>
        <v>0.3926741145</v>
      </c>
      <c r="N75" s="5">
        <f t="shared" si="14"/>
        <v>-2.70463129</v>
      </c>
      <c r="O75" s="5">
        <f t="shared" si="15"/>
        <v>0.401665479</v>
      </c>
    </row>
    <row r="76" ht="15.6" spans="1:15">
      <c r="A76" s="12"/>
      <c r="B76" s="13">
        <v>27</v>
      </c>
      <c r="C76" s="9">
        <v>27.13</v>
      </c>
      <c r="D76" s="9">
        <v>38.09</v>
      </c>
      <c r="E76" s="14">
        <v>15</v>
      </c>
      <c r="F76" s="4">
        <v>-48.6975152794442</v>
      </c>
      <c r="G76" s="4">
        <v>-6.67865039756022</v>
      </c>
      <c r="H76" s="4">
        <v>-47.4400308608386</v>
      </c>
      <c r="I76" s="4">
        <v>-6.26140066561341</v>
      </c>
      <c r="J76" s="4">
        <v>-55.5349752223433</v>
      </c>
      <c r="K76" s="4">
        <v>-8.12586741638268</v>
      </c>
      <c r="L76" s="5">
        <f t="shared" si="12"/>
        <v>-3.28523389</v>
      </c>
      <c r="M76" s="5">
        <f t="shared" si="13"/>
        <v>-0.259095261</v>
      </c>
      <c r="N76" s="5">
        <f t="shared" si="14"/>
        <v>-2.88248677</v>
      </c>
      <c r="O76" s="5">
        <f t="shared" si="15"/>
        <v>0.199255227</v>
      </c>
    </row>
    <row r="77" ht="15.6" spans="1:15">
      <c r="A77" s="12"/>
      <c r="B77" s="13">
        <v>27</v>
      </c>
      <c r="C77" s="9">
        <v>19.13</v>
      </c>
      <c r="D77" s="9">
        <v>33.4166666666667</v>
      </c>
      <c r="E77" s="14">
        <v>16</v>
      </c>
      <c r="F77" s="4">
        <v>-51.4203785163486</v>
      </c>
      <c r="G77" s="4">
        <v>-7.23154100679218</v>
      </c>
      <c r="H77" s="4">
        <v>-44.5957682243453</v>
      </c>
      <c r="I77" s="4">
        <v>-5.67302894882006</v>
      </c>
      <c r="J77" s="4">
        <v>-53.4373082530193</v>
      </c>
      <c r="K77" s="4">
        <v>-7.65871762057473</v>
      </c>
      <c r="L77" s="5">
        <f t="shared" si="12"/>
        <v>-3.57920989</v>
      </c>
      <c r="M77" s="5">
        <f t="shared" si="13"/>
        <v>-0.593657661</v>
      </c>
      <c r="N77" s="5">
        <f t="shared" si="14"/>
        <v>-3.05421775</v>
      </c>
      <c r="O77" s="5">
        <f t="shared" si="15"/>
        <v>0.00381502500000175</v>
      </c>
    </row>
    <row r="78" ht="15.6" spans="1:15">
      <c r="A78" s="12"/>
      <c r="B78" s="13">
        <v>27</v>
      </c>
      <c r="C78" s="9">
        <v>17.065</v>
      </c>
      <c r="D78" s="9">
        <v>29.98</v>
      </c>
      <c r="E78" s="14">
        <v>17</v>
      </c>
      <c r="F78" s="4">
        <v>-41.6996915528047</v>
      </c>
      <c r="G78" s="4">
        <v>-5.67557587693143</v>
      </c>
      <c r="H78" s="4">
        <v>-45.4382371283807</v>
      </c>
      <c r="I78" s="4">
        <v>-5.39852416031574</v>
      </c>
      <c r="J78" s="4">
        <v>-54.2251746326551</v>
      </c>
      <c r="K78" s="4">
        <v>-7.97745105224082</v>
      </c>
      <c r="L78" s="5">
        <f t="shared" si="12"/>
        <v>-3.655092445</v>
      </c>
      <c r="M78" s="5">
        <f t="shared" si="13"/>
        <v>-0.6800165805</v>
      </c>
      <c r="N78" s="5">
        <f t="shared" si="14"/>
        <v>-3.18050494</v>
      </c>
      <c r="O78" s="5">
        <f t="shared" si="15"/>
        <v>-0.139907406</v>
      </c>
    </row>
    <row r="79" ht="15.6" spans="1:15">
      <c r="A79" s="12" t="s">
        <v>12</v>
      </c>
      <c r="B79" s="13">
        <v>10.5</v>
      </c>
      <c r="C79" s="7">
        <v>7.012</v>
      </c>
      <c r="D79" s="7">
        <v>6.54946666666667</v>
      </c>
      <c r="E79" s="14">
        <v>1</v>
      </c>
      <c r="F79" s="4">
        <v>-55.8766666666667</v>
      </c>
      <c r="G79" s="4">
        <v>-7.74</v>
      </c>
      <c r="H79" s="4">
        <v>-43.52</v>
      </c>
      <c r="I79" s="4">
        <v>-5.05</v>
      </c>
      <c r="J79" s="4">
        <v>-56.2542857142857</v>
      </c>
      <c r="K79" s="4">
        <v>-7.54571428571429</v>
      </c>
      <c r="L79" s="5">
        <f t="shared" ref="L79:L84" si="16">-0.223-15.034*B79/100+13.61*B79/100*C79/100</f>
        <v>-1.701365014</v>
      </c>
      <c r="M79" s="5">
        <f t="shared" ref="M79:M84" si="17">-0.291-4.084*B79/100+15.489*B79/100*C79/100</f>
        <v>-0.6057806886</v>
      </c>
      <c r="N79" s="5">
        <f t="shared" ref="N79:N84" si="18">-0.223-15.034*B79/100+13.61*B79/100*D79/100</f>
        <v>-1.7079748466</v>
      </c>
      <c r="O79" s="5">
        <f t="shared" ref="O79:O84" si="19">-0.291-4.084*B79/100+15.489*B79/100*D79/100</f>
        <v>-0.61330307634</v>
      </c>
    </row>
    <row r="80" ht="15.6" spans="1:15">
      <c r="A80" s="12"/>
      <c r="B80" s="13">
        <v>10.5</v>
      </c>
      <c r="C80" s="7">
        <v>6.11</v>
      </c>
      <c r="D80" s="7">
        <v>6.4374</v>
      </c>
      <c r="E80" s="14">
        <v>2</v>
      </c>
      <c r="F80" s="4">
        <v>-53.27</v>
      </c>
      <c r="G80" s="4">
        <v>-7.06</v>
      </c>
      <c r="H80" s="4">
        <v>-48.89</v>
      </c>
      <c r="I80" s="4">
        <v>-6.98</v>
      </c>
      <c r="J80" s="4">
        <v>-59.2857142857143</v>
      </c>
      <c r="K80" s="4">
        <v>-7.96714285714286</v>
      </c>
      <c r="L80" s="5">
        <f t="shared" si="16"/>
        <v>-1.714255045</v>
      </c>
      <c r="M80" s="5">
        <f t="shared" si="17"/>
        <v>-0.6204503205</v>
      </c>
      <c r="N80" s="5">
        <f t="shared" si="18"/>
        <v>-1.7095763353</v>
      </c>
      <c r="O80" s="5">
        <f t="shared" si="19"/>
        <v>-0.61512566697</v>
      </c>
    </row>
    <row r="81" ht="15.6" spans="1:15">
      <c r="A81" s="12"/>
      <c r="B81" s="13">
        <v>10.5</v>
      </c>
      <c r="C81" s="7">
        <v>5.02</v>
      </c>
      <c r="D81" s="7">
        <v>4.9467</v>
      </c>
      <c r="E81" s="14">
        <v>3</v>
      </c>
      <c r="F81" s="4">
        <v>-52.9066666666667</v>
      </c>
      <c r="G81" s="4">
        <v>-6.79</v>
      </c>
      <c r="H81" s="4">
        <v>-46.95</v>
      </c>
      <c r="I81" s="4">
        <v>-6.19</v>
      </c>
      <c r="J81" s="4">
        <v>-65.1842857142857</v>
      </c>
      <c r="K81" s="4">
        <v>-9.45285714285714</v>
      </c>
      <c r="L81" s="5">
        <f t="shared" si="16"/>
        <v>-1.72983169</v>
      </c>
      <c r="M81" s="5">
        <f t="shared" si="17"/>
        <v>-0.638177481</v>
      </c>
      <c r="N81" s="5">
        <f t="shared" si="18"/>
        <v>-1.73087918365</v>
      </c>
      <c r="O81" s="5">
        <f t="shared" si="19"/>
        <v>-0.639369591885</v>
      </c>
    </row>
    <row r="82" ht="15.6" spans="1:15">
      <c r="A82" s="12"/>
      <c r="B82" s="13">
        <v>10.5</v>
      </c>
      <c r="C82" s="7">
        <v>10.4</v>
      </c>
      <c r="D82" s="7">
        <v>7.8842</v>
      </c>
      <c r="E82" s="14">
        <v>4</v>
      </c>
      <c r="F82" s="4">
        <v>-71.6533333333333</v>
      </c>
      <c r="G82" s="4">
        <v>-9.20333333333333</v>
      </c>
      <c r="H82" s="4">
        <v>-62.01</v>
      </c>
      <c r="I82" s="4">
        <v>-7.18</v>
      </c>
      <c r="J82" s="4">
        <v>-68.6985714285714</v>
      </c>
      <c r="K82" s="4">
        <v>-9.15714285714286</v>
      </c>
      <c r="L82" s="5">
        <f t="shared" si="16"/>
        <v>-1.6529488</v>
      </c>
      <c r="M82" s="5">
        <f t="shared" si="17"/>
        <v>-0.55068012</v>
      </c>
      <c r="N82" s="5">
        <f t="shared" si="18"/>
        <v>-1.6889008399</v>
      </c>
      <c r="O82" s="5">
        <f t="shared" si="19"/>
        <v>-0.59159570751</v>
      </c>
    </row>
    <row r="83" ht="15.6" spans="1:15">
      <c r="A83" s="12"/>
      <c r="B83" s="13">
        <v>10.5</v>
      </c>
      <c r="C83" s="7">
        <v>9.58</v>
      </c>
      <c r="D83" s="7">
        <v>7.65311666666666</v>
      </c>
      <c r="E83" s="14">
        <v>5</v>
      </c>
      <c r="F83" s="4">
        <v>-67.15</v>
      </c>
      <c r="G83" s="4">
        <v>-9.62</v>
      </c>
      <c r="H83" s="4">
        <v>-63.7</v>
      </c>
      <c r="I83" s="4">
        <v>-8.82</v>
      </c>
      <c r="J83" s="4">
        <v>-70.4414285714286</v>
      </c>
      <c r="K83" s="4">
        <v>-11.0185714285714</v>
      </c>
      <c r="L83" s="5">
        <f t="shared" si="16"/>
        <v>-1.66466701</v>
      </c>
      <c r="M83" s="5">
        <f t="shared" si="17"/>
        <v>-0.564016149</v>
      </c>
      <c r="N83" s="5">
        <f t="shared" si="18"/>
        <v>-1.692203136275</v>
      </c>
      <c r="O83" s="5">
        <f t="shared" si="19"/>
        <v>-0.5953539197475</v>
      </c>
    </row>
    <row r="84" ht="15.6" spans="1:15">
      <c r="A84" s="12"/>
      <c r="B84" s="13">
        <v>10.5</v>
      </c>
      <c r="C84" s="7">
        <v>11.12</v>
      </c>
      <c r="D84" s="7">
        <v>8.36391666666667</v>
      </c>
      <c r="E84" s="14">
        <v>6</v>
      </c>
      <c r="F84" s="4">
        <v>-72.52</v>
      </c>
      <c r="G84" s="4">
        <v>-10.0666666666667</v>
      </c>
      <c r="H84" s="4">
        <v>-69.61</v>
      </c>
      <c r="I84" s="4">
        <v>-9.06</v>
      </c>
      <c r="J84" s="4">
        <v>-74.49</v>
      </c>
      <c r="K84" s="4">
        <v>-11.0542857142857</v>
      </c>
      <c r="L84" s="5">
        <f t="shared" si="16"/>
        <v>-1.64265964</v>
      </c>
      <c r="M84" s="5">
        <f t="shared" si="17"/>
        <v>-0.538970436</v>
      </c>
      <c r="N84" s="5">
        <f t="shared" si="18"/>
        <v>-1.682045448875</v>
      </c>
      <c r="O84" s="5">
        <f t="shared" si="19"/>
        <v>-0.5837938594875</v>
      </c>
    </row>
    <row r="85" ht="15.6" spans="1:15">
      <c r="A85" s="12" t="s">
        <v>13</v>
      </c>
      <c r="B85" s="13">
        <v>47.8</v>
      </c>
      <c r="C85" s="7">
        <v>23.9966770933645</v>
      </c>
      <c r="D85" s="7">
        <v>21.5543924922476</v>
      </c>
      <c r="E85" s="14">
        <v>1</v>
      </c>
      <c r="F85" s="3">
        <v>-83.2660238713154</v>
      </c>
      <c r="G85" s="4">
        <v>-9.70455514578834</v>
      </c>
      <c r="H85" s="4">
        <v>-59.1128310572344</v>
      </c>
      <c r="I85" s="4">
        <v>-7.01918533105281</v>
      </c>
      <c r="J85" s="4">
        <v>-71.2882403073472</v>
      </c>
      <c r="K85" s="4">
        <v>-10.5178269718614</v>
      </c>
      <c r="L85" s="5">
        <f t="shared" ref="L85:L93" si="20">-2.693-1.187*B85/100-1.471*C85/100</f>
        <v>-3.61337712004339</v>
      </c>
      <c r="M85" s="5">
        <f t="shared" ref="M85:M93" si="21">-0.779+3.942*B85/100-11.583*B85/100*B85/100+1.073*C85/100</f>
        <v>-1.2837698267882</v>
      </c>
      <c r="N85" s="5">
        <f t="shared" ref="N85:N93" si="22">-2.693-1.187*B85/100-1.471*D85/100</f>
        <v>-3.57745111356096</v>
      </c>
      <c r="O85" s="5">
        <f t="shared" ref="O85:O93" si="23">-0.779+3.942*B85/100-11.583*B85/100*B85/100+1.073*D85/100</f>
        <v>-1.30997554055818</v>
      </c>
    </row>
    <row r="86" ht="15.6" spans="1:15">
      <c r="A86" s="12"/>
      <c r="B86" s="13">
        <v>47.8</v>
      </c>
      <c r="C86" s="7">
        <v>22.0498097894257</v>
      </c>
      <c r="D86" s="7">
        <v>20.203731587482</v>
      </c>
      <c r="E86" s="14">
        <v>2</v>
      </c>
      <c r="F86" s="3">
        <v>-77.1551454581159</v>
      </c>
      <c r="G86" s="4">
        <v>-8.3195341945597</v>
      </c>
      <c r="H86" s="4">
        <v>-61.2098955654803</v>
      </c>
      <c r="I86" s="4">
        <v>-6.66540462387949</v>
      </c>
      <c r="J86" s="4">
        <v>-70.7507301893619</v>
      </c>
      <c r="K86" s="4">
        <v>-9.56471378684802</v>
      </c>
      <c r="L86" s="5">
        <f t="shared" si="20"/>
        <v>-3.58473870200245</v>
      </c>
      <c r="M86" s="5">
        <f t="shared" si="21"/>
        <v>-1.30465971295946</v>
      </c>
      <c r="N86" s="5">
        <f t="shared" si="22"/>
        <v>-3.55758289165186</v>
      </c>
      <c r="O86" s="5">
        <f t="shared" si="23"/>
        <v>-1.32446813206632</v>
      </c>
    </row>
    <row r="87" ht="15.6" spans="1:15">
      <c r="A87" s="12"/>
      <c r="B87" s="13">
        <v>47.8</v>
      </c>
      <c r="C87" s="7">
        <v>17.5551222221849</v>
      </c>
      <c r="D87" s="7">
        <v>19.106298004561</v>
      </c>
      <c r="E87" s="14">
        <v>3</v>
      </c>
      <c r="F87" s="3">
        <v>-60.6156429850982</v>
      </c>
      <c r="G87" s="4">
        <v>-6.26070180807171</v>
      </c>
      <c r="H87" s="4">
        <v>-35.8572271923375</v>
      </c>
      <c r="I87" s="4">
        <v>-3.73761956137908</v>
      </c>
      <c r="J87" s="4">
        <v>-69.3191082256684</v>
      </c>
      <c r="K87" s="4">
        <v>-9.88953043217541</v>
      </c>
      <c r="L87" s="5">
        <f t="shared" si="20"/>
        <v>-3.51862184788834</v>
      </c>
      <c r="M87" s="5">
        <f t="shared" si="21"/>
        <v>-1.35288771055596</v>
      </c>
      <c r="N87" s="5">
        <f t="shared" si="22"/>
        <v>-3.54143964364709</v>
      </c>
      <c r="O87" s="5">
        <f t="shared" si="23"/>
        <v>-1.33624359441106</v>
      </c>
    </row>
    <row r="88" ht="15.6" spans="1:15">
      <c r="A88" s="12"/>
      <c r="B88" s="13">
        <v>47.8</v>
      </c>
      <c r="C88" s="7">
        <v>19.1951139210231</v>
      </c>
      <c r="D88" s="7">
        <v>20.0779967451811</v>
      </c>
      <c r="E88" s="14">
        <v>4</v>
      </c>
      <c r="F88" s="3">
        <v>-75.0672344317152</v>
      </c>
      <c r="G88" s="4">
        <v>-7.28136678302481</v>
      </c>
      <c r="H88" s="4">
        <v>-28.0825627978456</v>
      </c>
      <c r="I88" s="4">
        <v>-2.65866625245123</v>
      </c>
      <c r="J88" s="4">
        <v>-71.1155974556053</v>
      </c>
      <c r="K88" s="4">
        <v>-8.63799444841247</v>
      </c>
      <c r="L88" s="5">
        <f t="shared" si="20"/>
        <v>-3.54274612577825</v>
      </c>
      <c r="M88" s="5">
        <f t="shared" si="21"/>
        <v>-1.33529059962742</v>
      </c>
      <c r="N88" s="5">
        <f t="shared" si="22"/>
        <v>-3.55573333212161</v>
      </c>
      <c r="O88" s="5">
        <f t="shared" si="23"/>
        <v>-1.32581726692421</v>
      </c>
    </row>
    <row r="89" ht="15.6" spans="1:15">
      <c r="A89" s="12"/>
      <c r="B89" s="13">
        <v>47.8</v>
      </c>
      <c r="C89" s="7">
        <v>18.7829629194364</v>
      </c>
      <c r="D89" s="7">
        <v>18.7905727044342</v>
      </c>
      <c r="E89" s="14">
        <v>5</v>
      </c>
      <c r="F89" s="3">
        <v>-67.0970787059726</v>
      </c>
      <c r="G89" s="4">
        <v>-6.92976856403106</v>
      </c>
      <c r="H89" s="4">
        <v>-16.8252621474069</v>
      </c>
      <c r="I89" s="4">
        <v>-2.40522856570646</v>
      </c>
      <c r="J89" s="4">
        <v>-53.8214720094409</v>
      </c>
      <c r="K89" s="4">
        <v>-7.59775780916971</v>
      </c>
      <c r="L89" s="5">
        <f t="shared" si="20"/>
        <v>-3.53668338454491</v>
      </c>
      <c r="M89" s="5">
        <f t="shared" si="21"/>
        <v>-1.33971297987445</v>
      </c>
      <c r="N89" s="5">
        <f t="shared" si="22"/>
        <v>-3.53679532448223</v>
      </c>
      <c r="O89" s="5">
        <f t="shared" si="23"/>
        <v>-1.33963132688142</v>
      </c>
    </row>
    <row r="90" ht="15.6" spans="1:15">
      <c r="A90" s="12"/>
      <c r="B90" s="13">
        <v>47.8</v>
      </c>
      <c r="C90" s="7">
        <v>19.7932715027112</v>
      </c>
      <c r="D90" s="7">
        <v>19.9345216588019</v>
      </c>
      <c r="E90" s="14">
        <v>6</v>
      </c>
      <c r="F90" s="3">
        <v>-65.3422397370203</v>
      </c>
      <c r="G90" s="4">
        <v>-8.30333485441727</v>
      </c>
      <c r="H90" s="4">
        <v>-16.1176140206682</v>
      </c>
      <c r="I90" s="4">
        <v>-2.89320708838937</v>
      </c>
      <c r="J90" s="4">
        <v>-50.7102679724829</v>
      </c>
      <c r="K90" s="4">
        <v>-6.48597929427032</v>
      </c>
      <c r="L90" s="5">
        <f t="shared" si="20"/>
        <v>-3.55154502380488</v>
      </c>
      <c r="M90" s="5">
        <f t="shared" si="21"/>
        <v>-1.32887236877591</v>
      </c>
      <c r="N90" s="5">
        <f t="shared" si="22"/>
        <v>-3.55362281360098</v>
      </c>
      <c r="O90" s="5">
        <f t="shared" si="23"/>
        <v>-1.32735675460106</v>
      </c>
    </row>
    <row r="91" ht="15.6" spans="1:15">
      <c r="A91" s="12"/>
      <c r="B91" s="13">
        <v>47.8</v>
      </c>
      <c r="C91" s="7">
        <v>25.6734439027609</v>
      </c>
      <c r="D91" s="7">
        <v>22.1697635745869</v>
      </c>
      <c r="E91" s="14">
        <v>7</v>
      </c>
      <c r="F91" s="3">
        <v>-44.5323200846483</v>
      </c>
      <c r="G91" s="4">
        <v>-5.46235090492519</v>
      </c>
      <c r="H91" s="4">
        <v>-12.4629925440641</v>
      </c>
      <c r="I91" s="4">
        <v>-3.1894717874482</v>
      </c>
      <c r="J91" s="4">
        <v>-51.9114658775364</v>
      </c>
      <c r="K91" s="4">
        <v>-7.76906128587294</v>
      </c>
      <c r="L91" s="5">
        <f t="shared" si="20"/>
        <v>-3.63804235980961</v>
      </c>
      <c r="M91" s="5">
        <f t="shared" si="21"/>
        <v>-1.26577811892338</v>
      </c>
      <c r="N91" s="5">
        <f t="shared" si="22"/>
        <v>-3.58650322218217</v>
      </c>
      <c r="O91" s="5">
        <f t="shared" si="23"/>
        <v>-1.30337260884468</v>
      </c>
    </row>
    <row r="92" ht="15.6" spans="1:15">
      <c r="A92" s="12"/>
      <c r="B92" s="13">
        <v>47.8</v>
      </c>
      <c r="C92" s="7">
        <v>26.834624856244</v>
      </c>
      <c r="D92" s="7">
        <v>22.0402086736259</v>
      </c>
      <c r="E92" s="14">
        <v>8</v>
      </c>
      <c r="F92" s="3">
        <v>-66.469414658259</v>
      </c>
      <c r="G92" s="4">
        <v>-5.63050901727571</v>
      </c>
      <c r="H92" s="4">
        <v>-41.4415756165704</v>
      </c>
      <c r="I92" s="4">
        <v>-5.4287114910063</v>
      </c>
      <c r="J92" s="4">
        <v>-46.5458358059737</v>
      </c>
      <c r="K92" s="4">
        <v>-6.77703121715035</v>
      </c>
      <c r="L92" s="5">
        <f t="shared" si="20"/>
        <v>-3.65512333163535</v>
      </c>
      <c r="M92" s="5">
        <f t="shared" si="21"/>
        <v>-1.2533186472925</v>
      </c>
      <c r="N92" s="5">
        <f t="shared" si="22"/>
        <v>-3.58459746958904</v>
      </c>
      <c r="O92" s="5">
        <f t="shared" si="23"/>
        <v>-1.30476273293199</v>
      </c>
    </row>
    <row r="93" ht="15.6" spans="1:15">
      <c r="A93" s="12"/>
      <c r="B93" s="13">
        <v>47.8</v>
      </c>
      <c r="C93" s="7">
        <v>21.4557747204474</v>
      </c>
      <c r="D93" s="7">
        <v>19.8051274999076</v>
      </c>
      <c r="E93" s="14">
        <v>9</v>
      </c>
      <c r="F93" s="3">
        <v>-76.0024434398069</v>
      </c>
      <c r="G93" s="16">
        <v>-9.81712769494807</v>
      </c>
      <c r="H93" s="4">
        <v>-87.9286527975846</v>
      </c>
      <c r="I93" s="4">
        <v>-10.7556439851885</v>
      </c>
      <c r="J93" s="4">
        <v>-62.9235481410657</v>
      </c>
      <c r="K93" s="4">
        <v>-8.31546760322042</v>
      </c>
      <c r="L93" s="5">
        <f t="shared" si="20"/>
        <v>-3.57600044613778</v>
      </c>
      <c r="M93" s="5">
        <f t="shared" si="21"/>
        <v>-1.3110337092496</v>
      </c>
      <c r="N93" s="5">
        <f t="shared" si="22"/>
        <v>-3.55171942552364</v>
      </c>
      <c r="O93" s="5">
        <f t="shared" si="23"/>
        <v>-1.32874515392599</v>
      </c>
    </row>
    <row r="94" ht="15.6" spans="1:15">
      <c r="A94" s="12" t="s">
        <v>14</v>
      </c>
      <c r="B94" s="13">
        <v>30.4</v>
      </c>
      <c r="C94" s="7">
        <v>50.1277333333333</v>
      </c>
      <c r="D94" s="7">
        <v>45.8254</v>
      </c>
      <c r="E94" s="14">
        <v>1</v>
      </c>
      <c r="F94" s="4">
        <v>-89.9675</v>
      </c>
      <c r="G94" s="4">
        <v>-11.22</v>
      </c>
      <c r="H94" s="4">
        <v>-73.1675</v>
      </c>
      <c r="I94" s="4">
        <v>-10.375</v>
      </c>
      <c r="J94" s="4">
        <v>-89.3482236842105</v>
      </c>
      <c r="K94" s="4">
        <v>-13.0401315789474</v>
      </c>
      <c r="L94" s="5">
        <f t="shared" ref="L94:L99" si="24">-2.693-1.187*B94/100-1.471*C94/100</f>
        <v>-3.79122695733333</v>
      </c>
      <c r="M94" s="5">
        <f t="shared" ref="M94:M99" si="25">-0.779+3.942*B94/100-11.583*B94/100*B94/100+1.073*C94/100</f>
        <v>-0.113215949333334</v>
      </c>
      <c r="N94" s="5">
        <f t="shared" ref="N94:N99" si="26">-2.693-1.187*B94/100-1.471*D94/100</f>
        <v>-3.727939634</v>
      </c>
      <c r="O94" s="5">
        <f t="shared" ref="O94:O99" si="27">-0.779+3.942*B94/100-11.583*B94/100*B94/100+1.073*D94/100</f>
        <v>-0.159379986</v>
      </c>
    </row>
    <row r="95" ht="15.6" spans="1:15">
      <c r="A95" s="12"/>
      <c r="B95" s="13">
        <v>31.4</v>
      </c>
      <c r="C95" s="7">
        <v>50.8161290322581</v>
      </c>
      <c r="D95" s="7">
        <v>46.6379032258064</v>
      </c>
      <c r="E95" s="14">
        <v>2</v>
      </c>
      <c r="F95" s="4">
        <v>-94.7325</v>
      </c>
      <c r="G95" s="4">
        <v>-13.2075</v>
      </c>
      <c r="H95" s="4">
        <v>-97.45</v>
      </c>
      <c r="I95" s="4">
        <v>-12.7</v>
      </c>
      <c r="J95" s="4">
        <v>-91.7333333333333</v>
      </c>
      <c r="K95" s="4">
        <v>-12.6857575757576</v>
      </c>
      <c r="L95" s="5">
        <f t="shared" si="24"/>
        <v>-3.81322325806452</v>
      </c>
      <c r="M95" s="5">
        <f t="shared" si="25"/>
        <v>-0.13799240348387</v>
      </c>
      <c r="N95" s="5">
        <f t="shared" si="26"/>
        <v>-3.75176155645161</v>
      </c>
      <c r="O95" s="5">
        <f t="shared" si="27"/>
        <v>-0.182824766387097</v>
      </c>
    </row>
    <row r="96" ht="15.6" spans="1:15">
      <c r="A96" s="12"/>
      <c r="B96" s="13">
        <v>32.4</v>
      </c>
      <c r="C96" s="7">
        <v>47.058064516129</v>
      </c>
      <c r="D96" s="7">
        <v>42.8072580645161</v>
      </c>
      <c r="E96" s="14">
        <v>3</v>
      </c>
      <c r="F96" s="4">
        <v>-85.585</v>
      </c>
      <c r="G96" s="4">
        <v>-11.055</v>
      </c>
      <c r="H96" s="4">
        <v>-105.875</v>
      </c>
      <c r="I96" s="4">
        <v>-14.3525</v>
      </c>
      <c r="J96" s="4">
        <v>-88.5625</v>
      </c>
      <c r="K96" s="4">
        <v>-11.7375</v>
      </c>
      <c r="L96" s="5">
        <f t="shared" si="24"/>
        <v>-3.76981212903226</v>
      </c>
      <c r="M96" s="5">
        <f t="shared" si="25"/>
        <v>-0.212795975741936</v>
      </c>
      <c r="N96" s="5">
        <f t="shared" si="26"/>
        <v>-3.70728276612903</v>
      </c>
      <c r="O96" s="5">
        <f t="shared" si="27"/>
        <v>-0.258407128967742</v>
      </c>
    </row>
    <row r="97" ht="15.6" spans="1:15">
      <c r="A97" s="12"/>
      <c r="B97" s="13">
        <v>33.4</v>
      </c>
      <c r="C97" s="7">
        <v>36.4033333333333</v>
      </c>
      <c r="D97" s="7">
        <v>34.2533333333333</v>
      </c>
      <c r="E97" s="14">
        <v>4</v>
      </c>
      <c r="F97" s="4">
        <v>-93.28</v>
      </c>
      <c r="G97" s="4">
        <v>-11.105</v>
      </c>
      <c r="H97" s="4">
        <v>-50.4</v>
      </c>
      <c r="I97" s="4">
        <v>-7.025</v>
      </c>
      <c r="J97" s="4">
        <v>-91.825</v>
      </c>
      <c r="K97" s="4">
        <v>-12.515</v>
      </c>
      <c r="L97" s="5">
        <f t="shared" si="24"/>
        <v>-3.62495103333333</v>
      </c>
      <c r="M97" s="5">
        <f t="shared" si="25"/>
        <v>-0.363917381333334</v>
      </c>
      <c r="N97" s="5">
        <f t="shared" si="26"/>
        <v>-3.59332453333333</v>
      </c>
      <c r="O97" s="5">
        <f t="shared" si="27"/>
        <v>-0.386986881333333</v>
      </c>
    </row>
    <row r="98" ht="15.6" spans="1:15">
      <c r="A98" s="12"/>
      <c r="B98" s="13">
        <v>34.4</v>
      </c>
      <c r="C98" s="7">
        <v>43.5928571428571</v>
      </c>
      <c r="D98" s="7">
        <v>42.6089285714286</v>
      </c>
      <c r="E98" s="14">
        <v>5</v>
      </c>
      <c r="F98" s="4">
        <v>-88.5425</v>
      </c>
      <c r="G98" s="4">
        <v>-10.7075</v>
      </c>
      <c r="H98" s="4">
        <v>-55.45</v>
      </c>
      <c r="I98" s="4">
        <v>-7.25</v>
      </c>
      <c r="J98" s="4">
        <v>-73.9375</v>
      </c>
      <c r="K98" s="4">
        <v>-9.7</v>
      </c>
      <c r="L98" s="5">
        <f t="shared" si="24"/>
        <v>-3.74257892857143</v>
      </c>
      <c r="M98" s="5">
        <f t="shared" si="25"/>
        <v>-0.325886530857143</v>
      </c>
      <c r="N98" s="5">
        <f t="shared" si="26"/>
        <v>-3.72810533928571</v>
      </c>
      <c r="O98" s="5">
        <f t="shared" si="27"/>
        <v>-0.336444084428571</v>
      </c>
    </row>
    <row r="99" ht="15.6" spans="1:15">
      <c r="A99" s="12"/>
      <c r="B99" s="13">
        <v>35.4</v>
      </c>
      <c r="C99" s="7">
        <v>43.5233333333333</v>
      </c>
      <c r="D99" s="7">
        <v>41.9633333333333</v>
      </c>
      <c r="E99" s="14">
        <v>6</v>
      </c>
      <c r="F99" s="4">
        <v>-89.2225</v>
      </c>
      <c r="G99" s="4">
        <v>-11.6225</v>
      </c>
      <c r="H99" s="4">
        <v>-69.3</v>
      </c>
      <c r="I99" s="4">
        <v>-9.3</v>
      </c>
      <c r="J99" s="4">
        <v>-90.2875</v>
      </c>
      <c r="K99" s="4">
        <v>-12.55</v>
      </c>
      <c r="L99" s="5">
        <f t="shared" si="24"/>
        <v>-3.75342623333333</v>
      </c>
      <c r="M99" s="5">
        <f t="shared" si="25"/>
        <v>-0.368061861333334</v>
      </c>
      <c r="N99" s="5">
        <f t="shared" si="26"/>
        <v>-3.73047863333333</v>
      </c>
      <c r="O99" s="5">
        <f t="shared" si="27"/>
        <v>-0.384800661333334</v>
      </c>
    </row>
    <row r="100" ht="15.6" spans="1:15">
      <c r="A100" s="13"/>
      <c r="B100" s="13"/>
      <c r="C100" s="13"/>
      <c r="D100" s="13"/>
      <c r="E100" s="14"/>
      <c r="F100" s="4"/>
      <c r="G100" s="4"/>
      <c r="H100" s="4"/>
      <c r="I100" s="4"/>
      <c r="J100" s="4"/>
      <c r="K100" s="4"/>
      <c r="L100" s="5"/>
      <c r="M100" s="5"/>
      <c r="N100" s="5"/>
      <c r="O100" s="5"/>
    </row>
    <row r="101" ht="15.6" spans="1:15">
      <c r="A101" s="13"/>
      <c r="B101" s="13"/>
      <c r="C101" s="13"/>
      <c r="D101" s="13"/>
      <c r="E101" s="14"/>
      <c r="F101" s="4"/>
      <c r="G101" s="4"/>
      <c r="H101" s="4"/>
      <c r="I101" s="4"/>
      <c r="J101" s="4"/>
      <c r="K101" s="4"/>
      <c r="L101" s="5"/>
      <c r="M101" s="5"/>
      <c r="N101" s="5"/>
      <c r="O101" s="5"/>
    </row>
    <row r="102" ht="15.6" spans="1:15">
      <c r="A102" s="13"/>
      <c r="B102" s="13"/>
      <c r="C102" s="13"/>
      <c r="D102" s="13"/>
      <c r="E102" s="14"/>
      <c r="F102" s="4"/>
      <c r="G102" s="4"/>
      <c r="H102" s="4"/>
      <c r="I102" s="4"/>
      <c r="J102" s="4"/>
      <c r="K102" s="4"/>
      <c r="L102" s="5"/>
      <c r="M102" s="5"/>
      <c r="N102" s="5"/>
      <c r="O102" s="5"/>
    </row>
  </sheetData>
  <mergeCells count="7">
    <mergeCell ref="A1:A20"/>
    <mergeCell ref="A21:A33"/>
    <mergeCell ref="A34:A61"/>
    <mergeCell ref="A62:A78"/>
    <mergeCell ref="A79:A84"/>
    <mergeCell ref="A85:A93"/>
    <mergeCell ref="A94:A9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"/>
  <sheetViews>
    <sheetView workbookViewId="0">
      <selection activeCell="K22" sqref="K22"/>
    </sheetView>
  </sheetViews>
  <sheetFormatPr defaultColWidth="8.88888888888889" defaultRowHeight="15.6" outlineLevelCol="3"/>
  <cols>
    <col min="1" max="1" width="8.88888888888889" style="10"/>
    <col min="2" max="2" width="9.33333333333333" style="2" customWidth="1"/>
    <col min="3" max="4" width="9.33333333333333" style="5" customWidth="1"/>
    <col min="5" max="5" width="8.88888888888889" style="5"/>
  </cols>
  <sheetData>
    <row r="1" spans="1:4">
      <c r="A1" s="11" t="s">
        <v>8</v>
      </c>
      <c r="B1" s="2">
        <v>1</v>
      </c>
      <c r="C1" s="5">
        <v>-4.655528</v>
      </c>
      <c r="D1" s="5">
        <v>-6.10933599999999</v>
      </c>
    </row>
    <row r="2" spans="1:4">
      <c r="A2" s="11"/>
      <c r="B2" s="2">
        <v>2</v>
      </c>
      <c r="C2" s="5">
        <v>-4.0034896</v>
      </c>
      <c r="D2" s="5">
        <v>-5.5128152</v>
      </c>
    </row>
    <row r="3" spans="1:4">
      <c r="A3" s="11"/>
      <c r="B3" s="2">
        <v>3</v>
      </c>
      <c r="C3" s="5">
        <v>-0.0302699999999998</v>
      </c>
      <c r="D3" s="5">
        <v>-1.49561999999999</v>
      </c>
    </row>
    <row r="4" spans="1:4">
      <c r="A4" s="11"/>
      <c r="B4" s="2">
        <v>4</v>
      </c>
      <c r="C4" s="5">
        <v>-2.3627188</v>
      </c>
      <c r="D4" s="5">
        <v>-3.8811881</v>
      </c>
    </row>
    <row r="5" spans="1:4">
      <c r="A5" s="11"/>
      <c r="B5" s="2">
        <v>5</v>
      </c>
      <c r="C5" s="5">
        <v>-1.30551559999999</v>
      </c>
      <c r="D5" s="5">
        <v>-2.83619969999999</v>
      </c>
    </row>
    <row r="6" spans="1:4">
      <c r="A6" s="11"/>
      <c r="B6" s="2">
        <v>6</v>
      </c>
      <c r="C6" s="5">
        <v>0.959800000000003</v>
      </c>
      <c r="D6" s="5">
        <v>-0.843400000000001</v>
      </c>
    </row>
    <row r="7" spans="1:4">
      <c r="A7" s="11"/>
      <c r="B7" s="2">
        <v>7</v>
      </c>
      <c r="C7" s="5">
        <v>-1.9467244</v>
      </c>
      <c r="D7" s="5">
        <v>-3.5226978</v>
      </c>
    </row>
    <row r="8" spans="1:4">
      <c r="A8" s="11"/>
      <c r="B8" s="2">
        <v>8</v>
      </c>
      <c r="C8" s="5">
        <v>-0.668021199999997</v>
      </c>
      <c r="D8" s="5">
        <v>-2.36343689999999</v>
      </c>
    </row>
    <row r="9" spans="1:4">
      <c r="A9" s="11"/>
      <c r="B9" s="2">
        <v>9</v>
      </c>
      <c r="C9" s="5">
        <v>-2.19799</v>
      </c>
      <c r="D9" s="5">
        <v>-3.94551</v>
      </c>
    </row>
    <row r="10" spans="1:4">
      <c r="A10" s="11"/>
      <c r="B10" s="2">
        <v>10</v>
      </c>
      <c r="C10" s="5">
        <v>-1.8590688</v>
      </c>
      <c r="D10" s="5">
        <v>-3.5885131</v>
      </c>
    </row>
    <row r="11" spans="1:4">
      <c r="A11" s="11"/>
      <c r="B11" s="2">
        <v>11</v>
      </c>
      <c r="C11" s="5">
        <v>3.45062040000001</v>
      </c>
      <c r="D11" s="5">
        <v>1.6730448</v>
      </c>
    </row>
    <row r="12" spans="1:4">
      <c r="A12" s="11"/>
      <c r="B12" s="2">
        <v>12</v>
      </c>
      <c r="C12" s="5">
        <v>2.0909648</v>
      </c>
      <c r="D12" s="5">
        <v>0.371450100000006</v>
      </c>
    </row>
    <row r="13" spans="1:4">
      <c r="A13" s="11"/>
      <c r="B13" s="2">
        <v>13</v>
      </c>
      <c r="C13" s="5">
        <v>3.7841212</v>
      </c>
      <c r="D13" s="5">
        <v>2.2056944</v>
      </c>
    </row>
    <row r="14" spans="1:4">
      <c r="A14" s="11"/>
      <c r="B14" s="2">
        <v>14</v>
      </c>
      <c r="C14" s="5">
        <v>5.7123412</v>
      </c>
      <c r="D14" s="5">
        <v>4.1487769</v>
      </c>
    </row>
    <row r="15" spans="1:4">
      <c r="A15" s="11"/>
      <c r="B15" s="2">
        <v>15</v>
      </c>
      <c r="C15" s="5">
        <v>5.10115200000001</v>
      </c>
      <c r="D15" s="5">
        <v>3.71781400000001</v>
      </c>
    </row>
    <row r="16" spans="1:4">
      <c r="A16" s="11"/>
      <c r="B16" s="2">
        <v>16</v>
      </c>
      <c r="C16" s="5">
        <v>3.78826560000001</v>
      </c>
      <c r="D16" s="5">
        <v>2.43595470000001</v>
      </c>
    </row>
    <row r="17" spans="1:4">
      <c r="A17" s="11"/>
      <c r="B17" s="2">
        <v>17</v>
      </c>
      <c r="C17" s="5">
        <v>3.3877436</v>
      </c>
      <c r="D17" s="5">
        <v>1.8809932</v>
      </c>
    </row>
    <row r="18" spans="1:4">
      <c r="A18" s="11"/>
      <c r="B18" s="2">
        <v>18</v>
      </c>
      <c r="C18" s="5">
        <v>2.6123412</v>
      </c>
      <c r="D18" s="5">
        <v>1.07262940000001</v>
      </c>
    </row>
    <row r="19" spans="1:4">
      <c r="A19" s="11"/>
      <c r="B19" s="2">
        <v>19</v>
      </c>
      <c r="C19" s="5">
        <v>-2.4209588</v>
      </c>
      <c r="D19" s="5">
        <v>-4.1413406</v>
      </c>
    </row>
    <row r="20" spans="1:4">
      <c r="A20" s="11"/>
      <c r="B20" s="2">
        <v>20</v>
      </c>
      <c r="C20" s="5">
        <v>0.0437200000000022</v>
      </c>
      <c r="D20" s="5">
        <v>-1.7337425</v>
      </c>
    </row>
    <row r="21" spans="1:4">
      <c r="A21" s="11" t="s">
        <v>9</v>
      </c>
      <c r="B21" s="2">
        <v>1</v>
      </c>
      <c r="C21" s="5">
        <v>-9.89906663167295</v>
      </c>
      <c r="D21" s="5">
        <v>-10.7430671800324</v>
      </c>
    </row>
    <row r="22" spans="1:4">
      <c r="A22" s="11"/>
      <c r="B22" s="2">
        <v>2</v>
      </c>
      <c r="C22" s="5">
        <v>10.7686733674025</v>
      </c>
      <c r="D22" s="5">
        <v>9.93969094436996</v>
      </c>
    </row>
    <row r="23" spans="1:4">
      <c r="A23" s="11"/>
      <c r="B23" s="2">
        <v>3</v>
      </c>
      <c r="C23" s="5">
        <v>-1.90836823023421</v>
      </c>
      <c r="D23" s="5">
        <v>-2.73577310167771</v>
      </c>
    </row>
    <row r="24" spans="1:4">
      <c r="A24" s="11"/>
      <c r="B24" s="2">
        <v>4</v>
      </c>
      <c r="C24" s="5">
        <v>-2.15738139765427</v>
      </c>
      <c r="D24" s="5">
        <v>-2.96862988127981</v>
      </c>
    </row>
    <row r="25" spans="1:4">
      <c r="A25" s="11"/>
      <c r="B25" s="2">
        <v>5</v>
      </c>
      <c r="C25" s="5">
        <v>12.0990170897231</v>
      </c>
      <c r="D25" s="5">
        <v>11.2992377410132</v>
      </c>
    </row>
    <row r="26" spans="1:4">
      <c r="A26" s="11"/>
      <c r="B26" s="2">
        <v>6</v>
      </c>
      <c r="C26" s="5">
        <v>-10.3926176870163</v>
      </c>
      <c r="D26" s="5">
        <v>-11.2017611521056</v>
      </c>
    </row>
    <row r="27" spans="1:4">
      <c r="A27" s="11"/>
      <c r="B27" s="2">
        <v>7</v>
      </c>
      <c r="C27" s="5">
        <v>4.32145738280715</v>
      </c>
      <c r="D27" s="5">
        <v>3.4719882121874</v>
      </c>
    </row>
    <row r="28" spans="1:4">
      <c r="A28" s="11"/>
      <c r="B28" s="2">
        <v>8</v>
      </c>
      <c r="C28" s="5">
        <v>3.15922217826052</v>
      </c>
      <c r="D28" s="5">
        <v>2.32105124775472</v>
      </c>
    </row>
    <row r="29" spans="1:4">
      <c r="A29" s="11"/>
      <c r="B29" s="2">
        <v>9</v>
      </c>
      <c r="C29" s="5">
        <v>2.73112280445147</v>
      </c>
      <c r="D29" s="5">
        <v>1.8967028974471</v>
      </c>
    </row>
    <row r="30" spans="1:4">
      <c r="A30" s="11"/>
      <c r="B30" s="2">
        <v>10</v>
      </c>
      <c r="C30" s="5">
        <v>-0.651659960458709</v>
      </c>
      <c r="D30" s="5">
        <v>-1.50941260436154</v>
      </c>
    </row>
    <row r="31" spans="1:4">
      <c r="A31" s="11"/>
      <c r="B31" s="2">
        <v>11</v>
      </c>
      <c r="C31" s="5">
        <v>-6.24068483092815</v>
      </c>
      <c r="D31" s="5">
        <v>-7.06759513231311</v>
      </c>
    </row>
    <row r="32" spans="1:4">
      <c r="A32" s="11"/>
      <c r="B32" s="2">
        <v>12</v>
      </c>
      <c r="C32" s="5">
        <v>13.4847902389979</v>
      </c>
      <c r="D32" s="5">
        <v>12.665855364092</v>
      </c>
    </row>
    <row r="33" spans="1:4">
      <c r="A33" s="11"/>
      <c r="B33" s="2">
        <v>13</v>
      </c>
      <c r="C33" s="5">
        <v>4.04471021133777</v>
      </c>
      <c r="D33" s="5">
        <v>3.18710914103946</v>
      </c>
    </row>
    <row r="34" spans="1:4">
      <c r="A34" s="11" t="s">
        <v>10</v>
      </c>
      <c r="B34" s="2">
        <v>1</v>
      </c>
      <c r="C34" s="5">
        <v>-4.43968657692312</v>
      </c>
      <c r="D34" s="5">
        <v>-4.35832150000005</v>
      </c>
    </row>
    <row r="35" spans="1:4">
      <c r="A35" s="11"/>
      <c r="B35" s="2">
        <v>2</v>
      </c>
      <c r="C35" s="5">
        <v>-8.32086705999999</v>
      </c>
      <c r="D35" s="5">
        <v>-8.25735194</v>
      </c>
    </row>
    <row r="36" spans="1:4">
      <c r="A36" s="11"/>
      <c r="B36" s="2">
        <v>3</v>
      </c>
      <c r="C36" s="5">
        <v>-8.256846675</v>
      </c>
      <c r="D36" s="5">
        <v>-7.93460124166667</v>
      </c>
    </row>
    <row r="37" spans="1:4">
      <c r="A37" s="11"/>
      <c r="B37" s="2">
        <v>4</v>
      </c>
      <c r="C37" s="5">
        <v>-5.73407204999999</v>
      </c>
      <c r="D37" s="5">
        <v>-5.55461145</v>
      </c>
    </row>
    <row r="38" spans="1:4">
      <c r="A38" s="11"/>
      <c r="B38" s="2">
        <v>5</v>
      </c>
      <c r="C38" s="5">
        <v>-5.96783277777773</v>
      </c>
      <c r="D38" s="5">
        <v>-5.93143055555552</v>
      </c>
    </row>
    <row r="39" spans="1:4">
      <c r="A39" s="11"/>
      <c r="B39" s="2">
        <v>6</v>
      </c>
      <c r="C39" s="5">
        <v>-6.06868593636354</v>
      </c>
      <c r="D39" s="5">
        <v>-6.00907360909083</v>
      </c>
    </row>
    <row r="40" spans="1:4">
      <c r="A40" s="11"/>
      <c r="B40" s="2">
        <v>7</v>
      </c>
      <c r="C40" s="5">
        <v>-9.48762628999999</v>
      </c>
      <c r="D40" s="5">
        <v>-9.06394521</v>
      </c>
    </row>
    <row r="41" spans="1:4">
      <c r="A41" s="11"/>
      <c r="B41" s="2">
        <v>8</v>
      </c>
      <c r="C41" s="5">
        <v>-5.28311569999997</v>
      </c>
      <c r="D41" s="5">
        <v>-4.85547929999998</v>
      </c>
    </row>
    <row r="42" spans="1:4">
      <c r="A42" s="11"/>
      <c r="B42" s="2">
        <v>9</v>
      </c>
      <c r="C42" s="5">
        <v>-4.19964267999999</v>
      </c>
      <c r="D42" s="5">
        <v>-3.64336732</v>
      </c>
    </row>
    <row r="43" spans="1:4">
      <c r="A43" s="11"/>
      <c r="B43" s="2">
        <v>10</v>
      </c>
      <c r="C43" s="5">
        <v>-2.45284015</v>
      </c>
      <c r="D43" s="5">
        <v>-1.68053835000001</v>
      </c>
    </row>
    <row r="44" spans="1:4">
      <c r="A44" s="11"/>
      <c r="B44" s="2">
        <v>11</v>
      </c>
      <c r="C44" s="5">
        <v>-2.41315350000002</v>
      </c>
      <c r="D44" s="5">
        <v>-1.65316240909093</v>
      </c>
    </row>
    <row r="45" spans="1:4">
      <c r="A45" s="11"/>
      <c r="B45" s="2">
        <v>12</v>
      </c>
      <c r="C45" s="5">
        <v>-1.34228347999999</v>
      </c>
      <c r="D45" s="5">
        <v>-1.10136652</v>
      </c>
    </row>
    <row r="46" spans="1:4">
      <c r="A46" s="11"/>
      <c r="B46" s="2">
        <v>13</v>
      </c>
      <c r="C46" s="5">
        <v>-3.79521659090908</v>
      </c>
      <c r="D46" s="5">
        <v>-3.88226113636364</v>
      </c>
    </row>
    <row r="47" spans="1:4">
      <c r="A47" s="11"/>
      <c r="B47" s="2">
        <v>14</v>
      </c>
      <c r="C47" s="5">
        <v>-7.3144005818182</v>
      </c>
      <c r="D47" s="5">
        <v>-7.4481157818182</v>
      </c>
    </row>
    <row r="48" spans="1:4">
      <c r="A48" s="11"/>
      <c r="B48" s="2">
        <v>15</v>
      </c>
      <c r="C48" s="5">
        <v>-5.36186467999999</v>
      </c>
      <c r="D48" s="5">
        <v>-5.43337732000001</v>
      </c>
    </row>
    <row r="49" spans="1:4">
      <c r="A49" s="11"/>
      <c r="B49" s="2">
        <v>16</v>
      </c>
      <c r="C49" s="5">
        <v>-9.73411557</v>
      </c>
      <c r="D49" s="5">
        <v>-9.56099193000001</v>
      </c>
    </row>
    <row r="50" spans="1:4">
      <c r="A50" s="11"/>
      <c r="B50" s="2">
        <v>17</v>
      </c>
      <c r="C50" s="5">
        <v>-7.2812738285714</v>
      </c>
      <c r="D50" s="5">
        <v>-7.1078290285714</v>
      </c>
    </row>
    <row r="51" spans="1:4">
      <c r="A51" s="11"/>
      <c r="B51" s="2">
        <v>18</v>
      </c>
      <c r="C51" s="5">
        <v>-6.61014870000002</v>
      </c>
      <c r="D51" s="5">
        <v>-6.29300074444447</v>
      </c>
    </row>
    <row r="52" spans="1:4">
      <c r="A52" s="11"/>
      <c r="B52" s="2">
        <v>19</v>
      </c>
      <c r="C52" s="5">
        <v>-7.46281129</v>
      </c>
      <c r="D52" s="5">
        <v>-6.97599021000001</v>
      </c>
    </row>
    <row r="53" spans="1:4">
      <c r="A53" s="11"/>
      <c r="B53" s="2">
        <v>20</v>
      </c>
      <c r="C53" s="5">
        <v>-6.61167929999999</v>
      </c>
      <c r="D53" s="5">
        <v>-5.9237807</v>
      </c>
    </row>
    <row r="54" spans="1:4">
      <c r="A54" s="11"/>
      <c r="B54" s="2">
        <v>21</v>
      </c>
      <c r="C54" s="5">
        <v>-5.15822213</v>
      </c>
      <c r="D54" s="5">
        <v>-4.22971337</v>
      </c>
    </row>
    <row r="55" spans="1:4">
      <c r="A55" s="11"/>
      <c r="B55" s="2">
        <v>22</v>
      </c>
      <c r="C55" s="5">
        <v>-7.88962404</v>
      </c>
      <c r="D55" s="5">
        <v>-6.83522196</v>
      </c>
    </row>
    <row r="56" spans="1:4">
      <c r="A56" s="11"/>
      <c r="B56" s="2">
        <v>23</v>
      </c>
      <c r="C56" s="5">
        <v>-12.5469134363637</v>
      </c>
      <c r="D56" s="5">
        <v>-11.4439383818182</v>
      </c>
    </row>
    <row r="57" spans="1:4">
      <c r="A57" s="11"/>
      <c r="B57" s="2">
        <v>24</v>
      </c>
      <c r="C57" s="5">
        <v>-5.6736214375</v>
      </c>
      <c r="D57" s="5">
        <v>-4.9589691875</v>
      </c>
    </row>
    <row r="58" spans="1:4">
      <c r="A58" s="11"/>
      <c r="B58" s="2">
        <v>25</v>
      </c>
      <c r="C58" s="5">
        <v>-4.9439078833333</v>
      </c>
      <c r="D58" s="5">
        <v>-4.43417794999997</v>
      </c>
    </row>
    <row r="59" spans="1:4">
      <c r="A59" s="11"/>
      <c r="B59" s="2">
        <v>26</v>
      </c>
      <c r="C59" s="5">
        <v>-8.91574301</v>
      </c>
      <c r="D59" s="5">
        <v>-8.39808049000001</v>
      </c>
    </row>
    <row r="60" spans="1:4">
      <c r="A60" s="11"/>
      <c r="B60" s="2">
        <v>27</v>
      </c>
      <c r="C60" s="5">
        <v>-6.9436011833334</v>
      </c>
      <c r="D60" s="5">
        <v>-6.98391631666674</v>
      </c>
    </row>
    <row r="61" spans="1:4">
      <c r="A61" s="11"/>
      <c r="B61" s="2">
        <v>28</v>
      </c>
      <c r="C61" s="5">
        <v>-14.241407075</v>
      </c>
      <c r="D61" s="5">
        <v>-13.830044175</v>
      </c>
    </row>
    <row r="62" spans="1:4">
      <c r="A62" s="11" t="s">
        <v>11</v>
      </c>
      <c r="B62" s="2">
        <v>1</v>
      </c>
      <c r="C62" s="5">
        <v>8.35686778704058</v>
      </c>
      <c r="D62" s="5">
        <v>5.96632145016073</v>
      </c>
    </row>
    <row r="63" spans="1:4">
      <c r="A63" s="11"/>
      <c r="B63" s="2">
        <v>2</v>
      </c>
      <c r="C63" s="5">
        <v>5.73273797284787</v>
      </c>
      <c r="D63" s="5">
        <v>3.012578180826</v>
      </c>
    </row>
    <row r="64" spans="1:4">
      <c r="A64" s="11"/>
      <c r="B64" s="2">
        <v>3</v>
      </c>
      <c r="C64" s="5">
        <v>3.16513915472584</v>
      </c>
      <c r="D64" s="5">
        <v>1.11313775682093</v>
      </c>
    </row>
    <row r="65" spans="1:4">
      <c r="A65" s="11"/>
      <c r="B65" s="2">
        <v>4</v>
      </c>
      <c r="C65" s="5">
        <v>-1.32669318966834</v>
      </c>
      <c r="D65" s="5">
        <v>-4.26222150789328</v>
      </c>
    </row>
    <row r="66" spans="1:4">
      <c r="A66" s="11"/>
      <c r="B66" s="2">
        <v>5</v>
      </c>
      <c r="C66" s="5">
        <v>-0.10668150830876</v>
      </c>
      <c r="D66" s="5">
        <v>-2.90581803124186</v>
      </c>
    </row>
    <row r="67" spans="1:4">
      <c r="A67" s="11"/>
      <c r="B67" s="2">
        <v>6</v>
      </c>
      <c r="C67" s="5">
        <v>-3.32309002397735</v>
      </c>
      <c r="D67" s="5">
        <v>-6.22831839223059</v>
      </c>
    </row>
    <row r="68" spans="1:4">
      <c r="A68" s="11"/>
      <c r="B68" s="2">
        <v>7</v>
      </c>
      <c r="C68" s="5">
        <v>1.55455853313593</v>
      </c>
      <c r="D68" s="5">
        <v>-1.52963325719714</v>
      </c>
    </row>
    <row r="69" spans="1:4">
      <c r="A69" s="11"/>
      <c r="B69" s="2">
        <v>8</v>
      </c>
      <c r="C69" s="5">
        <v>5.12277129696029</v>
      </c>
      <c r="D69" s="5">
        <v>2.45812471927432</v>
      </c>
    </row>
    <row r="70" spans="1:4">
      <c r="A70" s="11"/>
      <c r="B70" s="2">
        <v>9</v>
      </c>
      <c r="C70" s="5">
        <v>-0.334541444972473</v>
      </c>
      <c r="D70" s="5">
        <v>-2.98253532111094</v>
      </c>
    </row>
    <row r="71" spans="1:4">
      <c r="A71" s="11"/>
      <c r="B71" s="2">
        <v>10</v>
      </c>
      <c r="C71" s="5">
        <v>0.539269390224955</v>
      </c>
      <c r="D71" s="5">
        <v>-2.35740022388777</v>
      </c>
    </row>
    <row r="72" spans="1:4">
      <c r="A72" s="11"/>
      <c r="B72" s="2">
        <v>11</v>
      </c>
      <c r="C72" s="5">
        <v>4.4184791523948</v>
      </c>
      <c r="D72" s="5">
        <v>1.51799513549392</v>
      </c>
    </row>
    <row r="73" spans="1:4">
      <c r="A73" s="11"/>
      <c r="B73" s="2">
        <v>12</v>
      </c>
      <c r="C73" s="5">
        <v>3.25511536060882</v>
      </c>
      <c r="D73" s="5">
        <v>0.375488997167487</v>
      </c>
    </row>
    <row r="74" spans="1:4">
      <c r="A74" s="11"/>
      <c r="B74" s="2">
        <v>13</v>
      </c>
      <c r="C74" s="5">
        <v>0.535607665098727</v>
      </c>
      <c r="D74" s="5">
        <v>-2.24513462270028</v>
      </c>
    </row>
    <row r="75" spans="1:4">
      <c r="A75" s="11"/>
      <c r="B75" s="2">
        <v>14</v>
      </c>
      <c r="C75" s="5">
        <v>0.450535845724065</v>
      </c>
      <c r="D75" s="5">
        <v>-2.43518251239571</v>
      </c>
    </row>
    <row r="76" spans="1:4">
      <c r="A76" s="11"/>
      <c r="B76" s="2">
        <v>15</v>
      </c>
      <c r="C76" s="5">
        <v>1.26090827409038</v>
      </c>
      <c r="D76" s="5">
        <v>-1.67839481337286</v>
      </c>
    </row>
    <row r="77" spans="1:4">
      <c r="A77" s="11"/>
      <c r="B77" s="2">
        <v>16</v>
      </c>
      <c r="C77" s="5">
        <v>0.00320515165067548</v>
      </c>
      <c r="D77" s="5">
        <v>-3.0577338698436</v>
      </c>
    </row>
    <row r="78" spans="1:4">
      <c r="A78" s="11"/>
      <c r="B78" s="2">
        <v>17</v>
      </c>
      <c r="C78" s="5">
        <v>5.60058452106359</v>
      </c>
      <c r="D78" s="5">
        <v>2.88195782813867</v>
      </c>
    </row>
    <row r="79" spans="1:4">
      <c r="A79" s="11" t="s">
        <v>12</v>
      </c>
      <c r="B79" s="2">
        <v>1</v>
      </c>
      <c r="C79" s="5">
        <v>2.0595333333333</v>
      </c>
      <c r="D79" s="5">
        <v>3.3895333333333</v>
      </c>
    </row>
    <row r="80" spans="1:4">
      <c r="A80" s="11"/>
      <c r="B80" s="2">
        <v>2</v>
      </c>
      <c r="C80" s="5">
        <v>1.17779999999999</v>
      </c>
      <c r="D80" s="5">
        <v>2.50779999999999</v>
      </c>
    </row>
    <row r="81" spans="1:4">
      <c r="A81" s="11"/>
      <c r="B81" s="2">
        <v>3</v>
      </c>
      <c r="C81" s="5">
        <v>0.156033333333301</v>
      </c>
      <c r="D81" s="5">
        <v>1.4860333333333</v>
      </c>
    </row>
    <row r="82" spans="1:4">
      <c r="A82" s="11"/>
      <c r="B82" s="2">
        <v>4</v>
      </c>
      <c r="C82" s="5">
        <v>-6.21023333333331</v>
      </c>
      <c r="D82" s="5">
        <v>-4.88023333333331</v>
      </c>
    </row>
    <row r="83" spans="1:4">
      <c r="A83" s="11"/>
      <c r="B83" s="2">
        <v>5</v>
      </c>
      <c r="C83" s="5">
        <v>0.430599999999988</v>
      </c>
      <c r="D83" s="5">
        <v>1.76059999999999</v>
      </c>
    </row>
    <row r="84" spans="1:4">
      <c r="A84" s="11"/>
      <c r="B84" s="2">
        <v>6</v>
      </c>
      <c r="C84" s="5">
        <v>-2.64799999999982</v>
      </c>
      <c r="D84" s="5">
        <v>-1.31799999999982</v>
      </c>
    </row>
    <row r="85" spans="1:4">
      <c r="A85" s="11" t="s">
        <v>13</v>
      </c>
      <c r="B85" s="2">
        <v>1</v>
      </c>
      <c r="C85" s="5">
        <v>-10.3029969322765</v>
      </c>
      <c r="D85" s="5">
        <v>-4.0129969322765</v>
      </c>
    </row>
    <row r="86" spans="1:4">
      <c r="A86" s="11"/>
      <c r="B86" s="2">
        <v>2</v>
      </c>
      <c r="C86" s="5">
        <v>-14.5382250247549</v>
      </c>
      <c r="D86" s="5">
        <v>-8.24822502475494</v>
      </c>
    </row>
    <row r="87" spans="1:4">
      <c r="A87" s="11"/>
      <c r="B87" s="2">
        <v>3</v>
      </c>
      <c r="C87" s="5">
        <v>-13.3782004788025</v>
      </c>
      <c r="D87" s="5">
        <v>-7.08820047880253</v>
      </c>
    </row>
    <row r="88" spans="1:4">
      <c r="A88" s="11"/>
      <c r="B88" s="2">
        <v>4</v>
      </c>
      <c r="C88" s="5">
        <v>-20.2054245625199</v>
      </c>
      <c r="D88" s="5">
        <v>-13.9154245625199</v>
      </c>
    </row>
    <row r="89" spans="1:4">
      <c r="A89" s="11"/>
      <c r="B89" s="2">
        <v>5</v>
      </c>
      <c r="C89" s="5">
        <v>-14.8617075326606</v>
      </c>
      <c r="D89" s="5">
        <v>-8.57170753266059</v>
      </c>
    </row>
    <row r="90" spans="1:4">
      <c r="A90" s="11"/>
      <c r="B90" s="2">
        <v>6</v>
      </c>
      <c r="C90" s="5">
        <v>-2.84632837452328</v>
      </c>
      <c r="D90" s="5">
        <v>3.44367162547672</v>
      </c>
    </row>
    <row r="91" spans="1:4">
      <c r="A91" s="11"/>
      <c r="B91" s="2">
        <v>7</v>
      </c>
      <c r="C91" s="5">
        <v>-3.25855882485713</v>
      </c>
      <c r="D91" s="5">
        <v>3.03144117514287</v>
      </c>
    </row>
    <row r="92" spans="1:4">
      <c r="A92" s="11"/>
      <c r="B92" s="2">
        <v>8</v>
      </c>
      <c r="C92" s="5">
        <v>-23.9395122992094</v>
      </c>
      <c r="D92" s="5">
        <v>-17.6495122992094</v>
      </c>
    </row>
    <row r="93" spans="1:4">
      <c r="A93" s="11"/>
      <c r="B93" s="2">
        <v>9</v>
      </c>
      <c r="C93" s="5">
        <v>-2.19849955854482</v>
      </c>
      <c r="D93" s="5">
        <v>4.09150044145518</v>
      </c>
    </row>
    <row r="94" spans="1:4">
      <c r="A94" s="11" t="s">
        <v>14</v>
      </c>
      <c r="B94" s="2">
        <v>1</v>
      </c>
      <c r="C94" s="5">
        <v>-7.6955</v>
      </c>
      <c r="D94" s="5">
        <v>-9.95869999999999</v>
      </c>
    </row>
    <row r="95" spans="1:4">
      <c r="A95" s="11"/>
      <c r="B95" s="2">
        <v>2</v>
      </c>
      <c r="C95" s="5">
        <v>1.65074999999999</v>
      </c>
      <c r="D95" s="5">
        <v>-0.7317</v>
      </c>
    </row>
    <row r="96" spans="1:4">
      <c r="A96" s="11"/>
      <c r="B96" s="2">
        <v>3</v>
      </c>
      <c r="C96" s="5">
        <v>-4.4845</v>
      </c>
      <c r="D96" s="5">
        <v>-6.73779999999999</v>
      </c>
    </row>
    <row r="97" spans="1:4">
      <c r="A97" s="11"/>
      <c r="B97" s="2">
        <v>4</v>
      </c>
      <c r="C97" s="5">
        <v>-11.8245</v>
      </c>
      <c r="D97" s="5">
        <v>-14.0808</v>
      </c>
    </row>
    <row r="98" spans="1:4">
      <c r="A98" s="11"/>
      <c r="B98" s="2">
        <v>5</v>
      </c>
      <c r="C98" s="5">
        <v>-9.90925000000001</v>
      </c>
      <c r="D98" s="5">
        <v>-12.1417</v>
      </c>
    </row>
    <row r="99" spans="1:4">
      <c r="A99" s="11"/>
      <c r="B99" s="2">
        <v>6</v>
      </c>
      <c r="C99" s="5">
        <v>-4.09275</v>
      </c>
      <c r="D99" s="5">
        <v>-6.3801</v>
      </c>
    </row>
  </sheetData>
  <mergeCells count="7">
    <mergeCell ref="A1:A20"/>
    <mergeCell ref="A21:A33"/>
    <mergeCell ref="A34:A61"/>
    <mergeCell ref="A62:A78"/>
    <mergeCell ref="A79:A84"/>
    <mergeCell ref="A85:A93"/>
    <mergeCell ref="A94:A9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workbookViewId="0">
      <selection activeCell="P18" sqref="P18"/>
    </sheetView>
  </sheetViews>
  <sheetFormatPr defaultColWidth="8.88888888888889" defaultRowHeight="15.6"/>
  <cols>
    <col min="1" max="1" width="9.33333333333333" style="1" customWidth="1"/>
    <col min="2" max="2" width="9.33333333333333" style="2" customWidth="1"/>
    <col min="3" max="4" width="9.33333333333333" style="3" customWidth="1"/>
    <col min="5" max="6" width="9.33333333333333" style="4" customWidth="1"/>
    <col min="7" max="10" width="9.33333333333333" style="5" customWidth="1"/>
    <col min="11" max="12" width="9.33333333333333" style="6" customWidth="1"/>
    <col min="13" max="13" width="9.33333333333333" style="7" customWidth="1"/>
  </cols>
  <sheetData>
    <row r="1" spans="1:13">
      <c r="A1" s="1" t="s">
        <v>8</v>
      </c>
      <c r="B1" s="2">
        <v>1</v>
      </c>
      <c r="C1" s="3">
        <v>0.629854795</v>
      </c>
      <c r="D1" s="3">
        <v>0.370145205</v>
      </c>
      <c r="E1" s="4">
        <v>0.486396962962963</v>
      </c>
      <c r="F1" s="4">
        <v>0.513603037037037</v>
      </c>
      <c r="G1" s="5">
        <v>0.876</v>
      </c>
      <c r="H1" s="5">
        <v>0.124</v>
      </c>
      <c r="I1" s="5">
        <v>0.803</v>
      </c>
      <c r="J1" s="5">
        <v>0.197</v>
      </c>
      <c r="K1" s="7">
        <v>23.2</v>
      </c>
      <c r="L1" s="7">
        <v>33.6</v>
      </c>
      <c r="M1" s="7">
        <v>1.0832821108812</v>
      </c>
    </row>
    <row r="2" spans="2:13">
      <c r="B2" s="2">
        <v>2</v>
      </c>
      <c r="C2" s="3">
        <v>0.282</v>
      </c>
      <c r="D2" s="3">
        <v>0.718</v>
      </c>
      <c r="E2" s="4">
        <v>0.172</v>
      </c>
      <c r="F2" s="4">
        <v>0.828</v>
      </c>
      <c r="G2" s="5">
        <v>0.455</v>
      </c>
      <c r="H2" s="5">
        <v>0.545</v>
      </c>
      <c r="I2" s="5">
        <v>0.406</v>
      </c>
      <c r="J2" s="5">
        <v>0.594</v>
      </c>
      <c r="K2" s="7">
        <v>26.16</v>
      </c>
      <c r="L2" s="7">
        <v>34.22</v>
      </c>
      <c r="M2" s="7">
        <v>0.551479462296763</v>
      </c>
    </row>
    <row r="3" spans="2:13">
      <c r="B3" s="2">
        <v>3</v>
      </c>
      <c r="C3" s="3">
        <v>0.38</v>
      </c>
      <c r="D3" s="3">
        <v>0.62</v>
      </c>
      <c r="E3" s="4">
        <v>0.288</v>
      </c>
      <c r="F3" s="4">
        <v>0.712</v>
      </c>
      <c r="G3" s="5">
        <v>0.382</v>
      </c>
      <c r="H3" s="5">
        <v>0.618</v>
      </c>
      <c r="I3" s="5">
        <v>0.342</v>
      </c>
      <c r="J3" s="5">
        <v>0.658</v>
      </c>
      <c r="K3" s="7">
        <v>27.81</v>
      </c>
      <c r="L3" s="7">
        <v>34.36</v>
      </c>
      <c r="M3" s="7">
        <v>0.142797601436226</v>
      </c>
    </row>
    <row r="4" spans="2:13">
      <c r="B4" s="2">
        <v>4</v>
      </c>
      <c r="C4" s="3">
        <v>0.438</v>
      </c>
      <c r="D4" s="3">
        <v>0.562</v>
      </c>
      <c r="E4" s="4">
        <v>0.329</v>
      </c>
      <c r="F4" s="4">
        <v>0.671</v>
      </c>
      <c r="G4" s="5">
        <v>0.538</v>
      </c>
      <c r="H4" s="5">
        <v>0.462</v>
      </c>
      <c r="I4" s="5">
        <v>0.492</v>
      </c>
      <c r="J4" s="5">
        <v>0.508</v>
      </c>
      <c r="K4" s="7">
        <v>27.68</v>
      </c>
      <c r="L4" s="7">
        <v>34.6</v>
      </c>
      <c r="M4" s="7">
        <v>0.406754346458781</v>
      </c>
    </row>
    <row r="5" spans="2:13">
      <c r="B5" s="2">
        <v>5</v>
      </c>
      <c r="C5" s="3">
        <v>0.527</v>
      </c>
      <c r="D5" s="3">
        <v>0.473</v>
      </c>
      <c r="E5" s="4">
        <v>0.367</v>
      </c>
      <c r="F5" s="4">
        <v>0.633</v>
      </c>
      <c r="G5" s="5">
        <v>0.609</v>
      </c>
      <c r="H5" s="5">
        <v>0.391</v>
      </c>
      <c r="I5" s="5">
        <v>0.542</v>
      </c>
      <c r="J5" s="5">
        <v>0.458</v>
      </c>
      <c r="K5" s="7">
        <v>28.98</v>
      </c>
      <c r="L5" s="7">
        <v>35.28</v>
      </c>
      <c r="M5" s="7">
        <v>0.456119040361875</v>
      </c>
    </row>
    <row r="6" spans="2:13">
      <c r="B6" s="2">
        <v>6</v>
      </c>
      <c r="C6" s="3">
        <v>0</v>
      </c>
      <c r="D6" s="3">
        <v>1</v>
      </c>
      <c r="E6" s="4">
        <v>0</v>
      </c>
      <c r="F6" s="4">
        <v>1</v>
      </c>
      <c r="G6" s="5">
        <v>0</v>
      </c>
      <c r="H6" s="5">
        <v>1</v>
      </c>
      <c r="I6" s="5">
        <v>0</v>
      </c>
      <c r="J6" s="5">
        <v>1</v>
      </c>
      <c r="K6" s="7">
        <v>29.65</v>
      </c>
      <c r="L6" s="7">
        <v>35.54</v>
      </c>
      <c r="M6" s="7">
        <v>0.143926937275906</v>
      </c>
    </row>
    <row r="7" spans="2:13">
      <c r="B7" s="2">
        <v>7</v>
      </c>
      <c r="C7" s="3">
        <v>1</v>
      </c>
      <c r="D7" s="3">
        <v>0</v>
      </c>
      <c r="E7" s="4">
        <v>0.66</v>
      </c>
      <c r="F7" s="4">
        <v>0.34</v>
      </c>
      <c r="G7" s="5">
        <v>1</v>
      </c>
      <c r="H7" s="5">
        <v>0</v>
      </c>
      <c r="I7" s="5">
        <v>1</v>
      </c>
      <c r="J7" s="5">
        <v>0</v>
      </c>
      <c r="K7" s="7">
        <v>24.31</v>
      </c>
      <c r="L7" s="7">
        <v>34.08</v>
      </c>
      <c r="M7" s="7">
        <v>0.594960849958226</v>
      </c>
    </row>
    <row r="8" spans="2:13">
      <c r="B8" s="2">
        <v>8</v>
      </c>
      <c r="C8" s="3">
        <v>0.094</v>
      </c>
      <c r="D8" s="3">
        <v>0.906</v>
      </c>
      <c r="E8" s="4">
        <v>0</v>
      </c>
      <c r="F8" s="4">
        <v>1</v>
      </c>
      <c r="G8" s="5">
        <v>0.12</v>
      </c>
      <c r="H8" s="5">
        <v>0.88</v>
      </c>
      <c r="I8" s="5">
        <v>0.086</v>
      </c>
      <c r="J8" s="5">
        <v>0.914</v>
      </c>
      <c r="K8" s="7">
        <v>25.5</v>
      </c>
      <c r="L8" s="7">
        <v>34.16</v>
      </c>
      <c r="M8" s="7">
        <v>0.7079706769613</v>
      </c>
    </row>
    <row r="9" spans="2:13">
      <c r="B9" s="2">
        <v>9</v>
      </c>
      <c r="C9" s="3">
        <v>0.129</v>
      </c>
      <c r="D9" s="3">
        <v>0.871</v>
      </c>
      <c r="E9" s="4">
        <v>0.05</v>
      </c>
      <c r="F9" s="4">
        <v>0.95</v>
      </c>
      <c r="G9" s="5">
        <v>0.196</v>
      </c>
      <c r="H9" s="5">
        <v>0.804</v>
      </c>
      <c r="I9" s="5">
        <v>0.17</v>
      </c>
      <c r="J9" s="5">
        <v>0.83</v>
      </c>
      <c r="K9" s="7">
        <v>25.71</v>
      </c>
      <c r="L9" s="7">
        <v>33.18</v>
      </c>
      <c r="M9" s="7">
        <v>0.576032592467376</v>
      </c>
    </row>
    <row r="10" spans="2:13">
      <c r="B10" s="2">
        <v>10</v>
      </c>
      <c r="C10" s="3">
        <v>0.107</v>
      </c>
      <c r="D10" s="3">
        <v>0.893</v>
      </c>
      <c r="E10" s="4">
        <v>0.038</v>
      </c>
      <c r="F10" s="4">
        <v>0.962</v>
      </c>
      <c r="G10" s="5">
        <v>0.157</v>
      </c>
      <c r="H10" s="5">
        <v>0.843</v>
      </c>
      <c r="I10" s="5">
        <v>0.133</v>
      </c>
      <c r="J10" s="5">
        <v>0.867</v>
      </c>
      <c r="K10" s="7">
        <v>25.83</v>
      </c>
      <c r="L10" s="7">
        <v>32.66</v>
      </c>
      <c r="M10" s="7">
        <v>0.574782144457255</v>
      </c>
    </row>
    <row r="11" spans="2:13">
      <c r="B11" s="2">
        <v>11</v>
      </c>
      <c r="C11" s="3">
        <v>0.338</v>
      </c>
      <c r="D11" s="3">
        <v>0.662</v>
      </c>
      <c r="E11" s="4">
        <v>0.233</v>
      </c>
      <c r="F11" s="4">
        <v>0.767</v>
      </c>
      <c r="G11" s="5">
        <v>0.2</v>
      </c>
      <c r="H11" s="5">
        <v>0.8</v>
      </c>
      <c r="I11" s="5">
        <v>0.167</v>
      </c>
      <c r="J11" s="5">
        <v>0.833</v>
      </c>
      <c r="K11" s="7">
        <v>24.24</v>
      </c>
      <c r="L11" s="7">
        <v>33.26</v>
      </c>
      <c r="M11" s="7">
        <v>0.630363085413923</v>
      </c>
    </row>
    <row r="12" spans="2:13">
      <c r="B12" s="2">
        <v>12</v>
      </c>
      <c r="C12" s="3">
        <v>0.333</v>
      </c>
      <c r="D12" s="3">
        <v>0.667</v>
      </c>
      <c r="E12" s="4">
        <v>0.218</v>
      </c>
      <c r="F12" s="4">
        <v>0.782</v>
      </c>
      <c r="G12" s="5">
        <v>0.241</v>
      </c>
      <c r="H12" s="5">
        <v>0.759</v>
      </c>
      <c r="I12" s="5">
        <v>0.202</v>
      </c>
      <c r="J12" s="5">
        <v>0.798</v>
      </c>
      <c r="K12" s="7">
        <v>24.47</v>
      </c>
      <c r="L12" s="7">
        <v>33.54</v>
      </c>
      <c r="M12" s="7">
        <v>0.491138450968168</v>
      </c>
    </row>
    <row r="13" spans="2:13">
      <c r="B13" s="2">
        <v>13</v>
      </c>
      <c r="C13" s="3">
        <v>0.51</v>
      </c>
      <c r="D13" s="3">
        <v>0.49</v>
      </c>
      <c r="E13" s="4">
        <v>0.402</v>
      </c>
      <c r="F13" s="4">
        <v>0.598</v>
      </c>
      <c r="G13" s="5">
        <v>0.355</v>
      </c>
      <c r="H13" s="5">
        <v>0.645</v>
      </c>
      <c r="I13" s="5">
        <v>0.312</v>
      </c>
      <c r="J13" s="5">
        <v>0.688</v>
      </c>
      <c r="K13" s="7">
        <v>24.74</v>
      </c>
      <c r="L13" s="7">
        <v>33.78</v>
      </c>
      <c r="M13" s="7">
        <v>0.339025514237832</v>
      </c>
    </row>
    <row r="14" spans="2:13">
      <c r="B14" s="2">
        <v>14</v>
      </c>
      <c r="C14" s="3">
        <v>0.345</v>
      </c>
      <c r="D14" s="3">
        <v>0.655</v>
      </c>
      <c r="E14" s="4">
        <v>0.272</v>
      </c>
      <c r="F14" s="4">
        <v>0.728</v>
      </c>
      <c r="G14" s="5">
        <v>0.184</v>
      </c>
      <c r="H14" s="5">
        <v>0.816</v>
      </c>
      <c r="I14" s="5">
        <v>0.156</v>
      </c>
      <c r="J14" s="5">
        <v>0.844</v>
      </c>
      <c r="K14" s="7">
        <v>24.8</v>
      </c>
      <c r="L14" s="7">
        <v>34.24</v>
      </c>
      <c r="M14" s="7">
        <v>0.980116968808995</v>
      </c>
    </row>
    <row r="15" spans="2:13">
      <c r="B15" s="2">
        <v>15</v>
      </c>
      <c r="C15" s="3">
        <v>0.408</v>
      </c>
      <c r="D15" s="3">
        <v>0.592</v>
      </c>
      <c r="E15" s="4">
        <v>0.333</v>
      </c>
      <c r="F15" s="4">
        <v>0.667</v>
      </c>
      <c r="G15" s="5">
        <v>0.263</v>
      </c>
      <c r="H15" s="5">
        <v>0.737</v>
      </c>
      <c r="I15" s="5">
        <v>0.229</v>
      </c>
      <c r="J15" s="5">
        <v>0.771</v>
      </c>
      <c r="K15" s="7">
        <v>21.51</v>
      </c>
      <c r="L15" s="7">
        <v>34.06</v>
      </c>
      <c r="M15" s="7">
        <v>1.370666046072</v>
      </c>
    </row>
    <row r="16" spans="2:13">
      <c r="B16" s="2">
        <v>16</v>
      </c>
      <c r="C16" s="3">
        <v>0.343</v>
      </c>
      <c r="D16" s="3">
        <v>0.657</v>
      </c>
      <c r="E16" s="4">
        <v>0.281</v>
      </c>
      <c r="F16" s="4">
        <v>0.719</v>
      </c>
      <c r="G16" s="5">
        <v>0.254</v>
      </c>
      <c r="H16" s="5">
        <v>0.746</v>
      </c>
      <c r="I16" s="5">
        <v>0.224</v>
      </c>
      <c r="J16" s="5">
        <v>0.776</v>
      </c>
      <c r="K16" s="7">
        <v>20.84</v>
      </c>
      <c r="L16" s="7">
        <v>33.98</v>
      </c>
      <c r="M16" s="7">
        <v>1.01887668164724</v>
      </c>
    </row>
    <row r="17" spans="2:13">
      <c r="B17" s="2">
        <v>17</v>
      </c>
      <c r="C17" s="3">
        <v>0.331</v>
      </c>
      <c r="D17" s="3">
        <v>0.669</v>
      </c>
      <c r="E17" s="4">
        <v>0.245</v>
      </c>
      <c r="F17" s="4">
        <v>0.755</v>
      </c>
      <c r="G17" s="5">
        <v>0.22</v>
      </c>
      <c r="H17" s="5">
        <v>0.78</v>
      </c>
      <c r="I17" s="5">
        <v>0.185</v>
      </c>
      <c r="J17" s="5">
        <v>0.815</v>
      </c>
      <c r="K17" s="7">
        <v>20.28</v>
      </c>
      <c r="L17" s="7">
        <v>33.86</v>
      </c>
      <c r="M17" s="7">
        <v>1.00719279480731</v>
      </c>
    </row>
    <row r="18" spans="2:13">
      <c r="B18" s="2">
        <v>18</v>
      </c>
      <c r="C18" s="3">
        <v>0.181</v>
      </c>
      <c r="D18" s="3">
        <v>0.819</v>
      </c>
      <c r="E18" s="4">
        <v>0.116</v>
      </c>
      <c r="F18" s="4">
        <v>0.884</v>
      </c>
      <c r="G18" s="5">
        <v>0.116</v>
      </c>
      <c r="H18" s="5">
        <v>0.884</v>
      </c>
      <c r="I18" s="5">
        <v>0.09</v>
      </c>
      <c r="J18" s="5">
        <v>0.91</v>
      </c>
      <c r="K18" s="7">
        <v>19.02</v>
      </c>
      <c r="L18" s="7">
        <v>33.2</v>
      </c>
      <c r="M18" s="7">
        <v>0.789111756917895</v>
      </c>
    </row>
    <row r="19" spans="2:13">
      <c r="B19" s="2">
        <v>19</v>
      </c>
      <c r="C19" s="3">
        <v>0.076</v>
      </c>
      <c r="D19" s="3">
        <v>0.924</v>
      </c>
      <c r="E19" s="4">
        <v>0</v>
      </c>
      <c r="F19" s="4">
        <v>1</v>
      </c>
      <c r="G19" s="5">
        <v>0.155</v>
      </c>
      <c r="H19" s="5">
        <v>0.845</v>
      </c>
      <c r="I19" s="5">
        <v>0.119</v>
      </c>
      <c r="J19" s="5">
        <v>0.881</v>
      </c>
      <c r="K19" s="7">
        <v>19.36</v>
      </c>
      <c r="L19" s="7">
        <v>27.9</v>
      </c>
      <c r="M19" s="7">
        <v>0.883667535882185</v>
      </c>
    </row>
    <row r="20" spans="2:13">
      <c r="B20" s="2">
        <v>20</v>
      </c>
      <c r="C20" s="3">
        <v>0.173</v>
      </c>
      <c r="D20" s="3">
        <v>0.827</v>
      </c>
      <c r="E20" s="4">
        <v>0.025</v>
      </c>
      <c r="F20" s="4">
        <v>0.975</v>
      </c>
      <c r="G20" s="5">
        <v>0.171</v>
      </c>
      <c r="H20" s="5">
        <v>0.829</v>
      </c>
      <c r="I20" s="5">
        <v>0.115</v>
      </c>
      <c r="J20" s="5">
        <v>0.885</v>
      </c>
      <c r="K20" s="7">
        <v>17.66</v>
      </c>
      <c r="L20" s="7">
        <v>27.92</v>
      </c>
      <c r="M20" s="7">
        <v>0.872002839180109</v>
      </c>
    </row>
    <row r="21" spans="1:13">
      <c r="A21" s="1" t="s">
        <v>9</v>
      </c>
      <c r="B21" s="2">
        <v>1</v>
      </c>
      <c r="C21" s="3">
        <v>1</v>
      </c>
      <c r="D21" s="3">
        <v>0</v>
      </c>
      <c r="E21" s="4">
        <v>1</v>
      </c>
      <c r="F21" s="4">
        <v>0</v>
      </c>
      <c r="G21" s="5">
        <v>1</v>
      </c>
      <c r="H21" s="5">
        <v>0</v>
      </c>
      <c r="I21" s="5">
        <v>1</v>
      </c>
      <c r="J21" s="5">
        <v>0</v>
      </c>
      <c r="K21" s="7">
        <v>9.80625000000001</v>
      </c>
      <c r="L21" s="7">
        <v>4.96458333333334</v>
      </c>
      <c r="M21" s="7">
        <v>1.14422550851931</v>
      </c>
    </row>
    <row r="22" spans="2:13">
      <c r="B22" s="2">
        <v>2</v>
      </c>
      <c r="C22" s="3">
        <v>1</v>
      </c>
      <c r="D22" s="3">
        <v>0</v>
      </c>
      <c r="E22" s="4">
        <v>1</v>
      </c>
      <c r="F22" s="4">
        <v>0</v>
      </c>
      <c r="G22" s="5">
        <v>1</v>
      </c>
      <c r="H22" s="5">
        <v>0</v>
      </c>
      <c r="I22" s="5">
        <v>1</v>
      </c>
      <c r="J22" s="5">
        <v>0</v>
      </c>
      <c r="K22" s="7">
        <v>12.275</v>
      </c>
      <c r="L22" s="7">
        <v>7.18541666666667</v>
      </c>
      <c r="M22" s="7">
        <v>0.738390982078537</v>
      </c>
    </row>
    <row r="23" spans="2:13">
      <c r="B23" s="2">
        <v>3</v>
      </c>
      <c r="C23" s="3">
        <v>0.797</v>
      </c>
      <c r="D23" s="3">
        <v>0.203</v>
      </c>
      <c r="E23" s="4">
        <v>0.648</v>
      </c>
      <c r="F23" s="4">
        <v>0.352</v>
      </c>
      <c r="G23" s="5">
        <v>0.78</v>
      </c>
      <c r="H23" s="5">
        <v>0.22</v>
      </c>
      <c r="I23" s="5">
        <v>0.726</v>
      </c>
      <c r="J23" s="5">
        <v>0.274</v>
      </c>
      <c r="K23" s="7">
        <v>10.0020833333333</v>
      </c>
      <c r="L23" s="7">
        <v>7.12604166666666</v>
      </c>
      <c r="M23" s="7">
        <v>0.582885750035745</v>
      </c>
    </row>
    <row r="24" spans="2:13">
      <c r="B24" s="2">
        <v>4</v>
      </c>
      <c r="C24" s="3">
        <v>0.797</v>
      </c>
      <c r="D24" s="3">
        <v>0.203</v>
      </c>
      <c r="E24" s="4">
        <v>0.726</v>
      </c>
      <c r="F24" s="4">
        <v>0.274</v>
      </c>
      <c r="G24" s="5">
        <v>0.85</v>
      </c>
      <c r="H24" s="5">
        <v>0.15</v>
      </c>
      <c r="I24" s="5">
        <v>0.8</v>
      </c>
      <c r="J24" s="5">
        <v>0.2</v>
      </c>
      <c r="K24" s="7">
        <v>5.825</v>
      </c>
      <c r="L24" s="7">
        <v>6.68333333333334</v>
      </c>
      <c r="M24" s="7">
        <v>2.02485128565808</v>
      </c>
    </row>
    <row r="25" spans="2:13">
      <c r="B25" s="2">
        <v>5</v>
      </c>
      <c r="C25" s="3">
        <v>1</v>
      </c>
      <c r="D25" s="3">
        <v>0</v>
      </c>
      <c r="E25" s="4">
        <v>1</v>
      </c>
      <c r="F25" s="4">
        <v>0</v>
      </c>
      <c r="G25" s="5">
        <v>1</v>
      </c>
      <c r="H25" s="5">
        <v>0</v>
      </c>
      <c r="I25" s="5">
        <v>0.972</v>
      </c>
      <c r="J25" s="5">
        <v>0.028</v>
      </c>
      <c r="K25" s="7">
        <v>0.110395833333333</v>
      </c>
      <c r="L25" s="7">
        <v>0.0618229166666667</v>
      </c>
      <c r="M25" s="7">
        <v>0.944063838595753</v>
      </c>
    </row>
    <row r="26" spans="2:13">
      <c r="B26" s="2">
        <v>6</v>
      </c>
      <c r="C26" s="3">
        <v>0.547</v>
      </c>
      <c r="D26" s="3">
        <v>0.453</v>
      </c>
      <c r="E26" s="4">
        <v>0.435</v>
      </c>
      <c r="F26" s="4">
        <v>0.565</v>
      </c>
      <c r="G26" s="5">
        <v>0.944</v>
      </c>
      <c r="H26" s="5">
        <v>0.056</v>
      </c>
      <c r="I26" s="5">
        <v>0.865</v>
      </c>
      <c r="J26" s="5">
        <v>0.135</v>
      </c>
      <c r="K26" s="7">
        <v>5.91458333333333</v>
      </c>
      <c r="L26" s="7">
        <v>6.08125</v>
      </c>
      <c r="M26" s="7">
        <v>1.10483055836374</v>
      </c>
    </row>
    <row r="27" spans="2:13">
      <c r="B27" s="2">
        <v>7</v>
      </c>
      <c r="C27" s="3">
        <v>0</v>
      </c>
      <c r="D27" s="3">
        <v>1</v>
      </c>
      <c r="E27" s="4">
        <v>0</v>
      </c>
      <c r="F27" s="4">
        <v>1</v>
      </c>
      <c r="G27" s="5">
        <v>0</v>
      </c>
      <c r="H27" s="5">
        <v>1</v>
      </c>
      <c r="I27" s="5">
        <v>0</v>
      </c>
      <c r="J27" s="5">
        <v>1</v>
      </c>
      <c r="K27" s="7">
        <v>11.6833333333333</v>
      </c>
      <c r="L27" s="7">
        <v>8.91145833333334</v>
      </c>
      <c r="M27" s="7">
        <v>0.534367368182395</v>
      </c>
    </row>
    <row r="28" spans="2:13">
      <c r="B28" s="2">
        <v>8</v>
      </c>
      <c r="C28" s="3">
        <v>0</v>
      </c>
      <c r="D28" s="3">
        <v>1</v>
      </c>
      <c r="E28" s="4">
        <v>0</v>
      </c>
      <c r="F28" s="4">
        <v>1</v>
      </c>
      <c r="G28" s="5">
        <v>0</v>
      </c>
      <c r="H28" s="5">
        <v>1</v>
      </c>
      <c r="I28" s="5">
        <v>0</v>
      </c>
      <c r="J28" s="5">
        <v>1</v>
      </c>
      <c r="K28" s="7">
        <v>12.9895833333333</v>
      </c>
      <c r="L28" s="7">
        <v>9.29479166666666</v>
      </c>
      <c r="M28" s="7">
        <v>0.975619826687566</v>
      </c>
    </row>
    <row r="29" spans="2:13">
      <c r="B29" s="2">
        <v>9</v>
      </c>
      <c r="C29" s="3">
        <v>1</v>
      </c>
      <c r="D29" s="3">
        <v>0</v>
      </c>
      <c r="E29" s="4">
        <v>1</v>
      </c>
      <c r="F29" s="4">
        <v>0</v>
      </c>
      <c r="G29" s="5">
        <v>1</v>
      </c>
      <c r="H29" s="5">
        <v>0</v>
      </c>
      <c r="I29" s="5">
        <v>1</v>
      </c>
      <c r="J29" s="5">
        <v>0</v>
      </c>
      <c r="K29" s="7">
        <v>10</v>
      </c>
      <c r="L29" s="7">
        <v>7.96666666666667</v>
      </c>
      <c r="M29" s="7">
        <v>0.848421675929321</v>
      </c>
    </row>
    <row r="30" spans="2:13">
      <c r="B30" s="2">
        <v>10</v>
      </c>
      <c r="C30" s="3">
        <v>0.605</v>
      </c>
      <c r="D30" s="3">
        <v>0.395</v>
      </c>
      <c r="E30" s="4">
        <v>0.213</v>
      </c>
      <c r="F30" s="4">
        <v>0.787</v>
      </c>
      <c r="G30" s="5">
        <v>0.695</v>
      </c>
      <c r="H30" s="5">
        <v>0.305</v>
      </c>
      <c r="I30" s="5">
        <v>0.413</v>
      </c>
      <c r="J30" s="5">
        <v>0.587</v>
      </c>
      <c r="K30" s="7">
        <v>5.73125</v>
      </c>
      <c r="L30" s="7">
        <v>6.81666666666667</v>
      </c>
      <c r="M30" s="7">
        <v>0.981885643077877</v>
      </c>
    </row>
    <row r="31" spans="2:13">
      <c r="B31" s="2">
        <v>11</v>
      </c>
      <c r="C31" s="3">
        <v>0.487</v>
      </c>
      <c r="D31" s="3">
        <v>0.513</v>
      </c>
      <c r="E31" s="4">
        <v>0.318</v>
      </c>
      <c r="F31" s="4">
        <v>0.682</v>
      </c>
      <c r="G31" s="5">
        <v>0.863</v>
      </c>
      <c r="H31" s="5">
        <v>0.137</v>
      </c>
      <c r="I31" s="5">
        <v>0.726</v>
      </c>
      <c r="J31" s="5">
        <v>0.274</v>
      </c>
      <c r="K31" s="7">
        <v>4.58333333333333</v>
      </c>
      <c r="L31" s="7">
        <v>6.225</v>
      </c>
      <c r="M31" s="7">
        <v>1.91351911136116</v>
      </c>
    </row>
    <row r="32" spans="2:13">
      <c r="B32" s="2">
        <v>12</v>
      </c>
      <c r="C32" s="3">
        <v>0.826</v>
      </c>
      <c r="D32" s="3">
        <v>0.174</v>
      </c>
      <c r="E32" s="4">
        <v>0.725</v>
      </c>
      <c r="F32" s="4">
        <v>0.275</v>
      </c>
      <c r="G32" s="5">
        <v>0.328</v>
      </c>
      <c r="H32" s="5">
        <v>0.672</v>
      </c>
      <c r="I32" s="5">
        <v>0.258</v>
      </c>
      <c r="J32" s="5">
        <v>0.742</v>
      </c>
      <c r="K32" s="7">
        <v>6.69791666666667</v>
      </c>
      <c r="L32" s="7">
        <v>9.23437500000001</v>
      </c>
      <c r="M32" s="7">
        <v>0.781558451009465</v>
      </c>
    </row>
    <row r="33" spans="2:13">
      <c r="B33" s="2">
        <v>13</v>
      </c>
      <c r="C33" s="3">
        <v>0.004</v>
      </c>
      <c r="D33" s="3">
        <v>0.996</v>
      </c>
      <c r="E33" s="4">
        <v>0</v>
      </c>
      <c r="F33" s="4">
        <v>1</v>
      </c>
      <c r="G33" s="5">
        <v>0</v>
      </c>
      <c r="H33" s="5">
        <v>1</v>
      </c>
      <c r="I33" s="5">
        <v>0</v>
      </c>
      <c r="J33" s="5">
        <v>1</v>
      </c>
      <c r="K33" s="7">
        <v>5.15208333333334</v>
      </c>
      <c r="L33" s="7">
        <v>6.81354166666666</v>
      </c>
      <c r="M33" s="7">
        <v>0.577252993159516</v>
      </c>
    </row>
    <row r="34" spans="1:13">
      <c r="A34" s="1" t="s">
        <v>10</v>
      </c>
      <c r="B34" s="2">
        <v>1</v>
      </c>
      <c r="C34" s="3">
        <v>0</v>
      </c>
      <c r="D34" s="3">
        <v>1</v>
      </c>
      <c r="E34" s="4">
        <v>0</v>
      </c>
      <c r="F34" s="4">
        <v>1</v>
      </c>
      <c r="G34" s="4">
        <v>0</v>
      </c>
      <c r="H34" s="4">
        <v>1</v>
      </c>
      <c r="I34" s="4">
        <v>0</v>
      </c>
      <c r="J34" s="4">
        <v>1</v>
      </c>
      <c r="K34" s="7">
        <v>18.1432258064516</v>
      </c>
      <c r="L34" s="7">
        <v>39.4252903225806</v>
      </c>
      <c r="M34" s="7">
        <v>1.32788373004868</v>
      </c>
    </row>
    <row r="35" spans="2:13">
      <c r="B35" s="2">
        <v>2</v>
      </c>
      <c r="C35" s="3">
        <v>0</v>
      </c>
      <c r="D35" s="3">
        <v>1</v>
      </c>
      <c r="E35" s="4">
        <v>0</v>
      </c>
      <c r="F35" s="4">
        <v>1</v>
      </c>
      <c r="G35" s="4">
        <v>0</v>
      </c>
      <c r="H35" s="4">
        <v>1</v>
      </c>
      <c r="I35" s="4">
        <v>0</v>
      </c>
      <c r="J35" s="4">
        <v>1</v>
      </c>
      <c r="K35" s="7">
        <v>14.3927096774194</v>
      </c>
      <c r="L35" s="7">
        <v>37.2646451612903</v>
      </c>
      <c r="M35" s="7">
        <v>1.19340447789716</v>
      </c>
    </row>
    <row r="36" spans="2:13">
      <c r="B36" s="2">
        <v>3</v>
      </c>
      <c r="C36" s="3">
        <v>1</v>
      </c>
      <c r="D36" s="3">
        <v>0</v>
      </c>
      <c r="E36" s="4">
        <v>0.783</v>
      </c>
      <c r="F36" s="4">
        <v>0.217</v>
      </c>
      <c r="G36" s="4">
        <v>1</v>
      </c>
      <c r="H36" s="4">
        <v>0</v>
      </c>
      <c r="I36" s="5">
        <v>1</v>
      </c>
      <c r="J36" s="5">
        <v>0</v>
      </c>
      <c r="K36" s="7">
        <v>14.6036</v>
      </c>
      <c r="L36" s="7">
        <v>38.1076</v>
      </c>
      <c r="M36" s="7">
        <v>0.720676709134898</v>
      </c>
    </row>
    <row r="37" spans="2:13">
      <c r="B37" s="2">
        <v>4</v>
      </c>
      <c r="C37" s="3">
        <v>0.57</v>
      </c>
      <c r="D37" s="3">
        <v>0.43</v>
      </c>
      <c r="E37" s="4">
        <v>0.414</v>
      </c>
      <c r="F37" s="4">
        <v>0.586</v>
      </c>
      <c r="G37" s="5">
        <v>1</v>
      </c>
      <c r="H37" s="5">
        <v>0</v>
      </c>
      <c r="I37" s="5">
        <v>0.853</v>
      </c>
      <c r="J37" s="5">
        <v>0.147</v>
      </c>
      <c r="K37" s="7">
        <v>16.8416451612903</v>
      </c>
      <c r="L37" s="7">
        <v>39.0807419354839</v>
      </c>
      <c r="M37" s="7">
        <v>0.448905817149829</v>
      </c>
    </row>
    <row r="38" spans="2:13">
      <c r="B38" s="2">
        <v>5</v>
      </c>
      <c r="C38" s="3">
        <v>0.705</v>
      </c>
      <c r="D38" s="3">
        <v>0.295</v>
      </c>
      <c r="E38" s="4">
        <v>0.549</v>
      </c>
      <c r="F38" s="4">
        <v>0.451</v>
      </c>
      <c r="G38" s="5">
        <v>1</v>
      </c>
      <c r="H38" s="5">
        <v>0</v>
      </c>
      <c r="I38" s="5">
        <v>1</v>
      </c>
      <c r="J38" s="5">
        <v>0</v>
      </c>
      <c r="K38" s="7">
        <v>18.0309333333333</v>
      </c>
      <c r="L38" s="7">
        <v>38.5573666666667</v>
      </c>
      <c r="M38" s="7">
        <v>0.417248719883007</v>
      </c>
    </row>
    <row r="39" spans="2:13">
      <c r="B39" s="2">
        <v>6</v>
      </c>
      <c r="C39" s="3">
        <v>1</v>
      </c>
      <c r="D39" s="3">
        <v>0</v>
      </c>
      <c r="E39" s="4">
        <v>1</v>
      </c>
      <c r="F39" s="4">
        <v>0</v>
      </c>
      <c r="G39" s="5">
        <v>1</v>
      </c>
      <c r="H39" s="5">
        <v>0</v>
      </c>
      <c r="I39" s="5">
        <v>1</v>
      </c>
      <c r="J39" s="5">
        <v>0</v>
      </c>
      <c r="K39" s="7">
        <v>16.3652258064516</v>
      </c>
      <c r="L39" s="7">
        <v>36.418</v>
      </c>
      <c r="M39" s="7">
        <v>0.35639372868554</v>
      </c>
    </row>
    <row r="40" spans="2:13">
      <c r="B40" s="2">
        <v>7</v>
      </c>
      <c r="C40" s="3">
        <v>1</v>
      </c>
      <c r="D40" s="3">
        <v>0</v>
      </c>
      <c r="E40" s="4">
        <v>1</v>
      </c>
      <c r="F40" s="4">
        <v>0</v>
      </c>
      <c r="G40" s="5">
        <v>1</v>
      </c>
      <c r="H40" s="5">
        <v>0</v>
      </c>
      <c r="I40" s="5">
        <v>1</v>
      </c>
      <c r="J40" s="5">
        <v>0</v>
      </c>
      <c r="K40" s="7">
        <v>23.0688709677419</v>
      </c>
      <c r="L40" s="7">
        <v>38.2230967741936</v>
      </c>
      <c r="M40" s="7">
        <v>0.0831616525201047</v>
      </c>
    </row>
    <row r="41" spans="2:13">
      <c r="B41" s="2">
        <v>8</v>
      </c>
      <c r="C41" s="3">
        <v>0.599</v>
      </c>
      <c r="D41" s="3">
        <v>0.401</v>
      </c>
      <c r="E41" s="4">
        <v>0.496</v>
      </c>
      <c r="F41" s="4">
        <v>0.504</v>
      </c>
      <c r="G41" s="5">
        <v>0.889</v>
      </c>
      <c r="H41" s="5">
        <v>0.111</v>
      </c>
      <c r="I41" s="5">
        <v>0.757</v>
      </c>
      <c r="J41" s="5">
        <v>0.242</v>
      </c>
      <c r="K41" s="7">
        <v>23.4538965517241</v>
      </c>
      <c r="L41" s="7">
        <v>38.1278620689655</v>
      </c>
      <c r="M41" s="7">
        <v>0.157850922961282</v>
      </c>
    </row>
    <row r="42" spans="2:13">
      <c r="B42" s="2">
        <v>9</v>
      </c>
      <c r="C42" s="3">
        <v>0.265</v>
      </c>
      <c r="D42" s="3">
        <v>0.735</v>
      </c>
      <c r="E42" s="4">
        <v>0.185</v>
      </c>
      <c r="F42" s="4">
        <v>0.815</v>
      </c>
      <c r="G42" s="5">
        <v>0.459</v>
      </c>
      <c r="H42" s="5">
        <v>0.541</v>
      </c>
      <c r="I42" s="5">
        <v>0.351</v>
      </c>
      <c r="J42" s="5">
        <v>0.649</v>
      </c>
      <c r="K42" s="7">
        <v>25.3782580645161</v>
      </c>
      <c r="L42" s="7">
        <v>38.6805806451613</v>
      </c>
      <c r="M42" s="7">
        <v>0.340528975446063</v>
      </c>
    </row>
    <row r="43" spans="2:13">
      <c r="B43" s="2">
        <v>10</v>
      </c>
      <c r="C43" s="3">
        <v>0.638</v>
      </c>
      <c r="D43" s="3">
        <v>0.362</v>
      </c>
      <c r="E43" s="4">
        <v>0.517</v>
      </c>
      <c r="F43" s="4">
        <v>0.483</v>
      </c>
      <c r="G43" s="5">
        <v>0.8</v>
      </c>
      <c r="H43" s="5">
        <v>0.2</v>
      </c>
      <c r="I43" s="5">
        <v>0.626</v>
      </c>
      <c r="J43" s="5">
        <v>0.374</v>
      </c>
      <c r="K43" s="7">
        <v>25.504</v>
      </c>
      <c r="L43" s="7">
        <v>39.1668333333333</v>
      </c>
      <c r="M43" s="7">
        <v>0.492313595500639</v>
      </c>
    </row>
    <row r="44" spans="2:13">
      <c r="B44" s="2">
        <v>11</v>
      </c>
      <c r="C44" s="3">
        <v>0</v>
      </c>
      <c r="D44" s="3">
        <v>1</v>
      </c>
      <c r="E44" s="4">
        <v>0</v>
      </c>
      <c r="F44" s="4">
        <v>1</v>
      </c>
      <c r="G44" s="5">
        <v>0</v>
      </c>
      <c r="H44" s="5">
        <v>1</v>
      </c>
      <c r="I44" s="5">
        <v>0</v>
      </c>
      <c r="J44" s="5">
        <v>1</v>
      </c>
      <c r="K44" s="7">
        <v>26.4148064516129</v>
      </c>
      <c r="L44" s="7">
        <v>40.4593548387097</v>
      </c>
      <c r="M44" s="7">
        <v>0.465490052004474</v>
      </c>
    </row>
    <row r="45" spans="2:13">
      <c r="B45" s="2">
        <v>12</v>
      </c>
      <c r="C45" s="3">
        <v>0</v>
      </c>
      <c r="D45" s="3">
        <v>1</v>
      </c>
      <c r="E45" s="4">
        <v>0</v>
      </c>
      <c r="F45" s="4">
        <v>1</v>
      </c>
      <c r="G45" s="5">
        <v>0</v>
      </c>
      <c r="H45" s="5">
        <v>1</v>
      </c>
      <c r="I45" s="5">
        <v>0</v>
      </c>
      <c r="J45" s="5">
        <v>1</v>
      </c>
      <c r="K45" s="8">
        <v>27.8244666666667</v>
      </c>
      <c r="L45" s="7">
        <v>41.1915</v>
      </c>
      <c r="M45" s="7">
        <v>0.595780701566759</v>
      </c>
    </row>
    <row r="46" spans="2:13">
      <c r="B46" s="2">
        <v>13</v>
      </c>
      <c r="C46" s="3">
        <v>0.136</v>
      </c>
      <c r="D46" s="3">
        <v>0.864</v>
      </c>
      <c r="E46" s="4">
        <v>0.27</v>
      </c>
      <c r="F46" s="4">
        <v>0.73</v>
      </c>
      <c r="G46" s="5">
        <v>0</v>
      </c>
      <c r="H46" s="5">
        <v>1</v>
      </c>
      <c r="I46" s="5">
        <v>0</v>
      </c>
      <c r="J46" s="5">
        <v>1</v>
      </c>
      <c r="K46" s="8">
        <v>14.7484516129032</v>
      </c>
      <c r="L46" s="7">
        <v>37.7976774193548</v>
      </c>
      <c r="M46" s="7">
        <v>1.31956667960827</v>
      </c>
    </row>
    <row r="47" spans="2:13">
      <c r="B47" s="2">
        <v>14</v>
      </c>
      <c r="C47" s="3">
        <v>0</v>
      </c>
      <c r="D47" s="3">
        <v>1</v>
      </c>
      <c r="E47" s="4">
        <v>0</v>
      </c>
      <c r="F47" s="4">
        <v>1</v>
      </c>
      <c r="G47" s="5">
        <v>0</v>
      </c>
      <c r="H47" s="5">
        <v>1</v>
      </c>
      <c r="I47" s="5">
        <v>0</v>
      </c>
      <c r="J47" s="5">
        <v>1</v>
      </c>
      <c r="K47" s="8">
        <v>15.9395806451613</v>
      </c>
      <c r="L47" s="7">
        <v>39.7714193548387</v>
      </c>
      <c r="M47" s="7">
        <v>0.942256303092528</v>
      </c>
    </row>
    <row r="48" spans="2:13">
      <c r="B48" s="2">
        <v>15</v>
      </c>
      <c r="C48" s="3">
        <v>0.552</v>
      </c>
      <c r="D48" s="3">
        <v>0.448</v>
      </c>
      <c r="E48" s="4">
        <v>0.208</v>
      </c>
      <c r="F48" s="4">
        <v>0.791</v>
      </c>
      <c r="G48" s="5">
        <v>1</v>
      </c>
      <c r="H48" s="5">
        <v>0</v>
      </c>
      <c r="I48" s="5">
        <v>1</v>
      </c>
      <c r="J48" s="5">
        <v>0</v>
      </c>
      <c r="K48" s="8">
        <v>16.7320666666667</v>
      </c>
      <c r="L48" s="7">
        <v>40.0346666666667</v>
      </c>
      <c r="M48" s="7">
        <v>0.665036812394187</v>
      </c>
    </row>
    <row r="49" spans="2:13">
      <c r="B49" s="2">
        <v>16</v>
      </c>
      <c r="C49" s="3">
        <v>0.62</v>
      </c>
      <c r="D49" s="3">
        <v>0.38</v>
      </c>
      <c r="E49" s="4">
        <v>0.429</v>
      </c>
      <c r="F49" s="4">
        <v>0.571</v>
      </c>
      <c r="G49" s="5">
        <v>1</v>
      </c>
      <c r="H49" s="5">
        <v>0</v>
      </c>
      <c r="I49" s="5">
        <v>1</v>
      </c>
      <c r="J49" s="5">
        <v>0</v>
      </c>
      <c r="K49" s="8">
        <v>13.421064516129</v>
      </c>
      <c r="L49" s="7">
        <v>36.0134516129032</v>
      </c>
      <c r="M49" s="7">
        <v>0.859812304010268</v>
      </c>
    </row>
    <row r="50" spans="2:13">
      <c r="B50" s="2">
        <v>17</v>
      </c>
      <c r="C50" s="3">
        <v>0</v>
      </c>
      <c r="D50" s="3">
        <v>1</v>
      </c>
      <c r="E50" s="4">
        <v>0</v>
      </c>
      <c r="F50" s="4">
        <v>1</v>
      </c>
      <c r="G50" s="5">
        <v>0.339</v>
      </c>
      <c r="H50" s="5">
        <v>0.661</v>
      </c>
      <c r="I50" s="5">
        <v>0.062</v>
      </c>
      <c r="J50" s="5">
        <v>0.938</v>
      </c>
      <c r="K50" s="8">
        <v>18.6718</v>
      </c>
      <c r="L50" s="7">
        <v>39.3978</v>
      </c>
      <c r="M50" s="7">
        <v>0.25457143216219</v>
      </c>
    </row>
    <row r="51" spans="2:13">
      <c r="B51" s="2">
        <v>18</v>
      </c>
      <c r="C51" s="3">
        <v>0.023</v>
      </c>
      <c r="D51" s="3">
        <v>0.977</v>
      </c>
      <c r="E51" s="4">
        <v>0</v>
      </c>
      <c r="F51" s="4">
        <v>1</v>
      </c>
      <c r="G51" s="5">
        <v>0.467</v>
      </c>
      <c r="H51" s="5">
        <v>0.533</v>
      </c>
      <c r="I51" s="5">
        <v>0.327</v>
      </c>
      <c r="J51" s="5">
        <v>0.673</v>
      </c>
      <c r="K51" s="8">
        <v>22.5554838709677</v>
      </c>
      <c r="L51" s="7">
        <v>39.3073870967742</v>
      </c>
      <c r="M51" s="7">
        <v>0.204272837052055</v>
      </c>
    </row>
    <row r="52" spans="2:13">
      <c r="B52" s="2">
        <v>19</v>
      </c>
      <c r="C52" s="3">
        <v>0</v>
      </c>
      <c r="D52" s="3">
        <v>1</v>
      </c>
      <c r="E52" s="4">
        <v>0</v>
      </c>
      <c r="F52" s="4">
        <v>1</v>
      </c>
      <c r="G52" s="5">
        <v>0.336</v>
      </c>
      <c r="H52" s="5">
        <v>0.664</v>
      </c>
      <c r="I52" s="5">
        <v>0.197</v>
      </c>
      <c r="J52" s="5">
        <v>0.803</v>
      </c>
      <c r="K52" s="8">
        <v>23.0476451612903</v>
      </c>
      <c r="L52" s="7">
        <v>38.5082258064516</v>
      </c>
      <c r="M52" s="7">
        <v>0.249495100349525</v>
      </c>
    </row>
    <row r="53" spans="2:13">
      <c r="B53" s="2">
        <v>20</v>
      </c>
      <c r="C53" s="3">
        <v>0.126</v>
      </c>
      <c r="D53" s="3">
        <v>0.874</v>
      </c>
      <c r="E53" s="4">
        <v>0.037</v>
      </c>
      <c r="F53" s="4">
        <v>0.963</v>
      </c>
      <c r="G53" s="5">
        <v>0.476</v>
      </c>
      <c r="H53" s="5">
        <v>0.524</v>
      </c>
      <c r="I53" s="5">
        <v>0.206</v>
      </c>
      <c r="J53" s="5">
        <v>0.794</v>
      </c>
      <c r="K53" s="8">
        <v>23.14125</v>
      </c>
      <c r="L53" s="7">
        <v>38.8341785714286</v>
      </c>
      <c r="M53" s="7">
        <v>0.227898466604319</v>
      </c>
    </row>
    <row r="54" spans="2:13">
      <c r="B54" s="2">
        <v>21</v>
      </c>
      <c r="C54" s="3">
        <v>0.347</v>
      </c>
      <c r="D54" s="3">
        <v>0.653</v>
      </c>
      <c r="E54" s="4">
        <v>0.251</v>
      </c>
      <c r="F54" s="4">
        <v>0.749</v>
      </c>
      <c r="G54" s="5">
        <v>0.625</v>
      </c>
      <c r="H54" s="5">
        <v>0.375</v>
      </c>
      <c r="I54" s="5">
        <v>0.475</v>
      </c>
      <c r="J54" s="5">
        <v>0.525</v>
      </c>
      <c r="K54" s="8">
        <v>21.5516451612903</v>
      </c>
      <c r="L54" s="7">
        <v>38.937</v>
      </c>
      <c r="M54" s="7">
        <v>0.531152324886459</v>
      </c>
    </row>
    <row r="55" spans="2:13">
      <c r="B55" s="2">
        <v>22</v>
      </c>
      <c r="C55" s="3">
        <v>0.106</v>
      </c>
      <c r="D55" s="3">
        <v>0.894</v>
      </c>
      <c r="E55" s="4">
        <v>0</v>
      </c>
      <c r="F55" s="4">
        <v>1</v>
      </c>
      <c r="G55" s="5">
        <v>0.818</v>
      </c>
      <c r="H55" s="5">
        <v>0.182</v>
      </c>
      <c r="I55" s="5">
        <v>0.56</v>
      </c>
      <c r="J55" s="5">
        <v>0.44</v>
      </c>
      <c r="K55" s="8">
        <v>24.7381</v>
      </c>
      <c r="L55" s="7">
        <v>39.736</v>
      </c>
      <c r="M55" s="7">
        <v>0.51154026004364</v>
      </c>
    </row>
    <row r="56" spans="2:13">
      <c r="B56" s="2">
        <v>23</v>
      </c>
      <c r="C56" s="3">
        <v>0.313</v>
      </c>
      <c r="D56" s="3">
        <v>0.687</v>
      </c>
      <c r="E56" s="4">
        <v>0.015</v>
      </c>
      <c r="F56" s="4">
        <v>0.985</v>
      </c>
      <c r="G56" s="5">
        <v>1</v>
      </c>
      <c r="H56" s="5">
        <v>0</v>
      </c>
      <c r="I56" s="5">
        <v>1</v>
      </c>
      <c r="J56" s="5">
        <v>0</v>
      </c>
      <c r="K56" s="8">
        <v>26.7196451612903</v>
      </c>
      <c r="L56" s="7">
        <v>40.4136451612903</v>
      </c>
      <c r="M56" s="7">
        <v>0.66969334443636</v>
      </c>
    </row>
    <row r="57" spans="2:13">
      <c r="B57" s="2">
        <v>24</v>
      </c>
      <c r="C57" s="3">
        <v>0</v>
      </c>
      <c r="D57" s="3">
        <v>1</v>
      </c>
      <c r="E57" s="4">
        <v>0.016</v>
      </c>
      <c r="F57" s="4">
        <v>0.984</v>
      </c>
      <c r="G57" s="5">
        <v>0</v>
      </c>
      <c r="H57" s="5">
        <v>1</v>
      </c>
      <c r="I57" s="5">
        <v>0</v>
      </c>
      <c r="J57" s="5">
        <v>1</v>
      </c>
      <c r="K57" s="8">
        <v>23.0900333333333</v>
      </c>
      <c r="L57" s="7">
        <v>39.8598666666667</v>
      </c>
      <c r="M57" s="7">
        <v>0.941194178239242</v>
      </c>
    </row>
    <row r="58" spans="2:13">
      <c r="B58" s="2">
        <v>25</v>
      </c>
      <c r="C58" s="3">
        <v>0.195</v>
      </c>
      <c r="D58" s="3">
        <v>0.805</v>
      </c>
      <c r="E58" s="4">
        <v>0.429</v>
      </c>
      <c r="F58" s="4">
        <v>0.571</v>
      </c>
      <c r="G58" s="5">
        <v>0</v>
      </c>
      <c r="H58" s="5">
        <v>1</v>
      </c>
      <c r="I58" s="5">
        <v>0</v>
      </c>
      <c r="J58" s="5">
        <v>1</v>
      </c>
      <c r="K58" s="8">
        <v>16.9573870967742</v>
      </c>
      <c r="L58" s="7">
        <v>37.6327096774193</v>
      </c>
      <c r="M58" s="7">
        <v>1.65406159801468</v>
      </c>
    </row>
    <row r="59" spans="2:13">
      <c r="B59" s="2">
        <v>26</v>
      </c>
      <c r="C59" s="3">
        <v>0</v>
      </c>
      <c r="D59" s="3">
        <v>1</v>
      </c>
      <c r="E59" s="4">
        <v>0</v>
      </c>
      <c r="F59" s="4">
        <v>1</v>
      </c>
      <c r="G59" s="5">
        <v>0</v>
      </c>
      <c r="H59" s="5">
        <v>1</v>
      </c>
      <c r="I59" s="5">
        <v>0</v>
      </c>
      <c r="J59" s="5">
        <v>1</v>
      </c>
      <c r="K59" s="8">
        <v>13.2068387096774</v>
      </c>
      <c r="L59" s="7">
        <v>34.2825161290323</v>
      </c>
      <c r="M59" s="7">
        <v>1.48282478537588</v>
      </c>
    </row>
    <row r="60" spans="2:13">
      <c r="B60" s="2">
        <v>27</v>
      </c>
      <c r="C60" s="3">
        <v>0</v>
      </c>
      <c r="D60" s="3">
        <v>1</v>
      </c>
      <c r="E60" s="4">
        <v>0.522</v>
      </c>
      <c r="F60" s="4">
        <v>0.478</v>
      </c>
      <c r="G60" s="5">
        <v>0</v>
      </c>
      <c r="H60" s="5">
        <v>1</v>
      </c>
      <c r="I60" s="5">
        <v>0</v>
      </c>
      <c r="J60" s="5">
        <v>1</v>
      </c>
      <c r="K60" s="8">
        <v>13.7445925925926</v>
      </c>
      <c r="L60" s="7">
        <v>36.256037037037</v>
      </c>
      <c r="M60" s="7">
        <v>0.854421688943527</v>
      </c>
    </row>
    <row r="61" spans="2:13">
      <c r="B61" s="2">
        <v>28</v>
      </c>
      <c r="C61" s="3">
        <v>0</v>
      </c>
      <c r="D61" s="3">
        <v>1</v>
      </c>
      <c r="E61" s="4">
        <v>0</v>
      </c>
      <c r="F61" s="4">
        <v>1</v>
      </c>
      <c r="G61" s="5">
        <v>0</v>
      </c>
      <c r="H61" s="5">
        <v>1</v>
      </c>
      <c r="I61" s="5">
        <v>1</v>
      </c>
      <c r="J61" s="5">
        <v>0</v>
      </c>
      <c r="K61" s="8">
        <v>13.491</v>
      </c>
      <c r="L61" s="7">
        <v>35.5868</v>
      </c>
      <c r="M61" s="7">
        <v>0.789396585050609</v>
      </c>
    </row>
    <row r="62" spans="1:13">
      <c r="A62" s="1" t="s">
        <v>11</v>
      </c>
      <c r="B62" s="2">
        <v>1</v>
      </c>
      <c r="C62" s="3">
        <v>0.858</v>
      </c>
      <c r="D62" s="3">
        <v>0.142</v>
      </c>
      <c r="E62" s="4">
        <v>0.69</v>
      </c>
      <c r="F62" s="4">
        <v>0.31</v>
      </c>
      <c r="G62" s="5">
        <v>0.487</v>
      </c>
      <c r="H62" s="5">
        <v>0.513</v>
      </c>
      <c r="I62" s="5">
        <v>0.442</v>
      </c>
      <c r="J62" s="5">
        <v>0.558</v>
      </c>
      <c r="K62" s="9">
        <v>16.25</v>
      </c>
      <c r="L62" s="9">
        <v>32.9833333333333</v>
      </c>
      <c r="M62" s="7">
        <v>1.40589388493602</v>
      </c>
    </row>
    <row r="63" spans="2:13">
      <c r="B63" s="2">
        <v>2</v>
      </c>
      <c r="C63" s="3">
        <v>0.622</v>
      </c>
      <c r="D63" s="3">
        <v>0.378</v>
      </c>
      <c r="E63" s="4">
        <v>0.406</v>
      </c>
      <c r="F63" s="4">
        <v>0.594</v>
      </c>
      <c r="G63" s="5">
        <v>0.278</v>
      </c>
      <c r="H63" s="5">
        <v>0.722</v>
      </c>
      <c r="I63" s="5">
        <v>0.243</v>
      </c>
      <c r="J63" s="5">
        <v>0.757</v>
      </c>
      <c r="K63" s="9">
        <v>17.065</v>
      </c>
      <c r="L63" s="9">
        <v>32.5766666666667</v>
      </c>
      <c r="M63" s="7">
        <v>2.05777600266974</v>
      </c>
    </row>
    <row r="64" spans="2:13">
      <c r="B64" s="2">
        <v>3</v>
      </c>
      <c r="C64" s="3">
        <v>0.976</v>
      </c>
      <c r="D64" s="3">
        <v>0.024</v>
      </c>
      <c r="E64" s="4">
        <v>0.774</v>
      </c>
      <c r="F64" s="4">
        <v>0.226</v>
      </c>
      <c r="G64" s="5">
        <v>0.801</v>
      </c>
      <c r="H64" s="5">
        <v>0.199</v>
      </c>
      <c r="I64" s="5">
        <v>0.716</v>
      </c>
      <c r="J64" s="5">
        <v>0.284</v>
      </c>
      <c r="K64" s="9">
        <v>19.075</v>
      </c>
      <c r="L64" s="9">
        <v>31.92</v>
      </c>
      <c r="M64" s="7">
        <v>1.35017825686795</v>
      </c>
    </row>
    <row r="65" spans="2:13">
      <c r="B65" s="2">
        <v>4</v>
      </c>
      <c r="C65" s="3">
        <v>0</v>
      </c>
      <c r="D65" s="3">
        <v>1</v>
      </c>
      <c r="E65" s="4">
        <v>0.193</v>
      </c>
      <c r="F65" s="4">
        <v>0.807</v>
      </c>
      <c r="G65" s="5">
        <v>0</v>
      </c>
      <c r="H65" s="5">
        <v>1</v>
      </c>
      <c r="I65" s="5">
        <v>0</v>
      </c>
      <c r="J65" s="5">
        <v>1</v>
      </c>
      <c r="K65" s="9">
        <v>30.68</v>
      </c>
      <c r="L65" s="9">
        <v>40.2133333333333</v>
      </c>
      <c r="M65" s="7">
        <v>1.86779467200905</v>
      </c>
    </row>
    <row r="66" spans="2:13">
      <c r="B66" s="2">
        <v>5</v>
      </c>
      <c r="C66" s="3">
        <v>1</v>
      </c>
      <c r="D66" s="3">
        <v>0</v>
      </c>
      <c r="E66" s="4">
        <v>0.838</v>
      </c>
      <c r="F66" s="4">
        <v>0.162</v>
      </c>
      <c r="G66" s="5">
        <v>1</v>
      </c>
      <c r="H66" s="5">
        <v>0</v>
      </c>
      <c r="I66" s="5">
        <v>1</v>
      </c>
      <c r="J66" s="5">
        <v>0</v>
      </c>
      <c r="K66" s="9">
        <v>19.365</v>
      </c>
      <c r="L66" s="9">
        <v>38.2833333333333</v>
      </c>
      <c r="M66" s="7">
        <v>1.73639083113464</v>
      </c>
    </row>
    <row r="67" spans="2:13">
      <c r="B67" s="2">
        <v>6</v>
      </c>
      <c r="C67" s="3">
        <v>0.182</v>
      </c>
      <c r="D67" s="3">
        <v>0.818</v>
      </c>
      <c r="E67" s="5">
        <v>0</v>
      </c>
      <c r="F67" s="4">
        <v>1</v>
      </c>
      <c r="G67" s="5">
        <v>0.982</v>
      </c>
      <c r="H67" s="5">
        <v>0.018</v>
      </c>
      <c r="I67" s="5">
        <v>0.564</v>
      </c>
      <c r="J67" s="5">
        <v>0.436</v>
      </c>
      <c r="K67" s="9">
        <v>15.485</v>
      </c>
      <c r="L67" s="9">
        <v>34.3833333333333</v>
      </c>
      <c r="M67" s="7">
        <v>1.46192075062151</v>
      </c>
    </row>
    <row r="68" spans="2:13">
      <c r="B68" s="2">
        <v>7</v>
      </c>
      <c r="C68" s="3">
        <v>0</v>
      </c>
      <c r="D68" s="3">
        <v>1</v>
      </c>
      <c r="E68" s="4">
        <v>0</v>
      </c>
      <c r="F68" s="4">
        <v>1</v>
      </c>
      <c r="G68" s="5">
        <v>0</v>
      </c>
      <c r="H68" s="5">
        <v>1</v>
      </c>
      <c r="I68" s="5">
        <v>0</v>
      </c>
      <c r="J68" s="5">
        <v>1</v>
      </c>
      <c r="K68" s="9">
        <v>36.56</v>
      </c>
      <c r="L68" s="9">
        <v>42.2066666666667</v>
      </c>
      <c r="M68" s="7">
        <v>1.15130760116817</v>
      </c>
    </row>
    <row r="69" spans="2:13">
      <c r="B69" s="2">
        <v>8</v>
      </c>
      <c r="C69" s="3">
        <v>0.825</v>
      </c>
      <c r="D69" s="3">
        <v>0.175</v>
      </c>
      <c r="E69" s="4">
        <v>0.572</v>
      </c>
      <c r="F69" s="4">
        <v>0.428</v>
      </c>
      <c r="G69" s="5">
        <v>0.43</v>
      </c>
      <c r="H69" s="5">
        <v>0.57</v>
      </c>
      <c r="I69" s="5">
        <v>0.395</v>
      </c>
      <c r="J69" s="5">
        <v>0.605</v>
      </c>
      <c r="K69" s="9">
        <v>22.455</v>
      </c>
      <c r="L69" s="9">
        <v>37.8666666666667</v>
      </c>
      <c r="M69" s="7">
        <v>1.31357588648289</v>
      </c>
    </row>
    <row r="70" spans="2:13">
      <c r="B70" s="2">
        <v>9</v>
      </c>
      <c r="C70" s="3">
        <v>0.611</v>
      </c>
      <c r="D70" s="3">
        <v>0.389</v>
      </c>
      <c r="E70" s="4">
        <v>0.322</v>
      </c>
      <c r="F70" s="4">
        <v>0.678</v>
      </c>
      <c r="G70" s="5">
        <v>0.64</v>
      </c>
      <c r="H70" s="5">
        <v>0.36</v>
      </c>
      <c r="I70" s="5">
        <v>0.59</v>
      </c>
      <c r="J70" s="5">
        <v>0.41</v>
      </c>
      <c r="K70" s="9">
        <v>26.27</v>
      </c>
      <c r="L70" s="9">
        <v>35.3033333333333</v>
      </c>
      <c r="M70" s="7">
        <v>0.862410579458827</v>
      </c>
    </row>
    <row r="71" spans="2:13">
      <c r="B71" s="2">
        <v>10</v>
      </c>
      <c r="C71" s="3">
        <v>0</v>
      </c>
      <c r="D71" s="3">
        <v>1</v>
      </c>
      <c r="E71" s="4">
        <v>0</v>
      </c>
      <c r="F71" s="4">
        <v>1</v>
      </c>
      <c r="G71" s="5">
        <v>0</v>
      </c>
      <c r="H71" s="5">
        <v>1</v>
      </c>
      <c r="I71" s="5">
        <v>0</v>
      </c>
      <c r="J71" s="5">
        <v>1</v>
      </c>
      <c r="K71" s="9">
        <v>42.575</v>
      </c>
      <c r="L71" s="9">
        <v>43.9666666666667</v>
      </c>
      <c r="M71" s="7">
        <v>0.870234259072791</v>
      </c>
    </row>
    <row r="72" spans="2:13">
      <c r="B72" s="2">
        <v>11</v>
      </c>
      <c r="C72" s="3">
        <v>1</v>
      </c>
      <c r="D72" s="3">
        <v>0</v>
      </c>
      <c r="E72" s="4">
        <v>0.638</v>
      </c>
      <c r="F72" s="4">
        <v>0.362</v>
      </c>
      <c r="G72" s="5">
        <v>0.493</v>
      </c>
      <c r="H72" s="5">
        <v>0.507</v>
      </c>
      <c r="I72" s="5">
        <v>0.475</v>
      </c>
      <c r="J72" s="5">
        <v>0.525</v>
      </c>
      <c r="K72" s="9">
        <v>25.825</v>
      </c>
      <c r="L72" s="9">
        <v>40.36</v>
      </c>
      <c r="M72" s="7">
        <v>0.859157854389282</v>
      </c>
    </row>
    <row r="73" spans="2:13">
      <c r="B73" s="2">
        <v>12</v>
      </c>
      <c r="C73" s="3">
        <v>0.964</v>
      </c>
      <c r="D73" s="3">
        <v>0.036</v>
      </c>
      <c r="E73" s="4">
        <v>0.503</v>
      </c>
      <c r="F73" s="4">
        <v>0.497</v>
      </c>
      <c r="G73" s="5">
        <v>0.48</v>
      </c>
      <c r="H73" s="5">
        <v>0.52</v>
      </c>
      <c r="I73" s="5">
        <v>0.449</v>
      </c>
      <c r="J73" s="5">
        <v>0.551</v>
      </c>
      <c r="K73" s="9">
        <v>25.38</v>
      </c>
      <c r="L73" s="9">
        <v>37.33</v>
      </c>
      <c r="M73" s="7">
        <v>0.690560356166256</v>
      </c>
    </row>
    <row r="74" spans="2:13">
      <c r="B74" s="2">
        <v>13</v>
      </c>
      <c r="C74" s="3">
        <v>0.25</v>
      </c>
      <c r="D74" s="3">
        <v>0.75</v>
      </c>
      <c r="E74" s="4">
        <v>0.046</v>
      </c>
      <c r="F74" s="4">
        <v>0.954</v>
      </c>
      <c r="G74" s="5">
        <v>0.214</v>
      </c>
      <c r="H74" s="5">
        <v>0.786</v>
      </c>
      <c r="I74" s="5">
        <v>0.191</v>
      </c>
      <c r="J74" s="5">
        <v>0.809</v>
      </c>
      <c r="K74" s="9">
        <v>20.325</v>
      </c>
      <c r="L74" s="9">
        <v>33.7766666666667</v>
      </c>
      <c r="M74" s="7">
        <v>1.3641430702905</v>
      </c>
    </row>
    <row r="75" spans="2:13">
      <c r="B75" s="2">
        <v>14</v>
      </c>
      <c r="C75" s="3">
        <v>0</v>
      </c>
      <c r="D75" s="3">
        <v>1</v>
      </c>
      <c r="E75" s="4">
        <v>0</v>
      </c>
      <c r="F75" s="4">
        <v>1</v>
      </c>
      <c r="G75" s="5">
        <v>0</v>
      </c>
      <c r="H75" s="5">
        <v>1</v>
      </c>
      <c r="I75" s="5">
        <v>0</v>
      </c>
      <c r="J75" s="5">
        <v>1</v>
      </c>
      <c r="K75" s="9">
        <v>42.715</v>
      </c>
      <c r="L75" s="9">
        <v>42.93</v>
      </c>
      <c r="M75" s="7">
        <v>1.28440933868067</v>
      </c>
    </row>
    <row r="76" spans="2:13">
      <c r="B76" s="2">
        <v>15</v>
      </c>
      <c r="C76" s="3">
        <v>0.841</v>
      </c>
      <c r="D76" s="3">
        <v>0.159</v>
      </c>
      <c r="E76" s="4">
        <v>0.481</v>
      </c>
      <c r="F76" s="4">
        <v>0.519</v>
      </c>
      <c r="G76" s="5">
        <v>0.693</v>
      </c>
      <c r="H76" s="5">
        <v>0.307</v>
      </c>
      <c r="I76" s="5">
        <v>0.666</v>
      </c>
      <c r="J76" s="5">
        <v>0.334</v>
      </c>
      <c r="K76" s="9">
        <v>27.13</v>
      </c>
      <c r="L76" s="9">
        <v>38.09</v>
      </c>
      <c r="M76" s="7">
        <v>0.539919546350663</v>
      </c>
    </row>
    <row r="77" spans="2:13">
      <c r="B77" s="2">
        <v>16</v>
      </c>
      <c r="C77" s="3">
        <v>0.228</v>
      </c>
      <c r="D77" s="3">
        <v>0.772</v>
      </c>
      <c r="E77" s="4">
        <v>0</v>
      </c>
      <c r="F77" s="4">
        <v>1</v>
      </c>
      <c r="G77" s="5">
        <v>0.228</v>
      </c>
      <c r="H77" s="5">
        <v>0.772</v>
      </c>
      <c r="I77" s="5">
        <v>0.212</v>
      </c>
      <c r="J77" s="5">
        <v>0.788</v>
      </c>
      <c r="K77" s="9">
        <v>19.13</v>
      </c>
      <c r="L77" s="9">
        <v>33.4166666666667</v>
      </c>
      <c r="M77" s="7">
        <v>0.462841719136714</v>
      </c>
    </row>
    <row r="78" spans="2:13">
      <c r="B78" s="2">
        <v>17</v>
      </c>
      <c r="C78" s="3">
        <v>1</v>
      </c>
      <c r="D78" s="3">
        <v>0</v>
      </c>
      <c r="E78" s="4">
        <v>0.986</v>
      </c>
      <c r="F78" s="4">
        <v>0.014</v>
      </c>
      <c r="G78" s="5">
        <v>0.797</v>
      </c>
      <c r="H78" s="5">
        <v>0.203</v>
      </c>
      <c r="I78" s="5">
        <v>0.697</v>
      </c>
      <c r="J78" s="5">
        <v>0.303</v>
      </c>
      <c r="K78" s="9">
        <v>17.065</v>
      </c>
      <c r="L78" s="9">
        <v>29.98</v>
      </c>
      <c r="M78" s="7">
        <v>1.03959842447772</v>
      </c>
    </row>
    <row r="79" spans="1:13">
      <c r="A79" s="1" t="s">
        <v>12</v>
      </c>
      <c r="B79" s="2">
        <v>1</v>
      </c>
      <c r="C79" s="3">
        <v>0.025</v>
      </c>
      <c r="D79" s="3">
        <v>0.975</v>
      </c>
      <c r="E79" s="4">
        <v>0</v>
      </c>
      <c r="F79" s="4">
        <v>1</v>
      </c>
      <c r="G79" s="5">
        <v>0</v>
      </c>
      <c r="H79" s="5">
        <v>1</v>
      </c>
      <c r="I79" s="5">
        <v>0</v>
      </c>
      <c r="J79" s="5">
        <v>1</v>
      </c>
      <c r="K79" s="7">
        <v>7.012</v>
      </c>
      <c r="L79" s="7">
        <v>6.54946666666667</v>
      </c>
      <c r="M79" s="7">
        <v>0.133640645136272</v>
      </c>
    </row>
    <row r="80" spans="2:13">
      <c r="B80" s="2">
        <v>2</v>
      </c>
      <c r="C80" s="3">
        <v>0.582</v>
      </c>
      <c r="D80" s="3">
        <v>0.418</v>
      </c>
      <c r="E80" s="4">
        <v>0.413</v>
      </c>
      <c r="F80" s="4">
        <v>0.587</v>
      </c>
      <c r="G80" s="5">
        <v>0.469</v>
      </c>
      <c r="H80" s="5">
        <v>0.531</v>
      </c>
      <c r="I80" s="5">
        <v>0.174</v>
      </c>
      <c r="J80" s="5">
        <v>0.826</v>
      </c>
      <c r="K80" s="7">
        <v>6.11</v>
      </c>
      <c r="L80" s="7">
        <v>6.4374</v>
      </c>
      <c r="M80" s="7">
        <v>0.477109177909336</v>
      </c>
    </row>
    <row r="81" spans="2:13">
      <c r="B81" s="2">
        <v>3</v>
      </c>
      <c r="C81" s="3">
        <v>0.678</v>
      </c>
      <c r="D81" s="3">
        <v>0.322</v>
      </c>
      <c r="E81" s="4">
        <v>0.579</v>
      </c>
      <c r="F81" s="4">
        <v>0.421</v>
      </c>
      <c r="G81" s="5">
        <v>0.67</v>
      </c>
      <c r="H81" s="5">
        <v>0.33</v>
      </c>
      <c r="I81" s="5">
        <v>0.051</v>
      </c>
      <c r="J81" s="5">
        <v>0.499</v>
      </c>
      <c r="K81" s="7">
        <v>5.02</v>
      </c>
      <c r="L81" s="7">
        <v>4.9467</v>
      </c>
      <c r="M81" s="7">
        <v>0.23515478648199</v>
      </c>
    </row>
    <row r="82" spans="2:13">
      <c r="B82" s="2">
        <v>4</v>
      </c>
      <c r="C82" s="3">
        <v>0</v>
      </c>
      <c r="D82" s="3">
        <v>1</v>
      </c>
      <c r="E82" s="4">
        <v>0</v>
      </c>
      <c r="F82" s="4">
        <v>1</v>
      </c>
      <c r="G82" s="5">
        <v>0.442</v>
      </c>
      <c r="H82" s="5">
        <v>0.558</v>
      </c>
      <c r="I82" s="5">
        <v>0</v>
      </c>
      <c r="J82" s="5">
        <v>1</v>
      </c>
      <c r="K82" s="7">
        <v>10.4</v>
      </c>
      <c r="L82" s="7">
        <v>7.8842</v>
      </c>
      <c r="M82" s="7">
        <v>0.230400938047291</v>
      </c>
    </row>
    <row r="83" spans="2:13">
      <c r="B83" s="2">
        <v>5</v>
      </c>
      <c r="C83" s="3">
        <v>0.502</v>
      </c>
      <c r="D83" s="3">
        <v>0.498</v>
      </c>
      <c r="E83" s="4">
        <v>0.25</v>
      </c>
      <c r="F83" s="4">
        <v>0.75</v>
      </c>
      <c r="G83" s="5">
        <v>0.444</v>
      </c>
      <c r="H83" s="5">
        <v>0.556</v>
      </c>
      <c r="I83" s="5">
        <v>0.001</v>
      </c>
      <c r="J83" s="5">
        <v>0.999</v>
      </c>
      <c r="K83" s="7">
        <v>9.58</v>
      </c>
      <c r="L83" s="7">
        <v>7.65311666666666</v>
      </c>
      <c r="M83" s="7">
        <v>0.203854545470147</v>
      </c>
    </row>
    <row r="84" spans="2:13">
      <c r="B84" s="2">
        <v>6</v>
      </c>
      <c r="C84" s="3">
        <v>0.416</v>
      </c>
      <c r="D84" s="3">
        <v>0.584</v>
      </c>
      <c r="E84" s="4">
        <v>0.078</v>
      </c>
      <c r="F84" s="4">
        <v>0.922</v>
      </c>
      <c r="G84" s="5">
        <v>0.907</v>
      </c>
      <c r="H84" s="5">
        <v>0.093</v>
      </c>
      <c r="I84" s="5">
        <v>0.314</v>
      </c>
      <c r="J84" s="5">
        <v>0.686</v>
      </c>
      <c r="K84" s="7">
        <v>11.12</v>
      </c>
      <c r="L84" s="7">
        <v>8.36391666666667</v>
      </c>
      <c r="M84" s="7">
        <v>0.376906944245212</v>
      </c>
    </row>
    <row r="85" spans="1:13">
      <c r="A85" s="1" t="s">
        <v>13</v>
      </c>
      <c r="B85" s="2">
        <v>1</v>
      </c>
      <c r="C85" s="3">
        <v>0</v>
      </c>
      <c r="D85" s="3">
        <v>1</v>
      </c>
      <c r="E85" s="4">
        <v>0</v>
      </c>
      <c r="F85" s="4">
        <v>1</v>
      </c>
      <c r="G85" s="5">
        <v>0</v>
      </c>
      <c r="H85" s="5">
        <v>1</v>
      </c>
      <c r="I85" s="5">
        <v>0</v>
      </c>
      <c r="J85" s="5">
        <v>1</v>
      </c>
      <c r="K85" s="7">
        <v>23.9966770933645</v>
      </c>
      <c r="L85" s="7">
        <v>21.5543924922476</v>
      </c>
      <c r="M85" s="7">
        <v>0.368916653691519</v>
      </c>
    </row>
    <row r="86" spans="2:13">
      <c r="B86" s="2">
        <v>2</v>
      </c>
      <c r="C86" s="3">
        <v>0</v>
      </c>
      <c r="D86" s="3">
        <v>1</v>
      </c>
      <c r="E86" s="4">
        <v>0</v>
      </c>
      <c r="F86" s="4">
        <v>1</v>
      </c>
      <c r="G86" s="5">
        <v>0.829</v>
      </c>
      <c r="H86" s="5">
        <v>0.171</v>
      </c>
      <c r="I86" s="5">
        <v>0</v>
      </c>
      <c r="J86" s="5">
        <v>1</v>
      </c>
      <c r="K86" s="7">
        <v>22.0498097894257</v>
      </c>
      <c r="L86" s="7">
        <v>20.203731587482</v>
      </c>
      <c r="M86" s="7">
        <v>0.373601260497002</v>
      </c>
    </row>
    <row r="87" spans="2:13">
      <c r="B87" s="2">
        <v>3</v>
      </c>
      <c r="C87" s="3">
        <v>0.268</v>
      </c>
      <c r="D87" s="3">
        <v>0.732</v>
      </c>
      <c r="E87" s="4">
        <v>0.16</v>
      </c>
      <c r="F87" s="4">
        <v>0.84</v>
      </c>
      <c r="G87" s="5">
        <v>0.658</v>
      </c>
      <c r="H87" s="5">
        <v>0.342</v>
      </c>
      <c r="I87" s="5">
        <v>0.366</v>
      </c>
      <c r="J87" s="5">
        <v>0.634</v>
      </c>
      <c r="K87" s="7">
        <v>17.5551222221849</v>
      </c>
      <c r="L87" s="7">
        <v>19.106298004561</v>
      </c>
      <c r="M87" s="7">
        <v>0.376354289737702</v>
      </c>
    </row>
    <row r="88" spans="2:13">
      <c r="B88" s="2">
        <v>4</v>
      </c>
      <c r="C88" s="3">
        <v>0</v>
      </c>
      <c r="D88" s="3">
        <v>1</v>
      </c>
      <c r="E88" s="4">
        <v>0</v>
      </c>
      <c r="F88" s="4">
        <v>1</v>
      </c>
      <c r="G88" s="5">
        <v>0.375</v>
      </c>
      <c r="H88" s="5">
        <v>0.625</v>
      </c>
      <c r="I88" s="5">
        <v>0.146</v>
      </c>
      <c r="J88" s="5">
        <v>0.854</v>
      </c>
      <c r="K88" s="7">
        <v>19.1951139210231</v>
      </c>
      <c r="L88" s="7">
        <v>20.0779967451811</v>
      </c>
      <c r="M88" s="7">
        <v>0.319200267994249</v>
      </c>
    </row>
    <row r="89" spans="2:13">
      <c r="B89" s="2">
        <v>5</v>
      </c>
      <c r="C89" s="3">
        <v>0</v>
      </c>
      <c r="D89" s="3">
        <v>1</v>
      </c>
      <c r="E89" s="4">
        <v>0</v>
      </c>
      <c r="F89" s="4">
        <v>1</v>
      </c>
      <c r="G89" s="5">
        <v>0.044</v>
      </c>
      <c r="H89" s="5">
        <v>0.956</v>
      </c>
      <c r="I89" s="5">
        <v>0</v>
      </c>
      <c r="J89" s="5">
        <v>1</v>
      </c>
      <c r="K89" s="7">
        <v>18.7829629194364</v>
      </c>
      <c r="L89" s="7">
        <v>18.7905727044342</v>
      </c>
      <c r="M89" s="7">
        <v>0.39416591967217</v>
      </c>
    </row>
    <row r="90" spans="2:13">
      <c r="B90" s="2">
        <v>6</v>
      </c>
      <c r="C90" s="3">
        <v>0</v>
      </c>
      <c r="D90" s="3">
        <v>1</v>
      </c>
      <c r="E90" s="4">
        <v>0</v>
      </c>
      <c r="F90" s="4">
        <v>1</v>
      </c>
      <c r="G90" s="5">
        <v>0</v>
      </c>
      <c r="H90" s="5">
        <v>1</v>
      </c>
      <c r="I90" s="5">
        <v>0</v>
      </c>
      <c r="J90" s="5">
        <v>1</v>
      </c>
      <c r="K90" s="7">
        <v>19.7932715027112</v>
      </c>
      <c r="L90" s="7">
        <v>19.9345216588019</v>
      </c>
      <c r="M90" s="7">
        <v>0.601858058475406</v>
      </c>
    </row>
    <row r="91" spans="2:13">
      <c r="B91" s="2">
        <v>7</v>
      </c>
      <c r="C91" s="3">
        <v>0.19</v>
      </c>
      <c r="D91" s="3">
        <v>0.81</v>
      </c>
      <c r="E91" s="4">
        <v>0.097</v>
      </c>
      <c r="F91" s="4">
        <v>0.903</v>
      </c>
      <c r="G91" s="5">
        <v>0.272</v>
      </c>
      <c r="H91" s="5">
        <v>0.728</v>
      </c>
      <c r="I91" s="5">
        <v>0.021</v>
      </c>
      <c r="J91" s="5">
        <v>0.979</v>
      </c>
      <c r="K91" s="7">
        <v>25.6734439027609</v>
      </c>
      <c r="L91" s="7">
        <v>22.1697635745869</v>
      </c>
      <c r="M91" s="7">
        <v>0.676413730779852</v>
      </c>
    </row>
    <row r="92" spans="2:13">
      <c r="B92" s="2">
        <v>8</v>
      </c>
      <c r="C92" s="3">
        <v>0</v>
      </c>
      <c r="D92" s="3">
        <v>1</v>
      </c>
      <c r="E92" s="4">
        <v>0</v>
      </c>
      <c r="F92" s="4">
        <v>1</v>
      </c>
      <c r="G92" s="5">
        <v>0.791</v>
      </c>
      <c r="H92" s="5">
        <v>0.209</v>
      </c>
      <c r="I92" s="5">
        <v>0</v>
      </c>
      <c r="J92" s="5">
        <v>1</v>
      </c>
      <c r="K92" s="7">
        <v>26.834624856244</v>
      </c>
      <c r="L92" s="7">
        <v>22.0402086736259</v>
      </c>
      <c r="M92" s="7">
        <v>0.570572205411357</v>
      </c>
    </row>
    <row r="93" spans="2:13">
      <c r="B93" s="2">
        <v>9</v>
      </c>
      <c r="C93" s="3">
        <v>0.524</v>
      </c>
      <c r="D93" s="3">
        <v>0.476</v>
      </c>
      <c r="E93" s="4">
        <v>0.672</v>
      </c>
      <c r="F93" s="4">
        <v>0.328</v>
      </c>
      <c r="G93" s="5">
        <v>0.437</v>
      </c>
      <c r="H93" s="5">
        <v>0.563</v>
      </c>
      <c r="I93" s="5">
        <v>0.833</v>
      </c>
      <c r="J93" s="5">
        <v>0.167</v>
      </c>
      <c r="K93" s="7">
        <v>21.4557747204474</v>
      </c>
      <c r="L93" s="7">
        <v>19.8051274999076</v>
      </c>
      <c r="M93" s="7">
        <v>0.419449526210886</v>
      </c>
    </row>
    <row r="94" spans="1:13">
      <c r="A94" s="1" t="s">
        <v>14</v>
      </c>
      <c r="B94" s="2">
        <v>1</v>
      </c>
      <c r="C94" s="3">
        <v>0</v>
      </c>
      <c r="D94" s="3">
        <v>1</v>
      </c>
      <c r="E94" s="4">
        <v>0</v>
      </c>
      <c r="F94" s="4">
        <v>1</v>
      </c>
      <c r="G94" s="5">
        <v>0.444</v>
      </c>
      <c r="H94" s="5">
        <v>0.556</v>
      </c>
      <c r="I94" s="5">
        <v>0.351</v>
      </c>
      <c r="J94" s="5">
        <v>0.649</v>
      </c>
      <c r="K94" s="7">
        <v>50.1277333333333</v>
      </c>
      <c r="L94" s="7">
        <v>45.8254</v>
      </c>
      <c r="M94" s="7">
        <v>0.197405348846659</v>
      </c>
    </row>
    <row r="95" spans="2:13">
      <c r="B95" s="2">
        <v>2</v>
      </c>
      <c r="C95" s="3">
        <v>0.525</v>
      </c>
      <c r="D95" s="3">
        <v>0.475</v>
      </c>
      <c r="E95" s="4">
        <v>1</v>
      </c>
      <c r="F95" s="4">
        <v>0</v>
      </c>
      <c r="G95" s="5">
        <v>0.82</v>
      </c>
      <c r="H95" s="5">
        <v>0.18</v>
      </c>
      <c r="I95" s="5">
        <v>1</v>
      </c>
      <c r="J95" s="5">
        <v>0</v>
      </c>
      <c r="K95" s="7">
        <v>50.8161290322581</v>
      </c>
      <c r="L95" s="7">
        <v>46.6379032258064</v>
      </c>
      <c r="M95" s="7">
        <v>0.135640603564333</v>
      </c>
    </row>
    <row r="96" spans="2:13">
      <c r="B96" s="2">
        <v>3</v>
      </c>
      <c r="C96" s="3">
        <v>0</v>
      </c>
      <c r="D96" s="3">
        <v>1</v>
      </c>
      <c r="E96" s="4">
        <v>0.036</v>
      </c>
      <c r="F96" s="4">
        <v>0.964</v>
      </c>
      <c r="G96" s="5">
        <v>0</v>
      </c>
      <c r="H96" s="5">
        <v>1</v>
      </c>
      <c r="I96" s="5">
        <v>0</v>
      </c>
      <c r="J96" s="5">
        <v>1</v>
      </c>
      <c r="K96" s="7">
        <v>47.058064516129</v>
      </c>
      <c r="L96" s="7">
        <v>42.8072580645161</v>
      </c>
      <c r="M96" s="7">
        <v>0.175417403577099</v>
      </c>
    </row>
    <row r="97" spans="2:13">
      <c r="B97" s="2">
        <v>4</v>
      </c>
      <c r="C97" s="3">
        <v>0</v>
      </c>
      <c r="D97" s="3">
        <v>1</v>
      </c>
      <c r="E97" s="4">
        <v>0</v>
      </c>
      <c r="F97" s="4">
        <v>1</v>
      </c>
      <c r="G97" s="5">
        <v>0.25</v>
      </c>
      <c r="H97" s="5">
        <v>0.75</v>
      </c>
      <c r="I97" s="5">
        <v>0.218</v>
      </c>
      <c r="J97" s="5">
        <v>0.782</v>
      </c>
      <c r="K97" s="7">
        <v>36.4033333333333</v>
      </c>
      <c r="L97" s="7">
        <v>34.2533333333333</v>
      </c>
      <c r="M97" s="7">
        <v>0.424511793494561</v>
      </c>
    </row>
    <row r="98" spans="2:13">
      <c r="B98" s="2">
        <v>5</v>
      </c>
      <c r="C98" s="3">
        <v>0</v>
      </c>
      <c r="D98" s="3">
        <v>1</v>
      </c>
      <c r="E98" s="4">
        <v>0</v>
      </c>
      <c r="F98" s="4">
        <v>1</v>
      </c>
      <c r="G98" s="5">
        <v>0</v>
      </c>
      <c r="H98" s="5">
        <v>1</v>
      </c>
      <c r="I98" s="5">
        <v>0</v>
      </c>
      <c r="J98" s="5">
        <v>1</v>
      </c>
      <c r="K98" s="7">
        <v>43.5928571428571</v>
      </c>
      <c r="L98" s="7">
        <v>42.6089285714286</v>
      </c>
      <c r="M98" s="7">
        <v>0.0867864881133315</v>
      </c>
    </row>
    <row r="99" spans="2:13">
      <c r="B99" s="2">
        <v>6</v>
      </c>
      <c r="C99" s="3">
        <v>0.055</v>
      </c>
      <c r="D99" s="3">
        <v>0.945</v>
      </c>
      <c r="E99" s="4">
        <v>0</v>
      </c>
      <c r="F99" s="4">
        <v>1</v>
      </c>
      <c r="G99" s="5">
        <v>0.247</v>
      </c>
      <c r="H99" s="5">
        <v>0.753</v>
      </c>
      <c r="I99" s="5">
        <v>0.18</v>
      </c>
      <c r="J99" s="5">
        <v>0.82</v>
      </c>
      <c r="K99" s="7">
        <v>43.5233333333333</v>
      </c>
      <c r="L99" s="7">
        <v>41.9633333333333</v>
      </c>
      <c r="M99" s="7">
        <v>0.131815208604805</v>
      </c>
    </row>
  </sheetData>
  <mergeCells count="7">
    <mergeCell ref="A1:A20"/>
    <mergeCell ref="A21:A33"/>
    <mergeCell ref="A34:A61"/>
    <mergeCell ref="A62:A78"/>
    <mergeCell ref="A79:A84"/>
    <mergeCell ref="A85:A93"/>
    <mergeCell ref="A94:A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Sheet1_FIGURE2</vt:lpstr>
      <vt:lpstr>Sheet2_FIGURE3</vt:lpstr>
      <vt:lpstr>Sheet3_FIGURE4</vt:lpstr>
      <vt:lpstr>Sheet4_FIGURE5</vt:lpstr>
      <vt:lpstr>Sheet 5_TABLE2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Yang</dc:creator>
  <cp:lastModifiedBy>杨斌19969108917</cp:lastModifiedBy>
  <dcterms:created xsi:type="dcterms:W3CDTF">2023-01-01T11:04:00Z</dcterms:created>
  <dcterms:modified xsi:type="dcterms:W3CDTF">2023-01-02T10:31:36Z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606D1B366F134BB5BAB800EE46D80F49</vt:lpwstr>
  </property>
  <property fmtid="{D5CDD505-2E9C-101B-9397-08002B2CF9AE}" pid="3" name="KSOProductBuildVer">
    <vt:lpwstr>2052-11.1.0.13012</vt:lpwstr>
  </property>
</Properties>
</file>