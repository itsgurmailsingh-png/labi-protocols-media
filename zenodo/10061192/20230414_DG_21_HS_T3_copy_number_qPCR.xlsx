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oshd/qPCR/21_HS_T3/"/>
    </mc:Choice>
  </mc:AlternateContent>
  <xr:revisionPtr revIDLastSave="0" documentId="13_ncr:1_{37F65205-457A-9846-97D7-A36E3D5D7763}" xr6:coauthVersionLast="47" xr6:coauthVersionMax="47" xr10:uidLastSave="{00000000-0000-0000-0000-000000000000}"/>
  <bookViews>
    <workbookView xWindow="51200" yWindow="3060" windowWidth="38400" windowHeight="19180" activeTab="4" xr2:uid="{A144B6EC-1C78-CC4F-81A6-7BAC3E6393D8}"/>
  </bookViews>
  <sheets>
    <sheet name="20230412_qPCR_I" sheetId="1" r:id="rId1"/>
    <sheet name="20230412_qPCR_II" sheetId="3" r:id="rId2"/>
    <sheet name="20230412_qPCR_III" sheetId="2" r:id="rId3"/>
    <sheet name="20230412_qPCR_IV" sheetId="4" r:id="rId4"/>
    <sheet name="20230412_qPCR_V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5" l="1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D68" i="5" s="1"/>
  <c r="C67" i="5"/>
  <c r="D67" i="5" s="1"/>
  <c r="C66" i="5"/>
  <c r="C65" i="5"/>
  <c r="C64" i="5"/>
  <c r="C63" i="5"/>
  <c r="C62" i="5"/>
  <c r="C61" i="5"/>
  <c r="C60" i="5"/>
  <c r="D60" i="5" s="1"/>
  <c r="C59" i="5"/>
  <c r="C58" i="5"/>
  <c r="C57" i="5"/>
  <c r="C56" i="5"/>
  <c r="C55" i="5"/>
  <c r="C54" i="5"/>
  <c r="D54" i="5" s="1"/>
  <c r="C53" i="5"/>
  <c r="C52" i="5"/>
  <c r="D52" i="5" s="1"/>
  <c r="C51" i="5"/>
  <c r="D51" i="5" s="1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0" i="5"/>
  <c r="C29" i="5"/>
  <c r="C28" i="5"/>
  <c r="C27" i="5"/>
  <c r="D27" i="5" s="1"/>
  <c r="C26" i="5"/>
  <c r="D26" i="5" s="1"/>
  <c r="C25" i="5"/>
  <c r="D25" i="5" s="1"/>
  <c r="C24" i="5"/>
  <c r="C23" i="5"/>
  <c r="C22" i="5"/>
  <c r="C21" i="5"/>
  <c r="C20" i="5"/>
  <c r="C19" i="5"/>
  <c r="D19" i="5" s="1"/>
  <c r="C18" i="5"/>
  <c r="C17" i="5"/>
  <c r="C16" i="5"/>
  <c r="B7" i="5"/>
  <c r="B9" i="5" s="1"/>
  <c r="C109" i="4"/>
  <c r="C108" i="4"/>
  <c r="C107" i="4"/>
  <c r="C106" i="4"/>
  <c r="C105" i="4"/>
  <c r="C104" i="4"/>
  <c r="C103" i="4"/>
  <c r="C102" i="4"/>
  <c r="C101" i="4"/>
  <c r="C100" i="4"/>
  <c r="C99" i="4"/>
  <c r="D99" i="4" s="1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B7" i="4"/>
  <c r="B9" i="4" s="1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D65" i="2" s="1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09" i="3"/>
  <c r="C108" i="3"/>
  <c r="C107" i="3"/>
  <c r="C106" i="3"/>
  <c r="C105" i="3"/>
  <c r="C104" i="3"/>
  <c r="C103" i="3"/>
  <c r="C102" i="3"/>
  <c r="C101" i="3"/>
  <c r="C100" i="3"/>
  <c r="C99" i="3"/>
  <c r="C98" i="3"/>
  <c r="D98" i="3" s="1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D81" i="3" s="1"/>
  <c r="C80" i="3"/>
  <c r="C79" i="3"/>
  <c r="D79" i="3" s="1"/>
  <c r="C78" i="3"/>
  <c r="C77" i="3"/>
  <c r="C76" i="3"/>
  <c r="C75" i="3"/>
  <c r="D75" i="3" s="1"/>
  <c r="C74" i="3"/>
  <c r="D74" i="3" s="1"/>
  <c r="C73" i="3"/>
  <c r="C72" i="3"/>
  <c r="C71" i="3"/>
  <c r="D71" i="3" s="1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D57" i="3" s="1"/>
  <c r="C56" i="3"/>
  <c r="C55" i="3"/>
  <c r="C54" i="3"/>
  <c r="C53" i="3"/>
  <c r="C52" i="3"/>
  <c r="C51" i="3"/>
  <c r="C50" i="3"/>
  <c r="C49" i="3"/>
  <c r="C48" i="3"/>
  <c r="C47" i="3"/>
  <c r="D47" i="3" s="1"/>
  <c r="C46" i="3"/>
  <c r="D46" i="3" s="1"/>
  <c r="C45" i="3"/>
  <c r="C44" i="3"/>
  <c r="C43" i="3"/>
  <c r="C42" i="3"/>
  <c r="C41" i="3"/>
  <c r="C40" i="3"/>
  <c r="C39" i="3"/>
  <c r="C38" i="3"/>
  <c r="C37" i="3"/>
  <c r="D37" i="3" s="1"/>
  <c r="C36" i="3"/>
  <c r="C35" i="3"/>
  <c r="C34" i="3"/>
  <c r="C33" i="3"/>
  <c r="C32" i="3"/>
  <c r="C30" i="3"/>
  <c r="D30" i="3" s="1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D16" i="3" s="1"/>
  <c r="B7" i="3"/>
  <c r="B9" i="3" s="1"/>
  <c r="B7" i="2"/>
  <c r="B9" i="2" s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B7" i="1"/>
  <c r="B9" i="1" s="1"/>
  <c r="D27" i="1" s="1"/>
  <c r="C16" i="1"/>
  <c r="D22" i="4" l="1"/>
  <c r="D72" i="4"/>
  <c r="D66" i="2"/>
  <c r="D84" i="4"/>
  <c r="D78" i="5"/>
  <c r="D59" i="4"/>
  <c r="D28" i="4"/>
  <c r="D107" i="4"/>
  <c r="D19" i="4"/>
  <c r="D76" i="4"/>
  <c r="D44" i="4"/>
  <c r="D27" i="4"/>
  <c r="D97" i="4"/>
  <c r="D75" i="4"/>
  <c r="D62" i="4"/>
  <c r="D43" i="4"/>
  <c r="D26" i="4"/>
  <c r="D74" i="4"/>
  <c r="D61" i="4"/>
  <c r="D42" i="4"/>
  <c r="D94" i="4"/>
  <c r="D60" i="4"/>
  <c r="D41" i="4"/>
  <c r="D21" i="4"/>
  <c r="D69" i="4"/>
  <c r="D38" i="4"/>
  <c r="D106" i="4"/>
  <c r="D92" i="4"/>
  <c r="D67" i="4"/>
  <c r="D52" i="4"/>
  <c r="D30" i="4"/>
  <c r="D18" i="4"/>
  <c r="D53" i="4"/>
  <c r="D105" i="4"/>
  <c r="D91" i="4"/>
  <c r="D66" i="4"/>
  <c r="D51" i="4"/>
  <c r="D29" i="4"/>
  <c r="D93" i="4"/>
  <c r="D48" i="4"/>
  <c r="D64" i="4"/>
  <c r="D96" i="4"/>
  <c r="D16" i="4"/>
  <c r="D65" i="4"/>
  <c r="D98" i="4"/>
  <c r="D84" i="2"/>
  <c r="D105" i="2"/>
  <c r="D71" i="2"/>
  <c r="D30" i="2"/>
  <c r="D37" i="2"/>
  <c r="D109" i="2"/>
  <c r="D60" i="2"/>
  <c r="D85" i="2"/>
  <c r="D61" i="2"/>
  <c r="D36" i="2"/>
  <c r="D73" i="2"/>
  <c r="D24" i="2"/>
  <c r="D108" i="2"/>
  <c r="D81" i="2"/>
  <c r="D72" i="2"/>
  <c r="D53" i="2"/>
  <c r="D33" i="2"/>
  <c r="D22" i="2"/>
  <c r="D100" i="2"/>
  <c r="D79" i="2"/>
  <c r="D68" i="2"/>
  <c r="D51" i="2"/>
  <c r="D29" i="2"/>
  <c r="D19" i="2"/>
  <c r="D80" i="2"/>
  <c r="D52" i="2"/>
  <c r="D21" i="2"/>
  <c r="D99" i="2"/>
  <c r="D77" i="2"/>
  <c r="D67" i="2"/>
  <c r="D44" i="2"/>
  <c r="D28" i="2"/>
  <c r="D18" i="2"/>
  <c r="D17" i="2"/>
  <c r="D25" i="2"/>
  <c r="D34" i="2"/>
  <c r="D74" i="2"/>
  <c r="D90" i="3"/>
  <c r="D53" i="3"/>
  <c r="D108" i="3"/>
  <c r="D50" i="3"/>
  <c r="D91" i="3"/>
  <c r="D72" i="3"/>
  <c r="D36" i="3"/>
  <c r="D82" i="3"/>
  <c r="D52" i="3"/>
  <c r="D34" i="3"/>
  <c r="D109" i="3"/>
  <c r="D67" i="3"/>
  <c r="D51" i="3"/>
  <c r="D100" i="3"/>
  <c r="D77" i="3"/>
  <c r="D60" i="3"/>
  <c r="D48" i="3"/>
  <c r="D21" i="3"/>
  <c r="D61" i="3"/>
  <c r="D22" i="3"/>
  <c r="D99" i="3"/>
  <c r="D76" i="3"/>
  <c r="D58" i="3"/>
  <c r="D19" i="3"/>
  <c r="D56" i="3"/>
  <c r="D96" i="3"/>
  <c r="D26" i="2"/>
  <c r="D43" i="2"/>
  <c r="D75" i="2"/>
  <c r="D91" i="2"/>
  <c r="D39" i="5"/>
  <c r="D27" i="2"/>
  <c r="D76" i="2"/>
  <c r="D92" i="2"/>
  <c r="D85" i="5"/>
  <c r="D80" i="5"/>
  <c r="D53" i="5"/>
  <c r="D37" i="5"/>
  <c r="D22" i="5"/>
  <c r="D79" i="5"/>
  <c r="D61" i="5"/>
  <c r="D32" i="5"/>
  <c r="E32" i="5" s="1"/>
  <c r="J32" i="5" s="1"/>
  <c r="D21" i="5"/>
  <c r="D30" i="5"/>
  <c r="D76" i="5"/>
  <c r="D58" i="5"/>
  <c r="D50" i="5"/>
  <c r="D29" i="5"/>
  <c r="D17" i="5"/>
  <c r="D72" i="5"/>
  <c r="D57" i="5"/>
  <c r="D48" i="5"/>
  <c r="D16" i="5"/>
  <c r="K16" i="5" s="1"/>
  <c r="D71" i="5"/>
  <c r="K71" i="5" s="1"/>
  <c r="D56" i="5"/>
  <c r="D47" i="5"/>
  <c r="D28" i="5"/>
  <c r="D70" i="5"/>
  <c r="D55" i="5"/>
  <c r="D46" i="5"/>
  <c r="D95" i="3"/>
  <c r="D50" i="2"/>
  <c r="D98" i="2"/>
  <c r="D80" i="4"/>
  <c r="D43" i="5"/>
  <c r="D28" i="3"/>
  <c r="D23" i="2"/>
  <c r="D32" i="2"/>
  <c r="D48" i="2"/>
  <c r="D56" i="2"/>
  <c r="D96" i="2"/>
  <c r="D104" i="2"/>
  <c r="D46" i="4"/>
  <c r="D70" i="4"/>
  <c r="D78" i="4"/>
  <c r="D86" i="4"/>
  <c r="D102" i="4"/>
  <c r="D24" i="5"/>
  <c r="D33" i="5"/>
  <c r="D41" i="5"/>
  <c r="D49" i="5"/>
  <c r="D65" i="5"/>
  <c r="D73" i="5"/>
  <c r="D81" i="5"/>
  <c r="D39" i="3"/>
  <c r="D63" i="3"/>
  <c r="D42" i="2"/>
  <c r="D32" i="4"/>
  <c r="D56" i="4"/>
  <c r="D38" i="3"/>
  <c r="D62" i="3"/>
  <c r="D70" i="3"/>
  <c r="D86" i="3"/>
  <c r="D94" i="3"/>
  <c r="D16" i="2"/>
  <c r="D41" i="2"/>
  <c r="D49" i="2"/>
  <c r="D57" i="2"/>
  <c r="D89" i="2"/>
  <c r="D97" i="2"/>
  <c r="D39" i="4"/>
  <c r="D47" i="4"/>
  <c r="D71" i="4"/>
  <c r="D79" i="4"/>
  <c r="D87" i="4"/>
  <c r="D103" i="4"/>
  <c r="D34" i="5"/>
  <c r="D42" i="5"/>
  <c r="D66" i="5"/>
  <c r="D74" i="5"/>
  <c r="E74" i="5" s="1"/>
  <c r="J74" i="5" s="1"/>
  <c r="D90" i="2"/>
  <c r="D104" i="4"/>
  <c r="K104" i="4" s="1"/>
  <c r="D18" i="5"/>
  <c r="D75" i="5"/>
  <c r="D23" i="3"/>
  <c r="D32" i="3"/>
  <c r="D104" i="3"/>
  <c r="D24" i="4"/>
  <c r="D57" i="4"/>
  <c r="D89" i="4"/>
  <c r="E89" i="4" s="1"/>
  <c r="J89" i="4" s="1"/>
  <c r="D36" i="5"/>
  <c r="D44" i="5"/>
  <c r="D84" i="5"/>
  <c r="D105" i="3"/>
  <c r="D17" i="4"/>
  <c r="D23" i="4"/>
  <c r="D33" i="3"/>
  <c r="D89" i="3"/>
  <c r="K89" i="3" s="1"/>
  <c r="D17" i="3"/>
  <c r="D25" i="3"/>
  <c r="D42" i="3"/>
  <c r="D35" i="4"/>
  <c r="D83" i="4"/>
  <c r="D38" i="5"/>
  <c r="D62" i="5"/>
  <c r="D86" i="5"/>
  <c r="D65" i="3"/>
  <c r="D18" i="3"/>
  <c r="D26" i="3"/>
  <c r="D43" i="3"/>
  <c r="D38" i="2"/>
  <c r="D46" i="2"/>
  <c r="D54" i="2"/>
  <c r="D62" i="2"/>
  <c r="D70" i="2"/>
  <c r="D78" i="2"/>
  <c r="D86" i="2"/>
  <c r="D94" i="2"/>
  <c r="D102" i="2"/>
  <c r="D63" i="5"/>
  <c r="D55" i="3"/>
  <c r="D103" i="3"/>
  <c r="D58" i="2"/>
  <c r="D88" i="4"/>
  <c r="E86" i="4" s="1"/>
  <c r="J86" i="4" s="1"/>
  <c r="D41" i="3"/>
  <c r="D27" i="3"/>
  <c r="D39" i="2"/>
  <c r="D47" i="2"/>
  <c r="D55" i="2"/>
  <c r="D63" i="2"/>
  <c r="D95" i="2"/>
  <c r="D103" i="2"/>
  <c r="D23" i="5"/>
  <c r="K22" i="5" s="1"/>
  <c r="E22" i="5"/>
  <c r="J22" i="5" s="1"/>
  <c r="K32" i="5"/>
  <c r="E80" i="5"/>
  <c r="J80" i="5" s="1"/>
  <c r="E16" i="5"/>
  <c r="J16" i="5" s="1"/>
  <c r="K65" i="5"/>
  <c r="E65" i="5"/>
  <c r="J65" i="5" s="1"/>
  <c r="K50" i="5"/>
  <c r="E50" i="5"/>
  <c r="J50" i="5" s="1"/>
  <c r="K47" i="5"/>
  <c r="E47" i="5"/>
  <c r="J47" i="5" s="1"/>
  <c r="E71" i="5"/>
  <c r="J71" i="5" s="1"/>
  <c r="E56" i="5"/>
  <c r="J56" i="5" s="1"/>
  <c r="K56" i="5"/>
  <c r="K41" i="5"/>
  <c r="E41" i="5"/>
  <c r="J41" i="5" s="1"/>
  <c r="E25" i="5"/>
  <c r="J25" i="5" s="1"/>
  <c r="K25" i="5"/>
  <c r="K74" i="5"/>
  <c r="E28" i="5"/>
  <c r="J28" i="5" s="1"/>
  <c r="K28" i="5"/>
  <c r="E53" i="5"/>
  <c r="J53" i="5" s="1"/>
  <c r="K53" i="5"/>
  <c r="D20" i="5"/>
  <c r="K19" i="5" s="1"/>
  <c r="D45" i="5"/>
  <c r="E44" i="5" s="1"/>
  <c r="J44" i="5" s="1"/>
  <c r="D88" i="5"/>
  <c r="D83" i="5"/>
  <c r="D40" i="5"/>
  <c r="K38" i="5" s="1"/>
  <c r="D77" i="5"/>
  <c r="D82" i="5"/>
  <c r="K80" i="5" s="1"/>
  <c r="D87" i="5"/>
  <c r="D35" i="5"/>
  <c r="D59" i="5"/>
  <c r="D64" i="5"/>
  <c r="D69" i="5"/>
  <c r="K68" i="5" s="1"/>
  <c r="K74" i="4"/>
  <c r="K16" i="4"/>
  <c r="E16" i="4"/>
  <c r="J16" i="4" s="1"/>
  <c r="K41" i="4"/>
  <c r="E41" i="4"/>
  <c r="J41" i="4" s="1"/>
  <c r="K86" i="4"/>
  <c r="K65" i="4"/>
  <c r="E65" i="4"/>
  <c r="J65" i="4" s="1"/>
  <c r="K59" i="4"/>
  <c r="E59" i="4"/>
  <c r="J59" i="4" s="1"/>
  <c r="K83" i="4"/>
  <c r="K92" i="4"/>
  <c r="E92" i="4"/>
  <c r="J92" i="4" s="1"/>
  <c r="E74" i="4"/>
  <c r="J74" i="4" s="1"/>
  <c r="E28" i="4"/>
  <c r="J28" i="4" s="1"/>
  <c r="K22" i="4"/>
  <c r="E22" i="4"/>
  <c r="J22" i="4" s="1"/>
  <c r="D36" i="4"/>
  <c r="D40" i="4"/>
  <c r="K38" i="4" s="1"/>
  <c r="D49" i="4"/>
  <c r="K47" i="4" s="1"/>
  <c r="D58" i="4"/>
  <c r="K56" i="4" s="1"/>
  <c r="D77" i="4"/>
  <c r="D85" i="4"/>
  <c r="E83" i="4" s="1"/>
  <c r="J83" i="4" s="1"/>
  <c r="E104" i="4"/>
  <c r="J104" i="4" s="1"/>
  <c r="K28" i="4"/>
  <c r="D33" i="4"/>
  <c r="D37" i="4"/>
  <c r="D50" i="4"/>
  <c r="D54" i="4"/>
  <c r="D81" i="4"/>
  <c r="D90" i="4"/>
  <c r="D95" i="4"/>
  <c r="D100" i="4"/>
  <c r="E98" i="4" s="1"/>
  <c r="J98" i="4" s="1"/>
  <c r="D108" i="4"/>
  <c r="D20" i="4"/>
  <c r="K19" i="4" s="1"/>
  <c r="D25" i="4"/>
  <c r="D34" i="4"/>
  <c r="D45" i="4"/>
  <c r="K44" i="4" s="1"/>
  <c r="D55" i="4"/>
  <c r="D63" i="4"/>
  <c r="E62" i="4" s="1"/>
  <c r="J62" i="4" s="1"/>
  <c r="D68" i="4"/>
  <c r="D73" i="4"/>
  <c r="K71" i="4" s="1"/>
  <c r="D82" i="4"/>
  <c r="D101" i="4"/>
  <c r="D109" i="4"/>
  <c r="D93" i="2"/>
  <c r="K95" i="3"/>
  <c r="E95" i="3"/>
  <c r="E56" i="3"/>
  <c r="J56" i="3" s="1"/>
  <c r="K56" i="3"/>
  <c r="K32" i="3"/>
  <c r="E32" i="3"/>
  <c r="J32" i="3" s="1"/>
  <c r="K16" i="3"/>
  <c r="E16" i="3"/>
  <c r="J16" i="3" s="1"/>
  <c r="E25" i="3"/>
  <c r="J25" i="3" s="1"/>
  <c r="K25" i="3"/>
  <c r="E50" i="3"/>
  <c r="J50" i="3" s="1"/>
  <c r="K50" i="3"/>
  <c r="E74" i="3"/>
  <c r="J74" i="3" s="1"/>
  <c r="K74" i="3"/>
  <c r="E98" i="3"/>
  <c r="J98" i="3" s="1"/>
  <c r="K98" i="3"/>
  <c r="K41" i="3"/>
  <c r="E41" i="3"/>
  <c r="J41" i="3" s="1"/>
  <c r="D107" i="3"/>
  <c r="D35" i="3"/>
  <c r="D83" i="3"/>
  <c r="D29" i="3"/>
  <c r="E28" i="3" s="1"/>
  <c r="J28" i="3" s="1"/>
  <c r="D44" i="3"/>
  <c r="D49" i="3"/>
  <c r="K47" i="3" s="1"/>
  <c r="D54" i="3"/>
  <c r="E53" i="3" s="1"/>
  <c r="J53" i="3" s="1"/>
  <c r="D68" i="3"/>
  <c r="D73" i="3"/>
  <c r="K71" i="3" s="1"/>
  <c r="D78" i="3"/>
  <c r="E77" i="3" s="1"/>
  <c r="J77" i="3" s="1"/>
  <c r="D92" i="3"/>
  <c r="D97" i="3"/>
  <c r="J95" i="3" s="1"/>
  <c r="D102" i="3"/>
  <c r="D69" i="3"/>
  <c r="D24" i="3"/>
  <c r="K22" i="3" s="1"/>
  <c r="D20" i="3"/>
  <c r="K19" i="3" s="1"/>
  <c r="D64" i="3"/>
  <c r="K62" i="3" s="1"/>
  <c r="D88" i="3"/>
  <c r="K86" i="3" s="1"/>
  <c r="D84" i="3"/>
  <c r="D40" i="3"/>
  <c r="K38" i="3" s="1"/>
  <c r="D59" i="3"/>
  <c r="D93" i="3"/>
  <c r="D87" i="3"/>
  <c r="D101" i="3"/>
  <c r="D106" i="3"/>
  <c r="K104" i="3" s="1"/>
  <c r="D45" i="3"/>
  <c r="D66" i="3"/>
  <c r="K65" i="3" s="1"/>
  <c r="D80" i="3"/>
  <c r="D85" i="3"/>
  <c r="K22" i="2"/>
  <c r="E22" i="2"/>
  <c r="J22" i="2" s="1"/>
  <c r="K47" i="2"/>
  <c r="E47" i="2"/>
  <c r="J47" i="2" s="1"/>
  <c r="K71" i="2"/>
  <c r="E71" i="2"/>
  <c r="J71" i="2" s="1"/>
  <c r="K95" i="2"/>
  <c r="E95" i="2"/>
  <c r="J95" i="2" s="1"/>
  <c r="E32" i="2"/>
  <c r="J32" i="2" s="1"/>
  <c r="K32" i="2"/>
  <c r="E56" i="2"/>
  <c r="J56" i="2" s="1"/>
  <c r="K56" i="2"/>
  <c r="K16" i="2"/>
  <c r="E16" i="2"/>
  <c r="J16" i="2" s="1"/>
  <c r="K41" i="2"/>
  <c r="E41" i="2"/>
  <c r="J41" i="2" s="1"/>
  <c r="K65" i="2"/>
  <c r="E65" i="2"/>
  <c r="J65" i="2" s="1"/>
  <c r="E89" i="2"/>
  <c r="J89" i="2" s="1"/>
  <c r="K89" i="2"/>
  <c r="E25" i="2"/>
  <c r="J25" i="2" s="1"/>
  <c r="K25" i="2"/>
  <c r="E50" i="2"/>
  <c r="J50" i="2" s="1"/>
  <c r="K50" i="2"/>
  <c r="E74" i="2"/>
  <c r="J74" i="2" s="1"/>
  <c r="K74" i="2"/>
  <c r="E98" i="2"/>
  <c r="J98" i="2" s="1"/>
  <c r="K98" i="2"/>
  <c r="E92" i="2"/>
  <c r="J92" i="2" s="1"/>
  <c r="K92" i="2"/>
  <c r="E28" i="2"/>
  <c r="J28" i="2" s="1"/>
  <c r="K28" i="2"/>
  <c r="E53" i="2"/>
  <c r="J53" i="2" s="1"/>
  <c r="K53" i="2"/>
  <c r="E77" i="2"/>
  <c r="J77" i="2" s="1"/>
  <c r="K77" i="2"/>
  <c r="D69" i="2"/>
  <c r="K68" i="2" s="1"/>
  <c r="D59" i="2"/>
  <c r="D20" i="2"/>
  <c r="K19" i="2" s="1"/>
  <c r="D35" i="2"/>
  <c r="D64" i="2"/>
  <c r="D83" i="2"/>
  <c r="D107" i="2"/>
  <c r="D45" i="2"/>
  <c r="K44" i="2" s="1"/>
  <c r="D82" i="2"/>
  <c r="K80" i="2" s="1"/>
  <c r="D87" i="2"/>
  <c r="K86" i="2" s="1"/>
  <c r="D101" i="2"/>
  <c r="D106" i="2"/>
  <c r="E104" i="2" s="1"/>
  <c r="J104" i="2" s="1"/>
  <c r="D40" i="2"/>
  <c r="K38" i="2" s="1"/>
  <c r="D88" i="2"/>
  <c r="D83" i="1"/>
  <c r="E83" i="1" s="1"/>
  <c r="J83" i="1" s="1"/>
  <c r="D37" i="1"/>
  <c r="D45" i="1"/>
  <c r="D53" i="1"/>
  <c r="D61" i="1"/>
  <c r="D69" i="1"/>
  <c r="D40" i="1"/>
  <c r="D80" i="1"/>
  <c r="D95" i="1"/>
  <c r="D103" i="1"/>
  <c r="D64" i="1"/>
  <c r="D66" i="1"/>
  <c r="D88" i="1"/>
  <c r="D96" i="1"/>
  <c r="D104" i="1"/>
  <c r="D56" i="1"/>
  <c r="D35" i="1"/>
  <c r="D51" i="1"/>
  <c r="D59" i="1"/>
  <c r="E59" i="1" s="1"/>
  <c r="J59" i="1" s="1"/>
  <c r="D89" i="1"/>
  <c r="K89" i="1" s="1"/>
  <c r="D97" i="1"/>
  <c r="D58" i="1"/>
  <c r="D44" i="1"/>
  <c r="D52" i="1"/>
  <c r="D90" i="1"/>
  <c r="D107" i="1"/>
  <c r="D21" i="1"/>
  <c r="D29" i="1"/>
  <c r="D38" i="1"/>
  <c r="D77" i="1"/>
  <c r="D84" i="1"/>
  <c r="D16" i="1"/>
  <c r="D22" i="1"/>
  <c r="D30" i="1"/>
  <c r="D70" i="1"/>
  <c r="D78" i="1"/>
  <c r="D85" i="1"/>
  <c r="D93" i="1"/>
  <c r="D65" i="1"/>
  <c r="D105" i="1"/>
  <c r="D72" i="1"/>
  <c r="D106" i="1"/>
  <c r="D47" i="1"/>
  <c r="D86" i="1"/>
  <c r="D92" i="1"/>
  <c r="D99" i="1"/>
  <c r="D39" i="1"/>
  <c r="K38" i="1" s="1"/>
  <c r="D79" i="1"/>
  <c r="D46" i="1"/>
  <c r="D74" i="1"/>
  <c r="D33" i="1"/>
  <c r="D60" i="1"/>
  <c r="D91" i="1"/>
  <c r="D34" i="1"/>
  <c r="D73" i="1"/>
  <c r="D48" i="1"/>
  <c r="D67" i="1"/>
  <c r="D87" i="1"/>
  <c r="D100" i="1"/>
  <c r="D42" i="1"/>
  <c r="D49" i="1"/>
  <c r="D62" i="1"/>
  <c r="D68" i="1"/>
  <c r="D75" i="1"/>
  <c r="D82" i="1"/>
  <c r="D101" i="1"/>
  <c r="D108" i="1"/>
  <c r="D32" i="1"/>
  <c r="D71" i="1"/>
  <c r="D54" i="1"/>
  <c r="D98" i="1"/>
  <c r="D55" i="1"/>
  <c r="D41" i="1"/>
  <c r="D81" i="1"/>
  <c r="D20" i="1"/>
  <c r="D28" i="1"/>
  <c r="D36" i="1"/>
  <c r="D43" i="1"/>
  <c r="D50" i="1"/>
  <c r="D57" i="1"/>
  <c r="D63" i="1"/>
  <c r="D76" i="1"/>
  <c r="D94" i="1"/>
  <c r="D102" i="1"/>
  <c r="D109" i="1"/>
  <c r="D23" i="1"/>
  <c r="D17" i="1"/>
  <c r="D26" i="1"/>
  <c r="D25" i="1"/>
  <c r="D18" i="1"/>
  <c r="D24" i="1"/>
  <c r="D19" i="1"/>
  <c r="E77" i="1" l="1"/>
  <c r="J77" i="1" s="1"/>
  <c r="E50" i="1"/>
  <c r="J50" i="1" s="1"/>
  <c r="E71" i="1"/>
  <c r="J71" i="1" s="1"/>
  <c r="K65" i="1"/>
  <c r="K89" i="4"/>
  <c r="E68" i="1"/>
  <c r="J68" i="1" s="1"/>
  <c r="K32" i="1"/>
  <c r="K83" i="1"/>
  <c r="K62" i="2"/>
  <c r="E89" i="3"/>
  <c r="J89" i="3" s="1"/>
  <c r="K98" i="1"/>
  <c r="K59" i="1"/>
  <c r="E62" i="5"/>
  <c r="J62" i="5" s="1"/>
  <c r="E32" i="4"/>
  <c r="J32" i="4" s="1"/>
  <c r="K86" i="5"/>
  <c r="K44" i="5"/>
  <c r="E86" i="5"/>
  <c r="J86" i="5" s="1"/>
  <c r="E68" i="5"/>
  <c r="J68" i="5" s="1"/>
  <c r="E19" i="5"/>
  <c r="J19" i="5" s="1"/>
  <c r="E59" i="5"/>
  <c r="J59" i="5" s="1"/>
  <c r="K59" i="5"/>
  <c r="K83" i="5"/>
  <c r="E83" i="5"/>
  <c r="J83" i="5" s="1"/>
  <c r="K35" i="5"/>
  <c r="E35" i="5"/>
  <c r="J35" i="5" s="1"/>
  <c r="E38" i="5"/>
  <c r="J38" i="5" s="1"/>
  <c r="K62" i="5"/>
  <c r="E77" i="5"/>
  <c r="J77" i="5" s="1"/>
  <c r="K77" i="5"/>
  <c r="K35" i="4"/>
  <c r="K107" i="4"/>
  <c r="K80" i="4"/>
  <c r="K62" i="4"/>
  <c r="K53" i="4"/>
  <c r="E53" i="4"/>
  <c r="J53" i="4" s="1"/>
  <c r="E56" i="4"/>
  <c r="J56" i="4" s="1"/>
  <c r="E35" i="4"/>
  <c r="J35" i="4" s="1"/>
  <c r="K32" i="4"/>
  <c r="K68" i="4"/>
  <c r="E68" i="4"/>
  <c r="J68" i="4" s="1"/>
  <c r="K98" i="4"/>
  <c r="K95" i="4"/>
  <c r="E95" i="4"/>
  <c r="J95" i="4" s="1"/>
  <c r="E107" i="4"/>
  <c r="J107" i="4" s="1"/>
  <c r="E71" i="4"/>
  <c r="J71" i="4" s="1"/>
  <c r="E38" i="4"/>
  <c r="J38" i="4" s="1"/>
  <c r="E77" i="4"/>
  <c r="J77" i="4" s="1"/>
  <c r="K77" i="4"/>
  <c r="E80" i="4"/>
  <c r="J80" i="4" s="1"/>
  <c r="E44" i="4"/>
  <c r="J44" i="4" s="1"/>
  <c r="E19" i="4"/>
  <c r="J19" i="4" s="1"/>
  <c r="E47" i="4"/>
  <c r="J47" i="4" s="1"/>
  <c r="E101" i="4"/>
  <c r="J101" i="4" s="1"/>
  <c r="K101" i="4"/>
  <c r="E25" i="4"/>
  <c r="J25" i="4" s="1"/>
  <c r="K25" i="4"/>
  <c r="E50" i="4"/>
  <c r="J50" i="4" s="1"/>
  <c r="K50" i="4"/>
  <c r="E62" i="2"/>
  <c r="J62" i="2" s="1"/>
  <c r="E38" i="2"/>
  <c r="J38" i="2" s="1"/>
  <c r="E47" i="3"/>
  <c r="J47" i="3" s="1"/>
  <c r="E104" i="3"/>
  <c r="J104" i="3" s="1"/>
  <c r="E71" i="3"/>
  <c r="J71" i="3" s="1"/>
  <c r="E83" i="3"/>
  <c r="J83" i="3" s="1"/>
  <c r="K83" i="3"/>
  <c r="E86" i="3"/>
  <c r="J86" i="3" s="1"/>
  <c r="K107" i="3"/>
  <c r="E107" i="3"/>
  <c r="J107" i="3" s="1"/>
  <c r="K68" i="3"/>
  <c r="E68" i="3"/>
  <c r="J68" i="3" s="1"/>
  <c r="E19" i="3"/>
  <c r="J19" i="3" s="1"/>
  <c r="E65" i="3"/>
  <c r="J65" i="3" s="1"/>
  <c r="E62" i="3"/>
  <c r="J62" i="3" s="1"/>
  <c r="K53" i="3"/>
  <c r="E22" i="3"/>
  <c r="J22" i="3" s="1"/>
  <c r="E38" i="3"/>
  <c r="J38" i="3" s="1"/>
  <c r="E80" i="3"/>
  <c r="J80" i="3" s="1"/>
  <c r="K80" i="3"/>
  <c r="K28" i="3"/>
  <c r="K92" i="3"/>
  <c r="E92" i="3"/>
  <c r="J92" i="3" s="1"/>
  <c r="E35" i="3"/>
  <c r="J35" i="3" s="1"/>
  <c r="K35" i="3"/>
  <c r="E101" i="3"/>
  <c r="J101" i="3" s="1"/>
  <c r="K101" i="3"/>
  <c r="K77" i="3"/>
  <c r="K59" i="3"/>
  <c r="E59" i="3"/>
  <c r="J59" i="3" s="1"/>
  <c r="K44" i="3"/>
  <c r="E44" i="3"/>
  <c r="J44" i="3" s="1"/>
  <c r="E101" i="2"/>
  <c r="J101" i="2" s="1"/>
  <c r="K101" i="2"/>
  <c r="K35" i="2"/>
  <c r="E35" i="2"/>
  <c r="J35" i="2" s="1"/>
  <c r="E19" i="2"/>
  <c r="J19" i="2" s="1"/>
  <c r="K59" i="2"/>
  <c r="E59" i="2"/>
  <c r="J59" i="2" s="1"/>
  <c r="K104" i="2"/>
  <c r="E86" i="2"/>
  <c r="J86" i="2" s="1"/>
  <c r="E68" i="2"/>
  <c r="J68" i="2" s="1"/>
  <c r="E80" i="2"/>
  <c r="J80" i="2" s="1"/>
  <c r="K107" i="2"/>
  <c r="E107" i="2"/>
  <c r="J107" i="2" s="1"/>
  <c r="K83" i="2"/>
  <c r="E83" i="2"/>
  <c r="J83" i="2" s="1"/>
  <c r="E44" i="2"/>
  <c r="J44" i="2" s="1"/>
  <c r="E62" i="1"/>
  <c r="J62" i="1" s="1"/>
  <c r="K35" i="1"/>
  <c r="K95" i="1"/>
  <c r="K77" i="1"/>
  <c r="K56" i="1"/>
  <c r="E53" i="1"/>
  <c r="J53" i="1" s="1"/>
  <c r="E56" i="1"/>
  <c r="J56" i="1" s="1"/>
  <c r="E41" i="1"/>
  <c r="J41" i="1" s="1"/>
  <c r="K50" i="1"/>
  <c r="E89" i="1"/>
  <c r="J89" i="1" s="1"/>
  <c r="K41" i="1"/>
  <c r="K68" i="1"/>
  <c r="E35" i="1"/>
  <c r="J35" i="1" s="1"/>
  <c r="K62" i="1"/>
  <c r="E38" i="1"/>
  <c r="J38" i="1" s="1"/>
  <c r="E95" i="1"/>
  <c r="J95" i="1" s="1"/>
  <c r="K92" i="1"/>
  <c r="K107" i="1"/>
  <c r="E98" i="1"/>
  <c r="J98" i="1" s="1"/>
  <c r="E32" i="1"/>
  <c r="J32" i="1" s="1"/>
  <c r="K47" i="1"/>
  <c r="E107" i="1"/>
  <c r="J107" i="1" s="1"/>
  <c r="E80" i="1"/>
  <c r="J80" i="1" s="1"/>
  <c r="E101" i="1"/>
  <c r="J101" i="1" s="1"/>
  <c r="K86" i="1"/>
  <c r="E74" i="1"/>
  <c r="J74" i="1" s="1"/>
  <c r="K104" i="1"/>
  <c r="E25" i="1"/>
  <c r="J25" i="1" s="1"/>
  <c r="E65" i="1"/>
  <c r="J65" i="1" s="1"/>
  <c r="K44" i="1"/>
  <c r="K71" i="1"/>
  <c r="E92" i="1"/>
  <c r="J92" i="1" s="1"/>
  <c r="E104" i="1"/>
  <c r="J104" i="1" s="1"/>
  <c r="K80" i="1"/>
  <c r="E86" i="1"/>
  <c r="J86" i="1" s="1"/>
  <c r="E44" i="1"/>
  <c r="J44" i="1" s="1"/>
  <c r="K101" i="1"/>
  <c r="K74" i="1"/>
  <c r="E47" i="1"/>
  <c r="J47" i="1" s="1"/>
  <c r="K53" i="1"/>
  <c r="E22" i="1"/>
  <c r="J22" i="1" s="1"/>
  <c r="K22" i="1"/>
  <c r="K25" i="1"/>
  <c r="K19" i="1"/>
  <c r="E19" i="1"/>
  <c r="J19" i="1" s="1"/>
  <c r="E28" i="1"/>
  <c r="J28" i="1" s="1"/>
  <c r="K28" i="1"/>
  <c r="K16" i="1"/>
  <c r="E16" i="1"/>
  <c r="J16" i="1" s="1"/>
</calcChain>
</file>

<file path=xl/sharedStrings.xml><?xml version="1.0" encoding="utf-8"?>
<sst xmlns="http://schemas.openxmlformats.org/spreadsheetml/2006/main" count="530" uniqueCount="162">
  <si>
    <t>Sample Name</t>
  </si>
  <si>
    <t>Cт</t>
  </si>
  <si>
    <t>2_BS_30_II</t>
  </si>
  <si>
    <t>31_MBS_30_II</t>
  </si>
  <si>
    <t>Mean (copy numbers)</t>
  </si>
  <si>
    <t>Dilution factor</t>
  </si>
  <si>
    <t>Sample volume in qPCR (µL)</t>
  </si>
  <si>
    <t>Elution buffer from DNA Extraction (µL)</t>
  </si>
  <si>
    <t>Mass of 1 base pair (g)</t>
  </si>
  <si>
    <t>Copy number (from the equation 2)</t>
  </si>
  <si>
    <t>Equation 1</t>
  </si>
  <si>
    <r>
      <t>Copy # of interest = 10^((C</t>
    </r>
    <r>
      <rPr>
        <vertAlign val="subscript"/>
        <sz val="11"/>
        <color theme="1"/>
        <rFont val="SF Pro Display Regular"/>
      </rPr>
      <t>T</t>
    </r>
    <r>
      <rPr>
        <sz val="11"/>
        <color theme="1"/>
        <rFont val="SF Pro Display Regular"/>
      </rPr>
      <t xml:space="preserve"> - Intercept)/Slope)</t>
    </r>
  </si>
  <si>
    <t>Equation 2</t>
  </si>
  <si>
    <t xml:space="preserve">Copy # of interest × mass of genome = mass of gDNA used </t>
  </si>
  <si>
    <t>Copy number (w. r .t. Copy number of E coli)</t>
  </si>
  <si>
    <t>Equation 3</t>
  </si>
  <si>
    <t>Copies in mg of soil = (Copy number w.r.t. Copy # of E coli x Dilution Factor x Elution buffer volume from DNA Extraction)/(Soil Sample weight in DNA extraction x Sample volumne in qPCR)</t>
  </si>
  <si>
    <t>Std Dev</t>
  </si>
  <si>
    <t>E coli_S4</t>
  </si>
  <si>
    <t>E coli_S5</t>
  </si>
  <si>
    <t>E coli_S6</t>
  </si>
  <si>
    <t>E coli_S7</t>
  </si>
  <si>
    <t>E coli_S8</t>
  </si>
  <si>
    <t>9_RC_60</t>
  </si>
  <si>
    <t>16_MRC_30</t>
  </si>
  <si>
    <t>30_MRC_60</t>
  </si>
  <si>
    <t>19_MBS_30</t>
  </si>
  <si>
    <t>8_MRC_30</t>
  </si>
  <si>
    <t>30_RC_60</t>
  </si>
  <si>
    <t>4_MRC_30</t>
  </si>
  <si>
    <t>8_MBS_60</t>
  </si>
  <si>
    <t>30_RC_30</t>
  </si>
  <si>
    <t>25_MRC_30</t>
  </si>
  <si>
    <t>8_RC_30</t>
  </si>
  <si>
    <t>30_MRC_30</t>
  </si>
  <si>
    <t>30_MBS_60</t>
  </si>
  <si>
    <t>8_MRC_60</t>
  </si>
  <si>
    <t>32_MBS_60</t>
  </si>
  <si>
    <t>16_MBS_60</t>
  </si>
  <si>
    <t>8_RC_60</t>
  </si>
  <si>
    <t>32_RC_60</t>
  </si>
  <si>
    <t>5_RC_60</t>
  </si>
  <si>
    <t>3_MBS_60</t>
  </si>
  <si>
    <t>5_MBS_30</t>
  </si>
  <si>
    <t>32_MRC_60</t>
  </si>
  <si>
    <t>8_MBS_30</t>
  </si>
  <si>
    <t>11_MBS_60</t>
  </si>
  <si>
    <t>30_MBS_30</t>
  </si>
  <si>
    <t>32_MRC_30</t>
  </si>
  <si>
    <t>Standard</t>
  </si>
  <si>
    <t>Unknown samples</t>
  </si>
  <si>
    <t>Experiment : 20230412_qPCR_I</t>
  </si>
  <si>
    <t>Date : 12-04-2023</t>
  </si>
  <si>
    <t>Instrument : AB 7500 Fast PCR Cycler</t>
  </si>
  <si>
    <t>Experiment : 20230412_qPCR_II</t>
  </si>
  <si>
    <t>Experiment : 20230412_qPCR_III</t>
  </si>
  <si>
    <t>Date : 13-04-2023</t>
  </si>
  <si>
    <t>3_MBS_30</t>
  </si>
  <si>
    <t>16_MRC_60</t>
  </si>
  <si>
    <t>11_MBS_30</t>
  </si>
  <si>
    <t>3_RC_30</t>
  </si>
  <si>
    <t>16_MBS_30</t>
  </si>
  <si>
    <t>11_RC_30</t>
  </si>
  <si>
    <t>3_MRC_30</t>
  </si>
  <si>
    <t>5_MRC_30</t>
  </si>
  <si>
    <t>11_RC_60</t>
  </si>
  <si>
    <t>3_RC_60</t>
  </si>
  <si>
    <t>21_MRC_30</t>
  </si>
  <si>
    <t>5_MBS_60</t>
  </si>
  <si>
    <t>5_RC_30</t>
  </si>
  <si>
    <t>21_RC_30</t>
  </si>
  <si>
    <t>28_MBS_60</t>
  </si>
  <si>
    <t>5_MRC_60</t>
  </si>
  <si>
    <t>21_MBS_30</t>
  </si>
  <si>
    <t>28_MRC_60</t>
  </si>
  <si>
    <t>32_MBS_30</t>
  </si>
  <si>
    <t>16_RC_30</t>
  </si>
  <si>
    <t>21_MBS_60</t>
  </si>
  <si>
    <t>28_RC_30</t>
  </si>
  <si>
    <t>32_RC_30</t>
  </si>
  <si>
    <t>16_RC_60</t>
  </si>
  <si>
    <t>11_MRC_30</t>
  </si>
  <si>
    <t>28_MRC_30</t>
  </si>
  <si>
    <t>Undetermined</t>
  </si>
  <si>
    <t>35_RC_30</t>
  </si>
  <si>
    <t>2_BS_60</t>
  </si>
  <si>
    <t>19_MBS_60</t>
  </si>
  <si>
    <t>35_MBS_60</t>
  </si>
  <si>
    <t>23_RC_60</t>
  </si>
  <si>
    <t>19_RC_30</t>
  </si>
  <si>
    <t>35_MBS_30</t>
  </si>
  <si>
    <t>23_MRC_30</t>
  </si>
  <si>
    <t>19_MRC_30</t>
  </si>
  <si>
    <t>35_MRC_30</t>
  </si>
  <si>
    <t>23_MBS_60</t>
  </si>
  <si>
    <t>19_MRC_60</t>
  </si>
  <si>
    <t>26_BS_60</t>
  </si>
  <si>
    <t>23_MBS_30</t>
  </si>
  <si>
    <t>4_MRC_60</t>
  </si>
  <si>
    <t>26_BS_30</t>
  </si>
  <si>
    <t>23_MRC_60</t>
  </si>
  <si>
    <t>4_RC_30</t>
  </si>
  <si>
    <t>28_RC_60</t>
  </si>
  <si>
    <t>18_BS_60</t>
  </si>
  <si>
    <t>23_RC_30</t>
  </si>
  <si>
    <t>4_MBS_60</t>
  </si>
  <si>
    <t>28_MBS_30</t>
  </si>
  <si>
    <t>18_BS_30</t>
  </si>
  <si>
    <t>19_RC_60</t>
  </si>
  <si>
    <t>4_MBS_30</t>
  </si>
  <si>
    <t>Experiment : 20230412_qPCR_IV</t>
  </si>
  <si>
    <t>37_MRC_30</t>
  </si>
  <si>
    <t>25_MBS_60</t>
  </si>
  <si>
    <t>31_RC_30</t>
  </si>
  <si>
    <t>37_MRC_60</t>
  </si>
  <si>
    <t>25_MRC_60</t>
  </si>
  <si>
    <t>31_RC_60</t>
  </si>
  <si>
    <t>37_MBS_60</t>
  </si>
  <si>
    <t>9_MBS_30</t>
  </si>
  <si>
    <t>31_MBS_60</t>
  </si>
  <si>
    <t>37_MBS_30</t>
  </si>
  <si>
    <t>9_MRC_60</t>
  </si>
  <si>
    <t>17_RC_60</t>
  </si>
  <si>
    <t>37_RC_30</t>
  </si>
  <si>
    <t>9_RC_30</t>
  </si>
  <si>
    <t>17_MRC_30</t>
  </si>
  <si>
    <t>25_MBS_30</t>
  </si>
  <si>
    <t>9_MBS_60</t>
  </si>
  <si>
    <t>17_MRC_60</t>
  </si>
  <si>
    <t>4_RC_60</t>
  </si>
  <si>
    <t>25_RC_60</t>
  </si>
  <si>
    <t>9_MRC_30</t>
  </si>
  <si>
    <t>17_RC_30</t>
  </si>
  <si>
    <t>37_RC_60</t>
  </si>
  <si>
    <t>25_RC_30</t>
  </si>
  <si>
    <t>31_MRC_60</t>
  </si>
  <si>
    <t>17_MBS_30</t>
  </si>
  <si>
    <t>Experiment : 20230412_qPCR_V_with some repeat runs</t>
  </si>
  <si>
    <t>30_MRC_60_II</t>
  </si>
  <si>
    <t>28_MBS_60_II</t>
  </si>
  <si>
    <t>17_RC_60_II</t>
  </si>
  <si>
    <t>32_MRC_30_II</t>
  </si>
  <si>
    <t>28_RC_30_II</t>
  </si>
  <si>
    <t>16_RC_30_II</t>
  </si>
  <si>
    <t>35_MBS_60_II</t>
  </si>
  <si>
    <t>21_MRC_30_II</t>
  </si>
  <si>
    <t>18_BS_60_II</t>
  </si>
  <si>
    <t>21_RC_30_II</t>
  </si>
  <si>
    <t>21_MBS_60_II</t>
  </si>
  <si>
    <t>17_MBS_60</t>
  </si>
  <si>
    <t>11_RC_60_II</t>
  </si>
  <si>
    <t>17_RC_30_II</t>
  </si>
  <si>
    <t>31_MRC_30</t>
  </si>
  <si>
    <t>5_MBS_60_II</t>
  </si>
  <si>
    <t>25_MRC_60_II</t>
  </si>
  <si>
    <r>
      <t xml:space="preserve">Length of </t>
    </r>
    <r>
      <rPr>
        <i/>
        <sz val="11"/>
        <color theme="1"/>
        <rFont val="SF Pro Display Regular"/>
      </rPr>
      <t>E. coli</t>
    </r>
    <r>
      <rPr>
        <sz val="11"/>
        <color theme="1"/>
        <rFont val="SF Pro Display Regular"/>
      </rPr>
      <t xml:space="preserve"> 27F-1492R (bp)</t>
    </r>
  </si>
  <si>
    <r>
      <t xml:space="preserve">Mass of </t>
    </r>
    <r>
      <rPr>
        <i/>
        <sz val="11"/>
        <color theme="1"/>
        <rFont val="SF Pro Display Regular"/>
      </rPr>
      <t>E coli</t>
    </r>
    <r>
      <rPr>
        <sz val="11"/>
        <color theme="1"/>
        <rFont val="SF Pro Display Regular"/>
      </rPr>
      <t xml:space="preserve"> genome (g)</t>
    </r>
  </si>
  <si>
    <r>
      <t xml:space="preserve">Concentration of </t>
    </r>
    <r>
      <rPr>
        <i/>
        <sz val="11"/>
        <color theme="1"/>
        <rFont val="SF Pro Display Regular"/>
      </rPr>
      <t>E coli</t>
    </r>
    <r>
      <rPr>
        <sz val="11"/>
        <color theme="1"/>
        <rFont val="SF Pro Display Regular"/>
      </rPr>
      <t xml:space="preserve"> (g)</t>
    </r>
  </si>
  <si>
    <r>
      <t xml:space="preserve">Copy Number of </t>
    </r>
    <r>
      <rPr>
        <i/>
        <sz val="11"/>
        <color theme="1"/>
        <rFont val="SF Pro Display Regular"/>
      </rPr>
      <t>E. coli</t>
    </r>
    <r>
      <rPr>
        <sz val="11"/>
        <color theme="1"/>
        <rFont val="SF Pro Display Regular"/>
      </rPr>
      <t xml:space="preserve"> plasmid (using equation 1)</t>
    </r>
  </si>
  <si>
    <t>Soil Sample weight used for DNA Extraction (mg) / PCR product volume for plasmid (µL)</t>
  </si>
  <si>
    <t>Copies or Copies / mg of soil (using Equation 3)</t>
  </si>
  <si>
    <t>Soil Sample weight used for DNA Extraction (g) / PCR product volume for plasmid (µL)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</si>
</sst>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6">
    <font>
      <sz val="11"/>
      <color theme="1"/>
      <name val="SF Pro"/>
      <family val="2"/>
    </font>
    <font>
      <sz val="10"/>
      <color theme="1"/>
      <name val="SF Pro Display Regular"/>
    </font>
    <font>
      <sz val="11"/>
      <color theme="1"/>
      <name val="SF Pro Display Regular"/>
    </font>
    <font>
      <b/>
      <u val="double"/>
      <sz val="10"/>
      <color theme="1"/>
      <name val="SF Pro Display Regular"/>
    </font>
    <font>
      <vertAlign val="subscript"/>
      <sz val="11"/>
      <color theme="1"/>
      <name val="SF Pro Display Regular"/>
    </font>
    <font>
      <i/>
      <sz val="11"/>
      <color theme="1"/>
      <name val="SF Pro Display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5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D2A0-A2FB-1045-A5CD-BA08919D3598}">
  <dimension ref="A1:Q109"/>
  <sheetViews>
    <sheetView zoomScale="120" zoomScaleNormal="120" workbookViewId="0">
      <selection activeCell="J107" sqref="J107:K107"/>
    </sheetView>
  </sheetViews>
  <sheetFormatPr baseColWidth="10" defaultRowHeight="15"/>
  <cols>
    <col min="1" max="1" width="33.85546875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1.42578125" style="2" customWidth="1"/>
    <col min="10" max="10" width="17.42578125" style="2" customWidth="1"/>
    <col min="11" max="11" width="11.140625" style="2" customWidth="1"/>
    <col min="12" max="12" width="13.28515625" style="2" customWidth="1"/>
    <col min="13" max="16384" width="10.7109375" style="2"/>
  </cols>
  <sheetData>
    <row r="1" spans="1:16">
      <c r="A1" s="2" t="s">
        <v>51</v>
      </c>
    </row>
    <row r="2" spans="1:16">
      <c r="A2" s="2" t="s">
        <v>52</v>
      </c>
    </row>
    <row r="3" spans="1:16">
      <c r="A3" s="2" t="s">
        <v>53</v>
      </c>
    </row>
    <row r="5" spans="1:16">
      <c r="A5" s="2" t="s">
        <v>155</v>
      </c>
      <c r="B5" s="3">
        <v>1500</v>
      </c>
      <c r="D5" s="2" t="s">
        <v>12</v>
      </c>
    </row>
    <row r="6" spans="1:16" ht="17">
      <c r="A6" s="2" t="s">
        <v>8</v>
      </c>
      <c r="B6" s="3">
        <v>1.096E-21</v>
      </c>
      <c r="D6" s="2" t="s">
        <v>11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156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157</v>
      </c>
      <c r="B8" s="3">
        <v>7.6207999999999981E-10</v>
      </c>
      <c r="D8" s="2" t="s">
        <v>15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158</v>
      </c>
      <c r="B9" s="3">
        <f>B8/B7</f>
        <v>463552311.43552303</v>
      </c>
      <c r="D9" s="2" t="s">
        <v>16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10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13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" t="s">
        <v>0</v>
      </c>
      <c r="B13" s="15" t="s">
        <v>1</v>
      </c>
      <c r="C13" s="16" t="s">
        <v>9</v>
      </c>
      <c r="D13" s="16" t="s">
        <v>14</v>
      </c>
      <c r="E13" s="16" t="s">
        <v>4</v>
      </c>
      <c r="F13" s="16" t="s">
        <v>5</v>
      </c>
      <c r="G13" s="16" t="s">
        <v>7</v>
      </c>
      <c r="H13" s="16" t="s">
        <v>159</v>
      </c>
      <c r="I13" s="16" t="s">
        <v>6</v>
      </c>
      <c r="J13" s="16" t="s">
        <v>160</v>
      </c>
      <c r="K13" s="14" t="s">
        <v>17</v>
      </c>
      <c r="L13" s="14"/>
      <c r="M13" s="1"/>
      <c r="N13" s="1"/>
      <c r="O13" s="1"/>
      <c r="P13" s="1"/>
    </row>
    <row r="14" spans="1:16">
      <c r="B14" s="15"/>
      <c r="C14" s="16"/>
      <c r="D14" s="16"/>
      <c r="E14" s="16"/>
      <c r="F14" s="16"/>
      <c r="G14" s="16"/>
      <c r="H14" s="16"/>
      <c r="I14" s="16"/>
      <c r="J14" s="16"/>
      <c r="K14" s="14"/>
      <c r="L14" s="14"/>
      <c r="M14" s="1"/>
      <c r="N14" s="1"/>
      <c r="O14" s="1"/>
      <c r="P14" s="1"/>
    </row>
    <row r="15" spans="1:16">
      <c r="A15" s="2" t="s">
        <v>49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18</v>
      </c>
      <c r="B16" s="12">
        <v>8.4352579116821289</v>
      </c>
      <c r="C16" s="5">
        <f>10^((B16-7.736)/(-3.239))</f>
        <v>0.60829328896279511</v>
      </c>
      <c r="D16" s="3">
        <f>C16*$B$9</f>
        <v>281975760.12942022</v>
      </c>
      <c r="E16" s="3">
        <f t="shared" ref="E16" si="0">AVERAGE(D16:D18)</f>
        <v>387331571.92712402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410308868.56686866</v>
      </c>
      <c r="K16" s="3">
        <f t="shared" ref="K16" si="2">(STDEV(D16:D18)*F16*G16)/H16</f>
        <v>96711093.434312209</v>
      </c>
      <c r="L16" s="6"/>
      <c r="M16" s="1"/>
      <c r="N16" s="1"/>
      <c r="O16" s="1"/>
      <c r="P16" s="1"/>
    </row>
    <row r="17" spans="1:16">
      <c r="B17" s="12">
        <v>7.8194365501403809</v>
      </c>
      <c r="C17" s="5">
        <f t="shared" ref="C17:C30" si="3">10^((B17-7.736)/(-3.239))</f>
        <v>0.94241030799924197</v>
      </c>
      <c r="D17" s="3">
        <f t="shared" ref="D17:D30" si="4">C17*$B$9</f>
        <v>436856476.59371179</v>
      </c>
      <c r="L17" s="6"/>
      <c r="M17" s="1"/>
      <c r="N17" s="1"/>
      <c r="O17" s="1"/>
      <c r="P17" s="1"/>
    </row>
    <row r="18" spans="1:16">
      <c r="B18" s="12">
        <v>7.7992763519287109</v>
      </c>
      <c r="C18" s="5">
        <f t="shared" si="3"/>
        <v>0.95601395597804273</v>
      </c>
      <c r="D18" s="3">
        <f t="shared" si="4"/>
        <v>443162479.05824006</v>
      </c>
      <c r="L18" s="6"/>
      <c r="M18" s="1"/>
      <c r="N18" s="1"/>
      <c r="O18" s="1"/>
      <c r="P18" s="1"/>
    </row>
    <row r="19" spans="1:16">
      <c r="A19" s="2" t="s">
        <v>19</v>
      </c>
      <c r="B19" s="12">
        <v>10.300155639648438</v>
      </c>
      <c r="C19" s="5">
        <f t="shared" si="3"/>
        <v>0.16156586192563469</v>
      </c>
      <c r="D19" s="3">
        <f t="shared" si="4"/>
        <v>74894228.744700521</v>
      </c>
      <c r="E19" s="3">
        <f t="shared" ref="E19" si="5">AVERAGE(D19:D21)</f>
        <v>77587701.217058301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410951807.29374099</v>
      </c>
      <c r="K19" s="3">
        <f t="shared" ref="K19" si="7">(STDEV(D19:D21)*F19*G19)/H19</f>
        <v>16369410.838793708</v>
      </c>
      <c r="L19" s="6"/>
      <c r="M19" s="1"/>
      <c r="N19" s="1"/>
      <c r="O19" s="1"/>
      <c r="P19" s="1"/>
    </row>
    <row r="20" spans="1:16">
      <c r="B20" s="12">
        <v>10.190573692321777</v>
      </c>
      <c r="C20" s="5">
        <f t="shared" si="3"/>
        <v>0.1746552450862302</v>
      </c>
      <c r="D20" s="3">
        <f t="shared" si="4"/>
        <v>80961842.564059794</v>
      </c>
      <c r="L20" s="6"/>
      <c r="M20" s="1"/>
      <c r="N20" s="1"/>
      <c r="O20" s="1"/>
      <c r="P20" s="1"/>
    </row>
    <row r="21" spans="1:16">
      <c r="B21" s="12">
        <v>10.262849807739258</v>
      </c>
      <c r="C21" s="5">
        <f t="shared" si="3"/>
        <v>0.16590799019909927</v>
      </c>
      <c r="D21" s="3">
        <f t="shared" si="4"/>
        <v>76907032.342414573</v>
      </c>
      <c r="L21" s="6"/>
      <c r="M21" s="1"/>
      <c r="N21" s="1"/>
      <c r="O21" s="1"/>
      <c r="P21" s="1"/>
    </row>
    <row r="22" spans="1:16">
      <c r="A22" s="2" t="s">
        <v>20</v>
      </c>
      <c r="B22" s="12">
        <v>13.08821964263916</v>
      </c>
      <c r="C22" s="5">
        <f t="shared" si="3"/>
        <v>2.2262316259085937E-2</v>
      </c>
      <c r="D22" s="3">
        <f t="shared" si="4"/>
        <v>10319748.159807913</v>
      </c>
      <c r="E22" s="3">
        <f t="shared" ref="E22" si="8">AVERAGE(D22:D24)</f>
        <v>10669132.027857341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282551165.99198467</v>
      </c>
      <c r="K22" s="3">
        <f t="shared" ref="K22" si="10">(STDEV(D22:D24)*F22*G22)/H22</f>
        <v>8285042.0438826103</v>
      </c>
      <c r="L22" s="6"/>
      <c r="M22" s="1"/>
      <c r="N22" s="1"/>
      <c r="O22" s="1"/>
      <c r="P22" s="1"/>
    </row>
    <row r="23" spans="1:16">
      <c r="B23" s="12">
        <v>13.028887748718262</v>
      </c>
      <c r="C23" s="5">
        <f t="shared" si="3"/>
        <v>2.3221395467121562E-2</v>
      </c>
      <c r="D23" s="3">
        <f t="shared" si="4"/>
        <v>10764331.543542577</v>
      </c>
      <c r="L23" s="6"/>
      <c r="M23" s="1"/>
      <c r="N23" s="1"/>
      <c r="O23" s="1"/>
      <c r="P23" s="1"/>
    </row>
    <row r="24" spans="1:16">
      <c r="B24" s="12">
        <v>13.00826358795166</v>
      </c>
      <c r="C24" s="5">
        <f t="shared" si="3"/>
        <v>2.356436611521651E-2</v>
      </c>
      <c r="D24" s="3">
        <f t="shared" si="4"/>
        <v>10923316.380221529</v>
      </c>
      <c r="L24" s="6"/>
      <c r="M24" s="1"/>
      <c r="N24" s="1"/>
      <c r="O24" s="1"/>
      <c r="P24" s="1"/>
    </row>
    <row r="25" spans="1:16">
      <c r="A25" s="2" t="s">
        <v>21</v>
      </c>
      <c r="B25" s="12">
        <v>14.983120918273926</v>
      </c>
      <c r="C25" s="5">
        <f t="shared" si="3"/>
        <v>5.788202434286259E-3</v>
      </c>
      <c r="D25" s="3">
        <f t="shared" si="4"/>
        <v>2683134.6174701164</v>
      </c>
      <c r="E25" s="3">
        <f t="shared" ref="E25" si="11">AVERAGE(D25:D27)</f>
        <v>2738817.8795160018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362661265.82574171</v>
      </c>
      <c r="K25" s="3">
        <f t="shared" ref="K25" si="13">(STDEV(D25:D27)*F25*G25)/H25</f>
        <v>29098993.920213491</v>
      </c>
      <c r="L25" s="6"/>
      <c r="M25" s="1"/>
      <c r="N25" s="1"/>
      <c r="O25" s="1"/>
      <c r="P25" s="1"/>
    </row>
    <row r="26" spans="1:16">
      <c r="B26" s="12">
        <v>14.835007667541504</v>
      </c>
      <c r="C26" s="5">
        <f t="shared" si="3"/>
        <v>6.4309005189453752E-3</v>
      </c>
      <c r="D26" s="3">
        <f t="shared" si="4"/>
        <v>2981058.8001690335</v>
      </c>
      <c r="L26" s="6"/>
      <c r="M26" s="1"/>
      <c r="N26" s="1"/>
      <c r="O26" s="1"/>
      <c r="P26" s="1"/>
    </row>
    <row r="27" spans="1:16">
      <c r="B27" s="12">
        <v>15.053463935852051</v>
      </c>
      <c r="C27" s="5">
        <f t="shared" si="3"/>
        <v>5.5058731408436923E-3</v>
      </c>
      <c r="D27" s="3">
        <f t="shared" si="4"/>
        <v>2552260.2209088565</v>
      </c>
      <c r="L27" s="6"/>
      <c r="M27" s="1"/>
      <c r="N27" s="1"/>
      <c r="O27" s="1"/>
      <c r="P27" s="1"/>
    </row>
    <row r="28" spans="1:16">
      <c r="A28" s="2" t="s">
        <v>22</v>
      </c>
      <c r="B28" s="12">
        <v>16.935333251953125</v>
      </c>
      <c r="C28" s="5">
        <f t="shared" si="3"/>
        <v>1.4448508432995364E-3</v>
      </c>
      <c r="D28" s="3">
        <f t="shared" si="4"/>
        <v>669763.94809106481</v>
      </c>
      <c r="E28" s="3">
        <f t="shared" ref="E28" si="14">AVERAGE(D28:D30)</f>
        <v>646464.17277397891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428008588.96582288</v>
      </c>
      <c r="K28" s="3">
        <f t="shared" ref="K28" si="16">(STDEV(D28:D30)*F28*G28)/H28</f>
        <v>13421965.687860947</v>
      </c>
      <c r="L28" s="7"/>
      <c r="M28" s="1"/>
      <c r="N28" s="1"/>
      <c r="O28" s="1"/>
      <c r="P28" s="7"/>
    </row>
    <row r="29" spans="1:16">
      <c r="B29" s="12">
        <v>17.015056610107422</v>
      </c>
      <c r="C29" s="5">
        <f t="shared" si="3"/>
        <v>1.3652413835089636E-3</v>
      </c>
      <c r="D29" s="3">
        <f t="shared" si="4"/>
        <v>632860.79899301147</v>
      </c>
      <c r="L29" s="7"/>
      <c r="M29" s="1"/>
      <c r="N29" s="1"/>
      <c r="O29" s="1"/>
      <c r="P29" s="7"/>
    </row>
    <row r="30" spans="1:16">
      <c r="B30" s="12">
        <v>17.006399154663086</v>
      </c>
      <c r="C30" s="5">
        <f t="shared" si="3"/>
        <v>1.373669714354192E-3</v>
      </c>
      <c r="D30" s="3">
        <f t="shared" si="4"/>
        <v>636767.77123786043</v>
      </c>
      <c r="L30" s="7"/>
      <c r="M30" s="1"/>
      <c r="N30" s="1"/>
      <c r="O30" s="1"/>
      <c r="P30" s="7"/>
    </row>
    <row r="31" spans="1:16">
      <c r="A31" s="2" t="s">
        <v>50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23</v>
      </c>
      <c r="B32" s="12">
        <v>14.929776191711426</v>
      </c>
      <c r="C32" s="5">
        <f t="shared" ref="C32:C95" si="17">10^((B32-7.736)/(-3.239))</f>
        <v>6.0119203276976637E-3</v>
      </c>
      <c r="D32" s="3">
        <f t="shared" ref="D32:D95" si="18">C32*$B$9</f>
        <v>2786839.564070459</v>
      </c>
      <c r="E32" s="3">
        <f t="shared" ref="E32:E95" si="19">AVERAGE(D32:D34)</f>
        <v>2763334.8856235747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552666977.12471497</v>
      </c>
      <c r="K32" s="3">
        <f t="shared" ref="K32" si="21">(STDEV(D32:D34)*F32*G32)/H32</f>
        <v>28952744.675589435</v>
      </c>
    </row>
    <row r="33" spans="1:17">
      <c r="A33" t="s">
        <v>23</v>
      </c>
      <c r="B33" s="12">
        <v>14.876258850097656</v>
      </c>
      <c r="C33" s="5">
        <f t="shared" si="17"/>
        <v>6.2450513565573337E-3</v>
      </c>
      <c r="D33" s="3">
        <f t="shared" si="18"/>
        <v>2894907.991365701</v>
      </c>
    </row>
    <row r="34" spans="1:17">
      <c r="A34" t="s">
        <v>23</v>
      </c>
      <c r="B34" s="12">
        <v>15.022934913635254</v>
      </c>
      <c r="C34" s="5">
        <f t="shared" si="17"/>
        <v>5.6266726259164698E-3</v>
      </c>
      <c r="D34" s="3">
        <f t="shared" si="18"/>
        <v>2608257.1014345638</v>
      </c>
    </row>
    <row r="35" spans="1:17">
      <c r="A35" t="s">
        <v>24</v>
      </c>
      <c r="B35" s="12">
        <v>14.520532608032227</v>
      </c>
      <c r="C35" s="5">
        <f t="shared" si="17"/>
        <v>8.0419609714054811E-3</v>
      </c>
      <c r="D35" s="3">
        <f t="shared" si="18"/>
        <v>3727869.5967692751</v>
      </c>
      <c r="E35" s="3">
        <f t="shared" si="19"/>
        <v>3586916.2158448696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717383243.16897392</v>
      </c>
      <c r="K35" s="3">
        <f t="shared" ref="K35" si="23">(STDEV(D35:D37)*F35*G35)/H35</f>
        <v>29485000.200995501</v>
      </c>
    </row>
    <row r="36" spans="1:17">
      <c r="A36" t="s">
        <v>24</v>
      </c>
      <c r="B36" s="12">
        <v>14.569980621337891</v>
      </c>
      <c r="C36" s="5">
        <f t="shared" si="17"/>
        <v>7.7641785960869819E-3</v>
      </c>
      <c r="D36" s="3">
        <f t="shared" si="18"/>
        <v>3599102.9346143347</v>
      </c>
    </row>
    <row r="37" spans="1:17">
      <c r="A37" t="s">
        <v>24</v>
      </c>
      <c r="B37" s="12">
        <v>14.636128425598145</v>
      </c>
      <c r="C37" s="5">
        <f t="shared" si="17"/>
        <v>7.4075266834876174E-3</v>
      </c>
      <c r="D37" s="3">
        <f t="shared" si="18"/>
        <v>3433776.116150999</v>
      </c>
    </row>
    <row r="38" spans="1:17">
      <c r="A38" t="s">
        <v>25</v>
      </c>
      <c r="B38" s="12">
        <v>14.292849540710449</v>
      </c>
      <c r="C38" s="5">
        <f t="shared" si="17"/>
        <v>9.4548840771058879E-3</v>
      </c>
      <c r="D38" s="3">
        <f t="shared" si="18"/>
        <v>4382833.3682973562</v>
      </c>
      <c r="E38" s="3">
        <f t="shared" si="19"/>
        <v>2014464.4850615256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402892897.01230514</v>
      </c>
      <c r="K38" s="3">
        <f t="shared" ref="K38" si="25">(STDEV(D38:D40)*F38*G38)/H38</f>
        <v>411137665.00346416</v>
      </c>
    </row>
    <row r="39" spans="1:17">
      <c r="A39" t="s">
        <v>25</v>
      </c>
      <c r="B39" s="12">
        <v>16.888320922851562</v>
      </c>
      <c r="C39" s="5">
        <f t="shared" si="17"/>
        <v>1.4939548538895403E-3</v>
      </c>
      <c r="D39" s="3">
        <f t="shared" si="18"/>
        <v>692526.22570081544</v>
      </c>
    </row>
    <row r="40" spans="1:17">
      <c r="A40" t="s">
        <v>25</v>
      </c>
      <c r="B40" s="12">
        <v>16.417194366455078</v>
      </c>
      <c r="C40" s="5">
        <f t="shared" si="17"/>
        <v>2.0882947561810458E-3</v>
      </c>
      <c r="D40" s="3">
        <f t="shared" si="18"/>
        <v>968033.86118640576</v>
      </c>
    </row>
    <row r="41" spans="1:17">
      <c r="A41" t="s">
        <v>26</v>
      </c>
      <c r="B41" s="12">
        <v>13.627931594848633</v>
      </c>
      <c r="C41" s="5">
        <f t="shared" si="17"/>
        <v>1.5168448321326763E-2</v>
      </c>
      <c r="D41" s="3">
        <f t="shared" si="18"/>
        <v>7031369.2802413004</v>
      </c>
      <c r="E41" s="3">
        <f t="shared" si="19"/>
        <v>6415305.1025252789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1283061020.5050559</v>
      </c>
      <c r="K41" s="3">
        <f t="shared" ref="K41" si="27">(STDEV(D41:D43)*F41*G41)/H41</f>
        <v>108694891.64897621</v>
      </c>
      <c r="M41" s="8"/>
      <c r="N41" s="1"/>
      <c r="O41" s="1"/>
      <c r="P41" s="1"/>
      <c r="Q41" s="9"/>
    </row>
    <row r="42" spans="1:17">
      <c r="A42" t="s">
        <v>26</v>
      </c>
      <c r="B42" s="12">
        <v>13.802494049072266</v>
      </c>
      <c r="C42" s="5">
        <f t="shared" si="17"/>
        <v>1.3398223608965662E-2</v>
      </c>
      <c r="D42" s="3">
        <f t="shared" si="18"/>
        <v>6210777.523066028</v>
      </c>
    </row>
    <row r="43" spans="1:17">
      <c r="A43" t="s">
        <v>26</v>
      </c>
      <c r="B43" s="12">
        <v>13.850178718566895</v>
      </c>
      <c r="C43" s="5">
        <f t="shared" si="17"/>
        <v>1.2951652609985076E-2</v>
      </c>
      <c r="D43" s="3">
        <f t="shared" si="18"/>
        <v>6003768.5042685065</v>
      </c>
    </row>
    <row r="44" spans="1:17">
      <c r="A44" t="s">
        <v>27</v>
      </c>
      <c r="B44" s="12">
        <v>14.724413871765137</v>
      </c>
      <c r="C44" s="5">
        <f t="shared" si="17"/>
        <v>6.9569073152501108E-3</v>
      </c>
      <c r="D44" s="3">
        <f t="shared" si="18"/>
        <v>3224890.4664268875</v>
      </c>
      <c r="E44" s="3">
        <f t="shared" si="19"/>
        <v>3414543.1453935266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682908629.07870531</v>
      </c>
      <c r="K44" s="3">
        <f t="shared" ref="K44" si="29">(STDEV(D44:D46)*F44*G44)/H44</f>
        <v>42292158.660427094</v>
      </c>
    </row>
    <row r="45" spans="1:17">
      <c r="A45" t="s">
        <v>27</v>
      </c>
      <c r="B45" s="12">
        <v>14.659923553466797</v>
      </c>
      <c r="C45" s="5">
        <f t="shared" si="17"/>
        <v>7.2832762350636153E-3</v>
      </c>
      <c r="D45" s="3">
        <f t="shared" si="18"/>
        <v>3376179.5335871526</v>
      </c>
    </row>
    <row r="46" spans="1:17">
      <c r="A46" t="s">
        <v>27</v>
      </c>
      <c r="B46" s="12">
        <v>14.553097724914551</v>
      </c>
      <c r="C46" s="5">
        <f t="shared" si="17"/>
        <v>7.857925300569224E-3</v>
      </c>
      <c r="D46" s="3">
        <f t="shared" si="18"/>
        <v>3642559.4361665407</v>
      </c>
    </row>
    <row r="47" spans="1:17">
      <c r="A47" t="s">
        <v>28</v>
      </c>
      <c r="B47" s="12">
        <v>15.599798202514648</v>
      </c>
      <c r="C47" s="5">
        <f t="shared" si="17"/>
        <v>3.7338120562867795E-3</v>
      </c>
      <c r="D47" s="3">
        <f t="shared" si="18"/>
        <v>1730817.2091575598</v>
      </c>
      <c r="E47" s="3">
        <f t="shared" si="19"/>
        <v>2363860.7009668103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472772140.19336206</v>
      </c>
      <c r="K47" s="3">
        <f t="shared" ref="K47" si="31">(STDEV(D47:D49)*F47*G47)/H47</f>
        <v>310810573.25008267</v>
      </c>
    </row>
    <row r="48" spans="1:17">
      <c r="A48" t="s">
        <v>28</v>
      </c>
      <c r="B48" s="12">
        <v>14.374892234802246</v>
      </c>
      <c r="C48" s="5">
        <f t="shared" si="17"/>
        <v>8.9192137410949585E-3</v>
      </c>
      <c r="D48" s="3">
        <f t="shared" si="18"/>
        <v>4134522.1458720467</v>
      </c>
    </row>
    <row r="49" spans="1:11">
      <c r="A49" t="s">
        <v>28</v>
      </c>
      <c r="B49" s="12">
        <v>16.0845947265625</v>
      </c>
      <c r="C49" s="5">
        <f t="shared" si="17"/>
        <v>2.645316866339014E-3</v>
      </c>
      <c r="D49" s="3">
        <f t="shared" si="18"/>
        <v>1226242.7478708245</v>
      </c>
    </row>
    <row r="50" spans="1:11">
      <c r="A50" t="s">
        <v>29</v>
      </c>
      <c r="B50" s="12">
        <v>14.086057662963867</v>
      </c>
      <c r="C50" s="5">
        <f t="shared" si="17"/>
        <v>1.0952179856521922E-2</v>
      </c>
      <c r="D50" s="3">
        <f t="shared" si="18"/>
        <v>5076908.2877483116</v>
      </c>
      <c r="E50" s="3">
        <f t="shared" si="19"/>
        <v>5323446.8861751659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1064689377.2350332</v>
      </c>
      <c r="K50" s="3">
        <f t="shared" ref="K50" si="33">(STDEV(D50:D52)*F50*G50)/H50</f>
        <v>80457756.127488956</v>
      </c>
    </row>
    <row r="51" spans="1:11">
      <c r="A51" t="s">
        <v>29</v>
      </c>
      <c r="B51" s="12">
        <v>13.90174388885498</v>
      </c>
      <c r="C51" s="5">
        <f t="shared" si="17"/>
        <v>1.24854758111423E-2</v>
      </c>
      <c r="D51" s="3">
        <f t="shared" si="18"/>
        <v>5787671.171627325</v>
      </c>
    </row>
    <row r="52" spans="1:11">
      <c r="A52" t="s">
        <v>29</v>
      </c>
      <c r="B52" s="12">
        <v>14.078085899353027</v>
      </c>
      <c r="C52" s="5">
        <f t="shared" si="17"/>
        <v>1.1014422910196268E-2</v>
      </c>
      <c r="D52" s="3">
        <f t="shared" si="18"/>
        <v>5105761.199149861</v>
      </c>
    </row>
    <row r="53" spans="1:11">
      <c r="A53" t="s">
        <v>30</v>
      </c>
      <c r="B53" s="12">
        <v>18.478031158447266</v>
      </c>
      <c r="C53" s="5">
        <f t="shared" si="17"/>
        <v>4.8254151569339848E-4</v>
      </c>
      <c r="D53" s="3">
        <f t="shared" si="18"/>
        <v>223683.23496327558</v>
      </c>
      <c r="E53" s="3">
        <f t="shared" si="19"/>
        <v>218086.12589424496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43617225.178848989</v>
      </c>
      <c r="K53" s="3">
        <f t="shared" ref="K53" si="35">(STDEV(D53:D55)*F53*G53)/H53</f>
        <v>970261.47069952381</v>
      </c>
    </row>
    <row r="54" spans="1:11">
      <c r="A54" t="s">
        <v>30</v>
      </c>
      <c r="B54" s="12">
        <v>18.533143997192383</v>
      </c>
      <c r="C54" s="5">
        <f t="shared" si="17"/>
        <v>4.6400140643356553E-4</v>
      </c>
      <c r="D54" s="3">
        <f t="shared" si="18"/>
        <v>215088.92446161286</v>
      </c>
    </row>
    <row r="55" spans="1:11">
      <c r="A55" t="s">
        <v>30</v>
      </c>
      <c r="B55" s="12">
        <v>18.530548095703125</v>
      </c>
      <c r="C55" s="5">
        <f t="shared" si="17"/>
        <v>4.6485846999776875E-4</v>
      </c>
      <c r="D55" s="3">
        <f t="shared" si="18"/>
        <v>215486.21825784643</v>
      </c>
    </row>
    <row r="56" spans="1:11">
      <c r="A56" t="s">
        <v>31</v>
      </c>
      <c r="B56" s="12">
        <v>13.867085456848145</v>
      </c>
      <c r="C56" s="5">
        <f t="shared" si="17"/>
        <v>1.2796919768256101E-2</v>
      </c>
      <c r="D56" s="3">
        <f t="shared" si="18"/>
        <v>5932041.737830054</v>
      </c>
      <c r="E56" s="3">
        <f t="shared" si="19"/>
        <v>5315653.5016039908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1063130700.3207982</v>
      </c>
      <c r="K56" s="3">
        <f t="shared" ref="K56" si="37">(STDEV(D56:D58)*F56*G56)/H56</f>
        <v>112501489.2726254</v>
      </c>
    </row>
    <row r="57" spans="1:11">
      <c r="A57" t="s">
        <v>31</v>
      </c>
      <c r="B57" s="12">
        <v>14.156166076660156</v>
      </c>
      <c r="C57" s="5">
        <f t="shared" si="17"/>
        <v>1.041970653042075E-2</v>
      </c>
      <c r="D57" s="3">
        <f t="shared" si="18"/>
        <v>4830079.0466563525</v>
      </c>
    </row>
    <row r="58" spans="1:11">
      <c r="A58" t="s">
        <v>31</v>
      </c>
      <c r="B58" s="12">
        <v>14.056466102600098</v>
      </c>
      <c r="C58" s="5">
        <f t="shared" si="17"/>
        <v>1.1185015353001305E-2</v>
      </c>
      <c r="D58" s="3">
        <f t="shared" si="18"/>
        <v>5184839.7203255678</v>
      </c>
    </row>
    <row r="59" spans="1:11">
      <c r="A59" t="s">
        <v>32</v>
      </c>
      <c r="B59" s="12">
        <v>14.324907302856445</v>
      </c>
      <c r="C59" s="5">
        <f t="shared" si="17"/>
        <v>9.2418471756399272E-3</v>
      </c>
      <c r="D59" s="3">
        <f t="shared" si="18"/>
        <v>4284079.6202017488</v>
      </c>
      <c r="E59" s="3">
        <f t="shared" si="19"/>
        <v>3997221.1718253507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799444234.3650701</v>
      </c>
      <c r="K59" s="3">
        <f t="shared" ref="K59" si="39">(STDEV(D59:D61)*F59*G59)/H59</f>
        <v>53099945.76531674</v>
      </c>
    </row>
    <row r="60" spans="1:11">
      <c r="A60" t="s">
        <v>32</v>
      </c>
      <c r="B60" s="12">
        <v>14.440019607543945</v>
      </c>
      <c r="C60" s="5">
        <f t="shared" si="17"/>
        <v>8.5156798304965049E-3</v>
      </c>
      <c r="D60" s="3">
        <f t="shared" si="18"/>
        <v>3947463.0688715177</v>
      </c>
    </row>
    <row r="61" spans="1:11">
      <c r="A61" t="s">
        <v>32</v>
      </c>
      <c r="B61" s="12">
        <v>14.508415222167969</v>
      </c>
      <c r="C61" s="5">
        <f t="shared" si="17"/>
        <v>8.1115350601067854E-3</v>
      </c>
      <c r="D61" s="3">
        <f t="shared" si="18"/>
        <v>3760120.8264027848</v>
      </c>
    </row>
    <row r="62" spans="1:11">
      <c r="A62" t="s">
        <v>33</v>
      </c>
      <c r="B62" s="12">
        <v>14.020904541015625</v>
      </c>
      <c r="C62" s="5">
        <f t="shared" si="17"/>
        <v>1.1471382572878249E-2</v>
      </c>
      <c r="D62" s="3">
        <f t="shared" si="18"/>
        <v>5317585.9070188897</v>
      </c>
      <c r="E62" s="3">
        <f t="shared" si="19"/>
        <v>5449306.9103014357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1089861382.0602872</v>
      </c>
      <c r="K62" s="3">
        <f t="shared" ref="K62" si="41">(STDEV(D62:D64)*F62*G62)/H62</f>
        <v>46435721.435544863</v>
      </c>
    </row>
    <row r="63" spans="1:11">
      <c r="A63" t="s">
        <v>33</v>
      </c>
      <c r="B63" s="12">
        <v>14.022132873535156</v>
      </c>
      <c r="C63" s="5">
        <f t="shared" si="17"/>
        <v>1.1461369973213972E-2</v>
      </c>
      <c r="D63" s="3">
        <f t="shared" si="18"/>
        <v>5312944.5433010357</v>
      </c>
    </row>
    <row r="64" spans="1:11">
      <c r="A64" t="s">
        <v>33</v>
      </c>
      <c r="B64" s="12">
        <v>13.918930053710938</v>
      </c>
      <c r="C64" s="5">
        <f t="shared" si="17"/>
        <v>1.2333862089650335E-2</v>
      </c>
      <c r="D64" s="3">
        <f t="shared" si="18"/>
        <v>5717390.2805843828</v>
      </c>
    </row>
    <row r="65" spans="1:11">
      <c r="A65" t="s">
        <v>34</v>
      </c>
      <c r="B65" s="12">
        <v>14.174882888793945</v>
      </c>
      <c r="C65" s="5">
        <f t="shared" si="17"/>
        <v>1.0281983673166638E-2</v>
      </c>
      <c r="D65" s="3">
        <f t="shared" si="18"/>
        <v>4766237.2978387047</v>
      </c>
      <c r="E65" s="3">
        <f t="shared" si="19"/>
        <v>4483907.6187470416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896781523.74940836</v>
      </c>
      <c r="K65" s="3">
        <f t="shared" ref="K65" si="43">(STDEV(D65:D67)*F65*G65)/H65</f>
        <v>55970920.580072396</v>
      </c>
    </row>
    <row r="66" spans="1:11">
      <c r="A66" t="s">
        <v>34</v>
      </c>
      <c r="B66" s="12">
        <v>14.26235294342041</v>
      </c>
      <c r="C66" s="5">
        <f t="shared" si="17"/>
        <v>9.6621025922013198E-3</v>
      </c>
      <c r="D66" s="3">
        <f t="shared" si="18"/>
        <v>4478889.9899420803</v>
      </c>
    </row>
    <row r="67" spans="1:11">
      <c r="A67" t="s">
        <v>34</v>
      </c>
      <c r="B67" s="12">
        <v>14.350582122802734</v>
      </c>
      <c r="C67" s="5">
        <f t="shared" si="17"/>
        <v>9.0746944081314344E-3</v>
      </c>
      <c r="D67" s="3">
        <f t="shared" si="18"/>
        <v>4206595.5684603425</v>
      </c>
    </row>
    <row r="68" spans="1:11">
      <c r="A68" t="s">
        <v>35</v>
      </c>
      <c r="B68" s="12">
        <v>14.221443176269531</v>
      </c>
      <c r="C68" s="5">
        <f t="shared" si="17"/>
        <v>9.94722666277836E-3</v>
      </c>
      <c r="D68" s="3">
        <f t="shared" si="18"/>
        <v>4611059.9119039727</v>
      </c>
      <c r="E68" s="3">
        <f t="shared" si="19"/>
        <v>3714387.5277474783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742877505.5494957</v>
      </c>
      <c r="K68" s="3">
        <f t="shared" ref="K68" si="45">(STDEV(D68:D70)*F68*G68)/H68</f>
        <v>198105274.49653545</v>
      </c>
    </row>
    <row r="69" spans="1:11">
      <c r="A69" t="s">
        <v>35</v>
      </c>
      <c r="B69" s="12">
        <v>15</v>
      </c>
      <c r="C69" s="5">
        <f t="shared" si="17"/>
        <v>5.7191634691467806E-3</v>
      </c>
      <c r="D69" s="3">
        <f t="shared" si="18"/>
        <v>2651131.4456005949</v>
      </c>
    </row>
    <row r="70" spans="1:11">
      <c r="A70" t="s">
        <v>35</v>
      </c>
      <c r="B70" s="12">
        <v>14.463915824890137</v>
      </c>
      <c r="C70" s="5">
        <f t="shared" si="17"/>
        <v>8.3722400471250465E-3</v>
      </c>
      <c r="D70" s="3">
        <f t="shared" si="18"/>
        <v>3880971.2257378674</v>
      </c>
    </row>
    <row r="71" spans="1:11">
      <c r="A71" t="s">
        <v>36</v>
      </c>
      <c r="B71" s="12">
        <v>18.834491729736328</v>
      </c>
      <c r="C71" s="5">
        <f t="shared" si="17"/>
        <v>3.7452604314977593E-4</v>
      </c>
      <c r="D71" s="3">
        <f t="shared" si="18"/>
        <v>173612.41299487907</v>
      </c>
      <c r="E71" s="3">
        <f t="shared" si="19"/>
        <v>126718.45133621631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25343690.267243262</v>
      </c>
      <c r="K71" s="3">
        <f t="shared" ref="K71" si="47">(STDEV(D71:D73)*F71*G71)/H71</f>
        <v>8715762.889094634</v>
      </c>
    </row>
    <row r="72" spans="1:11">
      <c r="A72" t="s">
        <v>36</v>
      </c>
      <c r="B72" s="12">
        <v>19.798885345458984</v>
      </c>
      <c r="C72" s="5">
        <f t="shared" si="17"/>
        <v>1.8868517344971657E-4</v>
      </c>
      <c r="D72" s="3">
        <f t="shared" si="18"/>
        <v>87465.448286228697</v>
      </c>
    </row>
    <row r="73" spans="1:11">
      <c r="A73" t="s">
        <v>36</v>
      </c>
      <c r="B73" s="12">
        <v>19.36488151550293</v>
      </c>
      <c r="C73" s="5">
        <f t="shared" si="17"/>
        <v>2.5688037744603945E-4</v>
      </c>
      <c r="D73" s="3">
        <f t="shared" si="18"/>
        <v>119077.49272754119</v>
      </c>
    </row>
    <row r="74" spans="1:11">
      <c r="A74" t="s">
        <v>37</v>
      </c>
      <c r="B74" s="12">
        <v>14.068939208984375</v>
      </c>
      <c r="C74" s="5">
        <f t="shared" si="17"/>
        <v>1.1086275626908944E-2</v>
      </c>
      <c r="D74" s="3">
        <f t="shared" si="18"/>
        <v>5139068.6920649437</v>
      </c>
      <c r="E74" s="3">
        <f t="shared" si="19"/>
        <v>4350770.0776645346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870154015.53290689</v>
      </c>
      <c r="K74" s="3">
        <f t="shared" ref="K74" si="49">(STDEV(D74:D76)*F74*G74)/H74</f>
        <v>223180674.84991875</v>
      </c>
    </row>
    <row r="75" spans="1:11">
      <c r="A75" t="s">
        <v>37</v>
      </c>
      <c r="B75" s="12">
        <v>14.153473854064941</v>
      </c>
      <c r="C75" s="5">
        <f t="shared" si="17"/>
        <v>1.0439667739971584E-2</v>
      </c>
      <c r="D75" s="3">
        <f t="shared" si="18"/>
        <v>4839332.1114826901</v>
      </c>
    </row>
    <row r="76" spans="1:11">
      <c r="A76" t="s">
        <v>37</v>
      </c>
      <c r="B76" s="12">
        <v>14.791862487792969</v>
      </c>
      <c r="C76" s="5">
        <f t="shared" si="17"/>
        <v>6.6312028947212538E-3</v>
      </c>
      <c r="D76" s="3">
        <f t="shared" si="18"/>
        <v>3073909.4294459685</v>
      </c>
    </row>
    <row r="77" spans="1:11">
      <c r="A77" t="s">
        <v>38</v>
      </c>
      <c r="B77" s="12">
        <v>18.996406555175781</v>
      </c>
      <c r="C77" s="5">
        <f t="shared" si="17"/>
        <v>3.3380503412939701E-4</v>
      </c>
      <c r="D77" s="3">
        <f t="shared" si="18"/>
        <v>154736.09513949565</v>
      </c>
      <c r="E77" s="3">
        <f t="shared" si="19"/>
        <v>147896.18154640135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29579236.309280269</v>
      </c>
      <c r="K77" s="3">
        <f t="shared" ref="K77" si="51">(STDEV(D77:D79)*F77*G77)/H77</f>
        <v>1332751.0479992526</v>
      </c>
    </row>
    <row r="78" spans="1:11">
      <c r="A78" t="s">
        <v>38</v>
      </c>
      <c r="B78" s="12">
        <v>19.063503265380859</v>
      </c>
      <c r="C78" s="5">
        <f t="shared" si="17"/>
        <v>3.1825675273716519E-4</v>
      </c>
      <c r="D78" s="3">
        <f t="shared" si="18"/>
        <v>147528.65336127664</v>
      </c>
    </row>
    <row r="79" spans="1:11">
      <c r="A79" t="s">
        <v>38</v>
      </c>
      <c r="B79" s="12">
        <v>19.122951507568359</v>
      </c>
      <c r="C79" s="5">
        <f t="shared" si="17"/>
        <v>3.0508702610169774E-4</v>
      </c>
      <c r="D79" s="3">
        <f t="shared" si="18"/>
        <v>141423.79613843173</v>
      </c>
    </row>
    <row r="80" spans="1:11">
      <c r="A80" t="s">
        <v>39</v>
      </c>
      <c r="B80" s="12">
        <v>17.916563034057617</v>
      </c>
      <c r="C80" s="5">
        <f t="shared" si="17"/>
        <v>7.1925156726563146E-4</v>
      </c>
      <c r="D80" s="3">
        <f t="shared" si="18"/>
        <v>333410.72650960606</v>
      </c>
      <c r="E80" s="3">
        <f t="shared" si="19"/>
        <v>266089.79006417439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53217958.012834877</v>
      </c>
      <c r="K80" s="3">
        <f t="shared" ref="K80" si="53">(STDEV(D80:D82)*F80*G80)/H80</f>
        <v>17262025.279412098</v>
      </c>
    </row>
    <row r="81" spans="1:11">
      <c r="A81" t="s">
        <v>39</v>
      </c>
      <c r="B81" s="12">
        <v>18.083639144897461</v>
      </c>
      <c r="C81" s="5">
        <f t="shared" si="17"/>
        <v>6.3870188142592865E-4</v>
      </c>
      <c r="D81" s="3">
        <f t="shared" si="18"/>
        <v>296071.7334532066</v>
      </c>
    </row>
    <row r="82" spans="1:11">
      <c r="A82" t="s">
        <v>39</v>
      </c>
      <c r="B82" s="12">
        <v>18.874143600463867</v>
      </c>
      <c r="C82" s="5">
        <f t="shared" si="17"/>
        <v>3.6411620882012915E-4</v>
      </c>
      <c r="D82" s="3">
        <f t="shared" si="18"/>
        <v>168786.91022971045</v>
      </c>
    </row>
    <row r="83" spans="1:11">
      <c r="A83" t="s">
        <v>40</v>
      </c>
      <c r="B83" s="12">
        <v>14.570766448974609</v>
      </c>
      <c r="C83" s="5">
        <f t="shared" si="17"/>
        <v>7.7598424265471286E-3</v>
      </c>
      <c r="D83" s="3">
        <f t="shared" si="18"/>
        <v>3597092.8932013595</v>
      </c>
      <c r="E83" s="3">
        <f t="shared" si="19"/>
        <v>2443337.0353707802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488667407.07415605</v>
      </c>
      <c r="K83" s="3">
        <f t="shared" ref="K83" si="55">(STDEV(D83:D85)*F83*G83)/H83</f>
        <v>200465095.62349939</v>
      </c>
    </row>
    <row r="84" spans="1:11">
      <c r="A84" t="s">
        <v>40</v>
      </c>
      <c r="B84" s="12">
        <v>15.435118675231934</v>
      </c>
      <c r="C84" s="5">
        <f t="shared" si="17"/>
        <v>4.1975430646407925E-3</v>
      </c>
      <c r="D84" s="3">
        <f t="shared" si="18"/>
        <v>1945780.7899643884</v>
      </c>
    </row>
    <row r="85" spans="1:11">
      <c r="A85" t="s">
        <v>40</v>
      </c>
      <c r="B85" s="12">
        <v>15.554754257202148</v>
      </c>
      <c r="C85" s="5">
        <f t="shared" si="17"/>
        <v>3.8553090532807564E-3</v>
      </c>
      <c r="D85" s="3">
        <f t="shared" si="18"/>
        <v>1787137.4229465926</v>
      </c>
    </row>
    <row r="86" spans="1:11">
      <c r="A86" t="s">
        <v>41</v>
      </c>
      <c r="B86" s="12">
        <v>19.371028900146484</v>
      </c>
      <c r="C86" s="5">
        <f t="shared" si="17"/>
        <v>2.5576022420060085E-4</v>
      </c>
      <c r="D86" s="3">
        <f t="shared" si="18"/>
        <v>118558.24310145612</v>
      </c>
      <c r="E86" s="3">
        <f t="shared" si="19"/>
        <v>99948.919971595984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19989783.994319197</v>
      </c>
      <c r="K86" s="3">
        <f t="shared" ref="K86" si="57">(STDEV(D86:D88)*F86*G86)/H86</f>
        <v>4024592.2966415272</v>
      </c>
    </row>
    <row r="87" spans="1:11">
      <c r="A87" t="s">
        <v>41</v>
      </c>
      <c r="B87" s="12">
        <v>19.949323654174805</v>
      </c>
      <c r="C87" s="5">
        <f t="shared" si="17"/>
        <v>1.6954768467829237E-4</v>
      </c>
      <c r="D87" s="3">
        <f t="shared" si="18"/>
        <v>78594.221131163635</v>
      </c>
    </row>
    <row r="88" spans="1:11">
      <c r="A88" t="s">
        <v>41</v>
      </c>
      <c r="B88" s="12">
        <v>19.573095321655273</v>
      </c>
      <c r="C88" s="5">
        <f t="shared" si="17"/>
        <v>2.2153766284574401E-4</v>
      </c>
      <c r="D88" s="3">
        <f t="shared" si="18"/>
        <v>102694.29568216823</v>
      </c>
    </row>
    <row r="89" spans="1:11">
      <c r="A89" t="s">
        <v>42</v>
      </c>
      <c r="B89" s="12">
        <v>16.098684310913086</v>
      </c>
      <c r="C89" s="5">
        <f t="shared" si="17"/>
        <v>2.6189531003173307E-3</v>
      </c>
      <c r="D89" s="3">
        <f t="shared" si="18"/>
        <v>1214021.7631933279</v>
      </c>
      <c r="E89" s="3">
        <f t="shared" si="19"/>
        <v>1219455.9019910435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243891180.39820871</v>
      </c>
      <c r="K89" s="3">
        <f t="shared" ref="K89" si="59">(STDEV(D89:D91)*F89*G89)/H89</f>
        <v>16290250.086951066</v>
      </c>
    </row>
    <row r="90" spans="1:11">
      <c r="A90" t="s">
        <v>42</v>
      </c>
      <c r="B90" s="12">
        <v>15.998661994934082</v>
      </c>
      <c r="C90" s="5">
        <f t="shared" si="17"/>
        <v>2.811954813042842E-3</v>
      </c>
      <c r="D90" s="3">
        <f t="shared" si="18"/>
        <v>1303488.1532382534</v>
      </c>
    </row>
    <row r="91" spans="1:11">
      <c r="A91" t="s">
        <v>42</v>
      </c>
      <c r="B91" s="12">
        <v>16.186120986938477</v>
      </c>
      <c r="C91" s="5">
        <f t="shared" si="17"/>
        <v>2.4611198378205784E-3</v>
      </c>
      <c r="D91" s="3">
        <f t="shared" si="18"/>
        <v>1140857.7895415488</v>
      </c>
    </row>
    <row r="92" spans="1:11">
      <c r="A92" t="s">
        <v>43</v>
      </c>
      <c r="B92" s="12">
        <v>14.769349098205566</v>
      </c>
      <c r="C92" s="5">
        <f t="shared" si="17"/>
        <v>6.7381866750742441E-3</v>
      </c>
      <c r="D92" s="3">
        <f t="shared" si="18"/>
        <v>3123502.0081147077</v>
      </c>
      <c r="E92" s="3">
        <f t="shared" si="19"/>
        <v>2406726.6375661823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481345327.51323646</v>
      </c>
      <c r="K92" s="3">
        <f t="shared" ref="K92" si="61">(STDEV(D92:D94)*F92*G92)/H92</f>
        <v>134421661.87590829</v>
      </c>
    </row>
    <row r="93" spans="1:11">
      <c r="A93" t="s">
        <v>43</v>
      </c>
      <c r="B93" s="12">
        <v>15.196174621582031</v>
      </c>
      <c r="C93" s="5">
        <f t="shared" si="17"/>
        <v>4.9746908168572055E-3</v>
      </c>
      <c r="D93" s="3">
        <f t="shared" si="18"/>
        <v>2306029.4268312277</v>
      </c>
    </row>
    <row r="94" spans="1:11">
      <c r="A94" t="s">
        <v>43</v>
      </c>
      <c r="B94" s="12">
        <v>15.551993370056152</v>
      </c>
      <c r="C94" s="5">
        <f t="shared" si="17"/>
        <v>3.8628832897140645E-3</v>
      </c>
      <c r="D94" s="3">
        <f t="shared" si="18"/>
        <v>1790648.4777526117</v>
      </c>
    </row>
    <row r="95" spans="1:11">
      <c r="A95" t="s">
        <v>44</v>
      </c>
      <c r="B95" s="12">
        <v>14.543423652648926</v>
      </c>
      <c r="C95" s="5">
        <f t="shared" si="17"/>
        <v>7.9121523772923072E-3</v>
      </c>
      <c r="D95" s="3">
        <f t="shared" si="18"/>
        <v>3667696.5229239175</v>
      </c>
      <c r="E95" s="3">
        <f t="shared" si="19"/>
        <v>3798679.5783475363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759735915.66950727</v>
      </c>
      <c r="K95" s="3">
        <f t="shared" ref="K95" si="63">(STDEV(D95:D97)*F95*G95)/H95</f>
        <v>27846949.27117978</v>
      </c>
    </row>
    <row r="96" spans="1:11">
      <c r="A96" t="s">
        <v>44</v>
      </c>
      <c r="B96" s="12">
        <v>14.499721527099609</v>
      </c>
      <c r="C96" s="5">
        <f t="shared" ref="C96:C109" si="64">10^((B96-7.736)/(-3.239))</f>
        <v>8.1618219664475189E-3</v>
      </c>
      <c r="D96" s="3">
        <f t="shared" ref="D96:D109" si="65">C96*$B$9</f>
        <v>3783431.4380719732</v>
      </c>
    </row>
    <row r="97" spans="1:11">
      <c r="A97" t="s">
        <v>44</v>
      </c>
      <c r="B97" s="12">
        <v>14.440929412841797</v>
      </c>
      <c r="C97" s="5">
        <f t="shared" si="64"/>
        <v>8.5101738827062894E-3</v>
      </c>
      <c r="D97" s="3">
        <f t="shared" si="65"/>
        <v>3944910.77404672</v>
      </c>
    </row>
    <row r="98" spans="1:11">
      <c r="A98" t="s">
        <v>45</v>
      </c>
      <c r="B98" s="12">
        <v>14.759366989135742</v>
      </c>
      <c r="C98" s="5">
        <f t="shared" si="64"/>
        <v>6.7861723851647335E-3</v>
      </c>
      <c r="D98" s="3">
        <f t="shared" si="65"/>
        <v>3145745.8949430287</v>
      </c>
      <c r="E98" s="3">
        <f t="shared" ref="E98:E107" si="66">AVERAGE(D98:D100)</f>
        <v>3143083.938349253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7">E98*F98*G98/H98</f>
        <v>628616787.66985059</v>
      </c>
      <c r="K98" s="3">
        <f t="shared" ref="K98" si="68">(STDEV(D98:D100)*F98*G98)/H98</f>
        <v>2733580.1583645996</v>
      </c>
    </row>
    <row r="99" spans="1:11">
      <c r="A99" t="s">
        <v>45</v>
      </c>
      <c r="B99" s="12">
        <v>14.76719856262207</v>
      </c>
      <c r="C99" s="5">
        <f t="shared" si="64"/>
        <v>6.7484959098406891E-3</v>
      </c>
      <c r="D99" s="3">
        <f t="shared" si="65"/>
        <v>3128280.8777198247</v>
      </c>
    </row>
    <row r="100" spans="1:11">
      <c r="A100" t="s">
        <v>45</v>
      </c>
      <c r="B100" s="12">
        <v>14.755134582519531</v>
      </c>
      <c r="C100" s="5">
        <f t="shared" si="64"/>
        <v>6.8066213123042021E-3</v>
      </c>
      <c r="D100" s="3">
        <f t="shared" si="65"/>
        <v>3155225.0423849062</v>
      </c>
    </row>
    <row r="101" spans="1:11">
      <c r="A101" t="s">
        <v>46</v>
      </c>
      <c r="B101" s="12">
        <v>18.812911987304688</v>
      </c>
      <c r="C101" s="5">
        <f t="shared" si="64"/>
        <v>3.8031590916582069E-4</v>
      </c>
      <c r="D101" s="3">
        <f t="shared" si="65"/>
        <v>176296.31876951861</v>
      </c>
      <c r="E101" s="3">
        <f t="shared" si="66"/>
        <v>183245.28925105976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9">E101*F101*G101/H101</f>
        <v>36649057.850211948</v>
      </c>
      <c r="K101" s="3">
        <f t="shared" ref="K101" si="70">(STDEV(D101:D103)*F101*G101)/H101</f>
        <v>2267967.3862320082</v>
      </c>
    </row>
    <row r="102" spans="1:11">
      <c r="A102" t="s">
        <v>46</v>
      </c>
      <c r="B102" s="12">
        <v>18.661502838134766</v>
      </c>
      <c r="C102" s="5">
        <f t="shared" si="64"/>
        <v>4.2353581355137585E-4</v>
      </c>
      <c r="D102" s="3">
        <f t="shared" si="65"/>
        <v>196331.00534746499</v>
      </c>
    </row>
    <row r="103" spans="1:11">
      <c r="A103" t="s">
        <v>46</v>
      </c>
      <c r="B103" s="12">
        <v>18.806446075439453</v>
      </c>
      <c r="C103" s="5">
        <f t="shared" si="64"/>
        <v>3.8206808437159592E-4</v>
      </c>
      <c r="D103" s="3">
        <f t="shared" si="65"/>
        <v>177108.54363619571</v>
      </c>
    </row>
    <row r="104" spans="1:11">
      <c r="A104" t="s">
        <v>47</v>
      </c>
      <c r="B104" s="12">
        <v>14.789684295654297</v>
      </c>
      <c r="C104" s="5">
        <f t="shared" si="64"/>
        <v>6.6414790233341164E-3</v>
      </c>
      <c r="D104" s="3">
        <f t="shared" si="65"/>
        <v>3078672.9526170697</v>
      </c>
      <c r="E104" s="3">
        <f t="shared" si="66"/>
        <v>3042252.3955264091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71">E104*F104*G104/H104</f>
        <v>608450479.10528183</v>
      </c>
      <c r="K104" s="3">
        <f t="shared" ref="K104" si="72">(STDEV(D104:D106)*F104*G104)/H104</f>
        <v>6309270.2239374965</v>
      </c>
    </row>
    <row r="105" spans="1:11">
      <c r="A105" t="s">
        <v>47</v>
      </c>
      <c r="B105" s="12">
        <v>14.814602851867676</v>
      </c>
      <c r="C105" s="5">
        <f t="shared" si="64"/>
        <v>6.5248648181552692E-3</v>
      </c>
      <c r="D105" s="3">
        <f t="shared" si="65"/>
        <v>3024616.1682601986</v>
      </c>
    </row>
    <row r="106" spans="1:11">
      <c r="A106" t="s">
        <v>47</v>
      </c>
      <c r="B106" s="12">
        <v>14.815136909484863</v>
      </c>
      <c r="C106" s="5">
        <f t="shared" si="64"/>
        <v>6.5223880695124154E-3</v>
      </c>
      <c r="D106" s="3">
        <f t="shared" si="65"/>
        <v>3023468.0657019592</v>
      </c>
    </row>
    <row r="107" spans="1:11">
      <c r="A107" t="s">
        <v>48</v>
      </c>
      <c r="B107" s="12">
        <v>15.129250526428223</v>
      </c>
      <c r="C107" s="5">
        <f t="shared" si="64"/>
        <v>5.2170867236136561E-3</v>
      </c>
      <c r="D107" s="3">
        <f t="shared" si="65"/>
        <v>2418392.6096906899</v>
      </c>
      <c r="E107" s="3">
        <f t="shared" si="66"/>
        <v>3280642.603067854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3">E107*F107*G107/H107</f>
        <v>656128520.61357081</v>
      </c>
      <c r="K107" s="3">
        <f t="shared" ref="K107" si="74">(STDEV(D107:D109)*F107*G107)/H107</f>
        <v>380944419.06520057</v>
      </c>
    </row>
    <row r="108" spans="1:11">
      <c r="A108" t="s">
        <v>48</v>
      </c>
      <c r="B108" s="12">
        <v>15.42521858215332</v>
      </c>
      <c r="C108" s="5">
        <f t="shared" si="64"/>
        <v>4.2271892171937145E-3</v>
      </c>
      <c r="D108" s="3">
        <f t="shared" si="65"/>
        <v>1959523.3325054655</v>
      </c>
    </row>
    <row r="109" spans="1:11">
      <c r="A109" t="s">
        <v>48</v>
      </c>
      <c r="B109" s="12">
        <v>13.982693672180176</v>
      </c>
      <c r="C109" s="5">
        <f t="shared" si="64"/>
        <v>1.1787260536111926E-2</v>
      </c>
      <c r="D109" s="3">
        <f t="shared" si="65"/>
        <v>5464011.8670074055</v>
      </c>
    </row>
  </sheetData>
  <mergeCells count="11">
    <mergeCell ref="K13:K14"/>
    <mergeCell ref="L13:L14"/>
    <mergeCell ref="B13:B14"/>
    <mergeCell ref="D13:D14"/>
    <mergeCell ref="E13:E14"/>
    <mergeCell ref="F13:F14"/>
    <mergeCell ref="G13:G14"/>
    <mergeCell ref="H13:H14"/>
    <mergeCell ref="I13:I14"/>
    <mergeCell ref="J13:J14"/>
    <mergeCell ref="C13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AA8D-C8A4-5642-8290-491EE4491530}">
  <dimension ref="A1:Q109"/>
  <sheetViews>
    <sheetView topLeftCell="A79" zoomScale="120" zoomScaleNormal="120" workbookViewId="0">
      <selection activeCell="J107" sqref="J107:K107"/>
    </sheetView>
  </sheetViews>
  <sheetFormatPr baseColWidth="10" defaultRowHeight="15"/>
  <cols>
    <col min="1" max="1" width="34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2" style="2" customWidth="1"/>
    <col min="10" max="10" width="16.85546875" style="2" customWidth="1"/>
    <col min="11" max="11" width="10.85546875" style="2" customWidth="1"/>
    <col min="12" max="12" width="14.42578125" style="2" customWidth="1"/>
    <col min="13" max="16384" width="10.7109375" style="2"/>
  </cols>
  <sheetData>
    <row r="1" spans="1:16">
      <c r="A1" s="2" t="s">
        <v>54</v>
      </c>
    </row>
    <row r="2" spans="1:16">
      <c r="A2" s="2" t="s">
        <v>52</v>
      </c>
    </row>
    <row r="3" spans="1:16">
      <c r="A3" s="2" t="s">
        <v>53</v>
      </c>
    </row>
    <row r="5" spans="1:16">
      <c r="A5" s="2" t="s">
        <v>155</v>
      </c>
      <c r="B5" s="3">
        <v>1500</v>
      </c>
      <c r="D5" s="2" t="s">
        <v>12</v>
      </c>
    </row>
    <row r="6" spans="1:16" ht="17">
      <c r="A6" s="2" t="s">
        <v>8</v>
      </c>
      <c r="B6" s="3">
        <v>1.096E-21</v>
      </c>
      <c r="D6" s="2" t="s">
        <v>11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156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157</v>
      </c>
      <c r="B8" s="3">
        <v>7.6207999999999981E-10</v>
      </c>
      <c r="D8" s="2" t="s">
        <v>15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158</v>
      </c>
      <c r="B9" s="3">
        <f>B8/B7</f>
        <v>463552311.43552303</v>
      </c>
      <c r="D9" s="2" t="s">
        <v>16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10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13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5" t="s">
        <v>1</v>
      </c>
      <c r="C13" s="16" t="s">
        <v>9</v>
      </c>
      <c r="D13" s="16" t="s">
        <v>14</v>
      </c>
      <c r="E13" s="16" t="s">
        <v>4</v>
      </c>
      <c r="F13" s="16" t="s">
        <v>5</v>
      </c>
      <c r="G13" s="16" t="s">
        <v>7</v>
      </c>
      <c r="H13" s="16" t="s">
        <v>159</v>
      </c>
      <c r="I13" s="16" t="s">
        <v>6</v>
      </c>
      <c r="J13" s="16" t="s">
        <v>160</v>
      </c>
      <c r="K13" s="14" t="s">
        <v>17</v>
      </c>
      <c r="L13" s="14"/>
      <c r="M13" s="1"/>
      <c r="N13" s="1"/>
      <c r="O13" s="1"/>
      <c r="P13" s="1"/>
    </row>
    <row r="14" spans="1:16">
      <c r="B14" s="15"/>
      <c r="C14" s="16"/>
      <c r="D14" s="16"/>
      <c r="E14" s="16"/>
      <c r="F14" s="16"/>
      <c r="G14" s="16"/>
      <c r="H14" s="16"/>
      <c r="I14" s="16"/>
      <c r="J14" s="16"/>
      <c r="K14" s="14"/>
      <c r="L14" s="14"/>
      <c r="M14" s="1"/>
      <c r="N14" s="1"/>
      <c r="O14" s="1"/>
      <c r="P14" s="1"/>
    </row>
    <row r="15" spans="1:16">
      <c r="A15" s="2" t="s">
        <v>49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18</v>
      </c>
      <c r="B16" s="12">
        <v>7.8423266410827637</v>
      </c>
      <c r="C16" s="5">
        <f>10^((B16-7.513)/(-3.221))</f>
        <v>0.79023524992615202</v>
      </c>
      <c r="D16" s="3">
        <f>C16*$B$9</f>
        <v>366315376.68109602</v>
      </c>
      <c r="E16" s="3">
        <f t="shared" ref="E16" si="0">AVERAGE(D16:D18)</f>
        <v>369829612.03210825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391768656.81367397</v>
      </c>
      <c r="K16" s="3">
        <f t="shared" ref="K16" si="2">(STDEV(D16:D18)*F16*G16)/H16</f>
        <v>3432392.6562354416</v>
      </c>
      <c r="L16" s="6"/>
      <c r="M16" s="1"/>
      <c r="N16" s="1"/>
      <c r="O16" s="1"/>
      <c r="P16" s="1"/>
    </row>
    <row r="17" spans="1:16">
      <c r="B17" s="12">
        <v>7.8181605339050293</v>
      </c>
      <c r="C17" s="5">
        <f t="shared" ref="C17:C30" si="3">10^((B17-7.513)/(-3.221))</f>
        <v>0.80400559413119554</v>
      </c>
      <c r="D17" s="3">
        <f t="shared" ref="D17:D30" si="4">C17*$B$9</f>
        <v>372698651.5666067</v>
      </c>
      <c r="L17" s="6"/>
      <c r="M17" s="1"/>
      <c r="N17" s="1"/>
      <c r="O17" s="1"/>
      <c r="P17" s="1"/>
    </row>
    <row r="18" spans="1:16">
      <c r="B18" s="12">
        <v>7.8265323638916016</v>
      </c>
      <c r="C18" s="5">
        <f t="shared" si="3"/>
        <v>0.79920819874965188</v>
      </c>
      <c r="D18" s="3">
        <f t="shared" si="4"/>
        <v>370474807.84862202</v>
      </c>
      <c r="L18" s="6"/>
      <c r="M18" s="1"/>
      <c r="N18" s="1"/>
      <c r="O18" s="1"/>
      <c r="P18" s="1"/>
    </row>
    <row r="19" spans="1:16">
      <c r="A19" s="2" t="s">
        <v>19</v>
      </c>
      <c r="B19" s="12">
        <v>10.098381042480469</v>
      </c>
      <c r="C19" s="5">
        <f t="shared" si="3"/>
        <v>0.15752007406507032</v>
      </c>
      <c r="D19" s="3">
        <f t="shared" si="4"/>
        <v>73018794.430358127</v>
      </c>
      <c r="E19" s="3">
        <f t="shared" ref="E19" si="5">AVERAGE(D19:D21)</f>
        <v>72969160.611387312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386489198.15353447</v>
      </c>
      <c r="K19" s="3">
        <f t="shared" ref="K19" si="7">(STDEV(D19:D21)*F19*G19)/H19</f>
        <v>4032871.4636985683</v>
      </c>
      <c r="L19" s="6"/>
      <c r="M19" s="1"/>
      <c r="N19" s="1"/>
      <c r="O19" s="1"/>
      <c r="P19" s="1"/>
    </row>
    <row r="20" spans="1:16">
      <c r="B20" s="12">
        <v>10.114462852478027</v>
      </c>
      <c r="C20" s="5">
        <f t="shared" si="3"/>
        <v>0.15571953814681544</v>
      </c>
      <c r="D20" s="3">
        <f t="shared" si="4"/>
        <v>72184151.843628407</v>
      </c>
      <c r="L20" s="6"/>
      <c r="M20" s="1"/>
      <c r="N20" s="1"/>
      <c r="O20" s="1"/>
      <c r="P20" s="1"/>
    </row>
    <row r="21" spans="1:16">
      <c r="B21" s="12">
        <v>10.085305213928223</v>
      </c>
      <c r="C21" s="5">
        <f t="shared" si="3"/>
        <v>0.15899939174486719</v>
      </c>
      <c r="D21" s="3">
        <f t="shared" si="4"/>
        <v>73704535.560175404</v>
      </c>
      <c r="L21" s="6"/>
      <c r="M21" s="1"/>
      <c r="N21" s="1"/>
      <c r="O21" s="1"/>
      <c r="P21" s="1"/>
    </row>
    <row r="22" spans="1:16">
      <c r="A22" s="2" t="s">
        <v>20</v>
      </c>
      <c r="B22" s="12">
        <v>12.556560516357422</v>
      </c>
      <c r="C22" s="5">
        <f t="shared" si="3"/>
        <v>2.7174598927523535E-2</v>
      </c>
      <c r="D22" s="3">
        <f t="shared" si="4"/>
        <v>12596848.145186819</v>
      </c>
      <c r="E22" s="3">
        <f t="shared" ref="E22" si="8">AVERAGE(D22:D24)</f>
        <v>12378061.573411556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327808834.04161954</v>
      </c>
      <c r="K22" s="3">
        <f t="shared" ref="K22" si="10">(STDEV(D22:D24)*F22*G22)/H22</f>
        <v>7254065.8280274132</v>
      </c>
      <c r="L22" s="6"/>
      <c r="M22" s="1"/>
      <c r="N22" s="1"/>
      <c r="O22" s="1"/>
      <c r="P22" s="1"/>
    </row>
    <row r="23" spans="1:16">
      <c r="B23" s="12">
        <v>12.616225242614746</v>
      </c>
      <c r="C23" s="5">
        <f t="shared" si="3"/>
        <v>2.6039909924169918E-2</v>
      </c>
      <c r="D23" s="3">
        <f t="shared" si="4"/>
        <v>12070860.434921781</v>
      </c>
      <c r="L23" s="6"/>
      <c r="M23" s="1"/>
      <c r="N23" s="1"/>
      <c r="O23" s="1"/>
      <c r="P23" s="1"/>
    </row>
    <row r="24" spans="1:16">
      <c r="B24" s="12">
        <v>12.571113586425781</v>
      </c>
      <c r="C24" s="5">
        <f t="shared" si="3"/>
        <v>2.6893353420070421E-2</v>
      </c>
      <c r="D24" s="3">
        <f t="shared" si="4"/>
        <v>12466476.140126072</v>
      </c>
      <c r="L24" s="6"/>
      <c r="M24" s="1"/>
      <c r="N24" s="1"/>
      <c r="O24" s="1"/>
      <c r="P24" s="1"/>
    </row>
    <row r="25" spans="1:16">
      <c r="A25" s="2" t="s">
        <v>21</v>
      </c>
      <c r="B25" s="12">
        <v>14.734745979309082</v>
      </c>
      <c r="C25" s="5">
        <f t="shared" si="3"/>
        <v>5.7268794886088815E-3</v>
      </c>
      <c r="D25" s="3">
        <f t="shared" si="4"/>
        <v>2654708.2242573332</v>
      </c>
      <c r="E25" s="3">
        <f t="shared" ref="E25" si="11">AVERAGE(D25:D27)</f>
        <v>2715640.304451663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359592201.33099347</v>
      </c>
      <c r="K25" s="3">
        <f t="shared" ref="K25" si="13">(STDEV(D25:D27)*F25*G25)/H25</f>
        <v>26371900.928233087</v>
      </c>
      <c r="L25" s="6"/>
      <c r="M25" s="1"/>
      <c r="N25" s="1"/>
      <c r="O25" s="1"/>
      <c r="P25" s="1"/>
    </row>
    <row r="26" spans="1:16">
      <c r="B26" s="12">
        <v>14.788810729980469</v>
      </c>
      <c r="C26" s="5">
        <f t="shared" si="3"/>
        <v>5.5097635524956889E-3</v>
      </c>
      <c r="D26" s="3">
        <f t="shared" si="4"/>
        <v>2554063.6302225753</v>
      </c>
      <c r="L26" s="6"/>
      <c r="M26" s="1"/>
      <c r="N26" s="1"/>
      <c r="O26" s="1"/>
      <c r="P26" s="1"/>
    </row>
    <row r="27" spans="1:16">
      <c r="B27" s="12">
        <v>14.592838287353516</v>
      </c>
      <c r="C27" s="5">
        <f t="shared" si="3"/>
        <v>6.3383333151252252E-3</v>
      </c>
      <c r="D27" s="3">
        <f t="shared" si="4"/>
        <v>2938149.0588750797</v>
      </c>
      <c r="L27" s="6"/>
      <c r="M27" s="1"/>
      <c r="N27" s="1"/>
      <c r="O27" s="1"/>
      <c r="P27" s="1"/>
    </row>
    <row r="28" spans="1:16">
      <c r="A28" s="2" t="s">
        <v>22</v>
      </c>
      <c r="B28" s="12">
        <v>16.736553192138672</v>
      </c>
      <c r="C28" s="5">
        <f t="shared" si="3"/>
        <v>1.3690893552605174E-3</v>
      </c>
      <c r="D28" s="3">
        <f t="shared" si="4"/>
        <v>634644.53519278276</v>
      </c>
      <c r="E28" s="3">
        <f t="shared" ref="E28" si="14">AVERAGE(D28:D30)</f>
        <v>614781.31637973676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407032121.5437876</v>
      </c>
      <c r="K28" s="3">
        <f t="shared" ref="K28" si="16">(STDEV(D28:D30)*F28*G28)/H28</f>
        <v>14437854.813266819</v>
      </c>
      <c r="L28" s="7"/>
      <c r="M28" s="1"/>
      <c r="N28" s="1"/>
      <c r="O28" s="1"/>
      <c r="P28" s="7"/>
    </row>
    <row r="29" spans="1:16">
      <c r="B29" s="12">
        <v>16.773159027099609</v>
      </c>
      <c r="C29" s="5">
        <f t="shared" si="3"/>
        <v>1.3337273328290081E-3</v>
      </c>
      <c r="D29" s="3">
        <f t="shared" si="4"/>
        <v>618252.38795762183</v>
      </c>
      <c r="L29" s="7"/>
      <c r="M29" s="1"/>
      <c r="N29" s="1"/>
      <c r="O29" s="1"/>
      <c r="P29" s="7"/>
    </row>
    <row r="30" spans="1:16">
      <c r="B30" s="12">
        <v>16.835163116455078</v>
      </c>
      <c r="C30" s="5">
        <f t="shared" si="3"/>
        <v>1.2759013630138523E-3</v>
      </c>
      <c r="D30" s="3">
        <f t="shared" si="4"/>
        <v>591447.02598880557</v>
      </c>
      <c r="L30" s="7"/>
      <c r="M30" s="1"/>
      <c r="N30" s="1"/>
      <c r="O30" s="1"/>
      <c r="P30" s="7"/>
    </row>
    <row r="31" spans="1:16">
      <c r="A31" s="2" t="s">
        <v>50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57</v>
      </c>
      <c r="B32" s="12">
        <v>15.041474342346191</v>
      </c>
      <c r="C32" s="5">
        <f t="shared" ref="C32:C95" si="17">10^((B32-7.513)/(-3.221))</f>
        <v>4.5992854293968434E-3</v>
      </c>
      <c r="D32" s="3">
        <f t="shared" ref="D32:D95" si="18">C32*$B$9</f>
        <v>2132009.391748629</v>
      </c>
      <c r="E32" s="3">
        <f t="shared" ref="E32:E92" si="19">AVERAGE(D32:D34)</f>
        <v>2636428.5725678639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527285714.51357275</v>
      </c>
      <c r="K32" s="3">
        <f t="shared" ref="K32" si="21">(STDEV(D32:D34)*F32*G32)/H32</f>
        <v>88652565.00611186</v>
      </c>
    </row>
    <row r="33" spans="1:17">
      <c r="A33" t="s">
        <v>57</v>
      </c>
      <c r="B33" s="12">
        <v>14.65350341796875</v>
      </c>
      <c r="C33" s="5">
        <f t="shared" si="17"/>
        <v>6.0693309611424984E-3</v>
      </c>
      <c r="D33" s="3">
        <f t="shared" si="18"/>
        <v>2813452.3959047897</v>
      </c>
    </row>
    <row r="34" spans="1:17">
      <c r="A34" t="s">
        <v>57</v>
      </c>
      <c r="B34" s="12">
        <v>14.580667495727539</v>
      </c>
      <c r="C34" s="5">
        <f t="shared" si="17"/>
        <v>6.3937205293440151E-3</v>
      </c>
      <c r="D34" s="3">
        <f t="shared" si="18"/>
        <v>2963823.9300501742</v>
      </c>
    </row>
    <row r="35" spans="1:17">
      <c r="A35" t="s">
        <v>58</v>
      </c>
      <c r="B35" s="12">
        <v>17.138004302978516</v>
      </c>
      <c r="C35" s="5">
        <f t="shared" si="17"/>
        <v>1.0275340978396911E-3</v>
      </c>
      <c r="D35" s="3">
        <f t="shared" si="18"/>
        <v>476315.80613240367</v>
      </c>
      <c r="E35" s="3">
        <f t="shared" si="19"/>
        <v>370506.27186611557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74101254.373223111</v>
      </c>
      <c r="K35" s="3">
        <f t="shared" ref="K35" si="23">(STDEV(D35:D37)*F35*G35)/H35</f>
        <v>19176179.409122553</v>
      </c>
    </row>
    <row r="36" spans="1:17">
      <c r="A36" t="s">
        <v>58</v>
      </c>
      <c r="B36" s="12">
        <v>17.835109710693359</v>
      </c>
      <c r="C36" s="5">
        <f t="shared" si="17"/>
        <v>6.2426802740011926E-4</v>
      </c>
      <c r="D36" s="3">
        <f t="shared" si="18"/>
        <v>289380.88705661969</v>
      </c>
    </row>
    <row r="37" spans="1:17">
      <c r="A37" t="s">
        <v>58</v>
      </c>
      <c r="B37" s="12">
        <v>17.585859298706055</v>
      </c>
      <c r="C37" s="5">
        <f t="shared" si="17"/>
        <v>7.4602609862603377E-4</v>
      </c>
      <c r="D37" s="3">
        <f t="shared" si="18"/>
        <v>345822.12240932341</v>
      </c>
    </row>
    <row r="38" spans="1:17">
      <c r="A38" t="s">
        <v>59</v>
      </c>
      <c r="B38" s="12">
        <v>14.323820114135742</v>
      </c>
      <c r="C38" s="5">
        <f t="shared" si="17"/>
        <v>7.6823688055365023E-3</v>
      </c>
      <c r="D38" s="3">
        <f t="shared" si="18"/>
        <v>3561179.8171066036</v>
      </c>
      <c r="E38" s="3">
        <f t="shared" si="19"/>
        <v>3209425.7705708235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641885154.11416471</v>
      </c>
      <c r="K38" s="3">
        <f t="shared" ref="K38" si="25">(STDEV(D38:D40)*F38*G38)/H38</f>
        <v>93622745.673950925</v>
      </c>
    </row>
    <row r="39" spans="1:17">
      <c r="A39" t="s">
        <v>59</v>
      </c>
      <c r="B39" s="12">
        <v>14.722465515136719</v>
      </c>
      <c r="C39" s="5">
        <f t="shared" si="17"/>
        <v>5.777376479292471E-3</v>
      </c>
      <c r="D39" s="3">
        <f t="shared" si="18"/>
        <v>2678116.2210092493</v>
      </c>
    </row>
    <row r="40" spans="1:17">
      <c r="A40" t="s">
        <v>59</v>
      </c>
      <c r="B40" s="12">
        <v>14.39315128326416</v>
      </c>
      <c r="C40" s="5">
        <f t="shared" si="17"/>
        <v>7.3108928377504196E-3</v>
      </c>
      <c r="D40" s="3">
        <f t="shared" si="18"/>
        <v>3388981.2735966174</v>
      </c>
    </row>
    <row r="41" spans="1:17">
      <c r="A41" t="s">
        <v>60</v>
      </c>
      <c r="B41" s="12">
        <v>14.650728225708008</v>
      </c>
      <c r="C41" s="5">
        <f t="shared" si="17"/>
        <v>6.0813838104772288E-3</v>
      </c>
      <c r="D41" s="3">
        <f t="shared" si="18"/>
        <v>2819039.522073288</v>
      </c>
      <c r="E41" s="3">
        <f t="shared" si="19"/>
        <v>2826814.996776972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565362999.35539436</v>
      </c>
      <c r="K41" s="3">
        <f t="shared" ref="K41" si="27">(STDEV(D41:D43)*F41*G41)/H41</f>
        <v>21750177.936427716</v>
      </c>
      <c r="M41" s="8"/>
      <c r="N41" s="1"/>
      <c r="O41" s="1"/>
      <c r="P41" s="1"/>
      <c r="Q41" s="9"/>
    </row>
    <row r="42" spans="1:17">
      <c r="A42" t="s">
        <v>60</v>
      </c>
      <c r="B42" s="12">
        <v>14.592316627502441</v>
      </c>
      <c r="C42" s="5">
        <f t="shared" si="17"/>
        <v>6.3406974292140933E-3</v>
      </c>
      <c r="D42" s="3">
        <f t="shared" si="18"/>
        <v>2939244.9494254715</v>
      </c>
    </row>
    <row r="43" spans="1:17">
      <c r="A43" t="s">
        <v>60</v>
      </c>
      <c r="B43" s="12">
        <v>14.699646949768066</v>
      </c>
      <c r="C43" s="5">
        <f t="shared" si="17"/>
        <v>5.8723912095318947E-3</v>
      </c>
      <c r="D43" s="3">
        <f t="shared" si="18"/>
        <v>2722160.5188321564</v>
      </c>
    </row>
    <row r="44" spans="1:17">
      <c r="A44" t="s">
        <v>61</v>
      </c>
      <c r="B44" s="12">
        <v>14.898074150085449</v>
      </c>
      <c r="C44" s="5">
        <f t="shared" si="17"/>
        <v>5.0957810273409608E-3</v>
      </c>
      <c r="D44" s="3">
        <f t="shared" si="18"/>
        <v>2362161.0737931868</v>
      </c>
      <c r="E44" s="3">
        <f t="shared" si="19"/>
        <v>4022314.6211166247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804462924.22332489</v>
      </c>
      <c r="K44" s="3">
        <f t="shared" ref="K44" si="29">(STDEV(D44:D46)*F44*G44)/H44</f>
        <v>310199321.72522855</v>
      </c>
    </row>
    <row r="45" spans="1:17">
      <c r="A45" t="s">
        <v>61</v>
      </c>
      <c r="B45" s="12">
        <v>13.732630729675293</v>
      </c>
      <c r="C45" s="5">
        <f t="shared" si="17"/>
        <v>1.1722961519909111E-2</v>
      </c>
      <c r="D45" s="3">
        <f t="shared" si="18"/>
        <v>5434205.9094235608</v>
      </c>
    </row>
    <row r="46" spans="1:17">
      <c r="A46" t="s">
        <v>61</v>
      </c>
      <c r="B46" s="12">
        <v>14.069706916809082</v>
      </c>
      <c r="C46" s="5">
        <f t="shared" si="17"/>
        <v>9.2127183378895409E-3</v>
      </c>
      <c r="D46" s="3">
        <f t="shared" si="18"/>
        <v>4270576.8801331269</v>
      </c>
    </row>
    <row r="47" spans="1:17">
      <c r="A47" t="s">
        <v>62</v>
      </c>
      <c r="B47" s="12">
        <v>12.841489791870117</v>
      </c>
      <c r="C47" s="5">
        <f t="shared" si="17"/>
        <v>2.2166813245536571E-2</v>
      </c>
      <c r="D47" s="3">
        <f t="shared" si="18"/>
        <v>10275477.517128045</v>
      </c>
      <c r="E47" s="3">
        <f t="shared" si="19"/>
        <v>7796185.2684088657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1559237053.6817732</v>
      </c>
      <c r="K47" s="3">
        <f t="shared" ref="K47" si="31">(STDEV(D47:D49)*F47*G47)/H47</f>
        <v>512859153.63800544</v>
      </c>
    </row>
    <row r="48" spans="1:17">
      <c r="A48" t="s">
        <v>62</v>
      </c>
      <c r="B48" s="12">
        <v>13.198929786682129</v>
      </c>
      <c r="C48" s="5">
        <f t="shared" si="17"/>
        <v>1.7168466922809225E-2</v>
      </c>
      <c r="D48" s="3">
        <f t="shared" si="18"/>
        <v>7958482.5258725379</v>
      </c>
    </row>
    <row r="49" spans="1:11">
      <c r="A49" t="s">
        <v>62</v>
      </c>
      <c r="B49" s="12">
        <v>13.806525230407715</v>
      </c>
      <c r="C49" s="5">
        <f t="shared" si="17"/>
        <v>1.1119771458507731E-2</v>
      </c>
      <c r="D49" s="3">
        <f t="shared" si="18"/>
        <v>5154595.7622260153</v>
      </c>
    </row>
    <row r="50" spans="1:11">
      <c r="A50" t="s">
        <v>63</v>
      </c>
      <c r="B50" s="12">
        <v>13.833593368530273</v>
      </c>
      <c r="C50" s="5">
        <f t="shared" si="17"/>
        <v>1.090667110873735E-2</v>
      </c>
      <c r="D50" s="3">
        <f t="shared" si="18"/>
        <v>5055812.6025222372</v>
      </c>
      <c r="E50" s="3">
        <f t="shared" si="19"/>
        <v>5267724.4624934504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1053544892.4986901</v>
      </c>
      <c r="K50" s="3">
        <f t="shared" ref="K50" si="33">(STDEV(D50:D52)*F50*G50)/H50</f>
        <v>529545331.61411566</v>
      </c>
    </row>
    <row r="51" spans="1:11">
      <c r="A51" t="s">
        <v>63</v>
      </c>
      <c r="B51" s="12">
        <v>14.694435119628906</v>
      </c>
      <c r="C51" s="5">
        <f t="shared" si="17"/>
        <v>5.8943111558944572E-3</v>
      </c>
      <c r="D51" s="3">
        <f t="shared" si="18"/>
        <v>2732321.5606350652</v>
      </c>
    </row>
    <row r="52" spans="1:11">
      <c r="A52" t="s">
        <v>63</v>
      </c>
      <c r="B52" s="12">
        <v>13.189023971557617</v>
      </c>
      <c r="C52" s="5">
        <f t="shared" si="17"/>
        <v>1.7290474077245294E-2</v>
      </c>
      <c r="D52" s="3">
        <f t="shared" si="18"/>
        <v>8015039.2243230483</v>
      </c>
    </row>
    <row r="53" spans="1:11">
      <c r="A53" t="s">
        <v>64</v>
      </c>
      <c r="B53" s="12">
        <v>14.768324851989746</v>
      </c>
      <c r="C53" s="5">
        <f t="shared" si="17"/>
        <v>5.591045937405688E-3</v>
      </c>
      <c r="D53" s="3">
        <f t="shared" si="18"/>
        <v>2591742.2676265971</v>
      </c>
      <c r="E53" s="3">
        <f t="shared" si="19"/>
        <v>2592884.3418944008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518576868.37888014</v>
      </c>
      <c r="K53" s="3">
        <f t="shared" ref="K53" si="35">(STDEV(D53:D55)*F53*G53)/H53</f>
        <v>46898175.803857982</v>
      </c>
    </row>
    <row r="54" spans="1:11">
      <c r="A54" t="s">
        <v>64</v>
      </c>
      <c r="B54" s="12">
        <v>14.899967193603516</v>
      </c>
      <c r="C54" s="5">
        <f t="shared" si="17"/>
        <v>5.0888897061381897E-3</v>
      </c>
      <c r="D54" s="3">
        <f t="shared" si="18"/>
        <v>2358966.5859207972</v>
      </c>
    </row>
    <row r="55" spans="1:11">
      <c r="A55" t="s">
        <v>64</v>
      </c>
      <c r="B55" s="12">
        <v>14.646316528320312</v>
      </c>
      <c r="C55" s="5">
        <f t="shared" si="17"/>
        <v>6.1005934009438229E-3</v>
      </c>
      <c r="D55" s="3">
        <f t="shared" si="18"/>
        <v>2827944.1721358076</v>
      </c>
    </row>
    <row r="56" spans="1:11">
      <c r="A56" t="s">
        <v>65</v>
      </c>
      <c r="B56" s="12">
        <v>5.3771510124206543</v>
      </c>
      <c r="C56" s="5">
        <f t="shared" si="17"/>
        <v>4.6036384317153098</v>
      </c>
      <c r="D56" s="3">
        <f t="shared" si="18"/>
        <v>2134027236.0350382</v>
      </c>
      <c r="E56" s="3">
        <f t="shared" si="19"/>
        <v>715467961.29829395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143093592259.65878</v>
      </c>
      <c r="K56" s="3">
        <f t="shared" ref="K56" si="37">(STDEV(D56:D58)*F56*G56)/H56</f>
        <v>245702777810.05087</v>
      </c>
    </row>
    <row r="57" spans="1:11">
      <c r="A57" t="s">
        <v>65</v>
      </c>
      <c r="B57" s="12">
        <v>12.897637367248535</v>
      </c>
      <c r="C57" s="5">
        <f t="shared" si="17"/>
        <v>2.1294700717934163E-2</v>
      </c>
      <c r="D57" s="3">
        <f t="shared" si="18"/>
        <v>9871207.7391260732</v>
      </c>
    </row>
    <row r="58" spans="1:11">
      <c r="A58" t="s">
        <v>65</v>
      </c>
      <c r="B58" s="12">
        <v>14.815698623657227</v>
      </c>
      <c r="C58" s="5">
        <f t="shared" si="17"/>
        <v>5.4048703003092809E-3</v>
      </c>
      <c r="D58" s="3">
        <f t="shared" si="18"/>
        <v>2505440.1207175767</v>
      </c>
    </row>
    <row r="59" spans="1:11">
      <c r="A59" t="s">
        <v>66</v>
      </c>
      <c r="B59" s="12">
        <v>16.796442031860352</v>
      </c>
      <c r="C59" s="5">
        <f t="shared" si="17"/>
        <v>1.3117121749448423E-3</v>
      </c>
      <c r="D59" s="3">
        <f t="shared" si="18"/>
        <v>608047.21063379885</v>
      </c>
      <c r="E59" s="3">
        <f t="shared" si="19"/>
        <v>473716.99201215338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94743398.402430683</v>
      </c>
      <c r="K59" s="3">
        <f t="shared" ref="K59" si="39">(STDEV(D59:D61)*F59*G59)/H59</f>
        <v>24331746.832041558</v>
      </c>
    </row>
    <row r="60" spans="1:11">
      <c r="A60" t="s">
        <v>66</v>
      </c>
      <c r="B60" s="12">
        <v>17.242116928100586</v>
      </c>
      <c r="C60" s="5">
        <f t="shared" si="17"/>
        <v>9.5383480876045832E-4</v>
      </c>
      <c r="D60" s="3">
        <f t="shared" si="18"/>
        <v>442152.3303285705</v>
      </c>
    </row>
    <row r="61" spans="1:11">
      <c r="A61" t="s">
        <v>66</v>
      </c>
      <c r="B61" s="12">
        <v>17.487733840942383</v>
      </c>
      <c r="C61" s="5">
        <f t="shared" si="17"/>
        <v>8.0023640465804802E-4</v>
      </c>
      <c r="D61" s="3">
        <f t="shared" si="18"/>
        <v>370951.43507409072</v>
      </c>
    </row>
    <row r="62" spans="1:11">
      <c r="A62" t="s">
        <v>67</v>
      </c>
      <c r="B62" s="12">
        <v>15.389102935791016</v>
      </c>
      <c r="C62" s="5">
        <f t="shared" si="17"/>
        <v>3.5872751518636228E-3</v>
      </c>
      <c r="D62" s="3">
        <f t="shared" si="18"/>
        <v>1662889.6884015992</v>
      </c>
      <c r="E62" s="3">
        <f t="shared" si="19"/>
        <v>5012733.6979271239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1002546739.5854248</v>
      </c>
      <c r="K62" s="3">
        <f t="shared" ref="K62" si="41">(STDEV(D62:D64)*F62*G62)/H62</f>
        <v>1061146440.3696487</v>
      </c>
    </row>
    <row r="63" spans="1:11">
      <c r="A63" t="s">
        <v>67</v>
      </c>
      <c r="B63" s="12">
        <v>14.969061851501465</v>
      </c>
      <c r="C63" s="5">
        <f t="shared" si="17"/>
        <v>4.8436386043750283E-3</v>
      </c>
      <c r="D63" s="3">
        <f t="shared" si="18"/>
        <v>2245279.8708163751</v>
      </c>
    </row>
    <row r="64" spans="1:11">
      <c r="A64" t="s">
        <v>67</v>
      </c>
      <c r="B64" s="12">
        <v>12.729739189147949</v>
      </c>
      <c r="C64" s="5">
        <f t="shared" si="17"/>
        <v>2.4010303173974162E-2</v>
      </c>
      <c r="D64" s="3">
        <f t="shared" si="18"/>
        <v>11130031.534563398</v>
      </c>
    </row>
    <row r="65" spans="1:11">
      <c r="A65" t="s">
        <v>68</v>
      </c>
      <c r="B65" s="12">
        <v>21.114706039428711</v>
      </c>
      <c r="C65" s="5">
        <f t="shared" si="17"/>
        <v>5.9865846071027437E-5</v>
      </c>
      <c r="D65" s="3">
        <f t="shared" si="18"/>
        <v>27750.951322267993</v>
      </c>
      <c r="E65" s="3">
        <f t="shared" si="19"/>
        <v>12083586.890944088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2416717378.1888175</v>
      </c>
      <c r="K65" s="3">
        <f t="shared" ref="K65" si="43">(STDEV(D65:D67)*F65*G65)/H65</f>
        <v>4175308095.5250077</v>
      </c>
    </row>
    <row r="66" spans="1:11">
      <c r="A66" t="s">
        <v>68</v>
      </c>
      <c r="B66" s="12">
        <v>20.860950469970703</v>
      </c>
      <c r="C66" s="5">
        <f t="shared" si="17"/>
        <v>7.1772939903372841E-5</v>
      </c>
      <c r="D66" s="3">
        <f t="shared" si="18"/>
        <v>33270.512190731366</v>
      </c>
    </row>
    <row r="67" spans="1:11">
      <c r="A67" t="s">
        <v>68</v>
      </c>
      <c r="B67" s="12">
        <v>11.080300331115723</v>
      </c>
      <c r="C67" s="5">
        <f t="shared" si="17"/>
        <v>7.8070453574586501E-2</v>
      </c>
      <c r="D67" s="3">
        <f t="shared" si="18"/>
        <v>36189739.209319264</v>
      </c>
    </row>
    <row r="68" spans="1:11">
      <c r="A68" t="s">
        <v>69</v>
      </c>
      <c r="B68" s="12">
        <v>16.597682952880859</v>
      </c>
      <c r="C68" s="5">
        <f t="shared" si="17"/>
        <v>1.5119791692169112E-3</v>
      </c>
      <c r="D68" s="3">
        <f t="shared" si="18"/>
        <v>700881.43873286096</v>
      </c>
      <c r="E68" s="3">
        <f t="shared" si="19"/>
        <v>937865.49225501937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187573098.45100388</v>
      </c>
      <c r="K68" s="3">
        <f t="shared" ref="K68" si="45">(STDEV(D68:D70)*F68*G68)/H68</f>
        <v>41369356.710269183</v>
      </c>
    </row>
    <row r="69" spans="1:11">
      <c r="A69" t="s">
        <v>69</v>
      </c>
      <c r="B69" s="12">
        <v>16.058368682861328</v>
      </c>
      <c r="C69" s="5">
        <f t="shared" si="17"/>
        <v>2.2232213917531495E-3</v>
      </c>
      <c r="D69" s="3">
        <f t="shared" si="18"/>
        <v>1030579.4149800729</v>
      </c>
    </row>
    <row r="70" spans="1:11">
      <c r="A70" t="s">
        <v>69</v>
      </c>
      <c r="B70" s="12">
        <v>15.990082740783691</v>
      </c>
      <c r="C70" s="5">
        <f t="shared" si="17"/>
        <v>2.3344412191603149E-3</v>
      </c>
      <c r="D70" s="3">
        <f t="shared" si="18"/>
        <v>1082135.6230521244</v>
      </c>
    </row>
    <row r="71" spans="1:11">
      <c r="A71" t="s">
        <v>70</v>
      </c>
      <c r="B71" s="12">
        <v>11.940718650817871</v>
      </c>
      <c r="C71" s="5">
        <f t="shared" si="17"/>
        <v>4.2204523677348636E-2</v>
      </c>
      <c r="D71" s="3">
        <f t="shared" si="18"/>
        <v>19564004.503670219</v>
      </c>
      <c r="E71" s="3">
        <f t="shared" si="19"/>
        <v>10519168.379407138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2103833675.8814275</v>
      </c>
      <c r="K71" s="3">
        <f t="shared" ref="K71" si="47">(STDEV(D71:D73)*F71*G71)/H71</f>
        <v>1573895504.741487</v>
      </c>
    </row>
    <row r="72" spans="1:11">
      <c r="A72" t="s">
        <v>70</v>
      </c>
      <c r="B72" s="12">
        <v>13.428699493408203</v>
      </c>
      <c r="C72" s="5">
        <f t="shared" si="17"/>
        <v>1.4567888809159782E-2</v>
      </c>
      <c r="D72" s="3">
        <f t="shared" si="18"/>
        <v>6752978.5302217063</v>
      </c>
    </row>
    <row r="73" spans="1:11">
      <c r="A73" t="s">
        <v>70</v>
      </c>
      <c r="B73" s="12">
        <v>13.783398628234863</v>
      </c>
      <c r="C73" s="5">
        <f t="shared" si="17"/>
        <v>1.1305136389247432E-2</v>
      </c>
      <c r="D73" s="3">
        <f t="shared" si="18"/>
        <v>5240522.1043294901</v>
      </c>
    </row>
    <row r="74" spans="1:11">
      <c r="A74" t="s">
        <v>71</v>
      </c>
      <c r="B74" s="12">
        <v>14.109005928039551</v>
      </c>
      <c r="C74" s="5">
        <f t="shared" si="17"/>
        <v>8.9575021446632267E-3</v>
      </c>
      <c r="D74" s="3">
        <f t="shared" si="18"/>
        <v>4152270.8238472934</v>
      </c>
      <c r="E74" s="3">
        <f t="shared" si="19"/>
        <v>2110373.5318563567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422074706.37127131</v>
      </c>
      <c r="K74" s="3">
        <f t="shared" ref="K74" si="49">(STDEV(D74:D76)*F74*G74)/H74</f>
        <v>353681335.08842194</v>
      </c>
    </row>
    <row r="75" spans="1:11">
      <c r="A75" t="s">
        <v>71</v>
      </c>
      <c r="B75" s="12">
        <v>16.001296997070312</v>
      </c>
      <c r="C75" s="5">
        <f t="shared" si="17"/>
        <v>2.3158015266668891E-3</v>
      </c>
      <c r="D75" s="3">
        <f t="shared" si="18"/>
        <v>1073495.1505123496</v>
      </c>
    </row>
    <row r="76" spans="1:11">
      <c r="A76" t="s">
        <v>71</v>
      </c>
      <c r="B76" s="12">
        <v>15.960385322570801</v>
      </c>
      <c r="C76" s="5">
        <f t="shared" si="17"/>
        <v>2.3845304919015036E-3</v>
      </c>
      <c r="D76" s="3">
        <f t="shared" si="18"/>
        <v>1105354.6212094268</v>
      </c>
    </row>
    <row r="77" spans="1:11">
      <c r="A77" t="s">
        <v>72</v>
      </c>
      <c r="B77" s="12">
        <v>20.763698577880859</v>
      </c>
      <c r="C77" s="5">
        <f t="shared" si="17"/>
        <v>7.6940288429657537E-5</v>
      </c>
      <c r="D77" s="3">
        <f t="shared" si="18"/>
        <v>35665.848544083579</v>
      </c>
      <c r="E77" s="3">
        <f t="shared" si="19"/>
        <v>57150.803355470947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11430160.67109419</v>
      </c>
      <c r="K77" s="3">
        <f t="shared" ref="K77" si="51">(STDEV(D77:D79)*F77*G77)/H77</f>
        <v>4972473.2142773438</v>
      </c>
    </row>
    <row r="78" spans="1:11">
      <c r="A78" t="s">
        <v>72</v>
      </c>
      <c r="B78" s="12">
        <v>19.559024810791016</v>
      </c>
      <c r="C78" s="5">
        <f t="shared" si="17"/>
        <v>1.8203711624349941E-4</v>
      </c>
      <c r="D78" s="3">
        <f t="shared" si="18"/>
        <v>84383.726001731149</v>
      </c>
    </row>
    <row r="79" spans="1:11">
      <c r="A79" t="s">
        <v>72</v>
      </c>
      <c r="B79" s="12">
        <v>20.252414703369141</v>
      </c>
      <c r="C79" s="5">
        <f t="shared" si="17"/>
        <v>1.1088896388287757E-4</v>
      </c>
      <c r="D79" s="3">
        <f t="shared" si="18"/>
        <v>51402.835520598128</v>
      </c>
    </row>
    <row r="80" spans="1:11">
      <c r="A80" t="s">
        <v>73</v>
      </c>
      <c r="B80" s="12">
        <v>14.296067237854004</v>
      </c>
      <c r="C80" s="5">
        <f t="shared" si="17"/>
        <v>7.8363059242325984E-3</v>
      </c>
      <c r="D80" s="3">
        <f t="shared" si="18"/>
        <v>3632537.7242939034</v>
      </c>
      <c r="E80" s="3">
        <f t="shared" si="19"/>
        <v>4743424.8024768131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948684960.49536264</v>
      </c>
      <c r="K80" s="3">
        <f t="shared" ref="K80" si="53">(STDEV(D80:D82)*F80*G80)/H80</f>
        <v>196805819.20501894</v>
      </c>
    </row>
    <row r="81" spans="1:11">
      <c r="A81" t="s">
        <v>73</v>
      </c>
      <c r="B81" s="12">
        <v>13.823594093322754</v>
      </c>
      <c r="C81" s="5">
        <f t="shared" si="17"/>
        <v>1.098491290774776E-2</v>
      </c>
      <c r="D81" s="3">
        <f t="shared" si="18"/>
        <v>5092081.7693043863</v>
      </c>
    </row>
    <row r="82" spans="1:11">
      <c r="A82" t="s">
        <v>73</v>
      </c>
      <c r="B82" s="12">
        <v>13.714358329772949</v>
      </c>
      <c r="C82" s="5">
        <f t="shared" si="17"/>
        <v>1.1877095158434882E-2</v>
      </c>
      <c r="D82" s="3">
        <f t="shared" si="18"/>
        <v>5505654.9138321495</v>
      </c>
    </row>
    <row r="83" spans="1:11">
      <c r="A83" t="s">
        <v>74</v>
      </c>
      <c r="B83" s="12">
        <v>17.265741348266602</v>
      </c>
      <c r="C83" s="5">
        <f t="shared" si="17"/>
        <v>9.3786141487319072E-4</v>
      </c>
      <c r="D83" s="3">
        <f t="shared" si="18"/>
        <v>434747.82667065755</v>
      </c>
      <c r="E83" s="3">
        <f t="shared" si="19"/>
        <v>361730.69661581592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72346139.323163182</v>
      </c>
      <c r="K83" s="3">
        <f t="shared" ref="K83" si="55">(STDEV(D83:D85)*F83*G83)/H83</f>
        <v>32611385.716918234</v>
      </c>
    </row>
    <row r="84" spans="1:11">
      <c r="A84" t="s">
        <v>74</v>
      </c>
      <c r="B84" s="12">
        <v>17.140348434448242</v>
      </c>
      <c r="C84" s="5">
        <f t="shared" si="17"/>
        <v>1.025813658597945E-3</v>
      </c>
      <c r="D84" s="3">
        <f t="shared" si="18"/>
        <v>475518.29254520795</v>
      </c>
    </row>
    <row r="85" spans="1:11">
      <c r="A85" t="s">
        <v>74</v>
      </c>
      <c r="B85" s="12">
        <v>18.539270401000977</v>
      </c>
      <c r="C85" s="5">
        <f t="shared" si="17"/>
        <v>3.7735972039460618E-4</v>
      </c>
      <c r="D85" s="3">
        <f t="shared" si="18"/>
        <v>174925.97063158237</v>
      </c>
    </row>
    <row r="86" spans="1:11">
      <c r="A86" t="s">
        <v>75</v>
      </c>
      <c r="B86" s="12">
        <v>14.568103790283203</v>
      </c>
      <c r="C86" s="5">
        <f t="shared" si="17"/>
        <v>6.4514035638314014E-3</v>
      </c>
      <c r="D86" s="3">
        <f t="shared" si="18"/>
        <v>2990563.0340174171</v>
      </c>
      <c r="E86" s="3">
        <f t="shared" si="19"/>
        <v>3142851.7214653729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628570344.29307461</v>
      </c>
      <c r="K86" s="3">
        <f t="shared" ref="K86" si="57">(STDEV(D86:D88)*F86*G86)/H86</f>
        <v>35859589.406116977</v>
      </c>
    </row>
    <row r="87" spans="1:11">
      <c r="A87" t="s">
        <v>75</v>
      </c>
      <c r="B87" s="12">
        <v>14.518942832946777</v>
      </c>
      <c r="C87" s="5">
        <f t="shared" si="17"/>
        <v>6.6821596547746174E-3</v>
      </c>
      <c r="D87" s="3">
        <f t="shared" si="18"/>
        <v>3097530.5533519704</v>
      </c>
    </row>
    <row r="88" spans="1:11">
      <c r="A88" t="s">
        <v>75</v>
      </c>
      <c r="B88" s="12">
        <v>14.413323402404785</v>
      </c>
      <c r="C88" s="5">
        <f t="shared" si="17"/>
        <v>7.2062235364160517E-3</v>
      </c>
      <c r="D88" s="3">
        <f t="shared" si="18"/>
        <v>3340461.5770267299</v>
      </c>
    </row>
    <row r="89" spans="1:11">
      <c r="A89" t="s">
        <v>76</v>
      </c>
      <c r="B89" s="12">
        <v>15.025323867797852</v>
      </c>
      <c r="C89" s="5">
        <f t="shared" si="17"/>
        <v>4.6526938930515072E-3</v>
      </c>
      <c r="D89" s="3">
        <f t="shared" si="18"/>
        <v>2156767.0085259685</v>
      </c>
      <c r="E89" s="3">
        <f t="shared" si="19"/>
        <v>3829709.0179373263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765941803.58746529</v>
      </c>
      <c r="K89" s="3">
        <f t="shared" ref="K89" si="59">(STDEV(D89:D91)*F89*G89)/H89</f>
        <v>480993522.93727958</v>
      </c>
    </row>
    <row r="90" spans="1:11">
      <c r="A90" t="s">
        <v>76</v>
      </c>
      <c r="B90" s="12">
        <v>14.687148094177246</v>
      </c>
      <c r="C90" s="5">
        <f t="shared" si="17"/>
        <v>5.925096213734612E-3</v>
      </c>
      <c r="D90" s="3">
        <f t="shared" si="18"/>
        <v>2746592.0453545451</v>
      </c>
    </row>
    <row r="91" spans="1:11">
      <c r="A91" t="s">
        <v>76</v>
      </c>
      <c r="B91" s="12">
        <v>13.463772773742676</v>
      </c>
      <c r="C91" s="5">
        <f t="shared" si="17"/>
        <v>1.4207173252004161E-2</v>
      </c>
      <c r="D91" s="3">
        <f t="shared" si="18"/>
        <v>6585767.9999314649</v>
      </c>
    </row>
    <row r="92" spans="1:11">
      <c r="A92" t="s">
        <v>77</v>
      </c>
      <c r="B92" s="12">
        <v>18.610692977905273</v>
      </c>
      <c r="C92" s="5">
        <f t="shared" si="17"/>
        <v>3.5857623534030165E-4</v>
      </c>
      <c r="D92" s="3">
        <f t="shared" si="18"/>
        <v>166218.84271784491</v>
      </c>
      <c r="E92" s="3">
        <f t="shared" si="19"/>
        <v>456324.6996954403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91264939.939088061</v>
      </c>
      <c r="K92" s="3">
        <f t="shared" ref="K92" si="61">(STDEV(D92:D94)*F92*G92)/H92</f>
        <v>105487037.56939644</v>
      </c>
    </row>
    <row r="93" spans="1:11">
      <c r="A93" t="s">
        <v>77</v>
      </c>
      <c r="B93" s="12">
        <v>16.012239456176758</v>
      </c>
      <c r="C93" s="5">
        <f t="shared" si="17"/>
        <v>2.2977570734243201E-3</v>
      </c>
      <c r="D93" s="3">
        <f t="shared" si="18"/>
        <v>1065130.6025031663</v>
      </c>
    </row>
    <row r="94" spans="1:11">
      <c r="A94" t="s">
        <v>77</v>
      </c>
      <c r="B94" s="12">
        <v>18.874763488769531</v>
      </c>
      <c r="C94" s="5">
        <f t="shared" si="17"/>
        <v>2.9689131187614072E-4</v>
      </c>
      <c r="D94" s="3">
        <f t="shared" si="18"/>
        <v>137624.65386530978</v>
      </c>
    </row>
    <row r="95" spans="1:11">
      <c r="A95" t="s">
        <v>78</v>
      </c>
      <c r="B95" s="12">
        <v>13.666266441345215</v>
      </c>
      <c r="C95" s="5">
        <f t="shared" si="17"/>
        <v>1.229252126417491E-2</v>
      </c>
      <c r="D95" s="3">
        <f t="shared" si="18"/>
        <v>5698226.6453785971</v>
      </c>
      <c r="E95" s="3">
        <f>AVERAGE(D95:D96)</f>
        <v>5245106.1630169135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1049021232.6033827</v>
      </c>
      <c r="K95" s="3">
        <f>(STDEV(D95:D96)*F95*G95)/H95</f>
        <v>128161826.30898647</v>
      </c>
    </row>
    <row r="96" spans="1:11">
      <c r="A96" t="s">
        <v>78</v>
      </c>
      <c r="B96" s="12">
        <v>13.908563613891602</v>
      </c>
      <c r="C96" s="5">
        <f t="shared" ref="C96:C109" si="63">10^((B96-7.513)/(-3.221))</f>
        <v>1.0337529470655572E-2</v>
      </c>
      <c r="D96" s="3">
        <f t="shared" ref="D96:D109" si="64">C96*$B$9</f>
        <v>4791985.6806552289</v>
      </c>
    </row>
    <row r="97" spans="1:11">
      <c r="A97" t="s">
        <v>78</v>
      </c>
      <c r="B97" s="12" t="s">
        <v>83</v>
      </c>
      <c r="C97" s="5" t="e">
        <f t="shared" si="63"/>
        <v>#VALUE!</v>
      </c>
      <c r="D97" s="3" t="e">
        <f t="shared" si="64"/>
        <v>#VALUE!</v>
      </c>
    </row>
    <row r="98" spans="1:11">
      <c r="A98" t="s">
        <v>79</v>
      </c>
      <c r="B98" s="12">
        <v>14.427762985229492</v>
      </c>
      <c r="C98" s="5">
        <f t="shared" si="63"/>
        <v>7.1322207976542941E-3</v>
      </c>
      <c r="D98" s="3">
        <f t="shared" si="64"/>
        <v>3306157.4364211578</v>
      </c>
      <c r="E98" s="3">
        <f t="shared" ref="E98:E107" si="65">AVERAGE(D98:D100)</f>
        <v>3308520.7834464367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6">E98*F98*G98/H98</f>
        <v>661704156.6892873</v>
      </c>
      <c r="K98" s="3">
        <f t="shared" ref="K98" si="67">(STDEV(D98:D100)*F98*G98)/H98</f>
        <v>5395341.0317917103</v>
      </c>
    </row>
    <row r="99" spans="1:11">
      <c r="A99" t="s">
        <v>79</v>
      </c>
      <c r="B99" s="12">
        <v>14.437679290771484</v>
      </c>
      <c r="C99" s="5">
        <f t="shared" si="63"/>
        <v>7.0818404417032008E-3</v>
      </c>
      <c r="D99" s="3">
        <f t="shared" si="64"/>
        <v>3282803.5059690843</v>
      </c>
    </row>
    <row r="100" spans="1:11">
      <c r="A100" t="s">
        <v>79</v>
      </c>
      <c r="B100" s="12">
        <v>14.41494083404541</v>
      </c>
      <c r="C100" s="5">
        <f t="shared" si="63"/>
        <v>7.1978961718825677E-3</v>
      </c>
      <c r="D100" s="3">
        <f t="shared" si="64"/>
        <v>3336601.4079490672</v>
      </c>
    </row>
    <row r="101" spans="1:11">
      <c r="A101" t="s">
        <v>80</v>
      </c>
      <c r="B101" s="12">
        <v>16.308895111083984</v>
      </c>
      <c r="C101" s="5">
        <f t="shared" si="63"/>
        <v>1.8586757337456456E-3</v>
      </c>
      <c r="D101" s="3">
        <f t="shared" si="64"/>
        <v>861593.43258691079</v>
      </c>
      <c r="E101" s="3">
        <f t="shared" si="65"/>
        <v>768354.41625497036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8">E101*F101*G101/H101</f>
        <v>153670883.25099409</v>
      </c>
      <c r="K101" s="3">
        <f t="shared" ref="K101" si="69">(STDEV(D101:D103)*F101*G101)/H101</f>
        <v>33865729.516758762</v>
      </c>
    </row>
    <row r="102" spans="1:11">
      <c r="A102" t="s">
        <v>80</v>
      </c>
      <c r="B102" s="12">
        <v>16.879734039306641</v>
      </c>
      <c r="C102" s="5">
        <f t="shared" si="63"/>
        <v>1.2358890866209923E-3</v>
      </c>
      <c r="D102" s="3">
        <f t="shared" si="64"/>
        <v>572899.24278109835</v>
      </c>
    </row>
    <row r="103" spans="1:11">
      <c r="A103" t="s">
        <v>80</v>
      </c>
      <c r="B103" s="12">
        <v>16.294395446777344</v>
      </c>
      <c r="C103" s="5">
        <f t="shared" si="63"/>
        <v>1.87804170515498E-3</v>
      </c>
      <c r="D103" s="3">
        <f t="shared" si="64"/>
        <v>870570.57339690195</v>
      </c>
    </row>
    <row r="104" spans="1:11">
      <c r="A104" t="s">
        <v>81</v>
      </c>
      <c r="B104" s="12">
        <v>13.932070732116699</v>
      </c>
      <c r="C104" s="5">
        <f t="shared" si="63"/>
        <v>1.0165264416231617E-2</v>
      </c>
      <c r="D104" s="3">
        <f t="shared" si="64"/>
        <v>4712131.8164974386</v>
      </c>
      <c r="E104" s="3">
        <f t="shared" si="65"/>
        <v>4343147.1394602479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70">E104*F104*G104/H104</f>
        <v>868629427.89204955</v>
      </c>
      <c r="K104" s="3">
        <f t="shared" ref="K104" si="71">(STDEV(D104:D106)*F104*G104)/H104</f>
        <v>103011205.75308041</v>
      </c>
    </row>
    <row r="105" spans="1:11">
      <c r="A105" t="s">
        <v>81</v>
      </c>
      <c r="B105" s="12">
        <v>14.24979305267334</v>
      </c>
      <c r="C105" s="5">
        <f t="shared" si="63"/>
        <v>8.0998650931561784E-3</v>
      </c>
      <c r="D105" s="3">
        <f t="shared" si="64"/>
        <v>3754711.1862484547</v>
      </c>
    </row>
    <row r="106" spans="1:11">
      <c r="A106" t="s">
        <v>81</v>
      </c>
      <c r="B106" s="12">
        <v>13.977181434631348</v>
      </c>
      <c r="C106" s="5">
        <f t="shared" si="63"/>
        <v>9.8426829142658195E-3</v>
      </c>
      <c r="D106" s="3">
        <f t="shared" si="64"/>
        <v>4562598.415634851</v>
      </c>
    </row>
    <row r="107" spans="1:11">
      <c r="A107" t="s">
        <v>82</v>
      </c>
      <c r="B107" s="12">
        <v>13.122081756591797</v>
      </c>
      <c r="C107" s="5">
        <f t="shared" si="63"/>
        <v>1.8138023259686054E-2</v>
      </c>
      <c r="D107" s="3">
        <f t="shared" si="64"/>
        <v>8407922.6068987492</v>
      </c>
      <c r="E107" s="3">
        <f t="shared" si="65"/>
        <v>5218515.4086229177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2">E107*F107*G107/H107</f>
        <v>1043703081.7245835</v>
      </c>
      <c r="K107" s="3">
        <f t="shared" ref="K107" si="73">(STDEV(D107:D109)*F107*G107)/H107</f>
        <v>578540765.01938725</v>
      </c>
    </row>
    <row r="108" spans="1:11">
      <c r="A108" t="s">
        <v>82</v>
      </c>
      <c r="B108" s="12">
        <v>14.001748085021973</v>
      </c>
      <c r="C108" s="5">
        <f t="shared" si="63"/>
        <v>9.6713359274136785E-3</v>
      </c>
      <c r="D108" s="3">
        <f t="shared" si="64"/>
        <v>4483170.1238220287</v>
      </c>
    </row>
    <row r="109" spans="1:11">
      <c r="A109" t="s">
        <v>82</v>
      </c>
      <c r="B109" s="12">
        <v>14.678080558776855</v>
      </c>
      <c r="C109" s="5">
        <f t="shared" si="63"/>
        <v>5.963627894739758E-3</v>
      </c>
      <c r="D109" s="3">
        <f t="shared" si="64"/>
        <v>2764453.495147977</v>
      </c>
    </row>
  </sheetData>
  <mergeCells count="11">
    <mergeCell ref="G13:G14"/>
    <mergeCell ref="B13:B14"/>
    <mergeCell ref="C13:C14"/>
    <mergeCell ref="D13:D14"/>
    <mergeCell ref="E13:E14"/>
    <mergeCell ref="F13:F14"/>
    <mergeCell ref="H13:H14"/>
    <mergeCell ref="I13:I14"/>
    <mergeCell ref="J13:J14"/>
    <mergeCell ref="K13:K14"/>
    <mergeCell ref="L13:L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151B-167D-684A-9447-2C11343986DE}">
  <dimension ref="A1:Q109"/>
  <sheetViews>
    <sheetView topLeftCell="A77" zoomScale="120" zoomScaleNormal="120" workbookViewId="0">
      <selection activeCell="J107" sqref="J107:K107"/>
    </sheetView>
  </sheetViews>
  <sheetFormatPr baseColWidth="10" defaultRowHeight="15"/>
  <cols>
    <col min="1" max="1" width="34.140625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.42578125" style="2" customWidth="1"/>
    <col min="9" max="9" width="11" style="2" customWidth="1"/>
    <col min="10" max="10" width="18" style="2" customWidth="1"/>
    <col min="11" max="11" width="11.140625" style="2" customWidth="1"/>
    <col min="12" max="12" width="12.7109375" style="2" customWidth="1"/>
    <col min="13" max="16384" width="10.7109375" style="2"/>
  </cols>
  <sheetData>
    <row r="1" spans="1:16">
      <c r="A1" s="2" t="s">
        <v>55</v>
      </c>
    </row>
    <row r="2" spans="1:16">
      <c r="A2" s="2" t="s">
        <v>56</v>
      </c>
    </row>
    <row r="3" spans="1:16">
      <c r="A3" s="2" t="s">
        <v>53</v>
      </c>
    </row>
    <row r="5" spans="1:16">
      <c r="A5" s="2" t="s">
        <v>155</v>
      </c>
      <c r="B5" s="3">
        <v>1500</v>
      </c>
      <c r="D5" s="2" t="s">
        <v>12</v>
      </c>
    </row>
    <row r="6" spans="1:16" ht="17">
      <c r="A6" s="2" t="s">
        <v>8</v>
      </c>
      <c r="B6" s="3">
        <v>1.096E-21</v>
      </c>
      <c r="D6" s="2" t="s">
        <v>11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156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157</v>
      </c>
      <c r="B8" s="3">
        <v>7.6207999999999981E-10</v>
      </c>
      <c r="D8" s="2" t="s">
        <v>15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158</v>
      </c>
      <c r="B9" s="3">
        <f>B8/B7</f>
        <v>463552311.43552303</v>
      </c>
      <c r="D9" s="2" t="s">
        <v>16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10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13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5" t="s">
        <v>1</v>
      </c>
      <c r="C13" s="16" t="s">
        <v>9</v>
      </c>
      <c r="D13" s="16" t="s">
        <v>14</v>
      </c>
      <c r="E13" s="16" t="s">
        <v>4</v>
      </c>
      <c r="F13" s="16" t="s">
        <v>5</v>
      </c>
      <c r="G13" s="16" t="s">
        <v>7</v>
      </c>
      <c r="H13" s="16" t="s">
        <v>159</v>
      </c>
      <c r="I13" s="16" t="s">
        <v>6</v>
      </c>
      <c r="J13" s="16" t="s">
        <v>160</v>
      </c>
      <c r="K13" s="14" t="s">
        <v>17</v>
      </c>
      <c r="L13" s="14"/>
      <c r="M13" s="1"/>
      <c r="N13" s="1"/>
      <c r="O13" s="1"/>
      <c r="P13" s="1"/>
    </row>
    <row r="14" spans="1:16">
      <c r="B14" s="15"/>
      <c r="C14" s="16"/>
      <c r="D14" s="16"/>
      <c r="E14" s="16"/>
      <c r="F14" s="16"/>
      <c r="G14" s="16"/>
      <c r="H14" s="16"/>
      <c r="I14" s="16"/>
      <c r="J14" s="16"/>
      <c r="K14" s="14"/>
      <c r="L14" s="14"/>
      <c r="M14" s="1"/>
      <c r="N14" s="1"/>
      <c r="O14" s="1"/>
      <c r="P14" s="1"/>
    </row>
    <row r="15" spans="1:16">
      <c r="A15" s="2" t="s">
        <v>49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18</v>
      </c>
      <c r="B16" s="12">
        <v>8.5788116455078125</v>
      </c>
      <c r="C16" s="5">
        <f>10^((B16-8.087)/(-3.37))</f>
        <v>0.71459804917152236</v>
      </c>
      <c r="D16" s="3">
        <f>C16*$B$9</f>
        <v>331253577.44077474</v>
      </c>
      <c r="E16" s="3">
        <f t="shared" ref="E16" si="0">AVERAGE(D16:D18)</f>
        <v>388354028.1129902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411391978.93325227</v>
      </c>
      <c r="K16" s="3">
        <f t="shared" ref="K16" si="2">(STDEV(D16:D18)*F16*G16)/H16</f>
        <v>54083106.426840268</v>
      </c>
      <c r="L16" s="6"/>
      <c r="M16" s="1"/>
      <c r="N16" s="1"/>
      <c r="O16" s="1"/>
      <c r="P16" s="1"/>
    </row>
    <row r="17" spans="1:16">
      <c r="B17" s="12">
        <v>8.1983222961425781</v>
      </c>
      <c r="C17" s="5">
        <f t="shared" ref="C17:C30" si="3">10^((B17-8.087)/(-3.37))</f>
        <v>0.92675871284123301</v>
      </c>
      <c r="D17" s="3">
        <f t="shared" ref="D17:D30" si="4">C17*$B$9</f>
        <v>429601143.4805637</v>
      </c>
      <c r="L17" s="6"/>
      <c r="M17" s="1"/>
      <c r="N17" s="1"/>
      <c r="O17" s="1"/>
      <c r="P17" s="1"/>
    </row>
    <row r="18" spans="1:16">
      <c r="B18" s="12">
        <v>8.2874965667724609</v>
      </c>
      <c r="C18" s="5">
        <f t="shared" si="3"/>
        <v>0.87197788350119088</v>
      </c>
      <c r="D18" s="3">
        <f t="shared" si="4"/>
        <v>404207363.41763228</v>
      </c>
      <c r="L18" s="6"/>
      <c r="M18" s="1"/>
      <c r="N18" s="1"/>
      <c r="O18" s="1"/>
      <c r="P18" s="1"/>
    </row>
    <row r="19" spans="1:16">
      <c r="A19" s="2" t="s">
        <v>19</v>
      </c>
      <c r="B19" s="12">
        <v>10.329154014587402</v>
      </c>
      <c r="C19" s="5">
        <f t="shared" si="3"/>
        <v>0.21610877383463351</v>
      </c>
      <c r="D19" s="3">
        <f t="shared" si="4"/>
        <v>100177721.63254105</v>
      </c>
      <c r="E19" s="3">
        <f t="shared" ref="E19" si="5">AVERAGE(D19:D21)</f>
        <v>102235227.03543313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541500143.19614995</v>
      </c>
      <c r="K19" s="3">
        <f t="shared" ref="K19" si="7">(STDEV(D19:D21)*F19*G19)/H19</f>
        <v>61615883.540641844</v>
      </c>
      <c r="L19" s="6"/>
      <c r="M19" s="1"/>
      <c r="N19" s="1"/>
      <c r="O19" s="1"/>
      <c r="P19" s="1"/>
    </row>
    <row r="20" spans="1:16">
      <c r="B20" s="12">
        <v>10.130261421203613</v>
      </c>
      <c r="C20" s="5">
        <f t="shared" si="3"/>
        <v>0.247565984747975</v>
      </c>
      <c r="D20" s="3">
        <f t="shared" si="4"/>
        <v>114759784.46273525</v>
      </c>
      <c r="L20" s="6"/>
      <c r="M20" s="1"/>
      <c r="N20" s="1"/>
      <c r="O20" s="1"/>
      <c r="P20" s="1"/>
    </row>
    <row r="21" spans="1:16">
      <c r="B21" s="12">
        <v>10.457480430603027</v>
      </c>
      <c r="C21" s="5">
        <f t="shared" si="3"/>
        <v>0.19796724716318762</v>
      </c>
      <c r="D21" s="3">
        <f t="shared" si="4"/>
        <v>91768175.011023104</v>
      </c>
      <c r="L21" s="6"/>
      <c r="M21" s="1"/>
      <c r="N21" s="1"/>
      <c r="O21" s="1"/>
      <c r="P21" s="1"/>
    </row>
    <row r="22" spans="1:16">
      <c r="A22" s="2" t="s">
        <v>20</v>
      </c>
      <c r="B22" s="12">
        <v>14.321028709411621</v>
      </c>
      <c r="C22" s="5">
        <f t="shared" si="3"/>
        <v>1.4129924745223774E-2</v>
      </c>
      <c r="D22" s="3">
        <f t="shared" si="4"/>
        <v>6549959.2760584746</v>
      </c>
      <c r="E22" s="3">
        <f t="shared" ref="E22" si="8">AVERAGE(D22:D24)</f>
        <v>7426430.5604465948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196674538.14742038</v>
      </c>
      <c r="K22" s="3">
        <f t="shared" ref="K22" si="10">(STDEV(D22:D24)*F22*G22)/H22</f>
        <v>20419507.202705357</v>
      </c>
      <c r="L22" s="6"/>
      <c r="M22" s="1"/>
      <c r="N22" s="1"/>
      <c r="O22" s="1"/>
      <c r="P22" s="1"/>
    </row>
    <row r="23" spans="1:16">
      <c r="B23" s="12">
        <v>14.078740119934082</v>
      </c>
      <c r="C23" s="5">
        <f t="shared" si="3"/>
        <v>1.6673837810535861E-2</v>
      </c>
      <c r="D23" s="3">
        <f t="shared" si="4"/>
        <v>7729196.0575749185</v>
      </c>
      <c r="L23" s="6"/>
      <c r="M23" s="1"/>
      <c r="N23" s="1"/>
      <c r="O23" s="1"/>
      <c r="P23" s="1"/>
    </row>
    <row r="24" spans="1:16">
      <c r="B24" s="12">
        <v>14.028314590454102</v>
      </c>
      <c r="C24" s="5">
        <f t="shared" si="3"/>
        <v>1.7258324789561876E-2</v>
      </c>
      <c r="D24" s="3">
        <f t="shared" si="4"/>
        <v>8000136.3477063943</v>
      </c>
      <c r="L24" s="6"/>
      <c r="M24" s="1"/>
      <c r="N24" s="1"/>
      <c r="O24" s="1"/>
      <c r="P24" s="1"/>
    </row>
    <row r="25" spans="1:16">
      <c r="A25" s="2" t="s">
        <v>21</v>
      </c>
      <c r="B25" s="12">
        <v>15.712059020996094</v>
      </c>
      <c r="C25" s="5">
        <f t="shared" si="3"/>
        <v>5.4622454349586508E-3</v>
      </c>
      <c r="D25" s="3">
        <f t="shared" si="4"/>
        <v>2532036.4970032163</v>
      </c>
      <c r="E25" s="3">
        <f t="shared" ref="E25" si="11">AVERAGE(D25:D27)</f>
        <v>2350245.145946478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311208308.52045524</v>
      </c>
      <c r="K25" s="3">
        <f t="shared" ref="K25" si="13">(STDEV(D25:D27)*F25*G25)/H25</f>
        <v>20971939.906839401</v>
      </c>
      <c r="L25" s="6"/>
      <c r="M25" s="1"/>
      <c r="N25" s="1"/>
      <c r="O25" s="1"/>
      <c r="P25" s="1"/>
    </row>
    <row r="26" spans="1:16">
      <c r="B26" s="12">
        <v>15.867685317993164</v>
      </c>
      <c r="C26" s="5">
        <f t="shared" si="3"/>
        <v>4.9112416144631438E-3</v>
      </c>
      <c r="D26" s="3">
        <f t="shared" si="4"/>
        <v>2276617.4024027199</v>
      </c>
      <c r="L26" s="6"/>
      <c r="M26" s="1"/>
      <c r="N26" s="1"/>
      <c r="O26" s="1"/>
      <c r="P26" s="1"/>
    </row>
    <row r="27" spans="1:16">
      <c r="B27" s="12">
        <v>15.890057563781738</v>
      </c>
      <c r="C27" s="5">
        <f t="shared" si="3"/>
        <v>4.8367389895872769E-3</v>
      </c>
      <c r="D27" s="3">
        <f t="shared" si="4"/>
        <v>2242081.5384334982</v>
      </c>
      <c r="L27" s="6"/>
      <c r="M27" s="1"/>
      <c r="N27" s="1"/>
      <c r="O27" s="1"/>
      <c r="P27" s="1"/>
    </row>
    <row r="28" spans="1:16">
      <c r="A28" s="2" t="s">
        <v>22</v>
      </c>
      <c r="B28" s="12">
        <v>17.394968032836914</v>
      </c>
      <c r="C28" s="5">
        <f t="shared" si="3"/>
        <v>1.7297832271367956E-3</v>
      </c>
      <c r="D28" s="3">
        <f t="shared" si="4"/>
        <v>801845.01322165993</v>
      </c>
      <c r="E28" s="3">
        <f t="shared" ref="E28" si="14">AVERAGE(D28:D30)</f>
        <v>812904.10000125133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538204515.36099792</v>
      </c>
      <c r="K28" s="3">
        <f t="shared" ref="K28" si="16">(STDEV(D28:D30)*F28*G28)/H28</f>
        <v>11512835.61298144</v>
      </c>
      <c r="L28" s="7"/>
      <c r="M28" s="1"/>
      <c r="N28" s="1"/>
      <c r="O28" s="1"/>
      <c r="P28" s="7"/>
    </row>
    <row r="29" spans="1:16">
      <c r="B29" s="12">
        <v>17.339271545410156</v>
      </c>
      <c r="C29" s="5">
        <f t="shared" si="3"/>
        <v>1.7968789839020113E-3</v>
      </c>
      <c r="D29" s="3">
        <f t="shared" si="4"/>
        <v>832947.40635769127</v>
      </c>
      <c r="L29" s="7"/>
      <c r="M29" s="1"/>
      <c r="N29" s="1"/>
      <c r="O29" s="1"/>
      <c r="P29" s="7"/>
    </row>
    <row r="30" spans="1:16">
      <c r="B30" s="12">
        <v>17.391185760498047</v>
      </c>
      <c r="C30" s="5">
        <f t="shared" si="3"/>
        <v>1.7342592423600122E-3</v>
      </c>
      <c r="D30" s="3">
        <f t="shared" si="4"/>
        <v>803919.88042440254</v>
      </c>
      <c r="L30" s="7"/>
      <c r="M30" s="1"/>
      <c r="N30" s="1"/>
      <c r="O30" s="1"/>
      <c r="P30" s="7"/>
    </row>
    <row r="31" spans="1:16">
      <c r="A31" s="2" t="s">
        <v>50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84</v>
      </c>
      <c r="B32" s="12">
        <v>14.218976974487305</v>
      </c>
      <c r="C32" s="5">
        <f t="shared" ref="C32:C95" si="17">10^((B32-8.087)/(-3.37))</f>
        <v>1.5150335935612037E-2</v>
      </c>
      <c r="D32" s="3">
        <f t="shared" ref="D32:D95" si="18">C32*$B$9</f>
        <v>7022973.2419776274</v>
      </c>
      <c r="E32" s="3">
        <f t="shared" ref="E32:E95" si="19">AVERAGE(D32:D34)</f>
        <v>7164951.2726216651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1432990254.524333</v>
      </c>
      <c r="K32" s="3">
        <f t="shared" ref="K32" si="21">(STDEV(D32:D34)*F32*G32)/H32</f>
        <v>111948497.88033246</v>
      </c>
    </row>
    <row r="33" spans="1:17">
      <c r="A33" t="s">
        <v>84</v>
      </c>
      <c r="B33" s="12">
        <v>14.06877326965332</v>
      </c>
      <c r="C33" s="5">
        <f t="shared" si="17"/>
        <v>1.6787773266675715E-2</v>
      </c>
      <c r="D33" s="3">
        <f t="shared" si="18"/>
        <v>7782011.101623009</v>
      </c>
    </row>
    <row r="34" spans="1:17">
      <c r="A34" t="s">
        <v>84</v>
      </c>
      <c r="B34" s="12">
        <v>14.290095329284668</v>
      </c>
      <c r="C34" s="5">
        <f t="shared" si="17"/>
        <v>1.4431746556385953E-2</v>
      </c>
      <c r="D34" s="3">
        <f t="shared" si="18"/>
        <v>6689869.4742643582</v>
      </c>
    </row>
    <row r="35" spans="1:17">
      <c r="A35" t="s">
        <v>85</v>
      </c>
      <c r="B35" s="12">
        <v>20.131853103637695</v>
      </c>
      <c r="C35" s="5">
        <f t="shared" si="17"/>
        <v>2.6659967347461534E-4</v>
      </c>
      <c r="D35" s="3">
        <f t="shared" si="18"/>
        <v>123582.89486711363</v>
      </c>
      <c r="E35" s="3">
        <f t="shared" si="19"/>
        <v>105429.40134837768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21085880.269675534</v>
      </c>
      <c r="K35" s="3">
        <f t="shared" ref="K35" si="23">(STDEV(D35:D37)*F35*G35)/H35</f>
        <v>3182792.9932404035</v>
      </c>
    </row>
    <row r="36" spans="1:17">
      <c r="A36" t="s">
        <v>85</v>
      </c>
      <c r="B36" s="12">
        <v>20.459112167358398</v>
      </c>
      <c r="C36" s="5">
        <f t="shared" si="17"/>
        <v>2.1318178716567049E-4</v>
      </c>
      <c r="D36" s="3">
        <f t="shared" si="18"/>
        <v>98820.910196602272</v>
      </c>
    </row>
    <row r="37" spans="1:17">
      <c r="A37" t="s">
        <v>85</v>
      </c>
      <c r="B37" s="12">
        <v>20.534112930297852</v>
      </c>
      <c r="C37" s="5">
        <f t="shared" si="17"/>
        <v>2.0253247943188352E-4</v>
      </c>
      <c r="D37" s="3">
        <f t="shared" si="18"/>
        <v>93884.398981417136</v>
      </c>
    </row>
    <row r="38" spans="1:17">
      <c r="A38" t="s">
        <v>86</v>
      </c>
      <c r="B38" s="12">
        <v>15.796330451965332</v>
      </c>
      <c r="C38" s="5">
        <f t="shared" si="17"/>
        <v>5.1566167033526185E-3</v>
      </c>
      <c r="D38" s="3">
        <f t="shared" si="18"/>
        <v>2390361.5920261331</v>
      </c>
      <c r="E38" s="3">
        <f t="shared" si="19"/>
        <v>2343964.3684608079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468792873.69216156</v>
      </c>
      <c r="K38" s="3">
        <f t="shared" ref="K38" si="25">(STDEV(D38:D40)*F38*G38)/H38</f>
        <v>16706851.148664881</v>
      </c>
    </row>
    <row r="39" spans="1:17">
      <c r="A39" t="s">
        <v>86</v>
      </c>
      <c r="B39" s="12">
        <v>15.886505126953125</v>
      </c>
      <c r="C39" s="5">
        <f t="shared" si="17"/>
        <v>4.8484931598610156E-3</v>
      </c>
      <c r="D39" s="3">
        <f t="shared" si="18"/>
        <v>2247530.2112328969</v>
      </c>
    </row>
    <row r="40" spans="1:17">
      <c r="A40" t="s">
        <v>86</v>
      </c>
      <c r="B40" s="12">
        <v>15.794103622436523</v>
      </c>
      <c r="C40" s="5">
        <f t="shared" si="17"/>
        <v>5.1644684819059155E-3</v>
      </c>
      <c r="D40" s="3">
        <f t="shared" si="18"/>
        <v>2394001.3021233939</v>
      </c>
    </row>
    <row r="41" spans="1:17">
      <c r="A41" t="s">
        <v>87</v>
      </c>
      <c r="B41" s="12">
        <v>14.976943969726562</v>
      </c>
      <c r="C41" s="5">
        <f t="shared" si="17"/>
        <v>9.026226772873517E-3</v>
      </c>
      <c r="D41" s="3">
        <f t="shared" si="18"/>
        <v>4184128.2841067207</v>
      </c>
      <c r="E41" s="3">
        <f t="shared" si="19"/>
        <v>5678042.1545762494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1135608430.9152498</v>
      </c>
      <c r="K41" s="3">
        <f t="shared" ref="K41" si="27">(STDEV(D41:D43)*F41*G41)/H41</f>
        <v>588535218.34173453</v>
      </c>
      <c r="M41" s="8"/>
      <c r="N41" s="1"/>
      <c r="O41" s="1"/>
      <c r="P41" s="1"/>
      <c r="Q41" s="9"/>
    </row>
    <row r="42" spans="1:17">
      <c r="A42" t="s">
        <v>87</v>
      </c>
      <c r="B42" s="12">
        <v>15.124835968017578</v>
      </c>
      <c r="C42" s="5">
        <f t="shared" si="17"/>
        <v>8.1587077080437654E-3</v>
      </c>
      <c r="D42" s="3">
        <f t="shared" si="18"/>
        <v>3781987.816390506</v>
      </c>
    </row>
    <row r="43" spans="1:17">
      <c r="A43" t="s">
        <v>87</v>
      </c>
      <c r="B43" s="12">
        <v>13.844937324523926</v>
      </c>
      <c r="C43" s="5">
        <f t="shared" si="17"/>
        <v>1.9562000101239534E-2</v>
      </c>
      <c r="D43" s="3">
        <f t="shared" si="18"/>
        <v>9068010.3632315211</v>
      </c>
    </row>
    <row r="44" spans="1:17">
      <c r="A44" t="s">
        <v>88</v>
      </c>
      <c r="B44" s="12">
        <v>18.007328033447266</v>
      </c>
      <c r="C44" s="5">
        <f t="shared" si="17"/>
        <v>1.1383674852197495E-3</v>
      </c>
      <c r="D44" s="3">
        <f t="shared" si="18"/>
        <v>527692.87903665844</v>
      </c>
      <c r="E44" s="3">
        <f t="shared" si="19"/>
        <v>523551.26498813805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104710252.99762762</v>
      </c>
      <c r="K44" s="3">
        <f t="shared" ref="K44" si="29">(STDEV(D44:D46)*F44*G44)/H44</f>
        <v>4412746.623029246</v>
      </c>
    </row>
    <row r="45" spans="1:17">
      <c r="A45" t="s">
        <v>88</v>
      </c>
      <c r="B45" s="12">
        <v>17.964801788330078</v>
      </c>
      <c r="C45" s="5">
        <f t="shared" si="17"/>
        <v>1.1719296618074558E-3</v>
      </c>
      <c r="D45" s="3">
        <f t="shared" si="18"/>
        <v>543250.70357069687</v>
      </c>
    </row>
    <row r="46" spans="1:17">
      <c r="A46" t="s">
        <v>88</v>
      </c>
      <c r="B46" s="12">
        <v>18.087072372436523</v>
      </c>
      <c r="C46" s="5">
        <f t="shared" si="17"/>
        <v>1.0780017703062733E-3</v>
      </c>
      <c r="D46" s="3">
        <f t="shared" si="18"/>
        <v>499710.21235705877</v>
      </c>
    </row>
    <row r="47" spans="1:17">
      <c r="A47" t="s">
        <v>89</v>
      </c>
      <c r="B47" s="12">
        <v>14.668562889099121</v>
      </c>
      <c r="C47" s="5">
        <f t="shared" si="17"/>
        <v>1.1143304021719751E-2</v>
      </c>
      <c r="D47" s="3">
        <f t="shared" si="18"/>
        <v>5165504.3362969505</v>
      </c>
      <c r="E47" s="3">
        <f t="shared" si="19"/>
        <v>5125143.4186707186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1025028683.7341437</v>
      </c>
      <c r="K47" s="3">
        <f t="shared" ref="K47" si="31">(STDEV(D47:D49)*F47*G47)/H47</f>
        <v>9099181.637376111</v>
      </c>
    </row>
    <row r="48" spans="1:17">
      <c r="A48" t="s">
        <v>89</v>
      </c>
      <c r="B48" s="12">
        <v>14.677492141723633</v>
      </c>
      <c r="C48" s="5">
        <f t="shared" si="17"/>
        <v>1.1075525711685451E-2</v>
      </c>
      <c r="D48" s="3">
        <f t="shared" si="18"/>
        <v>5134085.5440153573</v>
      </c>
    </row>
    <row r="49" spans="1:11">
      <c r="A49" t="s">
        <v>89</v>
      </c>
      <c r="B49" s="12">
        <v>14.694190979003906</v>
      </c>
      <c r="C49" s="5">
        <f t="shared" si="17"/>
        <v>1.0949876099163543E-2</v>
      </c>
      <c r="D49" s="3">
        <f t="shared" si="18"/>
        <v>5075840.3756998489</v>
      </c>
    </row>
    <row r="50" spans="1:11">
      <c r="A50" t="s">
        <v>90</v>
      </c>
      <c r="B50" s="12">
        <v>14.680018424987793</v>
      </c>
      <c r="C50" s="5">
        <f t="shared" si="17"/>
        <v>1.1056424653966505E-2</v>
      </c>
      <c r="D50" s="3">
        <f t="shared" si="18"/>
        <v>5125231.2045588763</v>
      </c>
      <c r="E50" s="3">
        <f t="shared" si="19"/>
        <v>6602664.1561796041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1320532831.2359209</v>
      </c>
      <c r="K50" s="3">
        <f t="shared" ref="K50" si="33">(STDEV(D50:D52)*F50*G50)/H50</f>
        <v>559197619.73934162</v>
      </c>
    </row>
    <row r="51" spans="1:11">
      <c r="A51" t="s">
        <v>90</v>
      </c>
      <c r="B51" s="12">
        <v>13.727230072021484</v>
      </c>
      <c r="C51" s="5">
        <f t="shared" si="17"/>
        <v>2.1200261843771016E-2</v>
      </c>
      <c r="D51" s="3">
        <f t="shared" si="18"/>
        <v>9827430.3807183784</v>
      </c>
    </row>
    <row r="52" spans="1:11">
      <c r="A52" t="s">
        <v>90</v>
      </c>
      <c r="B52" s="12">
        <v>14.759195327758789</v>
      </c>
      <c r="C52" s="5">
        <f t="shared" si="17"/>
        <v>1.0474181151692734E-2</v>
      </c>
      <c r="D52" s="3">
        <f t="shared" si="18"/>
        <v>4855330.8832615558</v>
      </c>
    </row>
    <row r="53" spans="1:11">
      <c r="A53" t="s">
        <v>91</v>
      </c>
      <c r="B53" s="12">
        <v>14.948104858398438</v>
      </c>
      <c r="C53" s="5">
        <f t="shared" si="17"/>
        <v>9.2058488555789887E-3</v>
      </c>
      <c r="D53" s="3">
        <f t="shared" si="18"/>
        <v>4267392.5157297049</v>
      </c>
      <c r="E53" s="3">
        <f t="shared" si="19"/>
        <v>4435631.3315600762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887126266.3120153</v>
      </c>
      <c r="K53" s="3">
        <f t="shared" ref="K53" si="35">(STDEV(D53:D55)*F53*G53)/H53</f>
        <v>29140425.370912295</v>
      </c>
    </row>
    <row r="54" spans="1:11">
      <c r="A54" t="s">
        <v>91</v>
      </c>
      <c r="B54" s="12">
        <v>14.864321708679199</v>
      </c>
      <c r="C54" s="5">
        <f t="shared" si="17"/>
        <v>9.7482197108805322E-3</v>
      </c>
      <c r="D54" s="3">
        <f t="shared" si="18"/>
        <v>4518809.7793599963</v>
      </c>
    </row>
    <row r="55" spans="1:11">
      <c r="A55" t="s">
        <v>91</v>
      </c>
      <c r="B55" s="12">
        <v>14.863712310791016</v>
      </c>
      <c r="C55" s="5">
        <f t="shared" si="17"/>
        <v>9.752279490508645E-3</v>
      </c>
      <c r="D55" s="3">
        <f t="shared" si="18"/>
        <v>4520691.6995905275</v>
      </c>
    </row>
    <row r="56" spans="1:11">
      <c r="A56" t="s">
        <v>92</v>
      </c>
      <c r="B56" s="12">
        <v>13.813934326171875</v>
      </c>
      <c r="C56" s="5">
        <f t="shared" si="17"/>
        <v>1.9980803997252296E-2</v>
      </c>
      <c r="D56" s="3">
        <f t="shared" si="18"/>
        <v>9262147.8772664405</v>
      </c>
      <c r="E56" s="3">
        <f t="shared" si="19"/>
        <v>7619776.3697015457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1523955273.940309</v>
      </c>
      <c r="K56" s="3">
        <f t="shared" ref="K56" si="37">(STDEV(D56:D58)*F56*G56)/H56</f>
        <v>287794970.44267035</v>
      </c>
    </row>
    <row r="57" spans="1:11">
      <c r="A57" t="s">
        <v>92</v>
      </c>
      <c r="B57" s="12">
        <v>14.220266342163086</v>
      </c>
      <c r="C57" s="5">
        <f t="shared" si="17"/>
        <v>1.5136994777165083E-2</v>
      </c>
      <c r="D57" s="3">
        <f t="shared" si="18"/>
        <v>7016788.9171423139</v>
      </c>
    </row>
    <row r="58" spans="1:11">
      <c r="A58" t="s">
        <v>92</v>
      </c>
      <c r="B58" s="12">
        <v>14.314244270324707</v>
      </c>
      <c r="C58" s="5">
        <f t="shared" si="17"/>
        <v>1.4195576534432125E-2</v>
      </c>
      <c r="D58" s="3">
        <f t="shared" si="18"/>
        <v>6580392.3146958835</v>
      </c>
    </row>
    <row r="59" spans="1:11">
      <c r="A59" t="s">
        <v>93</v>
      </c>
      <c r="B59" s="12">
        <v>14.452964782714844</v>
      </c>
      <c r="C59" s="5">
        <f t="shared" si="17"/>
        <v>1.291188587343422E-2</v>
      </c>
      <c r="D59" s="3">
        <f t="shared" si="18"/>
        <v>5985334.5416221097</v>
      </c>
      <c r="E59" s="3">
        <f t="shared" si="19"/>
        <v>8020894.8107057391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1604178962.1411479</v>
      </c>
      <c r="K59" s="3">
        <f t="shared" ref="K59" si="39">(STDEV(D59:D61)*F59*G59)/H59</f>
        <v>656540331.06002378</v>
      </c>
    </row>
    <row r="60" spans="1:11">
      <c r="A60" t="s">
        <v>93</v>
      </c>
      <c r="B60" s="12">
        <v>13.45853328704834</v>
      </c>
      <c r="C60" s="5">
        <f t="shared" si="17"/>
        <v>2.5472596054269183E-2</v>
      </c>
      <c r="D60" s="3">
        <f t="shared" si="18"/>
        <v>11807880.779219864</v>
      </c>
    </row>
    <row r="61" spans="1:11">
      <c r="A61" t="s">
        <v>93</v>
      </c>
      <c r="B61" s="12">
        <v>14.385085105895996</v>
      </c>
      <c r="C61" s="5">
        <f t="shared" si="17"/>
        <v>1.3524836262513778E-2</v>
      </c>
      <c r="D61" s="3">
        <f t="shared" si="18"/>
        <v>6269469.1112752426</v>
      </c>
    </row>
    <row r="62" spans="1:11">
      <c r="A62" t="s">
        <v>94</v>
      </c>
      <c r="B62" s="12">
        <v>18.096899032592773</v>
      </c>
      <c r="C62" s="5">
        <f t="shared" si="17"/>
        <v>1.0707881371485818E-3</v>
      </c>
      <c r="D62" s="3">
        <f t="shared" si="18"/>
        <v>496366.31603296293</v>
      </c>
      <c r="E62" s="3">
        <f t="shared" si="19"/>
        <v>483807.96031941992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96761592.06388399</v>
      </c>
      <c r="K62" s="3">
        <f t="shared" ref="K62" si="41">(STDEV(D62:D64)*F62*G62)/H62</f>
        <v>18098905.877744183</v>
      </c>
    </row>
    <row r="63" spans="1:11">
      <c r="A63" t="s">
        <v>94</v>
      </c>
      <c r="B63" s="12">
        <v>17.901229858398438</v>
      </c>
      <c r="C63" s="5">
        <f t="shared" si="17"/>
        <v>1.2239554786707858E-3</v>
      </c>
      <c r="D63" s="3">
        <f t="shared" si="18"/>
        <v>567367.39123201475</v>
      </c>
    </row>
    <row r="64" spans="1:11">
      <c r="A64" t="s">
        <v>94</v>
      </c>
      <c r="B64" s="12">
        <v>18.458559036254883</v>
      </c>
      <c r="C64" s="5">
        <f t="shared" si="17"/>
        <v>8.363461126807628E-4</v>
      </c>
      <c r="D64" s="3">
        <f t="shared" si="18"/>
        <v>387690.17369328201</v>
      </c>
    </row>
    <row r="65" spans="1:11">
      <c r="A65" t="s">
        <v>95</v>
      </c>
      <c r="B65" s="12">
        <v>15.606327056884766</v>
      </c>
      <c r="C65" s="5">
        <f t="shared" si="17"/>
        <v>5.8714542393740674E-3</v>
      </c>
      <c r="D65" s="3">
        <f t="shared" si="18"/>
        <v>2721726.1841497496</v>
      </c>
      <c r="E65" s="3">
        <f t="shared" si="19"/>
        <v>2547679.018184857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509535803.63697141</v>
      </c>
      <c r="K65" s="3">
        <f t="shared" ref="K65" si="43">(STDEV(D65:D67)*F65*G65)/H65</f>
        <v>39989301.396300942</v>
      </c>
    </row>
    <row r="66" spans="1:11">
      <c r="A66" t="s">
        <v>95</v>
      </c>
      <c r="B66" s="12">
        <v>15.677785873413086</v>
      </c>
      <c r="C66" s="5">
        <f t="shared" si="17"/>
        <v>5.5916667919730465E-3</v>
      </c>
      <c r="D66" s="3">
        <f t="shared" si="18"/>
        <v>2592030.0661963616</v>
      </c>
    </row>
    <row r="67" spans="1:11">
      <c r="A67" t="s">
        <v>95</v>
      </c>
      <c r="B67" s="12">
        <v>15.83421516418457</v>
      </c>
      <c r="C67" s="5">
        <f t="shared" si="17"/>
        <v>5.0248499397946523E-3</v>
      </c>
      <c r="D67" s="3">
        <f t="shared" si="18"/>
        <v>2329280.8042084598</v>
      </c>
    </row>
    <row r="68" spans="1:11">
      <c r="A68" t="s">
        <v>96</v>
      </c>
      <c r="B68" s="12">
        <v>21.412612915039062</v>
      </c>
      <c r="C68" s="5">
        <f t="shared" si="17"/>
        <v>1.1112510680340708E-4</v>
      </c>
      <c r="D68" s="3">
        <f t="shared" si="18"/>
        <v>51512.300117238716</v>
      </c>
      <c r="E68" s="3">
        <f t="shared" si="19"/>
        <v>57293.861839336052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11458772.367867211</v>
      </c>
      <c r="K68" s="3">
        <f t="shared" ref="K68" si="45">(STDEV(D68:D70)*F68*G68)/H68</f>
        <v>5675581.2241390953</v>
      </c>
    </row>
    <row r="69" spans="1:11">
      <c r="A69" t="s">
        <v>96</v>
      </c>
      <c r="B69" s="12">
        <v>22.097919464111328</v>
      </c>
      <c r="C69" s="5">
        <f t="shared" si="17"/>
        <v>6.9575627564343276E-5</v>
      </c>
      <c r="D69" s="3">
        <f t="shared" si="18"/>
        <v>32251.942977028415</v>
      </c>
    </row>
    <row r="70" spans="1:11">
      <c r="A70" t="s">
        <v>96</v>
      </c>
      <c r="B70" s="12">
        <v>20.626895904541016</v>
      </c>
      <c r="C70" s="5">
        <f t="shared" si="17"/>
        <v>1.9009147457567485E-4</v>
      </c>
      <c r="D70" s="3">
        <f t="shared" si="18"/>
        <v>88117.342423741036</v>
      </c>
    </row>
    <row r="71" spans="1:11">
      <c r="A71" t="s">
        <v>97</v>
      </c>
      <c r="B71" s="12">
        <v>15.583155632019043</v>
      </c>
      <c r="C71" s="5">
        <f t="shared" si="17"/>
        <v>5.9651514455132133E-3</v>
      </c>
      <c r="D71" s="3">
        <f t="shared" si="18"/>
        <v>2765159.7406306015</v>
      </c>
      <c r="E71" s="3">
        <f t="shared" si="19"/>
        <v>2811800.5873326459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562360117.46652913</v>
      </c>
      <c r="K71" s="3">
        <f t="shared" ref="K71" si="47">(STDEV(D71:D73)*F71*G71)/H71</f>
        <v>11169667.205093138</v>
      </c>
    </row>
    <row r="72" spans="1:11">
      <c r="A72" t="s">
        <v>97</v>
      </c>
      <c r="B72" s="12">
        <v>15.526810646057129</v>
      </c>
      <c r="C72" s="5">
        <f t="shared" si="17"/>
        <v>6.1992771766839474E-3</v>
      </c>
      <c r="D72" s="3">
        <f t="shared" si="18"/>
        <v>2873689.264481327</v>
      </c>
    </row>
    <row r="73" spans="1:11">
      <c r="A73" t="s">
        <v>97</v>
      </c>
      <c r="B73" s="12">
        <v>15.566633224487305</v>
      </c>
      <c r="C73" s="5">
        <f t="shared" si="17"/>
        <v>6.0328741501162611E-3</v>
      </c>
      <c r="D73" s="3">
        <f t="shared" si="18"/>
        <v>2796552.7568860096</v>
      </c>
    </row>
    <row r="74" spans="1:11">
      <c r="A74" t="s">
        <v>98</v>
      </c>
      <c r="B74" s="12">
        <v>14.700892448425293</v>
      </c>
      <c r="C74" s="5">
        <f t="shared" si="17"/>
        <v>1.0899852938442905E-2</v>
      </c>
      <c r="D74" s="3">
        <f t="shared" si="18"/>
        <v>5052652.0239224862</v>
      </c>
      <c r="E74" s="3">
        <f t="shared" si="19"/>
        <v>4819145.9299115166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963829185.98230338</v>
      </c>
      <c r="K74" s="3">
        <f t="shared" ref="K74" si="49">(STDEV(D74:D76)*F74*G74)/H74</f>
        <v>73451543.294655085</v>
      </c>
    </row>
    <row r="75" spans="1:11">
      <c r="A75" t="s">
        <v>98</v>
      </c>
      <c r="B75" s="12">
        <v>14.713603019714355</v>
      </c>
      <c r="C75" s="5">
        <f t="shared" si="17"/>
        <v>1.080560170977026E-2</v>
      </c>
      <c r="D75" s="3">
        <f t="shared" si="18"/>
        <v>5008961.6490156436</v>
      </c>
    </row>
    <row r="76" spans="1:11">
      <c r="A76" t="s">
        <v>98</v>
      </c>
      <c r="B76" s="12">
        <v>14.904706954956055</v>
      </c>
      <c r="C76" s="5">
        <f t="shared" si="17"/>
        <v>9.4829084190810875E-3</v>
      </c>
      <c r="D76" s="3">
        <f t="shared" si="18"/>
        <v>4395824.11679642</v>
      </c>
    </row>
    <row r="77" spans="1:11">
      <c r="A77" t="s">
        <v>99</v>
      </c>
      <c r="B77" s="12">
        <v>15.08543586730957</v>
      </c>
      <c r="C77" s="5">
        <f t="shared" si="17"/>
        <v>8.3813272682854035E-3</v>
      </c>
      <c r="D77" s="3">
        <f t="shared" si="18"/>
        <v>3885183.6281112768</v>
      </c>
      <c r="E77" s="3">
        <f t="shared" si="19"/>
        <v>5662400.7131341053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1132480142.626821</v>
      </c>
      <c r="K77" s="3">
        <f t="shared" ref="K77" si="51">(STDEV(D77:D79)*F77*G77)/H77</f>
        <v>327165807.12205106</v>
      </c>
    </row>
    <row r="78" spans="1:11">
      <c r="A78" t="s">
        <v>99</v>
      </c>
      <c r="B78" s="12">
        <v>14.45014476776123</v>
      </c>
      <c r="C78" s="5">
        <f t="shared" si="17"/>
        <v>1.2936788510824387E-2</v>
      </c>
      <c r="D78" s="3">
        <f t="shared" si="18"/>
        <v>5996878.2167451624</v>
      </c>
    </row>
    <row r="79" spans="1:11">
      <c r="A79" t="s">
        <v>99</v>
      </c>
      <c r="B79" s="12">
        <v>14.201952934265137</v>
      </c>
      <c r="C79" s="5">
        <f t="shared" si="17"/>
        <v>1.532759112459771E-2</v>
      </c>
      <c r="D79" s="3">
        <f t="shared" si="18"/>
        <v>7105140.2945458768</v>
      </c>
    </row>
    <row r="80" spans="1:11">
      <c r="A80" t="s">
        <v>100</v>
      </c>
      <c r="B80" s="12">
        <v>17.39714241027832</v>
      </c>
      <c r="C80" s="5">
        <f t="shared" si="17"/>
        <v>1.7272152577909013E-3</v>
      </c>
      <c r="D80" s="3">
        <f t="shared" si="18"/>
        <v>800654.62509567512</v>
      </c>
      <c r="E80" s="3">
        <f t="shared" si="19"/>
        <v>873254.31634047627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174650863.26809525</v>
      </c>
      <c r="K80" s="3">
        <f t="shared" ref="K80" si="53">(STDEV(D80:D82)*F80*G80)/H80</f>
        <v>16645458.181118609</v>
      </c>
    </row>
    <row r="81" spans="1:11">
      <c r="A81" t="s">
        <v>100</v>
      </c>
      <c r="B81" s="12">
        <v>17.125282287597656</v>
      </c>
      <c r="C81" s="5">
        <f t="shared" si="17"/>
        <v>2.0797786964789006E-3</v>
      </c>
      <c r="D81" s="3">
        <f t="shared" si="18"/>
        <v>964086.22202715348</v>
      </c>
    </row>
    <row r="82" spans="1:11">
      <c r="A82" t="s">
        <v>100</v>
      </c>
      <c r="B82" s="12">
        <v>17.300989151000977</v>
      </c>
      <c r="C82" s="5">
        <f t="shared" si="17"/>
        <v>1.8444997054394543E-3</v>
      </c>
      <c r="D82" s="3">
        <f t="shared" si="18"/>
        <v>855022.10189860046</v>
      </c>
    </row>
    <row r="83" spans="1:11">
      <c r="A83" t="s">
        <v>101</v>
      </c>
      <c r="B83" s="12">
        <v>14.031831741333008</v>
      </c>
      <c r="C83" s="5">
        <f t="shared" si="17"/>
        <v>1.7216900630872688E-2</v>
      </c>
      <c r="D83" s="3">
        <f t="shared" si="18"/>
        <v>7980934.083196749</v>
      </c>
      <c r="E83" s="3">
        <f t="shared" si="19"/>
        <v>5667803.8866266469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1133560777.3253293</v>
      </c>
      <c r="K83" s="3">
        <f t="shared" ref="K83" si="55">(STDEV(D83:D85)*F83*G83)/H83</f>
        <v>405356329.99344498</v>
      </c>
    </row>
    <row r="84" spans="1:11">
      <c r="A84" t="s">
        <v>101</v>
      </c>
      <c r="B84" s="12">
        <v>14.970303535461426</v>
      </c>
      <c r="C84" s="5">
        <f t="shared" si="17"/>
        <v>9.067273081881223E-3</v>
      </c>
      <c r="D84" s="3">
        <f t="shared" si="18"/>
        <v>4203155.3955231393</v>
      </c>
    </row>
    <row r="85" spans="1:11">
      <c r="A85" t="s">
        <v>101</v>
      </c>
      <c r="B85" s="12">
        <v>14.770090103149414</v>
      </c>
      <c r="C85" s="5">
        <f t="shared" si="17"/>
        <v>1.0396501241112653E-2</v>
      </c>
      <c r="D85" s="3">
        <f t="shared" si="18"/>
        <v>4819322.1811600542</v>
      </c>
    </row>
    <row r="86" spans="1:11">
      <c r="A86" t="s">
        <v>102</v>
      </c>
      <c r="B86" s="12">
        <v>19.44520378112793</v>
      </c>
      <c r="C86" s="5">
        <f t="shared" si="17"/>
        <v>4.2619968198870031E-4</v>
      </c>
      <c r="D86" s="3">
        <f t="shared" si="18"/>
        <v>197565.8477189469</v>
      </c>
      <c r="E86" s="3">
        <f t="shared" si="19"/>
        <v>244396.11945257106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48879223.89051421</v>
      </c>
      <c r="K86" s="3">
        <f t="shared" ref="K86" si="57">(STDEV(D86:D88)*F86*G86)/H86</f>
        <v>8338118.2946098717</v>
      </c>
    </row>
    <row r="87" spans="1:11">
      <c r="A87" t="s">
        <v>102</v>
      </c>
      <c r="B87" s="12">
        <v>18.948112487792969</v>
      </c>
      <c r="C87" s="5">
        <f t="shared" si="17"/>
        <v>5.9857414815312837E-4</v>
      </c>
      <c r="D87" s="3">
        <f t="shared" si="18"/>
        <v>277470.42994193186</v>
      </c>
    </row>
    <row r="88" spans="1:11">
      <c r="A88" t="s">
        <v>102</v>
      </c>
      <c r="B88" s="12">
        <v>19.053731918334961</v>
      </c>
      <c r="C88" s="5">
        <f t="shared" si="17"/>
        <v>5.5689956522359332E-4</v>
      </c>
      <c r="D88" s="3">
        <f t="shared" si="18"/>
        <v>258152.08069683451</v>
      </c>
    </row>
    <row r="89" spans="1:11">
      <c r="A89" t="s">
        <v>103</v>
      </c>
      <c r="B89" s="12">
        <v>21.300895690917969</v>
      </c>
      <c r="C89" s="5">
        <f t="shared" si="17"/>
        <v>1.199396295129807E-4</v>
      </c>
      <c r="D89" s="3">
        <f t="shared" si="18"/>
        <v>55598.292493462483</v>
      </c>
      <c r="E89" s="3">
        <f t="shared" si="19"/>
        <v>87449.146918353756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17489829.383670751</v>
      </c>
      <c r="K89" s="3">
        <f t="shared" ref="K89" si="59">(STDEV(D89:D91)*F89*G89)/H89</f>
        <v>12979948.581485627</v>
      </c>
    </row>
    <row r="90" spans="1:11">
      <c r="A90" t="s">
        <v>103</v>
      </c>
      <c r="B90" s="12">
        <v>21.622564315795898</v>
      </c>
      <c r="C90" s="5">
        <f t="shared" si="17"/>
        <v>9.6274677491675669E-5</v>
      </c>
      <c r="D90" s="3">
        <f t="shared" si="18"/>
        <v>44628.349283975782</v>
      </c>
    </row>
    <row r="91" spans="1:11">
      <c r="A91" t="s">
        <v>103</v>
      </c>
      <c r="B91" s="12">
        <v>19.734596252441406</v>
      </c>
      <c r="C91" s="5">
        <f t="shared" si="17"/>
        <v>3.4973571477956686E-4</v>
      </c>
      <c r="D91" s="3">
        <f t="shared" si="18"/>
        <v>162120.79897762302</v>
      </c>
    </row>
    <row r="92" spans="1:11">
      <c r="A92" t="s">
        <v>104</v>
      </c>
      <c r="B92" s="12">
        <v>15.24718189239502</v>
      </c>
      <c r="C92" s="5">
        <f t="shared" si="17"/>
        <v>7.5044167801107189E-3</v>
      </c>
      <c r="D92" s="3">
        <f t="shared" si="18"/>
        <v>3478689.7443958488</v>
      </c>
      <c r="E92" s="3">
        <f t="shared" si="19"/>
        <v>3042718.5130905067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608543702.61810136</v>
      </c>
      <c r="K92" s="3">
        <f t="shared" ref="K92" si="61">(STDEV(D92:D94)*F92*G92)/H92</f>
        <v>78741739.676916867</v>
      </c>
    </row>
    <row r="93" spans="1:11">
      <c r="A93" t="s">
        <v>104</v>
      </c>
      <c r="B93" s="12">
        <v>15.495251655578613</v>
      </c>
      <c r="C93" s="5">
        <f t="shared" si="17"/>
        <v>6.3344037306244331E-3</v>
      </c>
      <c r="D93" s="3">
        <f t="shared" si="18"/>
        <v>2936327.4908967563</v>
      </c>
    </row>
    <row r="94" spans="1:11">
      <c r="A94" t="s">
        <v>104</v>
      </c>
      <c r="B94" s="12">
        <v>15.610952377319336</v>
      </c>
      <c r="C94" s="5">
        <f t="shared" si="17"/>
        <v>5.8529280019700529E-3</v>
      </c>
      <c r="D94" s="3">
        <f t="shared" si="18"/>
        <v>2713138.3039789153</v>
      </c>
    </row>
    <row r="95" spans="1:11">
      <c r="A95" t="s">
        <v>105</v>
      </c>
      <c r="B95" s="12">
        <v>19.202909469604492</v>
      </c>
      <c r="C95" s="5">
        <f t="shared" si="17"/>
        <v>5.0293347515989657E-4</v>
      </c>
      <c r="D95" s="3">
        <f t="shared" si="18"/>
        <v>233135.97490867026</v>
      </c>
      <c r="E95" s="3">
        <f t="shared" si="19"/>
        <v>224546.18965795031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44909237.931590065</v>
      </c>
      <c r="K95" s="3">
        <f t="shared" ref="K95" si="63">(STDEV(D95:D97)*F95*G95)/H95</f>
        <v>1737118.3841166357</v>
      </c>
    </row>
    <row r="96" spans="1:11">
      <c r="A96" t="s">
        <v>105</v>
      </c>
      <c r="B96" s="12">
        <v>19.316217422485352</v>
      </c>
      <c r="C96" s="5">
        <f t="shared" ref="C96:C109" si="64">10^((B96-8.087)/(-3.37))</f>
        <v>4.6546604479522731E-4</v>
      </c>
      <c r="D96" s="3">
        <f t="shared" ref="D96:D109" si="65">C96*$B$9</f>
        <v>215767.86095957833</v>
      </c>
    </row>
    <row r="97" spans="1:11">
      <c r="A97" t="s">
        <v>105</v>
      </c>
      <c r="B97" s="12">
        <v>19.256624221801758</v>
      </c>
      <c r="C97" s="5">
        <f t="shared" si="64"/>
        <v>4.8480986408987268E-4</v>
      </c>
      <c r="D97" s="3">
        <f t="shared" si="65"/>
        <v>224734.73310560227</v>
      </c>
    </row>
    <row r="98" spans="1:11">
      <c r="A98" t="s">
        <v>106</v>
      </c>
      <c r="B98" s="12">
        <v>14.503232955932617</v>
      </c>
      <c r="C98" s="5">
        <f t="shared" si="64"/>
        <v>1.2475940844241133E-2</v>
      </c>
      <c r="D98" s="3">
        <f t="shared" si="65"/>
        <v>5783251.2156808283</v>
      </c>
      <c r="E98" s="3">
        <f t="shared" ref="E98:E107" si="66">AVERAGE(D98:D100)</f>
        <v>5080988.6633489858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7">E98*F98*G98/H98</f>
        <v>1016197732.6697972</v>
      </c>
      <c r="K98" s="3">
        <f t="shared" ref="K98" si="68">(STDEV(D98:D100)*F98*G98)/H98</f>
        <v>127867774.83577396</v>
      </c>
    </row>
    <row r="99" spans="1:11">
      <c r="A99" t="s">
        <v>106</v>
      </c>
      <c r="B99" s="12">
        <v>14.73774242401123</v>
      </c>
      <c r="C99" s="5">
        <f t="shared" si="64"/>
        <v>1.0628841421738887E-2</v>
      </c>
      <c r="D99" s="3">
        <f t="shared" si="65"/>
        <v>4927024.008928692</v>
      </c>
    </row>
    <row r="100" spans="1:11">
      <c r="A100" t="s">
        <v>106</v>
      </c>
      <c r="B100" s="12">
        <v>14.859832763671875</v>
      </c>
      <c r="C100" s="5">
        <f t="shared" si="64"/>
        <v>9.7781645212827364E-3</v>
      </c>
      <c r="D100" s="3">
        <f t="shared" si="65"/>
        <v>4532690.7654374372</v>
      </c>
    </row>
    <row r="101" spans="1:11">
      <c r="A101" t="s">
        <v>107</v>
      </c>
      <c r="B101" s="12">
        <v>14.96822452545166</v>
      </c>
      <c r="C101" s="5">
        <f t="shared" si="64"/>
        <v>9.0801623292541944E-3</v>
      </c>
      <c r="D101" s="3">
        <f t="shared" si="65"/>
        <v>4209130.2359355446</v>
      </c>
      <c r="E101" s="3">
        <f t="shared" si="66"/>
        <v>6339105.7116562678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9">E101*F101*G101/H101</f>
        <v>1267821142.3312535</v>
      </c>
      <c r="K101" s="3">
        <f t="shared" ref="K101" si="70">(STDEV(D101:D103)*F101*G101)/H101</f>
        <v>457373366.41018873</v>
      </c>
    </row>
    <row r="102" spans="1:11">
      <c r="A102" t="s">
        <v>107</v>
      </c>
      <c r="B102" s="12">
        <v>13.896212577819824</v>
      </c>
      <c r="C102" s="5">
        <f t="shared" si="64"/>
        <v>1.8888525122726214E-2</v>
      </c>
      <c r="D102" s="3">
        <f t="shared" si="65"/>
        <v>8755819.4802476838</v>
      </c>
    </row>
    <row r="103" spans="1:11">
      <c r="A103" t="s">
        <v>107</v>
      </c>
      <c r="B103" s="12">
        <v>14.436664581298828</v>
      </c>
      <c r="C103" s="5">
        <f t="shared" si="64"/>
        <v>1.3056492804539528E-2</v>
      </c>
      <c r="D103" s="3">
        <f t="shared" si="65"/>
        <v>6052367.418785573</v>
      </c>
    </row>
    <row r="104" spans="1:11">
      <c r="A104" t="s">
        <v>108</v>
      </c>
      <c r="B104" s="12">
        <v>18.574724197387695</v>
      </c>
      <c r="C104" s="5">
        <f t="shared" si="64"/>
        <v>7.725305600718936E-4</v>
      </c>
      <c r="D104" s="3">
        <f t="shared" si="65"/>
        <v>358108.32677590544</v>
      </c>
      <c r="E104" s="3">
        <f t="shared" si="66"/>
        <v>310981.34849565249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71">E104*F104*G104/H104</f>
        <v>62196269.699130498</v>
      </c>
      <c r="K104" s="3">
        <f t="shared" ref="K104" si="72">(STDEV(D104:D106)*F104*G104)/H104</f>
        <v>8391209.4765319321</v>
      </c>
    </row>
    <row r="105" spans="1:11">
      <c r="A105" t="s">
        <v>108</v>
      </c>
      <c r="B105" s="12">
        <v>18.847854614257812</v>
      </c>
      <c r="C105" s="5">
        <f t="shared" si="64"/>
        <v>6.4101481504132314E-4</v>
      </c>
      <c r="D105" s="3">
        <f t="shared" si="65"/>
        <v>297143.8991768196</v>
      </c>
    </row>
    <row r="106" spans="1:11">
      <c r="A106" t="s">
        <v>108</v>
      </c>
      <c r="B106" s="12">
        <v>18.946945190429688</v>
      </c>
      <c r="C106" s="5">
        <f t="shared" si="64"/>
        <v>5.9905174169939956E-4</v>
      </c>
      <c r="D106" s="3">
        <f t="shared" si="65"/>
        <v>277691.81953423255</v>
      </c>
    </row>
    <row r="107" spans="1:11">
      <c r="A107" t="s">
        <v>109</v>
      </c>
      <c r="B107" s="12">
        <v>14.797374725341797</v>
      </c>
      <c r="C107" s="5">
        <f t="shared" si="64"/>
        <v>1.020448009057421E-2</v>
      </c>
      <c r="D107" s="3">
        <f t="shared" si="65"/>
        <v>4730310.33298345</v>
      </c>
      <c r="E107" s="3">
        <f t="shared" si="66"/>
        <v>4319906.314773594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3">E107*F107*G107/H107</f>
        <v>863981262.95471883</v>
      </c>
      <c r="K107" s="3">
        <f t="shared" ref="K107" si="74">(STDEV(D107:D109)*F107*G107)/H107</f>
        <v>99462089.027061969</v>
      </c>
    </row>
    <row r="108" spans="1:11">
      <c r="A108" t="s">
        <v>109</v>
      </c>
      <c r="B108" s="12">
        <v>14.882658958435059</v>
      </c>
      <c r="C108" s="5">
        <f t="shared" si="64"/>
        <v>9.626845204294656E-3</v>
      </c>
      <c r="D108" s="3">
        <f t="shared" si="65"/>
        <v>4462546.3462827681</v>
      </c>
    </row>
    <row r="109" spans="1:11">
      <c r="A109" t="s">
        <v>109</v>
      </c>
      <c r="B109" s="12">
        <v>15.130701065063477</v>
      </c>
      <c r="C109" s="5">
        <f t="shared" si="64"/>
        <v>8.1260780544689572E-3</v>
      </c>
      <c r="D109" s="3">
        <f t="shared" si="65"/>
        <v>3766862.2650545631</v>
      </c>
    </row>
  </sheetData>
  <mergeCells count="11">
    <mergeCell ref="G13:G14"/>
    <mergeCell ref="B13:B14"/>
    <mergeCell ref="C13:C14"/>
    <mergeCell ref="D13:D14"/>
    <mergeCell ref="E13:E14"/>
    <mergeCell ref="F13:F14"/>
    <mergeCell ref="H13:H14"/>
    <mergeCell ref="I13:I14"/>
    <mergeCell ref="J13:J14"/>
    <mergeCell ref="K13:K14"/>
    <mergeCell ref="L13:L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5469-3DBB-9540-A7C3-874FDC0B0F4B}">
  <dimension ref="A1:Q109"/>
  <sheetViews>
    <sheetView topLeftCell="A76" zoomScale="120" zoomScaleNormal="120" workbookViewId="0">
      <selection activeCell="J107" sqref="J107:K107"/>
    </sheetView>
  </sheetViews>
  <sheetFormatPr baseColWidth="10" defaultRowHeight="15"/>
  <cols>
    <col min="1" max="1" width="33.7109375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.140625" style="2" customWidth="1"/>
    <col min="9" max="9" width="11.5703125" style="2" customWidth="1"/>
    <col min="10" max="10" width="17.140625" style="2" customWidth="1"/>
    <col min="11" max="11" width="11" style="2" customWidth="1"/>
    <col min="12" max="12" width="15.28515625" style="2" customWidth="1"/>
    <col min="13" max="16384" width="10.7109375" style="2"/>
  </cols>
  <sheetData>
    <row r="1" spans="1:16">
      <c r="A1" s="2" t="s">
        <v>110</v>
      </c>
    </row>
    <row r="2" spans="1:16">
      <c r="A2" s="2" t="s">
        <v>56</v>
      </c>
    </row>
    <row r="3" spans="1:16">
      <c r="A3" s="2" t="s">
        <v>53</v>
      </c>
    </row>
    <row r="5" spans="1:16">
      <c r="A5" s="2" t="s">
        <v>155</v>
      </c>
      <c r="B5" s="3">
        <v>1500</v>
      </c>
      <c r="D5" s="2" t="s">
        <v>12</v>
      </c>
    </row>
    <row r="6" spans="1:16" ht="17">
      <c r="A6" s="2" t="s">
        <v>8</v>
      </c>
      <c r="B6" s="3">
        <v>1.096E-21</v>
      </c>
      <c r="D6" s="2" t="s">
        <v>11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156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157</v>
      </c>
      <c r="B8" s="3">
        <v>7.6207999999999981E-10</v>
      </c>
      <c r="D8" s="2" t="s">
        <v>15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158</v>
      </c>
      <c r="B9" s="3">
        <f>B8/B7</f>
        <v>463552311.43552303</v>
      </c>
      <c r="D9" s="2" t="s">
        <v>16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10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13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5" t="s">
        <v>1</v>
      </c>
      <c r="C13" s="16" t="s">
        <v>9</v>
      </c>
      <c r="D13" s="16" t="s">
        <v>14</v>
      </c>
      <c r="E13" s="16" t="s">
        <v>4</v>
      </c>
      <c r="F13" s="16" t="s">
        <v>5</v>
      </c>
      <c r="G13" s="16" t="s">
        <v>7</v>
      </c>
      <c r="H13" s="16" t="s">
        <v>159</v>
      </c>
      <c r="I13" s="16" t="s">
        <v>6</v>
      </c>
      <c r="J13" s="16" t="s">
        <v>160</v>
      </c>
      <c r="K13" s="14" t="s">
        <v>17</v>
      </c>
      <c r="L13" s="14"/>
      <c r="M13" s="1"/>
      <c r="N13" s="1"/>
      <c r="O13" s="1"/>
      <c r="P13" s="1"/>
    </row>
    <row r="14" spans="1:16">
      <c r="B14" s="15"/>
      <c r="C14" s="16"/>
      <c r="D14" s="16"/>
      <c r="E14" s="16"/>
      <c r="F14" s="16"/>
      <c r="G14" s="16"/>
      <c r="H14" s="16"/>
      <c r="I14" s="16"/>
      <c r="J14" s="16"/>
      <c r="K14" s="14"/>
      <c r="L14" s="14"/>
      <c r="M14" s="1"/>
      <c r="N14" s="1"/>
      <c r="O14" s="1"/>
      <c r="P14" s="1"/>
    </row>
    <row r="15" spans="1:16">
      <c r="A15" s="2" t="s">
        <v>49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18</v>
      </c>
      <c r="B16" s="12">
        <v>8.3844575881958008</v>
      </c>
      <c r="C16" s="5">
        <f>10^((B16-8.011)/(-3.245))</f>
        <v>0.76720763441556694</v>
      </c>
      <c r="D16" s="3">
        <f>C16*$B$9</f>
        <v>355640872.28431576</v>
      </c>
      <c r="E16" s="3">
        <f t="shared" ref="E16" si="0">AVERAGE(D16:D18)</f>
        <v>454093646.24888039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481031404.9246614</v>
      </c>
      <c r="K16" s="3">
        <f t="shared" ref="K16" si="2">(STDEV(D16:D18)*F16*G16)/H16</f>
        <v>91415701.153714091</v>
      </c>
      <c r="L16" s="6"/>
      <c r="M16" s="1"/>
      <c r="N16" s="1"/>
      <c r="O16" s="1"/>
      <c r="P16" s="1"/>
    </row>
    <row r="17" spans="1:16">
      <c r="B17" s="12">
        <v>7.9327974319458008</v>
      </c>
      <c r="C17" s="5">
        <f t="shared" ref="C17:C30" si="3">10^((B17-8.011)/(-3.245))</f>
        <v>1.0570594293648778</v>
      </c>
      <c r="D17" s="3">
        <f t="shared" ref="D17:D30" si="4">C17*$B$9</f>
        <v>490002341.80680412</v>
      </c>
      <c r="L17" s="6"/>
      <c r="M17" s="1"/>
      <c r="N17" s="1"/>
      <c r="O17" s="1"/>
      <c r="P17" s="1"/>
    </row>
    <row r="18" spans="1:16">
      <c r="B18" s="12">
        <v>7.8582015037536621</v>
      </c>
      <c r="C18" s="5">
        <f t="shared" si="3"/>
        <v>1.1145187110719044</v>
      </c>
      <c r="D18" s="3">
        <f t="shared" si="4"/>
        <v>516637724.65552115</v>
      </c>
      <c r="L18" s="6"/>
      <c r="M18" s="1"/>
      <c r="N18" s="1"/>
      <c r="O18" s="1"/>
      <c r="P18" s="1"/>
    </row>
    <row r="19" spans="1:16">
      <c r="A19" s="2" t="s">
        <v>19</v>
      </c>
      <c r="B19" s="12">
        <v>10.436783790588379</v>
      </c>
      <c r="C19" s="5">
        <f t="shared" si="3"/>
        <v>0.1788359879159104</v>
      </c>
      <c r="D19" s="3">
        <f t="shared" si="4"/>
        <v>82899835.566275537</v>
      </c>
      <c r="E19" s="3">
        <f t="shared" ref="E19" si="5">AVERAGE(D19:D21)</f>
        <v>77594364.453983709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410987099.86220187</v>
      </c>
      <c r="K19" s="3">
        <f t="shared" ref="K19" si="7">(STDEV(D19:D21)*F19*G19)/H19</f>
        <v>26914479.260363013</v>
      </c>
      <c r="L19" s="6"/>
      <c r="M19" s="1"/>
      <c r="N19" s="1"/>
      <c r="O19" s="1"/>
      <c r="P19" s="1"/>
    </row>
    <row r="20" spans="1:16">
      <c r="B20" s="12">
        <v>10.53878116607666</v>
      </c>
      <c r="C20" s="5">
        <f t="shared" si="3"/>
        <v>0.16634998005545906</v>
      </c>
      <c r="D20" s="3">
        <f t="shared" si="4"/>
        <v>77111917.761961207</v>
      </c>
      <c r="L20" s="6"/>
      <c r="M20" s="1"/>
      <c r="N20" s="1"/>
      <c r="O20" s="1"/>
      <c r="P20" s="1"/>
    </row>
    <row r="21" spans="1:16">
      <c r="B21" s="12">
        <v>10.620429039001465</v>
      </c>
      <c r="C21" s="5">
        <f t="shared" si="3"/>
        <v>0.15698625211975961</v>
      </c>
      <c r="D21" s="3">
        <f t="shared" si="4"/>
        <v>72771340.033714339</v>
      </c>
      <c r="L21" s="6"/>
      <c r="M21" s="1"/>
      <c r="N21" s="1"/>
      <c r="O21" s="1"/>
      <c r="P21" s="1"/>
    </row>
    <row r="22" spans="1:16">
      <c r="A22" s="2" t="s">
        <v>20</v>
      </c>
      <c r="B22" s="12">
        <v>13.991543769836426</v>
      </c>
      <c r="C22" s="5">
        <f t="shared" si="3"/>
        <v>1.4354805004812787E-2</v>
      </c>
      <c r="D22" s="3">
        <f t="shared" si="4"/>
        <v>6654203.0401871819</v>
      </c>
      <c r="E22" s="3">
        <f t="shared" ref="E22" si="8">AVERAGE(D22:D24)</f>
        <v>8967698.4077853393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237492012.91804394</v>
      </c>
      <c r="K22" s="3">
        <f t="shared" ref="K22" si="10">(STDEV(D22:D24)*F22*G22)/H22</f>
        <v>53158456.242984958</v>
      </c>
      <c r="L22" s="6"/>
      <c r="M22" s="1"/>
      <c r="N22" s="1"/>
      <c r="O22" s="1"/>
      <c r="P22" s="1"/>
    </row>
    <row r="23" spans="1:16">
      <c r="B23" s="12">
        <v>13.417160987854004</v>
      </c>
      <c r="C23" s="5">
        <f t="shared" si="3"/>
        <v>2.1577582076118991E-2</v>
      </c>
      <c r="D23" s="3">
        <f t="shared" si="4"/>
        <v>10002338.046574671</v>
      </c>
      <c r="L23" s="6"/>
      <c r="M23" s="1"/>
      <c r="N23" s="1"/>
      <c r="O23" s="1"/>
      <c r="P23" s="1"/>
    </row>
    <row r="24" spans="1:16">
      <c r="B24" s="12">
        <v>13.38316535949707</v>
      </c>
      <c r="C24" s="5">
        <f t="shared" si="3"/>
        <v>2.2104418172056495E-2</v>
      </c>
      <c r="D24" s="3">
        <f t="shared" si="4"/>
        <v>10246554.136594167</v>
      </c>
      <c r="L24" s="6"/>
      <c r="M24" s="1"/>
      <c r="N24" s="1"/>
      <c r="O24" s="1"/>
      <c r="P24" s="1"/>
    </row>
    <row r="25" spans="1:16">
      <c r="A25" s="2" t="s">
        <v>21</v>
      </c>
      <c r="B25" s="12">
        <v>15.761336326599121</v>
      </c>
      <c r="C25" s="5">
        <f t="shared" si="3"/>
        <v>4.0889017854074143E-3</v>
      </c>
      <c r="D25" s="3">
        <f t="shared" si="4"/>
        <v>1895419.8738584439</v>
      </c>
      <c r="E25" s="3">
        <f t="shared" ref="E25" si="11">AVERAGE(D25:D27)</f>
        <v>2081072.2212163033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275565707.25851476</v>
      </c>
      <c r="K25" s="3">
        <f t="shared" ref="K25" si="13">(STDEV(D25:D27)*F25*G25)/H25</f>
        <v>21454913.249007668</v>
      </c>
      <c r="L25" s="6"/>
      <c r="M25" s="1"/>
      <c r="N25" s="1"/>
      <c r="O25" s="1"/>
      <c r="P25" s="1"/>
    </row>
    <row r="26" spans="1:16">
      <c r="B26" s="12">
        <v>15.555197715759277</v>
      </c>
      <c r="C26" s="5">
        <f t="shared" si="3"/>
        <v>4.7329473642879179E-3</v>
      </c>
      <c r="D26" s="3">
        <f t="shared" si="4"/>
        <v>2193968.6906183306</v>
      </c>
      <c r="L26" s="6"/>
      <c r="M26" s="1"/>
      <c r="N26" s="1"/>
      <c r="O26" s="1"/>
      <c r="P26" s="1"/>
    </row>
    <row r="27" spans="1:16">
      <c r="B27" s="12">
        <v>15.581220626831055</v>
      </c>
      <c r="C27" s="5">
        <f t="shared" si="3"/>
        <v>4.6463539195871709E-3</v>
      </c>
      <c r="D27" s="3">
        <f t="shared" si="4"/>
        <v>2153828.0991721353</v>
      </c>
      <c r="L27" s="6"/>
      <c r="M27" s="1"/>
      <c r="N27" s="1"/>
      <c r="O27" s="1"/>
      <c r="P27" s="1"/>
    </row>
    <row r="28" spans="1:16">
      <c r="A28" s="2" t="s">
        <v>22</v>
      </c>
      <c r="B28" s="12">
        <v>16.919816970825195</v>
      </c>
      <c r="C28" s="5">
        <f t="shared" si="3"/>
        <v>1.7972225453693983E-3</v>
      </c>
      <c r="D28" s="3">
        <f t="shared" si="4"/>
        <v>833106.66507001873</v>
      </c>
      <c r="E28" s="3">
        <f t="shared" ref="E28" si="14">AVERAGE(D28:D30)</f>
        <v>877073.92136153253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580689831.40991294</v>
      </c>
      <c r="K28" s="3">
        <f t="shared" ref="K28" si="16">(STDEV(D28:D30)*F28*G28)/H28</f>
        <v>25768386.082236432</v>
      </c>
      <c r="L28" s="7"/>
      <c r="M28" s="1"/>
      <c r="N28" s="1"/>
      <c r="O28" s="1"/>
      <c r="P28" s="7"/>
    </row>
    <row r="29" spans="1:16">
      <c r="B29" s="12">
        <v>16.799871444702148</v>
      </c>
      <c r="C29" s="5">
        <f t="shared" si="3"/>
        <v>1.9568838098651003E-3</v>
      </c>
      <c r="D29" s="3">
        <f t="shared" si="4"/>
        <v>907118.01327371981</v>
      </c>
      <c r="L29" s="7"/>
      <c r="M29" s="1"/>
      <c r="N29" s="1"/>
      <c r="O29" s="1"/>
      <c r="P29" s="7"/>
    </row>
    <row r="30" spans="1:16">
      <c r="B30" s="12">
        <v>16.825141906738281</v>
      </c>
      <c r="C30" s="5">
        <f t="shared" si="3"/>
        <v>1.9221068771755885E-3</v>
      </c>
      <c r="D30" s="3">
        <f t="shared" si="4"/>
        <v>890997.08574085904</v>
      </c>
      <c r="L30" s="7"/>
      <c r="M30" s="1"/>
      <c r="N30" s="1"/>
      <c r="O30" s="1"/>
      <c r="P30" s="7"/>
    </row>
    <row r="31" spans="1:16">
      <c r="A31" s="2" t="s">
        <v>50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111</v>
      </c>
      <c r="B32" s="12">
        <v>13.739538192749023</v>
      </c>
      <c r="C32" s="5">
        <f t="shared" ref="C32:C95" si="17">10^((B32-8.011)/(-3.245))</f>
        <v>1.7165519494838969E-2</v>
      </c>
      <c r="D32" s="3">
        <f t="shared" ref="D32:D95" si="18">C32*$B$9</f>
        <v>7957116.2388241356</v>
      </c>
      <c r="E32" s="3">
        <f t="shared" ref="E32:E95" si="19">AVERAGE(D32:D34)</f>
        <v>7992537.6015585018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1598507520.3117003</v>
      </c>
      <c r="K32" s="3">
        <f t="shared" ref="K32" si="21">(STDEV(D32:D34)*F32*G32)/H32</f>
        <v>194717737.0079039</v>
      </c>
    </row>
    <row r="33" spans="1:17">
      <c r="A33" t="s">
        <v>111</v>
      </c>
      <c r="B33" s="12">
        <v>13.568582534790039</v>
      </c>
      <c r="C33" s="5">
        <f t="shared" si="17"/>
        <v>1.9379373935385736E-2</v>
      </c>
      <c r="D33" s="3">
        <f t="shared" si="18"/>
        <v>8983353.5819213856</v>
      </c>
    </row>
    <row r="34" spans="1:17">
      <c r="A34" t="s">
        <v>111</v>
      </c>
      <c r="B34" s="12">
        <v>13.912689208984375</v>
      </c>
      <c r="C34" s="5">
        <f t="shared" si="17"/>
        <v>1.5180903665731809E-2</v>
      </c>
      <c r="D34" s="3">
        <f t="shared" si="18"/>
        <v>7037142.9839299852</v>
      </c>
    </row>
    <row r="35" spans="1:17">
      <c r="A35" t="s">
        <v>112</v>
      </c>
      <c r="B35" s="12">
        <v>15.697892189025879</v>
      </c>
      <c r="C35" s="5">
        <f t="shared" si="17"/>
        <v>4.2771849608468611E-3</v>
      </c>
      <c r="D35" s="3">
        <f t="shared" si="18"/>
        <v>1982698.9750378195</v>
      </c>
      <c r="E35" s="3">
        <f t="shared" si="19"/>
        <v>2039811.289920599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407962257.98411977</v>
      </c>
      <c r="K35" s="3">
        <f t="shared" ref="K35" si="23">(STDEV(D35:D37)*F35*G35)/H35</f>
        <v>10030483.468018169</v>
      </c>
    </row>
    <row r="36" spans="1:17">
      <c r="A36" t="s">
        <v>112</v>
      </c>
      <c r="B36" s="12">
        <v>15.632634162902832</v>
      </c>
      <c r="C36" s="5">
        <f t="shared" si="17"/>
        <v>4.479900442787647E-3</v>
      </c>
      <c r="D36" s="3">
        <f t="shared" si="18"/>
        <v>2076668.2052552369</v>
      </c>
    </row>
    <row r="37" spans="1:17">
      <c r="A37" t="s">
        <v>112</v>
      </c>
      <c r="B37" s="12">
        <v>15.643945693969727</v>
      </c>
      <c r="C37" s="5">
        <f t="shared" si="17"/>
        <v>4.4440867592465492E-3</v>
      </c>
      <c r="D37" s="3">
        <f t="shared" si="18"/>
        <v>2060066.6894687407</v>
      </c>
    </row>
    <row r="38" spans="1:17">
      <c r="A38" t="s">
        <v>113</v>
      </c>
      <c r="B38" s="12">
        <v>16.334688186645508</v>
      </c>
      <c r="C38" s="5">
        <f t="shared" si="17"/>
        <v>2.7221928861369334E-3</v>
      </c>
      <c r="D38" s="3">
        <f t="shared" si="18"/>
        <v>1261878.8045421131</v>
      </c>
      <c r="E38" s="3">
        <f t="shared" si="19"/>
        <v>1497752.5528553568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299550510.57107139</v>
      </c>
      <c r="K38" s="3">
        <f t="shared" ref="K38" si="25">(STDEV(D38:D40)*F38*G38)/H38</f>
        <v>102934234.00309598</v>
      </c>
    </row>
    <row r="39" spans="1:17">
      <c r="A39" t="s">
        <v>113</v>
      </c>
      <c r="B39" s="12">
        <v>15.624906539916992</v>
      </c>
      <c r="C39" s="5">
        <f t="shared" si="17"/>
        <v>4.5045328307957693E-3</v>
      </c>
      <c r="D39" s="3">
        <f t="shared" si="18"/>
        <v>2088086.6056525786</v>
      </c>
    </row>
    <row r="40" spans="1:17">
      <c r="A40" t="s">
        <v>113</v>
      </c>
      <c r="B40" s="12">
        <v>16.473770141601562</v>
      </c>
      <c r="C40" s="5">
        <f t="shared" si="17"/>
        <v>2.4663715834591466E-3</v>
      </c>
      <c r="D40" s="3">
        <f t="shared" si="18"/>
        <v>1143292.2483713785</v>
      </c>
    </row>
    <row r="41" spans="1:17">
      <c r="A41" t="s">
        <v>114</v>
      </c>
      <c r="B41" s="12">
        <v>13.922224044799805</v>
      </c>
      <c r="C41" s="5">
        <f t="shared" si="17"/>
        <v>1.507854054886172E-2</v>
      </c>
      <c r="D41" s="3">
        <f t="shared" si="18"/>
        <v>6989692.3244991107</v>
      </c>
      <c r="E41" s="3">
        <f t="shared" si="19"/>
        <v>6697485.6442439826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1339497128.8487966</v>
      </c>
      <c r="K41" s="3">
        <f t="shared" ref="K41" si="27">(STDEV(D41:D43)*F41*G41)/H41</f>
        <v>78269176.484122112</v>
      </c>
      <c r="M41" s="8"/>
      <c r="N41" s="1"/>
      <c r="O41" s="1"/>
      <c r="P41" s="1"/>
      <c r="Q41" s="9"/>
    </row>
    <row r="42" spans="1:17">
      <c r="A42" t="s">
        <v>114</v>
      </c>
      <c r="B42" s="12">
        <v>14.079214096069336</v>
      </c>
      <c r="C42" s="5">
        <f t="shared" si="17"/>
        <v>1.3489015314697513E-2</v>
      </c>
      <c r="D42" s="3">
        <f t="shared" si="18"/>
        <v>6252864.2281172015</v>
      </c>
    </row>
    <row r="43" spans="1:17">
      <c r="A43" t="s">
        <v>114</v>
      </c>
      <c r="B43" s="12">
        <v>13.950695037841797</v>
      </c>
      <c r="C43" s="5">
        <f t="shared" si="17"/>
        <v>1.4776973841211037E-2</v>
      </c>
      <c r="D43" s="3">
        <f t="shared" si="18"/>
        <v>6849900.3801156357</v>
      </c>
    </row>
    <row r="44" spans="1:17">
      <c r="A44" t="s">
        <v>115</v>
      </c>
      <c r="B44" s="12">
        <v>14.79203987121582</v>
      </c>
      <c r="C44" s="5">
        <f t="shared" si="17"/>
        <v>8.1341333474282407E-3</v>
      </c>
      <c r="D44" s="3">
        <f t="shared" si="18"/>
        <v>3770596.3147251294</v>
      </c>
      <c r="E44" s="3">
        <f t="shared" si="19"/>
        <v>3672902.3383629993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734580467.67259979</v>
      </c>
      <c r="K44" s="3">
        <f t="shared" ref="K44" si="29">(STDEV(D44:D46)*F44*G44)/H44</f>
        <v>722932496.50126505</v>
      </c>
    </row>
    <row r="45" spans="1:17">
      <c r="A45" t="s">
        <v>115</v>
      </c>
      <c r="B45" s="12">
        <v>23.099502563476562</v>
      </c>
      <c r="C45" s="5">
        <f t="shared" si="17"/>
        <v>2.2399087940453077E-5</v>
      </c>
      <c r="D45" s="3">
        <f t="shared" si="18"/>
        <v>10383.148988844572</v>
      </c>
    </row>
    <row r="46" spans="1:17">
      <c r="A46" t="s">
        <v>115</v>
      </c>
      <c r="B46" s="12">
        <v>13.873081207275391</v>
      </c>
      <c r="C46" s="5">
        <f t="shared" si="17"/>
        <v>1.5613615492416206E-2</v>
      </c>
      <c r="D46" s="3">
        <f t="shared" si="18"/>
        <v>7237727.551375024</v>
      </c>
    </row>
    <row r="47" spans="1:17">
      <c r="A47" t="s">
        <v>116</v>
      </c>
      <c r="B47" s="12">
        <v>14.127650260925293</v>
      </c>
      <c r="C47" s="5">
        <f t="shared" si="17"/>
        <v>1.3033283697407685E-2</v>
      </c>
      <c r="D47" s="3">
        <f t="shared" si="18"/>
        <v>6041608.7835282525</v>
      </c>
      <c r="E47" s="3">
        <f t="shared" si="19"/>
        <v>6251127.0958057521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1250225419.1611505</v>
      </c>
      <c r="K47" s="3">
        <f t="shared" ref="K47" si="31">(STDEV(D47:D49)*F47*G47)/H47</f>
        <v>611106895.2541765</v>
      </c>
    </row>
    <row r="48" spans="1:17">
      <c r="A48" t="s">
        <v>116</v>
      </c>
      <c r="B48" s="12">
        <v>14.977461814880371</v>
      </c>
      <c r="C48" s="5">
        <f t="shared" si="17"/>
        <v>7.1313290036392907E-3</v>
      </c>
      <c r="D48" s="3">
        <f t="shared" si="18"/>
        <v>3305744.0432441789</v>
      </c>
    </row>
    <row r="49" spans="1:11">
      <c r="A49" t="s">
        <v>116</v>
      </c>
      <c r="B49" s="12">
        <v>13.503787040710449</v>
      </c>
      <c r="C49" s="5">
        <f t="shared" si="17"/>
        <v>2.0291190937040852E-2</v>
      </c>
      <c r="D49" s="3">
        <f t="shared" si="18"/>
        <v>9406028.4606448226</v>
      </c>
    </row>
    <row r="50" spans="1:11">
      <c r="A50" t="s">
        <v>117</v>
      </c>
      <c r="B50" s="12">
        <v>12.840090751647949</v>
      </c>
      <c r="C50" s="5">
        <f t="shared" si="17"/>
        <v>3.2496488917140236E-2</v>
      </c>
      <c r="D50" s="3">
        <f t="shared" si="18"/>
        <v>15063822.551079214</v>
      </c>
      <c r="E50" s="3">
        <f t="shared" si="19"/>
        <v>12817737.011177355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2563547402.2354712</v>
      </c>
      <c r="K50" s="3">
        <f t="shared" ref="K50" si="33">(STDEV(D50:D52)*F50*G50)/H50</f>
        <v>451461595.91054916</v>
      </c>
    </row>
    <row r="51" spans="1:11">
      <c r="A51" t="s">
        <v>117</v>
      </c>
      <c r="B51" s="12">
        <v>13.065195083618164</v>
      </c>
      <c r="C51" s="5">
        <f t="shared" si="17"/>
        <v>2.7699175780297292E-2</v>
      </c>
      <c r="D51" s="3">
        <f t="shared" si="18"/>
        <v>12840016.957815668</v>
      </c>
    </row>
    <row r="52" spans="1:11">
      <c r="A52" t="s">
        <v>117</v>
      </c>
      <c r="B52" s="12">
        <v>13.342120170593262</v>
      </c>
      <c r="C52" s="5">
        <f t="shared" si="17"/>
        <v>2.2757672142693079E-2</v>
      </c>
      <c r="D52" s="3">
        <f t="shared" si="18"/>
        <v>10549371.524637189</v>
      </c>
    </row>
    <row r="53" spans="1:11">
      <c r="A53" t="s">
        <v>118</v>
      </c>
      <c r="B53" s="12">
        <v>14.915414810180664</v>
      </c>
      <c r="C53" s="5">
        <f t="shared" si="17"/>
        <v>7.4523162364945458E-3</v>
      </c>
      <c r="D53" s="3">
        <f t="shared" si="18"/>
        <v>3454538.4169755247</v>
      </c>
      <c r="E53" s="3">
        <f t="shared" si="19"/>
        <v>4943676.0113907894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988735202.27815783</v>
      </c>
      <c r="K53" s="3">
        <f t="shared" ref="K53" si="35">(STDEV(D53:D55)*F53*G53)/H53</f>
        <v>475575973.37933195</v>
      </c>
    </row>
    <row r="54" spans="1:11">
      <c r="A54" t="s">
        <v>118</v>
      </c>
      <c r="B54" s="12">
        <v>14.82231616973877</v>
      </c>
      <c r="C54" s="5">
        <f t="shared" si="17"/>
        <v>7.9612479404152815E-3</v>
      </c>
      <c r="D54" s="3">
        <f t="shared" si="18"/>
        <v>3690454.8846908007</v>
      </c>
    </row>
    <row r="55" spans="1:11">
      <c r="A55" t="s">
        <v>118</v>
      </c>
      <c r="B55" s="12">
        <v>13.788386344909668</v>
      </c>
      <c r="C55" s="5">
        <f t="shared" si="17"/>
        <v>1.6580727876653285E-2</v>
      </c>
      <c r="D55" s="3">
        <f t="shared" si="18"/>
        <v>7686034.7325060423</v>
      </c>
    </row>
    <row r="56" spans="1:11">
      <c r="A56" t="s">
        <v>119</v>
      </c>
      <c r="B56" s="12">
        <v>16.473823547363281</v>
      </c>
      <c r="C56" s="5">
        <f t="shared" si="17"/>
        <v>2.4662781205315966E-3</v>
      </c>
      <c r="D56" s="3">
        <f t="shared" si="18"/>
        <v>1143248.923415279</v>
      </c>
      <c r="E56" s="3">
        <f t="shared" si="19"/>
        <v>2013845.6012436785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402769120.24873567</v>
      </c>
      <c r="K56" s="3">
        <f t="shared" ref="K56" si="37">(STDEV(D56:D58)*F56*G56)/H56</f>
        <v>214484150.21049497</v>
      </c>
    </row>
    <row r="57" spans="1:11">
      <c r="A57" t="s">
        <v>119</v>
      </c>
      <c r="B57" s="12">
        <v>15.925923347473145</v>
      </c>
      <c r="C57" s="5">
        <f t="shared" si="17"/>
        <v>3.638199314386754E-3</v>
      </c>
      <c r="D57" s="3">
        <f t="shared" si="18"/>
        <v>1686495.7016471149</v>
      </c>
    </row>
    <row r="58" spans="1:11">
      <c r="A58" t="s">
        <v>119</v>
      </c>
      <c r="B58" s="12">
        <v>15.018095016479492</v>
      </c>
      <c r="C58" s="5">
        <f t="shared" si="17"/>
        <v>6.9286509837959897E-3</v>
      </c>
      <c r="D58" s="3">
        <f t="shared" si="18"/>
        <v>3211792.1786686415</v>
      </c>
    </row>
    <row r="59" spans="1:11">
      <c r="A59" t="s">
        <v>120</v>
      </c>
      <c r="B59" s="12">
        <v>13.411443710327148</v>
      </c>
      <c r="C59" s="5">
        <f t="shared" si="17"/>
        <v>2.1665297158020597E-2</v>
      </c>
      <c r="D59" s="3">
        <f t="shared" si="18"/>
        <v>10042998.575537916</v>
      </c>
      <c r="E59" s="3">
        <f t="shared" si="19"/>
        <v>9852134.9545972794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1970426990.919456</v>
      </c>
      <c r="K59" s="3">
        <f t="shared" ref="K59" si="39">(STDEV(D59:D61)*F59*G59)/H59</f>
        <v>38724395.714439854</v>
      </c>
    </row>
    <row r="60" spans="1:11">
      <c r="A60" t="s">
        <v>120</v>
      </c>
      <c r="B60" s="12">
        <v>13.437711715698242</v>
      </c>
      <c r="C60" s="5">
        <f t="shared" si="17"/>
        <v>2.1265212809025158E-2</v>
      </c>
      <c r="D60" s="3">
        <f t="shared" si="18"/>
        <v>9857538.5507919043</v>
      </c>
    </row>
    <row r="61" spans="1:11">
      <c r="A61" t="s">
        <v>120</v>
      </c>
      <c r="B61" s="12">
        <v>13.466842651367188</v>
      </c>
      <c r="C61" s="5">
        <f t="shared" si="17"/>
        <v>2.0830157674243593E-2</v>
      </c>
      <c r="D61" s="3">
        <f t="shared" si="18"/>
        <v>9655867.7374620158</v>
      </c>
    </row>
    <row r="62" spans="1:11">
      <c r="A62" t="s">
        <v>121</v>
      </c>
      <c r="B62" s="12">
        <v>14.035772323608398</v>
      </c>
      <c r="C62" s="5">
        <f t="shared" si="17"/>
        <v>1.3911294440435346E-2</v>
      </c>
      <c r="D62" s="3">
        <f t="shared" si="18"/>
        <v>6448612.6929239454</v>
      </c>
      <c r="E62" s="3">
        <f t="shared" si="19"/>
        <v>4922371.7348501477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984474346.97002959</v>
      </c>
      <c r="K62" s="3">
        <f t="shared" ref="K62" si="41">(STDEV(D62:D64)*F62*G62)/H62</f>
        <v>264599502.90881658</v>
      </c>
    </row>
    <row r="63" spans="1:11">
      <c r="A63" t="s">
        <v>121</v>
      </c>
      <c r="B63" s="12">
        <v>14.634560585021973</v>
      </c>
      <c r="C63" s="5">
        <f t="shared" si="17"/>
        <v>9.0958044311171583E-3</v>
      </c>
      <c r="D63" s="3">
        <f t="shared" si="18"/>
        <v>4216381.1684098318</v>
      </c>
    </row>
    <row r="64" spans="1:11">
      <c r="A64" t="s">
        <v>121</v>
      </c>
      <c r="B64" s="12">
        <v>14.673277854919434</v>
      </c>
      <c r="C64" s="5">
        <f t="shared" si="17"/>
        <v>8.849316985419119E-3</v>
      </c>
      <c r="D64" s="3">
        <f t="shared" si="18"/>
        <v>4102121.3432166674</v>
      </c>
    </row>
    <row r="65" spans="1:11">
      <c r="A65" t="s">
        <v>122</v>
      </c>
      <c r="B65" s="12">
        <v>18.024736404418945</v>
      </c>
      <c r="C65" s="5">
        <f t="shared" si="17"/>
        <v>8.2054575481767809E-4</v>
      </c>
      <c r="D65" s="3">
        <f t="shared" si="18"/>
        <v>380365.88128434063</v>
      </c>
      <c r="E65" s="3">
        <f t="shared" si="19"/>
        <v>250382.52476982438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50076504.953964874</v>
      </c>
      <c r="K65" s="3">
        <f t="shared" ref="K65" si="43">(STDEV(D65:D67)*F65*G65)/H65</f>
        <v>24692142.951733481</v>
      </c>
    </row>
    <row r="66" spans="1:11">
      <c r="A66" t="s">
        <v>122</v>
      </c>
      <c r="B66" s="12">
        <v>19.487819671630859</v>
      </c>
      <c r="C66" s="5">
        <f t="shared" si="17"/>
        <v>2.9055589100932205E-4</v>
      </c>
      <c r="D66" s="3">
        <f t="shared" si="18"/>
        <v>134687.85487857915</v>
      </c>
    </row>
    <row r="67" spans="1:11">
      <c r="A67" t="s">
        <v>122</v>
      </c>
      <c r="B67" s="12">
        <v>18.696830749511719</v>
      </c>
      <c r="C67" s="5">
        <f t="shared" si="17"/>
        <v>5.0931433696322422E-4</v>
      </c>
      <c r="D67" s="3">
        <f t="shared" si="18"/>
        <v>236093.83814655343</v>
      </c>
    </row>
    <row r="68" spans="1:11">
      <c r="A68" t="s">
        <v>123</v>
      </c>
      <c r="B68" s="12">
        <v>12.843544960021973</v>
      </c>
      <c r="C68" s="5">
        <f t="shared" si="17"/>
        <v>3.2416936416883382E-2</v>
      </c>
      <c r="D68" s="3">
        <f t="shared" si="18"/>
        <v>15026945.805704674</v>
      </c>
      <c r="E68" s="3">
        <f t="shared" si="19"/>
        <v>14423169.211630264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2884633842.3260527</v>
      </c>
      <c r="K68" s="3">
        <f t="shared" ref="K68" si="45">(STDEV(D68:D70)*F68*G68)/H68</f>
        <v>105706004.64495735</v>
      </c>
    </row>
    <row r="69" spans="1:11">
      <c r="A69" t="s">
        <v>123</v>
      </c>
      <c r="B69" s="12">
        <v>12.938858032226562</v>
      </c>
      <c r="C69" s="5">
        <f t="shared" si="17"/>
        <v>3.029700383566598E-2</v>
      </c>
      <c r="D69" s="3">
        <f t="shared" si="18"/>
        <v>14044246.157593872</v>
      </c>
    </row>
    <row r="70" spans="1:11">
      <c r="A70" t="s">
        <v>123</v>
      </c>
      <c r="B70" s="12">
        <v>12.923481941223145</v>
      </c>
      <c r="C70" s="5">
        <f t="shared" si="17"/>
        <v>3.0629370885074617E-2</v>
      </c>
      <c r="D70" s="3">
        <f t="shared" si="18"/>
        <v>14198315.67159225</v>
      </c>
    </row>
    <row r="71" spans="1:11">
      <c r="A71" t="s">
        <v>124</v>
      </c>
      <c r="B71" s="12">
        <v>15.779097557067871</v>
      </c>
      <c r="C71" s="5">
        <f t="shared" si="17"/>
        <v>4.0376927160646779E-3</v>
      </c>
      <c r="D71" s="3">
        <f t="shared" si="18"/>
        <v>1871681.7913981564</v>
      </c>
      <c r="E71" s="3">
        <f t="shared" si="19"/>
        <v>2227666.149713546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445533229.94270921</v>
      </c>
      <c r="K71" s="3">
        <f t="shared" ref="K71" si="47">(STDEV(D71:D73)*F71*G71)/H71</f>
        <v>70109820.61702542</v>
      </c>
    </row>
    <row r="72" spans="1:11">
      <c r="A72" t="s">
        <v>124</v>
      </c>
      <c r="B72" s="12">
        <v>15.330879211425781</v>
      </c>
      <c r="C72" s="5">
        <f t="shared" si="17"/>
        <v>5.5495670484326286E-3</v>
      </c>
      <c r="D72" s="3">
        <f t="shared" si="18"/>
        <v>2572514.6327673583</v>
      </c>
    </row>
    <row r="73" spans="1:11">
      <c r="A73" t="s">
        <v>124</v>
      </c>
      <c r="B73" s="12">
        <v>15.526689529418945</v>
      </c>
      <c r="C73" s="5">
        <f t="shared" si="17"/>
        <v>4.8296642466133504E-3</v>
      </c>
      <c r="D73" s="3">
        <f t="shared" si="18"/>
        <v>2238802.0249751224</v>
      </c>
    </row>
    <row r="74" spans="1:11">
      <c r="A74" t="s">
        <v>125</v>
      </c>
      <c r="B74" s="12">
        <v>15.48731803894043</v>
      </c>
      <c r="C74" s="5">
        <f t="shared" si="17"/>
        <v>4.9664939521926309E-3</v>
      </c>
      <c r="D74" s="3">
        <f t="shared" si="18"/>
        <v>2302229.7512694402</v>
      </c>
      <c r="E74" s="3">
        <f t="shared" si="19"/>
        <v>2478678.8661740534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495735773.23481071</v>
      </c>
      <c r="K74" s="3">
        <f t="shared" ref="K74" si="49">(STDEV(D74:D76)*F74*G74)/H74</f>
        <v>60240141.30881124</v>
      </c>
    </row>
    <row r="75" spans="1:11">
      <c r="A75" t="s">
        <v>125</v>
      </c>
      <c r="B75" s="12">
        <v>15.198205947875977</v>
      </c>
      <c r="C75" s="5">
        <f t="shared" si="17"/>
        <v>6.0973980299726454E-3</v>
      </c>
      <c r="D75" s="3">
        <f t="shared" si="18"/>
        <v>2826462.9505362245</v>
      </c>
    </row>
    <row r="76" spans="1:11">
      <c r="A76" t="s">
        <v>125</v>
      </c>
      <c r="B76" s="12">
        <v>15.484190940856934</v>
      </c>
      <c r="C76" s="5">
        <f t="shared" si="17"/>
        <v>4.977526462053748E-3</v>
      </c>
      <c r="D76" s="3">
        <f t="shared" si="18"/>
        <v>2307343.896716496</v>
      </c>
    </row>
    <row r="77" spans="1:11">
      <c r="A77" t="s">
        <v>126</v>
      </c>
      <c r="B77" s="12">
        <v>13.945632934570312</v>
      </c>
      <c r="C77" s="5">
        <f t="shared" si="17"/>
        <v>1.4830147642903061E-2</v>
      </c>
      <c r="D77" s="3">
        <f t="shared" si="18"/>
        <v>6874549.2187977871</v>
      </c>
      <c r="E77" s="3">
        <f t="shared" si="19"/>
        <v>5746059.2879172638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1149211857.5834527</v>
      </c>
      <c r="K77" s="3">
        <f t="shared" ref="K77" si="51">(STDEV(D77:D79)*F77*G77)/H77</f>
        <v>196006568.19847181</v>
      </c>
    </row>
    <row r="78" spans="1:11">
      <c r="A78" t="s">
        <v>126</v>
      </c>
      <c r="B78" s="12">
        <v>14.364026069641113</v>
      </c>
      <c r="C78" s="5">
        <f t="shared" si="17"/>
        <v>1.1020740194795703E-2</v>
      </c>
      <c r="D78" s="3">
        <f t="shared" si="18"/>
        <v>5108689.5910279248</v>
      </c>
    </row>
    <row r="79" spans="1:11">
      <c r="A79" t="s">
        <v>126</v>
      </c>
      <c r="B79" s="12">
        <v>14.324248313903809</v>
      </c>
      <c r="C79" s="5">
        <f t="shared" si="17"/>
        <v>1.1336237409004931E-2</v>
      </c>
      <c r="D79" s="3">
        <f t="shared" si="18"/>
        <v>5254939.0539260805</v>
      </c>
    </row>
    <row r="80" spans="1:11">
      <c r="A80" t="s">
        <v>127</v>
      </c>
      <c r="B80" s="12">
        <v>13.395646095275879</v>
      </c>
      <c r="C80" s="5">
        <f t="shared" si="17"/>
        <v>2.1909524107884177E-2</v>
      </c>
      <c r="D80" s="3">
        <f t="shared" si="18"/>
        <v>10156210.542662026</v>
      </c>
      <c r="E80" s="3">
        <f t="shared" si="19"/>
        <v>7214962.5120016336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1442992502.4003267</v>
      </c>
      <c r="K80" s="3">
        <f t="shared" ref="K80" si="53">(STDEV(D80:D82)*F80*G80)/H80</f>
        <v>509473519.07842022</v>
      </c>
    </row>
    <row r="81" spans="1:11">
      <c r="A81" t="s">
        <v>127</v>
      </c>
      <c r="B81" s="12">
        <v>14.206039428710938</v>
      </c>
      <c r="C81" s="5">
        <f t="shared" si="17"/>
        <v>1.2328122475846678E-2</v>
      </c>
      <c r="D81" s="3">
        <f t="shared" si="18"/>
        <v>5714729.6693389509</v>
      </c>
    </row>
    <row r="82" spans="1:11">
      <c r="A82" t="s">
        <v>127</v>
      </c>
      <c r="B82" s="12">
        <v>14.191511154174805</v>
      </c>
      <c r="C82" s="5">
        <f t="shared" si="17"/>
        <v>1.2455869988272167E-2</v>
      </c>
      <c r="D82" s="3">
        <f t="shared" si="18"/>
        <v>5773947.3240039237</v>
      </c>
    </row>
    <row r="83" spans="1:11">
      <c r="A83" t="s">
        <v>128</v>
      </c>
      <c r="B83" s="12">
        <v>20.000043869018555</v>
      </c>
      <c r="C83" s="5">
        <f t="shared" si="17"/>
        <v>2.0201303489685623E-4</v>
      </c>
      <c r="D83" s="3">
        <f t="shared" si="18"/>
        <v>93643.609266542684</v>
      </c>
      <c r="E83" s="3">
        <f t="shared" si="19"/>
        <v>95809.244584718122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19161848.916943625</v>
      </c>
      <c r="K83" s="3">
        <f t="shared" ref="K83" si="55">(STDEV(D83:D85)*F83*G83)/H83</f>
        <v>633159.49229086307</v>
      </c>
    </row>
    <row r="84" spans="1:11">
      <c r="A84" t="s">
        <v>128</v>
      </c>
      <c r="B84" s="12">
        <v>19.915369033813477</v>
      </c>
      <c r="C84" s="5">
        <f t="shared" si="17"/>
        <v>2.1452273892111576E-4</v>
      </c>
      <c r="D84" s="3">
        <f t="shared" si="18"/>
        <v>99442.511482362446</v>
      </c>
    </row>
    <row r="85" spans="1:11">
      <c r="A85" t="s">
        <v>128</v>
      </c>
      <c r="B85" s="12">
        <v>19.989578247070312</v>
      </c>
      <c r="C85" s="5">
        <f t="shared" si="17"/>
        <v>2.0351880613666515E-4</v>
      </c>
      <c r="D85" s="3">
        <f t="shared" si="18"/>
        <v>94341.613005249237</v>
      </c>
    </row>
    <row r="86" spans="1:11">
      <c r="A86" t="s">
        <v>129</v>
      </c>
      <c r="B86" s="12">
        <v>17.602895736694336</v>
      </c>
      <c r="C86" s="5">
        <f t="shared" si="17"/>
        <v>1.1068784369547681E-3</v>
      </c>
      <c r="D86" s="3">
        <f t="shared" si="18"/>
        <v>513096.05792852159</v>
      </c>
      <c r="E86" s="3">
        <f t="shared" si="19"/>
        <v>547993.07282995351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109598614.5659907</v>
      </c>
      <c r="K86" s="3">
        <f t="shared" ref="K86" si="57">(STDEV(D86:D88)*F86*G86)/H86</f>
        <v>6539046.5822912566</v>
      </c>
    </row>
    <row r="87" spans="1:11">
      <c r="A87" t="s">
        <v>129</v>
      </c>
      <c r="B87" s="12">
        <v>17.435237884521484</v>
      </c>
      <c r="C87" s="5">
        <f t="shared" si="17"/>
        <v>1.2467128776405059E-3</v>
      </c>
      <c r="D87" s="3">
        <f t="shared" si="18"/>
        <v>577916.63612668891</v>
      </c>
    </row>
    <row r="88" spans="1:11">
      <c r="A88" t="s">
        <v>129</v>
      </c>
      <c r="B88" s="12">
        <v>17.497432708740234</v>
      </c>
      <c r="C88" s="5">
        <f t="shared" si="17"/>
        <v>1.1928891535935395E-3</v>
      </c>
      <c r="D88" s="3">
        <f t="shared" si="18"/>
        <v>552966.52443464985</v>
      </c>
    </row>
    <row r="89" spans="1:11">
      <c r="A89" t="s">
        <v>130</v>
      </c>
      <c r="B89" s="12">
        <v>14.615615844726562</v>
      </c>
      <c r="C89" s="5">
        <f t="shared" si="17"/>
        <v>9.218903025530762E-3</v>
      </c>
      <c r="D89" s="3">
        <f t="shared" si="18"/>
        <v>4273443.8063847218</v>
      </c>
      <c r="E89" s="3">
        <f t="shared" si="19"/>
        <v>4183509.1795726023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836701835.9145205</v>
      </c>
      <c r="K89" s="3">
        <f t="shared" ref="K89" si="59">(STDEV(D89:D91)*F89*G89)/H89</f>
        <v>15641968.3284325</v>
      </c>
    </row>
    <row r="90" spans="1:11">
      <c r="A90" t="s">
        <v>130</v>
      </c>
      <c r="B90" s="12">
        <v>14.658400535583496</v>
      </c>
      <c r="C90" s="5">
        <f t="shared" si="17"/>
        <v>8.9432308660026723E-3</v>
      </c>
      <c r="D90" s="3">
        <f t="shared" si="18"/>
        <v>4145655.3396370532</v>
      </c>
    </row>
    <row r="91" spans="1:11">
      <c r="A91" t="s">
        <v>130</v>
      </c>
      <c r="B91" s="12">
        <v>14.66324520111084</v>
      </c>
      <c r="C91" s="5">
        <f t="shared" si="17"/>
        <v>8.9125397302019151E-3</v>
      </c>
      <c r="D91" s="3">
        <f t="shared" si="18"/>
        <v>4131428.3926960304</v>
      </c>
    </row>
    <row r="92" spans="1:11">
      <c r="A92" t="s">
        <v>131</v>
      </c>
      <c r="B92" s="12">
        <v>14.803502082824707</v>
      </c>
      <c r="C92" s="5">
        <f t="shared" si="17"/>
        <v>8.0682439159986373E-3</v>
      </c>
      <c r="D92" s="3">
        <f t="shared" si="18"/>
        <v>3740053.116486764</v>
      </c>
      <c r="E92" s="3">
        <f t="shared" si="19"/>
        <v>4070883.9099583551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814176781.99167109</v>
      </c>
      <c r="K92" s="3">
        <f t="shared" ref="K92" si="61">(STDEV(D92:D94)*F92*G92)/H92</f>
        <v>67784515.655733123</v>
      </c>
    </row>
    <row r="93" spans="1:11">
      <c r="A93" t="s">
        <v>131</v>
      </c>
      <c r="B93" s="12">
        <v>14.689476013183594</v>
      </c>
      <c r="C93" s="5">
        <f t="shared" si="17"/>
        <v>8.7481863109006609E-3</v>
      </c>
      <c r="D93" s="3">
        <f t="shared" si="18"/>
        <v>4055241.9852866023</v>
      </c>
    </row>
    <row r="94" spans="1:11">
      <c r="A94" t="s">
        <v>131</v>
      </c>
      <c r="B94" s="12">
        <v>14.568938255310059</v>
      </c>
      <c r="C94" s="5">
        <f t="shared" si="17"/>
        <v>9.5293595115987749E-3</v>
      </c>
      <c r="D94" s="3">
        <f t="shared" si="18"/>
        <v>4417356.6281016991</v>
      </c>
    </row>
    <row r="95" spans="1:11">
      <c r="A95" t="s">
        <v>132</v>
      </c>
      <c r="B95" s="12">
        <v>15.999848365783691</v>
      </c>
      <c r="C95" s="5">
        <f t="shared" si="17"/>
        <v>3.4522741804838982E-3</v>
      </c>
      <c r="D95" s="3">
        <f t="shared" si="18"/>
        <v>1600309.6760724871</v>
      </c>
      <c r="E95" s="3">
        <f t="shared" si="19"/>
        <v>2497188.7154476661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499437743.08953321</v>
      </c>
      <c r="K95" s="3">
        <f t="shared" ref="K95" si="63">(STDEV(D95:D97)*F95*G95)/H95</f>
        <v>195344146.74683535</v>
      </c>
    </row>
    <row r="96" spans="1:11">
      <c r="A96" t="s">
        <v>132</v>
      </c>
      <c r="B96" s="12">
        <v>15.456315040588379</v>
      </c>
      <c r="C96" s="5">
        <f t="shared" ref="C96:C109" si="64">10^((B96-8.011)/(-3.245))</f>
        <v>5.0769629450548061E-3</v>
      </c>
      <c r="D96" s="3">
        <f t="shared" ref="D96:D109" si="65">C96*$B$9</f>
        <v>2353437.9082526555</v>
      </c>
    </row>
    <row r="97" spans="1:11">
      <c r="A97" t="s">
        <v>132</v>
      </c>
      <c r="B97" s="12">
        <v>14.881843566894531</v>
      </c>
      <c r="C97" s="5">
        <f t="shared" si="64"/>
        <v>7.6319726484848785E-3</v>
      </c>
      <c r="D97" s="3">
        <f t="shared" si="65"/>
        <v>3537818.5620178562</v>
      </c>
    </row>
    <row r="98" spans="1:11">
      <c r="A98" t="s">
        <v>133</v>
      </c>
      <c r="B98" s="12">
        <v>14.065369606018066</v>
      </c>
      <c r="C98" s="5">
        <f t="shared" si="64"/>
        <v>1.3622181251489156E-2</v>
      </c>
      <c r="D98" s="3">
        <f t="shared" si="65"/>
        <v>6314593.6059214445</v>
      </c>
      <c r="E98" s="3">
        <f t="shared" ref="E98:E107" si="66">AVERAGE(D98:D100)</f>
        <v>6131362.2299016444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7">E98*F98*G98/H98</f>
        <v>1226272445.9803288</v>
      </c>
      <c r="K98" s="3">
        <f t="shared" ref="K98" si="68">(STDEV(D98:D100)*F98*G98)/H98</f>
        <v>33090224.788531959</v>
      </c>
    </row>
    <row r="99" spans="1:11">
      <c r="A99" t="s">
        <v>133</v>
      </c>
      <c r="B99" s="12">
        <v>14.139056205749512</v>
      </c>
      <c r="C99" s="5">
        <f t="shared" si="64"/>
        <v>1.2928225529379563E-2</v>
      </c>
      <c r="D99" s="3">
        <f t="shared" si="65"/>
        <v>5992908.8269036347</v>
      </c>
    </row>
    <row r="100" spans="1:11">
      <c r="A100" t="s">
        <v>133</v>
      </c>
      <c r="B100" s="12">
        <v>14.11719799041748</v>
      </c>
      <c r="C100" s="5">
        <f t="shared" si="64"/>
        <v>1.3130307209624296E-2</v>
      </c>
      <c r="D100" s="3">
        <f t="shared" si="65"/>
        <v>6086584.2568798549</v>
      </c>
    </row>
    <row r="101" spans="1:11">
      <c r="A101" t="s">
        <v>134</v>
      </c>
      <c r="B101" s="12">
        <v>13.871986389160156</v>
      </c>
      <c r="C101" s="5">
        <f t="shared" si="64"/>
        <v>1.5625749804107889E-2</v>
      </c>
      <c r="D101" s="3">
        <f t="shared" si="65"/>
        <v>7243352.4396073837</v>
      </c>
      <c r="E101" s="3">
        <f t="shared" si="66"/>
        <v>7337806.7562194131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9">E101*F101*G101/H101</f>
        <v>1467561351.2438827</v>
      </c>
      <c r="K101" s="3">
        <f t="shared" ref="K101" si="70">(STDEV(D101:D103)*F101*G101)/H101</f>
        <v>17057940.537712034</v>
      </c>
    </row>
    <row r="102" spans="1:11">
      <c r="A102" t="s">
        <v>134</v>
      </c>
      <c r="B102" s="12">
        <v>13.840085983276367</v>
      </c>
      <c r="C102" s="5">
        <f t="shared" si="64"/>
        <v>1.5983485807860912E-2</v>
      </c>
      <c r="D102" s="3">
        <f t="shared" si="65"/>
        <v>7409181.7910308037</v>
      </c>
    </row>
    <row r="103" spans="1:11">
      <c r="A103" t="s">
        <v>134</v>
      </c>
      <c r="B103" s="12">
        <v>13.849302291870117</v>
      </c>
      <c r="C103" s="5">
        <f t="shared" si="64"/>
        <v>1.5879299609627553E-2</v>
      </c>
      <c r="D103" s="3">
        <f t="shared" si="65"/>
        <v>7360886.0380200511</v>
      </c>
    </row>
    <row r="104" spans="1:11">
      <c r="A104" t="s">
        <v>135</v>
      </c>
      <c r="B104" s="12">
        <v>14.892757415771484</v>
      </c>
      <c r="C104" s="5">
        <f t="shared" si="64"/>
        <v>7.5730970719267302E-3</v>
      </c>
      <c r="D104" s="3">
        <f t="shared" si="65"/>
        <v>3510526.6524172272</v>
      </c>
      <c r="E104" s="3">
        <f t="shared" si="66"/>
        <v>3300243.2529956102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71">E104*F104*G104/H104</f>
        <v>660048650.59912205</v>
      </c>
      <c r="K104" s="3">
        <f t="shared" ref="K104" si="72">(STDEV(D104:D106)*F104*G104)/H104</f>
        <v>81654403.343523353</v>
      </c>
    </row>
    <row r="105" spans="1:11">
      <c r="A105" t="s">
        <v>135</v>
      </c>
      <c r="B105" s="12">
        <v>15.196595191955566</v>
      </c>
      <c r="C105" s="5">
        <f t="shared" si="64"/>
        <v>6.1043710912878088E-3</v>
      </c>
      <c r="D105" s="3">
        <f t="shared" si="65"/>
        <v>2829695.3292266498</v>
      </c>
    </row>
    <row r="106" spans="1:11">
      <c r="A106" t="s">
        <v>135</v>
      </c>
      <c r="B106" s="12">
        <v>14.872834205627441</v>
      </c>
      <c r="C106" s="5">
        <f t="shared" si="64"/>
        <v>7.6809190451813678E-3</v>
      </c>
      <c r="D106" s="3">
        <f t="shared" si="65"/>
        <v>3560507.7773429537</v>
      </c>
    </row>
    <row r="107" spans="1:11">
      <c r="A107" t="s">
        <v>136</v>
      </c>
      <c r="B107" s="12">
        <v>13.889697074890137</v>
      </c>
      <c r="C107" s="5">
        <f t="shared" si="64"/>
        <v>1.5430607616548941E-2</v>
      </c>
      <c r="D107" s="3">
        <f t="shared" si="65"/>
        <v>7152893.8275058484</v>
      </c>
      <c r="E107" s="3">
        <f t="shared" si="66"/>
        <v>8291902.5620431975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3">E107*F107*G107/H107</f>
        <v>1658380512.4086394</v>
      </c>
      <c r="K107" s="3">
        <f t="shared" ref="K107" si="74">(STDEV(D107:D109)*F107*G107)/H107</f>
        <v>197321195.45708501</v>
      </c>
    </row>
    <row r="108" spans="1:11">
      <c r="A108" t="s">
        <v>136</v>
      </c>
      <c r="B108" s="12">
        <v>13.584724426269531</v>
      </c>
      <c r="C108" s="5">
        <f t="shared" si="64"/>
        <v>1.915866986987939E-2</v>
      </c>
      <c r="D108" s="3">
        <f t="shared" si="65"/>
        <v>8881045.7022127025</v>
      </c>
    </row>
    <row r="109" spans="1:11">
      <c r="A109" t="s">
        <v>136</v>
      </c>
      <c r="B109" s="12">
        <v>13.590970993041992</v>
      </c>
      <c r="C109" s="5">
        <f t="shared" si="64"/>
        <v>1.9073938233702171E-2</v>
      </c>
      <c r="D109" s="3">
        <f t="shared" si="65"/>
        <v>8841768.1564110387</v>
      </c>
    </row>
  </sheetData>
  <mergeCells count="11">
    <mergeCell ref="G13:G14"/>
    <mergeCell ref="B13:B14"/>
    <mergeCell ref="C13:C14"/>
    <mergeCell ref="D13:D14"/>
    <mergeCell ref="E13:E14"/>
    <mergeCell ref="F13:F14"/>
    <mergeCell ref="H13:H14"/>
    <mergeCell ref="I13:I14"/>
    <mergeCell ref="J13:J14"/>
    <mergeCell ref="K13:K14"/>
    <mergeCell ref="L13:L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6E9B-43A6-224B-81A3-548A424507D8}">
  <dimension ref="A1:Q109"/>
  <sheetViews>
    <sheetView tabSelected="1" topLeftCell="A3" zoomScale="120" zoomScaleNormal="120" workbookViewId="0">
      <selection activeCell="H15" sqref="H15"/>
    </sheetView>
  </sheetViews>
  <sheetFormatPr baseColWidth="10" defaultRowHeight="15"/>
  <cols>
    <col min="1" max="1" width="33.7109375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2.5703125" style="2" customWidth="1"/>
    <col min="9" max="9" width="11.140625" style="2" customWidth="1"/>
    <col min="10" max="10" width="18" style="2" customWidth="1"/>
    <col min="11" max="11" width="11.140625" style="2" customWidth="1"/>
    <col min="12" max="12" width="14.7109375" style="2" customWidth="1"/>
    <col min="13" max="16384" width="10.7109375" style="2"/>
  </cols>
  <sheetData>
    <row r="1" spans="1:16">
      <c r="A1" s="2" t="s">
        <v>137</v>
      </c>
    </row>
    <row r="2" spans="1:16">
      <c r="A2" s="2" t="s">
        <v>56</v>
      </c>
    </row>
    <row r="3" spans="1:16">
      <c r="A3" s="2" t="s">
        <v>53</v>
      </c>
    </row>
    <row r="5" spans="1:16">
      <c r="A5" s="2" t="s">
        <v>155</v>
      </c>
      <c r="B5" s="3">
        <v>1500</v>
      </c>
      <c r="D5" s="2" t="s">
        <v>12</v>
      </c>
    </row>
    <row r="6" spans="1:16" ht="17">
      <c r="A6" s="2" t="s">
        <v>8</v>
      </c>
      <c r="B6" s="3">
        <v>1.096E-21</v>
      </c>
      <c r="D6" s="2" t="s">
        <v>11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156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157</v>
      </c>
      <c r="B8" s="3">
        <v>7.6207999999999981E-10</v>
      </c>
      <c r="D8" s="2" t="s">
        <v>15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158</v>
      </c>
      <c r="B9" s="3">
        <f>B8/B7</f>
        <v>463552311.43552303</v>
      </c>
      <c r="D9" s="2" t="s">
        <v>16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10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13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5" t="s">
        <v>1</v>
      </c>
      <c r="C13" s="16" t="s">
        <v>9</v>
      </c>
      <c r="D13" s="16" t="s">
        <v>14</v>
      </c>
      <c r="E13" s="16" t="s">
        <v>4</v>
      </c>
      <c r="F13" s="16" t="s">
        <v>5</v>
      </c>
      <c r="G13" s="16" t="s">
        <v>7</v>
      </c>
      <c r="H13" s="16" t="s">
        <v>161</v>
      </c>
      <c r="I13" s="16" t="s">
        <v>6</v>
      </c>
      <c r="J13" s="16" t="s">
        <v>160</v>
      </c>
      <c r="K13" s="14" t="s">
        <v>17</v>
      </c>
      <c r="L13" s="13"/>
      <c r="M13" s="1"/>
      <c r="N13" s="1"/>
      <c r="O13" s="1"/>
      <c r="P13" s="1"/>
    </row>
    <row r="14" spans="1:16">
      <c r="B14" s="15"/>
      <c r="C14" s="16"/>
      <c r="D14" s="16"/>
      <c r="E14" s="16"/>
      <c r="F14" s="16"/>
      <c r="G14" s="16"/>
      <c r="H14" s="16"/>
      <c r="I14" s="16"/>
      <c r="J14" s="16"/>
      <c r="K14" s="14"/>
      <c r="L14" s="13"/>
      <c r="M14" s="1"/>
      <c r="N14" s="1"/>
      <c r="O14" s="1"/>
      <c r="P14" s="1"/>
    </row>
    <row r="15" spans="1:16">
      <c r="A15" s="2" t="s">
        <v>49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18</v>
      </c>
      <c r="B16" s="12">
        <v>8.41131591796875</v>
      </c>
      <c r="C16" s="5">
        <f>10^((B16-8.454)/(-3.266))</f>
        <v>1.0305503684706239</v>
      </c>
      <c r="D16" s="3">
        <f>C16*$B$9</f>
        <v>477714005.35528767</v>
      </c>
      <c r="E16" s="3">
        <f t="shared" ref="E16" si="0">AVERAGE(D16:D18)</f>
        <v>442687639.02387661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468948770.15241158</v>
      </c>
      <c r="K16" s="3">
        <f t="shared" ref="K16" si="2">(STDEV(D16:D18)*F16*G16)/H16</f>
        <v>92569352.560999125</v>
      </c>
      <c r="L16" s="6"/>
      <c r="M16" s="1"/>
      <c r="N16" s="1"/>
      <c r="O16" s="1"/>
      <c r="P16" s="1"/>
    </row>
    <row r="17" spans="1:16">
      <c r="B17" s="12">
        <v>8.3265695571899414</v>
      </c>
      <c r="C17" s="5">
        <f t="shared" ref="C17:C30" si="3">10^((B17-8.454)/(-3.266))</f>
        <v>1.0939998990896458</v>
      </c>
      <c r="D17" s="3">
        <f t="shared" ref="D17:D30" si="4">C17*$B$9</f>
        <v>507126181.93323427</v>
      </c>
      <c r="L17" s="6"/>
      <c r="M17" s="1"/>
      <c r="N17" s="1"/>
      <c r="O17" s="1"/>
      <c r="P17" s="1"/>
    </row>
    <row r="18" spans="1:16">
      <c r="B18" s="12">
        <v>8.8802871704101562</v>
      </c>
      <c r="C18" s="5">
        <f t="shared" si="3"/>
        <v>0.74041854892324843</v>
      </c>
      <c r="D18" s="3">
        <f t="shared" si="4"/>
        <v>343222729.7831077</v>
      </c>
      <c r="L18" s="6"/>
      <c r="M18" s="1"/>
      <c r="N18" s="1"/>
      <c r="O18" s="1"/>
      <c r="P18" s="1"/>
    </row>
    <row r="19" spans="1:16">
      <c r="A19" s="2" t="s">
        <v>19</v>
      </c>
      <c r="B19" s="12">
        <v>11.036913871765137</v>
      </c>
      <c r="C19" s="5">
        <f t="shared" si="3"/>
        <v>0.16186415420047165</v>
      </c>
      <c r="D19" s="3">
        <f t="shared" si="4"/>
        <v>75032502.818184555</v>
      </c>
      <c r="E19" s="3">
        <f t="shared" ref="E19" si="5">AVERAGE(D19:D21)</f>
        <v>76882619.213057727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407217262.78102612</v>
      </c>
      <c r="K19" s="3">
        <f t="shared" ref="K19" si="7">(STDEV(D19:D21)*F19*G19)/H19</f>
        <v>8765217.3792139646</v>
      </c>
      <c r="L19" s="6"/>
      <c r="M19" s="1"/>
      <c r="N19" s="1"/>
      <c r="O19" s="1"/>
      <c r="P19" s="1"/>
    </row>
    <row r="20" spans="1:16">
      <c r="B20" s="12">
        <v>10.992966651916504</v>
      </c>
      <c r="C20" s="5">
        <f t="shared" si="3"/>
        <v>0.16695777906031728</v>
      </c>
      <c r="D20" s="3">
        <f t="shared" si="4"/>
        <v>77393664.395551443</v>
      </c>
      <c r="L20" s="6"/>
      <c r="M20" s="1"/>
      <c r="N20" s="1"/>
      <c r="O20" s="1"/>
      <c r="P20" s="1"/>
    </row>
    <row r="21" spans="1:16">
      <c r="B21" s="12">
        <v>10.977871894836426</v>
      </c>
      <c r="C21" s="5">
        <f t="shared" si="3"/>
        <v>0.16874404138596832</v>
      </c>
      <c r="D21" s="3">
        <f t="shared" si="4"/>
        <v>78221690.425437182</v>
      </c>
      <c r="L21" s="6"/>
      <c r="M21" s="1"/>
      <c r="N21" s="1"/>
      <c r="O21" s="1"/>
      <c r="P21" s="1"/>
    </row>
    <row r="22" spans="1:16">
      <c r="A22" s="2" t="s">
        <v>20</v>
      </c>
      <c r="B22" s="12">
        <v>13.939743995666504</v>
      </c>
      <c r="C22" s="5">
        <f t="shared" si="3"/>
        <v>2.0909701230217719E-2</v>
      </c>
      <c r="D22" s="3">
        <f t="shared" si="4"/>
        <v>9692740.336693624</v>
      </c>
      <c r="E22" s="3">
        <f t="shared" ref="E22" si="8">AVERAGE(D22:D24)</f>
        <v>9711723.0407616291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257196055.10491601</v>
      </c>
      <c r="K22" s="3">
        <f t="shared" ref="K22" si="10">(STDEV(D22:D24)*F22*G22)/H22</f>
        <v>10414490.856725398</v>
      </c>
      <c r="L22" s="6"/>
      <c r="M22" s="1"/>
      <c r="N22" s="1"/>
      <c r="O22" s="1"/>
      <c r="P22" s="1"/>
    </row>
    <row r="23" spans="1:16">
      <c r="B23" s="12">
        <v>13.994102478027344</v>
      </c>
      <c r="C23" s="5">
        <f t="shared" si="3"/>
        <v>2.0123525991256833E-2</v>
      </c>
      <c r="D23" s="3">
        <f t="shared" si="4"/>
        <v>9328306.9874799307</v>
      </c>
      <c r="L23" s="6"/>
      <c r="M23" s="1"/>
      <c r="N23" s="1"/>
      <c r="O23" s="1"/>
      <c r="P23" s="1"/>
    </row>
    <row r="24" spans="1:16">
      <c r="B24" s="12">
        <v>13.879383087158203</v>
      </c>
      <c r="C24" s="5">
        <f t="shared" si="3"/>
        <v>2.1818728002434173E-2</v>
      </c>
      <c r="D24" s="3">
        <f t="shared" si="4"/>
        <v>10114121.798111333</v>
      </c>
      <c r="L24" s="6"/>
      <c r="M24" s="1"/>
      <c r="N24" s="1"/>
      <c r="O24" s="1"/>
      <c r="P24" s="1"/>
    </row>
    <row r="25" spans="1:16">
      <c r="A25" s="2" t="s">
        <v>21</v>
      </c>
      <c r="B25" s="12">
        <v>16.596084594726562</v>
      </c>
      <c r="C25" s="5">
        <f t="shared" si="3"/>
        <v>3.2137815404393228E-3</v>
      </c>
      <c r="D25" s="3">
        <f t="shared" si="4"/>
        <v>1489755.8615194638</v>
      </c>
      <c r="E25" s="3">
        <f t="shared" ref="E25" si="11">AVERAGE(D25:D27)</f>
        <v>1970216.0859809767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260886663.92756572</v>
      </c>
      <c r="K25" s="3">
        <f t="shared" ref="K25" si="13">(STDEV(D25:D27)*F25*G25)/H25</f>
        <v>55124445.55061207</v>
      </c>
      <c r="L25" s="6"/>
      <c r="M25" s="1"/>
      <c r="N25" s="1"/>
      <c r="O25" s="1"/>
      <c r="P25" s="1"/>
    </row>
    <row r="26" spans="1:16">
      <c r="B26" s="12">
        <v>16.02796745300293</v>
      </c>
      <c r="C26" s="5">
        <f t="shared" si="3"/>
        <v>4.7969507807690635E-3</v>
      </c>
      <c r="D26" s="3">
        <f t="shared" si="4"/>
        <v>2223637.6222679364</v>
      </c>
      <c r="L26" s="6"/>
      <c r="M26" s="1"/>
      <c r="N26" s="1"/>
      <c r="O26" s="1"/>
      <c r="P26" s="1"/>
    </row>
    <row r="27" spans="1:16">
      <c r="B27" s="12">
        <v>16.044897079467773</v>
      </c>
      <c r="C27" s="5">
        <f t="shared" si="3"/>
        <v>4.7400362805895581E-3</v>
      </c>
      <c r="D27" s="3">
        <f t="shared" si="4"/>
        <v>2197254.7741555292</v>
      </c>
      <c r="L27" s="6"/>
      <c r="M27" s="1"/>
      <c r="N27" s="1"/>
      <c r="O27" s="1"/>
      <c r="P27" s="1"/>
    </row>
    <row r="28" spans="1:16">
      <c r="A28" s="2" t="s">
        <v>22</v>
      </c>
      <c r="B28" s="12">
        <v>17.406373977661133</v>
      </c>
      <c r="C28" s="5">
        <f t="shared" si="3"/>
        <v>1.8151726920288347E-3</v>
      </c>
      <c r="D28" s="3">
        <f t="shared" si="4"/>
        <v>841427.49704460718</v>
      </c>
      <c r="E28" s="3">
        <f t="shared" ref="E28" si="14">AVERAGE(D28:D30)</f>
        <v>879153.82712144556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582066887.65985525</v>
      </c>
      <c r="K28" s="3">
        <f t="shared" ref="K28" si="16">(STDEV(D28:D30)*F28*G28)/H28</f>
        <v>22708515.845969196</v>
      </c>
      <c r="L28" s="7"/>
      <c r="M28" s="1"/>
      <c r="N28" s="1"/>
      <c r="O28" s="1"/>
      <c r="P28" s="7"/>
    </row>
    <row r="29" spans="1:16">
      <c r="B29" s="12">
        <v>17.297658920288086</v>
      </c>
      <c r="C29" s="5">
        <f t="shared" si="3"/>
        <v>1.9597689029596079E-3</v>
      </c>
      <c r="D29" s="3">
        <f t="shared" si="4"/>
        <v>908455.40484638547</v>
      </c>
      <c r="L29" s="7"/>
      <c r="M29" s="1"/>
      <c r="N29" s="1"/>
      <c r="O29" s="1"/>
      <c r="P29" s="7"/>
    </row>
    <row r="30" spans="1:16">
      <c r="B30" s="12">
        <v>17.330635070800781</v>
      </c>
      <c r="C30" s="5">
        <f t="shared" si="3"/>
        <v>1.9147322914315791E-3</v>
      </c>
      <c r="D30" s="3">
        <f t="shared" si="4"/>
        <v>887578.57947334403</v>
      </c>
      <c r="L30" s="7"/>
      <c r="M30" s="1"/>
      <c r="N30" s="1"/>
      <c r="O30" s="1"/>
      <c r="P30" s="7"/>
    </row>
    <row r="31" spans="1:16">
      <c r="A31" s="2" t="s">
        <v>50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138</v>
      </c>
      <c r="B32" s="12">
        <v>16.483457565307617</v>
      </c>
      <c r="C32" s="5">
        <f t="shared" ref="C32:C88" si="17">10^((B32-8.454)/(-3.266))</f>
        <v>3.4793735018395868E-3</v>
      </c>
      <c r="D32" s="3">
        <f t="shared" ref="D32:D88" si="18">C32*$B$9</f>
        <v>1612871.6291252505</v>
      </c>
      <c r="E32" s="3">
        <f t="shared" ref="E32:E86" si="19">AVERAGE(D32:D34)</f>
        <v>1514560.911471816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302912182.2943632</v>
      </c>
      <c r="K32" s="3">
        <f t="shared" ref="K32" si="21">(STDEV(D32:D34)*F32*G32)/H32</f>
        <v>17442918.623004034</v>
      </c>
      <c r="L32" s="3"/>
    </row>
    <row r="33" spans="1:17">
      <c r="A33" t="s">
        <v>138</v>
      </c>
      <c r="B33" s="12">
        <v>16.637884140014648</v>
      </c>
      <c r="C33" s="5">
        <f t="shared" si="17"/>
        <v>3.1204552643486296E-3</v>
      </c>
      <c r="D33" s="3">
        <f t="shared" si="18"/>
        <v>1446494.2505199532</v>
      </c>
    </row>
    <row r="34" spans="1:17">
      <c r="A34" t="s">
        <v>138</v>
      </c>
      <c r="B34" s="12">
        <v>16.601272583007812</v>
      </c>
      <c r="C34" s="5">
        <f t="shared" si="17"/>
        <v>3.2020482222893686E-3</v>
      </c>
      <c r="D34" s="3">
        <f t="shared" si="18"/>
        <v>1484316.8547702443</v>
      </c>
    </row>
    <row r="35" spans="1:17">
      <c r="A35" t="s">
        <v>139</v>
      </c>
      <c r="B35" s="12">
        <v>16.360355377197266</v>
      </c>
      <c r="C35" s="5">
        <f t="shared" si="17"/>
        <v>3.7948366580234116E-3</v>
      </c>
      <c r="D35" s="3">
        <f t="shared" si="18"/>
        <v>1759105.304347008</v>
      </c>
      <c r="E35" s="3">
        <f t="shared" si="19"/>
        <v>1961503.8554342242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392300771.08684486</v>
      </c>
      <c r="K35" s="3">
        <f t="shared" ref="K35" si="23">(STDEV(D35:D37)*F35*G35)/H35</f>
        <v>40678977.780034617</v>
      </c>
    </row>
    <row r="36" spans="1:17">
      <c r="A36" t="s">
        <v>139</v>
      </c>
      <c r="B36" s="12">
        <v>16.065296173095703</v>
      </c>
      <c r="C36" s="5">
        <f t="shared" si="17"/>
        <v>4.6723543340468137E-3</v>
      </c>
      <c r="D36" s="3">
        <f t="shared" si="18"/>
        <v>2165880.6513931844</v>
      </c>
    </row>
    <row r="37" spans="1:17">
      <c r="A37" t="s">
        <v>139</v>
      </c>
      <c r="B37" s="12">
        <v>16.207313537597656</v>
      </c>
      <c r="C37" s="5">
        <f t="shared" si="17"/>
        <v>4.2271941315409388E-3</v>
      </c>
      <c r="D37" s="3">
        <f t="shared" si="18"/>
        <v>1959525.6105624805</v>
      </c>
    </row>
    <row r="38" spans="1:17">
      <c r="A38" t="s">
        <v>140</v>
      </c>
      <c r="B38" s="12">
        <v>16.427242279052734</v>
      </c>
      <c r="C38" s="5">
        <f t="shared" si="17"/>
        <v>3.6200396342215696E-3</v>
      </c>
      <c r="D38" s="3">
        <f t="shared" si="18"/>
        <v>1678077.7399316139</v>
      </c>
      <c r="E38" s="3">
        <f t="shared" si="19"/>
        <v>1181471.1356911387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236294227.13822773</v>
      </c>
      <c r="K38" s="3">
        <f t="shared" ref="K38" si="25">(STDEV(D38:D40)*F38*G38)/H38</f>
        <v>120296641.3923267</v>
      </c>
    </row>
    <row r="39" spans="1:17">
      <c r="A39" t="s">
        <v>140</v>
      </c>
      <c r="B39" s="12">
        <v>16.731962203979492</v>
      </c>
      <c r="C39" s="5">
        <f t="shared" si="17"/>
        <v>2.9202005258896816E-3</v>
      </c>
      <c r="D39" s="3">
        <f t="shared" si="18"/>
        <v>1353665.7036313917</v>
      </c>
    </row>
    <row r="40" spans="1:17">
      <c r="A40" t="s">
        <v>140</v>
      </c>
      <c r="B40" s="12">
        <v>18.109148025512695</v>
      </c>
      <c r="C40" s="5">
        <f t="shared" si="17"/>
        <v>1.1059592431386651E-3</v>
      </c>
      <c r="D40" s="3">
        <f t="shared" si="18"/>
        <v>512669.96351040981</v>
      </c>
    </row>
    <row r="41" spans="1:17">
      <c r="A41" t="s">
        <v>141</v>
      </c>
      <c r="B41" s="12">
        <v>14.334873199462891</v>
      </c>
      <c r="C41" s="5">
        <f t="shared" si="17"/>
        <v>1.5825783403878031E-2</v>
      </c>
      <c r="D41" s="3">
        <f t="shared" si="18"/>
        <v>7336078.4771456011</v>
      </c>
      <c r="E41" s="3">
        <f t="shared" si="19"/>
        <v>7479142.1254034899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1495828425.080698</v>
      </c>
      <c r="K41" s="3">
        <f t="shared" ref="K41" si="27">(STDEV(D41:D43)*F41*G41)/H41</f>
        <v>199347005.76889944</v>
      </c>
      <c r="M41" s="8"/>
      <c r="N41" s="1"/>
      <c r="O41" s="1"/>
      <c r="P41" s="1"/>
      <c r="Q41" s="9"/>
    </row>
    <row r="42" spans="1:17">
      <c r="A42" t="s">
        <v>141</v>
      </c>
      <c r="B42" s="12">
        <v>14.119390487670898</v>
      </c>
      <c r="C42" s="5">
        <f t="shared" si="17"/>
        <v>1.8422254504416244E-2</v>
      </c>
      <c r="D42" s="3">
        <f t="shared" si="18"/>
        <v>8539678.6573756263</v>
      </c>
    </row>
    <row r="43" spans="1:17">
      <c r="A43" t="s">
        <v>141</v>
      </c>
      <c r="B43" s="12">
        <v>14.493109703063965</v>
      </c>
      <c r="C43" s="5">
        <f t="shared" si="17"/>
        <v>1.415518611344887E-2</v>
      </c>
      <c r="D43" s="3">
        <f t="shared" si="18"/>
        <v>6561669.2416892415</v>
      </c>
    </row>
    <row r="44" spans="1:17">
      <c r="A44" t="s">
        <v>142</v>
      </c>
      <c r="B44" s="12">
        <v>14.528650283813477</v>
      </c>
      <c r="C44" s="5">
        <f t="shared" si="17"/>
        <v>1.3804910438880803E-2</v>
      </c>
      <c r="D44" s="3">
        <f t="shared" si="18"/>
        <v>6399298.1431035772</v>
      </c>
      <c r="E44" s="3">
        <f t="shared" si="19"/>
        <v>6151614.415987622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1230322883.1975243</v>
      </c>
      <c r="K44" s="3">
        <f t="shared" ref="K44" si="29">(STDEV(D44:D46)*F44*G44)/H44</f>
        <v>246571795.66044375</v>
      </c>
    </row>
    <row r="45" spans="1:17">
      <c r="A45" t="s">
        <v>142</v>
      </c>
      <c r="B45" s="12">
        <v>14.932497024536133</v>
      </c>
      <c r="C45" s="5">
        <f t="shared" si="17"/>
        <v>1.038440948301456E-2</v>
      </c>
      <c r="D45" s="3">
        <f t="shared" si="18"/>
        <v>4813717.0187443634</v>
      </c>
    </row>
    <row r="46" spans="1:17">
      <c r="A46" t="s">
        <v>142</v>
      </c>
      <c r="B46" s="12">
        <v>14.353214263916016</v>
      </c>
      <c r="C46" s="5">
        <f t="shared" si="17"/>
        <v>1.5622461386695541E-2</v>
      </c>
      <c r="D46" s="3">
        <f t="shared" si="18"/>
        <v>7241828.0861149244</v>
      </c>
    </row>
    <row r="47" spans="1:17">
      <c r="A47" t="s">
        <v>143</v>
      </c>
      <c r="B47" s="12">
        <v>14.575331687927246</v>
      </c>
      <c r="C47" s="5">
        <f t="shared" si="17"/>
        <v>1.3357969598826833E-2</v>
      </c>
      <c r="D47" s="3">
        <f t="shared" si="18"/>
        <v>6192117.6836216245</v>
      </c>
      <c r="E47" s="3">
        <f t="shared" si="19"/>
        <v>7332462.6144230301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1466492522.8846061</v>
      </c>
      <c r="K47" s="3">
        <f t="shared" ref="K47" si="31">(STDEV(D47:D49)*F47*G47)/H47</f>
        <v>642340301.73626482</v>
      </c>
    </row>
    <row r="48" spans="1:17">
      <c r="A48" t="s">
        <v>143</v>
      </c>
      <c r="B48" s="12">
        <v>13.765621185302734</v>
      </c>
      <c r="C48" s="5">
        <f t="shared" si="17"/>
        <v>2.364076951708894E-2</v>
      </c>
      <c r="D48" s="3">
        <f t="shared" si="18"/>
        <v>10958733.353761032</v>
      </c>
    </row>
    <row r="49" spans="1:11">
      <c r="A49" t="s">
        <v>143</v>
      </c>
      <c r="B49" s="12">
        <v>14.922859191894531</v>
      </c>
      <c r="C49" s="5">
        <f t="shared" si="17"/>
        <v>1.0455210094579706E-2</v>
      </c>
      <c r="D49" s="3">
        <f t="shared" si="18"/>
        <v>4846536.8058864363</v>
      </c>
    </row>
    <row r="50" spans="1:11">
      <c r="A50" t="s">
        <v>144</v>
      </c>
      <c r="B50" s="12">
        <v>13.944186210632324</v>
      </c>
      <c r="C50" s="5">
        <f t="shared" si="17"/>
        <v>2.0844317903399794E-2</v>
      </c>
      <c r="D50" s="3">
        <f t="shared" si="18"/>
        <v>9662431.7444178294</v>
      </c>
      <c r="E50" s="3">
        <f t="shared" si="19"/>
        <v>10330731.605242677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2066146321.0485353</v>
      </c>
      <c r="K50" s="3">
        <f t="shared" ref="K50" si="33">(STDEV(D50:D52)*F50*G50)/H50</f>
        <v>219330856.8159346</v>
      </c>
    </row>
    <row r="51" spans="1:11">
      <c r="A51" t="s">
        <v>144</v>
      </c>
      <c r="B51" s="12">
        <v>13.685401916503906</v>
      </c>
      <c r="C51" s="5">
        <f t="shared" si="17"/>
        <v>2.5016326736870265E-2</v>
      </c>
      <c r="D51" s="3">
        <f t="shared" si="18"/>
        <v>11596376.082502486</v>
      </c>
    </row>
    <row r="52" spans="1:11">
      <c r="A52" t="s">
        <v>144</v>
      </c>
      <c r="B52" s="12">
        <v>13.933808326721191</v>
      </c>
      <c r="C52" s="5">
        <f t="shared" si="17"/>
        <v>2.0997386376233315E-2</v>
      </c>
      <c r="D52" s="3">
        <f t="shared" si="18"/>
        <v>9733386.9888077136</v>
      </c>
    </row>
    <row r="53" spans="1:11">
      <c r="A53" t="s">
        <v>145</v>
      </c>
      <c r="B53" s="12">
        <v>15.91077995300293</v>
      </c>
      <c r="C53" s="5">
        <f t="shared" si="17"/>
        <v>5.210103005725047E-3</v>
      </c>
      <c r="D53" s="3">
        <f t="shared" si="18"/>
        <v>2415155.2911210116</v>
      </c>
      <c r="E53" s="3">
        <f t="shared" si="19"/>
        <v>2275290.4987703306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455058099.75406611</v>
      </c>
      <c r="K53" s="3">
        <f t="shared" ref="K53" si="35">(STDEV(D53:D55)*F53*G53)/H53</f>
        <v>28479146.243990749</v>
      </c>
    </row>
    <row r="54" spans="1:11">
      <c r="A54" t="s">
        <v>145</v>
      </c>
      <c r="B54" s="12">
        <v>15.992323875427246</v>
      </c>
      <c r="C54" s="5">
        <f t="shared" si="17"/>
        <v>4.9190222717308985E-3</v>
      </c>
      <c r="D54" s="3">
        <f t="shared" si="18"/>
        <v>2280224.1440636753</v>
      </c>
    </row>
    <row r="55" spans="1:11">
      <c r="A55" t="s">
        <v>145</v>
      </c>
      <c r="B55" s="12">
        <v>16.088663101196289</v>
      </c>
      <c r="C55" s="5">
        <f t="shared" si="17"/>
        <v>4.5960121620980017E-3</v>
      </c>
      <c r="D55" s="3">
        <f t="shared" si="18"/>
        <v>2130492.0611263043</v>
      </c>
    </row>
    <row r="56" spans="1:11">
      <c r="A56" t="s">
        <v>146</v>
      </c>
      <c r="B56" s="12">
        <v>18.944984436035156</v>
      </c>
      <c r="C56" s="5">
        <f t="shared" si="17"/>
        <v>6.1350570417654431E-4</v>
      </c>
      <c r="D56" s="3">
        <f t="shared" si="18"/>
        <v>284391.98724991531</v>
      </c>
      <c r="E56" s="3">
        <f t="shared" si="19"/>
        <v>445556.46540173079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89111293.080346152</v>
      </c>
      <c r="K56" s="3">
        <f t="shared" ref="K56" si="37">(STDEV(D56:D58)*F56*G56)/H56</f>
        <v>28392741.956969239</v>
      </c>
    </row>
    <row r="57" spans="1:11">
      <c r="A57" t="s">
        <v>146</v>
      </c>
      <c r="B57" s="12">
        <v>18.144096374511719</v>
      </c>
      <c r="C57" s="5">
        <f t="shared" si="17"/>
        <v>1.0790422867103884E-3</v>
      </c>
      <c r="D57" s="3">
        <f t="shared" si="18"/>
        <v>500192.54614127288</v>
      </c>
    </row>
    <row r="58" spans="1:11">
      <c r="A58" t="s">
        <v>146</v>
      </c>
      <c r="B58" s="12">
        <v>18.004087448120117</v>
      </c>
      <c r="C58" s="5">
        <f t="shared" si="17"/>
        <v>1.1909871856842103E-3</v>
      </c>
      <c r="D58" s="3">
        <f t="shared" si="18"/>
        <v>552084.86281400418</v>
      </c>
    </row>
    <row r="59" spans="1:11">
      <c r="A59" t="s">
        <v>147</v>
      </c>
      <c r="B59" s="12">
        <v>13.981536865234375</v>
      </c>
      <c r="C59" s="5">
        <f t="shared" si="17"/>
        <v>2.0302591681449926E-2</v>
      </c>
      <c r="D59" s="3">
        <f t="shared" si="18"/>
        <v>9411313.3020677362</v>
      </c>
      <c r="E59" s="3">
        <f t="shared" si="19"/>
        <v>8478641.4759849906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1695728295.1969981</v>
      </c>
      <c r="K59" s="3">
        <f t="shared" ref="K59" si="39">(STDEV(D59:D61)*F59*G59)/H59</f>
        <v>198504601.80633786</v>
      </c>
    </row>
    <row r="60" spans="1:11">
      <c r="A60" t="s">
        <v>147</v>
      </c>
      <c r="B60" s="12">
        <v>14.111205101013184</v>
      </c>
      <c r="C60" s="5">
        <f t="shared" si="17"/>
        <v>1.8528873652734958E-2</v>
      </c>
      <c r="D60" s="3">
        <f t="shared" si="18"/>
        <v>8589102.2100220527</v>
      </c>
    </row>
    <row r="61" spans="1:11">
      <c r="A61" t="s">
        <v>147</v>
      </c>
      <c r="B61" s="12">
        <v>14.315777778625488</v>
      </c>
      <c r="C61" s="5">
        <f t="shared" si="17"/>
        <v>1.6040280098785376E-2</v>
      </c>
      <c r="D61" s="3">
        <f t="shared" si="18"/>
        <v>7435508.915865181</v>
      </c>
    </row>
    <row r="62" spans="1:11">
      <c r="A62" t="s">
        <v>2</v>
      </c>
      <c r="B62" s="12">
        <v>14.614188194274902</v>
      </c>
      <c r="C62" s="5">
        <f t="shared" si="17"/>
        <v>1.2997001642718052E-2</v>
      </c>
      <c r="D62" s="3">
        <f t="shared" si="18"/>
        <v>6024790.153213243</v>
      </c>
      <c r="E62" s="3">
        <f t="shared" si="19"/>
        <v>6316926.7845467813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1263385356.9093564</v>
      </c>
      <c r="K62" s="3">
        <f t="shared" ref="K62" si="41">(STDEV(D62:D64)*F62*G62)/H62</f>
        <v>55734557.943027161</v>
      </c>
    </row>
    <row r="63" spans="1:11">
      <c r="A63" t="s">
        <v>2</v>
      </c>
      <c r="B63" s="12">
        <v>14.540477752685547</v>
      </c>
      <c r="C63" s="5">
        <f t="shared" si="17"/>
        <v>1.3690275902921134E-2</v>
      </c>
      <c r="D63" s="3">
        <f t="shared" si="18"/>
        <v>6346159.0389891332</v>
      </c>
    </row>
    <row r="64" spans="1:11">
      <c r="A64" t="s">
        <v>2</v>
      </c>
      <c r="B64" s="12">
        <v>14.489189147949219</v>
      </c>
      <c r="C64" s="5">
        <f t="shared" si="17"/>
        <v>1.419436598441636E-2</v>
      </c>
      <c r="D64" s="3">
        <f t="shared" si="18"/>
        <v>6579831.1614379669</v>
      </c>
    </row>
    <row r="65" spans="1:11">
      <c r="A65" t="s">
        <v>148</v>
      </c>
      <c r="B65" s="12">
        <v>18.07560920715332</v>
      </c>
      <c r="C65" s="5">
        <f t="shared" si="17"/>
        <v>1.1324217538110466E-3</v>
      </c>
      <c r="D65" s="3">
        <f t="shared" si="18"/>
        <v>524936.72149897949</v>
      </c>
      <c r="E65" s="3">
        <f t="shared" si="19"/>
        <v>496750.59584778151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99350119.169556305</v>
      </c>
      <c r="K65" s="3">
        <f t="shared" ref="K65" si="43">(STDEV(D65:D67)*F65*G65)/H65</f>
        <v>8229002.3200468393</v>
      </c>
    </row>
    <row r="66" spans="1:11">
      <c r="A66" t="s">
        <v>148</v>
      </c>
      <c r="B66" s="12">
        <v>18.100570678710938</v>
      </c>
      <c r="C66" s="5">
        <f t="shared" si="17"/>
        <v>1.1126674336777939E-3</v>
      </c>
      <c r="D66" s="3">
        <f t="shared" si="18"/>
        <v>515779.56074037286</v>
      </c>
    </row>
    <row r="67" spans="1:11">
      <c r="A67" t="s">
        <v>148</v>
      </c>
      <c r="B67" s="12">
        <v>18.295551300048828</v>
      </c>
      <c r="C67" s="5">
        <f t="shared" si="17"/>
        <v>9.6976219126569836E-4</v>
      </c>
      <c r="D67" s="3">
        <f t="shared" si="18"/>
        <v>449535.50530399225</v>
      </c>
    </row>
    <row r="68" spans="1:11">
      <c r="A68" t="s">
        <v>3</v>
      </c>
      <c r="B68" s="12">
        <v>14.690570831298828</v>
      </c>
      <c r="C68" s="5">
        <f t="shared" si="17"/>
        <v>1.2315610948087566E-2</v>
      </c>
      <c r="D68" s="3">
        <f t="shared" si="18"/>
        <v>5708929.9217266245</v>
      </c>
      <c r="E68" s="3">
        <f t="shared" si="19"/>
        <v>6374703.4382158788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1274940687.6431758</v>
      </c>
      <c r="K68" s="3">
        <f t="shared" ref="K68" si="45">(STDEV(D68:D70)*F68*G68)/H68</f>
        <v>174367081.58818728</v>
      </c>
    </row>
    <row r="69" spans="1:11">
      <c r="A69" t="s">
        <v>3</v>
      </c>
      <c r="B69" s="12">
        <v>14.329957962036133</v>
      </c>
      <c r="C69" s="5">
        <f t="shared" si="17"/>
        <v>1.5880720023140948E-2</v>
      </c>
      <c r="D69" s="3">
        <f t="shared" si="18"/>
        <v>7361544.4739873791</v>
      </c>
    </row>
    <row r="70" spans="1:11">
      <c r="A70" t="s">
        <v>3</v>
      </c>
      <c r="B70" s="12">
        <v>14.607413291931152</v>
      </c>
      <c r="C70" s="5">
        <f t="shared" si="17"/>
        <v>1.3059229281344337E-2</v>
      </c>
      <c r="D70" s="3">
        <f t="shared" si="18"/>
        <v>6053635.9189336319</v>
      </c>
    </row>
    <row r="71" spans="1:11">
      <c r="A71" t="s">
        <v>149</v>
      </c>
      <c r="B71" s="12">
        <v>20.355251312255859</v>
      </c>
      <c r="C71" s="5">
        <f t="shared" si="17"/>
        <v>2.2699491692784962E-4</v>
      </c>
      <c r="D71" s="3">
        <f t="shared" si="18"/>
        <v>105224.01842601923</v>
      </c>
      <c r="E71" s="3">
        <f t="shared" si="19"/>
        <v>113208.76137811599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22641752.275623199</v>
      </c>
      <c r="K71" s="3">
        <f t="shared" ref="K71" si="47">(STDEV(D71:D73)*F71*G71)/H71</f>
        <v>1931282.7924600479</v>
      </c>
    </row>
    <row r="72" spans="1:11">
      <c r="A72" t="s">
        <v>149</v>
      </c>
      <c r="B72" s="12">
        <v>20.123035430908203</v>
      </c>
      <c r="C72" s="5">
        <f t="shared" si="17"/>
        <v>2.6737274629415775E-4</v>
      </c>
      <c r="D72" s="3">
        <f t="shared" si="18"/>
        <v>123941.2545595205</v>
      </c>
    </row>
    <row r="73" spans="1:11">
      <c r="A73" t="s">
        <v>149</v>
      </c>
      <c r="B73" s="12">
        <v>20.286357879638672</v>
      </c>
      <c r="C73" s="5">
        <f t="shared" si="17"/>
        <v>2.3829243954524561E-4</v>
      </c>
      <c r="D73" s="3">
        <f t="shared" si="18"/>
        <v>110461.01114880823</v>
      </c>
    </row>
    <row r="74" spans="1:11">
      <c r="A74" t="s">
        <v>150</v>
      </c>
      <c r="B74" s="12">
        <v>16.629268646240234</v>
      </c>
      <c r="C74" s="5">
        <f t="shared" si="17"/>
        <v>3.1394668034399526E-3</v>
      </c>
      <c r="D74" s="3">
        <f t="shared" si="18"/>
        <v>1455307.0934096829</v>
      </c>
      <c r="E74" s="3">
        <f t="shared" si="19"/>
        <v>1467105.5449010266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293421108.98020536</v>
      </c>
      <c r="K74" s="3">
        <f t="shared" ref="K74" si="49">(STDEV(D74:D76)*F74*G74)/H74</f>
        <v>5141182.1397307916</v>
      </c>
    </row>
    <row r="75" spans="1:11">
      <c r="A75" t="s">
        <v>150</v>
      </c>
      <c r="B75" s="12">
        <v>16.635021209716797</v>
      </c>
      <c r="C75" s="5">
        <f t="shared" si="17"/>
        <v>3.1267599960597085E-3</v>
      </c>
      <c r="D75" s="3">
        <f t="shared" si="18"/>
        <v>1449416.8234776047</v>
      </c>
    </row>
    <row r="76" spans="1:11">
      <c r="A76" t="s">
        <v>150</v>
      </c>
      <c r="B76" s="12">
        <v>16.589590072631836</v>
      </c>
      <c r="C76" s="5">
        <f t="shared" si="17"/>
        <v>3.2285303748808051E-3</v>
      </c>
      <c r="D76" s="3">
        <f t="shared" si="18"/>
        <v>1496592.7178157929</v>
      </c>
    </row>
    <row r="77" spans="1:11">
      <c r="A77" t="s">
        <v>151</v>
      </c>
      <c r="B77" s="12">
        <v>15.662699699401855</v>
      </c>
      <c r="C77" s="5">
        <f t="shared" si="17"/>
        <v>6.2058996118277135E-3</v>
      </c>
      <c r="D77" s="3">
        <f t="shared" si="18"/>
        <v>2876759.1095995517</v>
      </c>
      <c r="E77" s="3">
        <f t="shared" si="19"/>
        <v>2673989.285900054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534797857.1800108</v>
      </c>
      <c r="K77" s="3">
        <f t="shared" ref="K77" si="51">(STDEV(D77:D79)*F77*G77)/H77</f>
        <v>66769553.517229944</v>
      </c>
    </row>
    <row r="78" spans="1:11">
      <c r="A78" t="s">
        <v>151</v>
      </c>
      <c r="B78" s="12">
        <v>15.67270565032959</v>
      </c>
      <c r="C78" s="5">
        <f t="shared" si="17"/>
        <v>6.1622749887346642E-3</v>
      </c>
      <c r="D78" s="3">
        <f t="shared" si="18"/>
        <v>2856536.8147292654</v>
      </c>
    </row>
    <row r="79" spans="1:11">
      <c r="A79" t="s">
        <v>151</v>
      </c>
      <c r="B79" s="12">
        <v>15.987078666687012</v>
      </c>
      <c r="C79" s="5">
        <f t="shared" si="17"/>
        <v>4.9372462975835769E-3</v>
      </c>
      <c r="D79" s="3">
        <f t="shared" si="18"/>
        <v>2288671.933371345</v>
      </c>
    </row>
    <row r="80" spans="1:11">
      <c r="A80" t="s">
        <v>152</v>
      </c>
      <c r="B80" s="12">
        <v>16.575145721435547</v>
      </c>
      <c r="C80" s="5">
        <f t="shared" si="17"/>
        <v>3.2615761255808113E-3</v>
      </c>
      <c r="D80" s="3">
        <f t="shared" si="18"/>
        <v>1511911.1519359029</v>
      </c>
      <c r="E80" s="3">
        <f t="shared" si="19"/>
        <v>1453063.4285335653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290612685.70671308</v>
      </c>
      <c r="K80" s="3">
        <f t="shared" ref="K80" si="53">(STDEV(D80:D82)*F80*G80)/H80</f>
        <v>11379407.938348588</v>
      </c>
    </row>
    <row r="81" spans="1:11">
      <c r="A81" t="s">
        <v>152</v>
      </c>
      <c r="B81" s="12">
        <v>16.685905456542969</v>
      </c>
      <c r="C81" s="5">
        <f t="shared" si="17"/>
        <v>3.0165779839616846E-3</v>
      </c>
      <c r="D81" s="3">
        <f t="shared" si="18"/>
        <v>1398341.6970909489</v>
      </c>
    </row>
    <row r="82" spans="1:11">
      <c r="A82" t="s">
        <v>152</v>
      </c>
      <c r="B82" s="12">
        <v>16.635490417480469</v>
      </c>
      <c r="C82" s="5">
        <f t="shared" si="17"/>
        <v>3.125725836824743E-3</v>
      </c>
      <c r="D82" s="3">
        <f t="shared" si="18"/>
        <v>1448937.4365738442</v>
      </c>
    </row>
    <row r="83" spans="1:11">
      <c r="A83" t="s">
        <v>153</v>
      </c>
      <c r="B83" s="12">
        <v>21.18757438659668</v>
      </c>
      <c r="C83" s="5">
        <f t="shared" si="17"/>
        <v>1.2623254703214999E-4</v>
      </c>
      <c r="D83" s="3">
        <f t="shared" si="18"/>
        <v>58515.388955146496</v>
      </c>
      <c r="E83" s="3">
        <f t="shared" si="19"/>
        <v>66167.559981740764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13233511.996348152</v>
      </c>
      <c r="K83" s="3">
        <f t="shared" ref="K83" si="55">(STDEV(D83:D85)*F83*G83)/H83</f>
        <v>1326128.8530659736</v>
      </c>
    </row>
    <row r="84" spans="1:11">
      <c r="A84" t="s">
        <v>153</v>
      </c>
      <c r="B84" s="12">
        <v>20.937994003295898</v>
      </c>
      <c r="C84" s="5">
        <f t="shared" si="17"/>
        <v>1.5051822866914838E-4</v>
      </c>
      <c r="D84" s="3">
        <f t="shared" si="18"/>
        <v>69773.072812764338</v>
      </c>
    </row>
    <row r="85" spans="1:11">
      <c r="A85" t="s">
        <v>153</v>
      </c>
      <c r="B85" s="12">
        <v>20.929054260253906</v>
      </c>
      <c r="C85" s="5">
        <f t="shared" si="17"/>
        <v>1.5146989119711846E-4</v>
      </c>
      <c r="D85" s="3">
        <f t="shared" si="18"/>
        <v>70214.218177311443</v>
      </c>
    </row>
    <row r="86" spans="1:11">
      <c r="A86" t="s">
        <v>154</v>
      </c>
      <c r="B86" s="12">
        <v>15.429939270019531</v>
      </c>
      <c r="C86" s="5">
        <f t="shared" si="17"/>
        <v>7.3126111977801899E-3</v>
      </c>
      <c r="D86" s="3">
        <f t="shared" si="18"/>
        <v>3389777.8233602955</v>
      </c>
      <c r="E86" s="3">
        <f t="shared" si="19"/>
        <v>3322097.0358686061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664419407.17372119</v>
      </c>
      <c r="K86" s="3">
        <f t="shared" ref="K86" si="57">(STDEV(D86:D88)*F86*G86)/H86</f>
        <v>26443958.025940992</v>
      </c>
    </row>
    <row r="87" spans="1:11">
      <c r="A87" t="s">
        <v>154</v>
      </c>
      <c r="B87" s="12">
        <v>15.422844886779785</v>
      </c>
      <c r="C87" s="5">
        <f t="shared" si="17"/>
        <v>7.3492780126836335E-3</v>
      </c>
      <c r="D87" s="3">
        <f t="shared" si="18"/>
        <v>3406774.8101617657</v>
      </c>
    </row>
    <row r="88" spans="1:11">
      <c r="A88" t="s">
        <v>154</v>
      </c>
      <c r="B88" s="12">
        <v>15.52513599395752</v>
      </c>
      <c r="C88" s="5">
        <f t="shared" si="17"/>
        <v>6.8379304684464829E-3</v>
      </c>
      <c r="D88" s="3">
        <f t="shared" si="18"/>
        <v>3169738.4740837561</v>
      </c>
    </row>
    <row r="89" spans="1:11">
      <c r="A89"/>
      <c r="B89"/>
      <c r="C89" s="5"/>
      <c r="D89" s="3"/>
      <c r="E89" s="3"/>
      <c r="J89" s="3"/>
      <c r="K89" s="3"/>
    </row>
    <row r="90" spans="1:11">
      <c r="A90"/>
      <c r="B90"/>
      <c r="C90" s="5"/>
      <c r="D90" s="3"/>
    </row>
    <row r="91" spans="1:11">
      <c r="A91"/>
      <c r="B91"/>
      <c r="C91" s="5"/>
      <c r="D91" s="3"/>
    </row>
    <row r="92" spans="1:11">
      <c r="A92"/>
      <c r="B92"/>
      <c r="C92" s="5"/>
      <c r="D92" s="3"/>
      <c r="E92" s="3"/>
      <c r="J92" s="3"/>
      <c r="K92" s="3"/>
    </row>
    <row r="93" spans="1:11">
      <c r="A93"/>
      <c r="B93"/>
      <c r="C93" s="5"/>
      <c r="D93" s="3"/>
    </row>
    <row r="94" spans="1:11">
      <c r="A94"/>
      <c r="B94"/>
      <c r="C94" s="5"/>
      <c r="D94" s="3"/>
    </row>
    <row r="95" spans="1:11">
      <c r="A95"/>
      <c r="B95"/>
      <c r="C95" s="5"/>
      <c r="D95" s="3"/>
      <c r="E95" s="3"/>
      <c r="J95" s="3"/>
      <c r="K95" s="3"/>
    </row>
    <row r="96" spans="1:11">
      <c r="A96"/>
      <c r="B96"/>
      <c r="C96" s="5"/>
      <c r="D96" s="3"/>
    </row>
    <row r="97" spans="1:11">
      <c r="A97"/>
      <c r="B97"/>
      <c r="C97" s="5"/>
      <c r="D97" s="3"/>
    </row>
    <row r="98" spans="1:11">
      <c r="A98"/>
      <c r="B98"/>
      <c r="C98" s="5"/>
      <c r="D98" s="3"/>
      <c r="E98" s="3"/>
      <c r="J98" s="3"/>
      <c r="K98" s="3"/>
    </row>
    <row r="99" spans="1:11">
      <c r="A99"/>
      <c r="B99"/>
      <c r="C99" s="5"/>
      <c r="D99" s="3"/>
    </row>
    <row r="100" spans="1:11">
      <c r="A100"/>
      <c r="B100"/>
      <c r="C100" s="5"/>
      <c r="D100" s="3"/>
    </row>
    <row r="101" spans="1:11">
      <c r="A101"/>
      <c r="B101"/>
      <c r="C101" s="5"/>
      <c r="D101" s="3"/>
      <c r="E101" s="3"/>
      <c r="J101" s="3"/>
      <c r="K101" s="3"/>
    </row>
    <row r="102" spans="1:11">
      <c r="A102"/>
      <c r="B102"/>
      <c r="C102" s="5"/>
      <c r="D102" s="3"/>
    </row>
    <row r="103" spans="1:11">
      <c r="A103"/>
      <c r="B103"/>
      <c r="C103" s="5"/>
      <c r="D103" s="3"/>
    </row>
    <row r="104" spans="1:11">
      <c r="A104"/>
      <c r="B104"/>
      <c r="C104" s="5"/>
      <c r="D104" s="3"/>
      <c r="E104" s="3"/>
      <c r="J104" s="3"/>
      <c r="K104" s="3"/>
    </row>
    <row r="105" spans="1:11">
      <c r="A105"/>
      <c r="B105"/>
      <c r="C105" s="5"/>
      <c r="D105" s="3"/>
    </row>
    <row r="106" spans="1:11">
      <c r="A106"/>
      <c r="B106"/>
      <c r="C106" s="5"/>
      <c r="D106" s="3"/>
    </row>
    <row r="107" spans="1:11">
      <c r="A107"/>
      <c r="B107"/>
      <c r="C107" s="5"/>
      <c r="D107" s="3"/>
      <c r="E107" s="3"/>
      <c r="J107" s="3"/>
      <c r="K107" s="3"/>
    </row>
    <row r="108" spans="1:11">
      <c r="A108"/>
      <c r="B108"/>
      <c r="C108" s="5"/>
      <c r="D108" s="3"/>
    </row>
    <row r="109" spans="1:11">
      <c r="A109"/>
      <c r="B109"/>
      <c r="C109" s="5"/>
      <c r="D109" s="3"/>
    </row>
  </sheetData>
  <mergeCells count="10">
    <mergeCell ref="H13:H14"/>
    <mergeCell ref="I13:I14"/>
    <mergeCell ref="J13:J14"/>
    <mergeCell ref="K13:K14"/>
    <mergeCell ref="B13:B14"/>
    <mergeCell ref="C13:C14"/>
    <mergeCell ref="D13:D14"/>
    <mergeCell ref="E13:E14"/>
    <mergeCell ref="F13:F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20230412_qPCR_I</vt:lpstr>
      <vt:lpstr>20230412_qPCR_II</vt:lpstr>
      <vt:lpstr>20230412_qPCR_III</vt:lpstr>
      <vt:lpstr>20230412_qPCR_IV</vt:lpstr>
      <vt:lpstr>20230412_qPCR_V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Debjyoti Ghosh</dc:creator>
  <cp:lastModifiedBy>Debjyoti Ghosh</cp:lastModifiedBy>
  <dcterms:created xsi:type="dcterms:W3CDTF">2023-02-24T12:03:24Z</dcterms:created>
  <dcterms:modified xsi:type="dcterms:W3CDTF">2023-08-16T16:07:57Z</dcterms:modified>
</cp:coreProperties>
</file>