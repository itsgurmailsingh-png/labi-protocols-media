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oshd/qPCR/21_HS_T1/"/>
    </mc:Choice>
  </mc:AlternateContent>
  <xr:revisionPtr revIDLastSave="0" documentId="13_ncr:1_{E1C9603D-2B7C-9841-B59B-D818A53228CE}" xr6:coauthVersionLast="47" xr6:coauthVersionMax="47" xr10:uidLastSave="{00000000-0000-0000-0000-000000000000}"/>
  <bookViews>
    <workbookView xWindow="51220" yWindow="2900" windowWidth="38400" windowHeight="19180" activeTab="2" xr2:uid="{A144B6EC-1C78-CC4F-81A6-7BAC3E6393D8}"/>
  </bookViews>
  <sheets>
    <sheet name="20230425_qPCR_I" sheetId="1" r:id="rId1"/>
    <sheet name="20230425_qPCR_II" sheetId="3" r:id="rId2"/>
    <sheet name="20230426_qPCR_III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4" i="6" l="1"/>
  <c r="E71" i="6"/>
  <c r="K74" i="6"/>
  <c r="J74" i="6"/>
  <c r="D73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58" i="6"/>
  <c r="B7" i="6"/>
  <c r="B9" i="6" s="1"/>
  <c r="D109" i="6" s="1"/>
  <c r="C109" i="3"/>
  <c r="C108" i="3"/>
  <c r="C107" i="3"/>
  <c r="C106" i="3"/>
  <c r="C105" i="3"/>
  <c r="C104" i="3"/>
  <c r="C103" i="3"/>
  <c r="D103" i="3" s="1"/>
  <c r="C102" i="3"/>
  <c r="C101" i="3"/>
  <c r="C100" i="3"/>
  <c r="C99" i="3"/>
  <c r="C98" i="3"/>
  <c r="C97" i="3"/>
  <c r="C96" i="3"/>
  <c r="C95" i="3"/>
  <c r="C94" i="3"/>
  <c r="D94" i="3" s="1"/>
  <c r="C93" i="3"/>
  <c r="C92" i="3"/>
  <c r="C91" i="3"/>
  <c r="C90" i="3"/>
  <c r="C89" i="3"/>
  <c r="C88" i="3"/>
  <c r="C87" i="3"/>
  <c r="C86" i="3"/>
  <c r="D86" i="3" s="1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D70" i="3" s="1"/>
  <c r="C69" i="3"/>
  <c r="C68" i="3"/>
  <c r="C67" i="3"/>
  <c r="C66" i="3"/>
  <c r="C65" i="3"/>
  <c r="C64" i="3"/>
  <c r="C63" i="3"/>
  <c r="D63" i="3" s="1"/>
  <c r="C62" i="3"/>
  <c r="D62" i="3" s="1"/>
  <c r="C61" i="3"/>
  <c r="C60" i="3"/>
  <c r="D60" i="3" s="1"/>
  <c r="C59" i="3"/>
  <c r="C58" i="3"/>
  <c r="C57" i="3"/>
  <c r="C56" i="3"/>
  <c r="C55" i="3"/>
  <c r="D55" i="3" s="1"/>
  <c r="C54" i="3"/>
  <c r="C53" i="3"/>
  <c r="C52" i="3"/>
  <c r="C51" i="3"/>
  <c r="C50" i="3"/>
  <c r="C49" i="3"/>
  <c r="C48" i="3"/>
  <c r="C47" i="3"/>
  <c r="D47" i="3" s="1"/>
  <c r="C46" i="3"/>
  <c r="D46" i="3" s="1"/>
  <c r="C45" i="3"/>
  <c r="C44" i="3"/>
  <c r="C43" i="3"/>
  <c r="C42" i="3"/>
  <c r="C41" i="3"/>
  <c r="C40" i="3"/>
  <c r="C39" i="3"/>
  <c r="C38" i="3"/>
  <c r="D38" i="3" s="1"/>
  <c r="C37" i="3"/>
  <c r="C36" i="3"/>
  <c r="C35" i="3"/>
  <c r="C34" i="3"/>
  <c r="C33" i="3"/>
  <c r="C32" i="3"/>
  <c r="C30" i="3"/>
  <c r="C29" i="3"/>
  <c r="C28" i="3"/>
  <c r="D28" i="3" s="1"/>
  <c r="C27" i="3"/>
  <c r="C26" i="3"/>
  <c r="C25" i="3"/>
  <c r="D25" i="3" s="1"/>
  <c r="C24" i="3"/>
  <c r="C23" i="3"/>
  <c r="D23" i="3" s="1"/>
  <c r="C22" i="3"/>
  <c r="C21" i="3"/>
  <c r="C20" i="3"/>
  <c r="C19" i="3"/>
  <c r="C18" i="3"/>
  <c r="C17" i="3"/>
  <c r="C16" i="3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D108" i="3"/>
  <c r="D105" i="3"/>
  <c r="D104" i="3"/>
  <c r="D100" i="3"/>
  <c r="D99" i="3"/>
  <c r="D98" i="3"/>
  <c r="D96" i="3"/>
  <c r="D95" i="3"/>
  <c r="D89" i="3"/>
  <c r="D77" i="3"/>
  <c r="D76" i="3"/>
  <c r="D75" i="3"/>
  <c r="D74" i="3"/>
  <c r="D72" i="3"/>
  <c r="D65" i="3"/>
  <c r="D61" i="3"/>
  <c r="D58" i="3"/>
  <c r="D57" i="3"/>
  <c r="D56" i="3"/>
  <c r="D50" i="3"/>
  <c r="D48" i="3"/>
  <c r="D43" i="3"/>
  <c r="D42" i="3"/>
  <c r="D41" i="3"/>
  <c r="D39" i="3"/>
  <c r="D33" i="3"/>
  <c r="D32" i="3"/>
  <c r="D30" i="3"/>
  <c r="D27" i="3"/>
  <c r="D26" i="3"/>
  <c r="D19" i="3"/>
  <c r="D18" i="3"/>
  <c r="D17" i="3"/>
  <c r="D16" i="3"/>
  <c r="D109" i="3"/>
  <c r="D91" i="3"/>
  <c r="D82" i="3"/>
  <c r="D81" i="3"/>
  <c r="D79" i="3"/>
  <c r="D71" i="3"/>
  <c r="D67" i="3"/>
  <c r="D53" i="3"/>
  <c r="D52" i="3"/>
  <c r="D51" i="3"/>
  <c r="D37" i="3"/>
  <c r="D36" i="3"/>
  <c r="D34" i="3"/>
  <c r="D22" i="3"/>
  <c r="D21" i="3"/>
  <c r="B9" i="3"/>
  <c r="D90" i="3" s="1"/>
  <c r="B7" i="3"/>
  <c r="B7" i="1"/>
  <c r="B9" i="1"/>
  <c r="D27" i="1" s="1"/>
  <c r="D28" i="6" l="1"/>
  <c r="D94" i="6"/>
  <c r="D46" i="6"/>
  <c r="D62" i="6"/>
  <c r="D39" i="6"/>
  <c r="D63" i="6"/>
  <c r="D23" i="6"/>
  <c r="D48" i="6"/>
  <c r="K47" i="6" s="1"/>
  <c r="D72" i="6"/>
  <c r="D89" i="6"/>
  <c r="D97" i="6"/>
  <c r="D105" i="6"/>
  <c r="D78" i="6"/>
  <c r="D21" i="6"/>
  <c r="D54" i="6"/>
  <c r="E53" i="6" s="1"/>
  <c r="J53" i="6" s="1"/>
  <c r="D70" i="6"/>
  <c r="D95" i="6"/>
  <c r="D47" i="6"/>
  <c r="D71" i="6"/>
  <c r="D96" i="6"/>
  <c r="D16" i="6"/>
  <c r="K16" i="6" s="1"/>
  <c r="D24" i="6"/>
  <c r="D41" i="6"/>
  <c r="D49" i="6"/>
  <c r="D57" i="6"/>
  <c r="D65" i="6"/>
  <c r="D74" i="6"/>
  <c r="D82" i="6"/>
  <c r="D106" i="6"/>
  <c r="D44" i="6"/>
  <c r="K44" i="6" s="1"/>
  <c r="D102" i="6"/>
  <c r="D38" i="6"/>
  <c r="D17" i="6"/>
  <c r="D58" i="6"/>
  <c r="D75" i="6"/>
  <c r="D91" i="6"/>
  <c r="D99" i="6"/>
  <c r="D53" i="6"/>
  <c r="D86" i="6"/>
  <c r="D29" i="6"/>
  <c r="D87" i="6"/>
  <c r="D34" i="6"/>
  <c r="D18" i="6"/>
  <c r="D26" i="6"/>
  <c r="D43" i="6"/>
  <c r="D51" i="6"/>
  <c r="D67" i="6"/>
  <c r="D92" i="6"/>
  <c r="K92" i="6" s="1"/>
  <c r="D100" i="6"/>
  <c r="D19" i="6"/>
  <c r="D68" i="6"/>
  <c r="D77" i="6"/>
  <c r="D101" i="6"/>
  <c r="K71" i="6"/>
  <c r="J71" i="6"/>
  <c r="K95" i="6"/>
  <c r="D40" i="6"/>
  <c r="D64" i="6"/>
  <c r="D83" i="6"/>
  <c r="D88" i="6"/>
  <c r="D93" i="6"/>
  <c r="D59" i="6"/>
  <c r="D107" i="6"/>
  <c r="D20" i="6"/>
  <c r="E19" i="6" s="1"/>
  <c r="J19" i="6" s="1"/>
  <c r="D45" i="6"/>
  <c r="D69" i="6"/>
  <c r="D22" i="6"/>
  <c r="D27" i="6"/>
  <c r="D33" i="6"/>
  <c r="D52" i="6"/>
  <c r="D76" i="6"/>
  <c r="D81" i="6"/>
  <c r="D35" i="6"/>
  <c r="D60" i="6"/>
  <c r="D79" i="6"/>
  <c r="D25" i="6"/>
  <c r="D30" i="6"/>
  <c r="D36" i="6"/>
  <c r="D50" i="6"/>
  <c r="D55" i="6"/>
  <c r="D84" i="6"/>
  <c r="D98" i="6"/>
  <c r="D103" i="6"/>
  <c r="D108" i="6"/>
  <c r="D32" i="6"/>
  <c r="D37" i="6"/>
  <c r="D42" i="6"/>
  <c r="D56" i="6"/>
  <c r="D61" i="6"/>
  <c r="D66" i="6"/>
  <c r="D80" i="6"/>
  <c r="D85" i="6"/>
  <c r="D90" i="6"/>
  <c r="K89" i="6" s="1"/>
  <c r="D104" i="6"/>
  <c r="K95" i="3"/>
  <c r="E95" i="3"/>
  <c r="E56" i="3"/>
  <c r="J56" i="3" s="1"/>
  <c r="K56" i="3"/>
  <c r="K32" i="3"/>
  <c r="E32" i="3"/>
  <c r="J32" i="3" s="1"/>
  <c r="K16" i="3"/>
  <c r="E16" i="3"/>
  <c r="J16" i="3" s="1"/>
  <c r="K89" i="3"/>
  <c r="E89" i="3"/>
  <c r="J89" i="3" s="1"/>
  <c r="E25" i="3"/>
  <c r="J25" i="3" s="1"/>
  <c r="K25" i="3"/>
  <c r="E50" i="3"/>
  <c r="J50" i="3" s="1"/>
  <c r="K50" i="3"/>
  <c r="E74" i="3"/>
  <c r="J74" i="3" s="1"/>
  <c r="K74" i="3"/>
  <c r="E98" i="3"/>
  <c r="J98" i="3" s="1"/>
  <c r="K98" i="3"/>
  <c r="K41" i="3"/>
  <c r="E41" i="3"/>
  <c r="J41" i="3" s="1"/>
  <c r="D107" i="3"/>
  <c r="D35" i="3"/>
  <c r="D83" i="3"/>
  <c r="D29" i="3"/>
  <c r="E28" i="3" s="1"/>
  <c r="J28" i="3" s="1"/>
  <c r="D44" i="3"/>
  <c r="D49" i="3"/>
  <c r="K47" i="3" s="1"/>
  <c r="D54" i="3"/>
  <c r="E53" i="3" s="1"/>
  <c r="J53" i="3" s="1"/>
  <c r="D68" i="3"/>
  <c r="D73" i="3"/>
  <c r="K71" i="3" s="1"/>
  <c r="D78" i="3"/>
  <c r="E77" i="3" s="1"/>
  <c r="J77" i="3" s="1"/>
  <c r="D92" i="3"/>
  <c r="D97" i="3"/>
  <c r="D102" i="3"/>
  <c r="D69" i="3"/>
  <c r="D24" i="3"/>
  <c r="K22" i="3" s="1"/>
  <c r="D20" i="3"/>
  <c r="K19" i="3" s="1"/>
  <c r="D64" i="3"/>
  <c r="K62" i="3" s="1"/>
  <c r="D88" i="3"/>
  <c r="K86" i="3" s="1"/>
  <c r="D84" i="3"/>
  <c r="D40" i="3"/>
  <c r="K38" i="3" s="1"/>
  <c r="D59" i="3"/>
  <c r="D93" i="3"/>
  <c r="D87" i="3"/>
  <c r="D101" i="3"/>
  <c r="D106" i="3"/>
  <c r="K104" i="3" s="1"/>
  <c r="D45" i="3"/>
  <c r="D66" i="3"/>
  <c r="K65" i="3" s="1"/>
  <c r="D80" i="3"/>
  <c r="D85" i="3"/>
  <c r="D83" i="1"/>
  <c r="E83" i="1" s="1"/>
  <c r="J83" i="1" s="1"/>
  <c r="D37" i="1"/>
  <c r="D45" i="1"/>
  <c r="D53" i="1"/>
  <c r="D61" i="1"/>
  <c r="D69" i="1"/>
  <c r="D40" i="1"/>
  <c r="D80" i="1"/>
  <c r="D95" i="1"/>
  <c r="D103" i="1"/>
  <c r="D64" i="1"/>
  <c r="D66" i="1"/>
  <c r="D88" i="1"/>
  <c r="D96" i="1"/>
  <c r="D104" i="1"/>
  <c r="D56" i="1"/>
  <c r="D35" i="1"/>
  <c r="D51" i="1"/>
  <c r="D59" i="1"/>
  <c r="E59" i="1" s="1"/>
  <c r="J59" i="1" s="1"/>
  <c r="D89" i="1"/>
  <c r="K89" i="1" s="1"/>
  <c r="D97" i="1"/>
  <c r="D58" i="1"/>
  <c r="D44" i="1"/>
  <c r="D52" i="1"/>
  <c r="D90" i="1"/>
  <c r="D107" i="1"/>
  <c r="D21" i="1"/>
  <c r="D29" i="1"/>
  <c r="D38" i="1"/>
  <c r="D77" i="1"/>
  <c r="D84" i="1"/>
  <c r="D16" i="1"/>
  <c r="D22" i="1"/>
  <c r="D30" i="1"/>
  <c r="D70" i="1"/>
  <c r="D78" i="1"/>
  <c r="D85" i="1"/>
  <c r="D93" i="1"/>
  <c r="D65" i="1"/>
  <c r="D105" i="1"/>
  <c r="D72" i="1"/>
  <c r="D106" i="1"/>
  <c r="D47" i="1"/>
  <c r="D86" i="1"/>
  <c r="D92" i="1"/>
  <c r="D99" i="1"/>
  <c r="D39" i="1"/>
  <c r="K38" i="1" s="1"/>
  <c r="D79" i="1"/>
  <c r="D46" i="1"/>
  <c r="D74" i="1"/>
  <c r="D33" i="1"/>
  <c r="D60" i="1"/>
  <c r="D91" i="1"/>
  <c r="D34" i="1"/>
  <c r="D73" i="1"/>
  <c r="D48" i="1"/>
  <c r="D67" i="1"/>
  <c r="D87" i="1"/>
  <c r="D100" i="1"/>
  <c r="D42" i="1"/>
  <c r="D49" i="1"/>
  <c r="D62" i="1"/>
  <c r="D68" i="1"/>
  <c r="D75" i="1"/>
  <c r="D82" i="1"/>
  <c r="D101" i="1"/>
  <c r="D108" i="1"/>
  <c r="D32" i="1"/>
  <c r="D71" i="1"/>
  <c r="D54" i="1"/>
  <c r="D98" i="1"/>
  <c r="D55" i="1"/>
  <c r="D41" i="1"/>
  <c r="D81" i="1"/>
  <c r="D20" i="1"/>
  <c r="D28" i="1"/>
  <c r="D36" i="1"/>
  <c r="D43" i="1"/>
  <c r="D50" i="1"/>
  <c r="D57" i="1"/>
  <c r="D63" i="1"/>
  <c r="D76" i="1"/>
  <c r="D94" i="1"/>
  <c r="D102" i="1"/>
  <c r="D109" i="1"/>
  <c r="D23" i="1"/>
  <c r="D17" i="1"/>
  <c r="D26" i="1"/>
  <c r="D25" i="1"/>
  <c r="D18" i="1"/>
  <c r="D24" i="1"/>
  <c r="D19" i="1"/>
  <c r="K65" i="6" l="1"/>
  <c r="K68" i="6"/>
  <c r="K62" i="6"/>
  <c r="E77" i="6"/>
  <c r="J77" i="6" s="1"/>
  <c r="K86" i="6"/>
  <c r="E101" i="6"/>
  <c r="J101" i="6" s="1"/>
  <c r="E92" i="6"/>
  <c r="J92" i="6" s="1"/>
  <c r="E95" i="6"/>
  <c r="J95" i="6" s="1"/>
  <c r="K41" i="6"/>
  <c r="E44" i="6"/>
  <c r="J44" i="6" s="1"/>
  <c r="E47" i="6"/>
  <c r="J47" i="6" s="1"/>
  <c r="K53" i="6"/>
  <c r="E28" i="6"/>
  <c r="J28" i="6" s="1"/>
  <c r="E16" i="6"/>
  <c r="J16" i="6" s="1"/>
  <c r="K38" i="6"/>
  <c r="K19" i="6"/>
  <c r="E89" i="6"/>
  <c r="J89" i="6" s="1"/>
  <c r="E41" i="6"/>
  <c r="J41" i="6" s="1"/>
  <c r="K28" i="6"/>
  <c r="E98" i="6"/>
  <c r="J98" i="6" s="1"/>
  <c r="K98" i="6"/>
  <c r="E86" i="6"/>
  <c r="J86" i="6" s="1"/>
  <c r="K56" i="6"/>
  <c r="E56" i="6"/>
  <c r="J56" i="6" s="1"/>
  <c r="K35" i="6"/>
  <c r="E35" i="6"/>
  <c r="J35" i="6" s="1"/>
  <c r="K22" i="6"/>
  <c r="E22" i="6"/>
  <c r="J22" i="6" s="1"/>
  <c r="K83" i="6"/>
  <c r="E83" i="6"/>
  <c r="J83" i="6" s="1"/>
  <c r="E50" i="6"/>
  <c r="J50" i="6" s="1"/>
  <c r="K50" i="6"/>
  <c r="K101" i="6"/>
  <c r="E62" i="6"/>
  <c r="J62" i="6" s="1"/>
  <c r="K104" i="6"/>
  <c r="E104" i="6"/>
  <c r="J104" i="6" s="1"/>
  <c r="K107" i="6"/>
  <c r="E107" i="6"/>
  <c r="J107" i="6" s="1"/>
  <c r="E80" i="6"/>
  <c r="J80" i="6" s="1"/>
  <c r="K80" i="6"/>
  <c r="E32" i="6"/>
  <c r="J32" i="6" s="1"/>
  <c r="K32" i="6"/>
  <c r="K59" i="6"/>
  <c r="E59" i="6"/>
  <c r="J59" i="6" s="1"/>
  <c r="K77" i="6"/>
  <c r="E68" i="6"/>
  <c r="J68" i="6" s="1"/>
  <c r="E65" i="6"/>
  <c r="J65" i="6" s="1"/>
  <c r="E38" i="6"/>
  <c r="J38" i="6" s="1"/>
  <c r="E25" i="6"/>
  <c r="J25" i="6" s="1"/>
  <c r="K25" i="6"/>
  <c r="J95" i="3"/>
  <c r="E68" i="1"/>
  <c r="J68" i="1" s="1"/>
  <c r="K98" i="1"/>
  <c r="E77" i="1"/>
  <c r="J77" i="1" s="1"/>
  <c r="K83" i="1"/>
  <c r="E71" i="1"/>
  <c r="J71" i="1" s="1"/>
  <c r="K65" i="1"/>
  <c r="K59" i="1"/>
  <c r="E50" i="1"/>
  <c r="J50" i="1" s="1"/>
  <c r="K32" i="1"/>
  <c r="E47" i="3"/>
  <c r="J47" i="3" s="1"/>
  <c r="E104" i="3"/>
  <c r="J104" i="3" s="1"/>
  <c r="E71" i="3"/>
  <c r="J71" i="3" s="1"/>
  <c r="E83" i="3"/>
  <c r="J83" i="3" s="1"/>
  <c r="K83" i="3"/>
  <c r="E86" i="3"/>
  <c r="J86" i="3" s="1"/>
  <c r="K107" i="3"/>
  <c r="E107" i="3"/>
  <c r="J107" i="3" s="1"/>
  <c r="K68" i="3"/>
  <c r="E68" i="3"/>
  <c r="J68" i="3" s="1"/>
  <c r="E19" i="3"/>
  <c r="J19" i="3" s="1"/>
  <c r="E65" i="3"/>
  <c r="J65" i="3" s="1"/>
  <c r="E62" i="3"/>
  <c r="J62" i="3" s="1"/>
  <c r="K53" i="3"/>
  <c r="E22" i="3"/>
  <c r="J22" i="3" s="1"/>
  <c r="E38" i="3"/>
  <c r="J38" i="3" s="1"/>
  <c r="E80" i="3"/>
  <c r="J80" i="3" s="1"/>
  <c r="K80" i="3"/>
  <c r="K28" i="3"/>
  <c r="K92" i="3"/>
  <c r="E92" i="3"/>
  <c r="J92" i="3" s="1"/>
  <c r="E35" i="3"/>
  <c r="J35" i="3" s="1"/>
  <c r="K35" i="3"/>
  <c r="E101" i="3"/>
  <c r="J101" i="3" s="1"/>
  <c r="K101" i="3"/>
  <c r="K77" i="3"/>
  <c r="K59" i="3"/>
  <c r="E59" i="3"/>
  <c r="J59" i="3" s="1"/>
  <c r="K44" i="3"/>
  <c r="E44" i="3"/>
  <c r="J44" i="3" s="1"/>
  <c r="E62" i="1"/>
  <c r="J62" i="1" s="1"/>
  <c r="K35" i="1"/>
  <c r="K95" i="1"/>
  <c r="K77" i="1"/>
  <c r="K56" i="1"/>
  <c r="E53" i="1"/>
  <c r="J53" i="1" s="1"/>
  <c r="E56" i="1"/>
  <c r="J56" i="1" s="1"/>
  <c r="E41" i="1"/>
  <c r="J41" i="1" s="1"/>
  <c r="K50" i="1"/>
  <c r="E89" i="1"/>
  <c r="J89" i="1" s="1"/>
  <c r="K41" i="1"/>
  <c r="K68" i="1"/>
  <c r="E35" i="1"/>
  <c r="J35" i="1" s="1"/>
  <c r="K62" i="1"/>
  <c r="E38" i="1"/>
  <c r="J38" i="1" s="1"/>
  <c r="E95" i="1"/>
  <c r="J95" i="1" s="1"/>
  <c r="K92" i="1"/>
  <c r="K107" i="1"/>
  <c r="E98" i="1"/>
  <c r="J98" i="1" s="1"/>
  <c r="E32" i="1"/>
  <c r="J32" i="1" s="1"/>
  <c r="K47" i="1"/>
  <c r="E107" i="1"/>
  <c r="J107" i="1" s="1"/>
  <c r="E80" i="1"/>
  <c r="J80" i="1" s="1"/>
  <c r="E101" i="1"/>
  <c r="J101" i="1" s="1"/>
  <c r="K86" i="1"/>
  <c r="E74" i="1"/>
  <c r="J74" i="1" s="1"/>
  <c r="K104" i="1"/>
  <c r="E25" i="1"/>
  <c r="J25" i="1" s="1"/>
  <c r="E65" i="1"/>
  <c r="J65" i="1" s="1"/>
  <c r="K44" i="1"/>
  <c r="K71" i="1"/>
  <c r="E92" i="1"/>
  <c r="J92" i="1" s="1"/>
  <c r="E104" i="1"/>
  <c r="J104" i="1" s="1"/>
  <c r="K80" i="1"/>
  <c r="E86" i="1"/>
  <c r="J86" i="1" s="1"/>
  <c r="E44" i="1"/>
  <c r="J44" i="1" s="1"/>
  <c r="K101" i="1"/>
  <c r="K74" i="1"/>
  <c r="E47" i="1"/>
  <c r="J47" i="1" s="1"/>
  <c r="K53" i="1"/>
  <c r="E22" i="1"/>
  <c r="J22" i="1" s="1"/>
  <c r="K22" i="1"/>
  <c r="K25" i="1"/>
  <c r="K19" i="1"/>
  <c r="E19" i="1"/>
  <c r="J19" i="1" s="1"/>
  <c r="E28" i="1"/>
  <c r="J28" i="1" s="1"/>
  <c r="K28" i="1"/>
  <c r="K16" i="1"/>
  <c r="E16" i="1"/>
  <c r="J16" i="1" s="1"/>
</calcChain>
</file>

<file path=xl/sharedStrings.xml><?xml version="1.0" encoding="utf-8"?>
<sst xmlns="http://schemas.openxmlformats.org/spreadsheetml/2006/main" count="331" uniqueCount="114">
  <si>
    <t>Sample Name</t>
  </si>
  <si>
    <t>Cт</t>
  </si>
  <si>
    <t>Mean (copy numbers)</t>
  </si>
  <si>
    <t>Dilution factor</t>
  </si>
  <si>
    <t>Sample volume in qPCR (µL)</t>
  </si>
  <si>
    <t>Elution buffer from DNA Extraction (µL)</t>
  </si>
  <si>
    <t>Mass of 1 base pair (g)</t>
  </si>
  <si>
    <t>Copy number (from the equation 2)</t>
  </si>
  <si>
    <t>Equation 1</t>
  </si>
  <si>
    <r>
      <t>Copy # of interest = 10^((C</t>
    </r>
    <r>
      <rPr>
        <vertAlign val="subscript"/>
        <sz val="11"/>
        <color theme="1"/>
        <rFont val="SF Pro Display Regular"/>
      </rPr>
      <t>T</t>
    </r>
    <r>
      <rPr>
        <sz val="11"/>
        <color theme="1"/>
        <rFont val="SF Pro Display Regular"/>
      </rPr>
      <t xml:space="preserve"> - Intercept)/Slope)</t>
    </r>
  </si>
  <si>
    <t>Equation 2</t>
  </si>
  <si>
    <t xml:space="preserve">Copy # of interest × mass of genome = mass of gDNA used </t>
  </si>
  <si>
    <t>Copy number (w. r .t. Copy number of E coli)</t>
  </si>
  <si>
    <t>Equation 3</t>
  </si>
  <si>
    <t>Copies in mg of soil = (Copy number w.r.t. Copy # of E coli x Dilution Factor x Elution buffer volume from DNA Extraction)/(Soil Sample weight in DNA extraction x Sample volumne in qPCR)</t>
  </si>
  <si>
    <t>Std Dev</t>
  </si>
  <si>
    <t>E coli_S4</t>
  </si>
  <si>
    <t>E coli_S5</t>
  </si>
  <si>
    <t>E coli_S6</t>
  </si>
  <si>
    <t>E coli_S7</t>
  </si>
  <si>
    <t>E coli_S8</t>
  </si>
  <si>
    <t>32_RC_60</t>
  </si>
  <si>
    <t>Standard</t>
  </si>
  <si>
    <t>Unknown samples</t>
  </si>
  <si>
    <t>Instrument : AB 7500 Fast PCR Cycler</t>
  </si>
  <si>
    <t>21_RC_30</t>
  </si>
  <si>
    <t>16_RC_30</t>
  </si>
  <si>
    <t>28_RC_30</t>
  </si>
  <si>
    <t>32_RC_30</t>
  </si>
  <si>
    <t>16_RC_60</t>
  </si>
  <si>
    <t>Undetermined</t>
  </si>
  <si>
    <t>35_RC_30</t>
  </si>
  <si>
    <t>19_RC_30</t>
  </si>
  <si>
    <t>28_RC_60</t>
  </si>
  <si>
    <t>19_RC_60</t>
  </si>
  <si>
    <t>25_RC_60</t>
  </si>
  <si>
    <t>25_RC_30</t>
  </si>
  <si>
    <r>
      <t xml:space="preserve">Length of </t>
    </r>
    <r>
      <rPr>
        <i/>
        <sz val="11"/>
        <color theme="1"/>
        <rFont val="SF Pro Display Regular"/>
      </rPr>
      <t>E. coli</t>
    </r>
    <r>
      <rPr>
        <sz val="11"/>
        <color theme="1"/>
        <rFont val="SF Pro Display Regular"/>
      </rPr>
      <t xml:space="preserve"> 27F-1492R (bp)</t>
    </r>
  </si>
  <si>
    <r>
      <t xml:space="preserve">Mass of </t>
    </r>
    <r>
      <rPr>
        <i/>
        <sz val="11"/>
        <color theme="1"/>
        <rFont val="SF Pro Display Regular"/>
      </rPr>
      <t>E coli</t>
    </r>
    <r>
      <rPr>
        <sz val="11"/>
        <color theme="1"/>
        <rFont val="SF Pro Display Regular"/>
      </rPr>
      <t xml:space="preserve"> genome (g)</t>
    </r>
  </si>
  <si>
    <r>
      <t xml:space="preserve">Concentration of </t>
    </r>
    <r>
      <rPr>
        <i/>
        <sz val="11"/>
        <color theme="1"/>
        <rFont val="SF Pro Display Regular"/>
      </rPr>
      <t>E coli</t>
    </r>
    <r>
      <rPr>
        <sz val="11"/>
        <color theme="1"/>
        <rFont val="SF Pro Display Regular"/>
      </rPr>
      <t xml:space="preserve"> (g)</t>
    </r>
  </si>
  <si>
    <r>
      <t xml:space="preserve">Copy Number of </t>
    </r>
    <r>
      <rPr>
        <i/>
        <sz val="11"/>
        <color theme="1"/>
        <rFont val="SF Pro Display Regular"/>
      </rPr>
      <t>E. coli</t>
    </r>
    <r>
      <rPr>
        <sz val="11"/>
        <color theme="1"/>
        <rFont val="SF Pro Display Regular"/>
      </rPr>
      <t xml:space="preserve"> plasmid (using equation 1)</t>
    </r>
  </si>
  <si>
    <t>Soil Sample weight used for DNA Extraction (mg) / PCR product volume for plasmid (µL)</t>
  </si>
  <si>
    <t>Copies or Copies / mg of soil (using Equation 3)</t>
  </si>
  <si>
    <t>Experiment : 20230425_qPCR_I</t>
  </si>
  <si>
    <t>Date : 25-04-2023</t>
  </si>
  <si>
    <t>16_BS_90</t>
  </si>
  <si>
    <t>24_RC_60</t>
  </si>
  <si>
    <t>35_RC_90</t>
  </si>
  <si>
    <t>24_RC_90</t>
  </si>
  <si>
    <t>32_BS_30</t>
  </si>
  <si>
    <t>28_BS_30</t>
  </si>
  <si>
    <t>32_BS_60</t>
  </si>
  <si>
    <t>16_RC_90</t>
  </si>
  <si>
    <t>35_BS_30</t>
  </si>
  <si>
    <t>32_BS_90</t>
  </si>
  <si>
    <t>24_BS_30</t>
  </si>
  <si>
    <t>35_BS_60</t>
  </si>
  <si>
    <t>24_BS_60</t>
  </si>
  <si>
    <t>35_BS_90</t>
  </si>
  <si>
    <t>16_BS_30</t>
  </si>
  <si>
    <t>24_BS_90</t>
  </si>
  <si>
    <t>32_RC_90</t>
  </si>
  <si>
    <t>16_BS_60</t>
  </si>
  <si>
    <t>24_RC_30</t>
  </si>
  <si>
    <t>35_RC_60</t>
  </si>
  <si>
    <t>28_BS_60</t>
  </si>
  <si>
    <t>Experiment : 20230425_qPCR_II</t>
  </si>
  <si>
    <t>25_BS_90</t>
  </si>
  <si>
    <t>21_BS_60</t>
  </si>
  <si>
    <t>36_BS_90</t>
  </si>
  <si>
    <t>21_BS_30</t>
  </si>
  <si>
    <t>36_RC_30</t>
  </si>
  <si>
    <t>36_RC_60</t>
  </si>
  <si>
    <t>25_RC_90</t>
  </si>
  <si>
    <t>36_RC_90</t>
  </si>
  <si>
    <t>28_RC_90</t>
  </si>
  <si>
    <t>19_BS_30</t>
  </si>
  <si>
    <t>21_RC_90</t>
  </si>
  <si>
    <t>28_BS_90</t>
  </si>
  <si>
    <t>19_BS_60</t>
  </si>
  <si>
    <t>25_BS_30</t>
  </si>
  <si>
    <t>21_RC_60</t>
  </si>
  <si>
    <t>36_BS_30</t>
  </si>
  <si>
    <t>19_BS_90</t>
  </si>
  <si>
    <t>25_BS_60</t>
  </si>
  <si>
    <t>21_BS_90</t>
  </si>
  <si>
    <t>36_BS_60</t>
  </si>
  <si>
    <t>Experiment : 20230426_qPCR_III</t>
  </si>
  <si>
    <t>Date : 26-04-2023</t>
  </si>
  <si>
    <t>39_BS_30</t>
  </si>
  <si>
    <t>29_BS_90</t>
  </si>
  <si>
    <t>14_RC_60</t>
  </si>
  <si>
    <t>39_BS_60</t>
  </si>
  <si>
    <t>29_RC_30</t>
  </si>
  <si>
    <t>14_RC_90</t>
  </si>
  <si>
    <t>39_BS_90</t>
  </si>
  <si>
    <t>29_RC_60</t>
  </si>
  <si>
    <t>18_MBS_30_T2</t>
  </si>
  <si>
    <t>39_RC_30</t>
  </si>
  <si>
    <t>29_RC_90</t>
  </si>
  <si>
    <t>18_BS_30_T2</t>
  </si>
  <si>
    <t>39_RC_60</t>
  </si>
  <si>
    <t>14_BS_30</t>
  </si>
  <si>
    <t>33_MBS_30_T2</t>
  </si>
  <si>
    <t>39_RC_90</t>
  </si>
  <si>
    <t>14_BS_60</t>
  </si>
  <si>
    <t>33_BS_30_T2</t>
  </si>
  <si>
    <t>29_BS_30</t>
  </si>
  <si>
    <t>14_BS_90</t>
  </si>
  <si>
    <t>26_BS_30_T2</t>
  </si>
  <si>
    <t>19_RC_90</t>
  </si>
  <si>
    <t>29_BS_60</t>
  </si>
  <si>
    <t>14_RC_30</t>
  </si>
  <si>
    <t>26_MBS_30_T2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</si>
</sst>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6">
    <font>
      <sz val="11"/>
      <color theme="1"/>
      <name val="SF Pro"/>
      <family val="2"/>
    </font>
    <font>
      <sz val="10"/>
      <color theme="1"/>
      <name val="SF Pro Display Regular"/>
    </font>
    <font>
      <sz val="11"/>
      <color theme="1"/>
      <name val="SF Pro Display Regular"/>
    </font>
    <font>
      <b/>
      <u val="double"/>
      <sz val="10"/>
      <color theme="1"/>
      <name val="SF Pro Display Regular"/>
    </font>
    <font>
      <vertAlign val="subscript"/>
      <sz val="11"/>
      <color theme="1"/>
      <name val="SF Pro Display Regular"/>
    </font>
    <font>
      <i/>
      <sz val="11"/>
      <color theme="1"/>
      <name val="SF Pro Display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165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D2A0-A2FB-1045-A5CD-BA08919D3598}">
  <dimension ref="A1:Q109"/>
  <sheetViews>
    <sheetView zoomScale="120" zoomScaleNormal="120" workbookViewId="0">
      <selection sqref="A1:A2"/>
    </sheetView>
  </sheetViews>
  <sheetFormatPr baseColWidth="10" defaultRowHeight="15"/>
  <cols>
    <col min="1" max="1" width="33.85546875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1.42578125" style="2" customWidth="1"/>
    <col min="10" max="10" width="17.42578125" style="2" customWidth="1"/>
    <col min="11" max="11" width="11.140625" style="2" customWidth="1"/>
    <col min="12" max="12" width="13.28515625" style="2" customWidth="1"/>
    <col min="13" max="16384" width="10.7109375" style="2"/>
  </cols>
  <sheetData>
    <row r="1" spans="1:16">
      <c r="A1" s="2" t="s">
        <v>43</v>
      </c>
    </row>
    <row r="2" spans="1:16">
      <c r="A2" s="2" t="s">
        <v>44</v>
      </c>
    </row>
    <row r="3" spans="1:16">
      <c r="A3" s="2" t="s">
        <v>24</v>
      </c>
    </row>
    <row r="5" spans="1:16">
      <c r="A5" s="2" t="s">
        <v>37</v>
      </c>
      <c r="B5" s="3">
        <v>1500</v>
      </c>
      <c r="D5" s="2" t="s">
        <v>10</v>
      </c>
    </row>
    <row r="6" spans="1:16" ht="17">
      <c r="A6" s="2" t="s">
        <v>6</v>
      </c>
      <c r="B6" s="3">
        <v>1.096E-21</v>
      </c>
      <c r="D6" s="2" t="s">
        <v>9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38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39</v>
      </c>
      <c r="B8" s="3">
        <v>7.6207999999999981E-10</v>
      </c>
      <c r="D8" s="2" t="s">
        <v>13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40</v>
      </c>
      <c r="B9" s="3">
        <f>B8/B7</f>
        <v>463552311.43552303</v>
      </c>
      <c r="D9" s="2" t="s">
        <v>14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8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11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" t="s">
        <v>0</v>
      </c>
      <c r="B13" s="14" t="s">
        <v>1</v>
      </c>
      <c r="C13" s="15" t="s">
        <v>7</v>
      </c>
      <c r="D13" s="15" t="s">
        <v>12</v>
      </c>
      <c r="E13" s="15" t="s">
        <v>2</v>
      </c>
      <c r="F13" s="15" t="s">
        <v>3</v>
      </c>
      <c r="G13" s="15" t="s">
        <v>5</v>
      </c>
      <c r="H13" s="15" t="s">
        <v>41</v>
      </c>
      <c r="I13" s="15" t="s">
        <v>4</v>
      </c>
      <c r="J13" s="15" t="s">
        <v>42</v>
      </c>
      <c r="K13" s="13" t="s">
        <v>15</v>
      </c>
      <c r="L13" s="13"/>
      <c r="M13" s="1"/>
      <c r="N13" s="1"/>
      <c r="O13" s="1"/>
      <c r="P13" s="1"/>
    </row>
    <row r="14" spans="1:16">
      <c r="B14" s="14"/>
      <c r="C14" s="15"/>
      <c r="D14" s="15"/>
      <c r="E14" s="15"/>
      <c r="F14" s="15"/>
      <c r="G14" s="15"/>
      <c r="H14" s="15"/>
      <c r="I14" s="15"/>
      <c r="J14" s="15"/>
      <c r="K14" s="13"/>
      <c r="L14" s="13"/>
      <c r="M14" s="1"/>
      <c r="N14" s="1"/>
      <c r="O14" s="1"/>
      <c r="P14" s="1"/>
    </row>
    <row r="15" spans="1:16">
      <c r="A15" s="2" t="s">
        <v>22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16</v>
      </c>
      <c r="B16" s="12">
        <v>7.6771411895751953</v>
      </c>
      <c r="C16" s="5">
        <f>10^((B16-8.024)/(-3.261))</f>
        <v>1.2775143306149332</v>
      </c>
      <c r="D16" s="3">
        <f>C16*$B$9</f>
        <v>592194720.84855723</v>
      </c>
      <c r="E16" s="3">
        <f t="shared" ref="E16" si="0">AVERAGE(D16:D18)</f>
        <v>502412915.67864043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532217071.69347501</v>
      </c>
      <c r="K16" s="3">
        <f t="shared" ref="K16" si="2">(STDEV(D16:D18)*F16*G16)/H16</f>
        <v>89962712.775612921</v>
      </c>
      <c r="L16" s="6"/>
      <c r="M16" s="1"/>
      <c r="N16" s="1"/>
      <c r="O16" s="1"/>
      <c r="P16" s="1"/>
    </row>
    <row r="17" spans="1:16">
      <c r="B17" s="12">
        <v>8.1524276733398438</v>
      </c>
      <c r="C17" s="5">
        <f t="shared" ref="C17:C30" si="3">10^((B17-8.024)/(-3.261))</f>
        <v>0.9133076362204734</v>
      </c>
      <c r="D17" s="3">
        <f t="shared" ref="D17:D30" si="4">C17*$B$9</f>
        <v>423365865.82171428</v>
      </c>
      <c r="L17" s="6"/>
      <c r="M17" s="1"/>
      <c r="N17" s="1"/>
      <c r="O17" s="1"/>
      <c r="P17" s="1"/>
    </row>
    <row r="18" spans="1:16">
      <c r="B18" s="12">
        <v>7.9405765533447266</v>
      </c>
      <c r="C18" s="5">
        <f t="shared" si="3"/>
        <v>1.0606745953720453</v>
      </c>
      <c r="D18" s="3">
        <f t="shared" si="4"/>
        <v>491678160.36564976</v>
      </c>
      <c r="L18" s="6"/>
      <c r="M18" s="1"/>
      <c r="N18" s="1"/>
      <c r="O18" s="1"/>
      <c r="P18" s="1"/>
    </row>
    <row r="19" spans="1:16">
      <c r="A19" s="2" t="s">
        <v>17</v>
      </c>
      <c r="B19" s="12">
        <v>10.914616584777832</v>
      </c>
      <c r="C19" s="5">
        <f t="shared" si="3"/>
        <v>0.12989119255201109</v>
      </c>
      <c r="D19" s="3">
        <f t="shared" si="4"/>
        <v>60211362.542601332</v>
      </c>
      <c r="E19" s="3">
        <f t="shared" ref="E19" si="5">AVERAGE(D19:D21)</f>
        <v>65645659.584947966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347699468.14061421</v>
      </c>
      <c r="K19" s="3">
        <f t="shared" ref="K19" si="7">(STDEV(D19:D21)*F19*G19)/H19</f>
        <v>25732099.773659863</v>
      </c>
      <c r="L19" s="6"/>
      <c r="M19" s="1"/>
      <c r="N19" s="1"/>
      <c r="O19" s="1"/>
      <c r="P19" s="1"/>
    </row>
    <row r="20" spans="1:16">
      <c r="B20" s="12">
        <v>10.760000228881836</v>
      </c>
      <c r="C20" s="5">
        <f t="shared" si="3"/>
        <v>0.14487501370986483</v>
      </c>
      <c r="D20" s="3">
        <f t="shared" si="4"/>
        <v>67157147.47446093</v>
      </c>
      <c r="L20" s="6"/>
      <c r="M20" s="1"/>
      <c r="N20" s="1"/>
      <c r="O20" s="1"/>
      <c r="P20" s="1"/>
    </row>
    <row r="21" spans="1:16">
      <c r="B21" s="12">
        <v>10.710041046142578</v>
      </c>
      <c r="C21" s="5">
        <f t="shared" si="3"/>
        <v>0.15007684574442709</v>
      </c>
      <c r="D21" s="3">
        <f t="shared" si="4"/>
        <v>69568468.737781614</v>
      </c>
      <c r="L21" s="6"/>
      <c r="M21" s="1"/>
      <c r="N21" s="1"/>
      <c r="O21" s="1"/>
      <c r="P21" s="1"/>
    </row>
    <row r="22" spans="1:16">
      <c r="A22" s="2" t="s">
        <v>18</v>
      </c>
      <c r="B22" s="12">
        <v>13.621216773986816</v>
      </c>
      <c r="C22" s="5">
        <f t="shared" si="3"/>
        <v>1.9212719656010378E-2</v>
      </c>
      <c r="D22" s="3">
        <f t="shared" si="4"/>
        <v>8906100.6055063177</v>
      </c>
      <c r="E22" s="3">
        <f t="shared" ref="E22" si="8">AVERAGE(D22:D24)</f>
        <v>9151985.3720500115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242372493.96318883</v>
      </c>
      <c r="K22" s="3">
        <f t="shared" ref="K22" si="10">(STDEV(D22:D24)*F22*G22)/H22</f>
        <v>25912967.683274839</v>
      </c>
      <c r="L22" s="6"/>
      <c r="M22" s="1"/>
      <c r="N22" s="1"/>
      <c r="O22" s="1"/>
      <c r="P22" s="1"/>
    </row>
    <row r="23" spans="1:16">
      <c r="B23" s="12">
        <v>13.42495059967041</v>
      </c>
      <c r="C23" s="5">
        <f t="shared" si="3"/>
        <v>2.2068597396017731E-2</v>
      </c>
      <c r="D23" s="3">
        <f t="shared" si="4"/>
        <v>10229949.333063984</v>
      </c>
      <c r="L23" s="6"/>
      <c r="M23" s="1"/>
      <c r="N23" s="1"/>
      <c r="O23" s="1"/>
      <c r="P23" s="1"/>
    </row>
    <row r="24" spans="1:16">
      <c r="B24" s="12">
        <v>13.717641830444336</v>
      </c>
      <c r="C24" s="5">
        <f t="shared" si="3"/>
        <v>1.7948149480292198E-2</v>
      </c>
      <c r="D24" s="3">
        <f t="shared" si="4"/>
        <v>8319906.1775797298</v>
      </c>
      <c r="L24" s="6"/>
      <c r="M24" s="1"/>
      <c r="N24" s="1"/>
      <c r="O24" s="1"/>
      <c r="P24" s="1"/>
    </row>
    <row r="25" spans="1:16">
      <c r="A25" s="2" t="s">
        <v>19</v>
      </c>
      <c r="B25" s="12">
        <v>15.990581512451172</v>
      </c>
      <c r="C25" s="5">
        <f t="shared" si="3"/>
        <v>3.6058920606415338E-3</v>
      </c>
      <c r="D25" s="3">
        <f t="shared" si="4"/>
        <v>1671519.5994973842</v>
      </c>
      <c r="E25" s="3">
        <f t="shared" ref="E25" si="11">AVERAGE(D25:D27)</f>
        <v>2127502.6782213934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281713808.02719718</v>
      </c>
      <c r="K25" s="3">
        <f t="shared" ref="K25" si="13">(STDEV(D25:D27)*F25*G25)/H25</f>
        <v>52294117.111782804</v>
      </c>
      <c r="L25" s="6"/>
      <c r="M25" s="1"/>
      <c r="N25" s="1"/>
      <c r="O25" s="1"/>
      <c r="P25" s="1"/>
    </row>
    <row r="26" spans="1:16">
      <c r="B26" s="12">
        <v>15.50782585144043</v>
      </c>
      <c r="C26" s="5">
        <f t="shared" si="3"/>
        <v>5.0705126454642308E-3</v>
      </c>
      <c r="D26" s="3">
        <f t="shared" si="4"/>
        <v>2350447.8569679931</v>
      </c>
      <c r="L26" s="6"/>
      <c r="M26" s="1"/>
      <c r="N26" s="1"/>
      <c r="O26" s="1"/>
      <c r="P26" s="1"/>
    </row>
    <row r="27" spans="1:16">
      <c r="B27" s="12">
        <v>15.501757621765137</v>
      </c>
      <c r="C27" s="5">
        <f t="shared" si="3"/>
        <v>5.0922852070108549E-3</v>
      </c>
      <c r="D27" s="3">
        <f t="shared" si="4"/>
        <v>2360540.5781988027</v>
      </c>
      <c r="L27" s="6"/>
      <c r="M27" s="1"/>
      <c r="N27" s="1"/>
      <c r="O27" s="1"/>
      <c r="P27" s="1"/>
    </row>
    <row r="28" spans="1:16">
      <c r="A28" s="2" t="s">
        <v>20</v>
      </c>
      <c r="B28" s="12">
        <v>17.067880630493164</v>
      </c>
      <c r="C28" s="5">
        <f t="shared" si="3"/>
        <v>1.6852106968724165E-3</v>
      </c>
      <c r="D28" s="3">
        <f t="shared" si="4"/>
        <v>781183.31379107723</v>
      </c>
      <c r="E28" s="3">
        <f t="shared" ref="E28" si="14">AVERAGE(D28:D30)</f>
        <v>892467.10922279349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590881295.83076906</v>
      </c>
      <c r="K28" s="3">
        <f t="shared" ref="K28" si="16">(STDEV(D28:D30)*F28*G28)/H28</f>
        <v>64239329.557370447</v>
      </c>
      <c r="L28" s="7"/>
      <c r="M28" s="1"/>
      <c r="N28" s="1"/>
      <c r="O28" s="1"/>
      <c r="P28" s="7"/>
    </row>
    <row r="29" spans="1:16">
      <c r="B29" s="12">
        <v>16.810493469238281</v>
      </c>
      <c r="C29" s="5">
        <f t="shared" si="3"/>
        <v>2.0210781772816147E-3</v>
      </c>
      <c r="D29" s="3">
        <f t="shared" si="4"/>
        <v>936875.46067078633</v>
      </c>
      <c r="L29" s="7"/>
      <c r="M29" s="1"/>
      <c r="N29" s="1"/>
      <c r="O29" s="1"/>
      <c r="P29" s="7"/>
    </row>
    <row r="30" spans="1:16">
      <c r="B30" s="12">
        <v>16.776931762695312</v>
      </c>
      <c r="C30" s="5">
        <f t="shared" si="3"/>
        <v>2.0695453987396523E-3</v>
      </c>
      <c r="D30" s="3">
        <f t="shared" si="4"/>
        <v>959342.55320651701</v>
      </c>
      <c r="L30" s="7"/>
      <c r="M30" s="1"/>
      <c r="N30" s="1"/>
      <c r="O30" s="1"/>
      <c r="P30" s="7"/>
    </row>
    <row r="31" spans="1:16">
      <c r="A31" s="2" t="s">
        <v>23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45</v>
      </c>
      <c r="B32" s="12">
        <v>19.828704833984375</v>
      </c>
      <c r="C32" s="5">
        <f t="shared" ref="C32:C95" si="17">10^((B32-8.024)/(-3.261))</f>
        <v>2.3990279963886427E-4</v>
      </c>
      <c r="D32" s="3">
        <f t="shared" ref="D32:D95" si="18">C32*$B$9</f>
        <v>111207.49729244869</v>
      </c>
      <c r="E32" s="3">
        <f t="shared" ref="E32:E95" si="19">AVERAGE(D32:D34)</f>
        <v>120276.13704564091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24055227.409128182</v>
      </c>
      <c r="K32" s="3">
        <f t="shared" ref="K32" si="21">(STDEV(D32:D34)*F32*G32)/H32</f>
        <v>1700266.3337651677</v>
      </c>
    </row>
    <row r="33" spans="1:17">
      <c r="A33" t="s">
        <v>45</v>
      </c>
      <c r="B33" s="12">
        <v>19.628816604614258</v>
      </c>
      <c r="C33" s="5">
        <f t="shared" si="17"/>
        <v>2.7626885089964288E-4</v>
      </c>
      <c r="D33" s="3">
        <f t="shared" si="18"/>
        <v>128065.06441216533</v>
      </c>
    </row>
    <row r="34" spans="1:17">
      <c r="A34" t="s">
        <v>45</v>
      </c>
      <c r="B34" s="12">
        <v>19.702693939208984</v>
      </c>
      <c r="C34" s="5">
        <f t="shared" si="17"/>
        <v>2.6222682194351716E-4</v>
      </c>
      <c r="D34" s="3">
        <f t="shared" si="18"/>
        <v>121555.84943230871</v>
      </c>
    </row>
    <row r="35" spans="1:17">
      <c r="A35" t="s">
        <v>46</v>
      </c>
      <c r="B35" s="12">
        <v>17.768697738647461</v>
      </c>
      <c r="C35" s="5">
        <f t="shared" si="17"/>
        <v>1.027414183754368E-3</v>
      </c>
      <c r="D35" s="3">
        <f t="shared" si="18"/>
        <v>476260.21968097845</v>
      </c>
      <c r="E35" s="3">
        <f t="shared" si="19"/>
        <v>475450.12209118647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95090024.418237299</v>
      </c>
      <c r="K35" s="3">
        <f t="shared" ref="K35" si="23">(STDEV(D35:D37)*F35*G35)/H35</f>
        <v>2814378.8536390024</v>
      </c>
    </row>
    <row r="36" spans="1:17">
      <c r="A36" t="s">
        <v>46</v>
      </c>
      <c r="B36" s="12">
        <v>17.731023788452148</v>
      </c>
      <c r="C36" s="5">
        <f t="shared" si="17"/>
        <v>1.0551117017102321E-3</v>
      </c>
      <c r="D36" s="3">
        <f t="shared" si="18"/>
        <v>489099.46815044619</v>
      </c>
    </row>
    <row r="37" spans="1:17">
      <c r="A37" t="s">
        <v>46</v>
      </c>
      <c r="B37" s="12">
        <v>17.814847946166992</v>
      </c>
      <c r="C37" s="5">
        <f t="shared" si="17"/>
        <v>9.9447390740981206E-4</v>
      </c>
      <c r="D37" s="3">
        <f t="shared" si="18"/>
        <v>460990.6784421347</v>
      </c>
    </row>
    <row r="38" spans="1:17">
      <c r="A38" t="s">
        <v>47</v>
      </c>
      <c r="B38" s="12">
        <v>13.78935432434082</v>
      </c>
      <c r="C38" s="5">
        <f t="shared" si="17"/>
        <v>1.7061952401587747E-2</v>
      </c>
      <c r="D38" s="3">
        <f t="shared" si="18"/>
        <v>7909107.4733588733</v>
      </c>
      <c r="E38" s="3">
        <f t="shared" si="19"/>
        <v>7434922.6610244261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1486984532.2048852</v>
      </c>
      <c r="K38" s="3">
        <f t="shared" ref="K38" si="25">(STDEV(D38:D40)*F38*G38)/H38</f>
        <v>83174571.926068664</v>
      </c>
    </row>
    <row r="39" spans="1:17">
      <c r="A39" t="s">
        <v>47</v>
      </c>
      <c r="B39" s="12">
        <v>13.909952163696289</v>
      </c>
      <c r="C39" s="5">
        <f t="shared" si="17"/>
        <v>1.5669201589112385E-2</v>
      </c>
      <c r="D39" s="3">
        <f t="shared" si="18"/>
        <v>7263494.6149822166</v>
      </c>
    </row>
    <row r="40" spans="1:17">
      <c r="A40" t="s">
        <v>47</v>
      </c>
      <c r="B40" s="12">
        <v>13.935792922973633</v>
      </c>
      <c r="C40" s="5">
        <f t="shared" si="17"/>
        <v>1.5385892204151423E-2</v>
      </c>
      <c r="D40" s="3">
        <f t="shared" si="18"/>
        <v>7132165.8947321866</v>
      </c>
    </row>
    <row r="41" spans="1:17">
      <c r="A41" t="s">
        <v>26</v>
      </c>
      <c r="B41" s="12">
        <v>12.514030456542969</v>
      </c>
      <c r="C41" s="5">
        <f t="shared" si="17"/>
        <v>4.1986763820232094E-2</v>
      </c>
      <c r="D41" s="3">
        <f t="shared" si="18"/>
        <v>19463061.418565977</v>
      </c>
      <c r="E41" s="3">
        <f t="shared" si="19"/>
        <v>16977718.815227523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3395543763.0455046</v>
      </c>
      <c r="K41" s="3">
        <f t="shared" ref="K41" si="27">(STDEV(D41:D43)*F41*G41)/H41</f>
        <v>499785506.63554406</v>
      </c>
      <c r="M41" s="8"/>
      <c r="N41" s="1"/>
      <c r="O41" s="1"/>
      <c r="P41" s="1"/>
      <c r="Q41" s="9"/>
    </row>
    <row r="42" spans="1:17">
      <c r="A42" t="s">
        <v>26</v>
      </c>
      <c r="B42" s="12">
        <v>12.934308052062988</v>
      </c>
      <c r="C42" s="5">
        <f t="shared" si="17"/>
        <v>3.1205592150350122E-2</v>
      </c>
      <c r="D42" s="3">
        <f t="shared" si="18"/>
        <v>14465424.371009013</v>
      </c>
    </row>
    <row r="43" spans="1:17">
      <c r="A43" t="s">
        <v>26</v>
      </c>
      <c r="B43" s="12">
        <v>12.705265045166016</v>
      </c>
      <c r="C43" s="5">
        <f t="shared" si="17"/>
        <v>3.6683390928302639E-2</v>
      </c>
      <c r="D43" s="3">
        <f t="shared" si="18"/>
        <v>17004670.656107586</v>
      </c>
    </row>
    <row r="44" spans="1:17">
      <c r="A44" t="s">
        <v>48</v>
      </c>
      <c r="B44" s="12">
        <v>17.48851203918457</v>
      </c>
      <c r="C44" s="5">
        <f t="shared" si="17"/>
        <v>1.2521770354364838E-3</v>
      </c>
      <c r="D44" s="3">
        <f t="shared" si="18"/>
        <v>580449.55910306284</v>
      </c>
      <c r="E44" s="3">
        <f t="shared" si="19"/>
        <v>630004.33402408299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126000866.8048166</v>
      </c>
      <c r="K44" s="3">
        <f t="shared" ref="K44" si="29">(STDEV(D44:D46)*F44*G44)/H44</f>
        <v>10438490.639593579</v>
      </c>
    </row>
    <row r="45" spans="1:17">
      <c r="A45" t="s">
        <v>48</v>
      </c>
      <c r="B45" s="12">
        <v>17.38360595703125</v>
      </c>
      <c r="C45" s="5">
        <f t="shared" si="17"/>
        <v>1.3484524802143604E-3</v>
      </c>
      <c r="D45" s="3">
        <f t="shared" si="18"/>
        <v>625078.26406433072</v>
      </c>
    </row>
    <row r="46" spans="1:17">
      <c r="A46" t="s">
        <v>48</v>
      </c>
      <c r="B46" s="12">
        <v>17.255025863647461</v>
      </c>
      <c r="C46" s="5">
        <f t="shared" si="17"/>
        <v>1.4766082748787302E-3</v>
      </c>
      <c r="D46" s="3">
        <f t="shared" si="18"/>
        <v>684485.17890485551</v>
      </c>
    </row>
    <row r="47" spans="1:17">
      <c r="A47" t="s">
        <v>49</v>
      </c>
      <c r="B47" s="12">
        <v>13.281160354614258</v>
      </c>
      <c r="C47" s="5">
        <f t="shared" si="17"/>
        <v>2.4426916237766091E-2</v>
      </c>
      <c r="D47" s="3">
        <f t="shared" si="18"/>
        <v>11323153.483258381</v>
      </c>
      <c r="E47" s="3">
        <f t="shared" si="19"/>
        <v>10880534.284808641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2176106856.9617281</v>
      </c>
      <c r="K47" s="3">
        <f t="shared" ref="K47" si="31">(STDEV(D47:D49)*F47*G47)/H47</f>
        <v>247309696.50748494</v>
      </c>
    </row>
    <row r="48" spans="1:17">
      <c r="A48" t="s">
        <v>49</v>
      </c>
      <c r="B48" s="12">
        <v>13.53223991394043</v>
      </c>
      <c r="C48" s="5">
        <f t="shared" si="17"/>
        <v>2.0458509562548507E-2</v>
      </c>
      <c r="D48" s="3">
        <f t="shared" si="18"/>
        <v>9483589.3962451126</v>
      </c>
    </row>
    <row r="49" spans="1:11">
      <c r="A49" t="s">
        <v>49</v>
      </c>
      <c r="B49" s="12">
        <v>13.218563079833984</v>
      </c>
      <c r="C49" s="5">
        <f t="shared" si="17"/>
        <v>2.5530797027572532E-2</v>
      </c>
      <c r="D49" s="3">
        <f t="shared" si="18"/>
        <v>11834859.974922428</v>
      </c>
    </row>
    <row r="50" spans="1:11">
      <c r="A50" t="s">
        <v>29</v>
      </c>
      <c r="B50" s="12">
        <v>14.631527900695801</v>
      </c>
      <c r="C50" s="5">
        <f t="shared" si="17"/>
        <v>9.4139631264705814E-3</v>
      </c>
      <c r="D50" s="3">
        <f t="shared" si="18"/>
        <v>4363864.3670442207</v>
      </c>
      <c r="E50" s="3">
        <f t="shared" si="19"/>
        <v>4284735.2271437375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856947045.42874753</v>
      </c>
      <c r="K50" s="3">
        <f t="shared" ref="K50" si="33">(STDEV(D50:D52)*F50*G50)/H50</f>
        <v>130185814.8406076</v>
      </c>
    </row>
    <row r="51" spans="1:11">
      <c r="A51" t="s">
        <v>29</v>
      </c>
      <c r="B51" s="12">
        <v>14.469593048095703</v>
      </c>
      <c r="C51" s="5">
        <f t="shared" si="17"/>
        <v>1.0554326572960989E-2</v>
      </c>
      <c r="D51" s="3">
        <f t="shared" si="18"/>
        <v>4892482.4785414292</v>
      </c>
    </row>
    <row r="52" spans="1:11">
      <c r="A52" t="s">
        <v>29</v>
      </c>
      <c r="B52" s="12">
        <v>14.904888153076172</v>
      </c>
      <c r="C52" s="5">
        <f t="shared" si="17"/>
        <v>7.7614947592511366E-3</v>
      </c>
      <c r="D52" s="3">
        <f t="shared" si="18"/>
        <v>3597858.8358455626</v>
      </c>
    </row>
    <row r="53" spans="1:11">
      <c r="A53" t="s">
        <v>50</v>
      </c>
      <c r="B53" s="12">
        <v>13.148155212402344</v>
      </c>
      <c r="C53" s="5">
        <f t="shared" si="17"/>
        <v>2.683213654426251E-2</v>
      </c>
      <c r="D53" s="3">
        <f t="shared" si="18"/>
        <v>12438098.915846454</v>
      </c>
      <c r="E53" s="3">
        <f t="shared" si="19"/>
        <v>13314909.653171083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2662981930.6342168</v>
      </c>
      <c r="K53" s="3">
        <f t="shared" ref="K53" si="35">(STDEV(D53:D55)*F53*G53)/H53</f>
        <v>277672940.98855138</v>
      </c>
    </row>
    <row r="54" spans="1:11">
      <c r="A54" t="s">
        <v>50</v>
      </c>
      <c r="B54" s="12">
        <v>13.130850791931152</v>
      </c>
      <c r="C54" s="5">
        <f t="shared" si="17"/>
        <v>2.7161999194840698E-2</v>
      </c>
      <c r="D54" s="3">
        <f t="shared" si="18"/>
        <v>12591007.509978222</v>
      </c>
    </row>
    <row r="55" spans="1:11">
      <c r="A55" t="s">
        <v>50</v>
      </c>
      <c r="B55" s="12">
        <v>12.890903472900391</v>
      </c>
      <c r="C55" s="5">
        <f t="shared" si="17"/>
        <v>3.2176783861778316E-2</v>
      </c>
      <c r="D55" s="3">
        <f t="shared" si="18"/>
        <v>14915622.533688573</v>
      </c>
    </row>
    <row r="56" spans="1:11">
      <c r="A56" t="s">
        <v>51</v>
      </c>
      <c r="B56" s="12">
        <v>20.408655166625977</v>
      </c>
      <c r="C56" s="5">
        <f t="shared" si="17"/>
        <v>1.5929091046815288E-4</v>
      </c>
      <c r="D56" s="3">
        <f t="shared" si="18"/>
        <v>73839.669738181226</v>
      </c>
      <c r="E56" s="3">
        <f t="shared" si="19"/>
        <v>69485.227082829864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13897045.416565973</v>
      </c>
      <c r="K56" s="3">
        <f t="shared" ref="K56" si="37">(STDEV(D56:D58)*F56*G56)/H56</f>
        <v>782188.30550736329</v>
      </c>
    </row>
    <row r="57" spans="1:11">
      <c r="A57" t="s">
        <v>51</v>
      </c>
      <c r="B57" s="12">
        <v>20.561803817749023</v>
      </c>
      <c r="C57" s="5">
        <f t="shared" si="17"/>
        <v>1.4296419618716337E-4</v>
      </c>
      <c r="D57" s="3">
        <f t="shared" si="18"/>
        <v>66271.383595081163</v>
      </c>
    </row>
    <row r="58" spans="1:11">
      <c r="A58" t="s">
        <v>51</v>
      </c>
      <c r="B58" s="12">
        <v>20.518177032470703</v>
      </c>
      <c r="C58" s="5">
        <f t="shared" si="17"/>
        <v>1.4743671044068019E-4</v>
      </c>
      <c r="D58" s="3">
        <f t="shared" si="18"/>
        <v>68344.627915227218</v>
      </c>
    </row>
    <row r="59" spans="1:11">
      <c r="A59" t="s">
        <v>52</v>
      </c>
      <c r="B59" s="12">
        <v>12.699140548706055</v>
      </c>
      <c r="C59" s="5">
        <f t="shared" si="17"/>
        <v>3.6842371532142183E-2</v>
      </c>
      <c r="D59" s="3">
        <f t="shared" si="18"/>
        <v>17078366.482490823</v>
      </c>
      <c r="E59" s="3">
        <f t="shared" si="19"/>
        <v>13684741.827307008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2736948365.4614015</v>
      </c>
      <c r="K59" s="3">
        <f t="shared" ref="K59" si="39">(STDEV(D59:D61)*F59*G59)/H59</f>
        <v>662877741.01871252</v>
      </c>
    </row>
    <row r="60" spans="1:11">
      <c r="A60" t="s">
        <v>52</v>
      </c>
      <c r="B60" s="12">
        <v>13.03001880645752</v>
      </c>
      <c r="C60" s="5">
        <f t="shared" si="17"/>
        <v>2.9166364840649252E-2</v>
      </c>
      <c r="D60" s="3">
        <f t="shared" si="18"/>
        <v>13520135.838054731</v>
      </c>
    </row>
    <row r="61" spans="1:11">
      <c r="A61" t="s">
        <v>52</v>
      </c>
      <c r="B61" s="12">
        <v>13.394034385681152</v>
      </c>
      <c r="C61" s="5">
        <f t="shared" si="17"/>
        <v>2.2555648852221916E-2</v>
      </c>
      <c r="D61" s="3">
        <f t="shared" si="18"/>
        <v>10455723.16137547</v>
      </c>
    </row>
    <row r="62" spans="1:11">
      <c r="A62" t="s">
        <v>53</v>
      </c>
      <c r="B62" s="12">
        <v>12.782947540283203</v>
      </c>
      <c r="C62" s="5">
        <f t="shared" si="17"/>
        <v>3.4725443018727903E-2</v>
      </c>
      <c r="D62" s="3">
        <f t="shared" si="18"/>
        <v>16097059.376953866</v>
      </c>
      <c r="E62" s="3">
        <f t="shared" si="19"/>
        <v>20745354.50559742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4149070901.1194839</v>
      </c>
      <c r="K62" s="3">
        <f t="shared" ref="K62" si="41">(STDEV(D62:D64)*F62*G62)/H62</f>
        <v>823339572.33332348</v>
      </c>
    </row>
    <row r="63" spans="1:11">
      <c r="A63" t="s">
        <v>53</v>
      </c>
      <c r="B63" s="12">
        <v>12.327181816101074</v>
      </c>
      <c r="C63" s="5">
        <f t="shared" si="17"/>
        <v>4.7908255825588247E-2</v>
      </c>
      <c r="D63" s="3">
        <f t="shared" si="18"/>
        <v>22207982.724795792</v>
      </c>
    </row>
    <row r="64" spans="1:11">
      <c r="A64" t="s">
        <v>53</v>
      </c>
      <c r="B64" s="12">
        <v>12.221355438232422</v>
      </c>
      <c r="C64" s="5">
        <f t="shared" si="17"/>
        <v>5.1625287642150484E-2</v>
      </c>
      <c r="D64" s="3">
        <f t="shared" si="18"/>
        <v>23931021.415042602</v>
      </c>
    </row>
    <row r="65" spans="1:11">
      <c r="A65" t="s">
        <v>54</v>
      </c>
      <c r="B65" s="12">
        <v>20.442361831665039</v>
      </c>
      <c r="C65" s="5">
        <f t="shared" si="17"/>
        <v>1.5554451368939934E-4</v>
      </c>
      <c r="D65" s="3">
        <f t="shared" si="18"/>
        <v>72103.018851835412</v>
      </c>
      <c r="E65" s="3">
        <f t="shared" si="19"/>
        <v>67701.12810158162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13540225.620316325</v>
      </c>
      <c r="K65" s="3">
        <f t="shared" ref="K65" si="43">(STDEV(D65:D67)*F65*G65)/H65</f>
        <v>957293.82280649466</v>
      </c>
    </row>
    <row r="66" spans="1:11">
      <c r="A66" t="s">
        <v>54</v>
      </c>
      <c r="B66" s="12">
        <v>20.517141342163086</v>
      </c>
      <c r="C66" s="5">
        <f t="shared" si="17"/>
        <v>1.4754457014950006E-4</v>
      </c>
      <c r="D66" s="3">
        <f t="shared" si="18"/>
        <v>68394.626532561422</v>
      </c>
    </row>
    <row r="67" spans="1:11">
      <c r="A67" t="s">
        <v>54</v>
      </c>
      <c r="B67" s="12">
        <v>20.642389297485352</v>
      </c>
      <c r="C67" s="5">
        <f t="shared" si="17"/>
        <v>1.3505647016724253E-4</v>
      </c>
      <c r="D67" s="3">
        <f t="shared" si="18"/>
        <v>62605.738920348034</v>
      </c>
    </row>
    <row r="68" spans="1:11">
      <c r="A68" t="s">
        <v>55</v>
      </c>
      <c r="B68" s="12">
        <v>13.784071922302246</v>
      </c>
      <c r="C68" s="5">
        <f t="shared" si="17"/>
        <v>1.7125710485281737E-2</v>
      </c>
      <c r="D68" s="3">
        <f t="shared" si="18"/>
        <v>7938662.6804279219</v>
      </c>
      <c r="E68" s="3">
        <f t="shared" si="19"/>
        <v>7250424.9028360965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1450084980.5672193</v>
      </c>
      <c r="K68" s="3">
        <f t="shared" ref="K68" si="45">(STDEV(D68:D70)*F68*G68)/H68</f>
        <v>122161787.71699928</v>
      </c>
    </row>
    <row r="69" spans="1:11">
      <c r="A69" t="s">
        <v>55</v>
      </c>
      <c r="B69" s="12">
        <v>14.009020805358887</v>
      </c>
      <c r="C69" s="5">
        <f t="shared" si="17"/>
        <v>1.4610565750252914E-2</v>
      </c>
      <c r="D69" s="3">
        <f t="shared" si="18"/>
        <v>6772761.5249104248</v>
      </c>
    </row>
    <row r="70" spans="1:11">
      <c r="A70" t="s">
        <v>55</v>
      </c>
      <c r="B70" s="12">
        <v>13.954243659973145</v>
      </c>
      <c r="C70" s="5">
        <f t="shared" si="17"/>
        <v>1.5186744471986386E-2</v>
      </c>
      <c r="D70" s="3">
        <f t="shared" si="18"/>
        <v>7039850.5031699408</v>
      </c>
    </row>
    <row r="71" spans="1:11">
      <c r="A71" t="s">
        <v>56</v>
      </c>
      <c r="B71" s="12">
        <v>13.529027938842773</v>
      </c>
      <c r="C71" s="5">
        <f t="shared" si="17"/>
        <v>2.0504961478021971E-2</v>
      </c>
      <c r="D71" s="3">
        <f t="shared" si="18"/>
        <v>9505122.2890334427</v>
      </c>
      <c r="E71" s="3">
        <f t="shared" si="19"/>
        <v>9776550.6719519086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6">E71*F71*G71/H71</f>
        <v>1955310134.3903818</v>
      </c>
      <c r="K71" s="3">
        <f t="shared" ref="K71" si="47">(STDEV(D71:D73)*F71*G71)/H71</f>
        <v>139800409.21922806</v>
      </c>
    </row>
    <row r="72" spans="1:11">
      <c r="A72" t="s">
        <v>56</v>
      </c>
      <c r="B72" s="12">
        <v>13.566951751708984</v>
      </c>
      <c r="C72" s="5">
        <f t="shared" si="17"/>
        <v>1.9963167634251881E-2</v>
      </c>
      <c r="D72" s="3">
        <f t="shared" si="18"/>
        <v>9253972.5004322808</v>
      </c>
    </row>
    <row r="73" spans="1:11">
      <c r="A73" t="s">
        <v>56</v>
      </c>
      <c r="B73" s="12">
        <v>13.378564834594727</v>
      </c>
      <c r="C73" s="5">
        <f t="shared" si="17"/>
        <v>2.2803375078974862E-2</v>
      </c>
      <c r="D73" s="3">
        <f t="shared" si="18"/>
        <v>10570557.22639</v>
      </c>
    </row>
    <row r="74" spans="1:11">
      <c r="A74" t="s">
        <v>28</v>
      </c>
      <c r="B74" s="12">
        <v>13.098564147949219</v>
      </c>
      <c r="C74" s="5">
        <f t="shared" si="17"/>
        <v>2.7788338047210263E-2</v>
      </c>
      <c r="D74" s="3">
        <f t="shared" si="18"/>
        <v>12881348.332736006</v>
      </c>
      <c r="E74" s="3">
        <f t="shared" si="19"/>
        <v>11802545.547670802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8">E74*F74*G74/H74</f>
        <v>2360509109.5341606</v>
      </c>
      <c r="K74" s="3">
        <f t="shared" ref="K74" si="49">(STDEV(D74:D76)*F74*G74)/H74</f>
        <v>350113165.66210419</v>
      </c>
    </row>
    <row r="75" spans="1:11">
      <c r="A75" t="s">
        <v>28</v>
      </c>
      <c r="B75" s="12">
        <v>13.113795280456543</v>
      </c>
      <c r="C75" s="5">
        <f t="shared" si="17"/>
        <v>2.749108493807648E-2</v>
      </c>
      <c r="D75" s="3">
        <f t="shared" si="18"/>
        <v>12743555.966915645</v>
      </c>
    </row>
    <row r="76" spans="1:11">
      <c r="A76" t="s">
        <v>28</v>
      </c>
      <c r="B76" s="12">
        <v>13.48825740814209</v>
      </c>
      <c r="C76" s="5">
        <f t="shared" si="17"/>
        <v>2.1103836831415444E-2</v>
      </c>
      <c r="D76" s="3">
        <f t="shared" si="18"/>
        <v>9782732.3433607537</v>
      </c>
    </row>
    <row r="77" spans="1:11">
      <c r="A77" t="s">
        <v>57</v>
      </c>
      <c r="B77" s="12">
        <v>14.818141937255859</v>
      </c>
      <c r="C77" s="5">
        <f t="shared" si="17"/>
        <v>8.2517578952189721E-3</v>
      </c>
      <c r="D77" s="3">
        <f t="shared" si="18"/>
        <v>3825121.4457350811</v>
      </c>
      <c r="E77" s="3">
        <f t="shared" si="19"/>
        <v>2817274.6037893067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563454920.75786138</v>
      </c>
      <c r="K77" s="3">
        <f t="shared" ref="K77" si="51">(STDEV(D77:D79)*F77*G77)/H77</f>
        <v>178814464.02394843</v>
      </c>
    </row>
    <row r="78" spans="1:11">
      <c r="A78" t="s">
        <v>57</v>
      </c>
      <c r="B78" s="12">
        <v>15.654250144958496</v>
      </c>
      <c r="C78" s="5">
        <f t="shared" si="17"/>
        <v>4.5724631717949217E-3</v>
      </c>
      <c r="D78" s="3">
        <f t="shared" si="18"/>
        <v>2119575.8722393392</v>
      </c>
    </row>
    <row r="79" spans="1:11">
      <c r="A79" t="s">
        <v>57</v>
      </c>
      <c r="B79" s="12">
        <v>15.416434288024902</v>
      </c>
      <c r="C79" s="5">
        <f t="shared" si="17"/>
        <v>5.4085082342259531E-3</v>
      </c>
      <c r="D79" s="3">
        <f t="shared" si="18"/>
        <v>2507126.4933934999</v>
      </c>
    </row>
    <row r="80" spans="1:11">
      <c r="A80" t="s">
        <v>58</v>
      </c>
      <c r="B80" s="12">
        <v>18.428840637207031</v>
      </c>
      <c r="C80" s="5">
        <f t="shared" si="17"/>
        <v>6.4462898949737169E-4</v>
      </c>
      <c r="D80" s="3">
        <f t="shared" si="18"/>
        <v>298819.25809985213</v>
      </c>
      <c r="E80" s="3">
        <f t="shared" si="19"/>
        <v>453606.75304287748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90721350.608575493</v>
      </c>
      <c r="K80" s="3">
        <f t="shared" ref="K80" si="53">(STDEV(D80:D82)*F80*G80)/H80</f>
        <v>34383789.69755616</v>
      </c>
    </row>
    <row r="81" spans="1:11">
      <c r="A81" t="s">
        <v>58</v>
      </c>
      <c r="B81" s="12">
        <v>17.353202819824219</v>
      </c>
      <c r="C81" s="5">
        <f t="shared" si="17"/>
        <v>1.3777134626284094E-3</v>
      </c>
      <c r="D81" s="3">
        <f t="shared" si="18"/>
        <v>638642.26009723719</v>
      </c>
    </row>
    <row r="82" spans="1:11">
      <c r="A82" t="s">
        <v>58</v>
      </c>
      <c r="B82" s="12">
        <v>17.935451507568359</v>
      </c>
      <c r="C82" s="5">
        <f t="shared" si="17"/>
        <v>9.1329226602385172E-4</v>
      </c>
      <c r="D82" s="3">
        <f t="shared" si="18"/>
        <v>423358.74093154306</v>
      </c>
    </row>
    <row r="83" spans="1:11">
      <c r="A83" t="s">
        <v>21</v>
      </c>
      <c r="B83" s="12">
        <v>16.09480094909668</v>
      </c>
      <c r="C83" s="5">
        <f t="shared" si="17"/>
        <v>3.3500660792467473E-3</v>
      </c>
      <c r="D83" s="3">
        <f t="shared" si="18"/>
        <v>1552930.8744965699</v>
      </c>
      <c r="E83" s="3">
        <f t="shared" si="19"/>
        <v>1404113.6394000927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280822727.88001853</v>
      </c>
      <c r="K83" s="3">
        <f t="shared" ref="K83" si="55">(STDEV(D83:D85)*F83*G83)/H83</f>
        <v>35784471.402663566</v>
      </c>
    </row>
    <row r="84" spans="1:11">
      <c r="A84" t="s">
        <v>21</v>
      </c>
      <c r="B84" s="12">
        <v>16.453350067138672</v>
      </c>
      <c r="C84" s="5">
        <f t="shared" si="17"/>
        <v>2.6007745615921249E-3</v>
      </c>
      <c r="D84" s="3">
        <f t="shared" si="18"/>
        <v>1205595.0595487386</v>
      </c>
    </row>
    <row r="85" spans="1:11">
      <c r="A85" t="s">
        <v>21</v>
      </c>
      <c r="B85" s="12">
        <v>16.188205718994141</v>
      </c>
      <c r="C85" s="5">
        <f t="shared" si="17"/>
        <v>3.1362479450330288E-3</v>
      </c>
      <c r="D85" s="3">
        <f t="shared" si="18"/>
        <v>1453814.9841549697</v>
      </c>
    </row>
    <row r="86" spans="1:11">
      <c r="A86" t="s">
        <v>59</v>
      </c>
      <c r="B86" s="12">
        <v>13.291081428527832</v>
      </c>
      <c r="C86" s="5">
        <f t="shared" si="17"/>
        <v>2.425639756808233E-2</v>
      </c>
      <c r="D86" s="3">
        <f t="shared" si="18"/>
        <v>11244109.159783565</v>
      </c>
      <c r="E86" s="3">
        <f t="shared" si="19"/>
        <v>11110092.339684367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2222018467.9368734</v>
      </c>
      <c r="K86" s="3">
        <f t="shared" ref="K86" si="57">(STDEV(D86:D88)*F86*G86)/H86</f>
        <v>114284719.811047</v>
      </c>
    </row>
    <row r="87" spans="1:11">
      <c r="A87" t="s">
        <v>59</v>
      </c>
      <c r="B87" s="12">
        <v>13.390267372131348</v>
      </c>
      <c r="C87" s="5">
        <f t="shared" si="17"/>
        <v>2.2615724036374654E-2</v>
      </c>
      <c r="D87" s="3">
        <f t="shared" si="18"/>
        <v>10483571.151849387</v>
      </c>
    </row>
    <row r="88" spans="1:11">
      <c r="A88" t="s">
        <v>59</v>
      </c>
      <c r="B88" s="12">
        <v>13.246633529663086</v>
      </c>
      <c r="C88" s="5">
        <f t="shared" si="17"/>
        <v>2.5029746203808954E-2</v>
      </c>
      <c r="D88" s="3">
        <f t="shared" si="18"/>
        <v>11602596.707420148</v>
      </c>
    </row>
    <row r="89" spans="1:11">
      <c r="A89" t="s">
        <v>60</v>
      </c>
      <c r="B89" s="12">
        <v>21.044967651367188</v>
      </c>
      <c r="C89" s="5">
        <f t="shared" si="17"/>
        <v>1.0163960557815412E-4</v>
      </c>
      <c r="D89" s="3">
        <f t="shared" si="18"/>
        <v>47115.274099148221</v>
      </c>
      <c r="E89" s="3">
        <f t="shared" si="19"/>
        <v>49250.805413832109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9850161.0827664211</v>
      </c>
      <c r="K89" s="3">
        <f t="shared" ref="K89" si="59">(STDEV(D89:D91)*F89*G89)/H89</f>
        <v>392382.12226817152</v>
      </c>
    </row>
    <row r="90" spans="1:11">
      <c r="A90" t="s">
        <v>60</v>
      </c>
      <c r="B90" s="12">
        <v>20.970361709594727</v>
      </c>
      <c r="C90" s="5">
        <f t="shared" si="17"/>
        <v>1.0713742680582847E-4</v>
      </c>
      <c r="D90" s="3">
        <f t="shared" si="18"/>
        <v>49663.801837095954</v>
      </c>
    </row>
    <row r="91" spans="1:11">
      <c r="A91" t="s">
        <v>60</v>
      </c>
      <c r="B91" s="12">
        <v>20.933502197265625</v>
      </c>
      <c r="C91" s="5">
        <f t="shared" si="17"/>
        <v>1.0996243368391058E-4</v>
      </c>
      <c r="D91" s="3">
        <f t="shared" si="18"/>
        <v>50973.340305252161</v>
      </c>
    </row>
    <row r="92" spans="1:11">
      <c r="A92" t="s">
        <v>31</v>
      </c>
      <c r="B92" s="12">
        <v>12.945526123046875</v>
      </c>
      <c r="C92" s="5">
        <f t="shared" si="17"/>
        <v>3.095938730159923E-2</v>
      </c>
      <c r="D92" s="3">
        <f t="shared" si="18"/>
        <v>14351295.544283902</v>
      </c>
      <c r="E92" s="3">
        <f t="shared" si="19"/>
        <v>16886854.972235069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3377370994.4470139</v>
      </c>
      <c r="K92" s="3">
        <f t="shared" ref="K92" si="61">(STDEV(D92:D94)*F92*G92)/H92</f>
        <v>685801135.4838351</v>
      </c>
    </row>
    <row r="93" spans="1:11">
      <c r="A93" t="s">
        <v>31</v>
      </c>
      <c r="B93" s="12">
        <v>12.834563255310059</v>
      </c>
      <c r="C93" s="5">
        <f t="shared" si="17"/>
        <v>3.3482633485831026E-2</v>
      </c>
      <c r="D93" s="3">
        <f t="shared" si="18"/>
        <v>15520952.145305416</v>
      </c>
    </row>
    <row r="94" spans="1:11">
      <c r="A94" t="s">
        <v>31</v>
      </c>
      <c r="B94" s="12">
        <v>12.42073917388916</v>
      </c>
      <c r="C94" s="5">
        <f t="shared" si="17"/>
        <v>4.4845676991101355E-2</v>
      </c>
      <c r="D94" s="3">
        <f t="shared" si="18"/>
        <v>20788317.227115884</v>
      </c>
    </row>
    <row r="95" spans="1:11">
      <c r="A95" t="s">
        <v>61</v>
      </c>
      <c r="B95" s="12">
        <v>21.32940673828125</v>
      </c>
      <c r="C95" s="5">
        <f t="shared" si="17"/>
        <v>8.3145447174976902E-5</v>
      </c>
      <c r="D95" s="3">
        <f t="shared" si="18"/>
        <v>38542.264223300721</v>
      </c>
      <c r="E95" s="3">
        <f t="shared" si="19"/>
        <v>37220.177216164324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7444035.4432328651</v>
      </c>
      <c r="K95" s="3">
        <f t="shared" ref="K95" si="63">(STDEV(D95:D97)*F95*G95)/H95</f>
        <v>229977.01627277621</v>
      </c>
    </row>
    <row r="96" spans="1:11">
      <c r="A96" t="s">
        <v>61</v>
      </c>
      <c r="B96" s="12">
        <v>21.400106430053711</v>
      </c>
      <c r="C96" s="5">
        <f t="shared" ref="C96:C109" si="64">10^((B96-8.024)/(-3.261))</f>
        <v>7.9096652128573733E-5</v>
      </c>
      <c r="D96" s="3">
        <f t="shared" ref="D96:D109" si="65">C96*$B$9</f>
        <v>36665.435921011835</v>
      </c>
    </row>
    <row r="97" spans="1:11">
      <c r="A97" t="s">
        <v>61</v>
      </c>
      <c r="B97" s="12">
        <v>21.408342361450195</v>
      </c>
      <c r="C97" s="5">
        <f t="shared" si="64"/>
        <v>7.863801043574507E-5</v>
      </c>
      <c r="D97" s="3">
        <f t="shared" si="65"/>
        <v>36452.831504180409</v>
      </c>
    </row>
    <row r="98" spans="1:11">
      <c r="A98" t="s">
        <v>62</v>
      </c>
      <c r="B98" s="12">
        <v>20.370145797729492</v>
      </c>
      <c r="C98" s="5">
        <f t="shared" si="64"/>
        <v>1.6368167552024954E-4</v>
      </c>
      <c r="D98" s="3">
        <f t="shared" si="65"/>
        <v>75875.019027050948</v>
      </c>
      <c r="E98" s="3">
        <f t="shared" ref="E98:E107" si="66">AVERAGE(D98:D100)</f>
        <v>82682.778518138293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7">E98*F98*G98/H98</f>
        <v>16536555.703627659</v>
      </c>
      <c r="K98" s="3">
        <f t="shared" ref="K98" si="68">(STDEV(D98:D100)*F98*G98)/H98</f>
        <v>2840882.6264309767</v>
      </c>
    </row>
    <row r="99" spans="1:11">
      <c r="A99" t="s">
        <v>62</v>
      </c>
      <c r="B99" s="12">
        <v>20.421682357788086</v>
      </c>
      <c r="C99" s="5">
        <f t="shared" si="64"/>
        <v>1.5783239587466473E-4</v>
      </c>
      <c r="D99" s="3">
        <f t="shared" si="65"/>
        <v>73163.571927107347</v>
      </c>
    </row>
    <row r="100" spans="1:11">
      <c r="A100" t="s">
        <v>62</v>
      </c>
      <c r="B100" s="12">
        <v>19.993242263793945</v>
      </c>
      <c r="C100" s="5">
        <f t="shared" si="64"/>
        <v>2.1358915090649528E-4</v>
      </c>
      <c r="D100" s="3">
        <f t="shared" si="65"/>
        <v>99009.744600256628</v>
      </c>
    </row>
    <row r="101" spans="1:11">
      <c r="A101" t="s">
        <v>63</v>
      </c>
      <c r="B101" s="12">
        <v>13.610037803649902</v>
      </c>
      <c r="C101" s="5">
        <f t="shared" si="64"/>
        <v>1.9364974355737998E-2</v>
      </c>
      <c r="D101" s="3">
        <f t="shared" si="65"/>
        <v>8976678.6234919783</v>
      </c>
      <c r="E101" s="3">
        <f t="shared" si="66"/>
        <v>8054271.7681657234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9">E101*F101*G101/H101</f>
        <v>1610854353.6331446</v>
      </c>
      <c r="K101" s="3">
        <f t="shared" ref="K101" si="70">(STDEV(D101:D103)*F101*G101)/H101</f>
        <v>162986093.21440017</v>
      </c>
    </row>
    <row r="102" spans="1:11">
      <c r="A102" t="s">
        <v>63</v>
      </c>
      <c r="B102" s="12">
        <v>13.817355155944824</v>
      </c>
      <c r="C102" s="5">
        <f t="shared" si="64"/>
        <v>1.6727927895694057E-2</v>
      </c>
      <c r="D102" s="3">
        <f t="shared" si="65"/>
        <v>7754269.6415757453</v>
      </c>
    </row>
    <row r="103" spans="1:11">
      <c r="A103" t="s">
        <v>63</v>
      </c>
      <c r="B103" s="12">
        <v>13.877497673034668</v>
      </c>
      <c r="C103" s="5">
        <f t="shared" si="64"/>
        <v>1.6032423646890108E-2</v>
      </c>
      <c r="D103" s="3">
        <f t="shared" si="65"/>
        <v>7431867.0394294476</v>
      </c>
    </row>
    <row r="104" spans="1:11">
      <c r="A104" t="s">
        <v>64</v>
      </c>
      <c r="B104" s="12">
        <v>13.411399841308594</v>
      </c>
      <c r="C104" s="5">
        <f t="shared" si="64"/>
        <v>2.2280766713408916E-2</v>
      </c>
      <c r="D104" s="3">
        <f t="shared" si="65"/>
        <v>10328300.910556365</v>
      </c>
      <c r="E104" s="3">
        <f t="shared" si="66"/>
        <v>9464440.1435364354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71">E104*F104*G104/H104</f>
        <v>1892888028.7072871</v>
      </c>
      <c r="K104" s="3">
        <f t="shared" ref="K104" si="72">(STDEV(D104:D106)*F104*G104)/H104</f>
        <v>192297175.04810262</v>
      </c>
    </row>
    <row r="105" spans="1:11">
      <c r="A105" t="s">
        <v>64</v>
      </c>
      <c r="B105" s="12">
        <v>13.509592056274414</v>
      </c>
      <c r="C105" s="5">
        <f t="shared" si="64"/>
        <v>2.0788303880216855E-2</v>
      </c>
      <c r="D105" s="3">
        <f t="shared" si="65"/>
        <v>9636466.3144985754</v>
      </c>
    </row>
    <row r="106" spans="1:11">
      <c r="A106" t="s">
        <v>64</v>
      </c>
      <c r="B106" s="12">
        <v>13.699267387390137</v>
      </c>
      <c r="C106" s="5">
        <f t="shared" si="64"/>
        <v>1.8182528697684462E-2</v>
      </c>
      <c r="D106" s="3">
        <f t="shared" si="65"/>
        <v>8428553.2055543624</v>
      </c>
    </row>
    <row r="107" spans="1:11">
      <c r="A107" t="s">
        <v>65</v>
      </c>
      <c r="B107" s="12">
        <v>20.111337661743164</v>
      </c>
      <c r="C107" s="5">
        <f t="shared" si="64"/>
        <v>1.9650097780875853E-4</v>
      </c>
      <c r="D107" s="3">
        <f t="shared" si="65"/>
        <v>91088.482462590429</v>
      </c>
      <c r="E107" s="3">
        <f t="shared" si="66"/>
        <v>87998.491094550394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3">E107*F107*G107/H107</f>
        <v>17599698.218910079</v>
      </c>
      <c r="K107" s="3">
        <f t="shared" ref="K107" si="74">(STDEV(D107:D109)*F107*G107)/H107</f>
        <v>545172.6693817242</v>
      </c>
    </row>
    <row r="108" spans="1:11">
      <c r="A108" t="s">
        <v>65</v>
      </c>
      <c r="B108" s="12">
        <v>20.176824569702148</v>
      </c>
      <c r="C108" s="5">
        <f t="shared" si="64"/>
        <v>1.8762161386332092E-4</v>
      </c>
      <c r="D108" s="3">
        <f t="shared" si="65"/>
        <v>86972.432781605588</v>
      </c>
    </row>
    <row r="109" spans="1:11">
      <c r="A109" t="s">
        <v>65</v>
      </c>
      <c r="B109" s="12">
        <v>20.193826675415039</v>
      </c>
      <c r="C109" s="5">
        <f t="shared" si="64"/>
        <v>1.8538265459907665E-4</v>
      </c>
      <c r="D109" s="3">
        <f t="shared" si="65"/>
        <v>85934.55803945518</v>
      </c>
    </row>
  </sheetData>
  <mergeCells count="11">
    <mergeCell ref="K13:K14"/>
    <mergeCell ref="L13:L14"/>
    <mergeCell ref="B13:B14"/>
    <mergeCell ref="D13:D14"/>
    <mergeCell ref="E13:E14"/>
    <mergeCell ref="F13:F14"/>
    <mergeCell ref="G13:G14"/>
    <mergeCell ref="H13:H14"/>
    <mergeCell ref="I13:I14"/>
    <mergeCell ref="J13:J14"/>
    <mergeCell ref="C13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AA8D-C8A4-5642-8290-491EE4491530}">
  <dimension ref="A1:Q109"/>
  <sheetViews>
    <sheetView zoomScale="120" zoomScaleNormal="120" workbookViewId="0">
      <selection activeCell="D16" sqref="D16"/>
    </sheetView>
  </sheetViews>
  <sheetFormatPr baseColWidth="10" defaultRowHeight="15"/>
  <cols>
    <col min="1" max="1" width="34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2" style="2" customWidth="1"/>
    <col min="10" max="10" width="16.85546875" style="2" customWidth="1"/>
    <col min="11" max="11" width="10.85546875" style="2" customWidth="1"/>
    <col min="12" max="12" width="14.42578125" style="2" customWidth="1"/>
    <col min="13" max="16384" width="10.7109375" style="2"/>
  </cols>
  <sheetData>
    <row r="1" spans="1:16">
      <c r="A1" s="2" t="s">
        <v>66</v>
      </c>
    </row>
    <row r="2" spans="1:16">
      <c r="A2" s="2" t="s">
        <v>44</v>
      </c>
    </row>
    <row r="3" spans="1:16">
      <c r="A3" s="2" t="s">
        <v>24</v>
      </c>
    </row>
    <row r="5" spans="1:16">
      <c r="A5" s="2" t="s">
        <v>37</v>
      </c>
      <c r="B5" s="3">
        <v>1500</v>
      </c>
      <c r="D5" s="2" t="s">
        <v>10</v>
      </c>
    </row>
    <row r="6" spans="1:16" ht="17">
      <c r="A6" s="2" t="s">
        <v>6</v>
      </c>
      <c r="B6" s="3">
        <v>1.096E-21</v>
      </c>
      <c r="D6" s="2" t="s">
        <v>9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38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39</v>
      </c>
      <c r="B8" s="3">
        <v>7.6207999999999981E-10</v>
      </c>
      <c r="D8" s="2" t="s">
        <v>13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40</v>
      </c>
      <c r="B9" s="3">
        <f>B8/B7</f>
        <v>463552311.43552303</v>
      </c>
      <c r="D9" s="2" t="s">
        <v>14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8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11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4" t="s">
        <v>1</v>
      </c>
      <c r="C13" s="15" t="s">
        <v>7</v>
      </c>
      <c r="D13" s="15" t="s">
        <v>12</v>
      </c>
      <c r="E13" s="15" t="s">
        <v>2</v>
      </c>
      <c r="F13" s="15" t="s">
        <v>3</v>
      </c>
      <c r="G13" s="15" t="s">
        <v>5</v>
      </c>
      <c r="H13" s="15" t="s">
        <v>41</v>
      </c>
      <c r="I13" s="15" t="s">
        <v>4</v>
      </c>
      <c r="J13" s="15" t="s">
        <v>42</v>
      </c>
      <c r="K13" s="13" t="s">
        <v>15</v>
      </c>
      <c r="L13" s="13"/>
      <c r="M13" s="1"/>
      <c r="N13" s="1"/>
      <c r="O13" s="1"/>
      <c r="P13" s="1"/>
    </row>
    <row r="14" spans="1:16">
      <c r="B14" s="14"/>
      <c r="C14" s="15"/>
      <c r="D14" s="15"/>
      <c r="E14" s="15"/>
      <c r="F14" s="15"/>
      <c r="G14" s="15"/>
      <c r="H14" s="15"/>
      <c r="I14" s="15"/>
      <c r="J14" s="15"/>
      <c r="K14" s="13"/>
      <c r="L14" s="13"/>
      <c r="M14" s="1"/>
      <c r="N14" s="1"/>
      <c r="O14" s="1"/>
      <c r="P14" s="1"/>
    </row>
    <row r="15" spans="1:16">
      <c r="A15" s="2" t="s">
        <v>22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16</v>
      </c>
      <c r="B16" s="12">
        <v>8.2892112731933594</v>
      </c>
      <c r="C16" s="5">
        <f>10^((B16-8.179)/(-3.3))</f>
        <v>0.92598221299425076</v>
      </c>
      <c r="D16" s="3">
        <f>C16*$B$9</f>
        <v>429241195.18166578</v>
      </c>
      <c r="E16" s="3">
        <f t="shared" ref="E16" si="0">AVERAGE(D16:D18)</f>
        <v>443034330.99352783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469316028.5948388</v>
      </c>
      <c r="K16" s="3">
        <f t="shared" ref="K16" si="2">(STDEV(D16:D18)*F16*G16)/H16</f>
        <v>20624386.857395314</v>
      </c>
      <c r="L16" s="6"/>
      <c r="M16" s="1"/>
      <c r="N16" s="1"/>
      <c r="O16" s="1"/>
      <c r="P16" s="1"/>
    </row>
    <row r="17" spans="1:16">
      <c r="B17" s="12">
        <v>8.1735906600952148</v>
      </c>
      <c r="C17" s="5">
        <f t="shared" ref="C17:C30" si="3">10^((B17-8.179)/(-3.3))</f>
        <v>1.0037815154182896</v>
      </c>
      <c r="D17" s="3">
        <f t="shared" ref="D17:D30" si="4">C17*$B$9</f>
        <v>465305241.64840025</v>
      </c>
      <c r="L17" s="6"/>
      <c r="M17" s="1"/>
      <c r="N17" s="1"/>
      <c r="O17" s="1"/>
      <c r="P17" s="1"/>
    </row>
    <row r="18" spans="1:16">
      <c r="B18" s="12">
        <v>8.2715730667114258</v>
      </c>
      <c r="C18" s="5">
        <f t="shared" si="3"/>
        <v>0.9374487958107427</v>
      </c>
      <c r="D18" s="3">
        <f t="shared" si="4"/>
        <v>434556556.15051746</v>
      </c>
      <c r="L18" s="6"/>
      <c r="M18" s="1"/>
      <c r="N18" s="1"/>
      <c r="O18" s="1"/>
      <c r="P18" s="1"/>
    </row>
    <row r="19" spans="1:16">
      <c r="A19" s="2" t="s">
        <v>17</v>
      </c>
      <c r="B19" s="12">
        <v>10.869472503662109</v>
      </c>
      <c r="C19" s="5">
        <f t="shared" si="3"/>
        <v>0.15300488680546492</v>
      </c>
      <c r="D19" s="3">
        <f t="shared" si="4"/>
        <v>70925768.93960382</v>
      </c>
      <c r="E19" s="3">
        <f t="shared" ref="E19" si="5">AVERAGE(D19:D21)</f>
        <v>72830067.539270818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385752476.37325639</v>
      </c>
      <c r="K19" s="3">
        <f t="shared" ref="K19" si="7">(STDEV(D19:D21)*F19*G19)/H19</f>
        <v>10856465.205083735</v>
      </c>
      <c r="L19" s="6"/>
      <c r="M19" s="1"/>
      <c r="N19" s="1"/>
      <c r="O19" s="1"/>
      <c r="P19" s="1"/>
    </row>
    <row r="20" spans="1:16">
      <c r="B20" s="12">
        <v>10.789435386657715</v>
      </c>
      <c r="C20" s="5">
        <f t="shared" si="3"/>
        <v>0.1617927190578389</v>
      </c>
      <c r="D20" s="3">
        <f t="shared" si="4"/>
        <v>74999388.89269942</v>
      </c>
      <c r="L20" s="6"/>
      <c r="M20" s="1"/>
      <c r="N20" s="1"/>
      <c r="O20" s="1"/>
      <c r="P20" s="1"/>
    </row>
    <row r="21" spans="1:16">
      <c r="B21" s="12">
        <v>10.836725234985352</v>
      </c>
      <c r="C21" s="5">
        <f t="shared" si="3"/>
        <v>0.15654122090512437</v>
      </c>
      <c r="D21" s="3">
        <f t="shared" si="4"/>
        <v>72565044.785509229</v>
      </c>
      <c r="L21" s="6"/>
      <c r="M21" s="1"/>
      <c r="N21" s="1"/>
      <c r="O21" s="1"/>
      <c r="P21" s="1"/>
    </row>
    <row r="22" spans="1:16">
      <c r="A22" s="2" t="s">
        <v>18</v>
      </c>
      <c r="B22" s="12">
        <v>13.634435653686523</v>
      </c>
      <c r="C22" s="5">
        <f t="shared" si="3"/>
        <v>2.2224790749608606E-2</v>
      </c>
      <c r="D22" s="3">
        <f t="shared" si="4"/>
        <v>10302353.1231519</v>
      </c>
      <c r="E22" s="3">
        <f t="shared" ref="E22" si="8">AVERAGE(D22:D24)</f>
        <v>9833009.6209259499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260408093.77452195</v>
      </c>
      <c r="K22" s="3">
        <f t="shared" ref="K22" si="10">(STDEV(D22:D24)*F22*G22)/H22</f>
        <v>14685808.53626832</v>
      </c>
      <c r="L22" s="6"/>
      <c r="M22" s="1"/>
      <c r="N22" s="1"/>
      <c r="O22" s="1"/>
      <c r="P22" s="1"/>
    </row>
    <row r="23" spans="1:16">
      <c r="B23" s="12">
        <v>13.793340682983398</v>
      </c>
      <c r="C23" s="5">
        <f t="shared" si="3"/>
        <v>1.9892283566702137E-2</v>
      </c>
      <c r="D23" s="3">
        <f t="shared" si="4"/>
        <v>9221114.0270756464</v>
      </c>
      <c r="L23" s="6"/>
      <c r="M23" s="1"/>
      <c r="N23" s="1"/>
      <c r="O23" s="1"/>
      <c r="P23" s="1"/>
    </row>
    <row r="24" spans="1:16">
      <c r="B24" s="12">
        <v>13.680632591247559</v>
      </c>
      <c r="C24" s="5">
        <f t="shared" si="3"/>
        <v>2.1519818726948223E-2</v>
      </c>
      <c r="D24" s="3">
        <f t="shared" si="4"/>
        <v>9975561.712550303</v>
      </c>
      <c r="L24" s="6"/>
      <c r="M24" s="1"/>
      <c r="N24" s="1"/>
      <c r="O24" s="1"/>
      <c r="P24" s="1"/>
    </row>
    <row r="25" spans="1:16">
      <c r="A25" s="2" t="s">
        <v>19</v>
      </c>
      <c r="B25" s="12">
        <v>15.971991539001465</v>
      </c>
      <c r="C25" s="5">
        <f t="shared" si="3"/>
        <v>4.3499815247661586E-3</v>
      </c>
      <c r="D25" s="3">
        <f t="shared" si="4"/>
        <v>2016443.9905071738</v>
      </c>
      <c r="E25" s="3">
        <f t="shared" ref="E25" si="11">AVERAGE(D25:D27)</f>
        <v>2111124.9511121819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279545147.12820202</v>
      </c>
      <c r="K25" s="3">
        <f t="shared" ref="K25" si="13">(STDEV(D25:D27)*F25*G25)/H25</f>
        <v>14088758.595860051</v>
      </c>
      <c r="L25" s="6"/>
      <c r="M25" s="1"/>
      <c r="N25" s="1"/>
      <c r="O25" s="1"/>
      <c r="P25" s="1"/>
    </row>
    <row r="26" spans="1:16">
      <c r="B26" s="12">
        <v>15.920188903808594</v>
      </c>
      <c r="C26" s="5">
        <f t="shared" si="3"/>
        <v>4.5100897117380983E-3</v>
      </c>
      <c r="D26" s="3">
        <f t="shared" si="4"/>
        <v>2090662.5106577673</v>
      </c>
      <c r="L26" s="6"/>
      <c r="M26" s="1"/>
      <c r="N26" s="1"/>
      <c r="O26" s="1"/>
      <c r="P26" s="1"/>
    </row>
    <row r="27" spans="1:16">
      <c r="B27" s="12">
        <v>15.830120086669922</v>
      </c>
      <c r="C27" s="5">
        <f t="shared" si="3"/>
        <v>4.8026259329337056E-3</v>
      </c>
      <c r="D27" s="3">
        <f t="shared" si="4"/>
        <v>2226268.3521716045</v>
      </c>
      <c r="L27" s="6"/>
      <c r="M27" s="1"/>
      <c r="N27" s="1"/>
      <c r="O27" s="1"/>
      <c r="P27" s="1"/>
    </row>
    <row r="28" spans="1:16">
      <c r="A28" s="2" t="s">
        <v>20</v>
      </c>
      <c r="B28" s="12">
        <v>17.337331771850586</v>
      </c>
      <c r="C28" s="5">
        <f t="shared" si="3"/>
        <v>1.6778299710454828E-3</v>
      </c>
      <c r="D28" s="3">
        <f t="shared" si="4"/>
        <v>777761.96127393027</v>
      </c>
      <c r="E28" s="3">
        <f t="shared" ref="E28" si="14">AVERAGE(D28:D30)</f>
        <v>833427.01997975574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551792253.69422388</v>
      </c>
      <c r="K28" s="3">
        <f t="shared" ref="K28" si="16">(STDEV(D28:D30)*F28*G28)/H28</f>
        <v>31947824.778987568</v>
      </c>
      <c r="L28" s="7"/>
      <c r="M28" s="1"/>
      <c r="N28" s="1"/>
      <c r="O28" s="1"/>
      <c r="P28" s="7"/>
    </row>
    <row r="29" spans="1:16">
      <c r="B29" s="12">
        <v>17.187658309936523</v>
      </c>
      <c r="C29" s="5">
        <f t="shared" si="3"/>
        <v>1.8625311396281272E-3</v>
      </c>
      <c r="D29" s="3">
        <f t="shared" si="4"/>
        <v>863380.61489525728</v>
      </c>
      <c r="L29" s="7"/>
      <c r="M29" s="1"/>
      <c r="N29" s="1"/>
      <c r="O29" s="1"/>
      <c r="P29" s="7"/>
    </row>
    <row r="30" spans="1:16">
      <c r="B30" s="12">
        <v>17.194717407226562</v>
      </c>
      <c r="C30" s="5">
        <f t="shared" si="3"/>
        <v>1.8533797860041084E-3</v>
      </c>
      <c r="D30" s="3">
        <f t="shared" si="4"/>
        <v>859138.48377007945</v>
      </c>
      <c r="L30" s="7"/>
      <c r="M30" s="1"/>
      <c r="N30" s="1"/>
      <c r="O30" s="1"/>
      <c r="P30" s="7"/>
    </row>
    <row r="31" spans="1:16">
      <c r="A31" s="2" t="s">
        <v>23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67</v>
      </c>
      <c r="B32" s="12">
        <v>22.86907958984375</v>
      </c>
      <c r="C32" s="5">
        <f t="shared" ref="C32:C95" si="17">10^((B32-8.179)/(-3.3))</f>
        <v>3.5355805033154921E-5</v>
      </c>
      <c r="D32" s="3">
        <f t="shared" ref="D32:D95" si="18">C32*$B$9</f>
        <v>16389.265145782661</v>
      </c>
      <c r="E32" s="3">
        <f t="shared" ref="E32:E92" si="19">AVERAGE(D32:D34)</f>
        <v>20222.389485502881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4044477.8971005762</v>
      </c>
      <c r="K32" s="3">
        <f t="shared" ref="K32" si="21">(STDEV(D32:D34)*F32*G32)/H32</f>
        <v>775112.57875053585</v>
      </c>
    </row>
    <row r="33" spans="1:17">
      <c r="A33" t="s">
        <v>67</v>
      </c>
      <c r="B33" s="12">
        <v>22.314149856567383</v>
      </c>
      <c r="C33" s="5">
        <f t="shared" si="17"/>
        <v>5.2074037989978564E-5</v>
      </c>
      <c r="D33" s="3">
        <f t="shared" si="18"/>
        <v>24139.040676035802</v>
      </c>
    </row>
    <row r="34" spans="1:17">
      <c r="A34" t="s">
        <v>67</v>
      </c>
      <c r="B34" s="12">
        <v>22.573810577392578</v>
      </c>
      <c r="C34" s="5">
        <f t="shared" si="17"/>
        <v>4.3444638583128643E-5</v>
      </c>
      <c r="D34" s="3">
        <f t="shared" si="18"/>
        <v>20138.862634690187</v>
      </c>
    </row>
    <row r="35" spans="1:17">
      <c r="A35" t="s">
        <v>68</v>
      </c>
      <c r="B35" s="12">
        <v>21.092914581298828</v>
      </c>
      <c r="C35" s="5">
        <f t="shared" si="17"/>
        <v>1.2209350210340831E-4</v>
      </c>
      <c r="D35" s="3">
        <f t="shared" si="18"/>
        <v>56596.725111292821</v>
      </c>
      <c r="E35" s="3">
        <f t="shared" si="19"/>
        <v>52799.079070764354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10559815.81415287</v>
      </c>
      <c r="K35" s="3">
        <f t="shared" ref="K35" si="23">(STDEV(D35:D37)*F35*G35)/H35</f>
        <v>727940.17912114772</v>
      </c>
    </row>
    <row r="36" spans="1:17">
      <c r="A36" t="s">
        <v>68</v>
      </c>
      <c r="B36" s="12">
        <v>21.201709747314453</v>
      </c>
      <c r="C36" s="5">
        <f t="shared" si="17"/>
        <v>1.1316817673969928E-4</v>
      </c>
      <c r="D36" s="3">
        <f t="shared" si="18"/>
        <v>52459.369908631394</v>
      </c>
    </row>
    <row r="37" spans="1:17">
      <c r="A37" t="s">
        <v>68</v>
      </c>
      <c r="B37" s="12">
        <v>21.289535522460938</v>
      </c>
      <c r="C37" s="5">
        <f t="shared" si="17"/>
        <v>1.0644136805093213E-4</v>
      </c>
      <c r="D37" s="3">
        <f t="shared" si="18"/>
        <v>49341.142192368825</v>
      </c>
    </row>
    <row r="38" spans="1:17">
      <c r="A38" t="s">
        <v>69</v>
      </c>
      <c r="B38" s="12">
        <v>14.533675193786621</v>
      </c>
      <c r="C38" s="5">
        <f t="shared" si="17"/>
        <v>1.1866997486192155E-2</v>
      </c>
      <c r="D38" s="3">
        <f t="shared" si="18"/>
        <v>5500974.1145239146</v>
      </c>
      <c r="E38" s="3">
        <f t="shared" si="19"/>
        <v>5158861.3327180343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1031772266.5436069</v>
      </c>
      <c r="K38" s="3">
        <f t="shared" ref="K38" si="25">(STDEV(D38:D40)*F38*G38)/H38</f>
        <v>61049004.732158735</v>
      </c>
    </row>
    <row r="39" spans="1:17">
      <c r="A39" t="s">
        <v>69</v>
      </c>
      <c r="B39" s="12">
        <v>14.653076171875</v>
      </c>
      <c r="C39" s="5">
        <f t="shared" si="17"/>
        <v>1.091839333725636E-2</v>
      </c>
      <c r="D39" s="3">
        <f t="shared" si="18"/>
        <v>5061246.4686473999</v>
      </c>
    </row>
    <row r="40" spans="1:17">
      <c r="A40" t="s">
        <v>69</v>
      </c>
      <c r="B40" s="12">
        <v>14.695283889770508</v>
      </c>
      <c r="C40" s="5">
        <f t="shared" si="17"/>
        <v>1.060152930693852E-2</v>
      </c>
      <c r="D40" s="3">
        <f t="shared" si="18"/>
        <v>4914363.4149827892</v>
      </c>
    </row>
    <row r="41" spans="1:17">
      <c r="A41" t="s">
        <v>36</v>
      </c>
      <c r="B41" s="12">
        <v>13.443222045898438</v>
      </c>
      <c r="C41" s="5">
        <f t="shared" si="17"/>
        <v>2.5396928611925142E-2</v>
      </c>
      <c r="D41" s="3">
        <f t="shared" si="18"/>
        <v>11772804.961420869</v>
      </c>
      <c r="E41" s="3">
        <f t="shared" si="19"/>
        <v>11156238.793170702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2231247758.6341405</v>
      </c>
      <c r="K41" s="3">
        <f t="shared" ref="K41" si="27">(STDEV(D41:D43)*F41*G41)/H41</f>
        <v>357753932.9794817</v>
      </c>
      <c r="M41" s="8"/>
      <c r="N41" s="1"/>
      <c r="O41" s="1"/>
      <c r="P41" s="1"/>
      <c r="Q41" s="9"/>
    </row>
    <row r="42" spans="1:17">
      <c r="A42" t="s">
        <v>36</v>
      </c>
      <c r="B42" s="12">
        <v>13.351011276245117</v>
      </c>
      <c r="C42" s="5">
        <f t="shared" si="17"/>
        <v>2.70846891570828E-2</v>
      </c>
      <c r="D42" s="3">
        <f t="shared" si="18"/>
        <v>12555170.26327838</v>
      </c>
    </row>
    <row r="43" spans="1:17">
      <c r="A43" t="s">
        <v>36</v>
      </c>
      <c r="B43" s="12">
        <v>13.805887222290039</v>
      </c>
      <c r="C43" s="5">
        <f t="shared" si="17"/>
        <v>1.9718898880055027E-2</v>
      </c>
      <c r="D43" s="3">
        <f t="shared" si="18"/>
        <v>9140741.1548128538</v>
      </c>
    </row>
    <row r="44" spans="1:17">
      <c r="A44" t="s">
        <v>70</v>
      </c>
      <c r="B44" s="12">
        <v>14.456293106079102</v>
      </c>
      <c r="C44" s="5">
        <f t="shared" si="17"/>
        <v>1.252535281230012E-2</v>
      </c>
      <c r="D44" s="3">
        <f t="shared" si="18"/>
        <v>5806156.2476871489</v>
      </c>
      <c r="E44" s="3">
        <f t="shared" si="19"/>
        <v>5472443.5420844024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1094488708.4168804</v>
      </c>
      <c r="K44" s="3">
        <f t="shared" ref="K44" si="29">(STDEV(D44:D46)*F44*G44)/H44</f>
        <v>59462027.525541246</v>
      </c>
    </row>
    <row r="45" spans="1:17">
      <c r="A45" t="s">
        <v>70</v>
      </c>
      <c r="B45" s="12">
        <v>14.566777229309082</v>
      </c>
      <c r="C45" s="5">
        <f t="shared" si="17"/>
        <v>1.1596046027676337E-2</v>
      </c>
      <c r="D45" s="3">
        <f t="shared" si="18"/>
        <v>5375373.939642081</v>
      </c>
    </row>
    <row r="46" spans="1:17">
      <c r="A46" t="s">
        <v>70</v>
      </c>
      <c r="B46" s="12">
        <v>14.60448169708252</v>
      </c>
      <c r="C46" s="5">
        <f t="shared" si="17"/>
        <v>1.1294950558459768E-2</v>
      </c>
      <c r="D46" s="3">
        <f t="shared" si="18"/>
        <v>5235800.4389239773</v>
      </c>
    </row>
    <row r="47" spans="1:17">
      <c r="A47" t="s">
        <v>71</v>
      </c>
      <c r="B47" s="12">
        <v>13.979756355285645</v>
      </c>
      <c r="C47" s="5">
        <f t="shared" si="17"/>
        <v>1.7466063865857133E-2</v>
      </c>
      <c r="D47" s="3">
        <f t="shared" si="18"/>
        <v>8096434.2766985409</v>
      </c>
      <c r="E47" s="3">
        <f t="shared" si="19"/>
        <v>7432677.4019838376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1486535480.3967676</v>
      </c>
      <c r="K47" s="3">
        <f t="shared" ref="K47" si="31">(STDEV(D47:D49)*F47*G47)/H47</f>
        <v>123339677.89075023</v>
      </c>
    </row>
    <row r="48" spans="1:17">
      <c r="A48" t="s">
        <v>71</v>
      </c>
      <c r="B48" s="12">
        <v>14.12342643737793</v>
      </c>
      <c r="C48" s="5">
        <f t="shared" si="17"/>
        <v>1.5800057059295554E-2</v>
      </c>
      <c r="D48" s="3">
        <f t="shared" si="18"/>
        <v>7324152.9706496065</v>
      </c>
    </row>
    <row r="49" spans="1:11">
      <c r="A49" t="s">
        <v>71</v>
      </c>
      <c r="B49" s="12">
        <v>14.213616371154785</v>
      </c>
      <c r="C49" s="5">
        <f t="shared" si="17"/>
        <v>1.4836394488694008E-2</v>
      </c>
      <c r="D49" s="3">
        <f t="shared" si="18"/>
        <v>6877444.9586033626</v>
      </c>
    </row>
    <row r="50" spans="1:11">
      <c r="A50" t="s">
        <v>35</v>
      </c>
      <c r="B50" s="12">
        <v>14.547214508056641</v>
      </c>
      <c r="C50" s="5">
        <f t="shared" si="17"/>
        <v>1.1755416685900149E-2</v>
      </c>
      <c r="D50" s="3">
        <f t="shared" si="18"/>
        <v>5449250.5766367298</v>
      </c>
      <c r="E50" s="3">
        <f t="shared" si="19"/>
        <v>5217847.7377871843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1043569547.5574368</v>
      </c>
      <c r="K50" s="3">
        <f t="shared" ref="K50" si="33">(STDEV(D50:D52)*F50*G50)/H50</f>
        <v>78041377.273043081</v>
      </c>
    </row>
    <row r="51" spans="1:11">
      <c r="A51" t="s">
        <v>35</v>
      </c>
      <c r="B51" s="12">
        <v>14.550450325012207</v>
      </c>
      <c r="C51" s="5">
        <f t="shared" si="17"/>
        <v>1.1728905232323217E-2</v>
      </c>
      <c r="D51" s="3">
        <f t="shared" si="18"/>
        <v>5436961.1310516279</v>
      </c>
    </row>
    <row r="52" spans="1:11">
      <c r="A52" t="s">
        <v>35</v>
      </c>
      <c r="B52" s="12">
        <v>14.73881721496582</v>
      </c>
      <c r="C52" s="5">
        <f t="shared" si="17"/>
        <v>1.0284344157210183E-2</v>
      </c>
      <c r="D52" s="3">
        <f t="shared" si="18"/>
        <v>4767331.5056731962</v>
      </c>
    </row>
    <row r="53" spans="1:11">
      <c r="A53" t="s">
        <v>33</v>
      </c>
      <c r="B53" s="12">
        <v>12.954616546630859</v>
      </c>
      <c r="C53" s="5">
        <f t="shared" si="17"/>
        <v>3.5714409236688199E-2</v>
      </c>
      <c r="D53" s="3">
        <f t="shared" si="18"/>
        <v>16555496.953221008</v>
      </c>
      <c r="E53" s="3">
        <f t="shared" si="19"/>
        <v>16658100.638878966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3331620127.7757931</v>
      </c>
      <c r="K53" s="3">
        <f t="shared" ref="K53" si="35">(STDEV(D53:D55)*F53*G53)/H53</f>
        <v>38581750.260567144</v>
      </c>
    </row>
    <row r="54" spans="1:11">
      <c r="A54" t="s">
        <v>33</v>
      </c>
      <c r="B54" s="12">
        <v>12.926743507385254</v>
      </c>
      <c r="C54" s="5">
        <f t="shared" si="17"/>
        <v>3.6415799250332143E-2</v>
      </c>
      <c r="D54" s="3">
        <f t="shared" si="18"/>
        <v>16880627.915263452</v>
      </c>
    </row>
    <row r="55" spans="1:11">
      <c r="A55" t="s">
        <v>33</v>
      </c>
      <c r="B55" s="12">
        <v>12.956116676330566</v>
      </c>
      <c r="C55" s="5">
        <f t="shared" si="17"/>
        <v>3.5677045805115749E-2</v>
      </c>
      <c r="D55" s="3">
        <f t="shared" si="18"/>
        <v>16538177.048152436</v>
      </c>
    </row>
    <row r="56" spans="1:11">
      <c r="A56" t="s">
        <v>72</v>
      </c>
      <c r="B56" s="12">
        <v>14.513561248779297</v>
      </c>
      <c r="C56" s="5">
        <f t="shared" si="17"/>
        <v>1.203471985569789E-2</v>
      </c>
      <c r="D56" s="3">
        <f t="shared" si="18"/>
        <v>5578722.2065877412</v>
      </c>
      <c r="E56" s="3">
        <f t="shared" si="19"/>
        <v>5052837.1124304784</v>
      </c>
      <c r="F56" s="2">
        <v>1</v>
      </c>
      <c r="G56" s="2">
        <v>50</v>
      </c>
      <c r="H56" s="2">
        <v>0.25</v>
      </c>
      <c r="I56" s="2">
        <v>1</v>
      </c>
      <c r="J56" s="3">
        <f t="shared" ref="J56" si="36">E56*F56*G56/H56</f>
        <v>1010567422.4860957</v>
      </c>
      <c r="K56" s="3">
        <f t="shared" ref="K56" si="37">(STDEV(D56:D58)*F56*G56)/H56</f>
        <v>127318383.58060278</v>
      </c>
    </row>
    <row r="57" spans="1:11">
      <c r="A57" t="s">
        <v>72</v>
      </c>
      <c r="B57" s="12">
        <v>14.604788780212402</v>
      </c>
      <c r="C57" s="5">
        <f t="shared" si="17"/>
        <v>1.1292530669074553E-2</v>
      </c>
      <c r="D57" s="3">
        <f t="shared" si="18"/>
        <v>5234678.6936060423</v>
      </c>
    </row>
    <row r="58" spans="1:11">
      <c r="A58" t="s">
        <v>72</v>
      </c>
      <c r="B58" s="12">
        <v>14.871723175048828</v>
      </c>
      <c r="C58" s="5">
        <f t="shared" si="17"/>
        <v>9.3735061392354341E-3</v>
      </c>
      <c r="D58" s="3">
        <f t="shared" si="18"/>
        <v>4345110.437097651</v>
      </c>
    </row>
    <row r="59" spans="1:11">
      <c r="A59" t="s">
        <v>73</v>
      </c>
      <c r="B59" s="12">
        <v>13.907852172851562</v>
      </c>
      <c r="C59" s="5">
        <f t="shared" si="17"/>
        <v>1.8364714876517786E-2</v>
      </c>
      <c r="D59" s="3">
        <f t="shared" si="18"/>
        <v>8513006.0298641566</v>
      </c>
      <c r="E59" s="3">
        <f t="shared" si="19"/>
        <v>7194600.6147810211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38">E59*F59*G59/H59</f>
        <v>1438920122.9562042</v>
      </c>
      <c r="K59" s="3">
        <f t="shared" ref="K59" si="39">(STDEV(D59:D61)*F59*G59)/H59</f>
        <v>263101473.51964912</v>
      </c>
    </row>
    <row r="60" spans="1:11">
      <c r="A60" t="s">
        <v>73</v>
      </c>
      <c r="B60" s="12">
        <v>14.150162696838379</v>
      </c>
      <c r="C60" s="5">
        <f t="shared" si="17"/>
        <v>1.5508034501532921E-2</v>
      </c>
      <c r="D60" s="3">
        <f t="shared" si="18"/>
        <v>7188785.2390074246</v>
      </c>
    </row>
    <row r="61" spans="1:11">
      <c r="A61" t="s">
        <v>73</v>
      </c>
      <c r="B61" s="12">
        <v>14.437690734863281</v>
      </c>
      <c r="C61" s="5">
        <f t="shared" si="17"/>
        <v>1.2688989851557735E-2</v>
      </c>
      <c r="D61" s="3">
        <f t="shared" si="18"/>
        <v>5882010.5754714822</v>
      </c>
    </row>
    <row r="62" spans="1:11">
      <c r="A62" t="s">
        <v>27</v>
      </c>
      <c r="B62" s="12">
        <v>13.209343910217285</v>
      </c>
      <c r="C62" s="5">
        <f t="shared" si="17"/>
        <v>2.9898772630485834E-2</v>
      </c>
      <c r="D62" s="3">
        <f t="shared" si="18"/>
        <v>13859645.161946861</v>
      </c>
      <c r="E62" s="3">
        <f t="shared" si="19"/>
        <v>16919053.145207811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0">E62*F62*G62/H62</f>
        <v>3383810629.0415621</v>
      </c>
      <c r="K62" s="3">
        <f t="shared" ref="K62" si="41">(STDEV(D62:D64)*F62*G62)/H62</f>
        <v>530029309.16647667</v>
      </c>
    </row>
    <row r="63" spans="1:11">
      <c r="A63" t="s">
        <v>27</v>
      </c>
      <c r="B63" s="12">
        <v>12.803899765014648</v>
      </c>
      <c r="C63" s="5">
        <f t="shared" si="17"/>
        <v>3.9674843536120968E-2</v>
      </c>
      <c r="D63" s="3">
        <f t="shared" si="18"/>
        <v>18391365.427011594</v>
      </c>
    </row>
    <row r="64" spans="1:11">
      <c r="A64" t="s">
        <v>27</v>
      </c>
      <c r="B64" s="12">
        <v>12.79498291015625</v>
      </c>
      <c r="C64" s="5">
        <f t="shared" si="17"/>
        <v>3.9922460507974523E-2</v>
      </c>
      <c r="D64" s="3">
        <f t="shared" si="18"/>
        <v>18506148.846664976</v>
      </c>
    </row>
    <row r="65" spans="1:11">
      <c r="A65" t="s">
        <v>74</v>
      </c>
      <c r="B65" s="12">
        <v>15.033018112182617</v>
      </c>
      <c r="C65" s="5">
        <f t="shared" si="17"/>
        <v>8.3757713780249106E-3</v>
      </c>
      <c r="D65" s="3">
        <f t="shared" si="18"/>
        <v>3882608.1823389432</v>
      </c>
      <c r="E65" s="3">
        <f t="shared" si="19"/>
        <v>3234067.8654814013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2">E65*F65*G65/H65</f>
        <v>646813573.09628022</v>
      </c>
      <c r="K65" s="3">
        <f t="shared" ref="K65" si="43">(STDEV(D65:D67)*F65*G65)/H65</f>
        <v>128703456.14773715</v>
      </c>
    </row>
    <row r="66" spans="1:11">
      <c r="A66" t="s">
        <v>74</v>
      </c>
      <c r="B66" s="12">
        <v>15.610089302062988</v>
      </c>
      <c r="C66" s="5">
        <f t="shared" si="17"/>
        <v>5.5995710164811483E-3</v>
      </c>
      <c r="D66" s="3">
        <f t="shared" si="18"/>
        <v>2595694.0877371975</v>
      </c>
    </row>
    <row r="67" spans="1:11">
      <c r="A67" t="s">
        <v>74</v>
      </c>
      <c r="B67" s="12">
        <v>15.299466133117676</v>
      </c>
      <c r="C67" s="5">
        <f t="shared" si="17"/>
        <v>6.9547734890682026E-3</v>
      </c>
      <c r="D67" s="3">
        <f t="shared" si="18"/>
        <v>3223901.3263680628</v>
      </c>
    </row>
    <row r="68" spans="1:11">
      <c r="A68" t="s">
        <v>25</v>
      </c>
      <c r="B68" s="12">
        <v>14.06737232208252</v>
      </c>
      <c r="C68" s="5">
        <f t="shared" si="17"/>
        <v>1.6430271914034261E-2</v>
      </c>
      <c r="D68" s="3">
        <f t="shared" si="18"/>
        <v>7616290.5232647369</v>
      </c>
      <c r="E68" s="3">
        <f t="shared" si="19"/>
        <v>7570723.5797614157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4">E68*F68*G68/H68</f>
        <v>1514144715.9522831</v>
      </c>
      <c r="K68" s="3">
        <f t="shared" ref="K68" si="45">(STDEV(D68:D70)*F68*G68)/H68</f>
        <v>94003799.375499859</v>
      </c>
    </row>
    <row r="69" spans="1:11">
      <c r="A69" t="s">
        <v>25</v>
      </c>
      <c r="B69" s="12">
        <v>14.172101020812988</v>
      </c>
      <c r="C69" s="5">
        <f t="shared" si="17"/>
        <v>1.5272452447163446E-2</v>
      </c>
      <c r="D69" s="3">
        <f t="shared" si="18"/>
        <v>7079580.6331717251</v>
      </c>
    </row>
    <row r="70" spans="1:11">
      <c r="A70" t="s">
        <v>25</v>
      </c>
      <c r="B70" s="12">
        <v>13.994011878967285</v>
      </c>
      <c r="C70" s="5">
        <f t="shared" si="17"/>
        <v>1.7293192990501992E-2</v>
      </c>
      <c r="D70" s="3">
        <f t="shared" si="18"/>
        <v>8016299.5828477833</v>
      </c>
    </row>
    <row r="71" spans="1:11">
      <c r="A71" t="s">
        <v>75</v>
      </c>
      <c r="B71" s="12">
        <v>20.581876754760742</v>
      </c>
      <c r="C71" s="5">
        <f t="shared" si="17"/>
        <v>1.7440241665431943E-4</v>
      </c>
      <c r="D71" s="3">
        <f t="shared" si="18"/>
        <v>80844.643360050934</v>
      </c>
      <c r="E71" s="3">
        <f t="shared" si="19"/>
        <v>76962.977858379236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6">E71*F71*G71/H71</f>
        <v>15392595.571675846</v>
      </c>
      <c r="K71" s="3">
        <f t="shared" ref="K71" si="47">(STDEV(D71:D73)*F71*G71)/H71</f>
        <v>672659.5071061051</v>
      </c>
    </row>
    <row r="72" spans="1:11">
      <c r="A72" t="s">
        <v>75</v>
      </c>
      <c r="B72" s="12">
        <v>20.686973571777344</v>
      </c>
      <c r="C72" s="5">
        <f t="shared" si="17"/>
        <v>1.6207087553068197E-4</v>
      </c>
      <c r="D72" s="3">
        <f t="shared" si="18"/>
        <v>75128.328968626578</v>
      </c>
    </row>
    <row r="73" spans="1:11">
      <c r="A73" t="s">
        <v>75</v>
      </c>
      <c r="B73" s="12">
        <v>20.691030502319336</v>
      </c>
      <c r="C73" s="5">
        <f t="shared" si="17"/>
        <v>1.6161274444832636E-4</v>
      </c>
      <c r="D73" s="3">
        <f t="shared" si="18"/>
        <v>74915.961246460181</v>
      </c>
    </row>
    <row r="74" spans="1:11">
      <c r="A74" t="s">
        <v>76</v>
      </c>
      <c r="B74" s="12">
        <v>14.280454635620117</v>
      </c>
      <c r="C74" s="5">
        <f t="shared" si="17"/>
        <v>1.416036189906643E-2</v>
      </c>
      <c r="D74" s="3">
        <f t="shared" si="18"/>
        <v>6564068.4890757566</v>
      </c>
      <c r="E74" s="3">
        <f t="shared" si="19"/>
        <v>6156283.1112427944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8">E74*F74*G74/H74</f>
        <v>1231256622.248559</v>
      </c>
      <c r="K74" s="3">
        <f t="shared" ref="K74" si="49">(STDEV(D74:D76)*F74*G74)/H74</f>
        <v>116892422.65995052</v>
      </c>
    </row>
    <row r="75" spans="1:11">
      <c r="A75" t="s">
        <v>76</v>
      </c>
      <c r="B75" s="12">
        <v>14.537402153015137</v>
      </c>
      <c r="C75" s="5">
        <f t="shared" si="17"/>
        <v>1.1836177483484478E-2</v>
      </c>
      <c r="D75" s="3">
        <f t="shared" si="18"/>
        <v>5486687.4310303219</v>
      </c>
    </row>
    <row r="76" spans="1:11">
      <c r="A76" t="s">
        <v>76</v>
      </c>
      <c r="B76" s="12">
        <v>14.312685966491699</v>
      </c>
      <c r="C76" s="5">
        <f t="shared" si="17"/>
        <v>1.3845456608223637E-2</v>
      </c>
      <c r="D76" s="3">
        <f t="shared" si="18"/>
        <v>6418093.4136223039</v>
      </c>
    </row>
    <row r="77" spans="1:11">
      <c r="A77" t="s">
        <v>77</v>
      </c>
      <c r="B77" s="12">
        <v>20.161479949951172</v>
      </c>
      <c r="C77" s="5">
        <f t="shared" si="17"/>
        <v>2.3385435912206623E-4</v>
      </c>
      <c r="D77" s="3">
        <f t="shared" si="18"/>
        <v>108403.72871030669</v>
      </c>
      <c r="E77" s="3">
        <f t="shared" si="19"/>
        <v>112641.43478818936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22528286.957637873</v>
      </c>
      <c r="K77" s="3">
        <f t="shared" ref="K77" si="51">(STDEV(D77:D79)*F77*G77)/H77</f>
        <v>1397634.3203942585</v>
      </c>
    </row>
    <row r="78" spans="1:11">
      <c r="A78" t="s">
        <v>77</v>
      </c>
      <c r="B78" s="12">
        <v>20.007406234741211</v>
      </c>
      <c r="C78" s="5">
        <f t="shared" si="17"/>
        <v>2.6039609933076939E-4</v>
      </c>
      <c r="D78" s="3">
        <f t="shared" si="18"/>
        <v>120707.21373357221</v>
      </c>
    </row>
    <row r="79" spans="1:11">
      <c r="A79" t="s">
        <v>77</v>
      </c>
      <c r="B79" s="12">
        <v>20.156074523925781</v>
      </c>
      <c r="C79" s="5">
        <f t="shared" si="17"/>
        <v>2.3473804193472212E-4</v>
      </c>
      <c r="D79" s="3">
        <f t="shared" si="18"/>
        <v>108813.36192068917</v>
      </c>
    </row>
    <row r="80" spans="1:11">
      <c r="A80" t="s">
        <v>78</v>
      </c>
      <c r="B80" s="12">
        <v>23.577291488647461</v>
      </c>
      <c r="C80" s="5">
        <f t="shared" si="17"/>
        <v>2.1570045641003819E-5</v>
      </c>
      <c r="D80" s="3">
        <f t="shared" si="18"/>
        <v>9998.8445146570484</v>
      </c>
      <c r="E80" s="3">
        <f t="shared" si="19"/>
        <v>20054.28732159326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4010857.4643186517</v>
      </c>
      <c r="K80" s="3">
        <f t="shared" ref="K80" si="53">(STDEV(D80:D82)*F80*G80)/H80</f>
        <v>2244739.3985970602</v>
      </c>
    </row>
    <row r="81" spans="1:11">
      <c r="A81" t="s">
        <v>78</v>
      </c>
      <c r="B81" s="12">
        <v>21.902858734130859</v>
      </c>
      <c r="C81" s="5">
        <f t="shared" si="17"/>
        <v>6.9383296356352798E-5</v>
      </c>
      <c r="D81" s="3">
        <f t="shared" si="18"/>
        <v>32162.787401003243</v>
      </c>
    </row>
    <row r="82" spans="1:11">
      <c r="A82" t="s">
        <v>78</v>
      </c>
      <c r="B82" s="12">
        <v>22.734628677368164</v>
      </c>
      <c r="C82" s="5">
        <f t="shared" si="17"/>
        <v>3.8833222497313196E-5</v>
      </c>
      <c r="D82" s="3">
        <f t="shared" si="18"/>
        <v>18001.230049119487</v>
      </c>
    </row>
    <row r="83" spans="1:11">
      <c r="A83" t="s">
        <v>79</v>
      </c>
      <c r="B83" s="12">
        <v>21.030071258544922</v>
      </c>
      <c r="C83" s="5">
        <f t="shared" si="17"/>
        <v>1.2756630677194391E-4</v>
      </c>
      <c r="D83" s="3">
        <f t="shared" si="18"/>
        <v>59133.656365427618</v>
      </c>
      <c r="E83" s="3">
        <f t="shared" si="19"/>
        <v>59231.86518225621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11846373.036451243</v>
      </c>
      <c r="K83" s="3">
        <f t="shared" ref="K83" si="55">(STDEV(D83:D85)*F83*G83)/H83</f>
        <v>1185218.8459485052</v>
      </c>
    </row>
    <row r="84" spans="1:11">
      <c r="A84" t="s">
        <v>79</v>
      </c>
      <c r="B84" s="12">
        <v>20.88996696472168</v>
      </c>
      <c r="C84" s="5">
        <f t="shared" si="17"/>
        <v>1.4066687157382284E-4</v>
      </c>
      <c r="D84" s="3">
        <f t="shared" si="18"/>
        <v>65206.453460449447</v>
      </c>
    </row>
    <row r="85" spans="1:11">
      <c r="A85" t="s">
        <v>79</v>
      </c>
      <c r="B85" s="12">
        <v>21.177434921264648</v>
      </c>
      <c r="C85" s="5">
        <f t="shared" si="17"/>
        <v>1.1510132600927163E-4</v>
      </c>
      <c r="D85" s="3">
        <f t="shared" si="18"/>
        <v>53355.485720891549</v>
      </c>
    </row>
    <row r="86" spans="1:11">
      <c r="A86" t="s">
        <v>80</v>
      </c>
      <c r="B86" s="12">
        <v>13.235355377197266</v>
      </c>
      <c r="C86" s="5">
        <f t="shared" si="17"/>
        <v>2.9361017224746277E-2</v>
      </c>
      <c r="D86" s="3">
        <f t="shared" si="18"/>
        <v>13610367.400629342</v>
      </c>
      <c r="E86" s="3">
        <f t="shared" si="19"/>
        <v>15444986.48265259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3088997296.5305181</v>
      </c>
      <c r="K86" s="3">
        <f t="shared" ref="K86" si="57">(STDEV(D86:D88)*F86*G86)/H86</f>
        <v>604870720.3044734</v>
      </c>
    </row>
    <row r="87" spans="1:11">
      <c r="A87" t="s">
        <v>80</v>
      </c>
      <c r="B87" s="12">
        <v>12.76209831237793</v>
      </c>
      <c r="C87" s="5">
        <f t="shared" si="17"/>
        <v>4.0849084679645778E-2</v>
      </c>
      <c r="D87" s="3">
        <f t="shared" si="18"/>
        <v>18935687.623275213</v>
      </c>
    </row>
    <row r="88" spans="1:11">
      <c r="A88" t="s">
        <v>80</v>
      </c>
      <c r="B88" s="12">
        <v>13.216677665710449</v>
      </c>
      <c r="C88" s="5">
        <f t="shared" si="17"/>
        <v>2.9746166902613228E-2</v>
      </c>
      <c r="D88" s="3">
        <f t="shared" si="18"/>
        <v>13788904.424053214</v>
      </c>
    </row>
    <row r="89" spans="1:11">
      <c r="A89" t="s">
        <v>81</v>
      </c>
      <c r="B89" s="12">
        <v>19.856052398681641</v>
      </c>
      <c r="C89" s="5">
        <f t="shared" si="17"/>
        <v>2.8940049734011754E-4</v>
      </c>
      <c r="D89" s="3">
        <f t="shared" si="18"/>
        <v>134152.26947260142</v>
      </c>
      <c r="E89" s="3">
        <f t="shared" si="19"/>
        <v>136339.52577224936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27267905.154449873</v>
      </c>
      <c r="K89" s="3">
        <f t="shared" ref="K89" si="59">(STDEV(D89:D91)*F89*G89)/H89</f>
        <v>702122.87985774234</v>
      </c>
    </row>
    <row r="90" spans="1:11">
      <c r="A90" t="s">
        <v>81</v>
      </c>
      <c r="B90" s="12">
        <v>19.790927886962891</v>
      </c>
      <c r="C90" s="5">
        <f t="shared" si="17"/>
        <v>3.0285445996075674E-4</v>
      </c>
      <c r="D90" s="3">
        <f t="shared" si="18"/>
        <v>140388.88494336585</v>
      </c>
    </row>
    <row r="91" spans="1:11">
      <c r="A91" t="s">
        <v>81</v>
      </c>
      <c r="B91" s="12">
        <v>19.852582931518555</v>
      </c>
      <c r="C91" s="5">
        <f t="shared" si="17"/>
        <v>2.9010193581892134E-4</v>
      </c>
      <c r="D91" s="3">
        <f t="shared" si="18"/>
        <v>134477.42290078074</v>
      </c>
    </row>
    <row r="92" spans="1:11">
      <c r="A92" t="s">
        <v>82</v>
      </c>
      <c r="B92" s="12">
        <v>13.164353370666504</v>
      </c>
      <c r="C92" s="5">
        <f t="shared" si="17"/>
        <v>3.0852251102644723E-2</v>
      </c>
      <c r="D92" s="3">
        <f t="shared" si="18"/>
        <v>14301632.311620126</v>
      </c>
      <c r="E92" s="3">
        <f t="shared" si="19"/>
        <v>12039341.685781211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2407868337.1562424</v>
      </c>
      <c r="K92" s="3">
        <f t="shared" ref="K92" si="61">(STDEV(D92:D94)*F92*G92)/H92</f>
        <v>410017637.98816937</v>
      </c>
    </row>
    <row r="93" spans="1:11">
      <c r="A93" t="s">
        <v>82</v>
      </c>
      <c r="B93" s="12">
        <v>13.634130477905273</v>
      </c>
      <c r="C93" s="5">
        <f t="shared" si="17"/>
        <v>2.2229523741213446E-2</v>
      </c>
      <c r="D93" s="3">
        <f t="shared" si="18"/>
        <v>10304547.112350328</v>
      </c>
    </row>
    <row r="94" spans="1:11">
      <c r="A94" t="s">
        <v>82</v>
      </c>
      <c r="B94" s="12">
        <v>13.475347518920898</v>
      </c>
      <c r="C94" s="5">
        <f t="shared" si="17"/>
        <v>2.4833973101597604E-2</v>
      </c>
      <c r="D94" s="3">
        <f t="shared" si="18"/>
        <v>11511845.633373175</v>
      </c>
    </row>
    <row r="95" spans="1:11">
      <c r="A95" t="s">
        <v>83</v>
      </c>
      <c r="B95" s="12">
        <v>22.688467025756836</v>
      </c>
      <c r="C95" s="5">
        <f t="shared" si="17"/>
        <v>4.0104380341015553E-5</v>
      </c>
      <c r="D95" s="3">
        <f t="shared" si="18"/>
        <v>18590.478205767107</v>
      </c>
      <c r="E95" s="3">
        <f>AVERAGE(D95:D96)</f>
        <v>19209.040493212367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3841808.0986424736</v>
      </c>
      <c r="K95" s="3">
        <f>(STDEV(D95:D96)*F95*G95)/H95</f>
        <v>174955.83521552235</v>
      </c>
    </row>
    <row r="96" spans="1:11">
      <c r="A96" t="s">
        <v>83</v>
      </c>
      <c r="B96" s="12">
        <v>22.596134185791016</v>
      </c>
      <c r="C96" s="5">
        <f t="shared" ref="C96:C109" si="63">10^((B96-8.179)/(-3.3))</f>
        <v>4.2773172070387817E-5</v>
      </c>
      <c r="D96" s="3">
        <f t="shared" ref="D96:D109" si="64">C96*$B$9</f>
        <v>19827.602780657628</v>
      </c>
    </row>
    <row r="97" spans="1:11">
      <c r="A97" t="s">
        <v>83</v>
      </c>
      <c r="B97" s="12">
        <v>22.725017547607422</v>
      </c>
      <c r="C97" s="5">
        <f t="shared" si="63"/>
        <v>3.9094520846667806E-5</v>
      </c>
      <c r="D97" s="3">
        <f t="shared" si="64"/>
        <v>18122.355502937102</v>
      </c>
    </row>
    <row r="98" spans="1:11">
      <c r="A98" t="s">
        <v>84</v>
      </c>
      <c r="B98" s="12">
        <v>17.594917297363281</v>
      </c>
      <c r="C98" s="5">
        <f t="shared" si="63"/>
        <v>1.4018183093649909E-3</v>
      </c>
      <c r="D98" s="3">
        <f t="shared" si="64"/>
        <v>649816.11751877866</v>
      </c>
      <c r="E98" s="3">
        <f t="shared" ref="E98:E107" si="65">AVERAGE(D98:D100)</f>
        <v>589435.65016691631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6">E98*F98*G98/H98</f>
        <v>117887130.03338327</v>
      </c>
      <c r="K98" s="3">
        <f t="shared" ref="K98" si="67">(STDEV(D98:D100)*F98*G98)/H98</f>
        <v>15755362.610783832</v>
      </c>
    </row>
    <row r="99" spans="1:11">
      <c r="A99" t="s">
        <v>84</v>
      </c>
      <c r="B99" s="12">
        <v>17.666482925415039</v>
      </c>
      <c r="C99" s="5">
        <f t="shared" si="63"/>
        <v>1.3335373196241144E-3</v>
      </c>
      <c r="D99" s="3">
        <f t="shared" si="64"/>
        <v>618164.30689729005</v>
      </c>
    </row>
    <row r="100" spans="1:11">
      <c r="A100" t="s">
        <v>84</v>
      </c>
      <c r="B100" s="12">
        <v>17.969589233398438</v>
      </c>
      <c r="C100" s="5">
        <f t="shared" si="63"/>
        <v>1.0793313154566638E-3</v>
      </c>
      <c r="D100" s="3">
        <f t="shared" si="64"/>
        <v>500326.52608468017</v>
      </c>
    </row>
    <row r="101" spans="1:11">
      <c r="A101" t="s">
        <v>85</v>
      </c>
      <c r="B101" s="12">
        <v>22.286855697631836</v>
      </c>
      <c r="C101" s="5">
        <f t="shared" si="63"/>
        <v>5.3075270084230482E-5</v>
      </c>
      <c r="D101" s="3">
        <f t="shared" si="64"/>
        <v>24603.164127609707</v>
      </c>
      <c r="E101" s="3">
        <f t="shared" si="65"/>
        <v>23726.220930621392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8">E101*F101*G101/H101</f>
        <v>4745244.1861242782</v>
      </c>
      <c r="K101" s="3">
        <f t="shared" ref="K101" si="69">(STDEV(D101:D103)*F101*G101)/H101</f>
        <v>620369.94252936787</v>
      </c>
    </row>
    <row r="102" spans="1:11">
      <c r="A102" t="s">
        <v>85</v>
      </c>
      <c r="B102" s="12">
        <v>22.563779830932617</v>
      </c>
      <c r="C102" s="5">
        <f t="shared" si="63"/>
        <v>4.3749773485933002E-5</v>
      </c>
      <c r="D102" s="3">
        <f t="shared" si="64"/>
        <v>20280.308624184803</v>
      </c>
    </row>
    <row r="103" spans="1:11">
      <c r="A103" t="s">
        <v>85</v>
      </c>
      <c r="B103" s="12">
        <v>22.191534042358398</v>
      </c>
      <c r="C103" s="5">
        <f t="shared" si="63"/>
        <v>5.6725399467082896E-5</v>
      </c>
      <c r="D103" s="3">
        <f t="shared" si="64"/>
        <v>26295.190040069661</v>
      </c>
    </row>
    <row r="104" spans="1:11">
      <c r="A104" t="s">
        <v>86</v>
      </c>
      <c r="B104" s="12">
        <v>14.826603889465332</v>
      </c>
      <c r="C104" s="5">
        <f t="shared" si="63"/>
        <v>9.6732982650096985E-3</v>
      </c>
      <c r="D104" s="3">
        <f t="shared" si="64"/>
        <v>4484079.7699504802</v>
      </c>
      <c r="E104" s="3">
        <f t="shared" si="65"/>
        <v>4690085.8627907708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70">E104*F104*G104/H104</f>
        <v>938017172.55815411</v>
      </c>
      <c r="K104" s="3">
        <f t="shared" ref="K104" si="71">(STDEV(D104:D106)*F104*G104)/H104</f>
        <v>85225546.037658542</v>
      </c>
    </row>
    <row r="105" spans="1:11">
      <c r="A105" t="s">
        <v>86</v>
      </c>
      <c r="B105" s="12">
        <v>14.619817733764648</v>
      </c>
      <c r="C105" s="5">
        <f t="shared" si="63"/>
        <v>1.117473030151769E-2</v>
      </c>
      <c r="D105" s="3">
        <f t="shared" si="64"/>
        <v>5180072.0609371047</v>
      </c>
    </row>
    <row r="106" spans="1:11">
      <c r="A106" t="s">
        <v>86</v>
      </c>
      <c r="B106" s="12">
        <v>14.851744651794434</v>
      </c>
      <c r="C106" s="5">
        <f t="shared" si="63"/>
        <v>9.5050885278512645E-3</v>
      </c>
      <c r="D106" s="3">
        <f t="shared" si="64"/>
        <v>4406105.7574847266</v>
      </c>
    </row>
    <row r="107" spans="1:11">
      <c r="A107" t="s">
        <v>32</v>
      </c>
      <c r="B107" s="12">
        <v>13.932765007019043</v>
      </c>
      <c r="C107" s="5">
        <f t="shared" si="63"/>
        <v>1.8048239538728736E-2</v>
      </c>
      <c r="D107" s="3">
        <f t="shared" si="64"/>
        <v>8366303.1555197034</v>
      </c>
      <c r="E107" s="3">
        <f t="shared" si="65"/>
        <v>8877384.5677573606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2">E107*F107*G107/H107</f>
        <v>1775476913.5514722</v>
      </c>
      <c r="K107" s="3">
        <f t="shared" ref="K107" si="73">(STDEV(D107:D109)*F107*G107)/H107</f>
        <v>247750153.73296946</v>
      </c>
    </row>
    <row r="108" spans="1:11">
      <c r="A108" t="s">
        <v>32</v>
      </c>
      <c r="B108" s="12">
        <v>13.636168479919434</v>
      </c>
      <c r="C108" s="5">
        <f t="shared" si="63"/>
        <v>2.219793533135558E-2</v>
      </c>
      <c r="D108" s="3">
        <f t="shared" si="64"/>
        <v>10289904.231946142</v>
      </c>
    </row>
    <row r="109" spans="1:11">
      <c r="A109" t="s">
        <v>32</v>
      </c>
      <c r="B109" s="12">
        <v>14.00124454498291</v>
      </c>
      <c r="C109" s="5">
        <f t="shared" si="63"/>
        <v>1.720614075055828E-2</v>
      </c>
      <c r="D109" s="3">
        <f t="shared" si="64"/>
        <v>7975946.3158062361</v>
      </c>
    </row>
  </sheetData>
  <mergeCells count="11">
    <mergeCell ref="G13:G14"/>
    <mergeCell ref="B13:B14"/>
    <mergeCell ref="C13:C14"/>
    <mergeCell ref="D13:D14"/>
    <mergeCell ref="E13:E14"/>
    <mergeCell ref="F13:F14"/>
    <mergeCell ref="H13:H14"/>
    <mergeCell ref="I13:I14"/>
    <mergeCell ref="J13:J14"/>
    <mergeCell ref="K13:K14"/>
    <mergeCell ref="L13:L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A99C-CC2E-8643-AB07-4843F20A0925}">
  <dimension ref="A1:Q109"/>
  <sheetViews>
    <sheetView tabSelected="1" zoomScale="120" zoomScaleNormal="120" workbookViewId="0">
      <selection activeCell="E56" sqref="E56"/>
    </sheetView>
  </sheetViews>
  <sheetFormatPr baseColWidth="10" defaultRowHeight="15"/>
  <cols>
    <col min="1" max="1" width="34" style="2" customWidth="1"/>
    <col min="2" max="2" width="10.7109375" style="2"/>
    <col min="3" max="3" width="13.42578125" style="2" customWidth="1"/>
    <col min="4" max="4" width="17.7109375" style="2" customWidth="1"/>
    <col min="5" max="5" width="13" style="2" customWidth="1"/>
    <col min="6" max="6" width="7.42578125" style="2" customWidth="1"/>
    <col min="7" max="7" width="15.5703125" style="2" customWidth="1"/>
    <col min="8" max="8" width="33" style="2" customWidth="1"/>
    <col min="9" max="9" width="12" style="2" customWidth="1"/>
    <col min="10" max="10" width="16.85546875" style="2" customWidth="1"/>
    <col min="11" max="11" width="10.85546875" style="2" customWidth="1"/>
    <col min="12" max="12" width="14.42578125" style="2" customWidth="1"/>
    <col min="13" max="16384" width="10.7109375" style="2"/>
  </cols>
  <sheetData>
    <row r="1" spans="1:16">
      <c r="A1" s="2" t="s">
        <v>87</v>
      </c>
    </row>
    <row r="2" spans="1:16">
      <c r="A2" s="2" t="s">
        <v>88</v>
      </c>
    </row>
    <row r="3" spans="1:16">
      <c r="A3" s="2" t="s">
        <v>24</v>
      </c>
    </row>
    <row r="5" spans="1:16">
      <c r="A5" s="2" t="s">
        <v>37</v>
      </c>
      <c r="B5" s="3">
        <v>1500</v>
      </c>
      <c r="D5" s="2" t="s">
        <v>10</v>
      </c>
    </row>
    <row r="6" spans="1:16" ht="17">
      <c r="A6" s="2" t="s">
        <v>6</v>
      </c>
      <c r="B6" s="3">
        <v>1.096E-21</v>
      </c>
      <c r="D6" s="2" t="s">
        <v>9</v>
      </c>
      <c r="E6" s="3"/>
      <c r="F6" s="3"/>
      <c r="H6" s="1"/>
      <c r="I6" s="6"/>
      <c r="J6" s="1"/>
      <c r="K6" s="6"/>
      <c r="L6" s="1"/>
      <c r="M6" s="6"/>
      <c r="N6" s="1"/>
      <c r="O6" s="6"/>
      <c r="P6" s="1"/>
    </row>
    <row r="7" spans="1:16">
      <c r="A7" s="2" t="s">
        <v>38</v>
      </c>
      <c r="B7" s="3">
        <f>B5*B6</f>
        <v>1.6439999999999999E-18</v>
      </c>
      <c r="C7" s="3"/>
      <c r="E7" s="4"/>
      <c r="F7" s="5"/>
      <c r="H7" s="1"/>
      <c r="I7" s="6"/>
      <c r="J7" s="1"/>
      <c r="K7" s="6"/>
      <c r="L7" s="1"/>
      <c r="M7" s="6"/>
      <c r="N7" s="1"/>
      <c r="O7" s="6"/>
      <c r="P7" s="1"/>
    </row>
    <row r="8" spans="1:16">
      <c r="A8" s="2" t="s">
        <v>39</v>
      </c>
      <c r="B8" s="3">
        <v>7.6207999999999981E-10</v>
      </c>
      <c r="D8" s="2" t="s">
        <v>13</v>
      </c>
      <c r="E8" s="4"/>
      <c r="F8" s="5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" t="s">
        <v>40</v>
      </c>
      <c r="B9" s="3">
        <f>B8/B7</f>
        <v>463552311.43552303</v>
      </c>
      <c r="D9" s="2" t="s">
        <v>14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" t="s">
        <v>8</v>
      </c>
      <c r="B10" s="3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" t="s">
        <v>11</v>
      </c>
      <c r="B11" s="3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B12" s="3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2" t="s">
        <v>0</v>
      </c>
      <c r="B13" s="14" t="s">
        <v>1</v>
      </c>
      <c r="C13" s="15" t="s">
        <v>7</v>
      </c>
      <c r="D13" s="15" t="s">
        <v>12</v>
      </c>
      <c r="E13" s="15" t="s">
        <v>2</v>
      </c>
      <c r="F13" s="15" t="s">
        <v>3</v>
      </c>
      <c r="G13" s="15" t="s">
        <v>5</v>
      </c>
      <c r="H13" s="15" t="s">
        <v>41</v>
      </c>
      <c r="I13" s="15" t="s">
        <v>4</v>
      </c>
      <c r="J13" s="15" t="s">
        <v>42</v>
      </c>
      <c r="K13" s="13" t="s">
        <v>15</v>
      </c>
      <c r="L13" s="13"/>
      <c r="M13" s="1"/>
      <c r="N13" s="1"/>
      <c r="O13" s="1"/>
      <c r="P13" s="1"/>
    </row>
    <row r="14" spans="1:16">
      <c r="B14" s="14"/>
      <c r="C14" s="15"/>
      <c r="D14" s="15"/>
      <c r="E14" s="15"/>
      <c r="F14" s="15"/>
      <c r="G14" s="15"/>
      <c r="H14" s="15"/>
      <c r="I14" s="15"/>
      <c r="J14" s="15"/>
      <c r="K14" s="13"/>
      <c r="L14" s="13"/>
      <c r="M14" s="1"/>
      <c r="N14" s="1"/>
      <c r="O14" s="1"/>
      <c r="P14" s="1"/>
    </row>
    <row r="15" spans="1:16">
      <c r="A15" s="2" t="s">
        <v>22</v>
      </c>
      <c r="B15" s="10"/>
      <c r="C15" s="11"/>
      <c r="D15" s="11"/>
      <c r="E15" s="11"/>
      <c r="F15" s="11"/>
      <c r="G15" s="11"/>
      <c r="H15" s="11"/>
      <c r="I15" s="11"/>
      <c r="J15" s="11"/>
      <c r="K15" s="1"/>
      <c r="L15" s="6"/>
      <c r="M15" s="1"/>
      <c r="N15" s="1"/>
      <c r="O15" s="1"/>
      <c r="P15" s="1"/>
    </row>
    <row r="16" spans="1:16">
      <c r="A16" s="2" t="s">
        <v>16</v>
      </c>
      <c r="B16" s="12">
        <v>8.2208232879638672</v>
      </c>
      <c r="C16" s="5">
        <f>10^((B16-7.938)/(-3.319))</f>
        <v>0.82183871484006799</v>
      </c>
      <c r="D16" s="3">
        <f>C16*$B$9</f>
        <v>380965235.8913132</v>
      </c>
      <c r="E16" s="3">
        <f t="shared" ref="E16" si="0">AVERAGE(D16:D18)</f>
        <v>409042772.31970596</v>
      </c>
      <c r="F16" s="2">
        <v>1</v>
      </c>
      <c r="G16" s="2">
        <v>50</v>
      </c>
      <c r="H16" s="2">
        <v>47.2</v>
      </c>
      <c r="I16" s="2">
        <v>1</v>
      </c>
      <c r="J16" s="3">
        <f t="shared" ref="J16" si="1">E16*F16*G16/H16</f>
        <v>433308021.52511221</v>
      </c>
      <c r="K16" s="3">
        <f t="shared" ref="K16" si="2">(STDEV(D16:D18)*F16*G16)/H16</f>
        <v>40808575.969102077</v>
      </c>
      <c r="L16" s="6"/>
      <c r="M16" s="1"/>
      <c r="N16" s="1"/>
      <c r="O16" s="1"/>
      <c r="P16" s="1"/>
    </row>
    <row r="17" spans="1:16">
      <c r="B17" s="12">
        <v>7.971315860748291</v>
      </c>
      <c r="C17" s="5">
        <f t="shared" ref="C17:C30" si="3">10^((B17-7.938)/(-3.319))</f>
        <v>0.97715189527046742</v>
      </c>
      <c r="D17" s="3">
        <f t="shared" ref="D17:D30" si="4">C17*$B$9</f>
        <v>452961019.67622727</v>
      </c>
      <c r="L17" s="6"/>
      <c r="M17" s="1"/>
      <c r="N17" s="1"/>
      <c r="O17" s="1"/>
      <c r="P17" s="1"/>
    </row>
    <row r="18" spans="1:16">
      <c r="B18" s="12">
        <v>8.1752519607543945</v>
      </c>
      <c r="C18" s="5">
        <f t="shared" si="3"/>
        <v>0.84823665353736288</v>
      </c>
      <c r="D18" s="3">
        <f t="shared" si="4"/>
        <v>393202061.39157748</v>
      </c>
      <c r="L18" s="6"/>
      <c r="M18" s="1"/>
      <c r="N18" s="1"/>
      <c r="O18" s="1"/>
      <c r="P18" s="1"/>
    </row>
    <row r="19" spans="1:16">
      <c r="A19" s="2" t="s">
        <v>17</v>
      </c>
      <c r="B19" s="12">
        <v>10.376765251159668</v>
      </c>
      <c r="C19" s="5">
        <f t="shared" si="3"/>
        <v>0.18416658337670258</v>
      </c>
      <c r="D19" s="3">
        <f t="shared" si="4"/>
        <v>85370845.41345346</v>
      </c>
      <c r="E19" s="3">
        <f t="shared" ref="E19" si="5">AVERAGE(D19:D21)</f>
        <v>85430167.484900132</v>
      </c>
      <c r="F19" s="2">
        <v>5</v>
      </c>
      <c r="G19" s="2">
        <v>50</v>
      </c>
      <c r="H19" s="2">
        <v>47.2</v>
      </c>
      <c r="I19" s="2">
        <v>1</v>
      </c>
      <c r="J19" s="3">
        <f t="shared" ref="J19" si="6">E19*F19*G19/H19</f>
        <v>452490293.88188624</v>
      </c>
      <c r="K19" s="3">
        <f t="shared" ref="K19" si="7">(STDEV(D19:D21)*F19*G19)/H19</f>
        <v>23446225.375805669</v>
      </c>
      <c r="L19" s="6"/>
      <c r="M19" s="1"/>
      <c r="N19" s="1"/>
      <c r="O19" s="1"/>
      <c r="P19" s="1"/>
    </row>
    <row r="20" spans="1:16">
      <c r="B20" s="12">
        <v>10.302474975585938</v>
      </c>
      <c r="C20" s="5">
        <f t="shared" si="3"/>
        <v>0.19390730134568224</v>
      </c>
      <c r="D20" s="3">
        <f t="shared" si="4"/>
        <v>89886177.743015513</v>
      </c>
      <c r="L20" s="6"/>
      <c r="M20" s="1"/>
      <c r="N20" s="1"/>
      <c r="O20" s="1"/>
      <c r="P20" s="1"/>
    </row>
    <row r="21" spans="1:16">
      <c r="B21" s="12">
        <v>10.451924324035645</v>
      </c>
      <c r="C21" s="5">
        <f t="shared" si="3"/>
        <v>0.17480978370550657</v>
      </c>
      <c r="D21" s="3">
        <f t="shared" si="4"/>
        <v>81033479.298231393</v>
      </c>
      <c r="L21" s="6"/>
      <c r="M21" s="1"/>
      <c r="N21" s="1"/>
      <c r="O21" s="1"/>
      <c r="P21" s="1"/>
    </row>
    <row r="22" spans="1:16">
      <c r="A22" s="2" t="s">
        <v>18</v>
      </c>
      <c r="B22" s="12">
        <v>13.445090293884277</v>
      </c>
      <c r="C22" s="5">
        <f t="shared" si="3"/>
        <v>2.1914828968285199E-2</v>
      </c>
      <c r="D22" s="3">
        <f t="shared" si="4"/>
        <v>10158669.622962764</v>
      </c>
      <c r="E22" s="3">
        <f t="shared" ref="E22" si="8">AVERAGE(D22:D24)</f>
        <v>9423441.0404273327</v>
      </c>
      <c r="F22" s="2">
        <v>25</v>
      </c>
      <c r="G22" s="2">
        <v>50</v>
      </c>
      <c r="H22" s="2">
        <v>47.2</v>
      </c>
      <c r="I22" s="2">
        <v>1</v>
      </c>
      <c r="J22" s="3">
        <f t="shared" ref="J22" si="9">E22*F22*G22/H22</f>
        <v>249561468.23165604</v>
      </c>
      <c r="K22" s="3">
        <f t="shared" ref="K22" si="10">(STDEV(D22:D24)*F22*G22)/H22</f>
        <v>22553212.279601105</v>
      </c>
      <c r="L22" s="6"/>
      <c r="M22" s="1"/>
      <c r="N22" s="1"/>
      <c r="O22" s="1"/>
      <c r="P22" s="1"/>
    </row>
    <row r="23" spans="1:16">
      <c r="B23" s="12">
        <v>13.523421287536621</v>
      </c>
      <c r="C23" s="5">
        <f t="shared" si="3"/>
        <v>2.0755696143711835E-2</v>
      </c>
      <c r="D23" s="3">
        <f t="shared" si="4"/>
        <v>9621350.9228709936</v>
      </c>
      <c r="L23" s="6"/>
      <c r="M23" s="1"/>
      <c r="N23" s="1"/>
      <c r="O23" s="1"/>
      <c r="P23" s="1"/>
    </row>
    <row r="24" spans="1:16">
      <c r="B24" s="12">
        <v>13.703685760498047</v>
      </c>
      <c r="C24" s="5">
        <f t="shared" si="3"/>
        <v>1.8315737762488064E-2</v>
      </c>
      <c r="D24" s="3">
        <f t="shared" si="4"/>
        <v>8490302.5754482374</v>
      </c>
      <c r="L24" s="6"/>
      <c r="M24" s="1"/>
      <c r="N24" s="1"/>
      <c r="O24" s="1"/>
      <c r="P24" s="1"/>
    </row>
    <row r="25" spans="1:16">
      <c r="A25" s="2" t="s">
        <v>19</v>
      </c>
      <c r="B25" s="12">
        <v>15.981945991516113</v>
      </c>
      <c r="C25" s="5">
        <f t="shared" si="3"/>
        <v>3.7704631423135532E-3</v>
      </c>
      <c r="D25" s="3">
        <f t="shared" si="4"/>
        <v>1747806.904801893</v>
      </c>
      <c r="E25" s="3">
        <f t="shared" ref="E25" si="11">AVERAGE(D25:D27)</f>
        <v>2003202.0353809313</v>
      </c>
      <c r="F25" s="2">
        <v>125</v>
      </c>
      <c r="G25" s="2">
        <v>50</v>
      </c>
      <c r="H25" s="2">
        <v>47.2</v>
      </c>
      <c r="I25" s="2">
        <v>1</v>
      </c>
      <c r="J25" s="3">
        <f t="shared" ref="J25" si="12">E25*F25*G25/H25</f>
        <v>265254506.80361909</v>
      </c>
      <c r="K25" s="3">
        <f t="shared" ref="K25" si="13">(STDEV(D25:D27)*F25*G25)/H25</f>
        <v>43466418.989347003</v>
      </c>
      <c r="L25" s="6"/>
      <c r="M25" s="1"/>
      <c r="N25" s="1"/>
      <c r="O25" s="1"/>
      <c r="P25" s="1"/>
    </row>
    <row r="26" spans="1:16">
      <c r="B26" s="12">
        <v>15.540891647338867</v>
      </c>
      <c r="C26" s="5">
        <f t="shared" si="3"/>
        <v>5.1201468868986048E-3</v>
      </c>
      <c r="D26" s="3">
        <f t="shared" si="4"/>
        <v>2373455.9243112458</v>
      </c>
      <c r="L26" s="6"/>
      <c r="M26" s="1"/>
      <c r="N26" s="1"/>
      <c r="O26" s="1"/>
      <c r="P26" s="1"/>
    </row>
    <row r="27" spans="1:16">
      <c r="B27" s="12">
        <v>15.870469093322754</v>
      </c>
      <c r="C27" s="5">
        <f t="shared" si="3"/>
        <v>4.0736357697836881E-3</v>
      </c>
      <c r="D27" s="3">
        <f t="shared" si="4"/>
        <v>1888343.2770296547</v>
      </c>
      <c r="L27" s="6"/>
      <c r="M27" s="1"/>
      <c r="N27" s="1"/>
      <c r="O27" s="1"/>
      <c r="P27" s="1"/>
    </row>
    <row r="28" spans="1:16">
      <c r="A28" s="2" t="s">
        <v>20</v>
      </c>
      <c r="B28" s="12">
        <v>16.997556686401367</v>
      </c>
      <c r="C28" s="5">
        <f t="shared" si="3"/>
        <v>1.8637844996991944E-3</v>
      </c>
      <c r="D28" s="3">
        <f t="shared" si="4"/>
        <v>863961.61285326141</v>
      </c>
      <c r="E28" s="3">
        <f t="shared" ref="E28" si="14">AVERAGE(D28:D30)</f>
        <v>856785.4850980984</v>
      </c>
      <c r="F28" s="2">
        <v>625</v>
      </c>
      <c r="G28" s="2">
        <v>50</v>
      </c>
      <c r="H28" s="2">
        <v>47.2</v>
      </c>
      <c r="I28" s="2">
        <v>1</v>
      </c>
      <c r="J28" s="3">
        <f t="shared" ref="J28" si="15">E28*F28*G28/H28</f>
        <v>567257339.18041468</v>
      </c>
      <c r="K28" s="3">
        <f t="shared" ref="K28" si="16">(STDEV(D28:D30)*F28*G28)/H28</f>
        <v>20731941.06681639</v>
      </c>
      <c r="L28" s="7"/>
      <c r="M28" s="1"/>
      <c r="N28" s="1"/>
      <c r="O28" s="1"/>
      <c r="P28" s="7"/>
    </row>
    <row r="29" spans="1:16">
      <c r="B29" s="12">
        <v>16.964689254760742</v>
      </c>
      <c r="C29" s="5">
        <f t="shared" si="3"/>
        <v>1.9067708639551166E-3</v>
      </c>
      <c r="D29" s="3">
        <f t="shared" si="4"/>
        <v>883888.04136430356</v>
      </c>
      <c r="L29" s="7"/>
      <c r="M29" s="1"/>
      <c r="N29" s="1"/>
      <c r="O29" s="1"/>
      <c r="P29" s="7"/>
    </row>
    <row r="30" spans="1:16">
      <c r="B30" s="12">
        <v>17.06843376159668</v>
      </c>
      <c r="C30" s="5">
        <f t="shared" si="3"/>
        <v>1.774355948155239E-3</v>
      </c>
      <c r="D30" s="3">
        <f t="shared" si="4"/>
        <v>822506.80107673013</v>
      </c>
      <c r="L30" s="7"/>
      <c r="M30" s="1"/>
      <c r="N30" s="1"/>
      <c r="O30" s="1"/>
      <c r="P30" s="7"/>
    </row>
    <row r="31" spans="1:16">
      <c r="A31" s="2" t="s">
        <v>23</v>
      </c>
      <c r="B31" s="12"/>
      <c r="C31" s="5"/>
      <c r="D31" s="3"/>
      <c r="L31" s="7"/>
      <c r="M31" s="1"/>
      <c r="N31" s="1"/>
      <c r="O31" s="1"/>
      <c r="P31" s="7"/>
    </row>
    <row r="32" spans="1:16">
      <c r="A32" t="s">
        <v>89</v>
      </c>
      <c r="B32" s="12">
        <v>12.993603706359863</v>
      </c>
      <c r="C32" s="5">
        <f t="shared" ref="C32:C57" si="17">10^((B32-7.938)/(-3.319))</f>
        <v>2.997567661048799E-2</v>
      </c>
      <c r="D32" s="3">
        <f t="shared" ref="D32:D95" si="18">C32*$B$9</f>
        <v>13895294.179635452</v>
      </c>
      <c r="E32" s="3">
        <f t="shared" ref="E32:E92" si="19">AVERAGE(D32:D34)</f>
        <v>13883721.102405481</v>
      </c>
      <c r="F32" s="2">
        <v>1</v>
      </c>
      <c r="G32" s="2">
        <v>50</v>
      </c>
      <c r="H32" s="2">
        <v>0.25</v>
      </c>
      <c r="I32" s="2">
        <v>1</v>
      </c>
      <c r="J32" s="3">
        <f t="shared" ref="J32" si="20">E32*F32*G32/H32</f>
        <v>2776744220.4810963</v>
      </c>
      <c r="K32" s="3">
        <f t="shared" ref="K32" si="21">(STDEV(D32:D34)*F32*G32)/H32</f>
        <v>37565792.447755694</v>
      </c>
    </row>
    <row r="33" spans="1:17">
      <c r="A33" t="s">
        <v>89</v>
      </c>
      <c r="B33" s="12">
        <v>13.015019416809082</v>
      </c>
      <c r="C33" s="5">
        <f t="shared" si="17"/>
        <v>2.9533610031746354E-2</v>
      </c>
      <c r="D33" s="3">
        <f t="shared" si="18"/>
        <v>13690373.195251374</v>
      </c>
    </row>
    <row r="34" spans="1:17">
      <c r="A34" t="s">
        <v>89</v>
      </c>
      <c r="B34" s="12">
        <v>12.976055145263672</v>
      </c>
      <c r="C34" s="5">
        <f t="shared" si="17"/>
        <v>3.0342844993635702E-2</v>
      </c>
      <c r="D34" s="3">
        <f t="shared" si="18"/>
        <v>14065495.932329617</v>
      </c>
    </row>
    <row r="35" spans="1:17">
      <c r="A35" t="s">
        <v>90</v>
      </c>
      <c r="B35" s="12">
        <v>20.461212158203125</v>
      </c>
      <c r="C35" s="5">
        <f t="shared" si="17"/>
        <v>1.6858217108705221E-4</v>
      </c>
      <c r="D35" s="3">
        <f t="shared" si="18"/>
        <v>78146.655074221853</v>
      </c>
      <c r="E35" s="3">
        <f t="shared" si="19"/>
        <v>75428.168994558961</v>
      </c>
      <c r="F35" s="2">
        <v>1</v>
      </c>
      <c r="G35" s="2">
        <v>50</v>
      </c>
      <c r="H35" s="2">
        <v>0.25</v>
      </c>
      <c r="I35" s="2">
        <v>1</v>
      </c>
      <c r="J35" s="3">
        <f t="shared" ref="J35" si="22">E35*F35*G35/H35</f>
        <v>15085633.798911791</v>
      </c>
      <c r="K35" s="3">
        <f t="shared" ref="K35" si="23">(STDEV(D35:D37)*F35*G35)/H35</f>
        <v>1726602.7800717514</v>
      </c>
    </row>
    <row r="36" spans="1:17">
      <c r="A36" t="s">
        <v>90</v>
      </c>
      <c r="B36" s="12">
        <v>20.709897994995117</v>
      </c>
      <c r="C36" s="5">
        <f t="shared" si="17"/>
        <v>1.418677566865901E-4</v>
      </c>
      <c r="D36" s="3">
        <f t="shared" si="18"/>
        <v>65763.126530241221</v>
      </c>
    </row>
    <row r="37" spans="1:17">
      <c r="A37" t="s">
        <v>90</v>
      </c>
      <c r="B37" s="12">
        <v>20.385261535644531</v>
      </c>
      <c r="C37" s="5">
        <f t="shared" si="17"/>
        <v>1.7770319195284948E-4</v>
      </c>
      <c r="D37" s="3">
        <f t="shared" si="18"/>
        <v>82374.725379213807</v>
      </c>
    </row>
    <row r="38" spans="1:17">
      <c r="A38" t="s">
        <v>91</v>
      </c>
      <c r="B38" s="12">
        <v>18.606845855712891</v>
      </c>
      <c r="C38" s="5">
        <f t="shared" si="17"/>
        <v>6.102727756739743E-4</v>
      </c>
      <c r="D38" s="3">
        <f t="shared" si="18"/>
        <v>282893.35576984321</v>
      </c>
      <c r="E38" s="3">
        <f t="shared" si="19"/>
        <v>267074.1818531311</v>
      </c>
      <c r="F38" s="2">
        <v>1</v>
      </c>
      <c r="G38" s="2">
        <v>50</v>
      </c>
      <c r="H38" s="2">
        <v>0.25</v>
      </c>
      <c r="I38" s="2">
        <v>1</v>
      </c>
      <c r="J38" s="3">
        <f t="shared" ref="J38" si="24">E38*F38*G38/H38</f>
        <v>53414836.370626219</v>
      </c>
      <c r="K38" s="3">
        <f t="shared" ref="K38" si="25">(STDEV(D38:D40)*F38*G38)/H38</f>
        <v>3467117.2909892369</v>
      </c>
    </row>
    <row r="39" spans="1:17">
      <c r="A39" t="s">
        <v>91</v>
      </c>
      <c r="B39" s="12">
        <v>18.793449401855469</v>
      </c>
      <c r="C39" s="5">
        <f t="shared" si="17"/>
        <v>5.361683505915115E-4</v>
      </c>
      <c r="D39" s="3">
        <f t="shared" si="18"/>
        <v>248542.07823526705</v>
      </c>
    </row>
    <row r="40" spans="1:17">
      <c r="A40" t="s">
        <v>91</v>
      </c>
      <c r="B40" s="12">
        <v>18.675222396850586</v>
      </c>
      <c r="C40" s="5">
        <f t="shared" si="17"/>
        <v>5.8199928012182638E-4</v>
      </c>
      <c r="D40" s="3">
        <f t="shared" si="18"/>
        <v>269787.11155428307</v>
      </c>
    </row>
    <row r="41" spans="1:17">
      <c r="A41" t="s">
        <v>92</v>
      </c>
      <c r="B41" s="12">
        <v>15.340259552001953</v>
      </c>
      <c r="C41" s="5">
        <f t="shared" si="17"/>
        <v>5.8848037176985656E-3</v>
      </c>
      <c r="D41" s="3">
        <f t="shared" si="18"/>
        <v>2727914.3656835291</v>
      </c>
      <c r="E41" s="3">
        <f t="shared" si="19"/>
        <v>2328733.2813947992</v>
      </c>
      <c r="F41" s="2">
        <v>1</v>
      </c>
      <c r="G41" s="2">
        <v>50</v>
      </c>
      <c r="H41" s="2">
        <v>0.25</v>
      </c>
      <c r="I41" s="2">
        <v>1</v>
      </c>
      <c r="J41" s="3">
        <f t="shared" ref="J41" si="26">E41*F41*G41/H41</f>
        <v>465746656.27895987</v>
      </c>
      <c r="K41" s="3">
        <f t="shared" ref="K41" si="27">(STDEV(D41:D43)*F41*G41)/H41</f>
        <v>79285700.482229039</v>
      </c>
      <c r="M41" s="8"/>
      <c r="N41" s="1"/>
      <c r="O41" s="1"/>
      <c r="P41" s="1"/>
      <c r="Q41" s="9"/>
    </row>
    <row r="42" spans="1:17">
      <c r="A42" t="s">
        <v>92</v>
      </c>
      <c r="B42" s="12">
        <v>15.571759223937988</v>
      </c>
      <c r="C42" s="5">
        <f t="shared" si="17"/>
        <v>5.0116664170946814E-3</v>
      </c>
      <c r="D42" s="3">
        <f t="shared" si="18"/>
        <v>2323169.5517880255</v>
      </c>
    </row>
    <row r="43" spans="1:17">
      <c r="A43" t="s">
        <v>92</v>
      </c>
      <c r="B43" s="12">
        <v>15.835201263427734</v>
      </c>
      <c r="C43" s="5">
        <f t="shared" si="17"/>
        <v>4.1745362475277071E-3</v>
      </c>
      <c r="D43" s="3">
        <f t="shared" si="18"/>
        <v>1935115.9267128434</v>
      </c>
    </row>
    <row r="44" spans="1:17">
      <c r="A44" t="s">
        <v>93</v>
      </c>
      <c r="B44" s="12">
        <v>13.174629211425781</v>
      </c>
      <c r="C44" s="5">
        <f t="shared" si="17"/>
        <v>2.6437891252682512E-2</v>
      </c>
      <c r="D44" s="3">
        <f t="shared" si="18"/>
        <v>12255345.599661974</v>
      </c>
      <c r="E44" s="3">
        <f t="shared" si="19"/>
        <v>12397207.911102602</v>
      </c>
      <c r="F44" s="2">
        <v>1</v>
      </c>
      <c r="G44" s="2">
        <v>50</v>
      </c>
      <c r="H44" s="2">
        <v>0.25</v>
      </c>
      <c r="I44" s="2">
        <v>1</v>
      </c>
      <c r="J44" s="3">
        <f t="shared" ref="J44" si="28">E44*F44*G44/H44</f>
        <v>2479441582.2205205</v>
      </c>
      <c r="K44" s="3">
        <f t="shared" ref="K44" si="29">(STDEV(D44:D46)*F44*G44)/H44</f>
        <v>25054282.164470129</v>
      </c>
    </row>
    <row r="45" spans="1:17">
      <c r="A45" t="s">
        <v>93</v>
      </c>
      <c r="B45" s="12">
        <v>13.15264892578125</v>
      </c>
      <c r="C45" s="5">
        <f t="shared" si="17"/>
        <v>2.6844132548946444E-2</v>
      </c>
      <c r="D45" s="3">
        <f t="shared" si="18"/>
        <v>12443659.691545682</v>
      </c>
    </row>
    <row r="46" spans="1:17">
      <c r="A46" t="s">
        <v>93</v>
      </c>
      <c r="B46" s="12">
        <v>13.146988868713379</v>
      </c>
      <c r="C46" s="5">
        <f t="shared" si="17"/>
        <v>2.6949749001171339E-2</v>
      </c>
      <c r="D46" s="3">
        <f t="shared" si="18"/>
        <v>12492618.442100152</v>
      </c>
    </row>
    <row r="47" spans="1:17">
      <c r="A47" t="s">
        <v>94</v>
      </c>
      <c r="B47" s="12">
        <v>15.627629280090332</v>
      </c>
      <c r="C47" s="5">
        <f t="shared" si="17"/>
        <v>4.8211290385366586E-3</v>
      </c>
      <c r="D47" s="3">
        <f t="shared" si="18"/>
        <v>2234845.5095425891</v>
      </c>
      <c r="E47" s="3">
        <f t="shared" si="19"/>
        <v>2002827.150942432</v>
      </c>
      <c r="F47" s="2">
        <v>1</v>
      </c>
      <c r="G47" s="2">
        <v>50</v>
      </c>
      <c r="H47" s="2">
        <v>0.25</v>
      </c>
      <c r="I47" s="2">
        <v>1</v>
      </c>
      <c r="J47" s="3">
        <f t="shared" ref="J47" si="30">E47*F47*G47/H47</f>
        <v>400565430.1884864</v>
      </c>
      <c r="K47" s="3">
        <f t="shared" ref="K47" si="31">(STDEV(D47:D49)*F47*G47)/H47</f>
        <v>46865286.802750997</v>
      </c>
    </row>
    <row r="48" spans="1:17">
      <c r="A48" t="s">
        <v>94</v>
      </c>
      <c r="B48" s="12">
        <v>15.782356262207031</v>
      </c>
      <c r="C48" s="5">
        <f t="shared" si="17"/>
        <v>4.3304218080794125E-3</v>
      </c>
      <c r="D48" s="3">
        <f t="shared" si="18"/>
        <v>2007377.0386260087</v>
      </c>
    </row>
    <row r="49" spans="1:11">
      <c r="A49" t="s">
        <v>94</v>
      </c>
      <c r="B49" s="12">
        <v>15.966808319091797</v>
      </c>
      <c r="C49" s="5">
        <f t="shared" si="17"/>
        <v>3.8102687897056753E-3</v>
      </c>
      <c r="D49" s="3">
        <f t="shared" si="18"/>
        <v>1766258.9046586987</v>
      </c>
    </row>
    <row r="50" spans="1:11">
      <c r="A50" t="s">
        <v>95</v>
      </c>
      <c r="B50" s="12">
        <v>16.087682723999023</v>
      </c>
      <c r="C50" s="5">
        <f t="shared" si="17"/>
        <v>3.5037788808202062E-3</v>
      </c>
      <c r="D50" s="3">
        <f t="shared" si="18"/>
        <v>1624184.7989631766</v>
      </c>
      <c r="E50" s="3">
        <f t="shared" si="19"/>
        <v>1649874.1674373876</v>
      </c>
      <c r="F50" s="2">
        <v>1</v>
      </c>
      <c r="G50" s="2">
        <v>50</v>
      </c>
      <c r="H50" s="2">
        <v>0.25</v>
      </c>
      <c r="I50" s="2">
        <v>1</v>
      </c>
      <c r="J50" s="3">
        <f t="shared" ref="J50" si="32">E50*F50*G50/H50</f>
        <v>329974833.48747754</v>
      </c>
      <c r="K50" s="3">
        <f t="shared" ref="K50" si="33">(STDEV(D50:D52)*F50*G50)/H50</f>
        <v>24530537.1863245</v>
      </c>
    </row>
    <row r="51" spans="1:11">
      <c r="A51" t="s">
        <v>95</v>
      </c>
      <c r="B51" s="12">
        <v>15.952938079833984</v>
      </c>
      <c r="C51" s="5">
        <f t="shared" si="17"/>
        <v>3.8471104504188736E-3</v>
      </c>
      <c r="D51" s="3">
        <f t="shared" si="18"/>
        <v>1783336.941639425</v>
      </c>
    </row>
    <row r="52" spans="1:11">
      <c r="A52" t="s">
        <v>95</v>
      </c>
      <c r="B52" s="12">
        <v>16.162435531616211</v>
      </c>
      <c r="C52" s="5">
        <f t="shared" si="17"/>
        <v>3.3267027769401103E-3</v>
      </c>
      <c r="D52" s="3">
        <f t="shared" si="18"/>
        <v>1542100.7617095613</v>
      </c>
    </row>
    <row r="53" spans="1:11">
      <c r="A53" t="s">
        <v>96</v>
      </c>
      <c r="B53" s="12">
        <v>16.281768798828125</v>
      </c>
      <c r="C53" s="5">
        <f t="shared" si="17"/>
        <v>3.0623823696465128E-3</v>
      </c>
      <c r="D53" s="3">
        <f t="shared" si="18"/>
        <v>1419574.4259490354</v>
      </c>
      <c r="E53" s="3">
        <f t="shared" si="19"/>
        <v>1503002.1397531892</v>
      </c>
      <c r="F53" s="2">
        <v>1</v>
      </c>
      <c r="G53" s="2">
        <v>50</v>
      </c>
      <c r="H53" s="2">
        <v>0.25</v>
      </c>
      <c r="I53" s="2">
        <v>1</v>
      </c>
      <c r="J53" s="3">
        <f t="shared" ref="J53" si="34">E53*F53*G53/H53</f>
        <v>300600427.95063782</v>
      </c>
      <c r="K53" s="3">
        <f t="shared" ref="K53" si="35">(STDEV(D53:D55)*F53*G53)/H53</f>
        <v>27502371.324149884</v>
      </c>
    </row>
    <row r="54" spans="1:11">
      <c r="A54" t="s">
        <v>96</v>
      </c>
      <c r="B54" s="12">
        <v>16.054752349853516</v>
      </c>
      <c r="C54" s="5">
        <f t="shared" si="17"/>
        <v>3.584746640798153E-3</v>
      </c>
      <c r="D54" s="3">
        <f t="shared" si="18"/>
        <v>1661717.5912527104</v>
      </c>
    </row>
    <row r="55" spans="1:11">
      <c r="A55" t="s">
        <v>96</v>
      </c>
      <c r="B55" s="12">
        <v>16.273527145385742</v>
      </c>
      <c r="C55" s="5">
        <f t="shared" si="17"/>
        <v>3.0799423642964775E-3</v>
      </c>
      <c r="D55" s="3">
        <f t="shared" si="18"/>
        <v>1427714.4020578219</v>
      </c>
    </row>
    <row r="56" spans="1:11">
      <c r="A56" t="s">
        <v>97</v>
      </c>
      <c r="B56" s="12">
        <v>13.757279396057129</v>
      </c>
      <c r="C56" s="5">
        <f t="shared" si="17"/>
        <v>1.7647244052964143E-2</v>
      </c>
      <c r="D56" s="3">
        <f t="shared" si="18"/>
        <v>8180420.7712183157</v>
      </c>
      <c r="E56" s="3" t="e">
        <f t="shared" si="19"/>
        <v>#VALUE!</v>
      </c>
      <c r="F56" s="2">
        <v>1</v>
      </c>
      <c r="G56" s="2">
        <v>50</v>
      </c>
      <c r="H56" s="2">
        <v>0.25</v>
      </c>
      <c r="I56" s="2">
        <v>1</v>
      </c>
      <c r="J56" s="3" t="e">
        <f t="shared" ref="J56" si="36">E56*F56*G56/H56</f>
        <v>#VALUE!</v>
      </c>
      <c r="K56" s="3" t="e">
        <f t="shared" ref="K56" si="37">(STDEV(D56:D58)*F56*G56)/H56</f>
        <v>#VALUE!</v>
      </c>
    </row>
    <row r="57" spans="1:11">
      <c r="A57" t="s">
        <v>97</v>
      </c>
      <c r="B57" s="12">
        <v>13.532559394836426</v>
      </c>
      <c r="C57" s="5">
        <f t="shared" si="17"/>
        <v>2.0624528690770427E-2</v>
      </c>
      <c r="D57" s="3">
        <f t="shared" si="18"/>
        <v>9560547.9468748923</v>
      </c>
    </row>
    <row r="58" spans="1:11">
      <c r="A58" t="s">
        <v>97</v>
      </c>
      <c r="B58" t="s">
        <v>30</v>
      </c>
      <c r="C58" s="5" t="e">
        <f t="shared" ref="C32:C95" si="38">10^((B58-8.179)/(-3.3))</f>
        <v>#VALUE!</v>
      </c>
      <c r="D58" s="3" t="e">
        <f t="shared" si="18"/>
        <v>#VALUE!</v>
      </c>
    </row>
    <row r="59" spans="1:11">
      <c r="A59" t="s">
        <v>98</v>
      </c>
      <c r="B59" s="12">
        <v>12.179208755493164</v>
      </c>
      <c r="C59" s="5">
        <f t="shared" ref="C59:C109" si="39">10^((B59-7.938)/(-3.319))</f>
        <v>5.2740298862596534E-2</v>
      </c>
      <c r="D59" s="3">
        <f t="shared" si="18"/>
        <v>24447887.443556909</v>
      </c>
      <c r="E59" s="3">
        <f t="shared" si="19"/>
        <v>20183834.666082609</v>
      </c>
      <c r="F59" s="2">
        <v>1</v>
      </c>
      <c r="G59" s="2">
        <v>50</v>
      </c>
      <c r="H59" s="2">
        <v>0.25</v>
      </c>
      <c r="I59" s="2">
        <v>1</v>
      </c>
      <c r="J59" s="3">
        <f t="shared" ref="J59" si="40">E59*F59*G59/H59</f>
        <v>4036766933.2165217</v>
      </c>
      <c r="K59" s="3">
        <f t="shared" ref="K59" si="41">(STDEV(D59:D61)*F59*G59)/H59</f>
        <v>790307472.11145926</v>
      </c>
    </row>
    <row r="60" spans="1:11">
      <c r="A60" t="s">
        <v>98</v>
      </c>
      <c r="B60" s="12">
        <v>12.508247375488281</v>
      </c>
      <c r="C60" s="5">
        <f t="shared" si="39"/>
        <v>4.1976353405227103E-2</v>
      </c>
      <c r="D60" s="3">
        <f t="shared" si="18"/>
        <v>19458235.646627411</v>
      </c>
    </row>
    <row r="61" spans="1:11">
      <c r="A61" t="s">
        <v>98</v>
      </c>
      <c r="B61" s="12">
        <v>12.733307838439941</v>
      </c>
      <c r="C61" s="5">
        <f t="shared" si="39"/>
        <v>3.5908311742673227E-2</v>
      </c>
      <c r="D61" s="3">
        <f t="shared" si="18"/>
        <v>16645380.908063509</v>
      </c>
    </row>
    <row r="62" spans="1:11">
      <c r="A62" t="s">
        <v>99</v>
      </c>
      <c r="B62" s="12">
        <v>18.331306457519531</v>
      </c>
      <c r="C62" s="5">
        <f t="shared" si="39"/>
        <v>7.3882706579362647E-4</v>
      </c>
      <c r="D62" s="3">
        <f t="shared" si="18"/>
        <v>342484.99409976078</v>
      </c>
      <c r="E62" s="3">
        <f t="shared" si="19"/>
        <v>376808.01301297435</v>
      </c>
      <c r="F62" s="2">
        <v>1</v>
      </c>
      <c r="G62" s="2">
        <v>50</v>
      </c>
      <c r="H62" s="2">
        <v>0.25</v>
      </c>
      <c r="I62" s="2">
        <v>1</v>
      </c>
      <c r="J62" s="3">
        <f t="shared" ref="J62" si="42">E62*F62*G62/H62</f>
        <v>75361602.602594867</v>
      </c>
      <c r="K62" s="3">
        <f t="shared" ref="K62" si="43">(STDEV(D62:D64)*F62*G62)/H62</f>
        <v>6621706.2923149848</v>
      </c>
    </row>
    <row r="63" spans="1:11">
      <c r="A63" t="s">
        <v>99</v>
      </c>
      <c r="B63" s="12">
        <v>18.183803558349609</v>
      </c>
      <c r="C63" s="5">
        <f t="shared" si="39"/>
        <v>8.1843608074484578E-4</v>
      </c>
      <c r="D63" s="3">
        <f t="shared" si="18"/>
        <v>379387.93699150364</v>
      </c>
    </row>
    <row r="64" spans="1:11">
      <c r="A64" t="s">
        <v>99</v>
      </c>
      <c r="B64" s="12">
        <v>18.077054977416992</v>
      </c>
      <c r="C64" s="5">
        <f t="shared" si="39"/>
        <v>8.8134844303216337E-4</v>
      </c>
      <c r="D64" s="3">
        <f t="shared" si="18"/>
        <v>408551.10794765875</v>
      </c>
    </row>
    <row r="65" spans="1:11">
      <c r="A65" t="s">
        <v>100</v>
      </c>
      <c r="B65" s="12">
        <v>14.151398658752441</v>
      </c>
      <c r="C65" s="5">
        <f t="shared" si="39"/>
        <v>1.3425501070469428E-2</v>
      </c>
      <c r="D65" s="3">
        <f t="shared" si="18"/>
        <v>6223422.0533961924</v>
      </c>
      <c r="E65" s="3">
        <f t="shared" si="19"/>
        <v>4511731.0972197242</v>
      </c>
      <c r="F65" s="2">
        <v>1</v>
      </c>
      <c r="G65" s="2">
        <v>50</v>
      </c>
      <c r="H65" s="2">
        <v>0.25</v>
      </c>
      <c r="I65" s="2">
        <v>1</v>
      </c>
      <c r="J65" s="3">
        <f t="shared" ref="J65" si="44">E65*F65*G65/H65</f>
        <v>902346219.44394481</v>
      </c>
      <c r="K65" s="3">
        <f t="shared" ref="K65" si="45">(STDEV(D65:D67)*F65*G65)/H65</f>
        <v>324630371.39285743</v>
      </c>
    </row>
    <row r="66" spans="1:11">
      <c r="A66" t="s">
        <v>100</v>
      </c>
      <c r="B66" s="12">
        <v>15.205780029296875</v>
      </c>
      <c r="C66" s="5">
        <f t="shared" si="39"/>
        <v>6.4602610339680767E-3</v>
      </c>
      <c r="D66" s="3">
        <f t="shared" si="18"/>
        <v>2994668.9347727438</v>
      </c>
    </row>
    <row r="67" spans="1:11">
      <c r="A67" t="s">
        <v>100</v>
      </c>
      <c r="B67" s="12">
        <v>14.67857837677002</v>
      </c>
      <c r="C67" s="5">
        <f t="shared" si="39"/>
        <v>9.3130854856943515E-3</v>
      </c>
      <c r="D67" s="3">
        <f t="shared" si="18"/>
        <v>4317102.3034902373</v>
      </c>
    </row>
    <row r="68" spans="1:11">
      <c r="A68" t="s">
        <v>101</v>
      </c>
      <c r="B68" s="12">
        <v>13.259478569030762</v>
      </c>
      <c r="C68" s="5">
        <f t="shared" si="39"/>
        <v>2.4926544420859922E-2</v>
      </c>
      <c r="D68" s="3">
        <f t="shared" si="18"/>
        <v>11554757.282389857</v>
      </c>
      <c r="E68" s="3">
        <f t="shared" si="19"/>
        <v>10449958.302700212</v>
      </c>
      <c r="F68" s="2">
        <v>1</v>
      </c>
      <c r="G68" s="2">
        <v>50</v>
      </c>
      <c r="H68" s="2">
        <v>0.25</v>
      </c>
      <c r="I68" s="2">
        <v>1</v>
      </c>
      <c r="J68" s="3">
        <f t="shared" ref="J68" si="46">E68*F68*G68/H68</f>
        <v>2089991660.5400424</v>
      </c>
      <c r="K68" s="3">
        <f t="shared" ref="K68" si="47">(STDEV(D68:D70)*F68*G68)/H68</f>
        <v>256427621.90497863</v>
      </c>
    </row>
    <row r="69" spans="1:11">
      <c r="A69" t="s">
        <v>101</v>
      </c>
      <c r="B69" s="12">
        <v>13.363396644592285</v>
      </c>
      <c r="C69" s="5">
        <f t="shared" si="39"/>
        <v>2.3192737912413348E-2</v>
      </c>
      <c r="D69" s="3">
        <f t="shared" si="18"/>
        <v>10751047.267817495</v>
      </c>
    </row>
    <row r="70" spans="1:11">
      <c r="A70" t="s">
        <v>101</v>
      </c>
      <c r="B70" s="12">
        <v>13.61260986328125</v>
      </c>
      <c r="C70" s="5">
        <f t="shared" si="39"/>
        <v>1.951035543299464E-2</v>
      </c>
      <c r="D70" s="3">
        <f t="shared" si="18"/>
        <v>9044070.3578932807</v>
      </c>
    </row>
    <row r="71" spans="1:11">
      <c r="A71" t="s">
        <v>102</v>
      </c>
      <c r="B71" s="12">
        <v>13.541621208190918</v>
      </c>
      <c r="C71" s="5">
        <f t="shared" si="39"/>
        <v>2.0495274939861217E-2</v>
      </c>
      <c r="D71" s="3">
        <f t="shared" si="18"/>
        <v>9500632.0718792174</v>
      </c>
      <c r="E71" s="3">
        <f>AVERAGE(D71:D73)</f>
        <v>10146593.599638607</v>
      </c>
      <c r="F71" s="2">
        <v>1</v>
      </c>
      <c r="G71" s="2">
        <v>50</v>
      </c>
      <c r="H71" s="2">
        <v>0.25</v>
      </c>
      <c r="I71" s="2">
        <v>1</v>
      </c>
      <c r="J71" s="3">
        <f t="shared" ref="J71" si="48">E71*F71*G71/H71</f>
        <v>2029318719.9277215</v>
      </c>
      <c r="K71" s="3">
        <f>(STDEV(D71:D74)*F71*G71)/H71</f>
        <v>340829901.74987948</v>
      </c>
    </row>
    <row r="72" spans="1:11">
      <c r="A72" t="s">
        <v>102</v>
      </c>
      <c r="B72" s="12">
        <v>13.528075218200684</v>
      </c>
      <c r="C72" s="5">
        <f t="shared" si="39"/>
        <v>2.0688790194973931E-2</v>
      </c>
      <c r="D72" s="3">
        <f t="shared" si="18"/>
        <v>9590336.5156847518</v>
      </c>
    </row>
    <row r="73" spans="1:11">
      <c r="A73" t="s">
        <v>102</v>
      </c>
      <c r="B73" s="12">
        <v>13.285401344299316</v>
      </c>
      <c r="C73" s="5">
        <f t="shared" si="39"/>
        <v>2.4482268627260197E-2</v>
      </c>
      <c r="D73" s="3">
        <f t="shared" si="18"/>
        <v>11348812.211351853</v>
      </c>
    </row>
    <row r="74" spans="1:11">
      <c r="A74" t="s">
        <v>103</v>
      </c>
      <c r="B74" s="12">
        <v>13.078598022460938</v>
      </c>
      <c r="C74" s="5">
        <f t="shared" si="39"/>
        <v>2.8259246894526871E-2</v>
      </c>
      <c r="D74" s="3">
        <f>C74*$B$9</f>
        <v>13099639.217385057</v>
      </c>
      <c r="E74" s="3">
        <f>AVERAGE(D74:D76)</f>
        <v>12934135.844706422</v>
      </c>
      <c r="F74" s="2">
        <v>1</v>
      </c>
      <c r="G74" s="2">
        <v>50</v>
      </c>
      <c r="H74" s="2">
        <v>0.25</v>
      </c>
      <c r="I74" s="2">
        <v>1</v>
      </c>
      <c r="J74" s="3">
        <f t="shared" ref="J74" si="49">E74*F74*G74/H74</f>
        <v>2586827168.9412842</v>
      </c>
      <c r="K74" s="3">
        <f>(STDEV(D74:D77)*F74*G74)/H74</f>
        <v>891458159.55321527</v>
      </c>
    </row>
    <row r="75" spans="1:11">
      <c r="A75" t="s">
        <v>103</v>
      </c>
      <c r="B75" s="12">
        <v>12.954687118530273</v>
      </c>
      <c r="C75" s="5">
        <f t="shared" si="39"/>
        <v>3.0796005627620176E-2</v>
      </c>
      <c r="D75" s="3">
        <f t="shared" si="18"/>
        <v>14275559.591664707</v>
      </c>
    </row>
    <row r="76" spans="1:11">
      <c r="A76" t="s">
        <v>103</v>
      </c>
      <c r="B76" s="12">
        <v>13.275478363037109</v>
      </c>
      <c r="C76" s="5">
        <f t="shared" si="39"/>
        <v>2.4651389806863135E-2</v>
      </c>
      <c r="D76" s="3">
        <f t="shared" si="18"/>
        <v>11427208.725069499</v>
      </c>
    </row>
    <row r="77" spans="1:11">
      <c r="A77" t="s">
        <v>104</v>
      </c>
      <c r="B77" s="12">
        <v>14.673796653747559</v>
      </c>
      <c r="C77" s="5">
        <f t="shared" si="39"/>
        <v>9.3440316621213465E-3</v>
      </c>
      <c r="D77" s="3">
        <f t="shared" si="18"/>
        <v>4331447.4751030626</v>
      </c>
      <c r="E77" s="3">
        <f t="shared" si="19"/>
        <v>4376461.1002960512</v>
      </c>
      <c r="F77" s="2">
        <v>1</v>
      </c>
      <c r="G77" s="2">
        <v>50</v>
      </c>
      <c r="H77" s="2">
        <v>0.25</v>
      </c>
      <c r="I77" s="2">
        <v>1</v>
      </c>
      <c r="J77" s="3">
        <f t="shared" ref="J77" si="50">E77*F77*G77/H77</f>
        <v>875292220.0592103</v>
      </c>
      <c r="K77" s="3">
        <f t="shared" ref="K77" si="51">(STDEV(D77:D79)*F77*G77)/H77</f>
        <v>68077253.70612292</v>
      </c>
    </row>
    <row r="78" spans="1:11">
      <c r="A78" t="s">
        <v>104</v>
      </c>
      <c r="B78" s="12">
        <v>14.544751167297363</v>
      </c>
      <c r="C78" s="5">
        <f t="shared" si="39"/>
        <v>1.0219158493955206E-2</v>
      </c>
      <c r="D78" s="3">
        <f t="shared" si="18"/>
        <v>4737114.5407988941</v>
      </c>
    </row>
    <row r="79" spans="1:11">
      <c r="A79" t="s">
        <v>104</v>
      </c>
      <c r="B79" s="12">
        <v>14.766792297363281</v>
      </c>
      <c r="C79" s="5">
        <f t="shared" si="39"/>
        <v>8.76022227655536E-3</v>
      </c>
      <c r="D79" s="3">
        <f t="shared" si="18"/>
        <v>4060821.284986197</v>
      </c>
    </row>
    <row r="80" spans="1:11">
      <c r="A80" t="s">
        <v>105</v>
      </c>
      <c r="B80" s="12">
        <v>16.623407363891602</v>
      </c>
      <c r="C80" s="5">
        <f t="shared" si="39"/>
        <v>2.4161574358118549E-3</v>
      </c>
      <c r="D80" s="3">
        <f t="shared" si="18"/>
        <v>1120015.3641627117</v>
      </c>
      <c r="E80" s="3">
        <f t="shared" si="19"/>
        <v>500843.07402000861</v>
      </c>
      <c r="F80" s="2">
        <v>1</v>
      </c>
      <c r="G80" s="2">
        <v>50</v>
      </c>
      <c r="H80" s="2">
        <v>0.25</v>
      </c>
      <c r="I80" s="2">
        <v>1</v>
      </c>
      <c r="J80" s="3">
        <f t="shared" ref="J80" si="52">E80*F80*G80/H80</f>
        <v>100168614.80400172</v>
      </c>
      <c r="K80" s="3">
        <f t="shared" ref="K80" si="53">(STDEV(D80:D82)*F80*G80)/H80</f>
        <v>107252469.59304632</v>
      </c>
    </row>
    <row r="81" spans="1:11">
      <c r="A81" t="s">
        <v>105</v>
      </c>
      <c r="B81" s="12">
        <v>19.120563507080078</v>
      </c>
      <c r="C81" s="5">
        <f t="shared" si="39"/>
        <v>4.2731008560487998E-4</v>
      </c>
      <c r="D81" s="3">
        <f t="shared" si="18"/>
        <v>198080.57788185333</v>
      </c>
    </row>
    <row r="82" spans="1:11">
      <c r="A82" t="s">
        <v>105</v>
      </c>
      <c r="B82" s="12">
        <v>19.223461151123047</v>
      </c>
      <c r="C82" s="5">
        <f t="shared" si="39"/>
        <v>3.978693999913627E-4</v>
      </c>
      <c r="D82" s="3">
        <f t="shared" si="18"/>
        <v>184433.28001546086</v>
      </c>
    </row>
    <row r="83" spans="1:11">
      <c r="A83" t="s">
        <v>106</v>
      </c>
      <c r="B83" s="12">
        <v>12.776230812072754</v>
      </c>
      <c r="C83" s="5">
        <f t="shared" si="39"/>
        <v>3.4854791172255116E-2</v>
      </c>
      <c r="D83" s="3">
        <f t="shared" si="18"/>
        <v>16157019.012501322</v>
      </c>
      <c r="E83" s="3">
        <f t="shared" si="19"/>
        <v>14088364.028952071</v>
      </c>
      <c r="F83" s="2">
        <v>1</v>
      </c>
      <c r="G83" s="2">
        <v>50</v>
      </c>
      <c r="H83" s="2">
        <v>0.25</v>
      </c>
      <c r="I83" s="2">
        <v>1</v>
      </c>
      <c r="J83" s="3">
        <f t="shared" ref="J83" si="54">E83*F83*G83/H83</f>
        <v>2817672805.7904143</v>
      </c>
      <c r="K83" s="3">
        <f t="shared" ref="K83" si="55">(STDEV(D83:D85)*F83*G83)/H83</f>
        <v>549382239.20685458</v>
      </c>
    </row>
    <row r="84" spans="1:11">
      <c r="A84" t="s">
        <v>106</v>
      </c>
      <c r="B84" s="12">
        <v>12.870291709899902</v>
      </c>
      <c r="C84" s="5">
        <f t="shared" si="39"/>
        <v>3.2652944724880915E-2</v>
      </c>
      <c r="D84" s="3">
        <f t="shared" si="18"/>
        <v>15136348.002394916</v>
      </c>
    </row>
    <row r="85" spans="1:11">
      <c r="A85" t="s">
        <v>106</v>
      </c>
      <c r="B85" s="12">
        <v>13.334109306335449</v>
      </c>
      <c r="C85" s="5">
        <f t="shared" si="39"/>
        <v>2.3668795950952923E-2</v>
      </c>
      <c r="D85" s="3">
        <f t="shared" si="18"/>
        <v>10971725.071959976</v>
      </c>
    </row>
    <row r="86" spans="1:11">
      <c r="A86" t="s">
        <v>34</v>
      </c>
      <c r="B86" s="12">
        <v>17.198453903198242</v>
      </c>
      <c r="C86" s="5">
        <f t="shared" si="39"/>
        <v>1.6213107188606411E-3</v>
      </c>
      <c r="D86" s="3">
        <f t="shared" si="18"/>
        <v>751562.33128303965</v>
      </c>
      <c r="E86" s="3">
        <f t="shared" si="19"/>
        <v>795855.29290212179</v>
      </c>
      <c r="F86" s="2">
        <v>1</v>
      </c>
      <c r="G86" s="2">
        <v>50</v>
      </c>
      <c r="H86" s="2">
        <v>0.25</v>
      </c>
      <c r="I86" s="2">
        <v>1</v>
      </c>
      <c r="J86" s="3">
        <f t="shared" ref="J86" si="56">E86*F86*G86/H86</f>
        <v>159171058.58042437</v>
      </c>
      <c r="K86" s="3">
        <f t="shared" ref="K86" si="57">(STDEV(D86:D88)*F86*G86)/H86</f>
        <v>7675892.5586100379</v>
      </c>
    </row>
    <row r="87" spans="1:11">
      <c r="A87" t="s">
        <v>34</v>
      </c>
      <c r="B87" s="12">
        <v>17.078569412231445</v>
      </c>
      <c r="C87" s="5">
        <f t="shared" si="39"/>
        <v>1.7619229806983565E-3</v>
      </c>
      <c r="D87" s="3">
        <f t="shared" si="18"/>
        <v>816743.4702740896</v>
      </c>
    </row>
    <row r="88" spans="1:11">
      <c r="A88" t="s">
        <v>34</v>
      </c>
      <c r="B88" s="12">
        <v>17.074134826660156</v>
      </c>
      <c r="C88" s="5">
        <f t="shared" si="39"/>
        <v>1.7673519405224446E-3</v>
      </c>
      <c r="D88" s="3">
        <f t="shared" si="18"/>
        <v>819260.07714923623</v>
      </c>
    </row>
    <row r="89" spans="1:11">
      <c r="A89" t="s">
        <v>107</v>
      </c>
      <c r="B89" s="12">
        <v>12.974672317504883</v>
      </c>
      <c r="C89" s="5">
        <f t="shared" si="39"/>
        <v>3.037196833229033E-2</v>
      </c>
      <c r="D89" s="3">
        <f t="shared" si="18"/>
        <v>14078996.123279691</v>
      </c>
      <c r="E89" s="3">
        <f t="shared" si="19"/>
        <v>13880198.06985799</v>
      </c>
      <c r="F89" s="2">
        <v>1</v>
      </c>
      <c r="G89" s="2">
        <v>50</v>
      </c>
      <c r="H89" s="2">
        <v>0.25</v>
      </c>
      <c r="I89" s="2">
        <v>1</v>
      </c>
      <c r="J89" s="3">
        <f t="shared" ref="J89" si="58">E89*F89*G89/H89</f>
        <v>2776039613.9715981</v>
      </c>
      <c r="K89" s="3">
        <f t="shared" ref="K89" si="59">(STDEV(D89:D91)*F89*G89)/H89</f>
        <v>219718859.1352973</v>
      </c>
    </row>
    <row r="90" spans="1:11">
      <c r="A90" t="s">
        <v>107</v>
      </c>
      <c r="B90" s="12">
        <v>12.896286964416504</v>
      </c>
      <c r="C90" s="5">
        <f t="shared" si="39"/>
        <v>3.2069345614436917E-2</v>
      </c>
      <c r="D90" s="3">
        <f t="shared" si="18"/>
        <v>14865819.285796886</v>
      </c>
    </row>
    <row r="91" spans="1:11">
      <c r="A91" t="s">
        <v>107</v>
      </c>
      <c r="B91" s="12">
        <v>13.123736381530762</v>
      </c>
      <c r="C91" s="5">
        <f t="shared" si="39"/>
        <v>2.7388017462756806E-2</v>
      </c>
      <c r="D91" s="3">
        <f t="shared" si="18"/>
        <v>12695778.800497387</v>
      </c>
    </row>
    <row r="92" spans="1:11">
      <c r="A92" t="s">
        <v>108</v>
      </c>
      <c r="B92" s="12">
        <v>21.314817428588867</v>
      </c>
      <c r="C92" s="5">
        <f t="shared" si="39"/>
        <v>9.3244699843974321E-5</v>
      </c>
      <c r="D92" s="3">
        <f t="shared" si="18"/>
        <v>43223.796141785853</v>
      </c>
      <c r="E92" s="3">
        <f t="shared" si="19"/>
        <v>36216.155859333747</v>
      </c>
      <c r="F92" s="2">
        <v>1</v>
      </c>
      <c r="G92" s="2">
        <v>50</v>
      </c>
      <c r="H92" s="2">
        <v>0.25</v>
      </c>
      <c r="I92" s="2">
        <v>1</v>
      </c>
      <c r="J92" s="3">
        <f t="shared" ref="J92" si="60">E92*F92*G92/H92</f>
        <v>7243231.1718667494</v>
      </c>
      <c r="K92" s="3">
        <f t="shared" ref="K92" si="61">(STDEV(D92:D94)*F92*G92)/H92</f>
        <v>1213885.3729329933</v>
      </c>
    </row>
    <row r="93" spans="1:11">
      <c r="A93" t="s">
        <v>108</v>
      </c>
      <c r="B93" s="12">
        <v>21.720319747924805</v>
      </c>
      <c r="C93" s="5">
        <f t="shared" si="39"/>
        <v>7.0379812009524221E-5</v>
      </c>
      <c r="D93" s="3">
        <f t="shared" si="18"/>
        <v>32624.724535412537</v>
      </c>
    </row>
    <row r="94" spans="1:11">
      <c r="A94" t="s">
        <v>108</v>
      </c>
      <c r="B94" s="12">
        <v>21.71259880065918</v>
      </c>
      <c r="C94" s="5">
        <f t="shared" si="39"/>
        <v>7.0757811128647729E-5</v>
      </c>
      <c r="D94" s="3">
        <f t="shared" si="18"/>
        <v>32799.946900802832</v>
      </c>
    </row>
    <row r="95" spans="1:11">
      <c r="A95" t="s">
        <v>109</v>
      </c>
      <c r="B95" s="12">
        <v>13.291410446166992</v>
      </c>
      <c r="C95" s="5">
        <f t="shared" si="39"/>
        <v>2.4380417763118563E-2</v>
      </c>
      <c r="D95" s="3">
        <f t="shared" si="18"/>
        <v>11301599.007857295</v>
      </c>
      <c r="E95" s="3">
        <f>AVERAGE(D95:D96)</f>
        <v>11967397.308318734</v>
      </c>
      <c r="F95" s="2">
        <v>1</v>
      </c>
      <c r="G95" s="2">
        <v>50</v>
      </c>
      <c r="H95" s="2">
        <v>0.25</v>
      </c>
      <c r="I95" s="2">
        <v>1</v>
      </c>
      <c r="J95" s="3">
        <f t="shared" ref="J95" si="62">E95*F95*G95/H95</f>
        <v>2393479461.6637468</v>
      </c>
      <c r="K95" s="3">
        <f>(STDEV(D95:D96)*F95*G95)/H95</f>
        <v>188316197.26350516</v>
      </c>
    </row>
    <row r="96" spans="1:11">
      <c r="A96" t="s">
        <v>109</v>
      </c>
      <c r="B96" s="12">
        <v>13.130859375</v>
      </c>
      <c r="C96" s="5">
        <f t="shared" si="39"/>
        <v>2.7253009632629922E-2</v>
      </c>
      <c r="D96" s="3">
        <f t="shared" ref="D96:D109" si="63">C96*$B$9</f>
        <v>12633195.608780175</v>
      </c>
    </row>
    <row r="97" spans="1:11">
      <c r="A97" t="s">
        <v>109</v>
      </c>
      <c r="B97" s="12">
        <v>13.041532516479492</v>
      </c>
      <c r="C97" s="5">
        <f t="shared" si="39"/>
        <v>2.8995343398202221E-2</v>
      </c>
      <c r="D97" s="3">
        <f t="shared" si="63"/>
        <v>13440858.453103373</v>
      </c>
    </row>
    <row r="98" spans="1:11">
      <c r="A98" t="s">
        <v>110</v>
      </c>
      <c r="B98" s="12">
        <v>19.202194213867188</v>
      </c>
      <c r="C98" s="5">
        <f t="shared" si="39"/>
        <v>4.0378313256315057E-4</v>
      </c>
      <c r="D98" s="3">
        <f t="shared" si="63"/>
        <v>187174.60441832466</v>
      </c>
      <c r="E98" s="3">
        <f t="shared" ref="E98:E107" si="64">AVERAGE(D98:D100)</f>
        <v>184709.82022476129</v>
      </c>
      <c r="F98" s="2">
        <v>1</v>
      </c>
      <c r="G98" s="2">
        <v>50</v>
      </c>
      <c r="H98" s="2">
        <v>0.25</v>
      </c>
      <c r="I98" s="2">
        <v>1</v>
      </c>
      <c r="J98" s="3">
        <f t="shared" ref="J98" si="65">E98*F98*G98/H98</f>
        <v>36941964.044952258</v>
      </c>
      <c r="K98" s="3">
        <f t="shared" ref="K98" si="66">(STDEV(D98:D100)*F98*G98)/H98</f>
        <v>2121425.5149627062</v>
      </c>
    </row>
    <row r="99" spans="1:11">
      <c r="A99" t="s">
        <v>110</v>
      </c>
      <c r="B99" s="12">
        <v>19.151552200317383</v>
      </c>
      <c r="C99" s="5">
        <f t="shared" si="39"/>
        <v>4.1822153084691821E-4</v>
      </c>
      <c r="D99" s="3">
        <f t="shared" si="63"/>
        <v>193867.55731619184</v>
      </c>
    </row>
    <row r="100" spans="1:11">
      <c r="A100" t="s">
        <v>110</v>
      </c>
      <c r="B100" s="12">
        <v>19.314979553222656</v>
      </c>
      <c r="C100" s="5">
        <f t="shared" si="39"/>
        <v>3.733932388423494E-4</v>
      </c>
      <c r="D100" s="3">
        <f t="shared" si="63"/>
        <v>173087.29893976738</v>
      </c>
    </row>
    <row r="101" spans="1:11">
      <c r="A101" t="s">
        <v>111</v>
      </c>
      <c r="B101" s="12">
        <v>18.857698440551758</v>
      </c>
      <c r="C101" s="5">
        <f t="shared" si="39"/>
        <v>5.1279434084069151E-4</v>
      </c>
      <c r="D101" s="3">
        <f t="shared" si="63"/>
        <v>237707.00198775798</v>
      </c>
      <c r="E101" s="3">
        <f t="shared" si="64"/>
        <v>205579.06268916387</v>
      </c>
      <c r="F101" s="2">
        <v>1</v>
      </c>
      <c r="G101" s="2">
        <v>50</v>
      </c>
      <c r="H101" s="2">
        <v>0.25</v>
      </c>
      <c r="I101" s="2">
        <v>1</v>
      </c>
      <c r="J101" s="3">
        <f t="shared" ref="J101" si="67">E101*F101*G101/H101</f>
        <v>41115812.537832774</v>
      </c>
      <c r="K101" s="3">
        <f t="shared" ref="K101" si="68">(STDEV(D101:D103)*F101*G101)/H101</f>
        <v>10123154.229764491</v>
      </c>
    </row>
    <row r="102" spans="1:11">
      <c r="A102" t="s">
        <v>111</v>
      </c>
      <c r="B102" s="12">
        <v>18.893985748291016</v>
      </c>
      <c r="C102" s="5">
        <f t="shared" si="39"/>
        <v>5.000460702377416E-4</v>
      </c>
      <c r="D102" s="3">
        <f t="shared" si="63"/>
        <v>231797.51168295502</v>
      </c>
    </row>
    <row r="103" spans="1:11">
      <c r="A103" t="s">
        <v>111</v>
      </c>
      <c r="B103" s="12">
        <v>19.548175811767578</v>
      </c>
      <c r="C103" s="5">
        <f t="shared" si="39"/>
        <v>3.1761825098192316E-4</v>
      </c>
      <c r="D103" s="3">
        <f t="shared" si="63"/>
        <v>147232.67439677857</v>
      </c>
    </row>
    <row r="104" spans="1:11">
      <c r="A104" t="s">
        <v>112</v>
      </c>
      <c r="B104" s="12">
        <v>14.106802940368652</v>
      </c>
      <c r="C104" s="5">
        <f t="shared" si="39"/>
        <v>1.3847360412857432E-2</v>
      </c>
      <c r="D104" s="3">
        <f t="shared" si="63"/>
        <v>6418975.9266608208</v>
      </c>
      <c r="E104" s="3">
        <f t="shared" si="64"/>
        <v>7143157.5323278038</v>
      </c>
      <c r="F104" s="2">
        <v>1</v>
      </c>
      <c r="G104" s="2">
        <v>50</v>
      </c>
      <c r="H104" s="2">
        <v>0.25</v>
      </c>
      <c r="I104" s="2">
        <v>1</v>
      </c>
      <c r="J104" s="3">
        <f t="shared" ref="J104" si="69">E104*F104*G104/H104</f>
        <v>1428631506.4655607</v>
      </c>
      <c r="K104" s="3">
        <f t="shared" ref="K104" si="70">(STDEV(D104:D106)*F104*G104)/H104</f>
        <v>154227262.39708197</v>
      </c>
    </row>
    <row r="105" spans="1:11">
      <c r="A105" t="s">
        <v>112</v>
      </c>
      <c r="B105" s="12">
        <v>13.970301628112793</v>
      </c>
      <c r="C105" s="5">
        <f t="shared" si="39"/>
        <v>1.5222789316566801E-2</v>
      </c>
      <c r="D105" s="3">
        <f t="shared" si="63"/>
        <v>7056559.1741905268</v>
      </c>
    </row>
    <row r="106" spans="1:11">
      <c r="A106" t="s">
        <v>112</v>
      </c>
      <c r="B106" s="12">
        <v>13.797749519348145</v>
      </c>
      <c r="C106" s="5">
        <f t="shared" si="39"/>
        <v>1.7158662139986767E-2</v>
      </c>
      <c r="D106" s="3">
        <f t="shared" si="63"/>
        <v>7953937.4961320637</v>
      </c>
    </row>
    <row r="107" spans="1:11">
      <c r="A107" t="s">
        <v>113</v>
      </c>
      <c r="B107" s="12">
        <v>12.690778732299805</v>
      </c>
      <c r="C107" s="5">
        <f t="shared" si="39"/>
        <v>3.698356891146428E-2</v>
      </c>
      <c r="D107" s="3">
        <f t="shared" si="63"/>
        <v>17143818.854044218</v>
      </c>
      <c r="E107" s="3">
        <f t="shared" si="64"/>
        <v>14720109.144323053</v>
      </c>
      <c r="F107" s="2">
        <v>1</v>
      </c>
      <c r="G107" s="2">
        <v>50</v>
      </c>
      <c r="H107" s="2">
        <v>0.25</v>
      </c>
      <c r="I107" s="2">
        <v>1</v>
      </c>
      <c r="J107" s="3">
        <f t="shared" ref="J107" si="71">E107*F107*G107/H107</f>
        <v>2944021828.8646107</v>
      </c>
      <c r="K107" s="3">
        <f t="shared" ref="K107" si="72">(STDEV(D107:D109)*F107*G107)/H107</f>
        <v>596836569.29808056</v>
      </c>
    </row>
    <row r="108" spans="1:11">
      <c r="A108" t="s">
        <v>113</v>
      </c>
      <c r="B108" s="12">
        <v>13.28055477142334</v>
      </c>
      <c r="C108" s="5">
        <f t="shared" si="39"/>
        <v>2.4564725179680596E-2</v>
      </c>
      <c r="D108" s="3">
        <f t="shared" si="63"/>
        <v>11387035.136819335</v>
      </c>
    </row>
    <row r="109" spans="1:11">
      <c r="A109" t="s">
        <v>113</v>
      </c>
      <c r="B109" s="12">
        <v>12.824080467224121</v>
      </c>
      <c r="C109" s="5">
        <f t="shared" si="39"/>
        <v>3.3716741469165472E-2</v>
      </c>
      <c r="D109" s="3">
        <f t="shared" si="63"/>
        <v>15629473.442105608</v>
      </c>
    </row>
  </sheetData>
  <mergeCells count="11">
    <mergeCell ref="H13:H14"/>
    <mergeCell ref="I13:I14"/>
    <mergeCell ref="J13:J14"/>
    <mergeCell ref="K13:K14"/>
    <mergeCell ref="L13:L14"/>
    <mergeCell ref="B13:B14"/>
    <mergeCell ref="C13:C14"/>
    <mergeCell ref="D13:D14"/>
    <mergeCell ref="E13:E14"/>
    <mergeCell ref="F13:F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20230425_qPCR_I</vt:lpstr>
      <vt:lpstr>20230425_qPCR_II</vt:lpstr>
      <vt:lpstr>20230426_qPCR_III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Debjyoti Ghosh</dc:creator>
  <cp:lastModifiedBy>Debjyoti Ghosh</cp:lastModifiedBy>
  <dcterms:created xsi:type="dcterms:W3CDTF">2023-02-24T12:03:24Z</dcterms:created>
  <dcterms:modified xsi:type="dcterms:W3CDTF">2023-05-03T16:02:47Z</dcterms:modified>
</cp:coreProperties>
</file>