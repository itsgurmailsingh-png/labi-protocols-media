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hoshd/qPCR/21_HS_T2/"/>
    </mc:Choice>
  </mc:AlternateContent>
  <xr:revisionPtr revIDLastSave="0" documentId="13_ncr:1_{38EAD593-ECCB-5249-95CA-85592E5D1F95}" xr6:coauthVersionLast="47" xr6:coauthVersionMax="47" xr10:uidLastSave="{00000000-0000-0000-0000-000000000000}"/>
  <bookViews>
    <workbookView xWindow="51200" yWindow="2380" windowWidth="38400" windowHeight="19180" activeTab="4" xr2:uid="{A144B6EC-1C78-CC4F-81A6-7BAC3E6393D8}"/>
  </bookViews>
  <sheets>
    <sheet name="20230426_qPCR_IV" sheetId="1" r:id="rId1"/>
    <sheet name="20230427_qPCR_V" sheetId="3" r:id="rId2"/>
    <sheet name="20230427_qPCR_VI" sheetId="7" r:id="rId3"/>
    <sheet name="20230502_qPCR_VII" sheetId="6" r:id="rId4"/>
    <sheet name="20230502_qPCR_VIII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6" i="9" l="1"/>
  <c r="C105" i="9"/>
  <c r="C104" i="9"/>
  <c r="C103" i="9"/>
  <c r="C102" i="9"/>
  <c r="C101" i="9"/>
  <c r="C100" i="9"/>
  <c r="C99" i="9"/>
  <c r="C98" i="9"/>
  <c r="C97" i="9"/>
  <c r="C96" i="9"/>
  <c r="C95" i="9"/>
  <c r="C94" i="9"/>
  <c r="C93" i="9"/>
  <c r="C92" i="9"/>
  <c r="C91" i="9"/>
  <c r="C90" i="9"/>
  <c r="C89" i="9"/>
  <c r="C88" i="9"/>
  <c r="C87" i="9"/>
  <c r="C86" i="9"/>
  <c r="C85" i="9"/>
  <c r="C84" i="9"/>
  <c r="C83" i="9"/>
  <c r="C82" i="9"/>
  <c r="C81" i="9"/>
  <c r="C80" i="9"/>
  <c r="C79" i="9"/>
  <c r="C78" i="9"/>
  <c r="C77" i="9"/>
  <c r="C76" i="9"/>
  <c r="C75" i="9"/>
  <c r="C74" i="9"/>
  <c r="C73" i="9"/>
  <c r="C72" i="9"/>
  <c r="C71" i="9"/>
  <c r="C70" i="9"/>
  <c r="C69" i="9"/>
  <c r="C68" i="9"/>
  <c r="C67" i="9"/>
  <c r="C66" i="9"/>
  <c r="C65" i="9"/>
  <c r="C64" i="9"/>
  <c r="C63" i="9"/>
  <c r="C62" i="9"/>
  <c r="C61" i="9"/>
  <c r="C60" i="9"/>
  <c r="C59" i="9"/>
  <c r="C58" i="9"/>
  <c r="C57" i="9"/>
  <c r="C56" i="9"/>
  <c r="C55" i="9"/>
  <c r="C54" i="9"/>
  <c r="C53" i="9"/>
  <c r="C52" i="9"/>
  <c r="C51" i="9"/>
  <c r="C50" i="9"/>
  <c r="C49" i="9"/>
  <c r="C48" i="9"/>
  <c r="C47" i="9"/>
  <c r="C46" i="9"/>
  <c r="C45" i="9"/>
  <c r="C44" i="9"/>
  <c r="C43" i="9"/>
  <c r="C42" i="9"/>
  <c r="C41" i="9"/>
  <c r="C40" i="9"/>
  <c r="C39" i="9"/>
  <c r="C38" i="9"/>
  <c r="C37" i="9"/>
  <c r="C36" i="9"/>
  <c r="C35" i="9"/>
  <c r="C33" i="9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K62" i="6" l="1"/>
  <c r="E62" i="6"/>
  <c r="K98" i="3"/>
  <c r="E98" i="3"/>
  <c r="D33" i="6" l="1"/>
  <c r="D32" i="6"/>
  <c r="D31" i="6"/>
  <c r="K31" i="6" s="1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D58" i="9"/>
  <c r="D57" i="9"/>
  <c r="D56" i="9"/>
  <c r="B7" i="9"/>
  <c r="B9" i="9" s="1"/>
  <c r="C109" i="7"/>
  <c r="C108" i="7"/>
  <c r="C107" i="7"/>
  <c r="C106" i="7"/>
  <c r="C105" i="7"/>
  <c r="C104" i="7"/>
  <c r="C103" i="7"/>
  <c r="C102" i="7"/>
  <c r="C101" i="7"/>
  <c r="C100" i="7"/>
  <c r="C99" i="7"/>
  <c r="C98" i="7"/>
  <c r="C97" i="7"/>
  <c r="C96" i="7"/>
  <c r="C95" i="7"/>
  <c r="D95" i="7" s="1"/>
  <c r="C94" i="7"/>
  <c r="C93" i="7"/>
  <c r="C92" i="7"/>
  <c r="C91" i="7"/>
  <c r="C90" i="7"/>
  <c r="C89" i="7"/>
  <c r="C88" i="7"/>
  <c r="C87" i="7"/>
  <c r="C86" i="7"/>
  <c r="C85" i="7"/>
  <c r="C84" i="7"/>
  <c r="C83" i="7"/>
  <c r="C82" i="7"/>
  <c r="C81" i="7"/>
  <c r="C80" i="7"/>
  <c r="C79" i="7"/>
  <c r="C78" i="7"/>
  <c r="C77" i="7"/>
  <c r="C76" i="7"/>
  <c r="C75" i="7"/>
  <c r="C74" i="7"/>
  <c r="C73" i="7"/>
  <c r="C72" i="7"/>
  <c r="C70" i="7"/>
  <c r="D70" i="7" s="1"/>
  <c r="C69" i="7"/>
  <c r="C68" i="7"/>
  <c r="C67" i="7"/>
  <c r="C66" i="7"/>
  <c r="C65" i="7"/>
  <c r="C64" i="7"/>
  <c r="C63" i="7"/>
  <c r="C62" i="7"/>
  <c r="D62" i="7" s="1"/>
  <c r="C61" i="7"/>
  <c r="C60" i="7"/>
  <c r="C59" i="7"/>
  <c r="C58" i="7"/>
  <c r="C57" i="7"/>
  <c r="C56" i="7"/>
  <c r="C55" i="7"/>
  <c r="C54" i="7"/>
  <c r="D54" i="7" s="1"/>
  <c r="C53" i="7"/>
  <c r="C52" i="7"/>
  <c r="C51" i="7"/>
  <c r="C50" i="7"/>
  <c r="C49" i="7"/>
  <c r="C48" i="7"/>
  <c r="C47" i="7"/>
  <c r="C46" i="7"/>
  <c r="D46" i="7" s="1"/>
  <c r="C45" i="7"/>
  <c r="C44" i="7"/>
  <c r="C43" i="7"/>
  <c r="C42" i="7"/>
  <c r="C41" i="7"/>
  <c r="C40" i="7"/>
  <c r="C39" i="7"/>
  <c r="C38" i="7"/>
  <c r="D38" i="7" s="1"/>
  <c r="C37" i="7"/>
  <c r="C36" i="7"/>
  <c r="C35" i="7"/>
  <c r="C34" i="7"/>
  <c r="C33" i="7"/>
  <c r="C32" i="7"/>
  <c r="C30" i="7"/>
  <c r="C29" i="7"/>
  <c r="D29" i="7" s="1"/>
  <c r="C28" i="7"/>
  <c r="C27" i="7"/>
  <c r="C26" i="7"/>
  <c r="C25" i="7"/>
  <c r="C24" i="7"/>
  <c r="C23" i="7"/>
  <c r="C22" i="7"/>
  <c r="C21" i="7"/>
  <c r="D21" i="7" s="1"/>
  <c r="C20" i="7"/>
  <c r="C19" i="7"/>
  <c r="C18" i="7"/>
  <c r="C17" i="7"/>
  <c r="C16" i="7"/>
  <c r="C71" i="7"/>
  <c r="B7" i="7"/>
  <c r="B9" i="7" s="1"/>
  <c r="C109" i="3"/>
  <c r="C108" i="3"/>
  <c r="C107" i="3"/>
  <c r="C106" i="3"/>
  <c r="C105" i="3"/>
  <c r="C104" i="3"/>
  <c r="C103" i="3"/>
  <c r="C102" i="3"/>
  <c r="C101" i="3"/>
  <c r="C100" i="3"/>
  <c r="C99" i="3"/>
  <c r="C97" i="3"/>
  <c r="C96" i="3"/>
  <c r="C95" i="3"/>
  <c r="C94" i="3"/>
  <c r="C93" i="3"/>
  <c r="C92" i="3"/>
  <c r="C91" i="3"/>
  <c r="C89" i="3"/>
  <c r="C88" i="3"/>
  <c r="C87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09" i="1"/>
  <c r="C108" i="1"/>
  <c r="C107" i="1"/>
  <c r="C106" i="1"/>
  <c r="C105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B7" i="6"/>
  <c r="B9" i="6" s="1"/>
  <c r="C98" i="3"/>
  <c r="C90" i="3"/>
  <c r="C86" i="3"/>
  <c r="C104" i="1"/>
  <c r="B7" i="3"/>
  <c r="B9" i="3" s="1"/>
  <c r="B7" i="1"/>
  <c r="B9" i="1"/>
  <c r="E31" i="6" l="1"/>
  <c r="J31" i="6" s="1"/>
  <c r="D76" i="6"/>
  <c r="D31" i="9"/>
  <c r="D32" i="9"/>
  <c r="D33" i="9"/>
  <c r="D26" i="9"/>
  <c r="D61" i="9"/>
  <c r="D59" i="9"/>
  <c r="E59" i="9" s="1"/>
  <c r="J59" i="9" s="1"/>
  <c r="D29" i="9"/>
  <c r="D104" i="9"/>
  <c r="D68" i="9"/>
  <c r="D90" i="9"/>
  <c r="D89" i="9"/>
  <c r="D80" i="9"/>
  <c r="D76" i="9"/>
  <c r="D81" i="9"/>
  <c r="D77" i="9"/>
  <c r="D42" i="9"/>
  <c r="D23" i="9"/>
  <c r="D78" i="9"/>
  <c r="D79" i="9"/>
  <c r="D18" i="9"/>
  <c r="D60" i="9"/>
  <c r="D47" i="9"/>
  <c r="D53" i="3"/>
  <c r="D21" i="3"/>
  <c r="D51" i="3"/>
  <c r="D75" i="3"/>
  <c r="D104" i="3"/>
  <c r="D25" i="3"/>
  <c r="D19" i="3"/>
  <c r="D26" i="3"/>
  <c r="D36" i="3"/>
  <c r="D18" i="3"/>
  <c r="D37" i="3"/>
  <c r="D105" i="3"/>
  <c r="D74" i="3"/>
  <c r="K74" i="3" s="1"/>
  <c r="D77" i="3"/>
  <c r="D28" i="3"/>
  <c r="D61" i="3"/>
  <c r="D41" i="3"/>
  <c r="D67" i="3"/>
  <c r="D95" i="3"/>
  <c r="D43" i="3"/>
  <c r="D94" i="3"/>
  <c r="D89" i="3"/>
  <c r="D60" i="3"/>
  <c r="D23" i="3"/>
  <c r="D76" i="3"/>
  <c r="D33" i="3"/>
  <c r="D52" i="3"/>
  <c r="D27" i="3"/>
  <c r="D42" i="3"/>
  <c r="D91" i="3"/>
  <c r="D79" i="3"/>
  <c r="D32" i="3"/>
  <c r="D48" i="3"/>
  <c r="D56" i="3"/>
  <c r="D72" i="3"/>
  <c r="D99" i="3"/>
  <c r="D106" i="7"/>
  <c r="D49" i="7"/>
  <c r="D105" i="7"/>
  <c r="D22" i="7"/>
  <c r="E22" i="7" s="1"/>
  <c r="J22" i="7" s="1"/>
  <c r="D19" i="7"/>
  <c r="D50" i="7"/>
  <c r="K50" i="7" s="1"/>
  <c r="D99" i="7"/>
  <c r="D18" i="7"/>
  <c r="D92" i="7"/>
  <c r="D73" i="7"/>
  <c r="D43" i="7"/>
  <c r="D85" i="7"/>
  <c r="D67" i="7"/>
  <c r="D51" i="7"/>
  <c r="D66" i="7"/>
  <c r="D109" i="7"/>
  <c r="D76" i="7"/>
  <c r="D65" i="7"/>
  <c r="D108" i="7"/>
  <c r="D27" i="7"/>
  <c r="D57" i="7"/>
  <c r="D75" i="7"/>
  <c r="D30" i="7"/>
  <c r="D55" i="7"/>
  <c r="D72" i="7"/>
  <c r="D96" i="7"/>
  <c r="D104" i="7"/>
  <c r="K104" i="7" s="1"/>
  <c r="D16" i="3"/>
  <c r="E16" i="3" s="1"/>
  <c r="J16" i="3" s="1"/>
  <c r="D57" i="3"/>
  <c r="D65" i="3"/>
  <c r="D81" i="3"/>
  <c r="D56" i="7"/>
  <c r="D81" i="7"/>
  <c r="D89" i="7"/>
  <c r="D97" i="7"/>
  <c r="D17" i="3"/>
  <c r="D34" i="3"/>
  <c r="D50" i="3"/>
  <c r="D58" i="3"/>
  <c r="D16" i="7"/>
  <c r="D33" i="7"/>
  <c r="D41" i="7"/>
  <c r="D90" i="7"/>
  <c r="D98" i="7"/>
  <c r="D42" i="7"/>
  <c r="D91" i="7"/>
  <c r="D100" i="7"/>
  <c r="D86" i="3"/>
  <c r="D39" i="3"/>
  <c r="D63" i="3"/>
  <c r="D71" i="3"/>
  <c r="D50" i="9"/>
  <c r="D22" i="9"/>
  <c r="D22" i="3"/>
  <c r="D55" i="3"/>
  <c r="D49" i="9"/>
  <c r="D66" i="9"/>
  <c r="D98" i="9"/>
  <c r="K98" i="9" s="1"/>
  <c r="D47" i="7"/>
  <c r="D97" i="9"/>
  <c r="D100" i="3"/>
  <c r="D23" i="7"/>
  <c r="D48" i="7"/>
  <c r="D21" i="9"/>
  <c r="D82" i="3"/>
  <c r="D51" i="9"/>
  <c r="D28" i="9"/>
  <c r="D98" i="3"/>
  <c r="D17" i="7"/>
  <c r="D25" i="7"/>
  <c r="D55" i="9"/>
  <c r="D84" i="9"/>
  <c r="D36" i="9"/>
  <c r="D52" i="9"/>
  <c r="D63" i="9"/>
  <c r="D71" i="9"/>
  <c r="D92" i="9"/>
  <c r="D100" i="9"/>
  <c r="D19" i="9"/>
  <c r="D30" i="3"/>
  <c r="D103" i="7"/>
  <c r="D16" i="9"/>
  <c r="D30" i="9"/>
  <c r="D108" i="3"/>
  <c r="D69" i="9"/>
  <c r="D106" i="9"/>
  <c r="D24" i="7"/>
  <c r="D99" i="9"/>
  <c r="D103" i="3"/>
  <c r="D26" i="7"/>
  <c r="D44" i="9"/>
  <c r="D85" i="9"/>
  <c r="D37" i="9"/>
  <c r="D64" i="9"/>
  <c r="D101" i="9"/>
  <c r="D25" i="9"/>
  <c r="D27" i="9"/>
  <c r="D109" i="3"/>
  <c r="D54" i="9"/>
  <c r="D71" i="7"/>
  <c r="D36" i="7"/>
  <c r="D44" i="7"/>
  <c r="D52" i="7"/>
  <c r="D60" i="7"/>
  <c r="D68" i="7"/>
  <c r="D46" i="9"/>
  <c r="D73" i="9"/>
  <c r="D94" i="9"/>
  <c r="D102" i="9"/>
  <c r="D47" i="3"/>
  <c r="D80" i="7"/>
  <c r="D41" i="9"/>
  <c r="D105" i="9"/>
  <c r="D32" i="7"/>
  <c r="D53" i="9"/>
  <c r="D83" i="9"/>
  <c r="D38" i="3"/>
  <c r="D46" i="3"/>
  <c r="D62" i="3"/>
  <c r="D70" i="3"/>
  <c r="D96" i="3"/>
  <c r="D37" i="7"/>
  <c r="D61" i="7"/>
  <c r="D78" i="7"/>
  <c r="D86" i="7"/>
  <c r="D94" i="7"/>
  <c r="D102" i="7"/>
  <c r="D39" i="9"/>
  <c r="D74" i="9"/>
  <c r="D95" i="9"/>
  <c r="D103" i="9"/>
  <c r="D24" i="9"/>
  <c r="D93" i="9"/>
  <c r="D86" i="9"/>
  <c r="D96" i="9"/>
  <c r="D20" i="9"/>
  <c r="D43" i="9"/>
  <c r="D48" i="9"/>
  <c r="D70" i="9"/>
  <c r="D91" i="9"/>
  <c r="D87" i="9"/>
  <c r="D65" i="9"/>
  <c r="D75" i="9"/>
  <c r="D82" i="9"/>
  <c r="D38" i="9"/>
  <c r="D17" i="9"/>
  <c r="D35" i="9"/>
  <c r="D40" i="9"/>
  <c r="D45" i="9"/>
  <c r="D62" i="9"/>
  <c r="D67" i="9"/>
  <c r="D72" i="9"/>
  <c r="D88" i="9"/>
  <c r="K16" i="7"/>
  <c r="E16" i="7"/>
  <c r="J16" i="7" s="1"/>
  <c r="K65" i="7"/>
  <c r="E65" i="7"/>
  <c r="J65" i="7" s="1"/>
  <c r="K22" i="7"/>
  <c r="K47" i="7"/>
  <c r="E47" i="7"/>
  <c r="J47" i="7" s="1"/>
  <c r="K71" i="7"/>
  <c r="E71" i="7"/>
  <c r="J71" i="7" s="1"/>
  <c r="K95" i="7"/>
  <c r="E95" i="7"/>
  <c r="J95" i="7" s="1"/>
  <c r="E104" i="7"/>
  <c r="J104" i="7" s="1"/>
  <c r="K41" i="7"/>
  <c r="E41" i="7"/>
  <c r="J41" i="7" s="1"/>
  <c r="K89" i="7"/>
  <c r="E89" i="7"/>
  <c r="J89" i="7" s="1"/>
  <c r="E25" i="7"/>
  <c r="J25" i="7" s="1"/>
  <c r="K25" i="7"/>
  <c r="E50" i="7"/>
  <c r="J50" i="7" s="1"/>
  <c r="E98" i="7"/>
  <c r="J98" i="7" s="1"/>
  <c r="K98" i="7"/>
  <c r="D20" i="7"/>
  <c r="K19" i="7" s="1"/>
  <c r="D35" i="7"/>
  <c r="D45" i="7"/>
  <c r="K44" i="7" s="1"/>
  <c r="D107" i="7"/>
  <c r="D83" i="7"/>
  <c r="D74" i="7"/>
  <c r="D79" i="7"/>
  <c r="D84" i="7"/>
  <c r="D59" i="7"/>
  <c r="D28" i="7"/>
  <c r="D34" i="7"/>
  <c r="E32" i="7" s="1"/>
  <c r="J32" i="7" s="1"/>
  <c r="D40" i="7"/>
  <c r="D64" i="7"/>
  <c r="D69" i="7"/>
  <c r="D88" i="7"/>
  <c r="D93" i="7"/>
  <c r="K92" i="7" s="1"/>
  <c r="D39" i="7"/>
  <c r="D53" i="7"/>
  <c r="D58" i="7"/>
  <c r="E56" i="7" s="1"/>
  <c r="J56" i="7" s="1"/>
  <c r="D63" i="7"/>
  <c r="D77" i="7"/>
  <c r="D82" i="7"/>
  <c r="D87" i="7"/>
  <c r="E86" i="7" s="1"/>
  <c r="J86" i="7" s="1"/>
  <c r="D101" i="7"/>
  <c r="D109" i="6"/>
  <c r="D90" i="3"/>
  <c r="E89" i="3" s="1"/>
  <c r="J89" i="3" s="1"/>
  <c r="D27" i="1"/>
  <c r="D28" i="6"/>
  <c r="D97" i="6"/>
  <c r="D49" i="6"/>
  <c r="D65" i="6"/>
  <c r="D42" i="6"/>
  <c r="D66" i="6"/>
  <c r="D23" i="6"/>
  <c r="D51" i="6"/>
  <c r="D75" i="6"/>
  <c r="D92" i="6"/>
  <c r="D100" i="6"/>
  <c r="D81" i="6"/>
  <c r="D21" i="6"/>
  <c r="D57" i="6"/>
  <c r="D73" i="6"/>
  <c r="D98" i="6"/>
  <c r="D50" i="6"/>
  <c r="D74" i="6"/>
  <c r="D99" i="6"/>
  <c r="D16" i="6"/>
  <c r="D24" i="6"/>
  <c r="D44" i="6"/>
  <c r="D52" i="6"/>
  <c r="D60" i="6"/>
  <c r="D68" i="6"/>
  <c r="D77" i="6"/>
  <c r="D85" i="6"/>
  <c r="D47" i="6"/>
  <c r="D105" i="6"/>
  <c r="D41" i="6"/>
  <c r="D17" i="6"/>
  <c r="D61" i="6"/>
  <c r="D78" i="6"/>
  <c r="D94" i="6"/>
  <c r="D102" i="6"/>
  <c r="D56" i="6"/>
  <c r="D89" i="6"/>
  <c r="D29" i="6"/>
  <c r="D90" i="6"/>
  <c r="D37" i="6"/>
  <c r="D18" i="6"/>
  <c r="D26" i="6"/>
  <c r="D46" i="6"/>
  <c r="D54" i="6"/>
  <c r="D70" i="6"/>
  <c r="D95" i="6"/>
  <c r="D103" i="6"/>
  <c r="D19" i="6"/>
  <c r="D71" i="6"/>
  <c r="D80" i="6"/>
  <c r="D104" i="6"/>
  <c r="D43" i="6"/>
  <c r="D67" i="6"/>
  <c r="D86" i="6"/>
  <c r="D91" i="6"/>
  <c r="D96" i="6"/>
  <c r="D62" i="6"/>
  <c r="D107" i="6"/>
  <c r="D20" i="6"/>
  <c r="D48" i="6"/>
  <c r="D72" i="6"/>
  <c r="D22" i="6"/>
  <c r="D27" i="6"/>
  <c r="D36" i="6"/>
  <c r="D55" i="6"/>
  <c r="D79" i="6"/>
  <c r="D84" i="6"/>
  <c r="D38" i="6"/>
  <c r="D63" i="6"/>
  <c r="D82" i="6"/>
  <c r="D25" i="6"/>
  <c r="D30" i="6"/>
  <c r="D39" i="6"/>
  <c r="D53" i="6"/>
  <c r="D58" i="6"/>
  <c r="D87" i="6"/>
  <c r="D101" i="6"/>
  <c r="D106" i="6"/>
  <c r="D108" i="6"/>
  <c r="D35" i="6"/>
  <c r="D40" i="6"/>
  <c r="D45" i="6"/>
  <c r="D59" i="6"/>
  <c r="D64" i="6"/>
  <c r="D69" i="6"/>
  <c r="D83" i="6"/>
  <c r="D88" i="6"/>
  <c r="D93" i="6"/>
  <c r="K95" i="3"/>
  <c r="E95" i="3"/>
  <c r="E56" i="3"/>
  <c r="J56" i="3" s="1"/>
  <c r="K56" i="3"/>
  <c r="K32" i="3"/>
  <c r="E32" i="3"/>
  <c r="J32" i="3" s="1"/>
  <c r="K16" i="3"/>
  <c r="K89" i="3"/>
  <c r="E25" i="3"/>
  <c r="J25" i="3" s="1"/>
  <c r="K25" i="3"/>
  <c r="E50" i="3"/>
  <c r="J50" i="3" s="1"/>
  <c r="K50" i="3"/>
  <c r="E74" i="3"/>
  <c r="J74" i="3" s="1"/>
  <c r="J98" i="3"/>
  <c r="K41" i="3"/>
  <c r="E41" i="3"/>
  <c r="J41" i="3" s="1"/>
  <c r="D107" i="3"/>
  <c r="D35" i="3"/>
  <c r="D83" i="3"/>
  <c r="D29" i="3"/>
  <c r="D44" i="3"/>
  <c r="D49" i="3"/>
  <c r="K47" i="3" s="1"/>
  <c r="D54" i="3"/>
  <c r="E53" i="3" s="1"/>
  <c r="J53" i="3" s="1"/>
  <c r="D68" i="3"/>
  <c r="D73" i="3"/>
  <c r="K71" i="3" s="1"/>
  <c r="D78" i="3"/>
  <c r="E77" i="3" s="1"/>
  <c r="J77" i="3" s="1"/>
  <c r="D92" i="3"/>
  <c r="D97" i="3"/>
  <c r="D102" i="3"/>
  <c r="D69" i="3"/>
  <c r="D24" i="3"/>
  <c r="K22" i="3" s="1"/>
  <c r="D20" i="3"/>
  <c r="K19" i="3" s="1"/>
  <c r="D64" i="3"/>
  <c r="K62" i="3" s="1"/>
  <c r="D88" i="3"/>
  <c r="K86" i="3" s="1"/>
  <c r="D84" i="3"/>
  <c r="D40" i="3"/>
  <c r="D59" i="3"/>
  <c r="D93" i="3"/>
  <c r="D87" i="3"/>
  <c r="D101" i="3"/>
  <c r="D106" i="3"/>
  <c r="K104" i="3" s="1"/>
  <c r="D45" i="3"/>
  <c r="D66" i="3"/>
  <c r="K65" i="3" s="1"/>
  <c r="D80" i="3"/>
  <c r="D85" i="3"/>
  <c r="D83" i="1"/>
  <c r="D37" i="1"/>
  <c r="D45" i="1"/>
  <c r="D53" i="1"/>
  <c r="D61" i="1"/>
  <c r="D69" i="1"/>
  <c r="D40" i="1"/>
  <c r="D80" i="1"/>
  <c r="D95" i="1"/>
  <c r="D103" i="1"/>
  <c r="D64" i="1"/>
  <c r="D66" i="1"/>
  <c r="D88" i="1"/>
  <c r="D96" i="1"/>
  <c r="D104" i="1"/>
  <c r="D56" i="1"/>
  <c r="D35" i="1"/>
  <c r="D51" i="1"/>
  <c r="D59" i="1"/>
  <c r="D89" i="1"/>
  <c r="D97" i="1"/>
  <c r="D58" i="1"/>
  <c r="D44" i="1"/>
  <c r="D52" i="1"/>
  <c r="D90" i="1"/>
  <c r="D107" i="1"/>
  <c r="D21" i="1"/>
  <c r="D29" i="1"/>
  <c r="D38" i="1"/>
  <c r="D77" i="1"/>
  <c r="D84" i="1"/>
  <c r="D16" i="1"/>
  <c r="D22" i="1"/>
  <c r="D30" i="1"/>
  <c r="D70" i="1"/>
  <c r="D78" i="1"/>
  <c r="D85" i="1"/>
  <c r="D93" i="1"/>
  <c r="D65" i="1"/>
  <c r="D105" i="1"/>
  <c r="D72" i="1"/>
  <c r="D106" i="1"/>
  <c r="D47" i="1"/>
  <c r="D86" i="1"/>
  <c r="D92" i="1"/>
  <c r="D99" i="1"/>
  <c r="D39" i="1"/>
  <c r="D79" i="1"/>
  <c r="D46" i="1"/>
  <c r="D74" i="1"/>
  <c r="D33" i="1"/>
  <c r="D60" i="1"/>
  <c r="D91" i="1"/>
  <c r="D34" i="1"/>
  <c r="D73" i="1"/>
  <c r="D48" i="1"/>
  <c r="D67" i="1"/>
  <c r="D87" i="1"/>
  <c r="D100" i="1"/>
  <c r="D42" i="1"/>
  <c r="D49" i="1"/>
  <c r="D62" i="1"/>
  <c r="D68" i="1"/>
  <c r="D75" i="1"/>
  <c r="D82" i="1"/>
  <c r="D101" i="1"/>
  <c r="D108" i="1"/>
  <c r="D32" i="1"/>
  <c r="D71" i="1"/>
  <c r="D54" i="1"/>
  <c r="D98" i="1"/>
  <c r="D55" i="1"/>
  <c r="D41" i="1"/>
  <c r="D81" i="1"/>
  <c r="D20" i="1"/>
  <c r="D28" i="1"/>
  <c r="D36" i="1"/>
  <c r="D43" i="1"/>
  <c r="D50" i="1"/>
  <c r="D57" i="1"/>
  <c r="D63" i="1"/>
  <c r="D76" i="1"/>
  <c r="D94" i="1"/>
  <c r="D102" i="1"/>
  <c r="D109" i="1"/>
  <c r="D23" i="1"/>
  <c r="D17" i="1"/>
  <c r="D26" i="1"/>
  <c r="D25" i="1"/>
  <c r="D18" i="1"/>
  <c r="D24" i="1"/>
  <c r="D19" i="1"/>
  <c r="K53" i="9" l="1"/>
  <c r="E53" i="9"/>
  <c r="K22" i="9"/>
  <c r="E83" i="9"/>
  <c r="J83" i="9" s="1"/>
  <c r="K31" i="9"/>
  <c r="E31" i="9"/>
  <c r="J31" i="9" s="1"/>
  <c r="E22" i="9"/>
  <c r="J22" i="9" s="1"/>
  <c r="E80" i="9"/>
  <c r="J80" i="9" s="1"/>
  <c r="E92" i="9"/>
  <c r="J92" i="9" s="1"/>
  <c r="E77" i="9"/>
  <c r="J77" i="9" s="1"/>
  <c r="K59" i="9"/>
  <c r="K101" i="9"/>
  <c r="E89" i="9"/>
  <c r="J89" i="9" s="1"/>
  <c r="K77" i="9"/>
  <c r="J53" i="9"/>
  <c r="E44" i="9"/>
  <c r="J44" i="9" s="1"/>
  <c r="K28" i="9"/>
  <c r="E104" i="9"/>
  <c r="J104" i="9" s="1"/>
  <c r="E71" i="9"/>
  <c r="J71" i="9" s="1"/>
  <c r="K50" i="9"/>
  <c r="K80" i="9"/>
  <c r="E68" i="9"/>
  <c r="J68" i="9" s="1"/>
  <c r="E98" i="9"/>
  <c r="J98" i="9" s="1"/>
  <c r="K104" i="9"/>
  <c r="E101" i="9"/>
  <c r="J101" i="9" s="1"/>
  <c r="K92" i="9"/>
  <c r="E50" i="9"/>
  <c r="J50" i="9" s="1"/>
  <c r="K83" i="9"/>
  <c r="E25" i="9"/>
  <c r="J25" i="9" s="1"/>
  <c r="K19" i="9"/>
  <c r="E28" i="9"/>
  <c r="J28" i="9" s="1"/>
  <c r="K16" i="9"/>
  <c r="E47" i="9"/>
  <c r="J47" i="9" s="1"/>
  <c r="K16" i="6"/>
  <c r="K41" i="9"/>
  <c r="K25" i="9"/>
  <c r="K38" i="1"/>
  <c r="K38" i="3"/>
  <c r="E28" i="3"/>
  <c r="J28" i="3" s="1"/>
  <c r="E74" i="6"/>
  <c r="J74" i="6" s="1"/>
  <c r="E80" i="7"/>
  <c r="J80" i="7" s="1"/>
  <c r="K68" i="7"/>
  <c r="K74" i="9"/>
  <c r="K95" i="9"/>
  <c r="E19" i="9"/>
  <c r="J19" i="9" s="1"/>
  <c r="K89" i="9"/>
  <c r="K68" i="9"/>
  <c r="K71" i="9"/>
  <c r="E74" i="9"/>
  <c r="J74" i="9" s="1"/>
  <c r="E38" i="9"/>
  <c r="J38" i="9" s="1"/>
  <c r="K38" i="9"/>
  <c r="K47" i="9"/>
  <c r="K44" i="9"/>
  <c r="E62" i="9"/>
  <c r="J62" i="9" s="1"/>
  <c r="K62" i="9"/>
  <c r="E16" i="9"/>
  <c r="J16" i="9" s="1"/>
  <c r="K65" i="9"/>
  <c r="E65" i="9"/>
  <c r="J65" i="9" s="1"/>
  <c r="K86" i="9"/>
  <c r="E86" i="9"/>
  <c r="J86" i="9" s="1"/>
  <c r="E95" i="9"/>
  <c r="J95" i="9" s="1"/>
  <c r="E41" i="9"/>
  <c r="J41" i="9" s="1"/>
  <c r="K35" i="9"/>
  <c r="E35" i="9"/>
  <c r="J35" i="9" s="1"/>
  <c r="E62" i="7"/>
  <c r="J62" i="7" s="1"/>
  <c r="E68" i="7"/>
  <c r="J68" i="7" s="1"/>
  <c r="K86" i="7"/>
  <c r="K80" i="7"/>
  <c r="K62" i="7"/>
  <c r="E38" i="7"/>
  <c r="J38" i="7" s="1"/>
  <c r="K107" i="7"/>
  <c r="E107" i="7"/>
  <c r="J107" i="7" s="1"/>
  <c r="E53" i="7"/>
  <c r="J53" i="7" s="1"/>
  <c r="K53" i="7"/>
  <c r="E28" i="7"/>
  <c r="J28" i="7" s="1"/>
  <c r="K28" i="7"/>
  <c r="K35" i="7"/>
  <c r="E35" i="7"/>
  <c r="J35" i="7" s="1"/>
  <c r="E44" i="7"/>
  <c r="J44" i="7" s="1"/>
  <c r="E59" i="7"/>
  <c r="J59" i="7" s="1"/>
  <c r="K59" i="7"/>
  <c r="E101" i="7"/>
  <c r="J101" i="7" s="1"/>
  <c r="K101" i="7"/>
  <c r="K38" i="7"/>
  <c r="E19" i="7"/>
  <c r="J19" i="7" s="1"/>
  <c r="K56" i="7"/>
  <c r="E74" i="7"/>
  <c r="J74" i="7" s="1"/>
  <c r="K74" i="7"/>
  <c r="E92" i="7"/>
  <c r="J92" i="7" s="1"/>
  <c r="K32" i="7"/>
  <c r="E77" i="7"/>
  <c r="J77" i="7" s="1"/>
  <c r="K77" i="7"/>
  <c r="E83" i="7"/>
  <c r="J83" i="7" s="1"/>
  <c r="K83" i="7"/>
  <c r="K98" i="6"/>
  <c r="K47" i="6"/>
  <c r="K95" i="6"/>
  <c r="K92" i="6"/>
  <c r="K74" i="6"/>
  <c r="K77" i="6"/>
  <c r="E77" i="6"/>
  <c r="J77" i="6" s="1"/>
  <c r="E56" i="6"/>
  <c r="J56" i="6" s="1"/>
  <c r="K50" i="6"/>
  <c r="E19" i="6"/>
  <c r="J19" i="6" s="1"/>
  <c r="K89" i="1"/>
  <c r="E83" i="1"/>
  <c r="J83" i="1" s="1"/>
  <c r="E59" i="1"/>
  <c r="J59" i="1" s="1"/>
  <c r="K68" i="6"/>
  <c r="K71" i="6"/>
  <c r="K65" i="6"/>
  <c r="E80" i="6"/>
  <c r="J80" i="6" s="1"/>
  <c r="K89" i="6"/>
  <c r="E104" i="6"/>
  <c r="J104" i="6" s="1"/>
  <c r="E95" i="6"/>
  <c r="J95" i="6" s="1"/>
  <c r="E98" i="6"/>
  <c r="J98" i="6" s="1"/>
  <c r="K44" i="6"/>
  <c r="E47" i="6"/>
  <c r="J47" i="6" s="1"/>
  <c r="E50" i="6"/>
  <c r="J50" i="6" s="1"/>
  <c r="K56" i="6"/>
  <c r="E28" i="6"/>
  <c r="J28" i="6" s="1"/>
  <c r="E16" i="6"/>
  <c r="J16" i="6" s="1"/>
  <c r="K41" i="6"/>
  <c r="K19" i="6"/>
  <c r="E92" i="6"/>
  <c r="J92" i="6" s="1"/>
  <c r="E44" i="6"/>
  <c r="J44" i="6" s="1"/>
  <c r="K28" i="6"/>
  <c r="E101" i="6"/>
  <c r="J101" i="6" s="1"/>
  <c r="K101" i="6"/>
  <c r="E89" i="6"/>
  <c r="J89" i="6" s="1"/>
  <c r="K59" i="6"/>
  <c r="E59" i="6"/>
  <c r="J59" i="6" s="1"/>
  <c r="K38" i="6"/>
  <c r="E38" i="6"/>
  <c r="J38" i="6" s="1"/>
  <c r="K22" i="6"/>
  <c r="E22" i="6"/>
  <c r="J22" i="6" s="1"/>
  <c r="K86" i="6"/>
  <c r="E86" i="6"/>
  <c r="J86" i="6" s="1"/>
  <c r="E53" i="6"/>
  <c r="J53" i="6" s="1"/>
  <c r="K53" i="6"/>
  <c r="K104" i="6"/>
  <c r="E65" i="6"/>
  <c r="J65" i="6" s="1"/>
  <c r="K107" i="6"/>
  <c r="E107" i="6"/>
  <c r="J107" i="6" s="1"/>
  <c r="E83" i="6"/>
  <c r="J83" i="6" s="1"/>
  <c r="K83" i="6"/>
  <c r="E35" i="6"/>
  <c r="J35" i="6" s="1"/>
  <c r="K35" i="6"/>
  <c r="J62" i="6"/>
  <c r="K80" i="6"/>
  <c r="E71" i="6"/>
  <c r="J71" i="6" s="1"/>
  <c r="E68" i="6"/>
  <c r="J68" i="6" s="1"/>
  <c r="E41" i="6"/>
  <c r="J41" i="6" s="1"/>
  <c r="E25" i="6"/>
  <c r="J25" i="6" s="1"/>
  <c r="K25" i="6"/>
  <c r="J95" i="3"/>
  <c r="E68" i="1"/>
  <c r="J68" i="1" s="1"/>
  <c r="K98" i="1"/>
  <c r="E77" i="1"/>
  <c r="J77" i="1" s="1"/>
  <c r="K83" i="1"/>
  <c r="E71" i="1"/>
  <c r="J71" i="1" s="1"/>
  <c r="K65" i="1"/>
  <c r="K59" i="1"/>
  <c r="E50" i="1"/>
  <c r="J50" i="1" s="1"/>
  <c r="K32" i="1"/>
  <c r="E47" i="3"/>
  <c r="J47" i="3" s="1"/>
  <c r="E104" i="3"/>
  <c r="J104" i="3" s="1"/>
  <c r="E71" i="3"/>
  <c r="J71" i="3" s="1"/>
  <c r="E83" i="3"/>
  <c r="J83" i="3" s="1"/>
  <c r="K83" i="3"/>
  <c r="E86" i="3"/>
  <c r="J86" i="3" s="1"/>
  <c r="K107" i="3"/>
  <c r="E107" i="3"/>
  <c r="J107" i="3" s="1"/>
  <c r="K68" i="3"/>
  <c r="E68" i="3"/>
  <c r="J68" i="3" s="1"/>
  <c r="E19" i="3"/>
  <c r="J19" i="3" s="1"/>
  <c r="E65" i="3"/>
  <c r="J65" i="3" s="1"/>
  <c r="E62" i="3"/>
  <c r="J62" i="3" s="1"/>
  <c r="K53" i="3"/>
  <c r="E22" i="3"/>
  <c r="J22" i="3" s="1"/>
  <c r="E38" i="3"/>
  <c r="J38" i="3" s="1"/>
  <c r="E80" i="3"/>
  <c r="J80" i="3" s="1"/>
  <c r="K80" i="3"/>
  <c r="K28" i="3"/>
  <c r="K92" i="3"/>
  <c r="E92" i="3"/>
  <c r="J92" i="3" s="1"/>
  <c r="E35" i="3"/>
  <c r="J35" i="3" s="1"/>
  <c r="K35" i="3"/>
  <c r="E101" i="3"/>
  <c r="J101" i="3" s="1"/>
  <c r="K101" i="3"/>
  <c r="K77" i="3"/>
  <c r="K59" i="3"/>
  <c r="E59" i="3"/>
  <c r="J59" i="3" s="1"/>
  <c r="K44" i="3"/>
  <c r="E44" i="3"/>
  <c r="J44" i="3" s="1"/>
  <c r="E62" i="1"/>
  <c r="J62" i="1" s="1"/>
  <c r="K35" i="1"/>
  <c r="K95" i="1"/>
  <c r="K77" i="1"/>
  <c r="K56" i="1"/>
  <c r="E53" i="1"/>
  <c r="J53" i="1" s="1"/>
  <c r="E56" i="1"/>
  <c r="J56" i="1" s="1"/>
  <c r="E41" i="1"/>
  <c r="J41" i="1" s="1"/>
  <c r="K50" i="1"/>
  <c r="E89" i="1"/>
  <c r="J89" i="1" s="1"/>
  <c r="K41" i="1"/>
  <c r="K68" i="1"/>
  <c r="E35" i="1"/>
  <c r="J35" i="1" s="1"/>
  <c r="K62" i="1"/>
  <c r="E38" i="1"/>
  <c r="J38" i="1" s="1"/>
  <c r="E95" i="1"/>
  <c r="J95" i="1" s="1"/>
  <c r="K92" i="1"/>
  <c r="K107" i="1"/>
  <c r="E98" i="1"/>
  <c r="J98" i="1" s="1"/>
  <c r="E32" i="1"/>
  <c r="J32" i="1" s="1"/>
  <c r="K47" i="1"/>
  <c r="E107" i="1"/>
  <c r="J107" i="1" s="1"/>
  <c r="E80" i="1"/>
  <c r="J80" i="1" s="1"/>
  <c r="E101" i="1"/>
  <c r="J101" i="1" s="1"/>
  <c r="K86" i="1"/>
  <c r="E74" i="1"/>
  <c r="J74" i="1" s="1"/>
  <c r="K104" i="1"/>
  <c r="E25" i="1"/>
  <c r="J25" i="1" s="1"/>
  <c r="E65" i="1"/>
  <c r="J65" i="1" s="1"/>
  <c r="K44" i="1"/>
  <c r="K71" i="1"/>
  <c r="E92" i="1"/>
  <c r="J92" i="1" s="1"/>
  <c r="E104" i="1"/>
  <c r="J104" i="1" s="1"/>
  <c r="K80" i="1"/>
  <c r="E86" i="1"/>
  <c r="J86" i="1" s="1"/>
  <c r="E44" i="1"/>
  <c r="J44" i="1" s="1"/>
  <c r="K101" i="1"/>
  <c r="K74" i="1"/>
  <c r="E47" i="1"/>
  <c r="J47" i="1" s="1"/>
  <c r="K53" i="1"/>
  <c r="E22" i="1"/>
  <c r="J22" i="1" s="1"/>
  <c r="K22" i="1"/>
  <c r="K25" i="1"/>
  <c r="K19" i="1"/>
  <c r="E19" i="1"/>
  <c r="J19" i="1" s="1"/>
  <c r="E28" i="1"/>
  <c r="J28" i="1" s="1"/>
  <c r="K28" i="1"/>
  <c r="K16" i="1"/>
  <c r="E16" i="1"/>
  <c r="J16" i="1" s="1"/>
</calcChain>
</file>

<file path=xl/sharedStrings.xml><?xml version="1.0" encoding="utf-8"?>
<sst xmlns="http://schemas.openxmlformats.org/spreadsheetml/2006/main" count="549" uniqueCount="166">
  <si>
    <t>Sample Name</t>
  </si>
  <si>
    <t>Cт</t>
  </si>
  <si>
    <t>Mean (copy numbers)</t>
  </si>
  <si>
    <t>Dilution factor</t>
  </si>
  <si>
    <t>Sample volume in qPCR (µL)</t>
  </si>
  <si>
    <t>Elution buffer from DNA Extraction (µL)</t>
  </si>
  <si>
    <t>Mass of 1 base pair (g)</t>
  </si>
  <si>
    <t>Copy number (from the equation 2)</t>
  </si>
  <si>
    <t>Equation 1</t>
  </si>
  <si>
    <r>
      <t>Copy # of interest = 10^((C</t>
    </r>
    <r>
      <rPr>
        <vertAlign val="subscript"/>
        <sz val="11"/>
        <color theme="1"/>
        <rFont val="SF Pro Display Regular"/>
      </rPr>
      <t>T</t>
    </r>
    <r>
      <rPr>
        <sz val="11"/>
        <color theme="1"/>
        <rFont val="SF Pro Display Regular"/>
      </rPr>
      <t xml:space="preserve"> - Intercept)/Slope)</t>
    </r>
  </si>
  <si>
    <t>Equation 2</t>
  </si>
  <si>
    <t xml:space="preserve">Copy # of interest × mass of genome = mass of gDNA used </t>
  </si>
  <si>
    <t>Copy number (w. r .t. Copy number of E coli)</t>
  </si>
  <si>
    <t>Equation 3</t>
  </si>
  <si>
    <t>Copies in mg of soil = (Copy number w.r.t. Copy # of E coli x Dilution Factor x Elution buffer volume from DNA Extraction)/(Soil Sample weight in DNA extraction x Sample volumne in qPCR)</t>
  </si>
  <si>
    <t>Std Dev</t>
  </si>
  <si>
    <t>E coli_S4</t>
  </si>
  <si>
    <t>E coli_S5</t>
  </si>
  <si>
    <t>E coli_S6</t>
  </si>
  <si>
    <t>E coli_S7</t>
  </si>
  <si>
    <t>E coli_S8</t>
  </si>
  <si>
    <t>Standard</t>
  </si>
  <si>
    <t>Unknown samples</t>
  </si>
  <si>
    <t>Instrument : AB 7500 Fast PCR Cycler</t>
  </si>
  <si>
    <t>21_RC_30</t>
  </si>
  <si>
    <t>16_RC_30</t>
  </si>
  <si>
    <t>28_RC_30</t>
  </si>
  <si>
    <t>32_RC_30</t>
  </si>
  <si>
    <t>Undetermined</t>
  </si>
  <si>
    <t>35_RC_30</t>
  </si>
  <si>
    <t>19_RC_30</t>
  </si>
  <si>
    <t>25_RC_30</t>
  </si>
  <si>
    <r>
      <t xml:space="preserve">Length of </t>
    </r>
    <r>
      <rPr>
        <i/>
        <sz val="11"/>
        <color theme="1"/>
        <rFont val="SF Pro Display Regular"/>
      </rPr>
      <t>E. coli</t>
    </r>
    <r>
      <rPr>
        <sz val="11"/>
        <color theme="1"/>
        <rFont val="SF Pro Display Regular"/>
      </rPr>
      <t xml:space="preserve"> 27F-1492R (bp)</t>
    </r>
  </si>
  <si>
    <r>
      <t xml:space="preserve">Mass of </t>
    </r>
    <r>
      <rPr>
        <i/>
        <sz val="11"/>
        <color theme="1"/>
        <rFont val="SF Pro Display Regular"/>
      </rPr>
      <t>E coli</t>
    </r>
    <r>
      <rPr>
        <sz val="11"/>
        <color theme="1"/>
        <rFont val="SF Pro Display Regular"/>
      </rPr>
      <t xml:space="preserve"> genome (g)</t>
    </r>
  </si>
  <si>
    <r>
      <t xml:space="preserve">Concentration of </t>
    </r>
    <r>
      <rPr>
        <i/>
        <sz val="11"/>
        <color theme="1"/>
        <rFont val="SF Pro Display Regular"/>
      </rPr>
      <t>E coli</t>
    </r>
    <r>
      <rPr>
        <sz val="11"/>
        <color theme="1"/>
        <rFont val="SF Pro Display Regular"/>
      </rPr>
      <t xml:space="preserve"> (g)</t>
    </r>
  </si>
  <si>
    <r>
      <t xml:space="preserve">Copy Number of </t>
    </r>
    <r>
      <rPr>
        <i/>
        <sz val="11"/>
        <color theme="1"/>
        <rFont val="SF Pro Display Regular"/>
      </rPr>
      <t>E. coli</t>
    </r>
    <r>
      <rPr>
        <sz val="11"/>
        <color theme="1"/>
        <rFont val="SF Pro Display Regular"/>
      </rPr>
      <t xml:space="preserve"> plasmid (using equation 1)</t>
    </r>
  </si>
  <si>
    <t>Soil Sample weight used for DNA Extraction (mg) / PCR product volume for plasmid (µL)</t>
  </si>
  <si>
    <t>Copies or Copies / mg of soil (using Equation 3)</t>
  </si>
  <si>
    <t>32_BS_30</t>
  </si>
  <si>
    <t>28_BS_30</t>
  </si>
  <si>
    <t>35_BS_30</t>
  </si>
  <si>
    <t>24_BS_30</t>
  </si>
  <si>
    <t>16_BS_30</t>
  </si>
  <si>
    <t>24_RC_30</t>
  </si>
  <si>
    <t>21_BS_30</t>
  </si>
  <si>
    <t>36_RC_30</t>
  </si>
  <si>
    <t>19_BS_30</t>
  </si>
  <si>
    <t>25_BS_30</t>
  </si>
  <si>
    <t>36_BS_30</t>
  </si>
  <si>
    <t>Date : 26-04-2023</t>
  </si>
  <si>
    <t>39_BS_30</t>
  </si>
  <si>
    <t>29_RC_30</t>
  </si>
  <si>
    <t>39_RC_30</t>
  </si>
  <si>
    <t>14_BS_30</t>
  </si>
  <si>
    <t>29_BS_30</t>
  </si>
  <si>
    <t>14_RC_30</t>
  </si>
  <si>
    <t>Experiment : 20230426_qPCR_IV</t>
  </si>
  <si>
    <t>25_MRC_30</t>
  </si>
  <si>
    <t>25_MBS_30</t>
  </si>
  <si>
    <t>17_MRC_30</t>
  </si>
  <si>
    <t>17_MBS_30</t>
  </si>
  <si>
    <t>28_MRC_30</t>
  </si>
  <si>
    <t>28_MBS_30</t>
  </si>
  <si>
    <t>17_RC_30</t>
  </si>
  <si>
    <t>15_MRC_30</t>
  </si>
  <si>
    <t>15_MBS_30</t>
  </si>
  <si>
    <t>21_MRC_30</t>
  </si>
  <si>
    <t>21_MBS_30</t>
  </si>
  <si>
    <t>15_RC_30</t>
  </si>
  <si>
    <t>10_MRC_30</t>
  </si>
  <si>
    <t>10_MBS_30</t>
  </si>
  <si>
    <t>32_MRC_30</t>
  </si>
  <si>
    <t>32_MBS_30</t>
  </si>
  <si>
    <t>37_MBS_30</t>
  </si>
  <si>
    <t>37_RC_30</t>
  </si>
  <si>
    <t>39_MRC_30</t>
  </si>
  <si>
    <t>39_MBS_30</t>
  </si>
  <si>
    <t>10_RC_30</t>
  </si>
  <si>
    <t>Experiment : 20230427_qPCR_V</t>
  </si>
  <si>
    <t>Date : 27-04-2023</t>
  </si>
  <si>
    <t>3_RC_30</t>
  </si>
  <si>
    <t>36_MRC_30</t>
  </si>
  <si>
    <t>17_BS_30</t>
  </si>
  <si>
    <t>22_BS_30</t>
  </si>
  <si>
    <t>24_MRC_30</t>
  </si>
  <si>
    <t>20_MBS_30</t>
  </si>
  <si>
    <t>19_MRC_30</t>
  </si>
  <si>
    <t>15_BS_30</t>
  </si>
  <si>
    <t>22_MRC_30</t>
  </si>
  <si>
    <t>16_MRC_30</t>
  </si>
  <si>
    <t>20_MRC_30</t>
  </si>
  <si>
    <t>13_MRC_30</t>
  </si>
  <si>
    <t>10_BS_30</t>
  </si>
  <si>
    <t>3_MRC_30</t>
  </si>
  <si>
    <t>29_MRC_30</t>
  </si>
  <si>
    <t>37_BS_30</t>
  </si>
  <si>
    <t>12_MRC_30</t>
  </si>
  <si>
    <t>14_MRC_30</t>
  </si>
  <si>
    <t>12_BS_30</t>
  </si>
  <si>
    <t>35_MRC_30</t>
  </si>
  <si>
    <t>4_MRC_30</t>
  </si>
  <si>
    <t>Experiment : 20230427_qPCR_VI</t>
  </si>
  <si>
    <t>24_MBS_30</t>
  </si>
  <si>
    <t>19_MBS_30</t>
  </si>
  <si>
    <t>16_MBS_30</t>
  </si>
  <si>
    <t>13_MBS_30</t>
  </si>
  <si>
    <t>29_MBS_30</t>
  </si>
  <si>
    <t>13_RC_30</t>
  </si>
  <si>
    <t>13_BS_30</t>
  </si>
  <si>
    <t>35_MBS_30</t>
  </si>
  <si>
    <t>4_MBS_30</t>
  </si>
  <si>
    <t>36_MBS_30</t>
  </si>
  <si>
    <t>4_RC_30</t>
  </si>
  <si>
    <t>40_MBS_30</t>
  </si>
  <si>
    <t>31_MBS_30</t>
  </si>
  <si>
    <t>3_BS_30</t>
  </si>
  <si>
    <t>40_RC_30</t>
  </si>
  <si>
    <t>31_RC_30</t>
  </si>
  <si>
    <t>20_RC_30</t>
  </si>
  <si>
    <t>40_BS_30</t>
  </si>
  <si>
    <t>31_BS_30</t>
  </si>
  <si>
    <t>22_RC_30</t>
  </si>
  <si>
    <t>1_MRC_30</t>
  </si>
  <si>
    <t>6_MRC_30</t>
  </si>
  <si>
    <t>12_RC_30</t>
  </si>
  <si>
    <t>1_MBS_30</t>
  </si>
  <si>
    <t>6_MBS_30</t>
  </si>
  <si>
    <t>12_MBS_30</t>
  </si>
  <si>
    <t>1_RC_30</t>
  </si>
  <si>
    <t>6_RC_30</t>
  </si>
  <si>
    <t>20_BS_30</t>
  </si>
  <si>
    <t>4_BS_30</t>
  </si>
  <si>
    <t>1_BS_30</t>
  </si>
  <si>
    <t>6_BS_30</t>
  </si>
  <si>
    <t>3_MBS_30</t>
  </si>
  <si>
    <t>40_MRC_30</t>
  </si>
  <si>
    <t>31_MRC_30</t>
  </si>
  <si>
    <t>22_MBS_30</t>
  </si>
  <si>
    <t>Experiment : 20230502_qPCR_VII</t>
  </si>
  <si>
    <t>Experiment : 20230502_qPCR_VIII</t>
  </si>
  <si>
    <t>18_MBS_30_II</t>
  </si>
  <si>
    <t>37_BS_30_II</t>
  </si>
  <si>
    <t>8_BS_30</t>
  </si>
  <si>
    <t>18_BS_30_II</t>
  </si>
  <si>
    <t>16_MBS_30_II</t>
  </si>
  <si>
    <t>8_MBS_30</t>
  </si>
  <si>
    <t>28_MRC_30_II</t>
  </si>
  <si>
    <t>13_MBS_30_II</t>
  </si>
  <si>
    <t>32_RC_30_II</t>
  </si>
  <si>
    <t>35_RC_30_II</t>
  </si>
  <si>
    <t>1_MBS_30_II</t>
  </si>
  <si>
    <t>39_RC_30_II</t>
  </si>
  <si>
    <t>13_RC_30_II</t>
  </si>
  <si>
    <t>28_RC_30_II</t>
  </si>
  <si>
    <t>19_BS_30_II</t>
  </si>
  <si>
    <t>T1_28_BS_90_II</t>
  </si>
  <si>
    <t>32_BS_30_II</t>
  </si>
  <si>
    <t>8_MRC_30</t>
  </si>
  <si>
    <t>T1_14_BS_60_II</t>
  </si>
  <si>
    <t>39_BS_30_II</t>
  </si>
  <si>
    <t>8_RC_30</t>
  </si>
  <si>
    <t>E coli_S9</t>
  </si>
  <si>
    <t>Date : 06-11-2023</t>
  </si>
  <si>
    <t>31_BS_30_II</t>
  </si>
  <si>
    <t>22_MBS_30_II</t>
  </si>
  <si>
    <t>14_MBS_30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</si>
</sst>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E+00"/>
  </numFmts>
  <fonts count="6">
    <font>
      <sz val="11"/>
      <color theme="1"/>
      <name val="SF Pro"/>
      <family val="2"/>
    </font>
    <font>
      <sz val="10"/>
      <color theme="1"/>
      <name val="SF Pro Display Regular"/>
    </font>
    <font>
      <sz val="11"/>
      <color theme="1"/>
      <name val="SF Pro Display Regular"/>
    </font>
    <font>
      <b/>
      <u val="double"/>
      <sz val="10"/>
      <color theme="1"/>
      <name val="SF Pro Display Regular"/>
    </font>
    <font>
      <vertAlign val="subscript"/>
      <sz val="11"/>
      <color theme="1"/>
      <name val="SF Pro Display Regular"/>
    </font>
    <font>
      <i/>
      <sz val="11"/>
      <color theme="1"/>
      <name val="SF Pro Display Regula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11" fontId="2" fillId="0" borderId="0" xfId="0" applyNumberFormat="1" applyFont="1"/>
    <xf numFmtId="2" fontId="2" fillId="0" borderId="0" xfId="0" applyNumberFormat="1" applyFont="1"/>
    <xf numFmtId="164" fontId="2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165" fontId="1" fillId="0" borderId="0" xfId="0" applyNumberFormat="1" applyFont="1"/>
    <xf numFmtId="165" fontId="3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2" fontId="0" fillId="0" borderId="0" xfId="0" applyNumberForma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AD2A0-A2FB-1045-A5CD-BA08919D3598}">
  <dimension ref="A1:Q109"/>
  <sheetViews>
    <sheetView topLeftCell="A76" zoomScale="120" zoomScaleNormal="120" workbookViewId="0">
      <selection activeCell="B107" sqref="B107"/>
    </sheetView>
  </sheetViews>
  <sheetFormatPr baseColWidth="10" defaultRowHeight="15"/>
  <cols>
    <col min="1" max="1" width="33.85546875" style="2" customWidth="1"/>
    <col min="2" max="2" width="10.7109375" style="2"/>
    <col min="3" max="3" width="13.42578125" style="2" customWidth="1"/>
    <col min="4" max="4" width="17.7109375" style="2" customWidth="1"/>
    <col min="5" max="5" width="13" style="2" customWidth="1"/>
    <col min="6" max="6" width="7.42578125" style="2" customWidth="1"/>
    <col min="7" max="7" width="15.5703125" style="2" customWidth="1"/>
    <col min="8" max="8" width="33" style="2" customWidth="1"/>
    <col min="9" max="9" width="11.42578125" style="2" customWidth="1"/>
    <col min="10" max="10" width="17.42578125" style="2" customWidth="1"/>
    <col min="11" max="11" width="11.140625" style="2" customWidth="1"/>
    <col min="12" max="12" width="13.28515625" style="2" customWidth="1"/>
    <col min="13" max="16384" width="10.7109375" style="2"/>
  </cols>
  <sheetData>
    <row r="1" spans="1:16">
      <c r="A1" s="2" t="s">
        <v>56</v>
      </c>
    </row>
    <row r="2" spans="1:16">
      <c r="A2" s="2" t="s">
        <v>49</v>
      </c>
    </row>
    <row r="3" spans="1:16">
      <c r="A3" s="2" t="s">
        <v>23</v>
      </c>
    </row>
    <row r="5" spans="1:16">
      <c r="A5" s="2" t="s">
        <v>32</v>
      </c>
      <c r="B5" s="3">
        <v>1500</v>
      </c>
      <c r="D5" s="2" t="s">
        <v>10</v>
      </c>
    </row>
    <row r="6" spans="1:16" ht="17">
      <c r="A6" s="2" t="s">
        <v>6</v>
      </c>
      <c r="B6" s="3">
        <v>1.096E-21</v>
      </c>
      <c r="D6" s="2" t="s">
        <v>9</v>
      </c>
      <c r="E6" s="3"/>
      <c r="F6" s="3"/>
      <c r="H6" s="1"/>
      <c r="I6" s="6"/>
      <c r="J6" s="1"/>
      <c r="K6" s="6"/>
      <c r="L6" s="1"/>
      <c r="M6" s="6"/>
      <c r="N6" s="1"/>
      <c r="O6" s="6"/>
      <c r="P6" s="1"/>
    </row>
    <row r="7" spans="1:16">
      <c r="A7" s="2" t="s">
        <v>33</v>
      </c>
      <c r="B7" s="3">
        <f>B5*B6</f>
        <v>1.6439999999999999E-18</v>
      </c>
      <c r="C7" s="3"/>
      <c r="E7" s="4"/>
      <c r="F7" s="5"/>
      <c r="H7" s="1"/>
      <c r="I7" s="6"/>
      <c r="J7" s="1"/>
      <c r="K7" s="6"/>
      <c r="L7" s="1"/>
      <c r="M7" s="6"/>
      <c r="N7" s="1"/>
      <c r="O7" s="6"/>
      <c r="P7" s="1"/>
    </row>
    <row r="8" spans="1:16">
      <c r="A8" s="2" t="s">
        <v>34</v>
      </c>
      <c r="B8" s="3">
        <v>7.6207999999999981E-10</v>
      </c>
      <c r="D8" s="2" t="s">
        <v>13</v>
      </c>
      <c r="E8" s="4"/>
      <c r="F8" s="5"/>
      <c r="H8" s="1"/>
      <c r="I8" s="1"/>
      <c r="J8" s="1"/>
      <c r="K8" s="1"/>
      <c r="L8" s="1"/>
      <c r="M8" s="1"/>
      <c r="N8" s="1"/>
      <c r="O8" s="1"/>
      <c r="P8" s="1"/>
    </row>
    <row r="9" spans="1:16">
      <c r="A9" s="2" t="s">
        <v>35</v>
      </c>
      <c r="B9" s="3">
        <f>B8/B7</f>
        <v>463552311.43552303</v>
      </c>
      <c r="D9" s="2" t="s">
        <v>14</v>
      </c>
      <c r="H9" s="1"/>
      <c r="I9" s="1"/>
      <c r="J9" s="1"/>
      <c r="K9" s="1"/>
      <c r="L9" s="1"/>
      <c r="M9" s="1"/>
      <c r="N9" s="1"/>
      <c r="O9" s="1"/>
      <c r="P9" s="1"/>
    </row>
    <row r="10" spans="1:16">
      <c r="A10" s="2" t="s">
        <v>8</v>
      </c>
      <c r="B10" s="3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2" t="s">
        <v>11</v>
      </c>
      <c r="B11" s="3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B12" s="3"/>
      <c r="H12" s="1"/>
      <c r="I12" s="1"/>
      <c r="J12" s="1"/>
      <c r="K12" s="1"/>
      <c r="L12" s="1"/>
      <c r="M12" s="1"/>
      <c r="N12" s="1"/>
      <c r="O12" s="1"/>
      <c r="P12" s="1"/>
    </row>
    <row r="13" spans="1:16">
      <c r="A13" s="2" t="s">
        <v>0</v>
      </c>
      <c r="B13" s="14" t="s">
        <v>1</v>
      </c>
      <c r="C13" s="15" t="s">
        <v>7</v>
      </c>
      <c r="D13" s="15" t="s">
        <v>12</v>
      </c>
      <c r="E13" s="15" t="s">
        <v>2</v>
      </c>
      <c r="F13" s="15" t="s">
        <v>3</v>
      </c>
      <c r="G13" s="15" t="s">
        <v>5</v>
      </c>
      <c r="H13" s="15" t="s">
        <v>36</v>
      </c>
      <c r="I13" s="15" t="s">
        <v>4</v>
      </c>
      <c r="J13" s="15" t="s">
        <v>37</v>
      </c>
      <c r="K13" s="13" t="s">
        <v>15</v>
      </c>
      <c r="L13" s="13"/>
      <c r="M13" s="1"/>
      <c r="N13" s="1"/>
      <c r="O13" s="1"/>
      <c r="P13" s="1"/>
    </row>
    <row r="14" spans="1:16">
      <c r="B14" s="14"/>
      <c r="C14" s="15"/>
      <c r="D14" s="15"/>
      <c r="E14" s="15"/>
      <c r="F14" s="15"/>
      <c r="G14" s="15"/>
      <c r="H14" s="15"/>
      <c r="I14" s="15"/>
      <c r="J14" s="15"/>
      <c r="K14" s="13"/>
      <c r="L14" s="13"/>
      <c r="M14" s="1"/>
      <c r="N14" s="1"/>
      <c r="O14" s="1"/>
      <c r="P14" s="1"/>
    </row>
    <row r="15" spans="1:16">
      <c r="A15" s="2" t="s">
        <v>21</v>
      </c>
      <c r="B15" s="10"/>
      <c r="C15" s="11"/>
      <c r="D15" s="11"/>
      <c r="E15" s="11"/>
      <c r="F15" s="11"/>
      <c r="G15" s="11"/>
      <c r="H15" s="11"/>
      <c r="I15" s="11"/>
      <c r="J15" s="11"/>
      <c r="K15" s="1"/>
      <c r="L15" s="6"/>
      <c r="M15" s="1"/>
      <c r="N15" s="1"/>
      <c r="O15" s="1"/>
      <c r="P15" s="1"/>
    </row>
    <row r="16" spans="1:16">
      <c r="A16" s="2" t="s">
        <v>16</v>
      </c>
      <c r="B16" s="12">
        <v>7.0542926788330078</v>
      </c>
      <c r="C16" s="5">
        <f>10^((B16-7.115)/(-3.326))</f>
        <v>1.0429232552449421</v>
      </c>
      <c r="D16" s="3">
        <f>C16*$B$9</f>
        <v>483449485.61865288</v>
      </c>
      <c r="E16" s="3">
        <f t="shared" ref="E16" si="0">AVERAGE(D16:D18)</f>
        <v>457408052.05735868</v>
      </c>
      <c r="F16" s="2">
        <v>1</v>
      </c>
      <c r="G16" s="2">
        <v>50</v>
      </c>
      <c r="H16" s="2">
        <v>47.2</v>
      </c>
      <c r="I16" s="2">
        <v>1</v>
      </c>
      <c r="J16" s="3">
        <f t="shared" ref="J16" si="1">E16*F16*G16/H16</f>
        <v>484542428.02686298</v>
      </c>
      <c r="K16" s="3">
        <f t="shared" ref="K16" si="2">(STDEV(D16:D18)*F16*G16)/H16</f>
        <v>24008203.068520885</v>
      </c>
      <c r="L16" s="6"/>
      <c r="M16" s="1"/>
      <c r="N16" s="1"/>
      <c r="O16" s="1"/>
      <c r="P16" s="1"/>
    </row>
    <row r="17" spans="1:16">
      <c r="B17" s="12">
        <v>7.1832962036132812</v>
      </c>
      <c r="C17" s="5">
        <f t="shared" ref="C17:C30" si="3">10^((B17-7.115)/(-3.326))</f>
        <v>0.95381898844929958</v>
      </c>
      <c r="D17" s="3">
        <f t="shared" ref="D17:D30" si="4">C17*$B$9</f>
        <v>442144996.78676528</v>
      </c>
      <c r="L17" s="6"/>
      <c r="M17" s="1"/>
      <c r="N17" s="1"/>
      <c r="O17" s="1"/>
      <c r="P17" s="1"/>
    </row>
    <row r="18" spans="1:16">
      <c r="B18" s="12">
        <v>7.1687188148498535</v>
      </c>
      <c r="C18" s="5">
        <f t="shared" si="3"/>
        <v>0.96349357504774502</v>
      </c>
      <c r="D18" s="3">
        <f t="shared" si="4"/>
        <v>446629673.76665777</v>
      </c>
      <c r="L18" s="6"/>
      <c r="M18" s="1"/>
      <c r="N18" s="1"/>
      <c r="O18" s="1"/>
      <c r="P18" s="1"/>
    </row>
    <row r="19" spans="1:16">
      <c r="A19" s="2" t="s">
        <v>17</v>
      </c>
      <c r="B19" s="12">
        <v>9.8185338973999023</v>
      </c>
      <c r="C19" s="5">
        <f t="shared" si="3"/>
        <v>0.1538691533827119</v>
      </c>
      <c r="D19" s="3">
        <f t="shared" si="4"/>
        <v>71326401.709183127</v>
      </c>
      <c r="E19" s="3">
        <f t="shared" ref="E19" si="5">AVERAGE(D19:D21)</f>
        <v>67839589.470518366</v>
      </c>
      <c r="F19" s="2">
        <v>5</v>
      </c>
      <c r="G19" s="2">
        <v>50</v>
      </c>
      <c r="H19" s="2">
        <v>47.2</v>
      </c>
      <c r="I19" s="2">
        <v>1</v>
      </c>
      <c r="J19" s="3">
        <f t="shared" ref="J19" si="6">E19*F19*G19/H19</f>
        <v>359319859.48367774</v>
      </c>
      <c r="K19" s="3">
        <f t="shared" ref="K19" si="7">(STDEV(D19:D21)*F19*G19)/H19</f>
        <v>43693442.327870823</v>
      </c>
      <c r="L19" s="6"/>
      <c r="M19" s="1"/>
      <c r="N19" s="1"/>
      <c r="O19" s="1"/>
      <c r="P19" s="1"/>
    </row>
    <row r="20" spans="1:16">
      <c r="B20" s="12">
        <v>9.7698183059692383</v>
      </c>
      <c r="C20" s="5">
        <f t="shared" si="3"/>
        <v>0.15914700310176749</v>
      </c>
      <c r="D20" s="3">
        <f t="shared" si="4"/>
        <v>73772961.145860672</v>
      </c>
      <c r="L20" s="6"/>
      <c r="M20" s="1"/>
      <c r="N20" s="1"/>
      <c r="O20" s="1"/>
      <c r="P20" s="1"/>
    </row>
    <row r="21" spans="1:16">
      <c r="B21" s="12">
        <v>10.106875419616699</v>
      </c>
      <c r="C21" s="5">
        <f t="shared" si="3"/>
        <v>0.12602548647767239</v>
      </c>
      <c r="D21" s="3">
        <f t="shared" si="4"/>
        <v>58419405.55651129</v>
      </c>
      <c r="L21" s="6"/>
      <c r="M21" s="1"/>
      <c r="N21" s="1"/>
      <c r="O21" s="1"/>
      <c r="P21" s="1"/>
    </row>
    <row r="22" spans="1:16">
      <c r="A22" s="2" t="s">
        <v>18</v>
      </c>
      <c r="B22" s="12">
        <v>12.506657600402832</v>
      </c>
      <c r="C22" s="5">
        <f t="shared" si="3"/>
        <v>2.3929651836804719E-2</v>
      </c>
      <c r="D22" s="3">
        <f t="shared" si="4"/>
        <v>11092645.420798138</v>
      </c>
      <c r="E22" s="3">
        <f t="shared" ref="E22" si="8">AVERAGE(D22:D24)</f>
        <v>10887731.172199853</v>
      </c>
      <c r="F22" s="2">
        <v>25</v>
      </c>
      <c r="G22" s="2">
        <v>50</v>
      </c>
      <c r="H22" s="2">
        <v>47.2</v>
      </c>
      <c r="I22" s="2">
        <v>1</v>
      </c>
      <c r="J22" s="3">
        <f t="shared" ref="J22" si="9">E22*F22*G22/H22</f>
        <v>288340338.24681813</v>
      </c>
      <c r="K22" s="3">
        <f t="shared" ref="K22" si="10">(STDEV(D22:D24)*F22*G22)/H22</f>
        <v>6625297.4388262192</v>
      </c>
      <c r="L22" s="6"/>
      <c r="M22" s="1"/>
      <c r="N22" s="1"/>
      <c r="O22" s="1"/>
      <c r="P22" s="1"/>
    </row>
    <row r="23" spans="1:16">
      <c r="B23" s="12">
        <v>12.571059226989746</v>
      </c>
      <c r="C23" s="5">
        <f t="shared" si="3"/>
        <v>2.2886179146356267E-2</v>
      </c>
      <c r="D23" s="3">
        <f t="shared" si="4"/>
        <v>10608941.243220912</v>
      </c>
      <c r="L23" s="6"/>
      <c r="M23" s="1"/>
      <c r="N23" s="1"/>
      <c r="O23" s="1"/>
      <c r="P23" s="1"/>
    </row>
    <row r="24" spans="1:16">
      <c r="B24" s="12">
        <v>12.523822784423828</v>
      </c>
      <c r="C24" s="5">
        <f t="shared" si="3"/>
        <v>2.3646968383427412E-2</v>
      </c>
      <c r="D24" s="3">
        <f t="shared" si="4"/>
        <v>10961606.85258051</v>
      </c>
      <c r="L24" s="6"/>
      <c r="M24" s="1"/>
      <c r="N24" s="1"/>
      <c r="O24" s="1"/>
      <c r="P24" s="1"/>
    </row>
    <row r="25" spans="1:16">
      <c r="A25" s="2" t="s">
        <v>19</v>
      </c>
      <c r="B25" s="12">
        <v>14.984643936157227</v>
      </c>
      <c r="C25" s="5">
        <f t="shared" si="3"/>
        <v>4.3042887924269312E-3</v>
      </c>
      <c r="D25" s="3">
        <f t="shared" si="4"/>
        <v>1995263.0188155202</v>
      </c>
      <c r="E25" s="3">
        <f t="shared" ref="E25" si="11">AVERAGE(D25:D27)</f>
        <v>1906476.7858337935</v>
      </c>
      <c r="F25" s="2">
        <v>125</v>
      </c>
      <c r="G25" s="2">
        <v>50</v>
      </c>
      <c r="H25" s="2">
        <v>47.2</v>
      </c>
      <c r="I25" s="2">
        <v>1</v>
      </c>
      <c r="J25" s="3">
        <f t="shared" ref="J25" si="12">E25*F25*G25/H25</f>
        <v>252446608.29366964</v>
      </c>
      <c r="K25" s="3">
        <f t="shared" ref="K25" si="13">(STDEV(D25:D27)*F25*G25)/H25</f>
        <v>22596679.368137348</v>
      </c>
      <c r="L25" s="6"/>
      <c r="M25" s="1"/>
      <c r="N25" s="1"/>
      <c r="O25" s="1"/>
      <c r="P25" s="1"/>
    </row>
    <row r="26" spans="1:16">
      <c r="B26" s="12">
        <v>14.970834732055664</v>
      </c>
      <c r="C26" s="5">
        <f t="shared" si="3"/>
        <v>4.3456355155823759E-3</v>
      </c>
      <c r="D26" s="3">
        <f t="shared" si="4"/>
        <v>2014429.3879045113</v>
      </c>
      <c r="L26" s="6"/>
      <c r="M26" s="1"/>
      <c r="N26" s="1"/>
      <c r="O26" s="1"/>
      <c r="P26" s="1"/>
    </row>
    <row r="27" spans="1:16">
      <c r="B27" s="12">
        <v>15.207720756530762</v>
      </c>
      <c r="C27" s="5">
        <f t="shared" si="3"/>
        <v>3.6883387453870175E-3</v>
      </c>
      <c r="D27" s="3">
        <f t="shared" si="4"/>
        <v>1709737.9507813491</v>
      </c>
      <c r="L27" s="6"/>
      <c r="M27" s="1"/>
      <c r="N27" s="1"/>
      <c r="O27" s="1"/>
      <c r="P27" s="1"/>
    </row>
    <row r="28" spans="1:16">
      <c r="A28" s="2" t="s">
        <v>20</v>
      </c>
      <c r="B28" s="12">
        <v>16.124626159667969</v>
      </c>
      <c r="C28" s="5">
        <f t="shared" si="3"/>
        <v>1.9550266776566989E-3</v>
      </c>
      <c r="D28" s="3">
        <f t="shared" si="4"/>
        <v>906257.135345874</v>
      </c>
      <c r="E28" s="3">
        <f t="shared" ref="E28" si="14">AVERAGE(D28:D30)</f>
        <v>872690.18801116524</v>
      </c>
      <c r="F28" s="2">
        <v>625</v>
      </c>
      <c r="G28" s="2">
        <v>50</v>
      </c>
      <c r="H28" s="2">
        <v>47.2</v>
      </c>
      <c r="I28" s="2">
        <v>1</v>
      </c>
      <c r="J28" s="3">
        <f t="shared" ref="J28" si="15">E28*F28*G28/H28</f>
        <v>577787465.57942617</v>
      </c>
      <c r="K28" s="3">
        <f t="shared" ref="K28" si="16">(STDEV(D28:D30)*F28*G28)/H28</f>
        <v>37586845.556725249</v>
      </c>
      <c r="L28" s="7"/>
      <c r="M28" s="1"/>
      <c r="N28" s="1"/>
      <c r="O28" s="1"/>
      <c r="P28" s="7"/>
    </row>
    <row r="29" spans="1:16">
      <c r="B29" s="12">
        <v>16.127157211303711</v>
      </c>
      <c r="C29" s="5">
        <f t="shared" si="3"/>
        <v>1.9516039944988484E-3</v>
      </c>
      <c r="D29" s="3">
        <f t="shared" si="4"/>
        <v>904670.54265674099</v>
      </c>
      <c r="L29" s="7"/>
      <c r="M29" s="1"/>
      <c r="N29" s="1"/>
      <c r="O29" s="1"/>
      <c r="P29" s="7"/>
    </row>
    <row r="30" spans="1:16">
      <c r="B30" s="12">
        <v>16.291927337646484</v>
      </c>
      <c r="C30" s="5">
        <f t="shared" si="3"/>
        <v>1.7412120835539155E-3</v>
      </c>
      <c r="D30" s="3">
        <f t="shared" si="4"/>
        <v>807142.88603088062</v>
      </c>
      <c r="L30" s="7"/>
      <c r="M30" s="1"/>
      <c r="N30" s="1"/>
      <c r="O30" s="1"/>
      <c r="P30" s="7"/>
    </row>
    <row r="31" spans="1:16">
      <c r="A31" s="2" t="s">
        <v>22</v>
      </c>
      <c r="B31" s="12"/>
      <c r="C31" s="5"/>
      <c r="D31" s="3"/>
      <c r="L31" s="7"/>
      <c r="M31" s="1"/>
      <c r="N31" s="1"/>
      <c r="O31" s="1"/>
      <c r="P31" s="7"/>
    </row>
    <row r="32" spans="1:16">
      <c r="A32" t="s">
        <v>57</v>
      </c>
      <c r="B32" s="12">
        <v>12.06219482421875</v>
      </c>
      <c r="C32" s="5">
        <f t="shared" ref="C32:C95" si="17">10^((B32-7.115)/(-3.326))</f>
        <v>3.2551365008525977E-2</v>
      </c>
      <c r="D32" s="3">
        <f t="shared" ref="D32:D95" si="18">C32*$B$9</f>
        <v>15089260.49008362</v>
      </c>
      <c r="E32" s="3">
        <f t="shared" ref="E32:E95" si="19">AVERAGE(D32:D34)</f>
        <v>14768072.330084825</v>
      </c>
      <c r="F32" s="2">
        <v>1</v>
      </c>
      <c r="G32" s="2">
        <v>50</v>
      </c>
      <c r="H32" s="2">
        <v>0.25</v>
      </c>
      <c r="I32" s="2">
        <v>1</v>
      </c>
      <c r="J32" s="3">
        <f t="shared" ref="J32" si="20">E32*F32*G32/H32</f>
        <v>2953614466.0169649</v>
      </c>
      <c r="K32" s="3">
        <f t="shared" ref="K32" si="21">(STDEV(D32:D34)*F32*G32)/H32</f>
        <v>226518807.09046814</v>
      </c>
    </row>
    <row r="33" spans="1:17">
      <c r="A33" t="s">
        <v>57</v>
      </c>
      <c r="B33" s="12">
        <v>12.004386901855469</v>
      </c>
      <c r="C33" s="5">
        <f t="shared" si="17"/>
        <v>3.388050063418508E-2</v>
      </c>
      <c r="D33" s="3">
        <f t="shared" si="18"/>
        <v>15705384.381569197</v>
      </c>
    </row>
    <row r="34" spans="1:17">
      <c r="A34" t="s">
        <v>57</v>
      </c>
      <c r="B34" s="12">
        <v>12.221930503845215</v>
      </c>
      <c r="C34" s="5">
        <f t="shared" si="17"/>
        <v>2.9143576216382961E-2</v>
      </c>
      <c r="D34" s="3">
        <f t="shared" si="18"/>
        <v>13509572.118601656</v>
      </c>
    </row>
    <row r="35" spans="1:17">
      <c r="A35" t="s">
        <v>58</v>
      </c>
      <c r="B35" s="12">
        <v>11.843124389648438</v>
      </c>
      <c r="C35" s="5">
        <f t="shared" si="17"/>
        <v>3.7882204188612503E-2</v>
      </c>
      <c r="D35" s="3">
        <f t="shared" si="18"/>
        <v>17560383.313903779</v>
      </c>
      <c r="E35" s="3">
        <f t="shared" si="19"/>
        <v>17875239.410986137</v>
      </c>
      <c r="F35" s="2">
        <v>1</v>
      </c>
      <c r="G35" s="2">
        <v>50</v>
      </c>
      <c r="H35" s="2">
        <v>0.25</v>
      </c>
      <c r="I35" s="2">
        <v>1</v>
      </c>
      <c r="J35" s="3">
        <f t="shared" ref="J35" si="22">E35*F35*G35/H35</f>
        <v>3575047882.1972275</v>
      </c>
      <c r="K35" s="3">
        <f t="shared" ref="K35" si="23">(STDEV(D35:D37)*F35*G35)/H35</f>
        <v>188458018.07437974</v>
      </c>
    </row>
    <row r="36" spans="1:17">
      <c r="A36" t="s">
        <v>58</v>
      </c>
      <c r="B36" s="12">
        <v>11.878909111022949</v>
      </c>
      <c r="C36" s="5">
        <f t="shared" si="17"/>
        <v>3.6955250819645707E-2</v>
      </c>
      <c r="D36" s="3">
        <f t="shared" si="18"/>
        <v>17130691.937126275</v>
      </c>
    </row>
    <row r="37" spans="1:17">
      <c r="A37" t="s">
        <v>58</v>
      </c>
      <c r="B37" s="12">
        <v>11.734287261962891</v>
      </c>
      <c r="C37" s="5">
        <f t="shared" si="17"/>
        <v>4.0846831123097609E-2</v>
      </c>
      <c r="D37" s="3">
        <f t="shared" si="18"/>
        <v>18934642.981928356</v>
      </c>
    </row>
    <row r="38" spans="1:17">
      <c r="A38" t="s">
        <v>52</v>
      </c>
      <c r="B38" s="12">
        <v>13.244598388671875</v>
      </c>
      <c r="C38" s="5">
        <f t="shared" si="17"/>
        <v>1.4357076968947856E-2</v>
      </c>
      <c r="D38" s="3">
        <f t="shared" si="18"/>
        <v>6655256.2144134911</v>
      </c>
      <c r="E38" s="3">
        <f t="shared" si="19"/>
        <v>13827200.949209383</v>
      </c>
      <c r="F38" s="2">
        <v>1</v>
      </c>
      <c r="G38" s="2">
        <v>50</v>
      </c>
      <c r="H38" s="2">
        <v>0.25</v>
      </c>
      <c r="I38" s="2">
        <v>1</v>
      </c>
      <c r="J38" s="3">
        <f t="shared" ref="J38" si="24">E38*F38*G38/H38</f>
        <v>2765440189.8418765</v>
      </c>
      <c r="K38" s="3">
        <f t="shared" ref="K38" si="25">(STDEV(D38:D40)*F38*G38)/H38</f>
        <v>1294160134.3734236</v>
      </c>
    </row>
    <row r="39" spans="1:17">
      <c r="A39" t="s">
        <v>52</v>
      </c>
      <c r="B39" s="12">
        <v>12.014266967773438</v>
      </c>
      <c r="C39" s="5">
        <f t="shared" si="17"/>
        <v>3.3649550257942397E-2</v>
      </c>
      <c r="D39" s="3">
        <f t="shared" si="18"/>
        <v>15598326.800834998</v>
      </c>
    </row>
    <row r="40" spans="1:17">
      <c r="A40" t="s">
        <v>52</v>
      </c>
      <c r="B40" s="12">
        <v>11.712078094482422</v>
      </c>
      <c r="C40" s="5">
        <f t="shared" si="17"/>
        <v>4.1479719457841915E-2</v>
      </c>
      <c r="D40" s="3">
        <f t="shared" si="18"/>
        <v>19228019.832379662</v>
      </c>
    </row>
    <row r="41" spans="1:17">
      <c r="A41" t="s">
        <v>59</v>
      </c>
      <c r="B41" s="12">
        <v>11.769244194030762</v>
      </c>
      <c r="C41" s="5">
        <f t="shared" si="17"/>
        <v>3.9870177374799455E-2</v>
      </c>
      <c r="D41" s="3">
        <f t="shared" si="18"/>
        <v>18481912.879432581</v>
      </c>
      <c r="E41" s="3">
        <f t="shared" si="19"/>
        <v>16860949.785168316</v>
      </c>
      <c r="F41" s="2">
        <v>1</v>
      </c>
      <c r="G41" s="2">
        <v>50</v>
      </c>
      <c r="H41" s="2">
        <v>0.25</v>
      </c>
      <c r="I41" s="2">
        <v>1</v>
      </c>
      <c r="J41" s="3">
        <f t="shared" ref="J41" si="26">E41*F41*G41/H41</f>
        <v>3372189957.0336633</v>
      </c>
      <c r="K41" s="3">
        <f t="shared" ref="K41" si="27">(STDEV(D41:D43)*F41*G41)/H41</f>
        <v>329930699.83857435</v>
      </c>
      <c r="M41" s="8"/>
      <c r="N41" s="1"/>
      <c r="O41" s="1"/>
      <c r="P41" s="1"/>
      <c r="Q41" s="9"/>
    </row>
    <row r="42" spans="1:17">
      <c r="A42" t="s">
        <v>59</v>
      </c>
      <c r="B42" s="12">
        <v>11.897048950195312</v>
      </c>
      <c r="C42" s="5">
        <f t="shared" si="17"/>
        <v>3.6494061852865425E-2</v>
      </c>
      <c r="D42" s="3">
        <f t="shared" si="18"/>
        <v>16916906.725566715</v>
      </c>
    </row>
    <row r="43" spans="1:17">
      <c r="A43" t="s">
        <v>59</v>
      </c>
      <c r="B43" s="12">
        <v>12.05315113067627</v>
      </c>
      <c r="C43" s="5">
        <f t="shared" si="17"/>
        <v>3.2755806358691068E-2</v>
      </c>
      <c r="D43" s="3">
        <f t="shared" si="18"/>
        <v>15184029.750505649</v>
      </c>
    </row>
    <row r="44" spans="1:17">
      <c r="A44" t="s">
        <v>60</v>
      </c>
      <c r="B44" s="12">
        <v>11.17473316192627</v>
      </c>
      <c r="C44" s="5">
        <f t="shared" si="17"/>
        <v>6.0172037820600516E-2</v>
      </c>
      <c r="D44" s="3">
        <f t="shared" si="18"/>
        <v>27892887.21552508</v>
      </c>
      <c r="E44" s="3">
        <f t="shared" si="19"/>
        <v>21832707.247738108</v>
      </c>
      <c r="F44" s="2">
        <v>1</v>
      </c>
      <c r="G44" s="2">
        <v>50</v>
      </c>
      <c r="H44" s="2">
        <v>0.25</v>
      </c>
      <c r="I44" s="2">
        <v>1</v>
      </c>
      <c r="J44" s="3">
        <f t="shared" ref="J44" si="28">E44*F44*G44/H44</f>
        <v>4366541449.5476217</v>
      </c>
      <c r="K44" s="3">
        <f t="shared" ref="K44" si="29">(STDEV(D44:D46)*F44*G44)/H44</f>
        <v>1212943208.0772948</v>
      </c>
    </row>
    <row r="45" spans="1:17">
      <c r="A45" t="s">
        <v>60</v>
      </c>
      <c r="B45" s="12">
        <v>11.999054908752441</v>
      </c>
      <c r="C45" s="5">
        <f t="shared" si="17"/>
        <v>3.4005795896823759E-2</v>
      </c>
      <c r="D45" s="3">
        <f t="shared" si="18"/>
        <v>15763465.290177278</v>
      </c>
    </row>
    <row r="46" spans="1:17">
      <c r="A46" t="s">
        <v>60</v>
      </c>
      <c r="B46" s="12">
        <v>11.527973175048828</v>
      </c>
      <c r="C46" s="5">
        <f t="shared" si="17"/>
        <v>4.7118240376954751E-2</v>
      </c>
      <c r="D46" s="3">
        <f t="shared" si="18"/>
        <v>21841769.237511966</v>
      </c>
    </row>
    <row r="47" spans="1:17">
      <c r="A47" t="s">
        <v>31</v>
      </c>
      <c r="B47" s="12">
        <v>11.343660354614258</v>
      </c>
      <c r="C47" s="5">
        <f t="shared" si="17"/>
        <v>5.3530934403321656E-2</v>
      </c>
      <c r="D47" s="3">
        <f t="shared" si="18"/>
        <v>24814388.375963114</v>
      </c>
      <c r="E47" s="3">
        <f t="shared" si="19"/>
        <v>27393024.396656472</v>
      </c>
      <c r="F47" s="2">
        <v>1</v>
      </c>
      <c r="G47" s="2">
        <v>50</v>
      </c>
      <c r="H47" s="2">
        <v>0.25</v>
      </c>
      <c r="I47" s="2">
        <v>1</v>
      </c>
      <c r="J47" s="3">
        <f t="shared" ref="J47" si="30">E47*F47*G47/H47</f>
        <v>5478604879.3312941</v>
      </c>
      <c r="K47" s="3">
        <f t="shared" ref="K47" si="31">(STDEV(D47:D49)*F47*G47)/H47</f>
        <v>1362753084.5063148</v>
      </c>
    </row>
    <row r="48" spans="1:17">
      <c r="A48" t="s">
        <v>31</v>
      </c>
      <c r="B48" s="12">
        <v>10.841939926147461</v>
      </c>
      <c r="C48" s="5">
        <f t="shared" si="17"/>
        <v>7.5762242048453846E-2</v>
      </c>
      <c r="D48" s="3">
        <f t="shared" si="18"/>
        <v>35119762.421098359</v>
      </c>
    </row>
    <row r="49" spans="1:11">
      <c r="A49" t="s">
        <v>31</v>
      </c>
      <c r="B49" s="12">
        <v>11.501554489135742</v>
      </c>
      <c r="C49" s="5">
        <f t="shared" si="17"/>
        <v>4.7987944066161928E-2</v>
      </c>
      <c r="D49" s="3">
        <f t="shared" si="18"/>
        <v>22244922.392907955</v>
      </c>
    </row>
    <row r="50" spans="1:11">
      <c r="A50" t="s">
        <v>61</v>
      </c>
      <c r="B50" s="12">
        <v>11.576518058776855</v>
      </c>
      <c r="C50" s="5">
        <f t="shared" si="17"/>
        <v>4.5561025217251236E-2</v>
      </c>
      <c r="D50" s="3">
        <f t="shared" si="18"/>
        <v>21119918.550828964</v>
      </c>
      <c r="E50" s="3">
        <f t="shared" si="19"/>
        <v>11322450.56482487</v>
      </c>
      <c r="F50" s="2">
        <v>1</v>
      </c>
      <c r="G50" s="2">
        <v>50</v>
      </c>
      <c r="H50" s="2">
        <v>0.25</v>
      </c>
      <c r="I50" s="2">
        <v>1</v>
      </c>
      <c r="J50" s="3">
        <f t="shared" ref="J50" si="32">E50*F50*G50/H50</f>
        <v>2264490112.9649739</v>
      </c>
      <c r="K50" s="3">
        <f t="shared" ref="K50" si="33">(STDEV(D50:D52)*F50*G50)/H50</f>
        <v>2122924188.3601713</v>
      </c>
    </row>
    <row r="51" spans="1:11">
      <c r="A51" t="s">
        <v>61</v>
      </c>
      <c r="B51" s="12">
        <v>20.435352325439453</v>
      </c>
      <c r="C51" s="5">
        <f t="shared" si="17"/>
        <v>9.8874314614777443E-5</v>
      </c>
      <c r="D51" s="3">
        <f t="shared" si="18"/>
        <v>45833.417081283202</v>
      </c>
    </row>
    <row r="52" spans="1:11">
      <c r="A52" t="s">
        <v>61</v>
      </c>
      <c r="B52" s="12">
        <v>12.299683570861816</v>
      </c>
      <c r="C52" s="5">
        <f t="shared" si="17"/>
        <v>2.7616300060980242E-2</v>
      </c>
      <c r="D52" s="3">
        <f t="shared" si="18"/>
        <v>12801599.726564366</v>
      </c>
    </row>
    <row r="53" spans="1:11">
      <c r="A53" t="s">
        <v>62</v>
      </c>
      <c r="B53" s="12">
        <v>11.725872993469238</v>
      </c>
      <c r="C53" s="5">
        <f t="shared" si="17"/>
        <v>4.1085465890027539E-2</v>
      </c>
      <c r="D53" s="3">
        <f t="shared" si="18"/>
        <v>19045262.679727603</v>
      </c>
      <c r="E53" s="3">
        <f t="shared" si="19"/>
        <v>18865704.304936096</v>
      </c>
      <c r="F53" s="2">
        <v>1</v>
      </c>
      <c r="G53" s="2">
        <v>50</v>
      </c>
      <c r="H53" s="2">
        <v>0.25</v>
      </c>
      <c r="I53" s="2">
        <v>1</v>
      </c>
      <c r="J53" s="3">
        <f t="shared" ref="J53" si="34">E53*F53*G53/H53</f>
        <v>3773140860.9872193</v>
      </c>
      <c r="K53" s="3">
        <f t="shared" ref="K53" si="35">(STDEV(D53:D55)*F53*G53)/H53</f>
        <v>337526021.18212122</v>
      </c>
    </row>
    <row r="54" spans="1:11">
      <c r="A54" t="s">
        <v>62</v>
      </c>
      <c r="B54" s="12">
        <v>11.881881713867188</v>
      </c>
      <c r="C54" s="5">
        <f t="shared" si="17"/>
        <v>3.687927774720632E-2</v>
      </c>
      <c r="D54" s="3">
        <f t="shared" si="18"/>
        <v>17095474.443790138</v>
      </c>
    </row>
    <row r="55" spans="1:11">
      <c r="A55" t="s">
        <v>62</v>
      </c>
      <c r="B55" s="12">
        <v>11.622628211975098</v>
      </c>
      <c r="C55" s="5">
        <f t="shared" si="17"/>
        <v>4.4129595056794126E-2</v>
      </c>
      <c r="D55" s="3">
        <f t="shared" si="18"/>
        <v>20456375.791290548</v>
      </c>
    </row>
    <row r="56" spans="1:11">
      <c r="A56" t="s">
        <v>63</v>
      </c>
      <c r="B56" s="12">
        <v>11.077924728393555</v>
      </c>
      <c r="C56" s="5">
        <f t="shared" si="17"/>
        <v>6.4342996775801811E-2</v>
      </c>
      <c r="D56" s="3">
        <f t="shared" si="18"/>
        <v>29826344.880111337</v>
      </c>
      <c r="E56" s="3">
        <f t="shared" si="19"/>
        <v>27146027.693272572</v>
      </c>
      <c r="F56" s="2">
        <v>1</v>
      </c>
      <c r="G56" s="2">
        <v>50</v>
      </c>
      <c r="H56" s="2">
        <v>0.25</v>
      </c>
      <c r="I56" s="2">
        <v>1</v>
      </c>
      <c r="J56" s="3">
        <f t="shared" ref="J56" si="36">E56*F56*G56/H56</f>
        <v>5429205538.6545143</v>
      </c>
      <c r="K56" s="3">
        <f t="shared" ref="K56" si="37">(STDEV(D56:D58)*F56*G56)/H56</f>
        <v>487322873.54481632</v>
      </c>
    </row>
    <row r="57" spans="1:11">
      <c r="A57" t="s">
        <v>63</v>
      </c>
      <c r="B57" s="12">
        <v>11.24617862701416</v>
      </c>
      <c r="C57" s="5">
        <f t="shared" si="17"/>
        <v>5.7268238149999311E-2</v>
      </c>
      <c r="D57" s="3">
        <f t="shared" si="18"/>
        <v>26546824.166272182</v>
      </c>
    </row>
    <row r="58" spans="1:11">
      <c r="A58" t="s">
        <v>63</v>
      </c>
      <c r="B58" s="12">
        <v>11.329150199890137</v>
      </c>
      <c r="C58" s="5">
        <f t="shared" si="17"/>
        <v>5.4071381837819947E-2</v>
      </c>
      <c r="D58" s="3">
        <f t="shared" si="18"/>
        <v>25064914.033434197</v>
      </c>
    </row>
    <row r="59" spans="1:11">
      <c r="A59" t="s">
        <v>64</v>
      </c>
      <c r="B59" s="12">
        <v>11.979768753051758</v>
      </c>
      <c r="C59" s="5">
        <f t="shared" si="17"/>
        <v>3.4462878386179195E-2</v>
      </c>
      <c r="D59" s="3">
        <f t="shared" si="18"/>
        <v>15975346.934634693</v>
      </c>
      <c r="E59" s="3">
        <f t="shared" si="19"/>
        <v>13316717.808408694</v>
      </c>
      <c r="F59" s="2">
        <v>1</v>
      </c>
      <c r="G59" s="2">
        <v>50</v>
      </c>
      <c r="H59" s="2">
        <v>0.25</v>
      </c>
      <c r="I59" s="2">
        <v>1</v>
      </c>
      <c r="J59" s="3">
        <f t="shared" ref="J59" si="38">E59*F59*G59/H59</f>
        <v>2663343561.6817389</v>
      </c>
      <c r="K59" s="3">
        <f t="shared" ref="K59" si="39">(STDEV(D59:D61)*F59*G59)/H59</f>
        <v>585807728.87327337</v>
      </c>
    </row>
    <row r="60" spans="1:11">
      <c r="A60" t="s">
        <v>64</v>
      </c>
      <c r="B60" s="12">
        <v>12.191422462463379</v>
      </c>
      <c r="C60" s="5">
        <f t="shared" si="17"/>
        <v>2.9765654415838217E-2</v>
      </c>
      <c r="D60" s="3">
        <f t="shared" si="18"/>
        <v>13797937.905852789</v>
      </c>
    </row>
    <row r="61" spans="1:11">
      <c r="A61" t="s">
        <v>64</v>
      </c>
      <c r="B61" s="12">
        <v>12.631119728088379</v>
      </c>
      <c r="C61" s="5">
        <f t="shared" si="17"/>
        <v>2.1954088748307621E-2</v>
      </c>
      <c r="D61" s="3">
        <f t="shared" si="18"/>
        <v>10176868.584738607</v>
      </c>
    </row>
    <row r="62" spans="1:11">
      <c r="A62" t="s">
        <v>65</v>
      </c>
      <c r="B62" s="12">
        <v>12.558327674865723</v>
      </c>
      <c r="C62" s="5">
        <f t="shared" si="17"/>
        <v>2.3088790341659605E-2</v>
      </c>
      <c r="D62" s="3">
        <f t="shared" si="18"/>
        <v>10702862.131126489</v>
      </c>
      <c r="E62" s="3">
        <f t="shared" si="19"/>
        <v>13021625.439328426</v>
      </c>
      <c r="F62" s="2">
        <v>1</v>
      </c>
      <c r="G62" s="2">
        <v>50</v>
      </c>
      <c r="H62" s="2">
        <v>0.25</v>
      </c>
      <c r="I62" s="2">
        <v>1</v>
      </c>
      <c r="J62" s="3">
        <f t="shared" ref="J62" si="40">E62*F62*G62/H62</f>
        <v>2604325087.8656855</v>
      </c>
      <c r="K62" s="3">
        <f t="shared" ref="K62" si="41">(STDEV(D62:D64)*F62*G62)/H62</f>
        <v>425375479.94372278</v>
      </c>
    </row>
    <row r="63" spans="1:11">
      <c r="A63" t="s">
        <v>65</v>
      </c>
      <c r="B63" s="12">
        <v>12.082192420959473</v>
      </c>
      <c r="C63" s="5">
        <f t="shared" si="17"/>
        <v>3.2103819018505363E-2</v>
      </c>
      <c r="D63" s="3">
        <f t="shared" si="18"/>
        <v>14881799.511935866</v>
      </c>
    </row>
    <row r="64" spans="1:11">
      <c r="A64" t="s">
        <v>65</v>
      </c>
      <c r="B64" s="12">
        <v>12.225072860717773</v>
      </c>
      <c r="C64" s="5">
        <f t="shared" si="17"/>
        <v>2.9080244758520484E-2</v>
      </c>
      <c r="D64" s="3">
        <f t="shared" si="18"/>
        <v>13480214.674922924</v>
      </c>
    </row>
    <row r="65" spans="1:11">
      <c r="A65" t="s">
        <v>26</v>
      </c>
      <c r="B65" s="12">
        <v>11.574629783630371</v>
      </c>
      <c r="C65" s="5">
        <f t="shared" si="17"/>
        <v>4.5620623823765111E-2</v>
      </c>
      <c r="D65" s="3">
        <f t="shared" si="18"/>
        <v>21147545.622636806</v>
      </c>
      <c r="E65" s="3">
        <f t="shared" si="19"/>
        <v>14434966.664241016</v>
      </c>
      <c r="F65" s="2">
        <v>1</v>
      </c>
      <c r="G65" s="2">
        <v>50</v>
      </c>
      <c r="H65" s="2">
        <v>0.25</v>
      </c>
      <c r="I65" s="2">
        <v>1</v>
      </c>
      <c r="J65" s="3">
        <f t="shared" ref="J65" si="42">E65*F65*G65/H65</f>
        <v>2886993332.8482032</v>
      </c>
      <c r="K65" s="3">
        <f t="shared" ref="K65" si="43">(STDEV(D65:D67)*F65*G65)/H65</f>
        <v>1437852324.9253321</v>
      </c>
    </row>
    <row r="66" spans="1:11">
      <c r="A66" t="s">
        <v>26</v>
      </c>
      <c r="B66" s="12">
        <v>13.203180313110352</v>
      </c>
      <c r="C66" s="5">
        <f t="shared" si="17"/>
        <v>1.477470599533854E-2</v>
      </c>
      <c r="D66" s="3">
        <f t="shared" si="18"/>
        <v>6848849.1149194604</v>
      </c>
    </row>
    <row r="67" spans="1:11">
      <c r="A67" t="s">
        <v>26</v>
      </c>
      <c r="B67" s="12">
        <v>12.04135799407959</v>
      </c>
      <c r="C67" s="5">
        <f t="shared" si="17"/>
        <v>3.3024331618063979E-2</v>
      </c>
      <c r="D67" s="3">
        <f t="shared" si="18"/>
        <v>15308505.255166784</v>
      </c>
    </row>
    <row r="68" spans="1:11">
      <c r="A68" t="s">
        <v>66</v>
      </c>
      <c r="B68" s="12">
        <v>11.909627914428711</v>
      </c>
      <c r="C68" s="5">
        <f t="shared" si="17"/>
        <v>3.6177636773773163E-2</v>
      </c>
      <c r="D68" s="3">
        <f t="shared" si="18"/>
        <v>16770227.148757327</v>
      </c>
      <c r="E68" s="3">
        <f t="shared" si="19"/>
        <v>16757090.268693775</v>
      </c>
      <c r="F68" s="2">
        <v>1</v>
      </c>
      <c r="G68" s="2">
        <v>50</v>
      </c>
      <c r="H68" s="2">
        <v>0.25</v>
      </c>
      <c r="I68" s="2">
        <v>1</v>
      </c>
      <c r="J68" s="3">
        <f t="shared" ref="J68" si="44">E68*F68*G68/H68</f>
        <v>3351418053.7387552</v>
      </c>
      <c r="K68" s="3">
        <f t="shared" ref="K68" si="45">(STDEV(D68:D70)*F68*G68)/H68</f>
        <v>388527057.35243922</v>
      </c>
    </row>
    <row r="69" spans="1:11">
      <c r="A69" t="s">
        <v>66</v>
      </c>
      <c r="B69" s="12">
        <v>12.089381217956543</v>
      </c>
      <c r="C69" s="5">
        <f t="shared" si="17"/>
        <v>3.1944441847675704E-2</v>
      </c>
      <c r="D69" s="3">
        <f t="shared" si="18"/>
        <v>14807919.856007723</v>
      </c>
    </row>
    <row r="70" spans="1:11">
      <c r="A70" t="s">
        <v>66</v>
      </c>
      <c r="B70" s="12">
        <v>11.752830505371094</v>
      </c>
      <c r="C70" s="5">
        <f t="shared" si="17"/>
        <v>4.0325812945312782E-2</v>
      </c>
      <c r="D70" s="3">
        <f t="shared" si="18"/>
        <v>18693123.801316276</v>
      </c>
    </row>
    <row r="71" spans="1:11">
      <c r="A71" t="s">
        <v>67</v>
      </c>
      <c r="B71" s="12">
        <v>12.317529678344727</v>
      </c>
      <c r="C71" s="5">
        <f t="shared" si="17"/>
        <v>2.7277204281216154E-2</v>
      </c>
      <c r="D71" s="3">
        <f t="shared" si="18"/>
        <v>12644411.094056692</v>
      </c>
      <c r="E71" s="3">
        <f t="shared" si="19"/>
        <v>14495458.690904384</v>
      </c>
      <c r="F71" s="2">
        <v>1</v>
      </c>
      <c r="G71" s="2">
        <v>50</v>
      </c>
      <c r="H71" s="2">
        <v>0.25</v>
      </c>
      <c r="I71" s="2">
        <v>1</v>
      </c>
      <c r="J71" s="3">
        <f t="shared" ref="J71" si="46">E71*F71*G71/H71</f>
        <v>2899091738.1808767</v>
      </c>
      <c r="K71" s="3">
        <f t="shared" ref="K71" si="47">(STDEV(D71:D73)*F71*G71)/H71</f>
        <v>380820783.02925837</v>
      </c>
    </row>
    <row r="72" spans="1:11">
      <c r="A72" t="s">
        <v>67</v>
      </c>
      <c r="B72" s="12">
        <v>12.130388259887695</v>
      </c>
      <c r="C72" s="5">
        <f t="shared" si="17"/>
        <v>3.1050319075674567E-2</v>
      </c>
      <c r="D72" s="3">
        <f t="shared" si="18"/>
        <v>14393447.178339459</v>
      </c>
    </row>
    <row r="73" spans="1:11">
      <c r="A73" t="s">
        <v>67</v>
      </c>
      <c r="B73" s="12">
        <v>11.937606811523438</v>
      </c>
      <c r="C73" s="5">
        <f t="shared" si="17"/>
        <v>3.5483628049182703E-2</v>
      </c>
      <c r="D73" s="3">
        <f t="shared" si="18"/>
        <v>16448517.800317001</v>
      </c>
    </row>
    <row r="74" spans="1:11">
      <c r="A74" t="s">
        <v>68</v>
      </c>
      <c r="B74" s="12">
        <v>10.66230583190918</v>
      </c>
      <c r="C74" s="5">
        <f t="shared" si="17"/>
        <v>8.5794977866194541E-2</v>
      </c>
      <c r="D74" s="3">
        <f t="shared" si="18"/>
        <v>39770460.299434014</v>
      </c>
      <c r="E74" s="3">
        <f t="shared" si="19"/>
        <v>24116791.419258922</v>
      </c>
      <c r="F74" s="2">
        <v>1</v>
      </c>
      <c r="G74" s="2">
        <v>50</v>
      </c>
      <c r="H74" s="2">
        <v>0.25</v>
      </c>
      <c r="I74" s="2">
        <v>1</v>
      </c>
      <c r="J74" s="3">
        <f t="shared" ref="J74" si="48">E74*F74*G74/H74</f>
        <v>4823358283.8517847</v>
      </c>
      <c r="K74" s="3">
        <f t="shared" ref="K74" si="49">(STDEV(D74:D76)*F74*G74)/H74</f>
        <v>2711404585.316771</v>
      </c>
    </row>
    <row r="75" spans="1:11">
      <c r="A75" t="s">
        <v>68</v>
      </c>
      <c r="B75" s="12">
        <v>11.962448120117188</v>
      </c>
      <c r="C75" s="5">
        <f t="shared" si="17"/>
        <v>3.4878612032665471E-2</v>
      </c>
      <c r="D75" s="3">
        <f t="shared" si="18"/>
        <v>16168061.227404926</v>
      </c>
    </row>
    <row r="76" spans="1:11">
      <c r="A76" t="s">
        <v>68</v>
      </c>
      <c r="B76" s="12">
        <v>11.940830230712891</v>
      </c>
      <c r="C76" s="5">
        <f t="shared" si="17"/>
        <v>3.54045321877779E-2</v>
      </c>
      <c r="D76" s="3">
        <f t="shared" si="18"/>
        <v>16411852.73093782</v>
      </c>
    </row>
    <row r="77" spans="1:11">
      <c r="A77" t="s">
        <v>69</v>
      </c>
      <c r="B77" s="12">
        <v>13.060081481933594</v>
      </c>
      <c r="C77" s="5">
        <f t="shared" si="17"/>
        <v>1.631334986304088E-2</v>
      </c>
      <c r="D77" s="3">
        <f t="shared" si="18"/>
        <v>7562091.0362689728</v>
      </c>
      <c r="E77" s="3">
        <f t="shared" si="19"/>
        <v>9064699.1866954155</v>
      </c>
      <c r="F77" s="2">
        <v>1</v>
      </c>
      <c r="G77" s="2">
        <v>50</v>
      </c>
      <c r="H77" s="2">
        <v>0.25</v>
      </c>
      <c r="I77" s="2">
        <v>1</v>
      </c>
      <c r="J77" s="3">
        <f t="shared" ref="J77" si="50">E77*F77*G77/H77</f>
        <v>1812939837.3390832</v>
      </c>
      <c r="K77" s="3">
        <f t="shared" ref="K77" si="51">(STDEV(D77:D79)*F77*G77)/H77</f>
        <v>337360075.78739494</v>
      </c>
    </row>
    <row r="78" spans="1:11">
      <c r="A78" t="s">
        <v>69</v>
      </c>
      <c r="B78" s="12">
        <v>12.533385276794434</v>
      </c>
      <c r="C78" s="5">
        <f t="shared" si="17"/>
        <v>2.3490940120747986E-2</v>
      </c>
      <c r="D78" s="3">
        <f t="shared" si="18"/>
        <v>10889279.590766193</v>
      </c>
    </row>
    <row r="79" spans="1:11">
      <c r="A79" t="s">
        <v>69</v>
      </c>
      <c r="B79" s="12">
        <v>12.850526809692383</v>
      </c>
      <c r="C79" s="5">
        <f t="shared" si="17"/>
        <v>1.8860281175120692E-2</v>
      </c>
      <c r="D79" s="3">
        <f t="shared" si="18"/>
        <v>8742726.9330510795</v>
      </c>
    </row>
    <row r="80" spans="1:11">
      <c r="A80" t="s">
        <v>70</v>
      </c>
      <c r="B80" s="12">
        <v>12.162311553955078</v>
      </c>
      <c r="C80" s="5">
        <f t="shared" si="17"/>
        <v>3.0371620408875599E-2</v>
      </c>
      <c r="D80" s="3">
        <f t="shared" si="18"/>
        <v>14078834.842576589</v>
      </c>
      <c r="E80" s="3">
        <f t="shared" si="19"/>
        <v>14874122.100424193</v>
      </c>
      <c r="F80" s="2">
        <v>1</v>
      </c>
      <c r="G80" s="2">
        <v>50</v>
      </c>
      <c r="H80" s="2">
        <v>0.25</v>
      </c>
      <c r="I80" s="2">
        <v>1</v>
      </c>
      <c r="J80" s="3">
        <f t="shared" ref="J80" si="52">E80*F80*G80/H80</f>
        <v>2974824420.0848384</v>
      </c>
      <c r="K80" s="3">
        <f t="shared" ref="K80" si="53">(STDEV(D80:D82)*F80*G80)/H80</f>
        <v>218308521.78957117</v>
      </c>
    </row>
    <row r="81" spans="1:11">
      <c r="A81" t="s">
        <v>70</v>
      </c>
      <c r="B81" s="12">
        <v>12.127230644226074</v>
      </c>
      <c r="C81" s="5">
        <f t="shared" si="17"/>
        <v>3.1118269715716546E-2</v>
      </c>
      <c r="D81" s="3">
        <f t="shared" si="18"/>
        <v>14424945.854594441</v>
      </c>
    </row>
    <row r="82" spans="1:11">
      <c r="A82" t="s">
        <v>70</v>
      </c>
      <c r="B82" s="12">
        <v>11.966875076293945</v>
      </c>
      <c r="C82" s="5">
        <f t="shared" si="17"/>
        <v>3.477188055472253E-2</v>
      </c>
      <c r="D82" s="3">
        <f t="shared" si="18"/>
        <v>16118585.604101546</v>
      </c>
    </row>
    <row r="83" spans="1:11">
      <c r="A83" t="s">
        <v>24</v>
      </c>
      <c r="B83" s="12">
        <v>11.23494815826416</v>
      </c>
      <c r="C83" s="5">
        <f t="shared" si="17"/>
        <v>5.7715224775111616E-2</v>
      </c>
      <c r="D83" s="3">
        <f t="shared" si="18"/>
        <v>26754025.849523753</v>
      </c>
      <c r="E83" s="3">
        <f t="shared" si="19"/>
        <v>20687850.91313054</v>
      </c>
      <c r="F83" s="2">
        <v>1</v>
      </c>
      <c r="G83" s="2">
        <v>50</v>
      </c>
      <c r="H83" s="2">
        <v>0.25</v>
      </c>
      <c r="I83" s="2">
        <v>1</v>
      </c>
      <c r="J83" s="3">
        <f t="shared" ref="J83" si="54">E83*F83*G83/H83</f>
        <v>4137570182.6261082</v>
      </c>
      <c r="K83" s="3">
        <f t="shared" ref="K83" si="55">(STDEV(D83:D85)*F83*G83)/H83</f>
        <v>1111518568.6285858</v>
      </c>
    </row>
    <row r="84" spans="1:11">
      <c r="A84" t="s">
        <v>24</v>
      </c>
      <c r="B84" s="12">
        <v>11.694158554077148</v>
      </c>
      <c r="C84" s="5">
        <f t="shared" si="17"/>
        <v>4.1997508390570405E-2</v>
      </c>
      <c r="D84" s="3">
        <f t="shared" si="18"/>
        <v>19468042.088981684</v>
      </c>
    </row>
    <row r="85" spans="1:11">
      <c r="A85" t="s">
        <v>24</v>
      </c>
      <c r="B85" s="12">
        <v>11.991923332214355</v>
      </c>
      <c r="C85" s="5">
        <f t="shared" si="17"/>
        <v>3.417410378524155E-2</v>
      </c>
      <c r="D85" s="3">
        <f t="shared" si="18"/>
        <v>15841484.800886177</v>
      </c>
    </row>
    <row r="86" spans="1:11">
      <c r="A86" t="s">
        <v>71</v>
      </c>
      <c r="B86" s="12">
        <v>12.471409797668457</v>
      </c>
      <c r="C86" s="5">
        <f t="shared" si="17"/>
        <v>2.4520766150676377E-2</v>
      </c>
      <c r="D86" s="3">
        <f t="shared" si="18"/>
        <v>11366657.827315968</v>
      </c>
      <c r="E86" s="3">
        <f t="shared" si="19"/>
        <v>10730735.425389679</v>
      </c>
      <c r="F86" s="2">
        <v>1</v>
      </c>
      <c r="G86" s="2">
        <v>50</v>
      </c>
      <c r="H86" s="2">
        <v>0.25</v>
      </c>
      <c r="I86" s="2">
        <v>1</v>
      </c>
      <c r="J86" s="3">
        <f t="shared" ref="J86" si="56">E86*F86*G86/H86</f>
        <v>2146147085.0779359</v>
      </c>
      <c r="K86" s="3">
        <f t="shared" ref="K86" si="57">(STDEV(D86:D88)*F86*G86)/H86</f>
        <v>149267512.55412856</v>
      </c>
    </row>
    <row r="87" spans="1:11">
      <c r="A87" t="s">
        <v>71</v>
      </c>
      <c r="B87" s="12">
        <v>12.669639587402344</v>
      </c>
      <c r="C87" s="5">
        <f t="shared" si="17"/>
        <v>2.1376371011060245E-2</v>
      </c>
      <c r="D87" s="3">
        <f t="shared" si="18"/>
        <v>9909066.1922802851</v>
      </c>
    </row>
    <row r="88" spans="1:11">
      <c r="A88" t="s">
        <v>71</v>
      </c>
      <c r="B88" s="12">
        <v>12.529781341552734</v>
      </c>
      <c r="C88" s="5">
        <f t="shared" si="17"/>
        <v>2.3549623175789507E-2</v>
      </c>
      <c r="D88" s="3">
        <f t="shared" si="18"/>
        <v>10916482.256572789</v>
      </c>
    </row>
    <row r="89" spans="1:11">
      <c r="A89" t="s">
        <v>72</v>
      </c>
      <c r="B89" s="12">
        <v>11.882182121276855</v>
      </c>
      <c r="C89" s="5">
        <f t="shared" si="17"/>
        <v>3.6871608701399786E-2</v>
      </c>
      <c r="D89" s="3">
        <f t="shared" si="18"/>
        <v>17091919.439880013</v>
      </c>
      <c r="E89" s="3">
        <f t="shared" si="19"/>
        <v>17657718.782494102</v>
      </c>
      <c r="F89" s="2">
        <v>1</v>
      </c>
      <c r="G89" s="2">
        <v>50</v>
      </c>
      <c r="H89" s="2">
        <v>0.25</v>
      </c>
      <c r="I89" s="2">
        <v>1</v>
      </c>
      <c r="J89" s="3">
        <f t="shared" ref="J89" si="58">E89*F89*G89/H89</f>
        <v>3531543756.4988203</v>
      </c>
      <c r="K89" s="3">
        <f t="shared" ref="K89" si="59">(STDEV(D89:D91)*F89*G89)/H89</f>
        <v>433642283.0132339</v>
      </c>
    </row>
    <row r="90" spans="1:11">
      <c r="A90" t="s">
        <v>72</v>
      </c>
      <c r="B90" s="12">
        <v>11.65141487121582</v>
      </c>
      <c r="C90" s="5">
        <f t="shared" si="17"/>
        <v>4.3258843377949698E-2</v>
      </c>
      <c r="D90" s="3">
        <f t="shared" si="18"/>
        <v>20052736.83787585</v>
      </c>
    </row>
    <row r="91" spans="1:11">
      <c r="A91" t="s">
        <v>72</v>
      </c>
      <c r="B91" s="12">
        <v>11.993107795715332</v>
      </c>
      <c r="C91" s="5">
        <f t="shared" si="17"/>
        <v>3.4146092424194668E-2</v>
      </c>
      <c r="D91" s="3">
        <f t="shared" si="18"/>
        <v>15828500.069726441</v>
      </c>
    </row>
    <row r="92" spans="1:11">
      <c r="A92" t="s">
        <v>73</v>
      </c>
      <c r="B92" s="12">
        <v>11.700981140136719</v>
      </c>
      <c r="C92" s="5">
        <f t="shared" si="17"/>
        <v>4.1799610688537124E-2</v>
      </c>
      <c r="D92" s="3">
        <f t="shared" si="18"/>
        <v>19376306.151776377</v>
      </c>
      <c r="E92" s="3">
        <f t="shared" si="19"/>
        <v>17893554.455435406</v>
      </c>
      <c r="F92" s="2">
        <v>1</v>
      </c>
      <c r="G92" s="2">
        <v>50</v>
      </c>
      <c r="H92" s="2">
        <v>0.25</v>
      </c>
      <c r="I92" s="2">
        <v>1</v>
      </c>
      <c r="J92" s="3">
        <f t="shared" ref="J92" si="60">E92*F92*G92/H92</f>
        <v>3578710891.0870814</v>
      </c>
      <c r="K92" s="3">
        <f t="shared" ref="K92" si="61">(STDEV(D92:D94)*F92*G92)/H92</f>
        <v>618779192.78577888</v>
      </c>
    </row>
    <row r="93" spans="1:11">
      <c r="A93" t="s">
        <v>73</v>
      </c>
      <c r="B93" s="12">
        <v>11.65760326385498</v>
      </c>
      <c r="C93" s="5">
        <f t="shared" si="17"/>
        <v>4.3073909603033915E-2</v>
      </c>
      <c r="D93" s="3">
        <f t="shared" si="18"/>
        <v>19967010.359051142</v>
      </c>
    </row>
    <row r="94" spans="1:11">
      <c r="A94" t="s">
        <v>73</v>
      </c>
      <c r="B94" s="12">
        <v>12.136029243469238</v>
      </c>
      <c r="C94" s="5">
        <f t="shared" si="17"/>
        <v>3.0929296439228138E-2</v>
      </c>
      <c r="D94" s="3">
        <f t="shared" si="18"/>
        <v>14337346.855478697</v>
      </c>
    </row>
    <row r="95" spans="1:11">
      <c r="A95" t="s">
        <v>74</v>
      </c>
      <c r="B95" s="12">
        <v>11.57149600982666</v>
      </c>
      <c r="C95" s="5">
        <f t="shared" si="17"/>
        <v>4.5719705534598941E-2</v>
      </c>
      <c r="D95" s="3">
        <f t="shared" si="18"/>
        <v>21193475.178714816</v>
      </c>
      <c r="E95" s="3">
        <f t="shared" si="19"/>
        <v>20600974.638719533</v>
      </c>
      <c r="F95" s="2">
        <v>1</v>
      </c>
      <c r="G95" s="2">
        <v>50</v>
      </c>
      <c r="H95" s="2">
        <v>0.25</v>
      </c>
      <c r="I95" s="2">
        <v>1</v>
      </c>
      <c r="J95" s="3">
        <f t="shared" ref="J95" si="62">E95*F95*G95/H95</f>
        <v>4120194927.7439065</v>
      </c>
      <c r="K95" s="3">
        <f t="shared" ref="K95" si="63">(STDEV(D95:D97)*F95*G95)/H95</f>
        <v>401545377.92254305</v>
      </c>
    </row>
    <row r="96" spans="1:11">
      <c r="A96" t="s">
        <v>74</v>
      </c>
      <c r="B96" s="12">
        <v>11.501499176025391</v>
      </c>
      <c r="C96" s="5">
        <f t="shared" ref="C96:C103" si="64">10^((B96-7.115)/(-3.326))</f>
        <v>4.7989781712711004E-2</v>
      </c>
      <c r="D96" s="3">
        <f t="shared" ref="D96:D109" si="65">C96*$B$9</f>
        <v>22245774.238213379</v>
      </c>
    </row>
    <row r="97" spans="1:11">
      <c r="A97" t="s">
        <v>74</v>
      </c>
      <c r="B97" s="12">
        <v>11.778514862060547</v>
      </c>
      <c r="C97" s="5">
        <f t="shared" si="64"/>
        <v>3.9615107176063917E-2</v>
      </c>
      <c r="D97" s="3">
        <f t="shared" si="65"/>
        <v>18363674.499230403</v>
      </c>
    </row>
    <row r="98" spans="1:11">
      <c r="A98" t="s">
        <v>75</v>
      </c>
      <c r="B98" s="12">
        <v>11.066864967346191</v>
      </c>
      <c r="C98" s="5">
        <f t="shared" si="64"/>
        <v>6.4837539884830014E-2</v>
      </c>
      <c r="D98" s="3">
        <f t="shared" si="65"/>
        <v>30055591.481405869</v>
      </c>
      <c r="E98" s="3">
        <f t="shared" ref="E98:E107" si="66">AVERAGE(D98:D100)</f>
        <v>29411560.39426896</v>
      </c>
      <c r="F98" s="2">
        <v>1</v>
      </c>
      <c r="G98" s="2">
        <v>50</v>
      </c>
      <c r="H98" s="2">
        <v>0.25</v>
      </c>
      <c r="I98" s="2">
        <v>1</v>
      </c>
      <c r="J98" s="3">
        <f t="shared" ref="J98" si="67">E98*F98*G98/H98</f>
        <v>5882312078.8537922</v>
      </c>
      <c r="K98" s="3">
        <f t="shared" ref="K98" si="68">(STDEV(D98:D100)*F98*G98)/H98</f>
        <v>124646095.34250315</v>
      </c>
    </row>
    <row r="99" spans="1:11">
      <c r="A99" t="s">
        <v>75</v>
      </c>
      <c r="B99" s="12">
        <v>11.127930641174316</v>
      </c>
      <c r="C99" s="5">
        <f t="shared" si="64"/>
        <v>6.2153620796732395E-2</v>
      </c>
      <c r="D99" s="3">
        <f t="shared" si="65"/>
        <v>28811454.584412295</v>
      </c>
    </row>
    <row r="100" spans="1:11">
      <c r="A100" t="s">
        <v>75</v>
      </c>
      <c r="B100" s="12">
        <v>11.100312232971191</v>
      </c>
      <c r="C100" s="5">
        <f t="shared" si="64"/>
        <v>6.3353443381704608E-2</v>
      </c>
      <c r="D100" s="3">
        <f t="shared" si="65"/>
        <v>29367635.116988711</v>
      </c>
    </row>
    <row r="101" spans="1:11">
      <c r="A101" t="s">
        <v>76</v>
      </c>
      <c r="B101" s="12">
        <v>11.060680389404297</v>
      </c>
      <c r="C101" s="5">
        <f t="shared" si="64"/>
        <v>6.5115741792024479E-2</v>
      </c>
      <c r="D101" s="3">
        <f t="shared" si="65"/>
        <v>30184552.618531633</v>
      </c>
      <c r="E101" s="3">
        <f t="shared" si="66"/>
        <v>27978359.776499603</v>
      </c>
      <c r="F101" s="2">
        <v>1</v>
      </c>
      <c r="G101" s="2">
        <v>50</v>
      </c>
      <c r="H101" s="2">
        <v>0.25</v>
      </c>
      <c r="I101" s="2">
        <v>1</v>
      </c>
      <c r="J101" s="3">
        <f t="shared" ref="J101" si="69">E101*F101*G101/H101</f>
        <v>5595671955.299921</v>
      </c>
      <c r="K101" s="3">
        <f t="shared" ref="K101" si="70">(STDEV(D101:D103)*F101*G101)/H101</f>
        <v>552570231.11913979</v>
      </c>
    </row>
    <row r="102" spans="1:11">
      <c r="A102" t="s">
        <v>76</v>
      </c>
      <c r="B102" s="12">
        <v>11.12494945526123</v>
      </c>
      <c r="C102" s="5">
        <f t="shared" si="64"/>
        <v>6.228203030383573E-2</v>
      </c>
      <c r="D102" s="3">
        <f t="shared" si="65"/>
        <v>28870979.108240344</v>
      </c>
    </row>
    <row r="103" spans="1:11">
      <c r="A103" t="s">
        <v>76</v>
      </c>
      <c r="B103" s="12">
        <v>11.339872360229492</v>
      </c>
      <c r="C103" s="5">
        <f t="shared" si="64"/>
        <v>5.3671499394923002E-2</v>
      </c>
      <c r="D103" s="3">
        <f t="shared" si="65"/>
        <v>24879547.602726832</v>
      </c>
    </row>
    <row r="104" spans="1:11">
      <c r="A104" t="s">
        <v>27</v>
      </c>
      <c r="B104" t="s">
        <v>28</v>
      </c>
      <c r="C104" s="5" t="e">
        <f t="shared" ref="C104" si="71">10^((B104-8.024)/(-3.261))</f>
        <v>#VALUE!</v>
      </c>
      <c r="D104" s="3" t="e">
        <f t="shared" si="65"/>
        <v>#VALUE!</v>
      </c>
      <c r="E104" s="3" t="e">
        <f t="shared" si="66"/>
        <v>#VALUE!</v>
      </c>
      <c r="F104" s="2">
        <v>1</v>
      </c>
      <c r="G104" s="2">
        <v>50</v>
      </c>
      <c r="H104" s="2">
        <v>0.25</v>
      </c>
      <c r="I104" s="2">
        <v>1</v>
      </c>
      <c r="J104" s="3" t="e">
        <f t="shared" ref="J104" si="72">E104*F104*G104/H104</f>
        <v>#VALUE!</v>
      </c>
      <c r="K104" s="3" t="e">
        <f t="shared" ref="K104" si="73">(STDEV(D104:D106)*F104*G104)/H104</f>
        <v>#VALUE!</v>
      </c>
    </row>
    <row r="105" spans="1:11">
      <c r="A105" t="s">
        <v>27</v>
      </c>
      <c r="B105" s="12">
        <v>12.977963447570801</v>
      </c>
      <c r="C105" s="5">
        <f t="shared" ref="C105:C109" si="74">10^((B105-7.115)/(-3.326))</f>
        <v>1.7267635716231931E-2</v>
      </c>
      <c r="D105" s="3">
        <f t="shared" si="65"/>
        <v>8004452.4492859049</v>
      </c>
    </row>
    <row r="106" spans="1:11">
      <c r="A106" t="s">
        <v>27</v>
      </c>
      <c r="B106" s="12">
        <v>12.807640075683594</v>
      </c>
      <c r="C106" s="5">
        <f t="shared" si="74"/>
        <v>1.9428646699214104E-2</v>
      </c>
      <c r="D106" s="3">
        <f t="shared" si="65"/>
        <v>9006194.0854848437</v>
      </c>
    </row>
    <row r="107" spans="1:11">
      <c r="A107" t="s">
        <v>77</v>
      </c>
      <c r="B107" s="12">
        <v>12.213207244873047</v>
      </c>
      <c r="C107" s="5">
        <f t="shared" si="74"/>
        <v>2.9320109698017058E-2</v>
      </c>
      <c r="D107" s="3">
        <f t="shared" si="65"/>
        <v>13591404.622058902</v>
      </c>
      <c r="E107" s="3">
        <f t="shared" si="66"/>
        <v>13284654.370745286</v>
      </c>
      <c r="F107" s="2">
        <v>1</v>
      </c>
      <c r="G107" s="2">
        <v>50</v>
      </c>
      <c r="H107" s="2">
        <v>0.25</v>
      </c>
      <c r="I107" s="2">
        <v>1</v>
      </c>
      <c r="J107" s="3">
        <f t="shared" ref="J107" si="75">E107*F107*G107/H107</f>
        <v>2656930874.1490574</v>
      </c>
      <c r="K107" s="3">
        <f t="shared" ref="K107" si="76">(STDEV(D107:D109)*F107*G107)/H107</f>
        <v>747080727.58551335</v>
      </c>
    </row>
    <row r="108" spans="1:11">
      <c r="A108" t="s">
        <v>77</v>
      </c>
      <c r="B108" s="12">
        <v>12.745001792907715</v>
      </c>
      <c r="C108" s="5">
        <f t="shared" si="74"/>
        <v>2.0289692640862937E-2</v>
      </c>
      <c r="D108" s="3">
        <f t="shared" si="65"/>
        <v>9405333.9219883364</v>
      </c>
    </row>
    <row r="109" spans="1:11">
      <c r="A109" t="s">
        <v>77</v>
      </c>
      <c r="B109" s="12">
        <v>11.902153968811035</v>
      </c>
      <c r="C109" s="5">
        <f t="shared" si="74"/>
        <v>3.6365312290182257E-2</v>
      </c>
      <c r="D109" s="3">
        <f t="shared" si="65"/>
        <v>16857224.568188619</v>
      </c>
    </row>
  </sheetData>
  <mergeCells count="11">
    <mergeCell ref="K13:K14"/>
    <mergeCell ref="L13:L14"/>
    <mergeCell ref="B13:B14"/>
    <mergeCell ref="D13:D14"/>
    <mergeCell ref="E13:E14"/>
    <mergeCell ref="F13:F14"/>
    <mergeCell ref="G13:G14"/>
    <mergeCell ref="H13:H14"/>
    <mergeCell ref="I13:I14"/>
    <mergeCell ref="J13:J14"/>
    <mergeCell ref="C13:C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6AA8D-C8A4-5642-8290-491EE4491530}">
  <dimension ref="A1:Q109"/>
  <sheetViews>
    <sheetView topLeftCell="A74" zoomScale="120" zoomScaleNormal="120" workbookViewId="0">
      <selection activeCell="A107" sqref="A107"/>
    </sheetView>
  </sheetViews>
  <sheetFormatPr baseColWidth="10" defaultRowHeight="15"/>
  <cols>
    <col min="1" max="1" width="34" style="2" customWidth="1"/>
    <col min="2" max="2" width="10.7109375" style="2"/>
    <col min="3" max="3" width="13.42578125" style="2" customWidth="1"/>
    <col min="4" max="4" width="17.7109375" style="2" customWidth="1"/>
    <col min="5" max="5" width="13" style="2" customWidth="1"/>
    <col min="6" max="6" width="7.42578125" style="2" customWidth="1"/>
    <col min="7" max="7" width="15.5703125" style="2" customWidth="1"/>
    <col min="8" max="8" width="33" style="2" customWidth="1"/>
    <col min="9" max="9" width="12" style="2" customWidth="1"/>
    <col min="10" max="10" width="16.85546875" style="2" customWidth="1"/>
    <col min="11" max="11" width="10.85546875" style="2" customWidth="1"/>
    <col min="12" max="12" width="14.42578125" style="2" customWidth="1"/>
    <col min="13" max="16384" width="10.7109375" style="2"/>
  </cols>
  <sheetData>
    <row r="1" spans="1:16">
      <c r="A1" s="2" t="s">
        <v>78</v>
      </c>
    </row>
    <row r="2" spans="1:16">
      <c r="A2" s="2" t="s">
        <v>79</v>
      </c>
    </row>
    <row r="3" spans="1:16">
      <c r="A3" s="2" t="s">
        <v>23</v>
      </c>
    </row>
    <row r="5" spans="1:16">
      <c r="A5" s="2" t="s">
        <v>32</v>
      </c>
      <c r="B5" s="3">
        <v>1500</v>
      </c>
      <c r="D5" s="2" t="s">
        <v>10</v>
      </c>
    </row>
    <row r="6" spans="1:16" ht="17">
      <c r="A6" s="2" t="s">
        <v>6</v>
      </c>
      <c r="B6" s="3">
        <v>1.096E-21</v>
      </c>
      <c r="D6" s="2" t="s">
        <v>9</v>
      </c>
      <c r="E6" s="3"/>
      <c r="F6" s="3"/>
      <c r="H6" s="1"/>
      <c r="I6" s="6"/>
      <c r="J6" s="1"/>
      <c r="K6" s="6"/>
      <c r="L6" s="1"/>
      <c r="M6" s="6"/>
      <c r="N6" s="1"/>
      <c r="O6" s="6"/>
      <c r="P6" s="1"/>
    </row>
    <row r="7" spans="1:16">
      <c r="A7" s="2" t="s">
        <v>33</v>
      </c>
      <c r="B7" s="3">
        <f>B5*B6</f>
        <v>1.6439999999999999E-18</v>
      </c>
      <c r="C7" s="3"/>
      <c r="E7" s="4"/>
      <c r="F7" s="5"/>
      <c r="H7" s="1"/>
      <c r="I7" s="6"/>
      <c r="J7" s="1"/>
      <c r="K7" s="6"/>
      <c r="L7" s="1"/>
      <c r="M7" s="6"/>
      <c r="N7" s="1"/>
      <c r="O7" s="6"/>
      <c r="P7" s="1"/>
    </row>
    <row r="8" spans="1:16">
      <c r="A8" s="2" t="s">
        <v>34</v>
      </c>
      <c r="B8" s="3">
        <v>7.6207999999999981E-10</v>
      </c>
      <c r="D8" s="2" t="s">
        <v>13</v>
      </c>
      <c r="E8" s="4"/>
      <c r="F8" s="5"/>
      <c r="H8" s="1"/>
      <c r="I8" s="1"/>
      <c r="J8" s="1"/>
      <c r="K8" s="1"/>
      <c r="L8" s="1"/>
      <c r="M8" s="1"/>
      <c r="N8" s="1"/>
      <c r="O8" s="1"/>
      <c r="P8" s="1"/>
    </row>
    <row r="9" spans="1:16">
      <c r="A9" s="2" t="s">
        <v>35</v>
      </c>
      <c r="B9" s="3">
        <f>B8/B7</f>
        <v>463552311.43552303</v>
      </c>
      <c r="D9" s="2" t="s">
        <v>14</v>
      </c>
      <c r="H9" s="1"/>
      <c r="I9" s="1"/>
      <c r="J9" s="1"/>
      <c r="K9" s="1"/>
      <c r="L9" s="1"/>
      <c r="M9" s="1"/>
      <c r="N9" s="1"/>
      <c r="O9" s="1"/>
      <c r="P9" s="1"/>
    </row>
    <row r="10" spans="1:16">
      <c r="A10" s="2" t="s">
        <v>8</v>
      </c>
      <c r="B10" s="3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2" t="s">
        <v>11</v>
      </c>
      <c r="B11" s="3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B12" s="3"/>
      <c r="H12" s="1"/>
      <c r="I12" s="1"/>
      <c r="J12" s="1"/>
      <c r="K12" s="1"/>
      <c r="L12" s="1"/>
      <c r="M12" s="1"/>
      <c r="N12" s="1"/>
      <c r="O12" s="1"/>
      <c r="P12" s="1"/>
    </row>
    <row r="13" spans="1:16" ht="15" customHeight="1">
      <c r="A13" s="2" t="s">
        <v>0</v>
      </c>
      <c r="B13" s="14" t="s">
        <v>1</v>
      </c>
      <c r="C13" s="15" t="s">
        <v>7</v>
      </c>
      <c r="D13" s="15" t="s">
        <v>12</v>
      </c>
      <c r="E13" s="15" t="s">
        <v>2</v>
      </c>
      <c r="F13" s="15" t="s">
        <v>3</v>
      </c>
      <c r="G13" s="15" t="s">
        <v>5</v>
      </c>
      <c r="H13" s="15" t="s">
        <v>36</v>
      </c>
      <c r="I13" s="15" t="s">
        <v>4</v>
      </c>
      <c r="J13" s="15" t="s">
        <v>37</v>
      </c>
      <c r="K13" s="13" t="s">
        <v>15</v>
      </c>
      <c r="L13" s="13"/>
      <c r="M13" s="1"/>
      <c r="N13" s="1"/>
      <c r="O13" s="1"/>
      <c r="P13" s="1"/>
    </row>
    <row r="14" spans="1:16">
      <c r="B14" s="14"/>
      <c r="C14" s="15"/>
      <c r="D14" s="15"/>
      <c r="E14" s="15"/>
      <c r="F14" s="15"/>
      <c r="G14" s="15"/>
      <c r="H14" s="15"/>
      <c r="I14" s="15"/>
      <c r="J14" s="15"/>
      <c r="K14" s="13"/>
      <c r="L14" s="13"/>
      <c r="M14" s="1"/>
      <c r="N14" s="1"/>
      <c r="O14" s="1"/>
      <c r="P14" s="1"/>
    </row>
    <row r="15" spans="1:16">
      <c r="A15" s="2" t="s">
        <v>21</v>
      </c>
      <c r="B15" s="10"/>
      <c r="C15" s="11"/>
      <c r="D15" s="11"/>
      <c r="E15" s="11"/>
      <c r="F15" s="11"/>
      <c r="G15" s="11"/>
      <c r="H15" s="11"/>
      <c r="I15" s="11"/>
      <c r="J15" s="11"/>
      <c r="K15" s="1"/>
      <c r="L15" s="6"/>
      <c r="M15" s="1"/>
      <c r="N15" s="1"/>
      <c r="O15" s="1"/>
      <c r="P15" s="1"/>
    </row>
    <row r="16" spans="1:16">
      <c r="A16" s="2" t="s">
        <v>16</v>
      </c>
      <c r="B16" s="12">
        <v>7.4900403022766113</v>
      </c>
      <c r="C16" s="5">
        <f>10^((B16-7.326)/(-3.357))</f>
        <v>0.89358290521410955</v>
      </c>
      <c r="D16" s="3">
        <f>C16*$B$9</f>
        <v>414222421.17127037</v>
      </c>
      <c r="E16" s="3">
        <f t="shared" ref="E16" si="0">AVERAGE(D16:D18)</f>
        <v>446177268.10207433</v>
      </c>
      <c r="F16" s="2">
        <v>1</v>
      </c>
      <c r="G16" s="2">
        <v>50</v>
      </c>
      <c r="H16" s="2">
        <v>47.2</v>
      </c>
      <c r="I16" s="2">
        <v>1</v>
      </c>
      <c r="J16" s="3">
        <f t="shared" ref="J16" si="1">E16*F16*G16/H16</f>
        <v>472645411.12507874</v>
      </c>
      <c r="K16" s="3">
        <f t="shared" ref="K16" si="2">(STDEV(D16:D18)*F16*G16)/H16</f>
        <v>30542594.328021996</v>
      </c>
      <c r="L16" s="6"/>
      <c r="M16" s="1"/>
      <c r="N16" s="1"/>
      <c r="O16" s="1"/>
      <c r="P16" s="1"/>
    </row>
    <row r="17" spans="1:16">
      <c r="B17" s="12">
        <v>7.3561520576477051</v>
      </c>
      <c r="C17" s="5">
        <f t="shared" ref="C17:C30" si="3">10^((B17-7.326)/(-3.357))</f>
        <v>0.97953092963206545</v>
      </c>
      <c r="D17" s="3">
        <f t="shared" ref="D17:D30" si="4">C17*$B$9</f>
        <v>454063826.55353057</v>
      </c>
      <c r="L17" s="6"/>
      <c r="M17" s="1"/>
      <c r="N17" s="1"/>
      <c r="O17" s="1"/>
      <c r="P17" s="1"/>
    </row>
    <row r="18" spans="1:16">
      <c r="B18" s="12">
        <v>7.3050994873046875</v>
      </c>
      <c r="C18" s="5">
        <f t="shared" si="3"/>
        <v>1.0144390287369538</v>
      </c>
      <c r="D18" s="3">
        <f t="shared" si="4"/>
        <v>470245556.58142191</v>
      </c>
      <c r="L18" s="6"/>
      <c r="M18" s="1"/>
      <c r="N18" s="1"/>
      <c r="O18" s="1"/>
      <c r="P18" s="1"/>
    </row>
    <row r="19" spans="1:16">
      <c r="A19" s="2" t="s">
        <v>17</v>
      </c>
      <c r="B19" s="12">
        <v>10.158050537109375</v>
      </c>
      <c r="C19" s="5">
        <f t="shared" si="3"/>
        <v>0.14334236953951709</v>
      </c>
      <c r="D19" s="3">
        <f t="shared" si="4"/>
        <v>66446686.726688057</v>
      </c>
      <c r="E19" s="3">
        <f t="shared" ref="E19" si="5">AVERAGE(D19:D21)</f>
        <v>68453943.078809589</v>
      </c>
      <c r="F19" s="2">
        <v>5</v>
      </c>
      <c r="G19" s="2">
        <v>50</v>
      </c>
      <c r="H19" s="2">
        <v>47.2</v>
      </c>
      <c r="I19" s="2">
        <v>1</v>
      </c>
      <c r="J19" s="3">
        <f t="shared" ref="J19" si="6">E19*F19*G19/H19</f>
        <v>362573851.0530169</v>
      </c>
      <c r="K19" s="3">
        <f t="shared" ref="K19" si="7">(STDEV(D19:D21)*F19*G19)/H19</f>
        <v>32595355.624016449</v>
      </c>
      <c r="L19" s="6"/>
      <c r="M19" s="1"/>
      <c r="N19" s="1"/>
      <c r="O19" s="1"/>
      <c r="P19" s="1"/>
    </row>
    <row r="20" spans="1:16">
      <c r="B20" s="12">
        <v>9.974513053894043</v>
      </c>
      <c r="C20" s="5">
        <f t="shared" si="3"/>
        <v>0.16257271011215152</v>
      </c>
      <c r="D20" s="3">
        <f t="shared" si="4"/>
        <v>75360955.54882507</v>
      </c>
      <c r="L20" s="6"/>
      <c r="M20" s="1"/>
      <c r="N20" s="1"/>
      <c r="O20" s="1"/>
      <c r="P20" s="1"/>
    </row>
    <row r="21" spans="1:16">
      <c r="B21" s="12">
        <v>10.222938537597656</v>
      </c>
      <c r="C21" s="5">
        <f t="shared" si="3"/>
        <v>0.13710251333684828</v>
      </c>
      <c r="D21" s="3">
        <f t="shared" si="4"/>
        <v>63554186.960915647</v>
      </c>
      <c r="L21" s="6"/>
      <c r="M21" s="1"/>
      <c r="N21" s="1"/>
      <c r="O21" s="1"/>
      <c r="P21" s="1"/>
    </row>
    <row r="22" spans="1:16">
      <c r="A22" s="2" t="s">
        <v>18</v>
      </c>
      <c r="B22" s="12">
        <v>13.182267189025879</v>
      </c>
      <c r="C22" s="5">
        <f t="shared" si="3"/>
        <v>1.8009669890016559E-2</v>
      </c>
      <c r="D22" s="3">
        <f t="shared" si="4"/>
        <v>8348424.1057079183</v>
      </c>
      <c r="E22" s="3">
        <f t="shared" ref="E22" si="8">AVERAGE(D22:D24)</f>
        <v>11278147.353637308</v>
      </c>
      <c r="F22" s="2">
        <v>25</v>
      </c>
      <c r="G22" s="2">
        <v>50</v>
      </c>
      <c r="H22" s="2">
        <v>47.2</v>
      </c>
      <c r="I22" s="2">
        <v>1</v>
      </c>
      <c r="J22" s="3">
        <f t="shared" ref="J22" si="9">E22*F22*G22/H22</f>
        <v>298679749.83149654</v>
      </c>
      <c r="K22" s="3">
        <f t="shared" ref="K22" si="10">(STDEV(D22:D24)*F22*G22)/H22</f>
        <v>71717589.786212519</v>
      </c>
      <c r="L22" s="6"/>
      <c r="M22" s="1"/>
      <c r="N22" s="1"/>
      <c r="O22" s="1"/>
      <c r="P22" s="1"/>
    </row>
    <row r="23" spans="1:16">
      <c r="B23" s="12">
        <v>12.67823314666748</v>
      </c>
      <c r="C23" s="5">
        <f t="shared" si="3"/>
        <v>2.5447782334641636E-2</v>
      </c>
      <c r="D23" s="3">
        <f t="shared" si="4"/>
        <v>11796378.322131202</v>
      </c>
      <c r="L23" s="6"/>
      <c r="M23" s="1"/>
      <c r="N23" s="1"/>
      <c r="O23" s="1"/>
      <c r="P23" s="1"/>
    </row>
    <row r="24" spans="1:16">
      <c r="B24" s="12">
        <v>12.461225509643555</v>
      </c>
      <c r="C24" s="5">
        <f t="shared" si="3"/>
        <v>2.9532027551925903E-2</v>
      </c>
      <c r="D24" s="3">
        <f t="shared" si="4"/>
        <v>13689639.633072803</v>
      </c>
      <c r="L24" s="6"/>
      <c r="M24" s="1"/>
      <c r="N24" s="1"/>
      <c r="O24" s="1"/>
      <c r="P24" s="1"/>
    </row>
    <row r="25" spans="1:16">
      <c r="A25" s="2" t="s">
        <v>19</v>
      </c>
      <c r="B25" s="12">
        <v>15.228681564331055</v>
      </c>
      <c r="C25" s="5">
        <f t="shared" si="3"/>
        <v>4.4249622776561318E-3</v>
      </c>
      <c r="D25" s="3">
        <f t="shared" si="4"/>
        <v>2051201.4918224965</v>
      </c>
      <c r="E25" s="3">
        <f t="shared" ref="E25" si="11">AVERAGE(D25:D27)</f>
        <v>1965919.5593543982</v>
      </c>
      <c r="F25" s="2">
        <v>125</v>
      </c>
      <c r="G25" s="2">
        <v>50</v>
      </c>
      <c r="H25" s="2">
        <v>47.2</v>
      </c>
      <c r="I25" s="2">
        <v>1</v>
      </c>
      <c r="J25" s="3">
        <f t="shared" ref="J25" si="12">E25*F25*G25/H25</f>
        <v>260317738.26197007</v>
      </c>
      <c r="K25" s="3">
        <f t="shared" ref="K25" si="13">(STDEV(D25:D27)*F25*G25)/H25</f>
        <v>10088414.23046669</v>
      </c>
      <c r="L25" s="6"/>
      <c r="M25" s="1"/>
      <c r="N25" s="1"/>
      <c r="O25" s="1"/>
      <c r="P25" s="1"/>
    </row>
    <row r="26" spans="1:16">
      <c r="B26" s="12">
        <v>15.336811065673828</v>
      </c>
      <c r="C26" s="5">
        <f t="shared" si="3"/>
        <v>4.1086525305431953E-3</v>
      </c>
      <c r="D26" s="3">
        <f t="shared" si="4"/>
        <v>1904575.377418709</v>
      </c>
      <c r="L26" s="6"/>
      <c r="M26" s="1"/>
      <c r="N26" s="1"/>
      <c r="O26" s="1"/>
      <c r="P26" s="1"/>
    </row>
    <row r="27" spans="1:16">
      <c r="B27" s="12">
        <v>15.308454513549805</v>
      </c>
      <c r="C27" s="5">
        <f t="shared" si="3"/>
        <v>4.1893476980151036E-3</v>
      </c>
      <c r="D27" s="3">
        <f t="shared" si="4"/>
        <v>1941981.8088219888</v>
      </c>
      <c r="L27" s="6"/>
      <c r="M27" s="1"/>
      <c r="N27" s="1"/>
      <c r="O27" s="1"/>
      <c r="P27" s="1"/>
    </row>
    <row r="28" spans="1:16">
      <c r="A28" s="2" t="s">
        <v>20</v>
      </c>
      <c r="B28" s="12">
        <v>16.424835205078125</v>
      </c>
      <c r="C28" s="5">
        <f t="shared" si="3"/>
        <v>1.9480196163462126E-3</v>
      </c>
      <c r="D28" s="3">
        <f t="shared" si="4"/>
        <v>903008.99587902764</v>
      </c>
      <c r="E28" s="3">
        <f t="shared" ref="E28" si="14">AVERAGE(D28:D30)</f>
        <v>850905.2738254955</v>
      </c>
      <c r="F28" s="2">
        <v>625</v>
      </c>
      <c r="G28" s="2">
        <v>50</v>
      </c>
      <c r="H28" s="2">
        <v>47.2</v>
      </c>
      <c r="I28" s="2">
        <v>1</v>
      </c>
      <c r="J28" s="3">
        <f t="shared" ref="J28" si="15">E28*F28*G28/H28</f>
        <v>563364190.82726133</v>
      </c>
      <c r="K28" s="3">
        <f t="shared" ref="K28" si="16">(STDEV(D28:D30)*F28*G28)/H28</f>
        <v>105747765.26831369</v>
      </c>
      <c r="L28" s="7"/>
      <c r="M28" s="1"/>
      <c r="N28" s="1"/>
      <c r="O28" s="1"/>
      <c r="P28" s="7"/>
    </row>
    <row r="29" spans="1:16">
      <c r="B29" s="12">
        <v>16.856399536132812</v>
      </c>
      <c r="C29" s="5">
        <f t="shared" si="3"/>
        <v>1.4488945473434102E-3</v>
      </c>
      <c r="D29" s="3">
        <f t="shared" si="4"/>
        <v>671638.41644736368</v>
      </c>
      <c r="L29" s="7"/>
      <c r="M29" s="1"/>
      <c r="N29" s="1"/>
      <c r="O29" s="1"/>
      <c r="P29" s="7"/>
    </row>
    <row r="30" spans="1:16">
      <c r="B30" s="12">
        <v>16.30842399597168</v>
      </c>
      <c r="C30" s="5">
        <f t="shared" si="3"/>
        <v>2.1099418232242767E-3</v>
      </c>
      <c r="D30" s="3">
        <f t="shared" si="4"/>
        <v>978068.40915009519</v>
      </c>
      <c r="L30" s="7"/>
      <c r="M30" s="1"/>
      <c r="N30" s="1"/>
      <c r="O30" s="1"/>
      <c r="P30" s="7"/>
    </row>
    <row r="31" spans="1:16">
      <c r="A31" s="2" t="s">
        <v>22</v>
      </c>
      <c r="B31" s="12"/>
      <c r="C31" s="5"/>
      <c r="D31" s="3"/>
      <c r="L31" s="7"/>
      <c r="M31" s="1"/>
      <c r="N31" s="1"/>
      <c r="O31" s="1"/>
      <c r="P31" s="7"/>
    </row>
    <row r="32" spans="1:16">
      <c r="A32" t="s">
        <v>47</v>
      </c>
      <c r="B32" s="12">
        <v>12.369854927062988</v>
      </c>
      <c r="C32" s="5">
        <f t="shared" ref="C32:C85" si="17">10^((B32-7.326)/(-3.357))</f>
        <v>3.1442074501187127E-2</v>
      </c>
      <c r="D32" s="3">
        <f t="shared" ref="D32:D95" si="18">C32*$B$9</f>
        <v>14575046.311353212</v>
      </c>
      <c r="E32" s="3">
        <f t="shared" ref="E32:E92" si="19">AVERAGE(D32:D34)</f>
        <v>13734389.134382693</v>
      </c>
      <c r="F32" s="2">
        <v>1</v>
      </c>
      <c r="G32" s="2">
        <v>50</v>
      </c>
      <c r="H32" s="2">
        <v>0.25</v>
      </c>
      <c r="I32" s="2">
        <v>1</v>
      </c>
      <c r="J32" s="3">
        <f t="shared" ref="J32" si="20">E32*F32*G32/H32</f>
        <v>2746877826.8765388</v>
      </c>
      <c r="K32" s="3">
        <f t="shared" ref="K32" si="21">(STDEV(D32:D34)*F32*G32)/H32</f>
        <v>227699197.13489172</v>
      </c>
    </row>
    <row r="33" spans="1:17">
      <c r="A33" t="s">
        <v>47</v>
      </c>
      <c r="B33" s="12">
        <v>12.408954620361328</v>
      </c>
      <c r="C33" s="5">
        <f t="shared" si="17"/>
        <v>3.0610045816156801E-2</v>
      </c>
      <c r="D33" s="3">
        <f t="shared" si="18"/>
        <v>14189357.491226746</v>
      </c>
    </row>
    <row r="34" spans="1:17">
      <c r="A34" t="s">
        <v>47</v>
      </c>
      <c r="B34" s="12">
        <v>12.600926399230957</v>
      </c>
      <c r="C34" s="5">
        <f t="shared" si="17"/>
        <v>2.6833570437925145E-2</v>
      </c>
      <c r="D34" s="3">
        <f t="shared" si="18"/>
        <v>12438763.600568121</v>
      </c>
    </row>
    <row r="35" spans="1:17">
      <c r="A35" t="s">
        <v>80</v>
      </c>
      <c r="B35" s="12">
        <v>12.676082611083984</v>
      </c>
      <c r="C35" s="5">
        <f t="shared" si="17"/>
        <v>2.5485347150764306E-2</v>
      </c>
      <c r="D35" s="3">
        <f t="shared" si="18"/>
        <v>11813791.579473516</v>
      </c>
      <c r="E35" s="3">
        <f t="shared" si="19"/>
        <v>11883432.187464213</v>
      </c>
      <c r="F35" s="2">
        <v>1</v>
      </c>
      <c r="G35" s="2">
        <v>50</v>
      </c>
      <c r="H35" s="2">
        <v>0.25</v>
      </c>
      <c r="I35" s="2">
        <v>1</v>
      </c>
      <c r="J35" s="3">
        <f t="shared" ref="J35" si="22">E35*F35*G35/H35</f>
        <v>2376686437.4928427</v>
      </c>
      <c r="K35" s="3">
        <f t="shared" ref="K35" si="23">(STDEV(D35:D37)*F35*G35)/H35</f>
        <v>251060108.26037642</v>
      </c>
    </row>
    <row r="36" spans="1:17">
      <c r="A36" t="s">
        <v>80</v>
      </c>
      <c r="B36" s="12">
        <v>12.825310707092285</v>
      </c>
      <c r="C36" s="5">
        <f t="shared" si="17"/>
        <v>2.300582118748291E-2</v>
      </c>
      <c r="D36" s="3">
        <f t="shared" si="18"/>
        <v>10664401.587930033</v>
      </c>
    </row>
    <row r="37" spans="1:17">
      <c r="A37" t="s">
        <v>80</v>
      </c>
      <c r="B37" s="12">
        <v>12.517411231994629</v>
      </c>
      <c r="C37" s="5">
        <f t="shared" si="17"/>
        <v>2.8415570519318267E-2</v>
      </c>
      <c r="D37" s="3">
        <f t="shared" si="18"/>
        <v>13172103.394989088</v>
      </c>
    </row>
    <row r="38" spans="1:17">
      <c r="A38" t="s">
        <v>81</v>
      </c>
      <c r="B38" s="12">
        <v>11.782726287841797</v>
      </c>
      <c r="C38" s="5">
        <f t="shared" si="17"/>
        <v>4.7033577838283269E-2</v>
      </c>
      <c r="D38" s="3">
        <f t="shared" si="18"/>
        <v>21802523.722018801</v>
      </c>
      <c r="E38" s="3">
        <f t="shared" si="19"/>
        <v>19463456.543493178</v>
      </c>
      <c r="F38" s="2">
        <v>1</v>
      </c>
      <c r="G38" s="2">
        <v>50</v>
      </c>
      <c r="H38" s="2">
        <v>0.25</v>
      </c>
      <c r="I38" s="2">
        <v>1</v>
      </c>
      <c r="J38" s="3">
        <f t="shared" ref="J38" si="24">E38*F38*G38/H38</f>
        <v>3892691308.6986356</v>
      </c>
      <c r="K38" s="3">
        <f t="shared" ref="K38" si="25">(STDEV(D38:D40)*F38*G38)/H38</f>
        <v>533502999.2203418</v>
      </c>
    </row>
    <row r="39" spans="1:17">
      <c r="A39" t="s">
        <v>81</v>
      </c>
      <c r="B39" s="12">
        <v>12.183853149414062</v>
      </c>
      <c r="C39" s="5">
        <f t="shared" si="17"/>
        <v>3.5720566266276503E-2</v>
      </c>
      <c r="D39" s="3">
        <f t="shared" si="18"/>
        <v>16558351.058518244</v>
      </c>
    </row>
    <row r="40" spans="1:17">
      <c r="A40" t="s">
        <v>81</v>
      </c>
      <c r="B40" s="12">
        <v>11.906387329101562</v>
      </c>
      <c r="C40" s="5">
        <f t="shared" si="17"/>
        <v>4.3208704510425994E-2</v>
      </c>
      <c r="D40" s="3">
        <f t="shared" si="18"/>
        <v>20029494.849942479</v>
      </c>
    </row>
    <row r="41" spans="1:17">
      <c r="A41" t="s">
        <v>82</v>
      </c>
      <c r="B41" s="12">
        <v>12.089577674865723</v>
      </c>
      <c r="C41" s="5">
        <f t="shared" si="17"/>
        <v>3.8106721525425324E-2</v>
      </c>
      <c r="D41" s="3">
        <f t="shared" si="18"/>
        <v>17664458.844340708</v>
      </c>
      <c r="E41" s="3">
        <f t="shared" si="19"/>
        <v>14943513.356907785</v>
      </c>
      <c r="F41" s="2">
        <v>1</v>
      </c>
      <c r="G41" s="2">
        <v>50</v>
      </c>
      <c r="H41" s="2">
        <v>0.25</v>
      </c>
      <c r="I41" s="2">
        <v>1</v>
      </c>
      <c r="J41" s="3">
        <f t="shared" ref="J41" si="26">E41*F41*G41/H41</f>
        <v>2988702671.381557</v>
      </c>
      <c r="K41" s="3">
        <f t="shared" ref="K41" si="27">(STDEV(D41:D43)*F41*G41)/H41</f>
        <v>476513804.93565714</v>
      </c>
      <c r="M41" s="8"/>
      <c r="N41" s="1"/>
      <c r="O41" s="1"/>
      <c r="P41" s="1"/>
      <c r="Q41" s="9"/>
    </row>
    <row r="42" spans="1:17">
      <c r="A42" t="s">
        <v>82</v>
      </c>
      <c r="B42" s="12">
        <v>12.435311317443848</v>
      </c>
      <c r="C42" s="5">
        <f t="shared" si="17"/>
        <v>3.0061643104201931E-2</v>
      </c>
      <c r="D42" s="3">
        <f t="shared" si="18"/>
        <v>13935144.146502556</v>
      </c>
    </row>
    <row r="43" spans="1:17">
      <c r="A43" t="s">
        <v>82</v>
      </c>
      <c r="B43" s="12">
        <v>12.510913848876953</v>
      </c>
      <c r="C43" s="5">
        <f t="shared" si="17"/>
        <v>2.8542489711477628E-2</v>
      </c>
      <c r="D43" s="3">
        <f t="shared" si="18"/>
        <v>13230937.079880089</v>
      </c>
    </row>
    <row r="44" spans="1:17">
      <c r="A44" t="s">
        <v>83</v>
      </c>
      <c r="B44" s="12">
        <v>13.851340293884277</v>
      </c>
      <c r="C44" s="5">
        <f t="shared" si="17"/>
        <v>1.1381484195194571E-2</v>
      </c>
      <c r="D44" s="3">
        <f t="shared" si="18"/>
        <v>5275913.3062493168</v>
      </c>
      <c r="E44" s="3">
        <f t="shared" si="19"/>
        <v>5404253.2502135523</v>
      </c>
      <c r="F44" s="2">
        <v>1</v>
      </c>
      <c r="G44" s="2">
        <v>50</v>
      </c>
      <c r="H44" s="2">
        <v>0.25</v>
      </c>
      <c r="I44" s="2">
        <v>1</v>
      </c>
      <c r="J44" s="3">
        <f t="shared" ref="J44" si="28">E44*F44*G44/H44</f>
        <v>1080850650.0427105</v>
      </c>
      <c r="K44" s="3">
        <f t="shared" ref="K44" si="29">(STDEV(D44:D46)*F44*G44)/H44</f>
        <v>29436961.984992739</v>
      </c>
    </row>
    <row r="45" spans="1:17">
      <c r="A45" t="s">
        <v>83</v>
      </c>
      <c r="B45" s="12">
        <v>13.773590087890625</v>
      </c>
      <c r="C45" s="5">
        <f t="shared" si="17"/>
        <v>1.2004926931065425E-2</v>
      </c>
      <c r="D45" s="3">
        <f t="shared" si="18"/>
        <v>5564911.6275099376</v>
      </c>
    </row>
    <row r="46" spans="1:17">
      <c r="A46" t="s">
        <v>83</v>
      </c>
      <c r="B46" s="12">
        <v>13.825044631958008</v>
      </c>
      <c r="C46" s="5">
        <f t="shared" si="17"/>
        <v>1.1588626966923457E-2</v>
      </c>
      <c r="D46" s="3">
        <f t="shared" si="18"/>
        <v>5371934.8168814033</v>
      </c>
    </row>
    <row r="47" spans="1:17">
      <c r="A47" t="s">
        <v>84</v>
      </c>
      <c r="B47" s="12">
        <v>12.647957801818848</v>
      </c>
      <c r="C47" s="5">
        <f t="shared" si="17"/>
        <v>2.5981756784048248E-2</v>
      </c>
      <c r="D47" s="3">
        <f t="shared" si="18"/>
        <v>12043903.412401147</v>
      </c>
      <c r="E47" s="3">
        <f t="shared" si="19"/>
        <v>13010448.54745914</v>
      </c>
      <c r="F47" s="2">
        <v>1</v>
      </c>
      <c r="G47" s="2">
        <v>50</v>
      </c>
      <c r="H47" s="2">
        <v>0.25</v>
      </c>
      <c r="I47" s="2">
        <v>1</v>
      </c>
      <c r="J47" s="3">
        <f t="shared" ref="J47" si="30">E47*F47*G47/H47</f>
        <v>2602089709.491828</v>
      </c>
      <c r="K47" s="3">
        <f t="shared" ref="K47" si="31">(STDEV(D47:D49)*F47*G47)/H47</f>
        <v>280426712.97973192</v>
      </c>
    </row>
    <row r="48" spans="1:17">
      <c r="A48" t="s">
        <v>84</v>
      </c>
      <c r="B48" s="12">
        <v>12.365506172180176</v>
      </c>
      <c r="C48" s="5">
        <f t="shared" si="17"/>
        <v>3.1536001045581234E-2</v>
      </c>
      <c r="D48" s="3">
        <f t="shared" si="18"/>
        <v>14618586.178112252</v>
      </c>
    </row>
    <row r="49" spans="1:11">
      <c r="A49" t="s">
        <v>84</v>
      </c>
      <c r="B49" s="12">
        <v>12.609143257141113</v>
      </c>
      <c r="C49" s="5">
        <f t="shared" si="17"/>
        <v>2.6682762110624161E-2</v>
      </c>
      <c r="D49" s="3">
        <f t="shared" si="18"/>
        <v>12368856.051864024</v>
      </c>
    </row>
    <row r="50" spans="1:11">
      <c r="A50" t="s">
        <v>39</v>
      </c>
      <c r="B50" s="12">
        <v>12.237780570983887</v>
      </c>
      <c r="C50" s="5">
        <f t="shared" si="17"/>
        <v>3.4423431764865085E-2</v>
      </c>
      <c r="D50" s="3">
        <f t="shared" si="18"/>
        <v>15957061.362146216</v>
      </c>
      <c r="E50" s="3">
        <f t="shared" si="19"/>
        <v>14199400.78962074</v>
      </c>
      <c r="F50" s="2">
        <v>1</v>
      </c>
      <c r="G50" s="2">
        <v>50</v>
      </c>
      <c r="H50" s="2">
        <v>0.25</v>
      </c>
      <c r="I50" s="2">
        <v>1</v>
      </c>
      <c r="J50" s="3">
        <f t="shared" ref="J50" si="32">E50*F50*G50/H50</f>
        <v>2839880157.9241481</v>
      </c>
      <c r="K50" s="3">
        <f t="shared" ref="K50" si="33">(STDEV(D50:D52)*F50*G50)/H50</f>
        <v>379524365.51288116</v>
      </c>
    </row>
    <row r="51" spans="1:11">
      <c r="A51" t="s">
        <v>39</v>
      </c>
      <c r="B51" s="12">
        <v>12.382045745849609</v>
      </c>
      <c r="C51" s="5">
        <f t="shared" si="17"/>
        <v>3.1180259847875338E-2</v>
      </c>
      <c r="D51" s="3">
        <f t="shared" si="18"/>
        <v>14453681.523642842</v>
      </c>
    </row>
    <row r="52" spans="1:11">
      <c r="A52" t="s">
        <v>39</v>
      </c>
      <c r="B52" s="12">
        <v>12.630682945251465</v>
      </c>
      <c r="C52" s="5">
        <f t="shared" si="17"/>
        <v>2.6291443667557583E-2</v>
      </c>
      <c r="D52" s="3">
        <f t="shared" si="18"/>
        <v>12187459.483073162</v>
      </c>
    </row>
    <row r="53" spans="1:11">
      <c r="A53" t="s">
        <v>85</v>
      </c>
      <c r="B53" s="12">
        <v>12.927471160888672</v>
      </c>
      <c r="C53" s="5">
        <f t="shared" si="17"/>
        <v>2.1448931955400242E-2</v>
      </c>
      <c r="D53" s="3">
        <f t="shared" si="18"/>
        <v>9942701.9857490361</v>
      </c>
      <c r="E53" s="3">
        <f t="shared" si="19"/>
        <v>10295087.419668334</v>
      </c>
      <c r="F53" s="2">
        <v>1</v>
      </c>
      <c r="G53" s="2">
        <v>50</v>
      </c>
      <c r="H53" s="2">
        <v>0.25</v>
      </c>
      <c r="I53" s="2">
        <v>1</v>
      </c>
      <c r="J53" s="3">
        <f t="shared" ref="J53" si="34">E53*F53*G53/H53</f>
        <v>2059017483.9336667</v>
      </c>
      <c r="K53" s="3">
        <f t="shared" ref="K53" si="35">(STDEV(D53:D55)*F53*G53)/H53</f>
        <v>330047323.53617489</v>
      </c>
    </row>
    <row r="54" spans="1:11">
      <c r="A54" t="s">
        <v>85</v>
      </c>
      <c r="B54" s="12">
        <v>13.097286224365234</v>
      </c>
      <c r="C54" s="5">
        <f t="shared" si="17"/>
        <v>1.9090632107447155E-2</v>
      </c>
      <c r="D54" s="3">
        <f t="shared" si="18"/>
        <v>8849506.64017234</v>
      </c>
    </row>
    <row r="55" spans="1:11">
      <c r="A55" t="s">
        <v>85</v>
      </c>
      <c r="B55" s="12">
        <v>12.642020225524902</v>
      </c>
      <c r="C55" s="5">
        <f t="shared" si="17"/>
        <v>2.6087786285940426E-2</v>
      </c>
      <c r="D55" s="3">
        <f t="shared" si="18"/>
        <v>12093053.633083623</v>
      </c>
    </row>
    <row r="56" spans="1:11">
      <c r="A56" t="s">
        <v>86</v>
      </c>
      <c r="B56" s="12">
        <v>12.298928260803223</v>
      </c>
      <c r="C56" s="5">
        <f t="shared" si="17"/>
        <v>3.300951805181089E-2</v>
      </c>
      <c r="D56" s="3">
        <f t="shared" si="18"/>
        <v>15301638.392289562</v>
      </c>
      <c r="E56" s="3">
        <f t="shared" si="19"/>
        <v>13600160.774326533</v>
      </c>
      <c r="F56" s="2">
        <v>1</v>
      </c>
      <c r="G56" s="2">
        <v>50</v>
      </c>
      <c r="H56" s="2">
        <v>0.25</v>
      </c>
      <c r="I56" s="2">
        <v>1</v>
      </c>
      <c r="J56" s="3">
        <f t="shared" ref="J56" si="36">E56*F56*G56/H56</f>
        <v>2720032154.8653069</v>
      </c>
      <c r="K56" s="3">
        <f t="shared" ref="K56" si="37">(STDEV(D56:D58)*F56*G56)/H56</f>
        <v>346348591.37462038</v>
      </c>
    </row>
    <row r="57" spans="1:11">
      <c r="A57" t="s">
        <v>86</v>
      </c>
      <c r="B57" s="12">
        <v>12.464472770690918</v>
      </c>
      <c r="C57" s="5">
        <f t="shared" si="17"/>
        <v>2.946632363663362E-2</v>
      </c>
      <c r="D57" s="3">
        <f t="shared" si="18"/>
        <v>13659182.431268701</v>
      </c>
    </row>
    <row r="58" spans="1:11">
      <c r="A58" t="s">
        <v>86</v>
      </c>
      <c r="B58" s="12">
        <v>12.672893524169922</v>
      </c>
      <c r="C58" s="5">
        <f t="shared" si="17"/>
        <v>2.5541155134695417E-2</v>
      </c>
      <c r="D58" s="3">
        <f t="shared" si="18"/>
        <v>11839661.499421338</v>
      </c>
    </row>
    <row r="59" spans="1:11">
      <c r="A59" t="s">
        <v>87</v>
      </c>
      <c r="B59" s="12">
        <v>12.657502174377441</v>
      </c>
      <c r="C59" s="5">
        <f t="shared" si="17"/>
        <v>2.5812221750476972E-2</v>
      </c>
      <c r="D59" s="3">
        <f t="shared" si="18"/>
        <v>11965315.055719882</v>
      </c>
      <c r="E59" s="3">
        <f t="shared" si="19"/>
        <v>9634082.8223015387</v>
      </c>
      <c r="F59" s="2">
        <v>1</v>
      </c>
      <c r="G59" s="2">
        <v>50</v>
      </c>
      <c r="H59" s="2">
        <v>0.25</v>
      </c>
      <c r="I59" s="2">
        <v>1</v>
      </c>
      <c r="J59" s="3">
        <f t="shared" ref="J59" si="38">E59*F59*G59/H59</f>
        <v>1926816564.4603078</v>
      </c>
      <c r="K59" s="3">
        <f t="shared" ref="K59" si="39">(STDEV(D59:D61)*F59*G59)/H59</f>
        <v>422561447.6846289</v>
      </c>
    </row>
    <row r="60" spans="1:11">
      <c r="A60" t="s">
        <v>87</v>
      </c>
      <c r="B60" s="12">
        <v>13.057979583740234</v>
      </c>
      <c r="C60" s="5">
        <f t="shared" si="17"/>
        <v>1.9612328900244634E-2</v>
      </c>
      <c r="D60" s="3">
        <f t="shared" si="18"/>
        <v>9091340.3943421096</v>
      </c>
    </row>
    <row r="61" spans="1:11">
      <c r="A61" t="s">
        <v>87</v>
      </c>
      <c r="B61" s="12">
        <v>13.272834777832031</v>
      </c>
      <c r="C61" s="5">
        <f t="shared" si="17"/>
        <v>1.6924935596904896E-2</v>
      </c>
      <c r="D61" s="3">
        <f t="shared" si="18"/>
        <v>7845593.0168426279</v>
      </c>
    </row>
    <row r="62" spans="1:11">
      <c r="A62" t="s">
        <v>88</v>
      </c>
      <c r="B62" s="12">
        <v>12.61868953704834</v>
      </c>
      <c r="C62" s="5">
        <f t="shared" si="17"/>
        <v>2.6508618227253797E-2</v>
      </c>
      <c r="D62" s="3">
        <f t="shared" si="18"/>
        <v>12288131.252205335</v>
      </c>
      <c r="E62" s="3">
        <f t="shared" si="19"/>
        <v>11319573.343163749</v>
      </c>
      <c r="F62" s="2">
        <v>1</v>
      </c>
      <c r="G62" s="2">
        <v>50</v>
      </c>
      <c r="H62" s="2">
        <v>0.25</v>
      </c>
      <c r="I62" s="2">
        <v>1</v>
      </c>
      <c r="J62" s="3">
        <f t="shared" ref="J62" si="40">E62*F62*G62/H62</f>
        <v>2263914668.63275</v>
      </c>
      <c r="K62" s="3">
        <f t="shared" ref="K62" si="41">(STDEV(D62:D64)*F62*G62)/H62</f>
        <v>174864504.87223414</v>
      </c>
    </row>
    <row r="63" spans="1:11">
      <c r="A63" t="s">
        <v>88</v>
      </c>
      <c r="B63" s="12">
        <v>12.835711479187012</v>
      </c>
      <c r="C63" s="5">
        <f t="shared" si="17"/>
        <v>2.2842282890343034E-2</v>
      </c>
      <c r="D63" s="3">
        <f t="shared" si="18"/>
        <v>10588593.032282613</v>
      </c>
    </row>
    <row r="64" spans="1:11">
      <c r="A64" t="s">
        <v>88</v>
      </c>
      <c r="B64" s="12">
        <v>12.76931095123291</v>
      </c>
      <c r="C64" s="5">
        <f t="shared" si="17"/>
        <v>2.3906677782890802E-2</v>
      </c>
      <c r="D64" s="3">
        <f t="shared" si="18"/>
        <v>11081995.745003296</v>
      </c>
    </row>
    <row r="65" spans="1:11">
      <c r="A65" t="s">
        <v>89</v>
      </c>
      <c r="B65" s="12">
        <v>12.105857849121094</v>
      </c>
      <c r="C65" s="5">
        <f t="shared" si="17"/>
        <v>3.7683563648785723E-2</v>
      </c>
      <c r="D65" s="3">
        <f t="shared" si="18"/>
        <v>17468303.032522272</v>
      </c>
      <c r="E65" s="3">
        <f t="shared" si="19"/>
        <v>13603554.317063628</v>
      </c>
      <c r="F65" s="2">
        <v>1</v>
      </c>
      <c r="G65" s="2">
        <v>50</v>
      </c>
      <c r="H65" s="2">
        <v>0.25</v>
      </c>
      <c r="I65" s="2">
        <v>1</v>
      </c>
      <c r="J65" s="3">
        <f t="shared" ref="J65" si="42">E65*F65*G65/H65</f>
        <v>2720710863.4127254</v>
      </c>
      <c r="K65" s="3">
        <f t="shared" ref="K65" si="43">(STDEV(D65:D67)*F65*G65)/H65</f>
        <v>704496792.65354455</v>
      </c>
    </row>
    <row r="66" spans="1:11">
      <c r="A66" t="s">
        <v>89</v>
      </c>
      <c r="B66" s="12">
        <v>12.562700271606445</v>
      </c>
      <c r="C66" s="5">
        <f t="shared" si="17"/>
        <v>2.7546438325121731E-2</v>
      </c>
      <c r="D66" s="3">
        <f t="shared" si="18"/>
        <v>12769215.157426257</v>
      </c>
    </row>
    <row r="67" spans="1:11">
      <c r="A67" t="s">
        <v>89</v>
      </c>
      <c r="B67" s="12">
        <v>12.83784008026123</v>
      </c>
      <c r="C67" s="5">
        <f t="shared" si="17"/>
        <v>2.2808957048449548E-2</v>
      </c>
      <c r="D67" s="3">
        <f t="shared" si="18"/>
        <v>10573144.761242352</v>
      </c>
    </row>
    <row r="68" spans="1:11">
      <c r="A68" t="s">
        <v>44</v>
      </c>
      <c r="B68" s="12">
        <v>12.504706382751465</v>
      </c>
      <c r="C68" s="5">
        <f t="shared" si="17"/>
        <v>2.8664275171942383E-2</v>
      </c>
      <c r="D68" s="3">
        <f t="shared" si="18"/>
        <v>13287391.011577766</v>
      </c>
      <c r="E68" s="3">
        <f t="shared" si="19"/>
        <v>12041416.192122184</v>
      </c>
      <c r="F68" s="2">
        <v>1</v>
      </c>
      <c r="G68" s="2">
        <v>50</v>
      </c>
      <c r="H68" s="2">
        <v>0.25</v>
      </c>
      <c r="I68" s="2">
        <v>1</v>
      </c>
      <c r="J68" s="3">
        <f t="shared" ref="J68" si="44">E68*F68*G68/H68</f>
        <v>2408283238.4244366</v>
      </c>
      <c r="K68" s="3">
        <f t="shared" ref="K68" si="45">(STDEV(D68:D70)*F68*G68)/H68</f>
        <v>237449380.77523524</v>
      </c>
    </row>
    <row r="69" spans="1:11">
      <c r="A69" t="s">
        <v>44</v>
      </c>
      <c r="B69" s="12">
        <v>12.663814544677734</v>
      </c>
      <c r="C69" s="5">
        <f t="shared" si="17"/>
        <v>2.570070442077026E-2</v>
      </c>
      <c r="D69" s="3">
        <f t="shared" si="18"/>
        <v>11913620.93976922</v>
      </c>
    </row>
    <row r="70" spans="1:11">
      <c r="A70" t="s">
        <v>44</v>
      </c>
      <c r="B70" s="12">
        <v>12.790348052978516</v>
      </c>
      <c r="C70" s="5">
        <f t="shared" si="17"/>
        <v>2.3564194063001476E-2</v>
      </c>
      <c r="D70" s="3">
        <f t="shared" si="18"/>
        <v>10923236.625019563</v>
      </c>
    </row>
    <row r="71" spans="1:11">
      <c r="A71" t="s">
        <v>90</v>
      </c>
      <c r="B71" s="12">
        <v>13.01878547668457</v>
      </c>
      <c r="C71" s="5">
        <f t="shared" si="17"/>
        <v>2.014672716141783E-2</v>
      </c>
      <c r="D71" s="3">
        <f t="shared" si="18"/>
        <v>9339061.9435360692</v>
      </c>
      <c r="E71" s="3">
        <f t="shared" si="19"/>
        <v>9523624.4816349763</v>
      </c>
      <c r="F71" s="2">
        <v>1</v>
      </c>
      <c r="G71" s="2">
        <v>50</v>
      </c>
      <c r="H71" s="2">
        <v>0.25</v>
      </c>
      <c r="I71" s="2">
        <v>1</v>
      </c>
      <c r="J71" s="3">
        <f t="shared" ref="J71" si="46">E71*F71*G71/H71</f>
        <v>1904724896.3269954</v>
      </c>
      <c r="K71" s="3">
        <f t="shared" ref="K71" si="47">(STDEV(D71:D73)*F71*G71)/H71</f>
        <v>47412381.765547007</v>
      </c>
    </row>
    <row r="72" spans="1:11">
      <c r="A72" t="s">
        <v>90</v>
      </c>
      <c r="B72" s="12">
        <v>13.002984046936035</v>
      </c>
      <c r="C72" s="5">
        <f t="shared" si="17"/>
        <v>2.0366270804905617E-2</v>
      </c>
      <c r="D72" s="3">
        <f t="shared" si="18"/>
        <v>9440831.9069358092</v>
      </c>
    </row>
    <row r="73" spans="1:11">
      <c r="A73" t="s">
        <v>90</v>
      </c>
      <c r="B73" s="12">
        <v>12.94989013671875</v>
      </c>
      <c r="C73" s="5">
        <f t="shared" si="17"/>
        <v>2.1121628245391478E-2</v>
      </c>
      <c r="D73" s="3">
        <f t="shared" si="18"/>
        <v>9790979.5944330506</v>
      </c>
    </row>
    <row r="74" spans="1:11">
      <c r="A74" t="s">
        <v>91</v>
      </c>
      <c r="B74" s="12">
        <v>12.491000175476074</v>
      </c>
      <c r="C74" s="5">
        <f t="shared" si="17"/>
        <v>2.8935023412609805E-2</v>
      </c>
      <c r="D74" s="3">
        <f t="shared" si="18"/>
        <v>13412896.984356251</v>
      </c>
      <c r="E74" s="3">
        <f t="shared" si="19"/>
        <v>12215174.149289532</v>
      </c>
      <c r="F74" s="2">
        <v>1</v>
      </c>
      <c r="G74" s="2">
        <v>50</v>
      </c>
      <c r="H74" s="2">
        <v>0.25</v>
      </c>
      <c r="I74" s="2">
        <v>1</v>
      </c>
      <c r="J74" s="3">
        <f t="shared" ref="J74" si="48">E74*F74*G74/H74</f>
        <v>2443034829.8579063</v>
      </c>
      <c r="K74" s="3">
        <f t="shared" ref="K74" si="49">(STDEV(D74:D76)*F74*G74)/H74</f>
        <v>272975903.54976803</v>
      </c>
    </row>
    <row r="75" spans="1:11">
      <c r="A75" t="s">
        <v>91</v>
      </c>
      <c r="B75" s="12">
        <v>12.593365669250488</v>
      </c>
      <c r="C75" s="5">
        <f t="shared" si="17"/>
        <v>2.6973089368772223E-2</v>
      </c>
      <c r="D75" s="3">
        <f t="shared" si="18"/>
        <v>12503437.923451297</v>
      </c>
    </row>
    <row r="76" spans="1:11">
      <c r="A76" t="s">
        <v>91</v>
      </c>
      <c r="B76" s="12">
        <v>12.81648063659668</v>
      </c>
      <c r="C76" s="5">
        <f t="shared" si="17"/>
        <v>2.3145580930952609E-2</v>
      </c>
      <c r="D76" s="3">
        <f t="shared" si="18"/>
        <v>10729187.540061047</v>
      </c>
    </row>
    <row r="77" spans="1:11">
      <c r="A77" t="s">
        <v>92</v>
      </c>
      <c r="B77" s="12">
        <v>12.418685913085938</v>
      </c>
      <c r="C77" s="5">
        <f t="shared" si="17"/>
        <v>3.0406411828080269E-2</v>
      </c>
      <c r="D77" s="3">
        <f t="shared" si="18"/>
        <v>14094962.485367035</v>
      </c>
      <c r="E77" s="3">
        <f t="shared" si="19"/>
        <v>13300633.170749813</v>
      </c>
      <c r="F77" s="2">
        <v>1</v>
      </c>
      <c r="G77" s="2">
        <v>50</v>
      </c>
      <c r="H77" s="2">
        <v>0.25</v>
      </c>
      <c r="I77" s="2">
        <v>1</v>
      </c>
      <c r="J77" s="3">
        <f t="shared" ref="J77" si="50">E77*F77*G77/H77</f>
        <v>2660126634.1499624</v>
      </c>
      <c r="K77" s="3">
        <f t="shared" ref="K77" si="51">(STDEV(D77:D79)*F77*G77)/H77</f>
        <v>161476374.11123648</v>
      </c>
    </row>
    <row r="78" spans="1:11">
      <c r="A78" t="s">
        <v>92</v>
      </c>
      <c r="B78" s="12">
        <v>12.500461578369141</v>
      </c>
      <c r="C78" s="5">
        <f t="shared" si="17"/>
        <v>2.8747853826954977E-2</v>
      </c>
      <c r="D78" s="3">
        <f t="shared" si="18"/>
        <v>13326134.090295525</v>
      </c>
    </row>
    <row r="79" spans="1:11">
      <c r="A79" t="s">
        <v>92</v>
      </c>
      <c r="B79" s="12">
        <v>12.596007347106934</v>
      </c>
      <c r="C79" s="5">
        <f t="shared" si="17"/>
        <v>2.6924259956630312E-2</v>
      </c>
      <c r="D79" s="3">
        <f t="shared" si="18"/>
        <v>12480802.936586875</v>
      </c>
    </row>
    <row r="80" spans="1:11">
      <c r="A80" t="s">
        <v>93</v>
      </c>
      <c r="B80" s="12">
        <v>12.854729652404785</v>
      </c>
      <c r="C80" s="5">
        <f t="shared" si="17"/>
        <v>2.2546247852021455E-2</v>
      </c>
      <c r="D80" s="3">
        <f t="shared" si="18"/>
        <v>10451365.306002742</v>
      </c>
      <c r="E80" s="3">
        <f t="shared" si="19"/>
        <v>10730306.280894775</v>
      </c>
      <c r="F80" s="2">
        <v>1</v>
      </c>
      <c r="G80" s="2">
        <v>50</v>
      </c>
      <c r="H80" s="2">
        <v>0.25</v>
      </c>
      <c r="I80" s="2">
        <v>1</v>
      </c>
      <c r="J80" s="3">
        <f t="shared" ref="J80" si="52">E80*F80*G80/H80</f>
        <v>2146061256.1789551</v>
      </c>
      <c r="K80" s="3">
        <f t="shared" ref="K80" si="53">(STDEV(D80:D82)*F80*G80)/H80</f>
        <v>253404842.72475332</v>
      </c>
    </row>
    <row r="81" spans="1:11">
      <c r="A81" t="s">
        <v>93</v>
      </c>
      <c r="B81" s="12">
        <v>12.63955020904541</v>
      </c>
      <c r="C81" s="5">
        <f t="shared" si="17"/>
        <v>2.6132021625837373E-2</v>
      </c>
      <c r="D81" s="3">
        <f t="shared" si="18"/>
        <v>12113559.02713999</v>
      </c>
    </row>
    <row r="82" spans="1:11">
      <c r="A82" t="s">
        <v>93</v>
      </c>
      <c r="B82" s="12">
        <v>12.974666595458984</v>
      </c>
      <c r="C82" s="5">
        <f t="shared" si="17"/>
        <v>2.0765713538849442E-2</v>
      </c>
      <c r="D82" s="3">
        <f t="shared" si="18"/>
        <v>9625994.5095415935</v>
      </c>
    </row>
    <row r="83" spans="1:11">
      <c r="A83" t="s">
        <v>94</v>
      </c>
      <c r="B83" s="12">
        <v>12.830000877380371</v>
      </c>
      <c r="C83" s="5">
        <f t="shared" si="17"/>
        <v>2.2931930055463914E-2</v>
      </c>
      <c r="D83" s="3">
        <f t="shared" si="18"/>
        <v>10630149.18288804</v>
      </c>
      <c r="E83" s="3">
        <f t="shared" si="19"/>
        <v>8698074.9635112416</v>
      </c>
      <c r="F83" s="2">
        <v>1</v>
      </c>
      <c r="G83" s="2">
        <v>50</v>
      </c>
      <c r="H83" s="2">
        <v>0.25</v>
      </c>
      <c r="I83" s="2">
        <v>1</v>
      </c>
      <c r="J83" s="3">
        <f t="shared" ref="J83" si="54">E83*F83*G83/H83</f>
        <v>1739614992.7022483</v>
      </c>
      <c r="K83" s="3">
        <f t="shared" ref="K83" si="55">(STDEV(D83:D85)*F83*G83)/H83</f>
        <v>377006012.61166161</v>
      </c>
    </row>
    <row r="84" spans="1:11">
      <c r="A84" t="s">
        <v>94</v>
      </c>
      <c r="B84" s="12">
        <v>13.13895320892334</v>
      </c>
      <c r="C84" s="5">
        <f t="shared" si="17"/>
        <v>1.8552751950739972E-2</v>
      </c>
      <c r="D84" s="3">
        <f t="shared" si="18"/>
        <v>8600171.0502554234</v>
      </c>
    </row>
    <row r="85" spans="1:11">
      <c r="A85" t="s">
        <v>94</v>
      </c>
      <c r="B85" s="12">
        <v>13.467723846435547</v>
      </c>
      <c r="C85" s="5">
        <f t="shared" si="17"/>
        <v>1.4807184622020769E-2</v>
      </c>
      <c r="D85" s="3">
        <f t="shared" si="18"/>
        <v>6863904.6573902592</v>
      </c>
    </row>
    <row r="86" spans="1:11">
      <c r="A86" t="s">
        <v>38</v>
      </c>
      <c r="B86" t="s">
        <v>28</v>
      </c>
      <c r="C86" s="5" t="e">
        <f t="shared" ref="C86:C90" si="56">10^((B86-8.179)/(-3.3))</f>
        <v>#VALUE!</v>
      </c>
      <c r="D86" s="3" t="e">
        <f t="shared" si="18"/>
        <v>#VALUE!</v>
      </c>
      <c r="E86" s="3" t="e">
        <f t="shared" si="19"/>
        <v>#VALUE!</v>
      </c>
      <c r="F86" s="2">
        <v>1</v>
      </c>
      <c r="G86" s="2">
        <v>50</v>
      </c>
      <c r="H86" s="2">
        <v>0.25</v>
      </c>
      <c r="I86" s="2">
        <v>1</v>
      </c>
      <c r="J86" s="3" t="e">
        <f t="shared" ref="J86" si="57">E86*F86*G86/H86</f>
        <v>#VALUE!</v>
      </c>
      <c r="K86" s="3" t="e">
        <f t="shared" ref="K86" si="58">(STDEV(D86:D88)*F86*G86)/H86</f>
        <v>#VALUE!</v>
      </c>
    </row>
    <row r="87" spans="1:11">
      <c r="A87" t="s">
        <v>38</v>
      </c>
      <c r="B87" s="12">
        <v>12.535336494445801</v>
      </c>
      <c r="C87" s="5">
        <f t="shared" ref="C87:C89" si="59">10^((B87-7.326)/(-3.357))</f>
        <v>2.8068338990444214E-2</v>
      </c>
      <c r="D87" s="3">
        <f t="shared" si="18"/>
        <v>13011143.41717623</v>
      </c>
    </row>
    <row r="88" spans="1:11">
      <c r="A88" t="s">
        <v>38</v>
      </c>
      <c r="B88" s="12">
        <v>12.640922546386719</v>
      </c>
      <c r="C88" s="5">
        <f t="shared" si="59"/>
        <v>2.6107435287502152E-2</v>
      </c>
      <c r="D88" s="3">
        <f t="shared" si="18"/>
        <v>12102161.973174961</v>
      </c>
    </row>
    <row r="89" spans="1:11">
      <c r="A89" t="s">
        <v>95</v>
      </c>
      <c r="B89" s="12">
        <v>11.992623329162598</v>
      </c>
      <c r="C89" s="5">
        <f t="shared" si="59"/>
        <v>4.0727038685791285E-2</v>
      </c>
      <c r="D89" s="3">
        <f t="shared" si="18"/>
        <v>18879112.920722518</v>
      </c>
      <c r="E89" s="3" t="e">
        <f t="shared" si="19"/>
        <v>#VALUE!</v>
      </c>
      <c r="F89" s="2">
        <v>1</v>
      </c>
      <c r="G89" s="2">
        <v>50</v>
      </c>
      <c r="H89" s="2">
        <v>0.25</v>
      </c>
      <c r="I89" s="2">
        <v>1</v>
      </c>
      <c r="J89" s="3" t="e">
        <f t="shared" ref="J89" si="60">E89*F89*G89/H89</f>
        <v>#VALUE!</v>
      </c>
      <c r="K89" s="3" t="e">
        <f t="shared" ref="K89" si="61">(STDEV(D89:D91)*F89*G89)/H89</f>
        <v>#VALUE!</v>
      </c>
    </row>
    <row r="90" spans="1:11">
      <c r="A90" t="s">
        <v>95</v>
      </c>
      <c r="B90" t="s">
        <v>28</v>
      </c>
      <c r="C90" s="5" t="e">
        <f t="shared" si="56"/>
        <v>#VALUE!</v>
      </c>
      <c r="D90" s="3" t="e">
        <f t="shared" si="18"/>
        <v>#VALUE!</v>
      </c>
    </row>
    <row r="91" spans="1:11">
      <c r="A91" t="s">
        <v>95</v>
      </c>
      <c r="B91" s="12">
        <v>12.364029884338379</v>
      </c>
      <c r="C91" s="5">
        <f t="shared" ref="C91:C97" si="62">10^((B91-7.326)/(-3.357))</f>
        <v>3.1567950387152696E-2</v>
      </c>
      <c r="D91" s="3">
        <f t="shared" si="18"/>
        <v>14633396.369246546</v>
      </c>
    </row>
    <row r="92" spans="1:11">
      <c r="A92" t="s">
        <v>96</v>
      </c>
      <c r="B92" s="12">
        <v>14.123258590698242</v>
      </c>
      <c r="C92" s="5">
        <f t="shared" si="62"/>
        <v>9.4449249936469117E-3</v>
      </c>
      <c r="D92" s="3">
        <f t="shared" si="18"/>
        <v>4378216.8121401686</v>
      </c>
      <c r="E92" s="3">
        <f t="shared" si="19"/>
        <v>4856053.4971275339</v>
      </c>
      <c r="F92" s="2">
        <v>1</v>
      </c>
      <c r="G92" s="2">
        <v>50</v>
      </c>
      <c r="H92" s="2">
        <v>0.25</v>
      </c>
      <c r="I92" s="2">
        <v>1</v>
      </c>
      <c r="J92" s="3">
        <f t="shared" ref="J92" si="63">E92*F92*G92/H92</f>
        <v>971210699.42550683</v>
      </c>
      <c r="K92" s="3">
        <f t="shared" ref="K92" si="64">(STDEV(D92:D94)*F92*G92)/H92</f>
        <v>82835995.377986833</v>
      </c>
    </row>
    <row r="93" spans="1:11">
      <c r="A93" t="s">
        <v>96</v>
      </c>
      <c r="B93" s="12">
        <v>13.90717601776123</v>
      </c>
      <c r="C93" s="5">
        <f t="shared" si="62"/>
        <v>1.095383700151753E-2</v>
      </c>
      <c r="D93" s="3">
        <f t="shared" si="18"/>
        <v>5077676.4611414103</v>
      </c>
    </row>
    <row r="94" spans="1:11">
      <c r="A94" t="s">
        <v>96</v>
      </c>
      <c r="B94" s="12">
        <v>13.89727783203125</v>
      </c>
      <c r="C94" s="5">
        <f t="shared" si="62"/>
        <v>1.1028458044507253E-2</v>
      </c>
      <c r="D94" s="3">
        <f t="shared" si="18"/>
        <v>5112267.2181010256</v>
      </c>
    </row>
    <row r="95" spans="1:11">
      <c r="A95" t="s">
        <v>97</v>
      </c>
      <c r="B95" s="12">
        <v>12.767709732055664</v>
      </c>
      <c r="C95" s="5">
        <f t="shared" si="62"/>
        <v>2.393294855698256E-2</v>
      </c>
      <c r="D95" s="3">
        <f t="shared" si="18"/>
        <v>11094173.62305673</v>
      </c>
      <c r="E95" s="3">
        <f>AVERAGE(D95:D96)</f>
        <v>11541978.501638349</v>
      </c>
      <c r="F95" s="2">
        <v>1</v>
      </c>
      <c r="G95" s="2">
        <v>50</v>
      </c>
      <c r="H95" s="2">
        <v>0.25</v>
      </c>
      <c r="I95" s="2">
        <v>1</v>
      </c>
      <c r="J95" s="3">
        <f t="shared" ref="J95" si="65">E95*F95*G95/H95</f>
        <v>2308395700.3276696</v>
      </c>
      <c r="K95" s="3">
        <f>(STDEV(D95:D96)*F95*G95)/H95</f>
        <v>126658346.51739275</v>
      </c>
    </row>
    <row r="96" spans="1:11">
      <c r="A96" t="s">
        <v>97</v>
      </c>
      <c r="B96" s="12">
        <v>12.654523849487305</v>
      </c>
      <c r="C96" s="5">
        <f t="shared" si="62"/>
        <v>2.5865006137258076E-2</v>
      </c>
      <c r="D96" s="3">
        <f t="shared" ref="D96:D109" si="66">C96*$B$9</f>
        <v>11989783.38021997</v>
      </c>
    </row>
    <row r="97" spans="1:11">
      <c r="A97" t="s">
        <v>97</v>
      </c>
      <c r="B97" s="12">
        <v>12.761472702026367</v>
      </c>
      <c r="C97" s="5">
        <f t="shared" si="62"/>
        <v>2.403555335738598E-2</v>
      </c>
      <c r="D97" s="3">
        <f t="shared" si="66"/>
        <v>11141736.315448117</v>
      </c>
    </row>
    <row r="98" spans="1:11">
      <c r="A98" t="s">
        <v>50</v>
      </c>
      <c r="B98" t="s">
        <v>28</v>
      </c>
      <c r="C98" s="5" t="e">
        <f t="shared" ref="C98" si="67">10^((B98-8.179)/(-3.3))</f>
        <v>#VALUE!</v>
      </c>
      <c r="D98" s="3" t="e">
        <f t="shared" si="66"/>
        <v>#VALUE!</v>
      </c>
      <c r="E98" s="3">
        <f>AVERAGE(D99:D100)</f>
        <v>13839246.972975869</v>
      </c>
      <c r="F98" s="2">
        <v>1</v>
      </c>
      <c r="G98" s="2">
        <v>50</v>
      </c>
      <c r="H98" s="2">
        <v>0.25</v>
      </c>
      <c r="I98" s="2">
        <v>1</v>
      </c>
      <c r="J98" s="3">
        <f t="shared" ref="J98" si="68">E98*F98*G98/H98</f>
        <v>2767849394.5951738</v>
      </c>
      <c r="K98" s="3">
        <f>(STDEV(D99:D100)*F98*G98)/H98</f>
        <v>105673612.99710149</v>
      </c>
    </row>
    <row r="99" spans="1:11">
      <c r="A99" t="s">
        <v>50</v>
      </c>
      <c r="B99" s="12">
        <v>12.485279083251953</v>
      </c>
      <c r="C99" s="5">
        <f t="shared" ref="C99:C109" si="69">10^((B99-7.326)/(-3.357))</f>
        <v>2.9048791256292072E-2</v>
      </c>
      <c r="D99" s="3">
        <f t="shared" si="66"/>
        <v>13465634.331262201</v>
      </c>
    </row>
    <row r="100" spans="1:11">
      <c r="A100" t="s">
        <v>50</v>
      </c>
      <c r="B100" s="12">
        <v>12.40654182434082</v>
      </c>
      <c r="C100" s="5">
        <f t="shared" si="69"/>
        <v>3.0660745862048078E-2</v>
      </c>
      <c r="D100" s="3">
        <f t="shared" si="66"/>
        <v>14212859.614689535</v>
      </c>
    </row>
    <row r="101" spans="1:11">
      <c r="A101" t="s">
        <v>98</v>
      </c>
      <c r="B101" s="12">
        <v>13.567241668701172</v>
      </c>
      <c r="C101" s="5">
        <f t="shared" si="69"/>
        <v>1.3830173337011519E-2</v>
      </c>
      <c r="D101" s="3">
        <f t="shared" si="66"/>
        <v>6411008.8179256301</v>
      </c>
      <c r="E101" s="3">
        <f t="shared" ref="E98:E107" si="70">AVERAGE(D101:D103)</f>
        <v>5685604.8257670039</v>
      </c>
      <c r="F101" s="2">
        <v>1</v>
      </c>
      <c r="G101" s="2">
        <v>50</v>
      </c>
      <c r="H101" s="2">
        <v>0.25</v>
      </c>
      <c r="I101" s="2">
        <v>1</v>
      </c>
      <c r="J101" s="3">
        <f t="shared" ref="J101" si="71">E101*F101*G101/H101</f>
        <v>1137120965.1534009</v>
      </c>
      <c r="K101" s="3">
        <f t="shared" ref="K101" si="72">(STDEV(D101:D103)*F101*G101)/H101</f>
        <v>158391974.3160007</v>
      </c>
    </row>
    <row r="102" spans="1:11">
      <c r="A102" t="s">
        <v>98</v>
      </c>
      <c r="B102" s="12">
        <v>13.711977005004883</v>
      </c>
      <c r="C102" s="5">
        <f t="shared" si="69"/>
        <v>1.2523137102575398E-2</v>
      </c>
      <c r="D102" s="3">
        <f t="shared" si="66"/>
        <v>5805129.1503227847</v>
      </c>
    </row>
    <row r="103" spans="1:11">
      <c r="A103" t="s">
        <v>98</v>
      </c>
      <c r="B103" s="12">
        <v>13.976863861083984</v>
      </c>
      <c r="C103" s="5">
        <f t="shared" si="69"/>
        <v>1.0442567946780485E-2</v>
      </c>
      <c r="D103" s="3">
        <f t="shared" si="66"/>
        <v>4840676.5090525979</v>
      </c>
    </row>
    <row r="104" spans="1:11">
      <c r="A104" t="s">
        <v>99</v>
      </c>
      <c r="B104" s="12">
        <v>12.746026992797852</v>
      </c>
      <c r="C104" s="5">
        <f t="shared" si="69"/>
        <v>2.4291546823737541E-2</v>
      </c>
      <c r="D104" s="3">
        <f t="shared" si="66"/>
        <v>11260402.678487774</v>
      </c>
      <c r="E104" s="3">
        <f t="shared" si="70"/>
        <v>12241160.463444097</v>
      </c>
      <c r="F104" s="2">
        <v>1</v>
      </c>
      <c r="G104" s="2">
        <v>50</v>
      </c>
      <c r="H104" s="2">
        <v>0.25</v>
      </c>
      <c r="I104" s="2">
        <v>1</v>
      </c>
      <c r="J104" s="3">
        <f t="shared" ref="J104" si="73">E104*F104*G104/H104</f>
        <v>2448232092.6888194</v>
      </c>
      <c r="K104" s="3">
        <f t="shared" ref="K104" si="74">(STDEV(D104:D106)*F104*G104)/H104</f>
        <v>173264438.10688731</v>
      </c>
    </row>
    <row r="105" spans="1:11">
      <c r="A105" t="s">
        <v>99</v>
      </c>
      <c r="B105" s="12">
        <v>12.586674690246582</v>
      </c>
      <c r="C105" s="5">
        <f t="shared" si="69"/>
        <v>2.7097163618632316E-2</v>
      </c>
      <c r="D105" s="3">
        <f t="shared" si="66"/>
        <v>12560952.828763572</v>
      </c>
    </row>
    <row r="106" spans="1:11">
      <c r="A106" t="s">
        <v>99</v>
      </c>
      <c r="B106" s="12">
        <v>12.547603607177734</v>
      </c>
      <c r="C106" s="5">
        <f t="shared" si="69"/>
        <v>2.7833160497303527E-2</v>
      </c>
      <c r="D106" s="3">
        <f t="shared" si="66"/>
        <v>12902125.883080943</v>
      </c>
    </row>
    <row r="107" spans="1:11">
      <c r="A107" t="s">
        <v>100</v>
      </c>
      <c r="B107" s="12">
        <v>13.039502143859863</v>
      </c>
      <c r="C107" s="5">
        <f t="shared" si="69"/>
        <v>1.9862473018721738E-2</v>
      </c>
      <c r="D107" s="3">
        <f t="shared" si="66"/>
        <v>9207295.278654173</v>
      </c>
      <c r="E107" s="3">
        <f t="shared" si="70"/>
        <v>9529165.7757527251</v>
      </c>
      <c r="F107" s="2">
        <v>1</v>
      </c>
      <c r="G107" s="2">
        <v>50</v>
      </c>
      <c r="H107" s="2">
        <v>0.25</v>
      </c>
      <c r="I107" s="2">
        <v>1</v>
      </c>
      <c r="J107" s="3">
        <f t="shared" ref="J107" si="75">E107*F107*G107/H107</f>
        <v>1905833155.1505451</v>
      </c>
      <c r="K107" s="3">
        <f t="shared" ref="K107" si="76">(STDEV(D107:D109)*F107*G107)/H107</f>
        <v>255987785.49257359</v>
      </c>
    </row>
    <row r="108" spans="1:11">
      <c r="A108" t="s">
        <v>100</v>
      </c>
      <c r="B108" s="12">
        <v>13.16620922088623</v>
      </c>
      <c r="C108" s="5">
        <f t="shared" si="69"/>
        <v>1.8209129332640347E-2</v>
      </c>
      <c r="D108" s="3">
        <f t="shared" si="66"/>
        <v>8440883.9913738165</v>
      </c>
    </row>
    <row r="109" spans="1:11">
      <c r="A109" t="s">
        <v>100</v>
      </c>
      <c r="B109" s="12">
        <v>12.788203239440918</v>
      </c>
      <c r="C109" s="5">
        <f t="shared" si="69"/>
        <v>2.3598885794255769E-2</v>
      </c>
      <c r="D109" s="3">
        <f t="shared" si="66"/>
        <v>10939318.057230191</v>
      </c>
    </row>
  </sheetData>
  <mergeCells count="11">
    <mergeCell ref="H13:H14"/>
    <mergeCell ref="I13:I14"/>
    <mergeCell ref="J13:J14"/>
    <mergeCell ref="K13:K14"/>
    <mergeCell ref="L13:L14"/>
    <mergeCell ref="G13:G14"/>
    <mergeCell ref="B13:B14"/>
    <mergeCell ref="C13:C14"/>
    <mergeCell ref="D13:D14"/>
    <mergeCell ref="E13:E14"/>
    <mergeCell ref="F13:F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37C84-A1B8-0546-AEBA-D723F0E42FDA}">
  <dimension ref="A1:Q109"/>
  <sheetViews>
    <sheetView topLeftCell="A83" zoomScale="120" zoomScaleNormal="120" workbookViewId="0">
      <selection activeCell="A107" sqref="A107"/>
    </sheetView>
  </sheetViews>
  <sheetFormatPr baseColWidth="10" defaultRowHeight="15"/>
  <cols>
    <col min="1" max="1" width="34" style="2" customWidth="1"/>
    <col min="2" max="2" width="10.7109375" style="2"/>
    <col min="3" max="3" width="13.42578125" style="2" customWidth="1"/>
    <col min="4" max="4" width="17.7109375" style="2" customWidth="1"/>
    <col min="5" max="5" width="13" style="2" customWidth="1"/>
    <col min="6" max="6" width="7.42578125" style="2" customWidth="1"/>
    <col min="7" max="7" width="15.5703125" style="2" customWidth="1"/>
    <col min="8" max="8" width="33" style="2" customWidth="1"/>
    <col min="9" max="9" width="12" style="2" customWidth="1"/>
    <col min="10" max="10" width="16.85546875" style="2" customWidth="1"/>
    <col min="11" max="11" width="10.85546875" style="2" customWidth="1"/>
    <col min="12" max="12" width="14.42578125" style="2" customWidth="1"/>
    <col min="13" max="16384" width="10.7109375" style="2"/>
  </cols>
  <sheetData>
    <row r="1" spans="1:16">
      <c r="A1" s="2" t="s">
        <v>101</v>
      </c>
    </row>
    <row r="2" spans="1:16">
      <c r="A2" s="2" t="s">
        <v>79</v>
      </c>
    </row>
    <row r="3" spans="1:16">
      <c r="A3" s="2" t="s">
        <v>23</v>
      </c>
    </row>
    <row r="5" spans="1:16">
      <c r="A5" s="2" t="s">
        <v>32</v>
      </c>
      <c r="B5" s="3">
        <v>1500</v>
      </c>
      <c r="D5" s="2" t="s">
        <v>10</v>
      </c>
    </row>
    <row r="6" spans="1:16" ht="17">
      <c r="A6" s="2" t="s">
        <v>6</v>
      </c>
      <c r="B6" s="3">
        <v>1.096E-21</v>
      </c>
      <c r="D6" s="2" t="s">
        <v>9</v>
      </c>
      <c r="E6" s="3"/>
      <c r="F6" s="3"/>
      <c r="H6" s="1"/>
      <c r="I6" s="6"/>
      <c r="J6" s="1"/>
      <c r="K6" s="6"/>
      <c r="L6" s="1"/>
      <c r="M6" s="6"/>
      <c r="N6" s="1"/>
      <c r="O6" s="6"/>
      <c r="P6" s="1"/>
    </row>
    <row r="7" spans="1:16">
      <c r="A7" s="2" t="s">
        <v>33</v>
      </c>
      <c r="B7" s="3">
        <f>B5*B6</f>
        <v>1.6439999999999999E-18</v>
      </c>
      <c r="C7" s="3"/>
      <c r="E7" s="4"/>
      <c r="F7" s="5"/>
      <c r="H7" s="1"/>
      <c r="I7" s="6"/>
      <c r="J7" s="1"/>
      <c r="K7" s="6"/>
      <c r="L7" s="1"/>
      <c r="M7" s="6"/>
      <c r="N7" s="1"/>
      <c r="O7" s="6"/>
      <c r="P7" s="1"/>
    </row>
    <row r="8" spans="1:16">
      <c r="A8" s="2" t="s">
        <v>34</v>
      </c>
      <c r="B8" s="3">
        <v>7.6207999999999981E-10</v>
      </c>
      <c r="D8" s="2" t="s">
        <v>13</v>
      </c>
      <c r="E8" s="4"/>
      <c r="F8" s="5"/>
      <c r="H8" s="1"/>
      <c r="I8" s="1"/>
      <c r="J8" s="1"/>
      <c r="K8" s="1"/>
      <c r="L8" s="1"/>
      <c r="M8" s="1"/>
      <c r="N8" s="1"/>
      <c r="O8" s="1"/>
      <c r="P8" s="1"/>
    </row>
    <row r="9" spans="1:16">
      <c r="A9" s="2" t="s">
        <v>35</v>
      </c>
      <c r="B9" s="3">
        <f>B8/B7</f>
        <v>463552311.43552303</v>
      </c>
      <c r="D9" s="2" t="s">
        <v>14</v>
      </c>
      <c r="H9" s="1"/>
      <c r="I9" s="1"/>
      <c r="J9" s="1"/>
      <c r="K9" s="1"/>
      <c r="L9" s="1"/>
      <c r="M9" s="1"/>
      <c r="N9" s="1"/>
      <c r="O9" s="1"/>
      <c r="P9" s="1"/>
    </row>
    <row r="10" spans="1:16">
      <c r="A10" s="2" t="s">
        <v>8</v>
      </c>
      <c r="B10" s="3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2" t="s">
        <v>11</v>
      </c>
      <c r="B11" s="3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B12" s="3"/>
      <c r="H12" s="1"/>
      <c r="I12" s="1"/>
      <c r="J12" s="1"/>
      <c r="K12" s="1"/>
      <c r="L12" s="1"/>
      <c r="M12" s="1"/>
      <c r="N12" s="1"/>
      <c r="O12" s="1"/>
      <c r="P12" s="1"/>
    </row>
    <row r="13" spans="1:16" ht="15" customHeight="1">
      <c r="A13" s="2" t="s">
        <v>0</v>
      </c>
      <c r="B13" s="14" t="s">
        <v>1</v>
      </c>
      <c r="C13" s="15" t="s">
        <v>7</v>
      </c>
      <c r="D13" s="15" t="s">
        <v>12</v>
      </c>
      <c r="E13" s="15" t="s">
        <v>2</v>
      </c>
      <c r="F13" s="15" t="s">
        <v>3</v>
      </c>
      <c r="G13" s="15" t="s">
        <v>5</v>
      </c>
      <c r="H13" s="15" t="s">
        <v>36</v>
      </c>
      <c r="I13" s="15" t="s">
        <v>4</v>
      </c>
      <c r="J13" s="15" t="s">
        <v>37</v>
      </c>
      <c r="K13" s="13" t="s">
        <v>15</v>
      </c>
      <c r="L13" s="13"/>
      <c r="M13" s="1"/>
      <c r="N13" s="1"/>
      <c r="O13" s="1"/>
      <c r="P13" s="1"/>
    </row>
    <row r="14" spans="1:16">
      <c r="B14" s="14"/>
      <c r="C14" s="15"/>
      <c r="D14" s="15"/>
      <c r="E14" s="15"/>
      <c r="F14" s="15"/>
      <c r="G14" s="15"/>
      <c r="H14" s="15"/>
      <c r="I14" s="15"/>
      <c r="J14" s="15"/>
      <c r="K14" s="13"/>
      <c r="L14" s="13"/>
      <c r="M14" s="1"/>
      <c r="N14" s="1"/>
      <c r="O14" s="1"/>
      <c r="P14" s="1"/>
    </row>
    <row r="15" spans="1:16">
      <c r="A15" s="2" t="s">
        <v>21</v>
      </c>
      <c r="B15" s="10"/>
      <c r="C15" s="11"/>
      <c r="D15" s="11"/>
      <c r="E15" s="11"/>
      <c r="F15" s="11"/>
      <c r="G15" s="11"/>
      <c r="H15" s="11"/>
      <c r="I15" s="11"/>
      <c r="J15" s="11"/>
      <c r="K15" s="1"/>
      <c r="L15" s="6"/>
      <c r="M15" s="1"/>
      <c r="N15" s="1"/>
      <c r="O15" s="1"/>
      <c r="P15" s="1"/>
    </row>
    <row r="16" spans="1:16">
      <c r="A16" s="2" t="s">
        <v>16</v>
      </c>
      <c r="B16" s="12">
        <v>7.3906497955322266</v>
      </c>
      <c r="C16" s="5">
        <f>10^((B16-7.124)/(-3.202))</f>
        <v>0.82551313225205969</v>
      </c>
      <c r="D16" s="3">
        <f>C16*$B$9</f>
        <v>382668520.57582086</v>
      </c>
      <c r="E16" s="3">
        <f t="shared" ref="E16" si="0">AVERAGE(D16:D18)</f>
        <v>449991581.12718338</v>
      </c>
      <c r="F16" s="2">
        <v>1</v>
      </c>
      <c r="G16" s="2">
        <v>50</v>
      </c>
      <c r="H16" s="2">
        <v>47.2</v>
      </c>
      <c r="I16" s="2">
        <v>1</v>
      </c>
      <c r="J16" s="3">
        <f t="shared" ref="J16" si="1">E16*F16*G16/H16</f>
        <v>476685996.95676202</v>
      </c>
      <c r="K16" s="3">
        <f t="shared" ref="K16" si="2">(STDEV(D16:D18)*F16*G16)/H16</f>
        <v>84638328.020441636</v>
      </c>
      <c r="L16" s="6"/>
      <c r="M16" s="1"/>
      <c r="N16" s="1"/>
      <c r="O16" s="1"/>
      <c r="P16" s="1"/>
    </row>
    <row r="17" spans="1:16">
      <c r="B17" s="12">
        <v>7.2316465377807617</v>
      </c>
      <c r="C17" s="5">
        <f t="shared" ref="C17:C30" si="3">10^((B17-7.124)/(-3.202))</f>
        <v>0.92551075210264178</v>
      </c>
      <c r="D17" s="3">
        <f t="shared" ref="D17:D30" si="4">C17*$B$9</f>
        <v>429022648.39560896</v>
      </c>
      <c r="L17" s="6"/>
      <c r="M17" s="1"/>
      <c r="N17" s="1"/>
      <c r="O17" s="1"/>
      <c r="P17" s="1"/>
    </row>
    <row r="18" spans="1:16">
      <c r="B18" s="12">
        <v>6.9161505699157715</v>
      </c>
      <c r="C18" s="5">
        <f t="shared" si="3"/>
        <v>1.1612143033936566</v>
      </c>
      <c r="D18" s="3">
        <f t="shared" si="4"/>
        <v>538283574.41012025</v>
      </c>
      <c r="L18" s="6"/>
      <c r="M18" s="1"/>
      <c r="N18" s="1"/>
      <c r="O18" s="1"/>
      <c r="P18" s="1"/>
    </row>
    <row r="19" spans="1:16">
      <c r="A19" s="2" t="s">
        <v>17</v>
      </c>
      <c r="B19" s="12">
        <v>9.8157253265380859</v>
      </c>
      <c r="C19" s="5">
        <f t="shared" si="3"/>
        <v>0.14433153640042373</v>
      </c>
      <c r="D19" s="3">
        <f t="shared" si="4"/>
        <v>66905217.311456747</v>
      </c>
      <c r="E19" s="3">
        <f t="shared" ref="E19" si="5">AVERAGE(D19:D21)</f>
        <v>65540736.138132721</v>
      </c>
      <c r="F19" s="2">
        <v>5</v>
      </c>
      <c r="G19" s="2">
        <v>50</v>
      </c>
      <c r="H19" s="2">
        <v>47.2</v>
      </c>
      <c r="I19" s="2">
        <v>1</v>
      </c>
      <c r="J19" s="3">
        <f t="shared" ref="J19" si="6">E19*F19*G19/H19</f>
        <v>347143729.54519445</v>
      </c>
      <c r="K19" s="3">
        <f t="shared" ref="K19" si="7">(STDEV(D19:D21)*F19*G19)/H19</f>
        <v>59038053.399689935</v>
      </c>
      <c r="L19" s="6"/>
      <c r="M19" s="1"/>
      <c r="N19" s="1"/>
      <c r="O19" s="1"/>
      <c r="P19" s="1"/>
    </row>
    <row r="20" spans="1:16">
      <c r="B20" s="12">
        <v>10.119531631469727</v>
      </c>
      <c r="C20" s="5">
        <f t="shared" si="3"/>
        <v>0.11600616356630689</v>
      </c>
      <c r="D20" s="3">
        <f t="shared" si="4"/>
        <v>53774925.261928916</v>
      </c>
      <c r="L20" s="6"/>
      <c r="M20" s="1"/>
      <c r="N20" s="1"/>
      <c r="O20" s="1"/>
      <c r="P20" s="1"/>
    </row>
    <row r="21" spans="1:16">
      <c r="B21" s="12">
        <v>9.6395435333251953</v>
      </c>
      <c r="C21" s="5">
        <f t="shared" si="3"/>
        <v>0.16382631251656596</v>
      </c>
      <c r="D21" s="3">
        <f t="shared" si="4"/>
        <v>75942065.841012508</v>
      </c>
      <c r="L21" s="6"/>
      <c r="M21" s="1"/>
      <c r="N21" s="1"/>
      <c r="O21" s="1"/>
      <c r="P21" s="1"/>
    </row>
    <row r="22" spans="1:16">
      <c r="A22" s="2" t="s">
        <v>18</v>
      </c>
      <c r="B22" s="12">
        <v>12.234271049499512</v>
      </c>
      <c r="C22" s="5">
        <f t="shared" si="3"/>
        <v>2.5353491367551138E-2</v>
      </c>
      <c r="D22" s="3">
        <f t="shared" si="4"/>
        <v>11752669.52638891</v>
      </c>
      <c r="E22" s="3">
        <f t="shared" ref="E22" si="8">AVERAGE(D22:D24)</f>
        <v>11767294.330600908</v>
      </c>
      <c r="F22" s="2">
        <v>25</v>
      </c>
      <c r="G22" s="2">
        <v>50</v>
      </c>
      <c r="H22" s="2">
        <v>47.2</v>
      </c>
      <c r="I22" s="2">
        <v>1</v>
      </c>
      <c r="J22" s="3">
        <f t="shared" ref="J22" si="9">E22*F22*G22/H22</f>
        <v>311633854.09430367</v>
      </c>
      <c r="K22" s="3">
        <f t="shared" ref="K22" si="10">(STDEV(D22:D24)*F22*G22)/H22</f>
        <v>1636046.0678017468</v>
      </c>
      <c r="L22" s="6"/>
      <c r="M22" s="1"/>
      <c r="N22" s="1"/>
      <c r="O22" s="1"/>
      <c r="P22" s="1"/>
    </row>
    <row r="23" spans="1:16">
      <c r="B23" s="12">
        <v>12.224555015563965</v>
      </c>
      <c r="C23" s="5">
        <f t="shared" si="3"/>
        <v>2.5531253488342405E-2</v>
      </c>
      <c r="D23" s="3">
        <f t="shared" si="4"/>
        <v>11835071.568367383</v>
      </c>
      <c r="L23" s="6"/>
      <c r="M23" s="1"/>
      <c r="N23" s="1"/>
      <c r="O23" s="1"/>
      <c r="P23" s="1"/>
    </row>
    <row r="24" spans="1:16">
      <c r="B24" s="12">
        <v>12.238837242126465</v>
      </c>
      <c r="C24" s="5">
        <f t="shared" si="3"/>
        <v>2.5270377491528884E-2</v>
      </c>
      <c r="D24" s="3">
        <f t="shared" si="4"/>
        <v>11714141.897046428</v>
      </c>
      <c r="L24" s="6"/>
      <c r="M24" s="1"/>
      <c r="N24" s="1"/>
      <c r="O24" s="1"/>
      <c r="P24" s="1"/>
    </row>
    <row r="25" spans="1:16">
      <c r="A25" s="2" t="s">
        <v>19</v>
      </c>
      <c r="B25" s="12">
        <v>14.674439430236816</v>
      </c>
      <c r="C25" s="5">
        <f t="shared" si="3"/>
        <v>4.3849177564044073E-3</v>
      </c>
      <c r="D25" s="3">
        <f t="shared" si="4"/>
        <v>2032638.7614359308</v>
      </c>
      <c r="E25" s="3">
        <f t="shared" ref="E25" si="11">AVERAGE(D25:D27)</f>
        <v>2025311.4376184568</v>
      </c>
      <c r="F25" s="2">
        <v>125</v>
      </c>
      <c r="G25" s="2">
        <v>50</v>
      </c>
      <c r="H25" s="2">
        <v>47.2</v>
      </c>
      <c r="I25" s="2">
        <v>1</v>
      </c>
      <c r="J25" s="3">
        <f t="shared" ref="J25" si="12">E25*F25*G25/H25</f>
        <v>268182128.92193547</v>
      </c>
      <c r="K25" s="3">
        <f t="shared" ref="K25" si="13">(STDEV(D25:D27)*F25*G25)/H25</f>
        <v>8890796.1253068447</v>
      </c>
      <c r="L25" s="6"/>
      <c r="M25" s="1"/>
      <c r="N25" s="1"/>
      <c r="O25" s="1"/>
      <c r="P25" s="1"/>
    </row>
    <row r="26" spans="1:16">
      <c r="B26" s="12">
        <v>14.636744499206543</v>
      </c>
      <c r="C26" s="5">
        <f t="shared" si="3"/>
        <v>4.5054042086174959E-3</v>
      </c>
      <c r="D26" s="3">
        <f t="shared" si="4"/>
        <v>2088490.5348559737</v>
      </c>
      <c r="L26" s="6"/>
      <c r="M26" s="1"/>
      <c r="N26" s="1"/>
      <c r="O26" s="1"/>
      <c r="P26" s="1"/>
    </row>
    <row r="27" spans="1:16">
      <c r="B27" s="12">
        <v>14.728734970092773</v>
      </c>
      <c r="C27" s="5">
        <f t="shared" si="3"/>
        <v>4.2170106120490471E-3</v>
      </c>
      <c r="D27" s="3">
        <f t="shared" si="4"/>
        <v>1954805.0165634654</v>
      </c>
      <c r="L27" s="6"/>
      <c r="M27" s="1"/>
      <c r="N27" s="1"/>
      <c r="O27" s="1"/>
      <c r="P27" s="1"/>
    </row>
    <row r="28" spans="1:16">
      <c r="A28" s="2" t="s">
        <v>20</v>
      </c>
      <c r="B28" s="12">
        <v>16.353982925415039</v>
      </c>
      <c r="C28" s="5">
        <f t="shared" si="3"/>
        <v>1.3104846576065929E-3</v>
      </c>
      <c r="D28" s="3">
        <f t="shared" si="4"/>
        <v>607478.19213432609</v>
      </c>
      <c r="E28" s="3">
        <f t="shared" ref="E28" si="14">AVERAGE(D28:D30)</f>
        <v>874053.24782170646</v>
      </c>
      <c r="F28" s="2">
        <v>625</v>
      </c>
      <c r="G28" s="2">
        <v>50</v>
      </c>
      <c r="H28" s="2">
        <v>47.2</v>
      </c>
      <c r="I28" s="2">
        <v>1</v>
      </c>
      <c r="J28" s="3">
        <f t="shared" ref="J28" si="15">E28*F28*G28/H28</f>
        <v>578689915.13619328</v>
      </c>
      <c r="K28" s="3">
        <f t="shared" ref="K28" si="16">(STDEV(D28:D30)*F28*G28)/H28</f>
        <v>298209961.56334651</v>
      </c>
      <c r="L28" s="7"/>
      <c r="M28" s="1"/>
      <c r="N28" s="1"/>
      <c r="O28" s="1"/>
      <c r="P28" s="7"/>
    </row>
    <row r="29" spans="1:16">
      <c r="B29" s="12">
        <v>16.32429313659668</v>
      </c>
      <c r="C29" s="5">
        <f t="shared" si="3"/>
        <v>1.3387645524909687E-3</v>
      </c>
      <c r="D29" s="3">
        <f t="shared" si="4"/>
        <v>620587.4027751321</v>
      </c>
      <c r="L29" s="7"/>
      <c r="M29" s="1"/>
      <c r="N29" s="1"/>
      <c r="O29" s="1"/>
      <c r="P29" s="7"/>
    </row>
    <row r="30" spans="1:16">
      <c r="B30" s="12">
        <v>15.198824882507324</v>
      </c>
      <c r="C30" s="5">
        <f t="shared" si="3"/>
        <v>3.0074149436089487E-3</v>
      </c>
      <c r="D30" s="3">
        <f t="shared" si="4"/>
        <v>1394094.1485556613</v>
      </c>
      <c r="L30" s="7"/>
      <c r="M30" s="1"/>
      <c r="N30" s="1"/>
      <c r="O30" s="1"/>
      <c r="P30" s="7"/>
    </row>
    <row r="31" spans="1:16">
      <c r="A31" s="2" t="s">
        <v>22</v>
      </c>
      <c r="B31" s="12"/>
      <c r="C31" s="5"/>
      <c r="D31" s="3"/>
      <c r="L31" s="7"/>
      <c r="M31" s="1"/>
      <c r="N31" s="1"/>
      <c r="O31" s="1"/>
      <c r="P31" s="7"/>
    </row>
    <row r="32" spans="1:16">
      <c r="A32" t="s">
        <v>102</v>
      </c>
      <c r="B32" s="12">
        <v>12.255558967590332</v>
      </c>
      <c r="C32" s="5">
        <f t="shared" ref="C32:C70" si="17">10^((B32-7.124)/(-3.202))</f>
        <v>2.4968327617853468E-2</v>
      </c>
      <c r="D32" s="3">
        <f t="shared" ref="D32:D95" si="18">C32*$B$9</f>
        <v>11574125.979935382</v>
      </c>
      <c r="E32" s="3">
        <f t="shared" ref="E32:E92" si="19">AVERAGE(D32:D34)</f>
        <v>9993753.1840834636</v>
      </c>
      <c r="F32" s="2">
        <v>1</v>
      </c>
      <c r="G32" s="2">
        <v>50</v>
      </c>
      <c r="H32" s="2">
        <v>0.25</v>
      </c>
      <c r="I32" s="2">
        <v>1</v>
      </c>
      <c r="J32" s="3">
        <f t="shared" ref="J32" si="20">E32*F32*G32/H32</f>
        <v>1998750636.8166928</v>
      </c>
      <c r="K32" s="3">
        <f t="shared" ref="K32" si="21">(STDEV(D32:D34)*F32*G32)/H32</f>
        <v>277777614.89779234</v>
      </c>
    </row>
    <row r="33" spans="1:17">
      <c r="A33" t="s">
        <v>102</v>
      </c>
      <c r="B33" s="12">
        <v>12.539011001586914</v>
      </c>
      <c r="C33" s="5">
        <f t="shared" si="17"/>
        <v>2.0364137499105775E-2</v>
      </c>
      <c r="D33" s="3">
        <f t="shared" si="18"/>
        <v>9439843.0081012938</v>
      </c>
    </row>
    <row r="34" spans="1:17">
      <c r="A34" t="s">
        <v>102</v>
      </c>
      <c r="B34" s="12">
        <v>12.610426902770996</v>
      </c>
      <c r="C34" s="5">
        <f t="shared" si="17"/>
        <v>1.9344721928888507E-2</v>
      </c>
      <c r="D34" s="3">
        <f t="shared" si="18"/>
        <v>8967290.5642137174</v>
      </c>
    </row>
    <row r="35" spans="1:17">
      <c r="A35" t="s">
        <v>45</v>
      </c>
      <c r="B35" s="12">
        <v>12.098469734191895</v>
      </c>
      <c r="C35" s="5">
        <f t="shared" si="17"/>
        <v>2.7954335769502986E-2</v>
      </c>
      <c r="D35" s="3">
        <f t="shared" si="18"/>
        <v>12958296.96059783</v>
      </c>
      <c r="E35" s="3">
        <f t="shared" si="19"/>
        <v>13505144.177523749</v>
      </c>
      <c r="F35" s="2">
        <v>1</v>
      </c>
      <c r="G35" s="2">
        <v>50</v>
      </c>
      <c r="H35" s="2">
        <v>0.25</v>
      </c>
      <c r="I35" s="2">
        <v>1</v>
      </c>
      <c r="J35" s="3">
        <f t="shared" ref="J35" si="22">E35*F35*G35/H35</f>
        <v>2701028835.5047498</v>
      </c>
      <c r="K35" s="3">
        <f t="shared" ref="K35" si="23">(STDEV(D35:D37)*F35*G35)/H35</f>
        <v>110902518.37982416</v>
      </c>
    </row>
    <row r="36" spans="1:17">
      <c r="A36" t="s">
        <v>45</v>
      </c>
      <c r="B36" s="12">
        <v>11.984305381774902</v>
      </c>
      <c r="C36" s="5">
        <f t="shared" si="17"/>
        <v>3.0346125786148075E-2</v>
      </c>
      <c r="D36" s="3">
        <f t="shared" si="18"/>
        <v>14067016.751282068</v>
      </c>
    </row>
    <row r="37" spans="1:17">
      <c r="A37" t="s">
        <v>45</v>
      </c>
      <c r="B37" s="12">
        <v>12.042537689208984</v>
      </c>
      <c r="C37" s="5">
        <f t="shared" si="17"/>
        <v>2.9101610514928333E-2</v>
      </c>
      <c r="D37" s="3">
        <f t="shared" si="18"/>
        <v>13490118.820691351</v>
      </c>
    </row>
    <row r="38" spans="1:17">
      <c r="A38" t="s">
        <v>40</v>
      </c>
      <c r="B38" s="12">
        <v>13.243098258972168</v>
      </c>
      <c r="C38" s="5">
        <f t="shared" si="17"/>
        <v>1.2273719221177577E-2</v>
      </c>
      <c r="D38" s="3">
        <f t="shared" si="18"/>
        <v>5689510.914887473</v>
      </c>
      <c r="E38" s="3">
        <f t="shared" si="19"/>
        <v>8105799.3046136955</v>
      </c>
      <c r="F38" s="2">
        <v>1</v>
      </c>
      <c r="G38" s="2">
        <v>50</v>
      </c>
      <c r="H38" s="2">
        <v>0.25</v>
      </c>
      <c r="I38" s="2">
        <v>1</v>
      </c>
      <c r="J38" s="3">
        <f t="shared" ref="J38" si="24">E38*F38*G38/H38</f>
        <v>1621159860.922739</v>
      </c>
      <c r="K38" s="3">
        <f t="shared" ref="K38" si="25">(STDEV(D38:D40)*F38*G38)/H38</f>
        <v>437593103.25411034</v>
      </c>
    </row>
    <row r="39" spans="1:17">
      <c r="A39" t="s">
        <v>40</v>
      </c>
      <c r="B39" s="12">
        <v>12.656522750854492</v>
      </c>
      <c r="C39" s="5">
        <f t="shared" si="17"/>
        <v>1.8713996170627512E-2</v>
      </c>
      <c r="D39" s="3">
        <f t="shared" si="18"/>
        <v>8674916.1810899097</v>
      </c>
    </row>
    <row r="40" spans="1:17">
      <c r="A40" t="s">
        <v>40</v>
      </c>
      <c r="B40" s="12">
        <v>12.46540355682373</v>
      </c>
      <c r="C40" s="5">
        <f t="shared" si="17"/>
        <v>2.1471084432825863E-2</v>
      </c>
      <c r="D40" s="3">
        <f t="shared" si="18"/>
        <v>9952970.8178637046</v>
      </c>
    </row>
    <row r="41" spans="1:17">
      <c r="A41" t="s">
        <v>103</v>
      </c>
      <c r="B41" s="12">
        <v>12.067768096923828</v>
      </c>
      <c r="C41" s="5">
        <f t="shared" si="17"/>
        <v>2.8578369449103254E-2</v>
      </c>
      <c r="D41" s="3">
        <f t="shared" si="18"/>
        <v>13247569.215190148</v>
      </c>
      <c r="E41" s="3">
        <f t="shared" si="19"/>
        <v>11256959.01219786</v>
      </c>
      <c r="F41" s="2">
        <v>1</v>
      </c>
      <c r="G41" s="2">
        <v>50</v>
      </c>
      <c r="H41" s="2">
        <v>0.25</v>
      </c>
      <c r="I41" s="2">
        <v>1</v>
      </c>
      <c r="J41" s="3">
        <f t="shared" ref="J41" si="26">E41*F41*G41/H41</f>
        <v>2251391802.4395719</v>
      </c>
      <c r="K41" s="3">
        <f t="shared" ref="K41" si="27">(STDEV(D41:D43)*F41*G41)/H41</f>
        <v>418551457.67598426</v>
      </c>
      <c r="M41" s="8"/>
      <c r="N41" s="1"/>
      <c r="O41" s="1"/>
      <c r="P41" s="1"/>
      <c r="Q41" s="9"/>
    </row>
    <row r="42" spans="1:17">
      <c r="A42" t="s">
        <v>103</v>
      </c>
      <c r="B42" s="12">
        <v>12.270779609680176</v>
      </c>
      <c r="C42" s="5">
        <f t="shared" si="17"/>
        <v>2.4696532146006079E-2</v>
      </c>
      <c r="D42" s="3">
        <f t="shared" si="18"/>
        <v>11448134.560722817</v>
      </c>
    </row>
    <row r="43" spans="1:17">
      <c r="A43" t="s">
        <v>103</v>
      </c>
      <c r="B43" s="12">
        <v>12.593796730041504</v>
      </c>
      <c r="C43" s="5">
        <f t="shared" si="17"/>
        <v>1.9577452289207087E-2</v>
      </c>
      <c r="D43" s="3">
        <f t="shared" si="18"/>
        <v>9075173.2606806178</v>
      </c>
    </row>
    <row r="44" spans="1:17">
      <c r="A44" t="s">
        <v>43</v>
      </c>
      <c r="B44" s="12">
        <v>11.737320899963379</v>
      </c>
      <c r="C44" s="5">
        <f t="shared" si="17"/>
        <v>3.624413131393784E-2</v>
      </c>
      <c r="D44" s="3">
        <f t="shared" si="18"/>
        <v>16801050.846548505</v>
      </c>
      <c r="E44" s="3">
        <f t="shared" si="19"/>
        <v>15864455.483440945</v>
      </c>
      <c r="F44" s="2">
        <v>1</v>
      </c>
      <c r="G44" s="2">
        <v>50</v>
      </c>
      <c r="H44" s="2">
        <v>0.25</v>
      </c>
      <c r="I44" s="2">
        <v>1</v>
      </c>
      <c r="J44" s="3">
        <f t="shared" ref="J44" si="28">E44*F44*G44/H44</f>
        <v>3172891096.688189</v>
      </c>
      <c r="K44" s="3">
        <f t="shared" ref="K44" si="29">(STDEV(D44:D46)*F44*G44)/H44</f>
        <v>201161485.49709323</v>
      </c>
    </row>
    <row r="45" spans="1:17">
      <c r="A45" t="s">
        <v>43</v>
      </c>
      <c r="B45" s="12">
        <v>11.913538932800293</v>
      </c>
      <c r="C45" s="5">
        <f t="shared" si="17"/>
        <v>3.1930370366029678E-2</v>
      </c>
      <c r="D45" s="3">
        <f t="shared" si="18"/>
        <v>14801396.988165384</v>
      </c>
    </row>
    <row r="46" spans="1:17">
      <c r="A46" t="s">
        <v>43</v>
      </c>
      <c r="B46" s="12">
        <v>11.806045532226562</v>
      </c>
      <c r="C46" s="5">
        <f t="shared" si="17"/>
        <v>3.4496470454625637E-2</v>
      </c>
      <c r="D46" s="3">
        <f t="shared" si="18"/>
        <v>15990918.615608942</v>
      </c>
    </row>
    <row r="47" spans="1:17">
      <c r="A47" t="s">
        <v>48</v>
      </c>
      <c r="B47" s="12">
        <v>12.320598602294922</v>
      </c>
      <c r="C47" s="5">
        <f t="shared" si="17"/>
        <v>2.3827433354354707E-2</v>
      </c>
      <c r="D47" s="3">
        <f t="shared" si="18"/>
        <v>11045261.806987002</v>
      </c>
      <c r="E47" s="3">
        <f t="shared" si="19"/>
        <v>11087632.454006091</v>
      </c>
      <c r="F47" s="2">
        <v>1</v>
      </c>
      <c r="G47" s="2">
        <v>50</v>
      </c>
      <c r="H47" s="2">
        <v>0.25</v>
      </c>
      <c r="I47" s="2">
        <v>1</v>
      </c>
      <c r="J47" s="3">
        <f t="shared" ref="J47" si="30">E47*F47*G47/H47</f>
        <v>2217526490.801218</v>
      </c>
      <c r="K47" s="3">
        <f t="shared" ref="K47" si="31">(STDEV(D47:D49)*F47*G47)/H47</f>
        <v>394075167.15264332</v>
      </c>
    </row>
    <row r="48" spans="1:17">
      <c r="A48" t="s">
        <v>48</v>
      </c>
      <c r="B48" s="12">
        <v>12.085592269897461</v>
      </c>
      <c r="C48" s="5">
        <f t="shared" si="17"/>
        <v>2.821440339449361E-2</v>
      </c>
      <c r="D48" s="3">
        <f t="shared" si="18"/>
        <v>13078851.90929178</v>
      </c>
    </row>
    <row r="49" spans="1:11">
      <c r="A49" t="s">
        <v>48</v>
      </c>
      <c r="B49" s="12">
        <v>12.584083557128906</v>
      </c>
      <c r="C49" s="5">
        <f t="shared" si="17"/>
        <v>1.9714676036106084E-2</v>
      </c>
      <c r="D49" s="3">
        <f t="shared" si="18"/>
        <v>9138783.6457394902</v>
      </c>
    </row>
    <row r="50" spans="1:11">
      <c r="A50" t="s">
        <v>104</v>
      </c>
      <c r="B50" s="12">
        <v>11.533072471618652</v>
      </c>
      <c r="C50" s="5">
        <f t="shared" si="17"/>
        <v>4.197835942345797E-2</v>
      </c>
      <c r="D50" s="3">
        <f t="shared" si="18"/>
        <v>19459165.541015111</v>
      </c>
      <c r="E50" s="3">
        <f t="shared" si="19"/>
        <v>13576718.695486417</v>
      </c>
      <c r="F50" s="2">
        <v>1</v>
      </c>
      <c r="G50" s="2">
        <v>50</v>
      </c>
      <c r="H50" s="2">
        <v>0.25</v>
      </c>
      <c r="I50" s="2">
        <v>1</v>
      </c>
      <c r="J50" s="3">
        <f t="shared" ref="J50" si="32">E50*F50*G50/H50</f>
        <v>2715343739.0972834</v>
      </c>
      <c r="K50" s="3">
        <f t="shared" ref="K50" si="33">(STDEV(D50:D52)*F50*G50)/H50</f>
        <v>1091024734.7667415</v>
      </c>
    </row>
    <row r="51" spans="1:11">
      <c r="A51" t="s">
        <v>104</v>
      </c>
      <c r="B51" s="12">
        <v>12.654971122741699</v>
      </c>
      <c r="C51" s="5">
        <f t="shared" si="17"/>
        <v>1.8734888691755863E-2</v>
      </c>
      <c r="D51" s="3">
        <f t="shared" si="18"/>
        <v>8684600.9575506728</v>
      </c>
    </row>
    <row r="52" spans="1:11">
      <c r="A52" t="s">
        <v>104</v>
      </c>
      <c r="B52" s="12">
        <v>12.138964653015137</v>
      </c>
      <c r="C52" s="5">
        <f t="shared" si="17"/>
        <v>2.7152037164729248E-2</v>
      </c>
      <c r="D52" s="3">
        <f t="shared" si="18"/>
        <v>12586389.587893467</v>
      </c>
    </row>
    <row r="53" spans="1:11">
      <c r="A53" t="s">
        <v>30</v>
      </c>
      <c r="B53" s="12">
        <v>12.028692245483398</v>
      </c>
      <c r="C53" s="5">
        <f t="shared" si="17"/>
        <v>2.9392804270095677E-2</v>
      </c>
      <c r="D53" s="3">
        <f t="shared" si="18"/>
        <v>13625102.358974762</v>
      </c>
      <c r="E53" s="3">
        <f t="shared" si="19"/>
        <v>14808152.436276758</v>
      </c>
      <c r="F53" s="2">
        <v>1</v>
      </c>
      <c r="G53" s="2">
        <v>50</v>
      </c>
      <c r="H53" s="2">
        <v>0.25</v>
      </c>
      <c r="I53" s="2">
        <v>1</v>
      </c>
      <c r="J53" s="3">
        <f t="shared" ref="J53" si="34">E53*F53*G53/H53</f>
        <v>2961630487.2553515</v>
      </c>
      <c r="K53" s="3">
        <f t="shared" ref="K53" si="35">(STDEV(D53:D55)*F53*G53)/H53</f>
        <v>282653368.1035009</v>
      </c>
    </row>
    <row r="54" spans="1:11">
      <c r="A54" t="s">
        <v>30</v>
      </c>
      <c r="B54" s="12">
        <v>11.949241638183594</v>
      </c>
      <c r="C54" s="5">
        <f t="shared" si="17"/>
        <v>3.1121020483846254E-2</v>
      </c>
      <c r="D54" s="3">
        <f t="shared" si="18"/>
        <v>14426220.97951919</v>
      </c>
    </row>
    <row r="55" spans="1:11">
      <c r="A55" t="s">
        <v>30</v>
      </c>
      <c r="B55" s="12">
        <v>11.773198127746582</v>
      </c>
      <c r="C55" s="5">
        <f t="shared" si="17"/>
        <v>3.5321005993114801E-2</v>
      </c>
      <c r="D55" s="3">
        <f t="shared" si="18"/>
        <v>16373133.970336327</v>
      </c>
    </row>
    <row r="56" spans="1:11">
      <c r="A56" t="s">
        <v>41</v>
      </c>
      <c r="B56" s="12">
        <v>11.832048416137695</v>
      </c>
      <c r="C56" s="5">
        <f t="shared" si="17"/>
        <v>3.3857418077798213E-2</v>
      </c>
      <c r="D56" s="3">
        <f t="shared" si="18"/>
        <v>15694684.409202226</v>
      </c>
      <c r="E56" s="3">
        <f t="shared" si="19"/>
        <v>14376824.44919493</v>
      </c>
      <c r="F56" s="2">
        <v>1</v>
      </c>
      <c r="G56" s="2">
        <v>50</v>
      </c>
      <c r="H56" s="2">
        <v>0.25</v>
      </c>
      <c r="I56" s="2">
        <v>1</v>
      </c>
      <c r="J56" s="3">
        <f t="shared" ref="J56" si="36">E56*F56*G56/H56</f>
        <v>2875364889.8389859</v>
      </c>
      <c r="K56" s="3">
        <f t="shared" ref="K56" si="37">(STDEV(D56:D58)*F56*G56)/H56</f>
        <v>549724256.38640416</v>
      </c>
    </row>
    <row r="57" spans="1:11">
      <c r="A57" t="s">
        <v>41</v>
      </c>
      <c r="B57" s="12">
        <v>11.786405563354492</v>
      </c>
      <c r="C57" s="5">
        <f t="shared" si="17"/>
        <v>3.4987130004505776E-2</v>
      </c>
      <c r="D57" s="3">
        <f t="shared" si="18"/>
        <v>16218364.984083794</v>
      </c>
    </row>
    <row r="58" spans="1:11">
      <c r="A58" t="s">
        <v>41</v>
      </c>
      <c r="B58" s="12">
        <v>12.299090385437012</v>
      </c>
      <c r="C58" s="5">
        <f t="shared" si="17"/>
        <v>2.4198830806302727E-2</v>
      </c>
      <c r="D58" s="3">
        <f t="shared" si="18"/>
        <v>11217423.95429877</v>
      </c>
    </row>
    <row r="59" spans="1:11">
      <c r="A59" t="s">
        <v>105</v>
      </c>
      <c r="B59" s="12">
        <v>12.060235977172852</v>
      </c>
      <c r="C59" s="5">
        <f t="shared" si="17"/>
        <v>2.8733581598471069E-2</v>
      </c>
      <c r="D59" s="3">
        <f t="shared" si="18"/>
        <v>13319518.165792475</v>
      </c>
      <c r="E59" s="3">
        <f t="shared" si="19"/>
        <v>7503816.5852705697</v>
      </c>
      <c r="F59" s="2">
        <v>1</v>
      </c>
      <c r="G59" s="2">
        <v>50</v>
      </c>
      <c r="H59" s="2">
        <v>0.25</v>
      </c>
      <c r="I59" s="2">
        <v>1</v>
      </c>
      <c r="J59" s="3">
        <f t="shared" ref="J59" si="38">E59*F59*G59/H59</f>
        <v>1500763317.0541139</v>
      </c>
      <c r="K59" s="3">
        <f t="shared" ref="K59" si="39">(STDEV(D59:D61)*F59*G59)/H59</f>
        <v>1145106148.4164226</v>
      </c>
    </row>
    <row r="60" spans="1:11">
      <c r="A60" t="s">
        <v>105</v>
      </c>
      <c r="B60" s="12">
        <v>12.892873764038086</v>
      </c>
      <c r="C60" s="5">
        <f t="shared" si="17"/>
        <v>1.5788940136751004E-2</v>
      </c>
      <c r="D60" s="3">
        <f t="shared" si="18"/>
        <v>7318999.6955080312</v>
      </c>
    </row>
    <row r="61" spans="1:11">
      <c r="A61" t="s">
        <v>105</v>
      </c>
      <c r="B61" s="12">
        <v>14.788232803344727</v>
      </c>
      <c r="C61" s="5">
        <f t="shared" si="17"/>
        <v>4.0403895057952218E-3</v>
      </c>
      <c r="D61" s="3">
        <f t="shared" si="18"/>
        <v>1872931.8945112056</v>
      </c>
    </row>
    <row r="62" spans="1:11">
      <c r="A62" t="s">
        <v>25</v>
      </c>
      <c r="B62" s="12">
        <v>12.328144073486328</v>
      </c>
      <c r="C62" s="5">
        <f t="shared" si="17"/>
        <v>2.3698495547402127E-2</v>
      </c>
      <c r="D62" s="3">
        <f t="shared" si="18"/>
        <v>10985492.388542706</v>
      </c>
      <c r="E62" s="3">
        <f t="shared" si="19"/>
        <v>11942999.614138177</v>
      </c>
      <c r="F62" s="2">
        <v>1</v>
      </c>
      <c r="G62" s="2">
        <v>50</v>
      </c>
      <c r="H62" s="2">
        <v>0.25</v>
      </c>
      <c r="I62" s="2">
        <v>1</v>
      </c>
      <c r="J62" s="3">
        <f t="shared" ref="J62" si="40">E62*F62*G62/H62</f>
        <v>2388599922.8276353</v>
      </c>
      <c r="K62" s="3">
        <f t="shared" ref="K62" si="41">(STDEV(D62:D64)*F62*G62)/H62</f>
        <v>166651351.70079827</v>
      </c>
    </row>
    <row r="63" spans="1:11">
      <c r="A63" t="s">
        <v>25</v>
      </c>
      <c r="B63" s="12">
        <v>12.148139953613281</v>
      </c>
      <c r="C63" s="5">
        <f t="shared" si="17"/>
        <v>2.6973476775300174E-2</v>
      </c>
      <c r="D63" s="3">
        <f t="shared" si="18"/>
        <v>12503617.506642794</v>
      </c>
    </row>
    <row r="64" spans="1:11">
      <c r="A64" t="s">
        <v>25</v>
      </c>
      <c r="B64" s="12">
        <v>12.166469573974609</v>
      </c>
      <c r="C64" s="5">
        <f t="shared" si="17"/>
        <v>2.6620272713159421E-2</v>
      </c>
      <c r="D64" s="3">
        <f t="shared" si="18"/>
        <v>12339888.947229031</v>
      </c>
    </row>
    <row r="65" spans="1:11">
      <c r="A65" t="s">
        <v>46</v>
      </c>
      <c r="B65" s="12">
        <v>11.569873809814453</v>
      </c>
      <c r="C65" s="5">
        <f t="shared" si="17"/>
        <v>4.0882008745119436E-2</v>
      </c>
      <c r="D65" s="3">
        <f t="shared" si="18"/>
        <v>18950949.649927381</v>
      </c>
      <c r="E65" s="3">
        <f t="shared" si="19"/>
        <v>12385650.3728425</v>
      </c>
      <c r="F65" s="2">
        <v>1</v>
      </c>
      <c r="G65" s="2">
        <v>50</v>
      </c>
      <c r="H65" s="2">
        <v>0.25</v>
      </c>
      <c r="I65" s="2">
        <v>1</v>
      </c>
      <c r="J65" s="3">
        <f t="shared" ref="J65" si="42">E65*F65*G65/H65</f>
        <v>2477130074.5685</v>
      </c>
      <c r="K65" s="3">
        <f t="shared" ref="K65" si="43">(STDEV(D65:D67)*F65*G65)/H65</f>
        <v>1139341006.239347</v>
      </c>
    </row>
    <row r="66" spans="1:11">
      <c r="A66" t="s">
        <v>46</v>
      </c>
      <c r="B66" s="12">
        <v>12.536534309387207</v>
      </c>
      <c r="C66" s="5">
        <f t="shared" si="17"/>
        <v>2.0400438551609806E-2</v>
      </c>
      <c r="D66" s="3">
        <f t="shared" si="18"/>
        <v>9456670.4448970798</v>
      </c>
    </row>
    <row r="67" spans="1:11">
      <c r="A67" t="s">
        <v>46</v>
      </c>
      <c r="B67" s="12">
        <v>12.644644737243652</v>
      </c>
      <c r="C67" s="5">
        <f t="shared" si="17"/>
        <v>1.8874527874983983E-2</v>
      </c>
      <c r="D67" s="3">
        <f t="shared" si="18"/>
        <v>8749331.0237030368</v>
      </c>
    </row>
    <row r="68" spans="1:11">
      <c r="A68" t="s">
        <v>106</v>
      </c>
      <c r="B68" s="12">
        <v>12.292084693908691</v>
      </c>
      <c r="C68" s="5">
        <f t="shared" si="17"/>
        <v>2.4321048524095577E-2</v>
      </c>
      <c r="D68" s="3">
        <f t="shared" si="18"/>
        <v>11274078.259880021</v>
      </c>
      <c r="E68" s="3">
        <f t="shared" si="19"/>
        <v>11757708.537505733</v>
      </c>
      <c r="F68" s="2">
        <v>1</v>
      </c>
      <c r="G68" s="2">
        <v>50</v>
      </c>
      <c r="H68" s="2">
        <v>0.25</v>
      </c>
      <c r="I68" s="2">
        <v>1</v>
      </c>
      <c r="J68" s="3">
        <f t="shared" ref="J68" si="44">E68*F68*G68/H68</f>
        <v>2351541707.5011468</v>
      </c>
      <c r="K68" s="3">
        <f t="shared" ref="K68" si="45">(STDEV(D68:D70)*F68*G68)/H68</f>
        <v>248094269.75904047</v>
      </c>
    </row>
    <row r="69" spans="1:11">
      <c r="A69" t="s">
        <v>106</v>
      </c>
      <c r="B69" s="12">
        <v>12.076235771179199</v>
      </c>
      <c r="C69" s="5">
        <f t="shared" si="17"/>
        <v>2.8404879478520186E-2</v>
      </c>
      <c r="D69" s="3">
        <f t="shared" si="18"/>
        <v>13167147.538315486</v>
      </c>
    </row>
    <row r="70" spans="1:11">
      <c r="A70" t="s">
        <v>106</v>
      </c>
      <c r="B70" s="12">
        <v>12.347723960876465</v>
      </c>
      <c r="C70" s="5">
        <f t="shared" si="17"/>
        <v>2.3367157378155666E-2</v>
      </c>
      <c r="D70" s="3">
        <f t="shared" si="18"/>
        <v>10831899.814321695</v>
      </c>
    </row>
    <row r="71" spans="1:11">
      <c r="A71" t="s">
        <v>107</v>
      </c>
      <c r="B71" t="s">
        <v>28</v>
      </c>
      <c r="C71" s="5" t="e">
        <f t="shared" ref="C71" si="46">10^((B71-7.797)/(-3.612))</f>
        <v>#VALUE!</v>
      </c>
      <c r="D71" s="3" t="e">
        <f t="shared" si="18"/>
        <v>#VALUE!</v>
      </c>
      <c r="E71" s="3" t="e">
        <f>AVERAGE(D71:D73)</f>
        <v>#VALUE!</v>
      </c>
      <c r="F71" s="2">
        <v>1</v>
      </c>
      <c r="G71" s="2">
        <v>50</v>
      </c>
      <c r="H71" s="2">
        <v>0.25</v>
      </c>
      <c r="I71" s="2">
        <v>1</v>
      </c>
      <c r="J71" s="3" t="e">
        <f t="shared" ref="J71" si="47">E71*F71*G71/H71</f>
        <v>#VALUE!</v>
      </c>
      <c r="K71" s="3" t="e">
        <f>(STDEV(D71:D74)*F71*G71)/H71</f>
        <v>#VALUE!</v>
      </c>
    </row>
    <row r="72" spans="1:11">
      <c r="A72" t="s">
        <v>107</v>
      </c>
      <c r="B72" s="12">
        <v>11.970296859741211</v>
      </c>
      <c r="C72" s="5">
        <f t="shared" ref="C72:C109" si="48">10^((B72-7.124)/(-3.202))</f>
        <v>3.065336683076663E-2</v>
      </c>
      <c r="D72" s="3">
        <f t="shared" si="18"/>
        <v>14209439.047682865</v>
      </c>
    </row>
    <row r="73" spans="1:11">
      <c r="A73" t="s">
        <v>107</v>
      </c>
      <c r="B73" s="12">
        <v>11.599308967590332</v>
      </c>
      <c r="C73" s="5">
        <f t="shared" si="48"/>
        <v>4.0025750645064778E-2</v>
      </c>
      <c r="D73" s="3">
        <f t="shared" si="18"/>
        <v>18554029.228461657</v>
      </c>
    </row>
    <row r="74" spans="1:11">
      <c r="A74" t="s">
        <v>42</v>
      </c>
      <c r="B74" s="12">
        <v>12.463887214660645</v>
      </c>
      <c r="C74" s="5">
        <f t="shared" si="48"/>
        <v>2.1494509581390257E-2</v>
      </c>
      <c r="D74" s="3">
        <f>C74*$B$9</f>
        <v>9963829.5996264499</v>
      </c>
      <c r="E74" s="3">
        <f>AVERAGE(D74:D76)</f>
        <v>9193697.9522402827</v>
      </c>
      <c r="F74" s="2">
        <v>1</v>
      </c>
      <c r="G74" s="2">
        <v>50</v>
      </c>
      <c r="H74" s="2">
        <v>0.25</v>
      </c>
      <c r="I74" s="2">
        <v>1</v>
      </c>
      <c r="J74" s="3">
        <f t="shared" ref="J74" si="49">E74*F74*G74/H74</f>
        <v>1838739590.4480565</v>
      </c>
      <c r="K74" s="3">
        <f>(STDEV(D74:D77)*F74*G74)/H74</f>
        <v>474818822.95382768</v>
      </c>
    </row>
    <row r="75" spans="1:11">
      <c r="A75" t="s">
        <v>42</v>
      </c>
      <c r="B75" s="12">
        <v>12.827267646789551</v>
      </c>
      <c r="C75" s="5">
        <f t="shared" si="48"/>
        <v>1.6551680103635082E-2</v>
      </c>
      <c r="D75" s="3">
        <f t="shared" si="18"/>
        <v>7672569.5701813996</v>
      </c>
    </row>
    <row r="76" spans="1:11">
      <c r="A76" t="s">
        <v>42</v>
      </c>
      <c r="B76" s="12">
        <v>12.466560363769531</v>
      </c>
      <c r="C76" s="5">
        <f t="shared" si="48"/>
        <v>2.1453230717621473E-2</v>
      </c>
      <c r="D76" s="3">
        <f t="shared" si="18"/>
        <v>9944694.6869129986</v>
      </c>
    </row>
    <row r="77" spans="1:11">
      <c r="A77" t="s">
        <v>165</v>
      </c>
      <c r="B77" s="12">
        <v>12.049101829528809</v>
      </c>
      <c r="C77" s="5">
        <f t="shared" si="48"/>
        <v>2.8964565059556233E-2</v>
      </c>
      <c r="D77" s="3">
        <f t="shared" si="18"/>
        <v>13426591.083081879</v>
      </c>
      <c r="E77" s="3">
        <f t="shared" si="19"/>
        <v>9558510.7145709731</v>
      </c>
      <c r="F77" s="2">
        <v>1</v>
      </c>
      <c r="G77" s="2">
        <v>50</v>
      </c>
      <c r="H77" s="2">
        <v>0.25</v>
      </c>
      <c r="I77" s="2">
        <v>1</v>
      </c>
      <c r="J77" s="3">
        <f t="shared" ref="J77" si="50">E77*F77*G77/H77</f>
        <v>1911702142.9141946</v>
      </c>
      <c r="K77" s="3">
        <f t="shared" ref="K77" si="51">(STDEV(D77:D79)*F77*G77)/H77</f>
        <v>670877356.43099618</v>
      </c>
    </row>
    <row r="78" spans="1:11">
      <c r="A78" t="s">
        <v>165</v>
      </c>
      <c r="B78" s="12">
        <v>12.868169784545898</v>
      </c>
      <c r="C78" s="5">
        <f t="shared" si="48"/>
        <v>1.6071934349292445E-2</v>
      </c>
      <c r="D78" s="3">
        <f t="shared" si="18"/>
        <v>7450182.3168544918</v>
      </c>
    </row>
    <row r="79" spans="1:11">
      <c r="A79" t="s">
        <v>165</v>
      </c>
      <c r="B79" s="12">
        <v>12.804582595825195</v>
      </c>
      <c r="C79" s="5">
        <f t="shared" si="48"/>
        <v>1.6823902181882018E-2</v>
      </c>
      <c r="D79" s="3">
        <f t="shared" si="18"/>
        <v>7798758.7437765487</v>
      </c>
    </row>
    <row r="80" spans="1:11">
      <c r="A80" t="s">
        <v>51</v>
      </c>
      <c r="B80" s="12">
        <v>12.560778617858887</v>
      </c>
      <c r="C80" s="5">
        <f t="shared" si="48"/>
        <v>2.0047853935775208E-2</v>
      </c>
      <c r="D80" s="3">
        <f t="shared" si="18"/>
        <v>9293229.0312503446</v>
      </c>
      <c r="E80" s="3">
        <f t="shared" si="19"/>
        <v>10539177.61186797</v>
      </c>
      <c r="F80" s="2">
        <v>1</v>
      </c>
      <c r="G80" s="2">
        <v>50</v>
      </c>
      <c r="H80" s="2">
        <v>0.25</v>
      </c>
      <c r="I80" s="2">
        <v>1</v>
      </c>
      <c r="J80" s="3">
        <f t="shared" ref="J80" si="52">E80*F80*G80/H80</f>
        <v>2107835522.373594</v>
      </c>
      <c r="K80" s="3">
        <f t="shared" ref="K80" si="53">(STDEV(D80:D82)*F80*G80)/H80</f>
        <v>374263014.89903128</v>
      </c>
    </row>
    <row r="81" spans="1:11">
      <c r="A81" t="s">
        <v>51</v>
      </c>
      <c r="B81" s="12">
        <v>12.510807037353516</v>
      </c>
      <c r="C81" s="5">
        <f t="shared" si="48"/>
        <v>2.0781373810668084E-2</v>
      </c>
      <c r="D81" s="3">
        <f t="shared" si="18"/>
        <v>9633253.8647408336</v>
      </c>
    </row>
    <row r="82" spans="1:11">
      <c r="A82" t="s">
        <v>51</v>
      </c>
      <c r="B82" s="12">
        <v>12.127449035644531</v>
      </c>
      <c r="C82" s="5">
        <f t="shared" si="48"/>
        <v>2.7377816109494187E-2</v>
      </c>
      <c r="D82" s="3">
        <f t="shared" si="18"/>
        <v>12691049.939612729</v>
      </c>
    </row>
    <row r="83" spans="1:11">
      <c r="A83" t="s">
        <v>108</v>
      </c>
      <c r="B83" s="12">
        <v>11.538730621337891</v>
      </c>
      <c r="C83" s="5">
        <f t="shared" si="48"/>
        <v>4.1807903921564152E-2</v>
      </c>
      <c r="D83" s="3">
        <f t="shared" si="18"/>
        <v>19380150.499115329</v>
      </c>
      <c r="E83" s="3">
        <f t="shared" si="19"/>
        <v>17849375.002783637</v>
      </c>
      <c r="F83" s="2">
        <v>1</v>
      </c>
      <c r="G83" s="2">
        <v>50</v>
      </c>
      <c r="H83" s="2">
        <v>0.25</v>
      </c>
      <c r="I83" s="2">
        <v>1</v>
      </c>
      <c r="J83" s="3">
        <f t="shared" ref="J83" si="54">E83*F83*G83/H83</f>
        <v>3569875000.5567274</v>
      </c>
      <c r="K83" s="3">
        <f t="shared" ref="K83" si="55">(STDEV(D83:D85)*F83*G83)/H83</f>
        <v>568494100.82827818</v>
      </c>
    </row>
    <row r="84" spans="1:11">
      <c r="A84" t="s">
        <v>108</v>
      </c>
      <c r="B84" s="12">
        <v>11.523159027099609</v>
      </c>
      <c r="C84" s="5">
        <f t="shared" si="48"/>
        <v>4.2278685699522589E-2</v>
      </c>
      <c r="D84" s="3">
        <f t="shared" si="18"/>
        <v>19598382.480469689</v>
      </c>
    </row>
    <row r="85" spans="1:11">
      <c r="A85" t="s">
        <v>108</v>
      </c>
      <c r="B85" s="12">
        <v>11.935489654541016</v>
      </c>
      <c r="C85" s="5">
        <f t="shared" si="48"/>
        <v>3.1430308229176904E-2</v>
      </c>
      <c r="D85" s="3">
        <f t="shared" si="18"/>
        <v>14569592.028765894</v>
      </c>
    </row>
    <row r="86" spans="1:11">
      <c r="A86" t="s">
        <v>109</v>
      </c>
      <c r="B86" s="12">
        <v>11.536314010620117</v>
      </c>
      <c r="C86" s="5">
        <f t="shared" si="48"/>
        <v>4.1880621074524282E-2</v>
      </c>
      <c r="D86" s="3">
        <f t="shared" si="18"/>
        <v>19413858.703451008</v>
      </c>
      <c r="E86" s="3">
        <f t="shared" si="19"/>
        <v>17823045.968206469</v>
      </c>
      <c r="F86" s="2">
        <v>1</v>
      </c>
      <c r="G86" s="2">
        <v>50</v>
      </c>
      <c r="H86" s="2">
        <v>0.25</v>
      </c>
      <c r="I86" s="2">
        <v>1</v>
      </c>
      <c r="J86" s="3">
        <f t="shared" ref="J86" si="56">E86*F86*G86/H86</f>
        <v>3564609193.641294</v>
      </c>
      <c r="K86" s="3">
        <f t="shared" ref="K86" si="57">(STDEV(D86:D88)*F86*G86)/H86</f>
        <v>309923201.84990776</v>
      </c>
    </row>
    <row r="87" spans="1:11">
      <c r="A87" t="s">
        <v>109</v>
      </c>
      <c r="B87" s="12">
        <v>11.661928176879883</v>
      </c>
      <c r="C87" s="5">
        <f t="shared" si="48"/>
        <v>3.8263368932625198E-2</v>
      </c>
      <c r="D87" s="3">
        <f t="shared" si="18"/>
        <v>17737073.112028591</v>
      </c>
    </row>
    <row r="88" spans="1:11">
      <c r="A88" t="s">
        <v>109</v>
      </c>
      <c r="B88" s="12">
        <v>11.777871131896973</v>
      </c>
      <c r="C88" s="5">
        <f t="shared" si="48"/>
        <v>3.5202512610940928E-2</v>
      </c>
      <c r="D88" s="3">
        <f t="shared" si="18"/>
        <v>16318206.089139815</v>
      </c>
    </row>
    <row r="89" spans="1:11">
      <c r="A89" t="s">
        <v>110</v>
      </c>
      <c r="B89" s="12">
        <v>12.624540328979492</v>
      </c>
      <c r="C89" s="5">
        <f t="shared" si="48"/>
        <v>1.9149383663062867E-2</v>
      </c>
      <c r="D89" s="3">
        <f t="shared" si="18"/>
        <v>8876741.0595784355</v>
      </c>
      <c r="E89" s="3">
        <f t="shared" si="19"/>
        <v>8671271.7402830217</v>
      </c>
      <c r="F89" s="2">
        <v>1</v>
      </c>
      <c r="G89" s="2">
        <v>50</v>
      </c>
      <c r="H89" s="2">
        <v>0.25</v>
      </c>
      <c r="I89" s="2">
        <v>1</v>
      </c>
      <c r="J89" s="3">
        <f t="shared" ref="J89" si="58">E89*F89*G89/H89</f>
        <v>1734254348.0566044</v>
      </c>
      <c r="K89" s="3">
        <f t="shared" ref="K89" si="59">(STDEV(D89:D91)*F89*G89)/H89</f>
        <v>258341325.72201234</v>
      </c>
    </row>
    <row r="90" spans="1:11">
      <c r="A90" t="s">
        <v>110</v>
      </c>
      <c r="B90" s="12">
        <v>12.898557662963867</v>
      </c>
      <c r="C90" s="5">
        <f t="shared" si="48"/>
        <v>1.5724537086993916E-2</v>
      </c>
      <c r="D90" s="3">
        <f t="shared" si="18"/>
        <v>7289145.5129296361</v>
      </c>
    </row>
    <row r="91" spans="1:11">
      <c r="A91" t="s">
        <v>110</v>
      </c>
      <c r="B91" s="12">
        <v>12.480157852172852</v>
      </c>
      <c r="C91" s="5">
        <f t="shared" si="48"/>
        <v>2.1244481810141453E-2</v>
      </c>
      <c r="D91" s="3">
        <f t="shared" si="18"/>
        <v>9847928.6483409945</v>
      </c>
    </row>
    <row r="92" spans="1:11">
      <c r="A92" t="s">
        <v>55</v>
      </c>
      <c r="B92" s="12">
        <v>12.880917549133301</v>
      </c>
      <c r="C92" s="5">
        <f t="shared" si="48"/>
        <v>1.5925275770477129E-2</v>
      </c>
      <c r="D92" s="3">
        <f t="shared" si="18"/>
        <v>7382198.3936528033</v>
      </c>
      <c r="E92" s="3">
        <f t="shared" si="19"/>
        <v>8125303.3974850578</v>
      </c>
      <c r="F92" s="2">
        <v>1</v>
      </c>
      <c r="G92" s="2">
        <v>50</v>
      </c>
      <c r="H92" s="2">
        <v>0.25</v>
      </c>
      <c r="I92" s="2">
        <v>1</v>
      </c>
      <c r="J92" s="3">
        <f t="shared" ref="J92" si="60">E92*F92*G92/H92</f>
        <v>1625060679.4970117</v>
      </c>
      <c r="K92" s="3">
        <f t="shared" ref="K92" si="61">(STDEV(D92:D94)*F92*G92)/H92</f>
        <v>139194698.72680229</v>
      </c>
    </row>
    <row r="93" spans="1:11">
      <c r="A93" t="s">
        <v>55</v>
      </c>
      <c r="B93" s="12">
        <v>12.729424476623535</v>
      </c>
      <c r="C93" s="5">
        <f t="shared" si="48"/>
        <v>1.7758201382706406E-2</v>
      </c>
      <c r="D93" s="3">
        <f t="shared" si="18"/>
        <v>8231855.2978910552</v>
      </c>
    </row>
    <row r="94" spans="1:11">
      <c r="A94" t="s">
        <v>55</v>
      </c>
      <c r="B94" s="12">
        <v>12.642655372619629</v>
      </c>
      <c r="C94" s="5">
        <f t="shared" si="48"/>
        <v>1.8901548508684394E-2</v>
      </c>
      <c r="D94" s="3">
        <f t="shared" si="18"/>
        <v>8761856.500911314</v>
      </c>
    </row>
    <row r="95" spans="1:11">
      <c r="A95" t="s">
        <v>54</v>
      </c>
      <c r="B95" s="12">
        <v>10.908322334289551</v>
      </c>
      <c r="C95" s="5">
        <f t="shared" si="48"/>
        <v>6.578667462896122E-2</v>
      </c>
      <c r="D95" s="3">
        <f t="shared" si="18"/>
        <v>30495565.085911654</v>
      </c>
      <c r="E95" s="3">
        <f>AVERAGE(D95:D96)</f>
        <v>23512478.155657165</v>
      </c>
      <c r="F95" s="2">
        <v>1</v>
      </c>
      <c r="G95" s="2">
        <v>50</v>
      </c>
      <c r="H95" s="2">
        <v>0.25</v>
      </c>
      <c r="I95" s="2">
        <v>1</v>
      </c>
      <c r="J95" s="3">
        <f t="shared" ref="J95" si="62">E95*F95*G95/H95</f>
        <v>4702495631.1314325</v>
      </c>
      <c r="K95" s="3">
        <f>(STDEV(D95:D96)*F95*G95)/H95</f>
        <v>1975115248.7992392</v>
      </c>
    </row>
    <row r="96" spans="1:11">
      <c r="A96" t="s">
        <v>54</v>
      </c>
      <c r="B96" s="12">
        <v>11.759989738464355</v>
      </c>
      <c r="C96" s="5">
        <f t="shared" si="48"/>
        <v>3.56580925553249E-2</v>
      </c>
      <c r="D96" s="3">
        <f t="shared" ref="D96:D109" si="63">C96*$B$9</f>
        <v>16529391.225402674</v>
      </c>
    </row>
    <row r="97" spans="1:11">
      <c r="A97" t="s">
        <v>54</v>
      </c>
      <c r="B97" s="12">
        <v>11.858612060546875</v>
      </c>
      <c r="C97" s="5">
        <f t="shared" si="48"/>
        <v>3.3216806945547392E-2</v>
      </c>
      <c r="D97" s="3">
        <f t="shared" si="63"/>
        <v>15397727.63811603</v>
      </c>
    </row>
    <row r="98" spans="1:11">
      <c r="A98" t="s">
        <v>111</v>
      </c>
      <c r="B98" s="12">
        <v>11.359786987304688</v>
      </c>
      <c r="C98" s="5">
        <f t="shared" si="48"/>
        <v>4.7549215043660123E-2</v>
      </c>
      <c r="D98" s="3">
        <f t="shared" si="63"/>
        <v>22041548.540433396</v>
      </c>
      <c r="E98" s="3">
        <f t="shared" ref="E98:E107" si="64">AVERAGE(D98:D100)</f>
        <v>17043750.077869538</v>
      </c>
      <c r="F98" s="2">
        <v>1</v>
      </c>
      <c r="G98" s="2">
        <v>50</v>
      </c>
      <c r="H98" s="2">
        <v>0.25</v>
      </c>
      <c r="I98" s="2">
        <v>1</v>
      </c>
      <c r="J98" s="3">
        <f t="shared" ref="J98" si="65">E98*F98*G98/H98</f>
        <v>3408750015.5739079</v>
      </c>
      <c r="K98" s="3">
        <f t="shared" ref="K98" si="66">(STDEV(D98:D100)*F98*G98)/H98</f>
        <v>912092159.35379171</v>
      </c>
    </row>
    <row r="99" spans="1:11">
      <c r="A99" t="s">
        <v>111</v>
      </c>
      <c r="B99" s="12">
        <v>11.806854248046875</v>
      </c>
      <c r="C99" s="5">
        <f t="shared" si="48"/>
        <v>3.4476414714881498E-2</v>
      </c>
      <c r="D99" s="3">
        <f t="shared" si="63"/>
        <v>15981621.731092997</v>
      </c>
    </row>
    <row r="100" spans="1:11">
      <c r="A100" t="s">
        <v>111</v>
      </c>
      <c r="B100" s="12">
        <v>12.082488059997559</v>
      </c>
      <c r="C100" s="5">
        <f t="shared" si="48"/>
        <v>2.8277455723366547E-2</v>
      </c>
      <c r="D100" s="3">
        <f t="shared" si="63"/>
        <v>13108079.962082222</v>
      </c>
    </row>
    <row r="101" spans="1:11">
      <c r="A101" t="s">
        <v>29</v>
      </c>
      <c r="B101" s="12">
        <v>11.731081962585449</v>
      </c>
      <c r="C101" s="5">
        <f t="shared" si="48"/>
        <v>3.6407104918872848E-2</v>
      </c>
      <c r="D101" s="3">
        <f t="shared" si="63"/>
        <v>16876597.637819108</v>
      </c>
      <c r="E101" s="3">
        <f t="shared" si="64"/>
        <v>10952448.366142008</v>
      </c>
      <c r="F101" s="2">
        <v>1</v>
      </c>
      <c r="G101" s="2">
        <v>50</v>
      </c>
      <c r="H101" s="2">
        <v>0.25</v>
      </c>
      <c r="I101" s="2">
        <v>1</v>
      </c>
      <c r="J101" s="3">
        <f t="shared" ref="J101" si="67">E101*F101*G101/H101</f>
        <v>2190489673.2284017</v>
      </c>
      <c r="K101" s="3">
        <f t="shared" ref="K101" si="68">(STDEV(D101:D103)*F101*G101)/H101</f>
        <v>1466295281.7500267</v>
      </c>
    </row>
    <row r="102" spans="1:11">
      <c r="A102" t="s">
        <v>29</v>
      </c>
      <c r="B102" s="12">
        <v>14.252531051635742</v>
      </c>
      <c r="C102" s="5">
        <f t="shared" si="48"/>
        <v>5.9391660539665899E-3</v>
      </c>
      <c r="D102" s="3">
        <f t="shared" si="63"/>
        <v>2753114.1523156073</v>
      </c>
    </row>
    <row r="103" spans="1:11">
      <c r="A103" t="s">
        <v>29</v>
      </c>
      <c r="B103" s="12">
        <v>12.069862365722656</v>
      </c>
      <c r="C103" s="5">
        <f t="shared" si="48"/>
        <v>2.8535362637558945E-2</v>
      </c>
      <c r="D103" s="3">
        <f t="shared" si="63"/>
        <v>13227633.308291312</v>
      </c>
    </row>
    <row r="104" spans="1:11">
      <c r="A104" t="s">
        <v>112</v>
      </c>
      <c r="B104" s="12">
        <v>12.685379981994629</v>
      </c>
      <c r="C104" s="5">
        <f t="shared" si="48"/>
        <v>1.8329654722814347E-2</v>
      </c>
      <c r="D104" s="3">
        <f t="shared" si="63"/>
        <v>8496753.8145756423</v>
      </c>
      <c r="E104" s="3">
        <f t="shared" si="64"/>
        <v>9171057.2398818638</v>
      </c>
      <c r="F104" s="2">
        <v>1</v>
      </c>
      <c r="G104" s="2">
        <v>50</v>
      </c>
      <c r="H104" s="2">
        <v>0.25</v>
      </c>
      <c r="I104" s="2">
        <v>1</v>
      </c>
      <c r="J104" s="3">
        <f t="shared" ref="J104" si="69">E104*F104*G104/H104</f>
        <v>1834211447.9763727</v>
      </c>
      <c r="K104" s="3">
        <f t="shared" ref="K104" si="70">(STDEV(D104:D106)*F104*G104)/H104</f>
        <v>465830256.30010068</v>
      </c>
    </row>
    <row r="105" spans="1:11">
      <c r="A105" t="s">
        <v>112</v>
      </c>
      <c r="B105" s="12">
        <v>12.233053207397461</v>
      </c>
      <c r="C105" s="5">
        <f t="shared" si="48"/>
        <v>2.5375704678772929E-2</v>
      </c>
      <c r="D105" s="3">
        <f t="shared" si="63"/>
        <v>11762966.558150407</v>
      </c>
    </row>
    <row r="106" spans="1:11">
      <c r="A106" t="s">
        <v>112</v>
      </c>
      <c r="B106" s="12">
        <v>12.905384063720703</v>
      </c>
      <c r="C106" s="5">
        <f t="shared" si="48"/>
        <v>1.5647535710602206E-2</v>
      </c>
      <c r="D106" s="3">
        <f t="shared" si="63"/>
        <v>7253451.3469195422</v>
      </c>
    </row>
    <row r="107" spans="1:11">
      <c r="A107" t="s">
        <v>53</v>
      </c>
      <c r="B107" s="12">
        <v>13.097043037414551</v>
      </c>
      <c r="C107" s="5">
        <f t="shared" si="48"/>
        <v>1.3632952831421566E-2</v>
      </c>
      <c r="D107" s="3">
        <f t="shared" si="63"/>
        <v>6319586.7966969255</v>
      </c>
      <c r="E107" s="3">
        <f t="shared" si="64"/>
        <v>6027981.7096664757</v>
      </c>
      <c r="F107" s="2">
        <v>1</v>
      </c>
      <c r="G107" s="2">
        <v>50</v>
      </c>
      <c r="H107" s="2">
        <v>0.25</v>
      </c>
      <c r="I107" s="2">
        <v>1</v>
      </c>
      <c r="J107" s="3">
        <f t="shared" ref="J107" si="71">E107*F107*G107/H107</f>
        <v>1205596341.9332952</v>
      </c>
      <c r="K107" s="3">
        <f t="shared" ref="K107" si="72">(STDEV(D107:D109)*F107*G107)/H107</f>
        <v>57527944.460125268</v>
      </c>
    </row>
    <row r="108" spans="1:11">
      <c r="A108" t="s">
        <v>53</v>
      </c>
      <c r="B108" s="12">
        <v>13.229727745056152</v>
      </c>
      <c r="C108" s="5">
        <f t="shared" si="48"/>
        <v>1.2392298322923401E-2</v>
      </c>
      <c r="D108" s="3">
        <f t="shared" si="63"/>
        <v>5744478.531589698</v>
      </c>
    </row>
    <row r="109" spans="1:11">
      <c r="A109" t="s">
        <v>53</v>
      </c>
      <c r="B109" s="12">
        <v>13.164608001708984</v>
      </c>
      <c r="C109" s="5">
        <f t="shared" si="48"/>
        <v>1.2986408765971883E-2</v>
      </c>
      <c r="D109" s="3">
        <f t="shared" si="63"/>
        <v>6019879.8007128043</v>
      </c>
    </row>
  </sheetData>
  <mergeCells count="11">
    <mergeCell ref="H13:H14"/>
    <mergeCell ref="I13:I14"/>
    <mergeCell ref="J13:J14"/>
    <mergeCell ref="K13:K14"/>
    <mergeCell ref="L13:L14"/>
    <mergeCell ref="G13:G14"/>
    <mergeCell ref="B13:B14"/>
    <mergeCell ref="C13:C14"/>
    <mergeCell ref="D13:D14"/>
    <mergeCell ref="E13:E14"/>
    <mergeCell ref="F13:F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8A99C-CC2E-8643-AB07-4843F20A0925}">
  <dimension ref="A1:Q109"/>
  <sheetViews>
    <sheetView topLeftCell="A88" zoomScale="120" zoomScaleNormal="120" workbookViewId="0">
      <selection activeCell="A104" sqref="A104"/>
    </sheetView>
  </sheetViews>
  <sheetFormatPr baseColWidth="10" defaultRowHeight="15"/>
  <cols>
    <col min="1" max="1" width="34" style="2" customWidth="1"/>
    <col min="2" max="2" width="10.7109375" style="2"/>
    <col min="3" max="3" width="13.42578125" style="2" customWidth="1"/>
    <col min="4" max="4" width="17.7109375" style="2" customWidth="1"/>
    <col min="5" max="5" width="13" style="2" customWidth="1"/>
    <col min="6" max="6" width="7.42578125" style="2" customWidth="1"/>
    <col min="7" max="7" width="15.5703125" style="2" customWidth="1"/>
    <col min="8" max="8" width="33" style="2" customWidth="1"/>
    <col min="9" max="9" width="12" style="2" customWidth="1"/>
    <col min="10" max="10" width="16.85546875" style="2" customWidth="1"/>
    <col min="11" max="11" width="10.85546875" style="2" customWidth="1"/>
    <col min="12" max="12" width="14.42578125" style="2" customWidth="1"/>
    <col min="13" max="16384" width="10.7109375" style="2"/>
  </cols>
  <sheetData>
    <row r="1" spans="1:16">
      <c r="A1" s="2" t="s">
        <v>138</v>
      </c>
    </row>
    <row r="2" spans="1:16">
      <c r="A2" s="2" t="s">
        <v>162</v>
      </c>
    </row>
    <row r="3" spans="1:16">
      <c r="A3" s="2" t="s">
        <v>23</v>
      </c>
    </row>
    <row r="5" spans="1:16">
      <c r="A5" s="2" t="s">
        <v>32</v>
      </c>
      <c r="B5" s="3">
        <v>1500</v>
      </c>
      <c r="D5" s="2" t="s">
        <v>10</v>
      </c>
    </row>
    <row r="6" spans="1:16" ht="17">
      <c r="A6" s="2" t="s">
        <v>6</v>
      </c>
      <c r="B6" s="3">
        <v>1.096E-21</v>
      </c>
      <c r="D6" s="2" t="s">
        <v>9</v>
      </c>
      <c r="E6" s="3"/>
      <c r="F6" s="3"/>
      <c r="H6" s="1"/>
      <c r="I6" s="6"/>
      <c r="J6" s="1"/>
      <c r="K6" s="6"/>
      <c r="L6" s="1"/>
      <c r="M6" s="6"/>
      <c r="N6" s="1"/>
      <c r="O6" s="6"/>
      <c r="P6" s="1"/>
    </row>
    <row r="7" spans="1:16">
      <c r="A7" s="2" t="s">
        <v>33</v>
      </c>
      <c r="B7" s="3">
        <f>B5*B6</f>
        <v>1.6439999999999999E-18</v>
      </c>
      <c r="C7" s="3"/>
      <c r="E7" s="4"/>
      <c r="F7" s="5"/>
      <c r="H7" s="1"/>
      <c r="I7" s="6"/>
      <c r="J7" s="1"/>
      <c r="K7" s="6"/>
      <c r="L7" s="1"/>
      <c r="M7" s="6"/>
      <c r="N7" s="1"/>
      <c r="O7" s="6"/>
      <c r="P7" s="1"/>
    </row>
    <row r="8" spans="1:16">
      <c r="A8" s="2" t="s">
        <v>34</v>
      </c>
      <c r="B8" s="3">
        <v>7.6207999999999981E-10</v>
      </c>
      <c r="D8" s="2" t="s">
        <v>13</v>
      </c>
      <c r="E8" s="4"/>
      <c r="F8" s="5"/>
      <c r="H8" s="1"/>
      <c r="I8" s="1"/>
      <c r="J8" s="1"/>
      <c r="K8" s="1"/>
      <c r="L8" s="1"/>
      <c r="M8" s="1"/>
      <c r="N8" s="1"/>
      <c r="O8" s="1"/>
      <c r="P8" s="1"/>
    </row>
    <row r="9" spans="1:16">
      <c r="A9" s="2" t="s">
        <v>35</v>
      </c>
      <c r="B9" s="3">
        <f>B8/B7</f>
        <v>463552311.43552303</v>
      </c>
      <c r="D9" s="2" t="s">
        <v>14</v>
      </c>
      <c r="H9" s="1"/>
      <c r="I9" s="1"/>
      <c r="J9" s="1"/>
      <c r="K9" s="1"/>
      <c r="L9" s="1"/>
      <c r="M9" s="1"/>
      <c r="N9" s="1"/>
      <c r="O9" s="1"/>
      <c r="P9" s="1"/>
    </row>
    <row r="10" spans="1:16">
      <c r="A10" s="2" t="s">
        <v>8</v>
      </c>
      <c r="B10" s="3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2" t="s">
        <v>11</v>
      </c>
      <c r="B11" s="3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B12" s="3"/>
      <c r="H12" s="1"/>
      <c r="I12" s="1"/>
      <c r="J12" s="1"/>
      <c r="K12" s="1"/>
      <c r="L12" s="1"/>
      <c r="M12" s="1"/>
      <c r="N12" s="1"/>
      <c r="O12" s="1"/>
      <c r="P12" s="1"/>
    </row>
    <row r="13" spans="1:16" ht="15" customHeight="1">
      <c r="A13" s="2" t="s">
        <v>0</v>
      </c>
      <c r="B13" s="14" t="s">
        <v>1</v>
      </c>
      <c r="C13" s="15" t="s">
        <v>7</v>
      </c>
      <c r="D13" s="15" t="s">
        <v>12</v>
      </c>
      <c r="E13" s="15" t="s">
        <v>2</v>
      </c>
      <c r="F13" s="15" t="s">
        <v>3</v>
      </c>
      <c r="G13" s="15" t="s">
        <v>5</v>
      </c>
      <c r="H13" s="15" t="s">
        <v>36</v>
      </c>
      <c r="I13" s="15" t="s">
        <v>4</v>
      </c>
      <c r="J13" s="15" t="s">
        <v>37</v>
      </c>
      <c r="K13" s="13" t="s">
        <v>15</v>
      </c>
      <c r="L13" s="13"/>
      <c r="M13" s="1"/>
      <c r="N13" s="1"/>
      <c r="O13" s="1"/>
      <c r="P13" s="1"/>
    </row>
    <row r="14" spans="1:16">
      <c r="B14" s="14"/>
      <c r="C14" s="15"/>
      <c r="D14" s="15"/>
      <c r="E14" s="15"/>
      <c r="F14" s="15"/>
      <c r="G14" s="15"/>
      <c r="H14" s="15"/>
      <c r="I14" s="15"/>
      <c r="J14" s="15"/>
      <c r="K14" s="13"/>
      <c r="L14" s="13"/>
      <c r="M14" s="1"/>
      <c r="N14" s="1"/>
      <c r="O14" s="1"/>
      <c r="P14" s="1"/>
    </row>
    <row r="15" spans="1:16">
      <c r="A15" s="2" t="s">
        <v>21</v>
      </c>
      <c r="B15" s="10"/>
      <c r="C15" s="11"/>
      <c r="D15" s="11"/>
      <c r="E15" s="11"/>
      <c r="F15" s="11"/>
      <c r="G15" s="11"/>
      <c r="H15" s="11"/>
      <c r="I15" s="11"/>
      <c r="J15" s="11"/>
      <c r="K15" s="1"/>
      <c r="L15" s="6"/>
      <c r="M15" s="1"/>
      <c r="N15" s="1"/>
      <c r="O15" s="1"/>
      <c r="P15" s="1"/>
    </row>
    <row r="16" spans="1:16">
      <c r="A16" s="2" t="s">
        <v>16</v>
      </c>
      <c r="B16" s="12">
        <v>6.7107181549072266</v>
      </c>
      <c r="C16" s="5">
        <f>10^((B16-7.223)/(-3.386))</f>
        <v>1.4167528881131917</v>
      </c>
      <c r="D16" s="3">
        <f>C16*$B$9</f>
        <v>656739076.01782298</v>
      </c>
      <c r="E16" s="3">
        <f t="shared" ref="E16" si="0">AVERAGE(D16:D18)</f>
        <v>743499243.07186043</v>
      </c>
      <c r="F16" s="2">
        <v>1</v>
      </c>
      <c r="G16" s="2">
        <v>50</v>
      </c>
      <c r="H16" s="2">
        <v>47.2</v>
      </c>
      <c r="I16" s="2">
        <v>1</v>
      </c>
      <c r="J16" s="3">
        <f t="shared" ref="J16" si="1">E16*F16*G16/H16</f>
        <v>787605130.37273359</v>
      </c>
      <c r="K16" s="3">
        <f t="shared" ref="K16" si="2">(STDEV(D16:D18)*F16*G16)/H16</f>
        <v>80475038.420936003</v>
      </c>
      <c r="L16" s="6"/>
      <c r="M16" s="1"/>
      <c r="N16" s="1"/>
      <c r="O16" s="1"/>
      <c r="P16" s="1"/>
    </row>
    <row r="17" spans="1:16">
      <c r="B17" s="12">
        <v>6.4240603446960449</v>
      </c>
      <c r="C17" s="5">
        <f t="shared" ref="C17:C33" si="3">10^((B17-7.223)/(-3.386))</f>
        <v>1.7216855169491132</v>
      </c>
      <c r="D17" s="3">
        <f t="shared" ref="D17:D30" si="4">C17*$B$9</f>
        <v>798091300.94682479</v>
      </c>
      <c r="L17" s="6"/>
      <c r="M17" s="1"/>
      <c r="N17" s="1"/>
      <c r="O17" s="1"/>
      <c r="P17" s="1"/>
    </row>
    <row r="18" spans="1:16">
      <c r="B18" s="12">
        <v>6.4659690856933594</v>
      </c>
      <c r="C18" s="5">
        <f t="shared" si="3"/>
        <v>1.6733113677048803</v>
      </c>
      <c r="D18" s="3">
        <f t="shared" si="4"/>
        <v>775667352.25093365</v>
      </c>
      <c r="L18" s="6"/>
      <c r="M18" s="1"/>
      <c r="N18" s="1"/>
      <c r="O18" s="1"/>
      <c r="P18" s="1"/>
    </row>
    <row r="19" spans="1:16">
      <c r="A19" s="2" t="s">
        <v>17</v>
      </c>
      <c r="B19" s="12">
        <v>9.770939826965332</v>
      </c>
      <c r="C19" s="5">
        <f t="shared" si="3"/>
        <v>0.17681024846401869</v>
      </c>
      <c r="D19" s="3">
        <f t="shared" si="4"/>
        <v>81960799.360984996</v>
      </c>
      <c r="E19" s="3">
        <f t="shared" ref="E19" si="5">AVERAGE(D19:D21)</f>
        <v>87559369.523400411</v>
      </c>
      <c r="F19" s="2">
        <v>5</v>
      </c>
      <c r="G19" s="2">
        <v>50</v>
      </c>
      <c r="H19" s="2">
        <v>47.2</v>
      </c>
      <c r="I19" s="2">
        <v>1</v>
      </c>
      <c r="J19" s="3">
        <f t="shared" ref="J19" si="6">E19*F19*G19/H19</f>
        <v>463767847.05190897</v>
      </c>
      <c r="K19" s="3">
        <f t="shared" ref="K19" si="7">(STDEV(D19:D21)*F19*G19)/H19</f>
        <v>36209335.702324308</v>
      </c>
      <c r="L19" s="6"/>
      <c r="M19" s="1"/>
      <c r="N19" s="1"/>
      <c r="O19" s="1"/>
      <c r="P19" s="1"/>
    </row>
    <row r="20" spans="1:16">
      <c r="B20" s="12">
        <v>9.5510835647583008</v>
      </c>
      <c r="C20" s="5">
        <f t="shared" si="3"/>
        <v>0.20532337946107204</v>
      </c>
      <c r="D20" s="3">
        <f t="shared" si="4"/>
        <v>95178127.140932947</v>
      </c>
      <c r="L20" s="6"/>
      <c r="M20" s="1"/>
      <c r="N20" s="1"/>
      <c r="O20" s="1"/>
      <c r="P20" s="1"/>
    </row>
    <row r="21" spans="1:16">
      <c r="B21" s="12">
        <v>9.708099365234375</v>
      </c>
      <c r="C21" s="5">
        <f t="shared" si="3"/>
        <v>0.18452972827033609</v>
      </c>
      <c r="D21" s="3">
        <f t="shared" si="4"/>
        <v>85539182.068283275</v>
      </c>
      <c r="L21" s="6"/>
      <c r="M21" s="1"/>
      <c r="N21" s="1"/>
      <c r="O21" s="1"/>
      <c r="P21" s="1"/>
    </row>
    <row r="22" spans="1:16">
      <c r="A22" s="2" t="s">
        <v>18</v>
      </c>
      <c r="B22" s="12">
        <v>11.88397216796875</v>
      </c>
      <c r="C22" s="5">
        <f t="shared" si="3"/>
        <v>4.2020161541857837E-2</v>
      </c>
      <c r="D22" s="3">
        <f t="shared" si="4"/>
        <v>19478543.009622272</v>
      </c>
      <c r="E22" s="3">
        <f t="shared" ref="E22" si="8">AVERAGE(D22:D24)</f>
        <v>18608634.288811825</v>
      </c>
      <c r="F22" s="2">
        <v>25</v>
      </c>
      <c r="G22" s="2">
        <v>50</v>
      </c>
      <c r="H22" s="2">
        <v>47.2</v>
      </c>
      <c r="I22" s="2">
        <v>1</v>
      </c>
      <c r="J22" s="3">
        <f t="shared" ref="J22" si="9">E22*F22*G22/H22</f>
        <v>492813408.07234704</v>
      </c>
      <c r="K22" s="3">
        <f t="shared" ref="K22" si="10">(STDEV(D22:D24)*F22*G22)/H22</f>
        <v>29031978.992339402</v>
      </c>
      <c r="L22" s="6"/>
      <c r="M22" s="1"/>
      <c r="N22" s="1"/>
      <c r="O22" s="1"/>
      <c r="P22" s="1"/>
    </row>
    <row r="23" spans="1:16">
      <c r="B23" s="12">
        <v>12.05182933807373</v>
      </c>
      <c r="C23" s="5">
        <f t="shared" si="3"/>
        <v>3.7487271709285036E-2</v>
      </c>
      <c r="D23" s="3">
        <f t="shared" si="4"/>
        <v>17377311.45025057</v>
      </c>
      <c r="L23" s="6"/>
      <c r="M23" s="1"/>
      <c r="N23" s="1"/>
      <c r="O23" s="1"/>
      <c r="P23" s="1"/>
    </row>
    <row r="24" spans="1:16">
      <c r="B24" s="12">
        <v>11.922870635986328</v>
      </c>
      <c r="C24" s="5">
        <f t="shared" si="3"/>
        <v>4.092320961104999E-2</v>
      </c>
      <c r="D24" s="3">
        <f t="shared" si="4"/>
        <v>18970048.406562634</v>
      </c>
      <c r="L24" s="6"/>
      <c r="M24" s="1"/>
      <c r="N24" s="1"/>
      <c r="O24" s="1"/>
      <c r="P24" s="1"/>
    </row>
    <row r="25" spans="1:16">
      <c r="A25" s="2" t="s">
        <v>19</v>
      </c>
      <c r="B25" s="12">
        <v>13.948187828063965</v>
      </c>
      <c r="C25" s="5">
        <f t="shared" si="3"/>
        <v>1.0323458427357489E-2</v>
      </c>
      <c r="D25" s="3">
        <f t="shared" si="4"/>
        <v>4785463.0160100935</v>
      </c>
      <c r="E25" s="3">
        <f t="shared" ref="E25" si="11">AVERAGE(D25:D27)</f>
        <v>4723186.8025305094</v>
      </c>
      <c r="F25" s="2">
        <v>125</v>
      </c>
      <c r="G25" s="2">
        <v>50</v>
      </c>
      <c r="H25" s="2">
        <v>47.2</v>
      </c>
      <c r="I25" s="2">
        <v>1</v>
      </c>
      <c r="J25" s="3">
        <f t="shared" ref="J25" si="12">E25*F25*G25/H25</f>
        <v>625421981.26728129</v>
      </c>
      <c r="K25" s="3">
        <f t="shared" ref="K25" si="13">(STDEV(D25:D27)*F25*G25)/H25</f>
        <v>22129622.285343472</v>
      </c>
      <c r="L25" s="6"/>
      <c r="M25" s="1"/>
      <c r="N25" s="1"/>
      <c r="O25" s="1"/>
      <c r="P25" s="1"/>
    </row>
    <row r="26" spans="1:16">
      <c r="B26" s="12">
        <v>13.92841911315918</v>
      </c>
      <c r="C26" s="5">
        <f t="shared" si="3"/>
        <v>1.0463177225380527E-2</v>
      </c>
      <c r="D26" s="3">
        <f t="shared" si="4"/>
        <v>4850229.987784666</v>
      </c>
      <c r="L26" s="6"/>
      <c r="M26" s="1"/>
      <c r="N26" s="1"/>
      <c r="O26" s="1"/>
      <c r="P26" s="1"/>
    </row>
    <row r="27" spans="1:16">
      <c r="B27" s="12">
        <v>14.027606964111328</v>
      </c>
      <c r="C27" s="5">
        <f t="shared" si="3"/>
        <v>9.7807028288918393E-3</v>
      </c>
      <c r="D27" s="3">
        <f t="shared" si="4"/>
        <v>4533867.4037967706</v>
      </c>
      <c r="L27" s="6"/>
      <c r="M27" s="1"/>
      <c r="N27" s="1"/>
      <c r="O27" s="1"/>
      <c r="P27" s="1"/>
    </row>
    <row r="28" spans="1:16">
      <c r="A28" s="2" t="s">
        <v>20</v>
      </c>
      <c r="B28" s="12">
        <v>16.492149353027344</v>
      </c>
      <c r="C28" s="5">
        <f t="shared" si="3"/>
        <v>1.8302380267335445E-3</v>
      </c>
      <c r="D28" s="3">
        <f t="shared" si="4"/>
        <v>848411.06776952511</v>
      </c>
      <c r="E28" s="3">
        <f t="shared" ref="E28" si="14">AVERAGE(D28:D30)</f>
        <v>895112.37340288272</v>
      </c>
      <c r="F28" s="2">
        <v>625</v>
      </c>
      <c r="G28" s="2">
        <v>50</v>
      </c>
      <c r="H28" s="2">
        <v>47.2</v>
      </c>
      <c r="I28" s="2">
        <v>1</v>
      </c>
      <c r="J28" s="3">
        <f t="shared" ref="J28" si="15">E28*F28*G28/H28</f>
        <v>592632662.4754256</v>
      </c>
      <c r="K28" s="3">
        <f t="shared" ref="K28" si="16">(STDEV(D28:D30)*F28*G28)/H28</f>
        <v>28687969.970912199</v>
      </c>
      <c r="L28" s="7"/>
      <c r="M28" s="1"/>
      <c r="N28" s="1"/>
      <c r="O28" s="1"/>
      <c r="P28" s="7"/>
    </row>
    <row r="29" spans="1:16">
      <c r="B29" s="12">
        <v>16.400590896606445</v>
      </c>
      <c r="C29" s="5">
        <f t="shared" si="3"/>
        <v>1.9478157562380989E-3</v>
      </c>
      <c r="D29" s="3">
        <f t="shared" si="4"/>
        <v>902914.49605470209</v>
      </c>
      <c r="L29" s="7"/>
      <c r="M29" s="1"/>
      <c r="N29" s="1"/>
      <c r="O29" s="1"/>
      <c r="P29" s="7"/>
    </row>
    <row r="30" spans="1:16">
      <c r="B30" s="12">
        <v>16.350797653198242</v>
      </c>
      <c r="C30" s="5">
        <f t="shared" si="3"/>
        <v>2.0149000087864633E-3</v>
      </c>
      <c r="D30" s="3">
        <f t="shared" si="4"/>
        <v>934011.55638442072</v>
      </c>
      <c r="L30" s="7"/>
      <c r="M30" s="1"/>
      <c r="N30" s="1"/>
      <c r="O30" s="1"/>
      <c r="P30" s="7"/>
    </row>
    <row r="31" spans="1:16">
      <c r="A31" s="2" t="s">
        <v>161</v>
      </c>
      <c r="B31" s="12">
        <v>18.703964233398438</v>
      </c>
      <c r="C31" s="5">
        <f t="shared" si="3"/>
        <v>4.0670924270748014E-4</v>
      </c>
      <c r="D31" s="3">
        <f t="shared" ref="D31:D33" si="17">C31*$B$9</f>
        <v>188531.00953924356</v>
      </c>
      <c r="E31" s="3">
        <f t="shared" ref="E31" si="18">AVERAGE(D31:D33)</f>
        <v>194914.65599815969</v>
      </c>
      <c r="F31" s="2">
        <v>625</v>
      </c>
      <c r="G31" s="2">
        <v>50</v>
      </c>
      <c r="H31" s="2">
        <v>47.2</v>
      </c>
      <c r="I31" s="2">
        <v>1</v>
      </c>
      <c r="J31" s="3">
        <f t="shared" ref="J31" si="19">E31*F31*G31/H31</f>
        <v>129048368.64284937</v>
      </c>
      <c r="K31" s="3">
        <f t="shared" ref="K31" si="20">(STDEV(D31:D33)*F31*G31)/H31</f>
        <v>4538295.5117936488</v>
      </c>
      <c r="L31" s="7"/>
      <c r="M31" s="1"/>
      <c r="N31" s="1"/>
      <c r="O31" s="1"/>
      <c r="P31" s="7"/>
    </row>
    <row r="32" spans="1:16">
      <c r="B32" s="12">
        <v>18.601333618164062</v>
      </c>
      <c r="C32" s="5">
        <f t="shared" si="3"/>
        <v>4.3610827187947314E-4</v>
      </c>
      <c r="D32" s="3">
        <f t="shared" si="17"/>
        <v>202158.99746588129</v>
      </c>
      <c r="L32" s="7"/>
      <c r="M32" s="1"/>
      <c r="N32" s="1"/>
      <c r="O32" s="1"/>
      <c r="P32" s="7"/>
    </row>
    <row r="33" spans="1:17">
      <c r="B33" s="12">
        <v>18.661504745483398</v>
      </c>
      <c r="C33" s="5">
        <f t="shared" si="3"/>
        <v>4.1862365088507573E-4</v>
      </c>
      <c r="D33" s="3">
        <f t="shared" si="17"/>
        <v>194053.96098935429</v>
      </c>
      <c r="L33" s="7"/>
      <c r="M33" s="1"/>
      <c r="N33" s="1"/>
      <c r="O33" s="1"/>
      <c r="P33" s="7"/>
    </row>
    <row r="34" spans="1:17">
      <c r="A34" s="2" t="s">
        <v>22</v>
      </c>
      <c r="B34" s="12"/>
      <c r="C34" s="5"/>
      <c r="D34" s="3"/>
      <c r="L34" s="7"/>
      <c r="M34" s="1"/>
      <c r="N34" s="1"/>
      <c r="O34" s="1"/>
      <c r="P34" s="7"/>
    </row>
    <row r="35" spans="1:17">
      <c r="A35" t="s">
        <v>113</v>
      </c>
      <c r="B35" s="12">
        <v>11.994463920593262</v>
      </c>
      <c r="C35" s="5">
        <f t="shared" ref="C35:C98" si="21">10^((B35-7.223)/(-3.386))</f>
        <v>3.8978558724035002E-2</v>
      </c>
      <c r="D35" s="3">
        <f t="shared" ref="D35:D98" si="22">C35*$B$9</f>
        <v>18068600.992951695</v>
      </c>
      <c r="E35" s="3">
        <f t="shared" ref="E35:E95" si="23">AVERAGE(D35:D37)</f>
        <v>15870191.99968045</v>
      </c>
      <c r="F35" s="2">
        <v>1</v>
      </c>
      <c r="G35" s="2">
        <v>50</v>
      </c>
      <c r="H35" s="2">
        <v>0.25</v>
      </c>
      <c r="I35" s="2">
        <v>1</v>
      </c>
      <c r="J35" s="3">
        <f t="shared" ref="J35" si="24">E35*F35*G35/H35</f>
        <v>3174038399.93609</v>
      </c>
      <c r="K35" s="3">
        <f t="shared" ref="K35" si="25">(STDEV(D35:D37)*F35*G35)/H35</f>
        <v>446028396.6308592</v>
      </c>
    </row>
    <row r="36" spans="1:17">
      <c r="A36" t="s">
        <v>113</v>
      </c>
      <c r="B36" s="12">
        <v>12.179490089416504</v>
      </c>
      <c r="C36" s="5">
        <f t="shared" si="21"/>
        <v>3.4370140581428732E-2</v>
      </c>
      <c r="D36" s="3">
        <f t="shared" si="22"/>
        <v>15932358.11088516</v>
      </c>
    </row>
    <row r="37" spans="1:17">
      <c r="A37" t="s">
        <v>113</v>
      </c>
      <c r="B37" s="12">
        <v>12.411208152770996</v>
      </c>
      <c r="C37" s="5">
        <f t="shared" si="21"/>
        <v>2.9359398194042877E-2</v>
      </c>
      <c r="D37" s="3">
        <f t="shared" si="22"/>
        <v>13609616.895204496</v>
      </c>
    </row>
    <row r="38" spans="1:17">
      <c r="A38" t="s">
        <v>114</v>
      </c>
      <c r="B38" s="12">
        <v>13.808401107788086</v>
      </c>
      <c r="C38" s="5">
        <f t="shared" si="21"/>
        <v>1.1352955781058414E-2</v>
      </c>
      <c r="D38" s="3">
        <f t="shared" si="22"/>
        <v>5262688.8939349111</v>
      </c>
      <c r="E38" s="3">
        <f t="shared" si="23"/>
        <v>7654530.7976194592</v>
      </c>
      <c r="F38" s="2">
        <v>1</v>
      </c>
      <c r="G38" s="2">
        <v>50</v>
      </c>
      <c r="H38" s="2">
        <v>0.25</v>
      </c>
      <c r="I38" s="2">
        <v>1</v>
      </c>
      <c r="J38" s="3">
        <f t="shared" ref="J38" si="26">E38*F38*G38/H38</f>
        <v>1530906159.5238919</v>
      </c>
      <c r="K38" s="3">
        <f t="shared" ref="K38" si="27">(STDEV(D38:D40)*F38*G38)/H38</f>
        <v>437329726.32861704</v>
      </c>
    </row>
    <row r="39" spans="1:17">
      <c r="A39" t="s">
        <v>114</v>
      </c>
      <c r="B39" s="12">
        <v>12.931966781616211</v>
      </c>
      <c r="C39" s="5">
        <f t="shared" si="21"/>
        <v>2.0603906122026904E-2</v>
      </c>
      <c r="D39" s="3">
        <f t="shared" si="22"/>
        <v>9550988.3074660953</v>
      </c>
    </row>
    <row r="40" spans="1:17">
      <c r="A40" t="s">
        <v>114</v>
      </c>
      <c r="B40" s="12">
        <v>13.16524600982666</v>
      </c>
      <c r="C40" s="5">
        <f t="shared" si="21"/>
        <v>1.7581435774139096E-2</v>
      </c>
      <c r="D40" s="3">
        <f t="shared" si="22"/>
        <v>8149915.1914573722</v>
      </c>
    </row>
    <row r="41" spans="1:17">
      <c r="A41" t="s">
        <v>115</v>
      </c>
      <c r="B41" s="12">
        <v>12.681751251220703</v>
      </c>
      <c r="C41" s="5">
        <f t="shared" si="21"/>
        <v>2.4425679127039624E-2</v>
      </c>
      <c r="D41" s="3">
        <f t="shared" si="22"/>
        <v>11322580.017721627</v>
      </c>
      <c r="E41" s="3">
        <f t="shared" si="23"/>
        <v>12170109.370825058</v>
      </c>
      <c r="F41" s="2">
        <v>1</v>
      </c>
      <c r="G41" s="2">
        <v>50</v>
      </c>
      <c r="H41" s="2">
        <v>0.25</v>
      </c>
      <c r="I41" s="2">
        <v>1</v>
      </c>
      <c r="J41" s="3">
        <f t="shared" ref="J41" si="28">E41*F41*G41/H41</f>
        <v>2434021874.1650114</v>
      </c>
      <c r="K41" s="3">
        <f t="shared" ref="K41" si="29">(STDEV(D41:D43)*F41*G41)/H41</f>
        <v>176237457.88428369</v>
      </c>
    </row>
    <row r="42" spans="1:17">
      <c r="A42" t="s">
        <v>115</v>
      </c>
      <c r="B42" s="12">
        <v>12.469409942626953</v>
      </c>
      <c r="C42" s="5">
        <f t="shared" si="21"/>
        <v>2.8220077212651105E-2</v>
      </c>
      <c r="D42" s="3">
        <f t="shared" si="22"/>
        <v>13081482.020813351</v>
      </c>
    </row>
    <row r="43" spans="1:17">
      <c r="A43" t="s">
        <v>115</v>
      </c>
      <c r="B43" s="12">
        <v>12.583337783813477</v>
      </c>
      <c r="C43" s="5">
        <f t="shared" si="21"/>
        <v>2.6116288874603308E-2</v>
      </c>
      <c r="D43" s="3">
        <f t="shared" si="22"/>
        <v>12106266.073940197</v>
      </c>
    </row>
    <row r="44" spans="1:17">
      <c r="A44" t="s">
        <v>116</v>
      </c>
      <c r="B44" s="12">
        <v>11.803774833679199</v>
      </c>
      <c r="C44" s="5">
        <f t="shared" si="21"/>
        <v>4.4375442352618852E-2</v>
      </c>
      <c r="D44" s="3">
        <f t="shared" si="22"/>
        <v>20570338.873530272</v>
      </c>
      <c r="E44" s="3">
        <f t="shared" si="23"/>
        <v>18739943.66149636</v>
      </c>
      <c r="F44" s="2">
        <v>1</v>
      </c>
      <c r="G44" s="2">
        <v>50</v>
      </c>
      <c r="H44" s="2">
        <v>0.25</v>
      </c>
      <c r="I44" s="2">
        <v>1</v>
      </c>
      <c r="J44" s="3">
        <f t="shared" ref="J44" si="30">E44*F44*G44/H44</f>
        <v>3747988732.2992721</v>
      </c>
      <c r="K44" s="3">
        <f t="shared" ref="K44" si="31">(STDEV(D44:D46)*F44*G44)/H44</f>
        <v>326861971.31460607</v>
      </c>
      <c r="M44" s="8"/>
      <c r="N44" s="1"/>
      <c r="O44" s="1"/>
      <c r="P44" s="1"/>
      <c r="Q44" s="9"/>
    </row>
    <row r="45" spans="1:17">
      <c r="A45" t="s">
        <v>116</v>
      </c>
      <c r="B45" s="12">
        <v>12.04763126373291</v>
      </c>
      <c r="C45" s="5">
        <f t="shared" si="21"/>
        <v>3.7594444060295273E-2</v>
      </c>
      <c r="D45" s="3">
        <f t="shared" si="22"/>
        <v>17426991.441283345</v>
      </c>
    </row>
    <row r="46" spans="1:17">
      <c r="A46" t="s">
        <v>116</v>
      </c>
      <c r="B46" s="12">
        <v>11.981991767883301</v>
      </c>
      <c r="C46" s="5">
        <f t="shared" si="21"/>
        <v>3.9310559391332232E-2</v>
      </c>
      <c r="D46" s="3">
        <f t="shared" si="22"/>
        <v>18222500.669675462</v>
      </c>
    </row>
    <row r="47" spans="1:17">
      <c r="A47" t="s">
        <v>117</v>
      </c>
      <c r="B47" s="12">
        <v>13.201346397399902</v>
      </c>
      <c r="C47" s="5">
        <f t="shared" si="21"/>
        <v>1.7155077188750548E-2</v>
      </c>
      <c r="D47" s="3">
        <f t="shared" si="22"/>
        <v>7952275.6837001313</v>
      </c>
      <c r="E47" s="3">
        <f t="shared" si="23"/>
        <v>10349174.414109867</v>
      </c>
      <c r="F47" s="2">
        <v>1</v>
      </c>
      <c r="G47" s="2">
        <v>50</v>
      </c>
      <c r="H47" s="2">
        <v>0.25</v>
      </c>
      <c r="I47" s="2">
        <v>1</v>
      </c>
      <c r="J47" s="3">
        <f t="shared" ref="J47" si="32">E47*F47*G47/H47</f>
        <v>2069834882.8219733</v>
      </c>
      <c r="K47" s="3">
        <f t="shared" ref="K47" si="33">(STDEV(D47:D49)*F47*G47)/H47</f>
        <v>418174181.37240374</v>
      </c>
    </row>
    <row r="48" spans="1:17">
      <c r="A48" t="s">
        <v>117</v>
      </c>
      <c r="B48" s="12">
        <v>12.621214866638184</v>
      </c>
      <c r="C48" s="5">
        <f t="shared" si="21"/>
        <v>2.5452185728333465E-2</v>
      </c>
      <c r="D48" s="3">
        <f t="shared" si="22"/>
        <v>11798419.525455208</v>
      </c>
    </row>
    <row r="49" spans="1:11">
      <c r="A49" t="s">
        <v>117</v>
      </c>
      <c r="B49" s="12">
        <v>12.685099601745605</v>
      </c>
      <c r="C49" s="5">
        <f t="shared" si="21"/>
        <v>2.4370125559703037E-2</v>
      </c>
      <c r="D49" s="3">
        <f t="shared" si="22"/>
        <v>11296828.033174261</v>
      </c>
    </row>
    <row r="50" spans="1:11">
      <c r="A50" t="s">
        <v>118</v>
      </c>
      <c r="B50" s="12">
        <v>13.852503776550293</v>
      </c>
      <c r="C50" s="5">
        <f t="shared" si="21"/>
        <v>1.1017522364811487E-2</v>
      </c>
      <c r="D50" s="3">
        <f t="shared" si="22"/>
        <v>5107197.9585009348</v>
      </c>
      <c r="E50" s="3">
        <f t="shared" si="23"/>
        <v>4636438.5216977056</v>
      </c>
      <c r="F50" s="2">
        <v>1</v>
      </c>
      <c r="G50" s="2">
        <v>50</v>
      </c>
      <c r="H50" s="2">
        <v>0.25</v>
      </c>
      <c r="I50" s="2">
        <v>1</v>
      </c>
      <c r="J50" s="3">
        <f t="shared" ref="J50" si="34">E50*F50*G50/H50</f>
        <v>927287704.33954108</v>
      </c>
      <c r="K50" s="3">
        <f t="shared" ref="K50" si="35">(STDEV(D50:D52)*F50*G50)/H50</f>
        <v>89383092.125995904</v>
      </c>
    </row>
    <row r="51" spans="1:11">
      <c r="A51" t="s">
        <v>118</v>
      </c>
      <c r="B51" s="12">
        <v>14.011387825012207</v>
      </c>
      <c r="C51" s="5">
        <f t="shared" si="21"/>
        <v>9.8891763724878699E-3</v>
      </c>
      <c r="D51" s="3">
        <f t="shared" si="22"/>
        <v>4584150.5656603128</v>
      </c>
    </row>
    <row r="52" spans="1:11">
      <c r="A52" t="s">
        <v>118</v>
      </c>
      <c r="B52" s="12">
        <v>14.133810997009277</v>
      </c>
      <c r="C52" s="5">
        <f t="shared" si="21"/>
        <v>9.0992255606917836E-3</v>
      </c>
      <c r="D52" s="3">
        <f t="shared" si="22"/>
        <v>4217967.0409318693</v>
      </c>
    </row>
    <row r="53" spans="1:11">
      <c r="A53" t="s">
        <v>119</v>
      </c>
      <c r="B53" s="12">
        <v>11.486248970031738</v>
      </c>
      <c r="C53" s="5">
        <f t="shared" si="21"/>
        <v>5.507047115187378E-2</v>
      </c>
      <c r="D53" s="3">
        <f t="shared" si="22"/>
        <v>25528044.194294382</v>
      </c>
      <c r="E53" s="3">
        <f t="shared" si="23"/>
        <v>21459911.375658195</v>
      </c>
      <c r="F53" s="2">
        <v>1</v>
      </c>
      <c r="G53" s="2">
        <v>50</v>
      </c>
      <c r="H53" s="2">
        <v>0.25</v>
      </c>
      <c r="I53" s="2">
        <v>1</v>
      </c>
      <c r="J53" s="3">
        <f t="shared" ref="J53" si="36">E53*F53*G53/H53</f>
        <v>4291982275.131639</v>
      </c>
      <c r="K53" s="3">
        <f t="shared" ref="K53" si="37">(STDEV(D53:D55)*F53*G53)/H53</f>
        <v>1030199904.5965085</v>
      </c>
    </row>
    <row r="54" spans="1:11">
      <c r="A54" t="s">
        <v>119</v>
      </c>
      <c r="B54" s="12">
        <v>11.627909660339355</v>
      </c>
      <c r="C54" s="5">
        <f t="shared" si="21"/>
        <v>5.0012851006944338E-2</v>
      </c>
      <c r="D54" s="3">
        <f t="shared" si="22"/>
        <v>23183572.685749475</v>
      </c>
    </row>
    <row r="55" spans="1:11">
      <c r="A55" t="s">
        <v>119</v>
      </c>
      <c r="B55" s="12">
        <v>12.204083442687988</v>
      </c>
      <c r="C55" s="5">
        <f t="shared" si="21"/>
        <v>3.3800105965192791E-2</v>
      </c>
      <c r="D55" s="3">
        <f t="shared" si="22"/>
        <v>15668117.246930728</v>
      </c>
    </row>
    <row r="56" spans="1:11">
      <c r="A56" t="s">
        <v>120</v>
      </c>
      <c r="B56" s="12">
        <v>12.83328914642334</v>
      </c>
      <c r="C56" s="5">
        <f t="shared" si="21"/>
        <v>2.2033951858306488E-2</v>
      </c>
      <c r="D56" s="3">
        <f t="shared" si="22"/>
        <v>10213889.313977011</v>
      </c>
      <c r="E56" s="3">
        <f t="shared" si="23"/>
        <v>14090503.531109771</v>
      </c>
      <c r="F56" s="2">
        <v>1</v>
      </c>
      <c r="G56" s="2">
        <v>50</v>
      </c>
      <c r="H56" s="2">
        <v>0.25</v>
      </c>
      <c r="I56" s="2">
        <v>1</v>
      </c>
      <c r="J56" s="3">
        <f t="shared" ref="J56" si="38">E56*F56*G56/H56</f>
        <v>2818100706.2219543</v>
      </c>
      <c r="K56" s="3">
        <f t="shared" ref="K56" si="39">(STDEV(D56:D58)*F56*G56)/H56</f>
        <v>1138854248.0243137</v>
      </c>
    </row>
    <row r="57" spans="1:11">
      <c r="A57" t="s">
        <v>120</v>
      </c>
      <c r="B57" s="12">
        <v>12.667929649353027</v>
      </c>
      <c r="C57" s="5">
        <f t="shared" si="21"/>
        <v>2.4656341286021961E-2</v>
      </c>
      <c r="D57" s="3">
        <f t="shared" si="22"/>
        <v>11429503.994678596</v>
      </c>
    </row>
    <row r="58" spans="1:11">
      <c r="A58" t="s">
        <v>120</v>
      </c>
      <c r="B58" s="12">
        <v>11.799650192260742</v>
      </c>
      <c r="C58" s="5">
        <f t="shared" si="21"/>
        <v>4.4500085051442866E-2</v>
      </c>
      <c r="D58" s="3">
        <f t="shared" si="22"/>
        <v>20628117.284673706</v>
      </c>
    </row>
    <row r="59" spans="1:11">
      <c r="A59" t="s">
        <v>121</v>
      </c>
      <c r="B59" s="12">
        <v>13.208577156066895</v>
      </c>
      <c r="C59" s="5">
        <f t="shared" si="21"/>
        <v>1.7070930317572942E-2</v>
      </c>
      <c r="D59" s="3">
        <f t="shared" si="22"/>
        <v>7913269.2070656847</v>
      </c>
      <c r="E59" s="3">
        <f t="shared" si="23"/>
        <v>7107717.2069064705</v>
      </c>
      <c r="F59" s="2">
        <v>1</v>
      </c>
      <c r="G59" s="2">
        <v>50</v>
      </c>
      <c r="H59" s="2">
        <v>0.25</v>
      </c>
      <c r="I59" s="2">
        <v>1</v>
      </c>
      <c r="J59" s="3">
        <f t="shared" ref="J59" si="40">E59*F59*G59/H59</f>
        <v>1421543441.381294</v>
      </c>
      <c r="K59" s="3">
        <f t="shared" ref="K59" si="41">(STDEV(D59:D61)*F59*G59)/H59</f>
        <v>188555827.1598461</v>
      </c>
    </row>
    <row r="60" spans="1:11">
      <c r="A60" t="s">
        <v>121</v>
      </c>
      <c r="B60" s="12">
        <v>13.319345474243164</v>
      </c>
      <c r="C60" s="5">
        <f t="shared" si="21"/>
        <v>1.5832283915261813E-2</v>
      </c>
      <c r="D60" s="3">
        <f t="shared" si="22"/>
        <v>7339091.8042230662</v>
      </c>
    </row>
    <row r="61" spans="1:11">
      <c r="A61" t="s">
        <v>121</v>
      </c>
      <c r="B61" s="12">
        <v>13.598341941833496</v>
      </c>
      <c r="C61" s="5">
        <f t="shared" si="21"/>
        <v>1.3096236303149282E-2</v>
      </c>
      <c r="D61" s="3">
        <f t="shared" si="22"/>
        <v>6070790.6094306586</v>
      </c>
    </row>
    <row r="62" spans="1:11">
      <c r="A62" t="s">
        <v>122</v>
      </c>
      <c r="B62" s="12">
        <v>8.7024497985839844</v>
      </c>
      <c r="C62" s="5">
        <f t="shared" si="21"/>
        <v>0.36565252511325386</v>
      </c>
      <c r="D62" s="3">
        <f t="shared" si="22"/>
        <v>169499073.19848445</v>
      </c>
      <c r="E62" s="3">
        <f>AVERAGE(D63:D64)</f>
        <v>10963709.947256982</v>
      </c>
      <c r="F62" s="2">
        <v>1</v>
      </c>
      <c r="G62" s="2">
        <v>50</v>
      </c>
      <c r="H62" s="2">
        <v>0.25</v>
      </c>
      <c r="I62" s="2">
        <v>1</v>
      </c>
      <c r="J62" s="3">
        <f t="shared" ref="J62" si="42">E62*F62*G62/H62</f>
        <v>2192741989.4513965</v>
      </c>
      <c r="K62" s="3">
        <f>(STDEV(D63:D64)*F62*G62)/H62</f>
        <v>388760894.73407847</v>
      </c>
    </row>
    <row r="63" spans="1:11">
      <c r="A63" t="s">
        <v>122</v>
      </c>
      <c r="B63" s="12">
        <v>12.55543327331543</v>
      </c>
      <c r="C63" s="5">
        <f t="shared" si="21"/>
        <v>2.6616601767514254E-2</v>
      </c>
      <c r="D63" s="3">
        <f t="shared" si="22"/>
        <v>12338187.271890061</v>
      </c>
    </row>
    <row r="64" spans="1:11">
      <c r="A64" t="s">
        <v>122</v>
      </c>
      <c r="B64" s="12">
        <v>12.926090240478516</v>
      </c>
      <c r="C64" s="5">
        <f t="shared" si="21"/>
        <v>2.0686408817438724E-2</v>
      </c>
      <c r="D64" s="3">
        <f t="shared" si="22"/>
        <v>9589232.6226239055</v>
      </c>
    </row>
    <row r="65" spans="1:11">
      <c r="A65" t="s">
        <v>123</v>
      </c>
      <c r="B65" s="12">
        <v>13.092018127441406</v>
      </c>
      <c r="C65" s="5">
        <f t="shared" si="21"/>
        <v>1.8479107925871513E-2</v>
      </c>
      <c r="D65" s="3">
        <f t="shared" si="22"/>
        <v>8566033.1923042331</v>
      </c>
      <c r="E65" s="3">
        <f t="shared" si="23"/>
        <v>9802667.3416133374</v>
      </c>
      <c r="F65" s="2">
        <v>1</v>
      </c>
      <c r="G65" s="2">
        <v>50</v>
      </c>
      <c r="H65" s="2">
        <v>0.25</v>
      </c>
      <c r="I65" s="2">
        <v>1</v>
      </c>
      <c r="J65" s="3">
        <f t="shared" ref="J65" si="43">E65*F65*G65/H65</f>
        <v>1960533468.3226676</v>
      </c>
      <c r="K65" s="3">
        <f t="shared" ref="K65" si="44">(STDEV(D65:D67)*F65*G65)/H65</f>
        <v>215275524.92285961</v>
      </c>
    </row>
    <row r="66" spans="1:11">
      <c r="A66" t="s">
        <v>123</v>
      </c>
      <c r="B66" s="12">
        <v>12.78862476348877</v>
      </c>
      <c r="C66" s="5">
        <f t="shared" si="21"/>
        <v>2.2713459918162673E-2</v>
      </c>
      <c r="D66" s="3">
        <f t="shared" si="22"/>
        <v>10528876.845762413</v>
      </c>
    </row>
    <row r="67" spans="1:11">
      <c r="A67" t="s">
        <v>123</v>
      </c>
      <c r="B67" s="12">
        <v>12.819075584411621</v>
      </c>
      <c r="C67" s="5">
        <f t="shared" si="21"/>
        <v>2.224795720430324E-2</v>
      </c>
      <c r="D67" s="3">
        <f t="shared" si="22"/>
        <v>10313091.986773364</v>
      </c>
    </row>
    <row r="68" spans="1:11">
      <c r="A68" t="s">
        <v>124</v>
      </c>
      <c r="B68" s="12">
        <v>13.803534507751465</v>
      </c>
      <c r="C68" s="5">
        <f t="shared" si="21"/>
        <v>1.1390589936126225E-2</v>
      </c>
      <c r="D68" s="3">
        <f t="shared" si="22"/>
        <v>5280134.2935055178</v>
      </c>
      <c r="E68" s="3">
        <f t="shared" si="23"/>
        <v>5121833.0590865007</v>
      </c>
      <c r="F68" s="2">
        <v>1</v>
      </c>
      <c r="G68" s="2">
        <v>50</v>
      </c>
      <c r="H68" s="2">
        <v>0.25</v>
      </c>
      <c r="I68" s="2">
        <v>1</v>
      </c>
      <c r="J68" s="3">
        <f t="shared" ref="J68" si="45">E68*F68*G68/H68</f>
        <v>1024366611.8173001</v>
      </c>
      <c r="K68" s="3">
        <f t="shared" ref="K68" si="46">(STDEV(D68:D70)*F68*G68)/H68</f>
        <v>51687413.248159163</v>
      </c>
    </row>
    <row r="69" spans="1:11">
      <c r="A69" t="s">
        <v>124</v>
      </c>
      <c r="B69" s="12">
        <v>13.808660507202148</v>
      </c>
      <c r="C69" s="5">
        <f t="shared" si="21"/>
        <v>1.1350953300225473E-2</v>
      </c>
      <c r="D69" s="3">
        <f t="shared" si="22"/>
        <v>5261760.6393161966</v>
      </c>
    </row>
    <row r="70" spans="1:11">
      <c r="A70" t="s">
        <v>124</v>
      </c>
      <c r="B70" s="12">
        <v>13.936513900756836</v>
      </c>
      <c r="C70" s="5">
        <f t="shared" si="21"/>
        <v>1.0405738738525778E-2</v>
      </c>
      <c r="D70" s="3">
        <f t="shared" si="22"/>
        <v>4823604.2444377877</v>
      </c>
    </row>
    <row r="71" spans="1:11">
      <c r="A71" t="s">
        <v>125</v>
      </c>
      <c r="B71" s="12">
        <v>12.246787071228027</v>
      </c>
      <c r="C71" s="5">
        <f t="shared" si="21"/>
        <v>3.2832672904622169E-2</v>
      </c>
      <c r="D71" s="3">
        <f t="shared" si="22"/>
        <v>15219661.415544074</v>
      </c>
      <c r="E71" s="3">
        <f t="shared" si="23"/>
        <v>9959347.9639611039</v>
      </c>
      <c r="F71" s="2">
        <v>1</v>
      </c>
      <c r="G71" s="2">
        <v>50</v>
      </c>
      <c r="H71" s="2">
        <v>0.25</v>
      </c>
      <c r="I71" s="2">
        <v>1</v>
      </c>
      <c r="J71" s="3">
        <f t="shared" ref="J71" si="47">E71*F71*G71/H71</f>
        <v>1991869592.7922208</v>
      </c>
      <c r="K71" s="3">
        <f t="shared" ref="K71" si="48">(STDEV(D71:D73)*F71*G71)/H71</f>
        <v>1254019907.7355232</v>
      </c>
    </row>
    <row r="72" spans="1:11">
      <c r="A72" t="s">
        <v>125</v>
      </c>
      <c r="B72" s="12">
        <v>14.624646186828613</v>
      </c>
      <c r="C72" s="5">
        <f t="shared" si="21"/>
        <v>6.5169478378362808E-3</v>
      </c>
      <c r="D72" s="3">
        <f t="shared" si="22"/>
        <v>3020946.233733742</v>
      </c>
    </row>
    <row r="73" spans="1:11">
      <c r="A73" t="s">
        <v>125</v>
      </c>
      <c r="B73" s="12">
        <v>12.641417503356934</v>
      </c>
      <c r="C73" s="5">
        <f t="shared" si="21"/>
        <v>2.5104903924579359E-2</v>
      </c>
      <c r="D73" s="3">
        <f t="shared" si="22"/>
        <v>11637436.242605496</v>
      </c>
    </row>
    <row r="74" spans="1:11">
      <c r="A74" t="s">
        <v>126</v>
      </c>
      <c r="B74" s="12">
        <v>12.784071922302246</v>
      </c>
      <c r="C74" s="5">
        <f t="shared" si="21"/>
        <v>2.2783891429622345E-2</v>
      </c>
      <c r="D74" s="3">
        <f t="shared" si="22"/>
        <v>10561525.535697442</v>
      </c>
      <c r="E74" s="3">
        <f>AVERAGE(D74:D76)</f>
        <v>11670259.192820787</v>
      </c>
      <c r="F74" s="2">
        <v>1</v>
      </c>
      <c r="G74" s="2">
        <v>50</v>
      </c>
      <c r="H74" s="2">
        <v>0.25</v>
      </c>
      <c r="I74" s="2">
        <v>1</v>
      </c>
      <c r="J74" s="3">
        <f t="shared" ref="J74" si="49">E74*F74*G74/H74</f>
        <v>2334051838.5641575</v>
      </c>
      <c r="K74" s="3">
        <f>(STDEV(D74:D77)*F74*G74)/H74</f>
        <v>282813850.77455097</v>
      </c>
    </row>
    <row r="75" spans="1:11">
      <c r="A75" t="s">
        <v>126</v>
      </c>
      <c r="B75" s="12">
        <v>12.467774391174316</v>
      </c>
      <c r="C75" s="5">
        <f t="shared" si="21"/>
        <v>2.8251481770470283E-2</v>
      </c>
      <c r="D75" s="3">
        <f t="shared" si="22"/>
        <v>13096039.676180042</v>
      </c>
    </row>
    <row r="76" spans="1:11">
      <c r="A76" t="s">
        <v>126</v>
      </c>
      <c r="B76" s="12">
        <v>12.677778244018555</v>
      </c>
      <c r="C76" s="5">
        <f t="shared" si="21"/>
        <v>2.4491760878996353E-2</v>
      </c>
      <c r="D76" s="3">
        <f t="shared" si="22"/>
        <v>11353212.366584877</v>
      </c>
    </row>
    <row r="77" spans="1:11">
      <c r="A77" t="s">
        <v>127</v>
      </c>
      <c r="B77" s="12">
        <v>12.894798278808594</v>
      </c>
      <c r="C77" s="5">
        <f t="shared" si="21"/>
        <v>2.1131322341843575E-2</v>
      </c>
      <c r="D77" s="3">
        <f>C77*$B$9</f>
        <v>9795473.3152506985</v>
      </c>
      <c r="E77" s="3">
        <f>AVERAGE(D77:D79)</f>
        <v>6918144.5779623054</v>
      </c>
      <c r="F77" s="2">
        <v>1</v>
      </c>
      <c r="G77" s="2">
        <v>50</v>
      </c>
      <c r="H77" s="2">
        <v>0.25</v>
      </c>
      <c r="I77" s="2">
        <v>1</v>
      </c>
      <c r="J77" s="3">
        <f t="shared" ref="J77" si="50">E77*F77*G77/H77</f>
        <v>1383628915.5924611</v>
      </c>
      <c r="K77" s="3">
        <f>(STDEV(D77:D80)*F77*G77)/H77</f>
        <v>443527187.78162384</v>
      </c>
    </row>
    <row r="78" spans="1:11">
      <c r="A78" t="s">
        <v>127</v>
      </c>
      <c r="B78" s="12">
        <v>13.715707778930664</v>
      </c>
      <c r="C78" s="5">
        <f t="shared" si="21"/>
        <v>1.2091617837627829E-2</v>
      </c>
      <c r="D78" s="3">
        <f t="shared" si="22"/>
        <v>5605097.3976273807</v>
      </c>
    </row>
    <row r="79" spans="1:11">
      <c r="A79" t="s">
        <v>127</v>
      </c>
      <c r="B79" s="12">
        <v>13.783143043518066</v>
      </c>
      <c r="C79" s="5">
        <f t="shared" si="21"/>
        <v>1.1549641516033136E-2</v>
      </c>
      <c r="D79" s="3">
        <f t="shared" si="22"/>
        <v>5353863.0210088389</v>
      </c>
    </row>
    <row r="80" spans="1:11">
      <c r="A80" t="s">
        <v>128</v>
      </c>
      <c r="B80" s="12">
        <v>13.074155807495117</v>
      </c>
      <c r="C80" s="5">
        <f t="shared" si="21"/>
        <v>1.8704941206612351E-2</v>
      </c>
      <c r="D80" s="3">
        <f t="shared" si="22"/>
        <v>8670718.7315907162</v>
      </c>
      <c r="E80" s="3">
        <f t="shared" si="23"/>
        <v>7639274.1250446662</v>
      </c>
      <c r="F80" s="2">
        <v>1</v>
      </c>
      <c r="G80" s="2">
        <v>50</v>
      </c>
      <c r="H80" s="2">
        <v>0.25</v>
      </c>
      <c r="I80" s="2">
        <v>1</v>
      </c>
      <c r="J80" s="3">
        <f t="shared" ref="J80" si="51">E80*F80*G80/H80</f>
        <v>1527854825.0089333</v>
      </c>
      <c r="K80" s="3">
        <f t="shared" ref="K80" si="52">(STDEV(D80:D82)*F80*G80)/H80</f>
        <v>178746900.27584928</v>
      </c>
    </row>
    <row r="81" spans="1:11">
      <c r="A81" t="s">
        <v>128</v>
      </c>
      <c r="B81" s="12">
        <v>13.357163429260254</v>
      </c>
      <c r="C81" s="5">
        <f t="shared" si="21"/>
        <v>1.5430310016165285E-2</v>
      </c>
      <c r="D81" s="3">
        <f t="shared" si="22"/>
        <v>7152755.8741601212</v>
      </c>
    </row>
    <row r="82" spans="1:11">
      <c r="A82" t="s">
        <v>128</v>
      </c>
      <c r="B82" s="12">
        <v>13.369220733642578</v>
      </c>
      <c r="C82" s="5">
        <f t="shared" si="21"/>
        <v>1.5304308908337604E-2</v>
      </c>
      <c r="D82" s="3">
        <f t="shared" si="22"/>
        <v>7094347.7693831623</v>
      </c>
    </row>
    <row r="83" spans="1:11">
      <c r="A83" t="s">
        <v>129</v>
      </c>
      <c r="B83" s="12">
        <v>13.151826858520508</v>
      </c>
      <c r="C83" s="5">
        <f t="shared" si="21"/>
        <v>1.7742608367515057E-2</v>
      </c>
      <c r="D83" s="3">
        <f t="shared" si="22"/>
        <v>8224627.1196568562</v>
      </c>
      <c r="E83" s="3">
        <f t="shared" si="23"/>
        <v>8501633.9977776203</v>
      </c>
      <c r="F83" s="2">
        <v>1</v>
      </c>
      <c r="G83" s="2">
        <v>50</v>
      </c>
      <c r="H83" s="2">
        <v>0.25</v>
      </c>
      <c r="I83" s="2">
        <v>1</v>
      </c>
      <c r="J83" s="3">
        <f t="shared" ref="J83" si="53">E83*F83*G83/H83</f>
        <v>1700326799.5555241</v>
      </c>
      <c r="K83" s="3">
        <f t="shared" ref="K83" si="54">(STDEV(D83:D85)*F83*G83)/H83</f>
        <v>77449513.763564527</v>
      </c>
    </row>
    <row r="84" spans="1:11">
      <c r="A84" t="s">
        <v>129</v>
      </c>
      <c r="B84" s="12">
        <v>13.028502464294434</v>
      </c>
      <c r="C84" s="5">
        <f t="shared" si="21"/>
        <v>1.9294757269596119E-2</v>
      </c>
      <c r="D84" s="3">
        <f t="shared" si="22"/>
        <v>8944129.3309086431</v>
      </c>
    </row>
    <row r="85" spans="1:11">
      <c r="A85" t="s">
        <v>129</v>
      </c>
      <c r="B85" s="12">
        <v>13.132021903991699</v>
      </c>
      <c r="C85" s="5">
        <f t="shared" si="21"/>
        <v>1.7983181913066276E-2</v>
      </c>
      <c r="D85" s="3">
        <f t="shared" si="22"/>
        <v>8336145.5427673636</v>
      </c>
    </row>
    <row r="86" spans="1:11">
      <c r="A86" t="s">
        <v>130</v>
      </c>
      <c r="B86" s="12">
        <v>13.845381736755371</v>
      </c>
      <c r="C86" s="5">
        <f t="shared" si="21"/>
        <v>1.1071011944516653E-2</v>
      </c>
      <c r="D86" s="3">
        <f t="shared" si="22"/>
        <v>5131993.1768109789</v>
      </c>
      <c r="E86" s="3">
        <f t="shared" si="23"/>
        <v>4936014.6141531309</v>
      </c>
      <c r="F86" s="2">
        <v>1</v>
      </c>
      <c r="G86" s="2">
        <v>50</v>
      </c>
      <c r="H86" s="2">
        <v>0.25</v>
      </c>
      <c r="I86" s="2">
        <v>1</v>
      </c>
      <c r="J86" s="3">
        <f t="shared" ref="J86" si="55">E86*F86*G86/H86</f>
        <v>987202922.83062613</v>
      </c>
      <c r="K86" s="3">
        <f t="shared" ref="K86" si="56">(STDEV(D86:D88)*F86*G86)/H86</f>
        <v>33946033.107856512</v>
      </c>
    </row>
    <row r="87" spans="1:11">
      <c r="A87" t="s">
        <v>130</v>
      </c>
      <c r="B87" s="12">
        <v>13.931631088256836</v>
      </c>
      <c r="C87" s="5">
        <f t="shared" si="21"/>
        <v>1.04403480476087E-2</v>
      </c>
      <c r="D87" s="3">
        <f t="shared" si="22"/>
        <v>4839647.4696603632</v>
      </c>
    </row>
    <row r="88" spans="1:11">
      <c r="A88" t="s">
        <v>130</v>
      </c>
      <c r="B88" s="12">
        <v>13.9326171875</v>
      </c>
      <c r="C88" s="5">
        <f t="shared" si="21"/>
        <v>1.0433349325798284E-2</v>
      </c>
      <c r="D88" s="3">
        <f t="shared" si="22"/>
        <v>4836403.1959880507</v>
      </c>
    </row>
    <row r="89" spans="1:11">
      <c r="A89" t="s">
        <v>131</v>
      </c>
      <c r="B89" s="12">
        <v>13.530154228210449</v>
      </c>
      <c r="C89" s="5">
        <f t="shared" si="21"/>
        <v>1.3717805293399582E-2</v>
      </c>
      <c r="D89" s="3">
        <f t="shared" si="22"/>
        <v>6358920.3515778296</v>
      </c>
      <c r="E89" s="3">
        <f t="shared" si="23"/>
        <v>6603550.9272634024</v>
      </c>
      <c r="F89" s="2">
        <v>1</v>
      </c>
      <c r="G89" s="2">
        <v>50</v>
      </c>
      <c r="H89" s="2">
        <v>0.25</v>
      </c>
      <c r="I89" s="2">
        <v>1</v>
      </c>
      <c r="J89" s="3">
        <f t="shared" ref="J89" si="57">E89*F89*G89/H89</f>
        <v>1320710185.4526806</v>
      </c>
      <c r="K89" s="3">
        <f t="shared" ref="K89" si="58">(STDEV(D89:D91)*F89*G89)/H89</f>
        <v>78945408.223479986</v>
      </c>
    </row>
    <row r="90" spans="1:11">
      <c r="A90" t="s">
        <v>131</v>
      </c>
      <c r="B90" s="12">
        <v>13.522337913513184</v>
      </c>
      <c r="C90" s="5">
        <f t="shared" si="21"/>
        <v>1.3790914172875642E-2</v>
      </c>
      <c r="D90" s="3">
        <f t="shared" si="22"/>
        <v>6392810.1416454185</v>
      </c>
    </row>
    <row r="91" spans="1:11">
      <c r="A91" t="s">
        <v>131</v>
      </c>
      <c r="B91" s="12">
        <v>13.376582145690918</v>
      </c>
      <c r="C91" s="5">
        <f t="shared" si="21"/>
        <v>1.5227887154109915E-2</v>
      </c>
      <c r="D91" s="3">
        <f t="shared" si="22"/>
        <v>7058922.28856696</v>
      </c>
    </row>
    <row r="92" spans="1:11">
      <c r="A92" t="s">
        <v>132</v>
      </c>
      <c r="B92" s="12">
        <v>13.56312084197998</v>
      </c>
      <c r="C92" s="5">
        <f t="shared" si="21"/>
        <v>1.3413696675624207E-2</v>
      </c>
      <c r="D92" s="3">
        <f t="shared" si="22"/>
        <v>6217950.0988805927</v>
      </c>
      <c r="E92" s="3">
        <f t="shared" si="23"/>
        <v>5865747.9097125074</v>
      </c>
      <c r="F92" s="2">
        <v>1</v>
      </c>
      <c r="G92" s="2">
        <v>50</v>
      </c>
      <c r="H92" s="2">
        <v>0.25</v>
      </c>
      <c r="I92" s="2">
        <v>1</v>
      </c>
      <c r="J92" s="3">
        <f t="shared" ref="J92" si="59">E92*F92*G92/H92</f>
        <v>1173149581.9425015</v>
      </c>
      <c r="K92" s="3">
        <f t="shared" ref="K92" si="60">(STDEV(D92:D94)*F92*G92)/H92</f>
        <v>244579147.13705471</v>
      </c>
    </row>
    <row r="93" spans="1:11">
      <c r="A93" t="s">
        <v>132</v>
      </c>
      <c r="B93" s="12">
        <v>13.415641784667969</v>
      </c>
      <c r="C93" s="5">
        <f t="shared" si="21"/>
        <v>1.4828732164887627E-2</v>
      </c>
      <c r="D93" s="3">
        <f t="shared" si="22"/>
        <v>6873893.0706919469</v>
      </c>
    </row>
    <row r="94" spans="1:11">
      <c r="A94" t="s">
        <v>132</v>
      </c>
      <c r="B94" s="12">
        <v>14.036869049072266</v>
      </c>
      <c r="C94" s="5">
        <f t="shared" si="21"/>
        <v>9.7192926200987198E-3</v>
      </c>
      <c r="D94" s="3">
        <f t="shared" si="22"/>
        <v>4505400.5595649825</v>
      </c>
    </row>
    <row r="95" spans="1:11">
      <c r="A95" t="s">
        <v>133</v>
      </c>
      <c r="B95" s="12">
        <v>13.48565673828125</v>
      </c>
      <c r="C95" s="5">
        <f t="shared" si="21"/>
        <v>1.4139245781750959E-2</v>
      </c>
      <c r="D95" s="3">
        <f t="shared" si="22"/>
        <v>6554280.064085626</v>
      </c>
      <c r="E95" s="3">
        <f t="shared" si="23"/>
        <v>7172886.177004735</v>
      </c>
      <c r="F95" s="2">
        <v>1</v>
      </c>
      <c r="G95" s="2">
        <v>50</v>
      </c>
      <c r="H95" s="2">
        <v>0.25</v>
      </c>
      <c r="I95" s="2">
        <v>1</v>
      </c>
      <c r="J95" s="3">
        <f t="shared" ref="J95" si="61">E95*F95*G95/H95</f>
        <v>1434577235.4009471</v>
      </c>
      <c r="K95" s="3">
        <f t="shared" ref="K95" si="62">(STDEV(D95:D97)*F95*G95)/H95</f>
        <v>272314760.42496872</v>
      </c>
    </row>
    <row r="96" spans="1:11">
      <c r="A96" t="s">
        <v>133</v>
      </c>
      <c r="B96" s="12">
        <v>13.063472747802734</v>
      </c>
      <c r="C96" s="5">
        <f t="shared" si="21"/>
        <v>1.8841323888516816E-2</v>
      </c>
      <c r="D96" s="3">
        <f t="shared" si="22"/>
        <v>8733939.2390273064</v>
      </c>
    </row>
    <row r="97" spans="1:11">
      <c r="A97" t="s">
        <v>133</v>
      </c>
      <c r="B97" s="12">
        <v>13.56017017364502</v>
      </c>
      <c r="C97" s="5">
        <f t="shared" si="21"/>
        <v>1.3440638897057653E-2</v>
      </c>
      <c r="D97" s="3">
        <f t="shared" si="22"/>
        <v>6230439.2279012743</v>
      </c>
    </row>
    <row r="98" spans="1:11">
      <c r="A98" t="s">
        <v>134</v>
      </c>
      <c r="B98" s="12">
        <v>13.990066528320312</v>
      </c>
      <c r="C98" s="5">
        <f t="shared" si="21"/>
        <v>1.0033605478871534E-2</v>
      </c>
      <c r="D98" s="3">
        <f t="shared" si="22"/>
        <v>4651101.0117630279</v>
      </c>
      <c r="E98" s="3">
        <f>AVERAGE(D98:D99)</f>
        <v>4753816.2008109028</v>
      </c>
      <c r="F98" s="2">
        <v>1</v>
      </c>
      <c r="G98" s="2">
        <v>50</v>
      </c>
      <c r="H98" s="2">
        <v>0.25</v>
      </c>
      <c r="I98" s="2">
        <v>1</v>
      </c>
      <c r="J98" s="3">
        <f t="shared" ref="J98" si="63">E98*F98*G98/H98</f>
        <v>950763240.16218054</v>
      </c>
      <c r="K98" s="3">
        <f>(STDEV(D98:D99)*F98*G98)/H98</f>
        <v>29052242.682644211</v>
      </c>
    </row>
    <row r="99" spans="1:11">
      <c r="A99" t="s">
        <v>134</v>
      </c>
      <c r="B99" s="12">
        <v>13.926509857177734</v>
      </c>
      <c r="C99" s="5">
        <f t="shared" ref="C99:C109" si="64">10^((B99-7.223)/(-3.386))</f>
        <v>1.0476770949149476E-2</v>
      </c>
      <c r="D99" s="3">
        <f t="shared" ref="D99:D109" si="65">C99*$B$9</f>
        <v>4856531.3898587776</v>
      </c>
    </row>
    <row r="100" spans="1:11">
      <c r="A100" t="s">
        <v>134</v>
      </c>
      <c r="B100" s="12">
        <v>13.81580638885498</v>
      </c>
      <c r="C100" s="5">
        <f t="shared" si="64"/>
        <v>1.1295928039563729E-2</v>
      </c>
      <c r="D100" s="3">
        <f t="shared" si="65"/>
        <v>5236253.5525491033</v>
      </c>
    </row>
    <row r="101" spans="1:11">
      <c r="A101" t="s">
        <v>135</v>
      </c>
      <c r="B101" s="12">
        <v>12.541721343994141</v>
      </c>
      <c r="C101" s="5">
        <f t="shared" si="64"/>
        <v>2.6865949991181654E-2</v>
      </c>
      <c r="D101" s="3">
        <f t="shared" si="65"/>
        <v>12453773.217323426</v>
      </c>
      <c r="E101" s="3">
        <f t="shared" ref="E101:E107" si="66">AVERAGE(D101:D103)</f>
        <v>12727896.922093457</v>
      </c>
      <c r="F101" s="2">
        <v>1</v>
      </c>
      <c r="G101" s="2">
        <v>50</v>
      </c>
      <c r="H101" s="2">
        <v>0.25</v>
      </c>
      <c r="I101" s="2">
        <v>1</v>
      </c>
      <c r="J101" s="3">
        <f t="shared" ref="J101" si="67">E101*F101*G101/H101</f>
        <v>2545579384.4186912</v>
      </c>
      <c r="K101" s="3">
        <f t="shared" ref="K101" si="68">(STDEV(D101:D103)*F101*G101)/H101</f>
        <v>180201644.16072935</v>
      </c>
    </row>
    <row r="102" spans="1:11">
      <c r="A102" t="s">
        <v>135</v>
      </c>
      <c r="B102" s="12">
        <v>12.397815704345703</v>
      </c>
      <c r="C102" s="5">
        <f t="shared" si="64"/>
        <v>2.9628003748075105E-2</v>
      </c>
      <c r="D102" s="3">
        <f t="shared" si="65"/>
        <v>13734129.620640555</v>
      </c>
    </row>
    <row r="103" spans="1:11">
      <c r="A103" t="s">
        <v>135</v>
      </c>
      <c r="B103" s="12">
        <v>12.596818923950195</v>
      </c>
      <c r="C103" s="5">
        <f t="shared" si="64"/>
        <v>2.5877959471646197E-2</v>
      </c>
      <c r="D103" s="3">
        <f t="shared" si="65"/>
        <v>11995787.928316381</v>
      </c>
    </row>
    <row r="104" spans="1:11">
      <c r="A104" t="s">
        <v>136</v>
      </c>
      <c r="B104" s="12">
        <v>12.72044849395752</v>
      </c>
      <c r="C104" s="5">
        <f t="shared" si="64"/>
        <v>2.3791293061787816E-2</v>
      </c>
      <c r="D104" s="3">
        <f t="shared" si="65"/>
        <v>11028508.890831664</v>
      </c>
      <c r="E104" s="3">
        <f t="shared" si="66"/>
        <v>12700699.332156101</v>
      </c>
      <c r="F104" s="2">
        <v>1</v>
      </c>
      <c r="G104" s="2">
        <v>50</v>
      </c>
      <c r="H104" s="2">
        <v>0.25</v>
      </c>
      <c r="I104" s="2">
        <v>1</v>
      </c>
      <c r="J104" s="3">
        <f t="shared" ref="J104" si="69">E104*F104*G104/H104</f>
        <v>2540139866.4312201</v>
      </c>
      <c r="K104" s="3">
        <f t="shared" ref="K104" si="70">(STDEV(D104:D106)*F104*G104)/H104</f>
        <v>327769391.9381907</v>
      </c>
    </row>
    <row r="105" spans="1:11">
      <c r="A105" t="s">
        <v>136</v>
      </c>
      <c r="B105" s="12">
        <v>12.338027954101562</v>
      </c>
      <c r="C105" s="5">
        <f t="shared" si="64"/>
        <v>3.0857428405999844E-2</v>
      </c>
      <c r="D105" s="3">
        <f t="shared" si="65"/>
        <v>14304032.262557395</v>
      </c>
    </row>
    <row r="106" spans="1:11">
      <c r="A106" t="s">
        <v>136</v>
      </c>
      <c r="B106" s="12">
        <v>12.504899024963379</v>
      </c>
      <c r="C106" s="5">
        <f t="shared" si="64"/>
        <v>2.754717542780585E-2</v>
      </c>
      <c r="D106" s="3">
        <f t="shared" si="65"/>
        <v>12769556.843079245</v>
      </c>
    </row>
    <row r="107" spans="1:11">
      <c r="A107" t="s">
        <v>137</v>
      </c>
      <c r="B107" s="12">
        <v>14.353297233581543</v>
      </c>
      <c r="C107" s="5">
        <f t="shared" si="64"/>
        <v>7.8375936394602021E-3</v>
      </c>
      <c r="D107" s="3">
        <f t="shared" si="65"/>
        <v>3633134.6476641302</v>
      </c>
      <c r="E107" s="3">
        <f t="shared" si="66"/>
        <v>4396729.7399690589</v>
      </c>
      <c r="F107" s="2">
        <v>1</v>
      </c>
      <c r="G107" s="2">
        <v>50</v>
      </c>
      <c r="H107" s="2">
        <v>0.25</v>
      </c>
      <c r="I107" s="2">
        <v>1</v>
      </c>
      <c r="J107" s="3">
        <f t="shared" ref="J107" si="71">E107*F107*G107/H107</f>
        <v>879345947.99381173</v>
      </c>
      <c r="K107" s="3">
        <f t="shared" ref="K107" si="72">(STDEV(D107:D109)*F107*G107)/H107</f>
        <v>381579033.70424843</v>
      </c>
    </row>
    <row r="108" spans="1:11">
      <c r="A108" t="s">
        <v>137</v>
      </c>
      <c r="B108" s="12">
        <v>13.482547760009766</v>
      </c>
      <c r="C108" s="5">
        <f t="shared" si="64"/>
        <v>1.416917062192339E-2</v>
      </c>
      <c r="D108" s="3">
        <f t="shared" si="65"/>
        <v>6568151.7929168949</v>
      </c>
    </row>
    <row r="109" spans="1:11">
      <c r="A109" t="s">
        <v>137</v>
      </c>
      <c r="B109" s="12">
        <v>14.640327453613281</v>
      </c>
      <c r="C109" s="5">
        <f t="shared" si="64"/>
        <v>6.4478219730372066E-3</v>
      </c>
      <c r="D109" s="3">
        <f t="shared" si="65"/>
        <v>2988902.7793261516</v>
      </c>
    </row>
  </sheetData>
  <mergeCells count="11">
    <mergeCell ref="G13:G14"/>
    <mergeCell ref="B13:B14"/>
    <mergeCell ref="C13:C14"/>
    <mergeCell ref="D13:D14"/>
    <mergeCell ref="E13:E14"/>
    <mergeCell ref="F13:F14"/>
    <mergeCell ref="H13:H14"/>
    <mergeCell ref="I13:I14"/>
    <mergeCell ref="J13:J14"/>
    <mergeCell ref="K13:K14"/>
    <mergeCell ref="L13:L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4B892-E53F-5D4D-80F6-E41F5058EB24}">
  <dimension ref="A1:Q106"/>
  <sheetViews>
    <sheetView tabSelected="1" topLeftCell="A80" zoomScale="120" zoomScaleNormal="120" workbookViewId="0">
      <selection activeCell="C110" sqref="C110"/>
    </sheetView>
  </sheetViews>
  <sheetFormatPr baseColWidth="10" defaultRowHeight="15"/>
  <cols>
    <col min="1" max="1" width="34" style="2" customWidth="1"/>
    <col min="2" max="2" width="10.7109375" style="2"/>
    <col min="3" max="3" width="13.42578125" style="2" customWidth="1"/>
    <col min="4" max="4" width="17.7109375" style="2" customWidth="1"/>
    <col min="5" max="5" width="13" style="2" customWidth="1"/>
    <col min="6" max="6" width="7.42578125" style="2" customWidth="1"/>
    <col min="7" max="7" width="15.5703125" style="2" customWidth="1"/>
    <col min="8" max="8" width="33" style="2" customWidth="1"/>
    <col min="9" max="9" width="12" style="2" customWidth="1"/>
    <col min="10" max="10" width="16.85546875" style="2" customWidth="1"/>
    <col min="11" max="11" width="10.85546875" style="2" customWidth="1"/>
    <col min="12" max="12" width="14.42578125" style="2" customWidth="1"/>
    <col min="13" max="16384" width="10.7109375" style="2"/>
  </cols>
  <sheetData>
    <row r="1" spans="1:16">
      <c r="A1" s="2" t="s">
        <v>139</v>
      </c>
    </row>
    <row r="2" spans="1:16">
      <c r="A2" s="2" t="s">
        <v>162</v>
      </c>
    </row>
    <row r="3" spans="1:16">
      <c r="A3" s="2" t="s">
        <v>23</v>
      </c>
    </row>
    <row r="5" spans="1:16">
      <c r="A5" s="2" t="s">
        <v>32</v>
      </c>
      <c r="B5" s="3">
        <v>1500</v>
      </c>
      <c r="D5" s="2" t="s">
        <v>10</v>
      </c>
    </row>
    <row r="6" spans="1:16" ht="17">
      <c r="A6" s="2" t="s">
        <v>6</v>
      </c>
      <c r="B6" s="3">
        <v>1.096E-21</v>
      </c>
      <c r="D6" s="2" t="s">
        <v>9</v>
      </c>
      <c r="E6" s="3"/>
      <c r="F6" s="3"/>
      <c r="H6" s="1"/>
      <c r="I6" s="6"/>
      <c r="J6" s="1"/>
      <c r="K6" s="6"/>
      <c r="L6" s="1"/>
      <c r="M6" s="6"/>
      <c r="N6" s="1"/>
      <c r="O6" s="6"/>
      <c r="P6" s="1"/>
    </row>
    <row r="7" spans="1:16">
      <c r="A7" s="2" t="s">
        <v>33</v>
      </c>
      <c r="B7" s="3">
        <f>B5*B6</f>
        <v>1.6439999999999999E-18</v>
      </c>
      <c r="C7" s="3"/>
      <c r="E7" s="4"/>
      <c r="F7" s="5"/>
      <c r="H7" s="1"/>
      <c r="I7" s="6"/>
      <c r="J7" s="1"/>
      <c r="K7" s="6"/>
      <c r="L7" s="1"/>
      <c r="M7" s="6"/>
      <c r="N7" s="1"/>
      <c r="O7" s="6"/>
      <c r="P7" s="1"/>
    </row>
    <row r="8" spans="1:16">
      <c r="A8" s="2" t="s">
        <v>34</v>
      </c>
      <c r="B8" s="3">
        <v>7.6207999999999981E-10</v>
      </c>
      <c r="D8" s="2" t="s">
        <v>13</v>
      </c>
      <c r="E8" s="4"/>
      <c r="F8" s="5"/>
      <c r="H8" s="1"/>
      <c r="I8" s="1"/>
      <c r="J8" s="1"/>
      <c r="K8" s="1"/>
      <c r="L8" s="1"/>
      <c r="M8" s="1"/>
      <c r="N8" s="1"/>
      <c r="O8" s="1"/>
      <c r="P8" s="1"/>
    </row>
    <row r="9" spans="1:16">
      <c r="A9" s="2" t="s">
        <v>35</v>
      </c>
      <c r="B9" s="3">
        <f>B8/B7</f>
        <v>463552311.43552303</v>
      </c>
      <c r="D9" s="2" t="s">
        <v>14</v>
      </c>
      <c r="H9" s="1"/>
      <c r="I9" s="1"/>
      <c r="J9" s="1"/>
      <c r="K9" s="1"/>
      <c r="L9" s="1"/>
      <c r="M9" s="1"/>
      <c r="N9" s="1"/>
      <c r="O9" s="1"/>
      <c r="P9" s="1"/>
    </row>
    <row r="10" spans="1:16">
      <c r="A10" s="2" t="s">
        <v>8</v>
      </c>
      <c r="B10" s="3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2" t="s">
        <v>11</v>
      </c>
      <c r="B11" s="3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B12" s="3"/>
      <c r="H12" s="1"/>
      <c r="I12" s="1"/>
      <c r="J12" s="1"/>
      <c r="K12" s="1"/>
      <c r="L12" s="1"/>
      <c r="M12" s="1"/>
      <c r="N12" s="1"/>
      <c r="O12" s="1"/>
      <c r="P12" s="1"/>
    </row>
    <row r="13" spans="1:16" ht="15" customHeight="1">
      <c r="A13" s="2" t="s">
        <v>0</v>
      </c>
      <c r="B13" s="14" t="s">
        <v>1</v>
      </c>
      <c r="C13" s="15" t="s">
        <v>7</v>
      </c>
      <c r="D13" s="15" t="s">
        <v>12</v>
      </c>
      <c r="E13" s="15" t="s">
        <v>2</v>
      </c>
      <c r="F13" s="15" t="s">
        <v>3</v>
      </c>
      <c r="G13" s="15" t="s">
        <v>5</v>
      </c>
      <c r="H13" s="15" t="s">
        <v>36</v>
      </c>
      <c r="I13" s="15" t="s">
        <v>4</v>
      </c>
      <c r="J13" s="15" t="s">
        <v>37</v>
      </c>
      <c r="K13" s="13" t="s">
        <v>15</v>
      </c>
      <c r="L13" s="13"/>
      <c r="M13" s="1"/>
      <c r="N13" s="1"/>
      <c r="O13" s="1"/>
      <c r="P13" s="1"/>
    </row>
    <row r="14" spans="1:16">
      <c r="B14" s="14"/>
      <c r="C14" s="15"/>
      <c r="D14" s="15"/>
      <c r="E14" s="15"/>
      <c r="F14" s="15"/>
      <c r="G14" s="15"/>
      <c r="H14" s="15"/>
      <c r="I14" s="15"/>
      <c r="J14" s="15"/>
      <c r="K14" s="13"/>
      <c r="L14" s="13"/>
      <c r="M14" s="1"/>
      <c r="N14" s="1"/>
      <c r="O14" s="1"/>
      <c r="P14" s="1"/>
    </row>
    <row r="15" spans="1:16">
      <c r="A15" s="2" t="s">
        <v>21</v>
      </c>
      <c r="B15" s="10"/>
      <c r="C15" s="11"/>
      <c r="D15" s="11"/>
      <c r="E15" s="11"/>
      <c r="F15" s="11"/>
      <c r="G15" s="11"/>
      <c r="H15" s="11"/>
      <c r="I15" s="11"/>
      <c r="J15" s="11"/>
      <c r="K15" s="1"/>
      <c r="L15" s="6"/>
      <c r="M15" s="1"/>
      <c r="N15" s="1"/>
      <c r="O15" s="1"/>
      <c r="P15" s="1"/>
    </row>
    <row r="16" spans="1:16">
      <c r="A16" s="2" t="s">
        <v>16</v>
      </c>
      <c r="B16" s="12">
        <v>4.714622974395752</v>
      </c>
      <c r="C16" s="5">
        <f>10^((B16-5.49)/(-3.484))</f>
        <v>1.6693741386703833</v>
      </c>
      <c r="D16" s="3">
        <f>C16*$B$9</f>
        <v>773842240.63134158</v>
      </c>
      <c r="E16" s="3">
        <f t="shared" ref="E16" si="0">AVERAGE(D16:D18)</f>
        <v>747172516.02816069</v>
      </c>
      <c r="F16" s="2">
        <v>1</v>
      </c>
      <c r="G16" s="2">
        <v>50</v>
      </c>
      <c r="H16" s="2">
        <v>47.2</v>
      </c>
      <c r="I16" s="2">
        <v>1</v>
      </c>
      <c r="J16" s="3">
        <f t="shared" ref="J16" si="1">E16*F16*G16/H16</f>
        <v>791496309.35186505</v>
      </c>
      <c r="K16" s="3">
        <f t="shared" ref="K16" si="2">(STDEV(D16:D18)*F16*G16)/H16</f>
        <v>73436260.53985104</v>
      </c>
      <c r="L16" s="6"/>
      <c r="M16" s="1"/>
      <c r="N16" s="1"/>
      <c r="O16" s="1"/>
      <c r="P16" s="1"/>
    </row>
    <row r="17" spans="1:16">
      <c r="B17" s="12">
        <v>4.9360923767089844</v>
      </c>
      <c r="C17" s="5">
        <f t="shared" ref="C17:C33" si="3">10^((B17-5.49)/(-3.484))</f>
        <v>1.4420692445190497</v>
      </c>
      <c r="D17" s="3">
        <f t="shared" ref="D17:D30" si="4">C17*$B$9</f>
        <v>668474531.54688394</v>
      </c>
      <c r="L17" s="6"/>
      <c r="M17" s="1"/>
      <c r="N17" s="1"/>
      <c r="O17" s="1"/>
      <c r="P17" s="1"/>
    </row>
    <row r="18" spans="1:16">
      <c r="B18" s="12">
        <v>4.665834903717041</v>
      </c>
      <c r="C18" s="5">
        <f t="shared" si="3"/>
        <v>1.7240789360564328</v>
      </c>
      <c r="D18" s="3">
        <f t="shared" si="4"/>
        <v>799200775.90625679</v>
      </c>
      <c r="L18" s="6"/>
      <c r="M18" s="1"/>
      <c r="N18" s="1"/>
      <c r="O18" s="1"/>
      <c r="P18" s="1"/>
    </row>
    <row r="19" spans="1:16">
      <c r="A19" s="2" t="s">
        <v>17</v>
      </c>
      <c r="B19" s="12">
        <v>7.6605820655822754</v>
      </c>
      <c r="C19" s="5">
        <f t="shared" si="3"/>
        <v>0.23822406433333143</v>
      </c>
      <c r="D19" s="3">
        <f t="shared" si="4"/>
        <v>110429315.66128053</v>
      </c>
      <c r="E19" s="3">
        <f t="shared" ref="E19" si="5">AVERAGE(D19:D21)</f>
        <v>106505675.58541358</v>
      </c>
      <c r="F19" s="2">
        <v>5</v>
      </c>
      <c r="G19" s="2">
        <v>50</v>
      </c>
      <c r="H19" s="2">
        <v>47.2</v>
      </c>
      <c r="I19" s="2">
        <v>1</v>
      </c>
      <c r="J19" s="3">
        <f t="shared" ref="J19" si="6">E19*F19*G19/H19</f>
        <v>564119044.41426682</v>
      </c>
      <c r="K19" s="3">
        <f t="shared" ref="K19" si="7">(STDEV(D19:D21)*F19*G19)/H19</f>
        <v>32001103.290366426</v>
      </c>
      <c r="L19" s="6"/>
      <c r="M19" s="1"/>
      <c r="N19" s="1"/>
      <c r="O19" s="1"/>
      <c r="P19" s="1"/>
    </row>
    <row r="20" spans="1:16">
      <c r="B20" s="12">
        <v>7.8175406455993652</v>
      </c>
      <c r="C20" s="5">
        <f t="shared" si="3"/>
        <v>0.21475059346204334</v>
      </c>
      <c r="D20" s="3">
        <f t="shared" si="4"/>
        <v>99548133.981480509</v>
      </c>
      <c r="L20" s="6"/>
      <c r="M20" s="1"/>
      <c r="N20" s="1"/>
      <c r="O20" s="1"/>
      <c r="P20" s="1"/>
    </row>
    <row r="21" spans="1:16">
      <c r="B21" s="12">
        <v>7.6728224754333496</v>
      </c>
      <c r="C21" s="5">
        <f t="shared" si="3"/>
        <v>0.23630467244194911</v>
      </c>
      <c r="D21" s="3">
        <f t="shared" si="4"/>
        <v>109539577.11347964</v>
      </c>
      <c r="L21" s="6"/>
      <c r="M21" s="1"/>
      <c r="N21" s="1"/>
      <c r="O21" s="1"/>
      <c r="P21" s="1"/>
    </row>
    <row r="22" spans="1:16">
      <c r="A22" s="2" t="s">
        <v>18</v>
      </c>
      <c r="B22" s="12">
        <v>10.66649341583252</v>
      </c>
      <c r="C22" s="5">
        <f t="shared" si="3"/>
        <v>3.2674556157238965E-2</v>
      </c>
      <c r="D22" s="3">
        <f t="shared" si="4"/>
        <v>15146366.031817924</v>
      </c>
      <c r="E22" s="3">
        <f t="shared" ref="E22" si="8">AVERAGE(D22:D24)</f>
        <v>14244672.075466661</v>
      </c>
      <c r="F22" s="2">
        <v>25</v>
      </c>
      <c r="G22" s="2">
        <v>50</v>
      </c>
      <c r="H22" s="2">
        <v>47.2</v>
      </c>
      <c r="I22" s="2">
        <v>1</v>
      </c>
      <c r="J22" s="3">
        <f t="shared" ref="J22" si="9">E22*F22*G22/H22</f>
        <v>377242374.87994337</v>
      </c>
      <c r="K22" s="3">
        <f t="shared" ref="K22" si="10">(STDEV(D22:D24)*F22*G22)/H22</f>
        <v>20748572.946182154</v>
      </c>
      <c r="L22" s="6"/>
      <c r="M22" s="1"/>
      <c r="N22" s="1"/>
      <c r="O22" s="1"/>
      <c r="P22" s="1"/>
    </row>
    <row r="23" spans="1:16">
      <c r="B23" s="12">
        <v>10.801078796386719</v>
      </c>
      <c r="C23" s="5">
        <f t="shared" si="3"/>
        <v>2.9893732144319559E-2</v>
      </c>
      <c r="D23" s="3">
        <f t="shared" si="4"/>
        <v>13857308.632933727</v>
      </c>
      <c r="L23" s="6"/>
      <c r="M23" s="1"/>
      <c r="N23" s="1"/>
      <c r="O23" s="1"/>
      <c r="P23" s="1"/>
    </row>
    <row r="24" spans="1:16">
      <c r="B24" s="12">
        <v>10.815006256103516</v>
      </c>
      <c r="C24" s="5">
        <f t="shared" si="3"/>
        <v>2.9619831943299733E-2</v>
      </c>
      <c r="D24" s="3">
        <f t="shared" si="4"/>
        <v>13730341.561648332</v>
      </c>
      <c r="L24" s="6"/>
      <c r="M24" s="1"/>
      <c r="N24" s="1"/>
      <c r="O24" s="1"/>
      <c r="P24" s="1"/>
    </row>
    <row r="25" spans="1:16">
      <c r="A25" s="2" t="s">
        <v>19</v>
      </c>
      <c r="B25" s="12">
        <v>12.309513092041016</v>
      </c>
      <c r="C25" s="5">
        <f t="shared" si="3"/>
        <v>1.103112138651006E-2</v>
      </c>
      <c r="D25" s="3">
        <f t="shared" si="4"/>
        <v>5113501.8164425697</v>
      </c>
      <c r="E25" s="3">
        <f t="shared" ref="E25" si="11">AVERAGE(D25:D27)</f>
        <v>4617554.160596258</v>
      </c>
      <c r="F25" s="2">
        <v>125</v>
      </c>
      <c r="G25" s="2">
        <v>50</v>
      </c>
      <c r="H25" s="2">
        <v>47.2</v>
      </c>
      <c r="I25" s="2">
        <v>1</v>
      </c>
      <c r="J25" s="3">
        <f t="shared" ref="J25" si="12">E25*F25*G25/H25</f>
        <v>611434608.12980103</v>
      </c>
      <c r="K25" s="3">
        <f t="shared" ref="K25" si="13">(STDEV(D25:D27)*F25*G25)/H25</f>
        <v>70226828.072750375</v>
      </c>
      <c r="L25" s="6"/>
      <c r="M25" s="1"/>
      <c r="N25" s="1"/>
      <c r="O25" s="1"/>
      <c r="P25" s="1"/>
    </row>
    <row r="26" spans="1:16">
      <c r="B26" s="12">
        <v>12.659160614013672</v>
      </c>
      <c r="C26" s="5">
        <f t="shared" si="3"/>
        <v>8.7551096950959327E-3</v>
      </c>
      <c r="D26" s="3">
        <f t="shared" si="4"/>
        <v>4058451.3360332767</v>
      </c>
      <c r="L26" s="6"/>
      <c r="M26" s="1"/>
      <c r="N26" s="1"/>
      <c r="O26" s="1"/>
      <c r="P26" s="1"/>
    </row>
    <row r="27" spans="1:16">
      <c r="B27" s="12">
        <v>12.44332218170166</v>
      </c>
      <c r="C27" s="5">
        <f t="shared" si="3"/>
        <v>1.0097478135353836E-2</v>
      </c>
      <c r="D27" s="3">
        <f t="shared" si="4"/>
        <v>4680709.3293129252</v>
      </c>
      <c r="L27" s="6"/>
      <c r="M27" s="1"/>
      <c r="N27" s="1"/>
      <c r="O27" s="1"/>
      <c r="P27" s="1"/>
    </row>
    <row r="28" spans="1:16">
      <c r="A28" s="2" t="s">
        <v>20</v>
      </c>
      <c r="B28" s="12">
        <v>14.798592567443848</v>
      </c>
      <c r="C28" s="5">
        <f t="shared" si="3"/>
        <v>2.1290611069089615E-3</v>
      </c>
      <c r="D28" s="3">
        <f t="shared" si="4"/>
        <v>986931.19729512231</v>
      </c>
      <c r="E28" s="3">
        <f t="shared" ref="E28" si="14">AVERAGE(D28:D30)</f>
        <v>930161.06695869705</v>
      </c>
      <c r="F28" s="2">
        <v>625</v>
      </c>
      <c r="G28" s="2">
        <v>50</v>
      </c>
      <c r="H28" s="2">
        <v>47.2</v>
      </c>
      <c r="I28" s="2">
        <v>1</v>
      </c>
      <c r="J28" s="3">
        <f t="shared" ref="J28" si="15">E28*F28*G28/H28</f>
        <v>615837570.81481528</v>
      </c>
      <c r="K28" s="3">
        <f t="shared" ref="K28" si="16">(STDEV(D28:D30)*F28*G28)/H28</f>
        <v>33389591.786141559</v>
      </c>
      <c r="L28" s="7"/>
      <c r="M28" s="1"/>
      <c r="N28" s="1"/>
      <c r="O28" s="1"/>
      <c r="P28" s="7"/>
    </row>
    <row r="29" spans="1:16">
      <c r="B29" s="12">
        <v>14.954092979431152</v>
      </c>
      <c r="C29" s="5">
        <f t="shared" si="3"/>
        <v>1.9211240197238486E-3</v>
      </c>
      <c r="D29" s="3">
        <f t="shared" si="4"/>
        <v>890541.47989729338</v>
      </c>
      <c r="L29" s="7"/>
      <c r="M29" s="1"/>
      <c r="N29" s="1"/>
      <c r="O29" s="1"/>
      <c r="P29" s="7"/>
    </row>
    <row r="30" spans="1:16">
      <c r="B30" s="12">
        <v>14.916390419006348</v>
      </c>
      <c r="C30" s="5">
        <f t="shared" si="3"/>
        <v>1.9695954505248303E-3</v>
      </c>
      <c r="D30" s="3">
        <f t="shared" si="4"/>
        <v>913010.52368367545</v>
      </c>
      <c r="L30" s="7"/>
      <c r="M30" s="1"/>
      <c r="N30" s="1"/>
      <c r="O30" s="1"/>
      <c r="P30" s="7"/>
    </row>
    <row r="31" spans="1:16">
      <c r="A31" s="2" t="s">
        <v>161</v>
      </c>
      <c r="B31" s="12">
        <v>17.272865295410156</v>
      </c>
      <c r="C31" s="5">
        <f t="shared" si="3"/>
        <v>4.1496026928446145E-4</v>
      </c>
      <c r="D31" s="3">
        <f t="shared" ref="D31:D33" si="17">C31*$B$9</f>
        <v>192355.79198071916</v>
      </c>
      <c r="E31" s="3">
        <f t="shared" ref="E31" si="18">AVERAGE(D31:D33)</f>
        <v>205426.1846690159</v>
      </c>
      <c r="F31" s="2">
        <v>625</v>
      </c>
      <c r="G31" s="2">
        <v>50</v>
      </c>
      <c r="H31" s="2">
        <v>47.2</v>
      </c>
      <c r="I31" s="2">
        <v>1</v>
      </c>
      <c r="J31" s="3">
        <f t="shared" ref="J31" si="19">E31*F31*G31/H31</f>
        <v>136007802.3497192</v>
      </c>
      <c r="K31" s="3">
        <f t="shared" ref="K31" si="20">(STDEV(D31:D33)*F31*G31)/H31</f>
        <v>7567406.6446942789</v>
      </c>
      <c r="L31" s="7"/>
      <c r="M31" s="1"/>
      <c r="N31" s="1"/>
      <c r="O31" s="1"/>
      <c r="P31" s="7"/>
    </row>
    <row r="32" spans="1:16">
      <c r="B32" s="12">
        <v>17.11473274230957</v>
      </c>
      <c r="C32" s="5">
        <f t="shared" si="3"/>
        <v>4.6067509627050927E-4</v>
      </c>
      <c r="D32" s="3">
        <f t="shared" si="17"/>
        <v>213547.00569697667</v>
      </c>
    </row>
    <row r="33" spans="1:17">
      <c r="B33" s="12">
        <v>17.137371063232422</v>
      </c>
      <c r="C33" s="5">
        <f t="shared" si="3"/>
        <v>4.5383390642118204E-4</v>
      </c>
      <c r="D33" s="3">
        <f t="shared" si="17"/>
        <v>210375.7563293518</v>
      </c>
    </row>
    <row r="34" spans="1:17">
      <c r="A34" s="2" t="s">
        <v>22</v>
      </c>
      <c r="B34" s="12"/>
      <c r="C34" s="5"/>
      <c r="D34" s="3"/>
    </row>
    <row r="35" spans="1:17">
      <c r="A35" t="s">
        <v>140</v>
      </c>
      <c r="B35" s="12">
        <v>11.799041748046875</v>
      </c>
      <c r="C35" s="5">
        <f t="shared" ref="C35:C98" si="21">10^((B35-5.49)/(-3.484))</f>
        <v>1.5457470240463863E-2</v>
      </c>
      <c r="D35" s="3">
        <f t="shared" ref="D35:D88" si="22">C35*$B$9</f>
        <v>7165346.0589128342</v>
      </c>
      <c r="E35" s="3">
        <f t="shared" ref="E35:E86" si="23">AVERAGE(D35:D37)</f>
        <v>8561344.322650075</v>
      </c>
      <c r="F35" s="2">
        <v>1</v>
      </c>
      <c r="G35" s="2">
        <v>50</v>
      </c>
      <c r="H35" s="2">
        <v>0.25</v>
      </c>
      <c r="I35" s="2">
        <v>1</v>
      </c>
      <c r="J35" s="3">
        <f t="shared" ref="J35" si="24">E35*F35*G35/H35</f>
        <v>1712268864.530015</v>
      </c>
      <c r="K35" s="3">
        <f t="shared" ref="K35" si="25">(STDEV(D35:D37)*F35*G35)/H35</f>
        <v>242210665.70322365</v>
      </c>
    </row>
    <row r="36" spans="1:17">
      <c r="A36" t="s">
        <v>140</v>
      </c>
      <c r="B36" s="12">
        <v>11.399563789367676</v>
      </c>
      <c r="C36" s="5">
        <f t="shared" si="21"/>
        <v>2.0127931324314383E-2</v>
      </c>
      <c r="D36" s="3">
        <f t="shared" si="22"/>
        <v>9330349.0898014009</v>
      </c>
    </row>
    <row r="37" spans="1:17">
      <c r="A37" t="s">
        <v>140</v>
      </c>
      <c r="B37" s="12">
        <v>11.422770500183105</v>
      </c>
      <c r="C37" s="5">
        <f t="shared" si="21"/>
        <v>1.9821576966754111E-2</v>
      </c>
      <c r="D37" s="3">
        <f t="shared" si="22"/>
        <v>9188337.8192359917</v>
      </c>
    </row>
    <row r="38" spans="1:17">
      <c r="A38" t="s">
        <v>141</v>
      </c>
      <c r="B38" s="12">
        <v>10.797942161560059</v>
      </c>
      <c r="C38" s="5">
        <f t="shared" si="21"/>
        <v>2.9955766441701823E-2</v>
      </c>
      <c r="D38" s="3">
        <f t="shared" si="22"/>
        <v>13886064.774873553</v>
      </c>
      <c r="E38" s="3">
        <f t="shared" si="23"/>
        <v>17171042.774515044</v>
      </c>
      <c r="F38" s="2">
        <v>1</v>
      </c>
      <c r="G38" s="2">
        <v>50</v>
      </c>
      <c r="H38" s="2">
        <v>0.25</v>
      </c>
      <c r="I38" s="2">
        <v>1</v>
      </c>
      <c r="J38" s="3">
        <f t="shared" ref="J38" si="26">E38*F38*G38/H38</f>
        <v>3434208554.9030089</v>
      </c>
      <c r="K38" s="3">
        <f t="shared" ref="K38" si="27">(STDEV(D38:D40)*F38*G38)/H38</f>
        <v>750453228.58436513</v>
      </c>
    </row>
    <row r="39" spans="1:17">
      <c r="A39" t="s">
        <v>141</v>
      </c>
      <c r="B39" s="12">
        <v>10.549232482910156</v>
      </c>
      <c r="C39" s="5">
        <f t="shared" si="21"/>
        <v>3.5307476696096747E-2</v>
      </c>
      <c r="D39" s="3">
        <f t="shared" si="22"/>
        <v>16366862.433431512</v>
      </c>
    </row>
    <row r="40" spans="1:17">
      <c r="A40" t="s">
        <v>141</v>
      </c>
      <c r="B40" s="12">
        <v>10.153443336486816</v>
      </c>
      <c r="C40" s="5">
        <f t="shared" si="21"/>
        <v>4.5863650316836389E-2</v>
      </c>
      <c r="D40" s="3">
        <f t="shared" si="22"/>
        <v>21260201.115240067</v>
      </c>
    </row>
    <row r="41" spans="1:17">
      <c r="A41" t="s">
        <v>142</v>
      </c>
      <c r="B41" s="12">
        <v>10.803689002990723</v>
      </c>
      <c r="C41" s="5">
        <f t="shared" si="21"/>
        <v>2.9842207141994957E-2</v>
      </c>
      <c r="D41" s="3">
        <f t="shared" si="22"/>
        <v>13833424.099009436</v>
      </c>
      <c r="E41" s="3">
        <f t="shared" si="23"/>
        <v>11689878.804966686</v>
      </c>
      <c r="F41" s="2">
        <v>1</v>
      </c>
      <c r="G41" s="2">
        <v>50</v>
      </c>
      <c r="H41" s="2">
        <v>0.25</v>
      </c>
      <c r="I41" s="2">
        <v>1</v>
      </c>
      <c r="J41" s="3">
        <f t="shared" ref="J41" si="28">E41*F41*G41/H41</f>
        <v>2337975760.9933372</v>
      </c>
      <c r="K41" s="3">
        <f t="shared" ref="K41" si="29">(STDEV(D41:D43)*F41*G41)/H41</f>
        <v>376016725.11276674</v>
      </c>
      <c r="M41" s="8"/>
      <c r="N41" s="1"/>
      <c r="O41" s="1"/>
      <c r="P41" s="1"/>
      <c r="Q41" s="9"/>
    </row>
    <row r="42" spans="1:17">
      <c r="A42" t="s">
        <v>142</v>
      </c>
      <c r="B42" s="12">
        <v>11.162101745605469</v>
      </c>
      <c r="C42" s="5">
        <f t="shared" si="21"/>
        <v>2.3548162226101545E-2</v>
      </c>
      <c r="D42" s="3">
        <f t="shared" si="22"/>
        <v>10915805.029968042</v>
      </c>
    </row>
    <row r="43" spans="1:17">
      <c r="A43" t="s">
        <v>142</v>
      </c>
      <c r="B43" s="12">
        <v>11.246968269348145</v>
      </c>
      <c r="C43" s="5">
        <f t="shared" si="21"/>
        <v>2.2263738161422329E-2</v>
      </c>
      <c r="D43" s="3">
        <f t="shared" si="22"/>
        <v>10320407.285922581</v>
      </c>
    </row>
    <row r="44" spans="1:17">
      <c r="A44" t="s">
        <v>143</v>
      </c>
      <c r="B44" s="12">
        <v>11.476537704467773</v>
      </c>
      <c r="C44" s="5">
        <f t="shared" si="21"/>
        <v>1.9129587081276829E-2</v>
      </c>
      <c r="D44" s="3">
        <f t="shared" si="22"/>
        <v>8867564.3083329946</v>
      </c>
      <c r="E44" s="3">
        <f t="shared" si="23"/>
        <v>8174081.6383560821</v>
      </c>
      <c r="F44" s="2">
        <v>1</v>
      </c>
      <c r="G44" s="2">
        <v>50</v>
      </c>
      <c r="H44" s="2">
        <v>0.25</v>
      </c>
      <c r="I44" s="2">
        <v>1</v>
      </c>
      <c r="J44" s="3">
        <f t="shared" ref="J44" si="30">E44*F44*G44/H44</f>
        <v>1634816327.6712165</v>
      </c>
      <c r="K44" s="3">
        <f t="shared" ref="K44" si="31">(STDEV(D44:D46)*F44*G44)/H44</f>
        <v>123743684.01376528</v>
      </c>
    </row>
    <row r="45" spans="1:17">
      <c r="A45" t="s">
        <v>143</v>
      </c>
      <c r="B45" s="12">
        <v>11.694365501403809</v>
      </c>
      <c r="C45" s="5">
        <f t="shared" si="21"/>
        <v>1.6564688217661206E-2</v>
      </c>
      <c r="D45" s="3">
        <f t="shared" si="22"/>
        <v>7678599.5115056261</v>
      </c>
    </row>
    <row r="46" spans="1:17">
      <c r="A46" t="s">
        <v>143</v>
      </c>
      <c r="B46" s="12">
        <v>11.636853218078613</v>
      </c>
      <c r="C46" s="5">
        <f t="shared" si="21"/>
        <v>1.7206431503985816E-2</v>
      </c>
      <c r="D46" s="3">
        <f t="shared" si="22"/>
        <v>7976081.0952296276</v>
      </c>
    </row>
    <row r="47" spans="1:17">
      <c r="A47" t="s">
        <v>144</v>
      </c>
      <c r="B47" s="12">
        <v>10.65497875213623</v>
      </c>
      <c r="C47" s="5">
        <f t="shared" si="21"/>
        <v>3.2924160450924222E-2</v>
      </c>
      <c r="D47" s="3">
        <f t="shared" si="22"/>
        <v>15262070.679099957</v>
      </c>
      <c r="E47" s="3">
        <f t="shared" si="23"/>
        <v>18110773.033800855</v>
      </c>
      <c r="F47" s="2">
        <v>1</v>
      </c>
      <c r="G47" s="2">
        <v>50</v>
      </c>
      <c r="H47" s="2">
        <v>0.25</v>
      </c>
      <c r="I47" s="2">
        <v>1</v>
      </c>
      <c r="J47" s="3">
        <f t="shared" ref="J47" si="32">E47*F47*G47/H47</f>
        <v>3622154606.7601709</v>
      </c>
      <c r="K47" s="3">
        <f t="shared" ref="K47" si="33">(STDEV(D47:D49)*F47*G47)/H47</f>
        <v>886001276.69092977</v>
      </c>
    </row>
    <row r="48" spans="1:17">
      <c r="A48" t="s">
        <v>144</v>
      </c>
      <c r="B48" s="12">
        <v>10.597248077392578</v>
      </c>
      <c r="C48" s="5">
        <f t="shared" si="21"/>
        <v>3.4204633204562344E-2</v>
      </c>
      <c r="D48" s="3">
        <f t="shared" si="22"/>
        <v>15855636.783779116</v>
      </c>
    </row>
    <row r="49" spans="1:11">
      <c r="A49" t="s">
        <v>144</v>
      </c>
      <c r="B49" s="12">
        <v>10.02037525177002</v>
      </c>
      <c r="C49" s="5">
        <f t="shared" si="21"/>
        <v>5.0079809906745522E-2</v>
      </c>
      <c r="D49" s="3">
        <f t="shared" si="22"/>
        <v>23214611.638523493</v>
      </c>
    </row>
    <row r="50" spans="1:11">
      <c r="A50" t="s">
        <v>145</v>
      </c>
      <c r="B50" s="12">
        <v>10.194916725158691</v>
      </c>
      <c r="C50" s="5">
        <f t="shared" si="21"/>
        <v>4.4623605738214243E-2</v>
      </c>
      <c r="D50" s="3">
        <f t="shared" si="22"/>
        <v>20685375.584536683</v>
      </c>
      <c r="E50" s="3">
        <f t="shared" si="23"/>
        <v>16437346.283896072</v>
      </c>
      <c r="F50" s="2">
        <v>1</v>
      </c>
      <c r="G50" s="2">
        <v>50</v>
      </c>
      <c r="H50" s="2">
        <v>0.25</v>
      </c>
      <c r="I50" s="2">
        <v>1</v>
      </c>
      <c r="J50" s="3">
        <f t="shared" ref="J50" si="34">E50*F50*G50/H50</f>
        <v>3287469256.7792144</v>
      </c>
      <c r="K50" s="3">
        <f t="shared" ref="K50" si="35">(STDEV(D50:D52)*F50*G50)/H50</f>
        <v>940528145.43516862</v>
      </c>
    </row>
    <row r="51" spans="1:11">
      <c r="A51" t="s">
        <v>145</v>
      </c>
      <c r="B51" s="12">
        <v>10.470365524291992</v>
      </c>
      <c r="C51" s="5">
        <f t="shared" si="21"/>
        <v>3.7196628809669223E-2</v>
      </c>
      <c r="D51" s="3">
        <f t="shared" si="22"/>
        <v>17242583.262331337</v>
      </c>
    </row>
    <row r="52" spans="1:11">
      <c r="A52" t="s">
        <v>145</v>
      </c>
      <c r="B52" s="12">
        <v>11.098546028137207</v>
      </c>
      <c r="C52" s="5">
        <f t="shared" si="21"/>
        <v>2.4558350209852507E-2</v>
      </c>
      <c r="D52" s="3">
        <f t="shared" si="22"/>
        <v>11384080.004820192</v>
      </c>
    </row>
    <row r="53" spans="1:11">
      <c r="A53" t="s">
        <v>146</v>
      </c>
      <c r="B53" s="12">
        <v>10.633041381835938</v>
      </c>
      <c r="C53" s="5">
        <f t="shared" si="21"/>
        <v>3.3404987536560717E-2</v>
      </c>
      <c r="D53" s="3">
        <f t="shared" si="22"/>
        <v>15484959.186047558</v>
      </c>
      <c r="E53" s="3">
        <f>AVERAGE(D53:D58)</f>
        <v>10256821.57664928</v>
      </c>
      <c r="F53" s="2">
        <v>1</v>
      </c>
      <c r="G53" s="2">
        <v>50</v>
      </c>
      <c r="H53" s="2">
        <v>0.25</v>
      </c>
      <c r="I53" s="2">
        <v>1</v>
      </c>
      <c r="J53" s="3">
        <f t="shared" ref="J53" si="36">E53*F53*G53/H53</f>
        <v>2051364315.3298562</v>
      </c>
      <c r="K53" s="3">
        <f t="shared" ref="K53" si="37">(STDEV(D53:D55)*F53*G53)/H53</f>
        <v>614852887.56724155</v>
      </c>
    </row>
    <row r="54" spans="1:11">
      <c r="A54" t="s">
        <v>146</v>
      </c>
      <c r="B54" s="12">
        <v>11.294259071350098</v>
      </c>
      <c r="C54" s="5">
        <f t="shared" si="21"/>
        <v>2.1578655258308287E-2</v>
      </c>
      <c r="D54" s="3">
        <f t="shared" si="22"/>
        <v>10002835.52265911</v>
      </c>
    </row>
    <row r="55" spans="1:11">
      <c r="A55" t="s">
        <v>146</v>
      </c>
      <c r="B55" s="12">
        <v>11.245141983032227</v>
      </c>
      <c r="C55" s="5">
        <f t="shared" si="21"/>
        <v>2.2290626663917082E-2</v>
      </c>
      <c r="D55" s="3">
        <f t="shared" si="22"/>
        <v>10332871.513405064</v>
      </c>
    </row>
    <row r="56" spans="1:11">
      <c r="A56" t="s">
        <v>146</v>
      </c>
      <c r="B56" s="12">
        <v>11.40254020690918</v>
      </c>
      <c r="C56" s="5">
        <f t="shared" si="21"/>
        <v>2.0088376136174396E-2</v>
      </c>
      <c r="D56" s="3">
        <f t="shared" ref="D56:D58" si="38">C56*$B$9</f>
        <v>9312013.190909842</v>
      </c>
      <c r="E56" s="3"/>
    </row>
    <row r="57" spans="1:11">
      <c r="A57" t="s">
        <v>146</v>
      </c>
      <c r="B57" s="12">
        <v>11.62119197845459</v>
      </c>
      <c r="C57" s="5">
        <f t="shared" si="21"/>
        <v>1.738545252105993E-2</v>
      </c>
      <c r="D57" s="3">
        <f t="shared" si="38"/>
        <v>8059066.7014898723</v>
      </c>
    </row>
    <row r="58" spans="1:11">
      <c r="A58" t="s">
        <v>146</v>
      </c>
      <c r="B58" s="12">
        <v>11.567680358886719</v>
      </c>
      <c r="C58" s="5">
        <f t="shared" si="21"/>
        <v>1.80113077627174E-2</v>
      </c>
      <c r="D58" s="3">
        <f t="shared" si="38"/>
        <v>8349183.3453842299</v>
      </c>
    </row>
    <row r="59" spans="1:11">
      <c r="A59" t="s">
        <v>147</v>
      </c>
      <c r="B59" s="12">
        <v>11.31102466583252</v>
      </c>
      <c r="C59" s="5">
        <f t="shared" si="21"/>
        <v>2.1340874332248964E-2</v>
      </c>
      <c r="D59" s="3">
        <f t="shared" si="22"/>
        <v>9892611.624769032</v>
      </c>
      <c r="E59" s="3">
        <f t="shared" si="23"/>
        <v>13169584.643663213</v>
      </c>
      <c r="F59" s="2">
        <v>1</v>
      </c>
      <c r="G59" s="2">
        <v>50</v>
      </c>
      <c r="H59" s="2">
        <v>0.25</v>
      </c>
      <c r="I59" s="2">
        <v>1</v>
      </c>
      <c r="J59" s="3">
        <f t="shared" ref="J59" si="39">E59*F59*G59/H59</f>
        <v>2633916928.7326427</v>
      </c>
      <c r="K59" s="3">
        <f t="shared" ref="K59" si="40">(STDEV(D59:D61)*F59*G59)/H59</f>
        <v>686927563.92055631</v>
      </c>
    </row>
    <row r="60" spans="1:11">
      <c r="A60" t="s">
        <v>147</v>
      </c>
      <c r="B60" s="12">
        <v>10.91251277923584</v>
      </c>
      <c r="C60" s="5">
        <f t="shared" si="21"/>
        <v>2.7771263756177663E-2</v>
      </c>
      <c r="D60" s="3">
        <f t="shared" si="22"/>
        <v>12873433.50566172</v>
      </c>
    </row>
    <row r="61" spans="1:11">
      <c r="A61" t="s">
        <v>147</v>
      </c>
      <c r="B61" s="12">
        <v>10.51487922668457</v>
      </c>
      <c r="C61" s="5">
        <f t="shared" si="21"/>
        <v>3.6118272711682262E-2</v>
      </c>
      <c r="D61" s="3">
        <f t="shared" si="22"/>
        <v>16742708.800558889</v>
      </c>
    </row>
    <row r="62" spans="1:11">
      <c r="A62" t="s">
        <v>163</v>
      </c>
      <c r="B62" s="12">
        <v>11.108879089355469</v>
      </c>
      <c r="C62" s="5">
        <f t="shared" si="21"/>
        <v>2.4391208959698037E-2</v>
      </c>
      <c r="D62" s="3">
        <f t="shared" si="22"/>
        <v>11306601.291974865</v>
      </c>
      <c r="E62" s="3">
        <f t="shared" si="23"/>
        <v>13722709.513596853</v>
      </c>
      <c r="F62" s="2">
        <v>1</v>
      </c>
      <c r="G62" s="2">
        <v>50</v>
      </c>
      <c r="H62" s="2">
        <v>0.25</v>
      </c>
      <c r="I62" s="2">
        <v>1</v>
      </c>
      <c r="J62" s="3">
        <f t="shared" ref="J62" si="41">E62*F62*G62/H62</f>
        <v>2744541902.7193708</v>
      </c>
      <c r="K62" s="3">
        <f t="shared" ref="K62" si="42">(STDEV(D62:D64)*F62*G62)/H62</f>
        <v>877678482.72628427</v>
      </c>
    </row>
    <row r="63" spans="1:11">
      <c r="A63" t="s">
        <v>163</v>
      </c>
      <c r="B63" s="12">
        <v>10.340472221374512</v>
      </c>
      <c r="C63" s="5">
        <f t="shared" si="21"/>
        <v>4.0530913190095615E-2</v>
      </c>
      <c r="D63" s="3">
        <f t="shared" si="22"/>
        <v>18788198.493861351</v>
      </c>
    </row>
    <row r="64" spans="1:11">
      <c r="A64" t="s">
        <v>163</v>
      </c>
      <c r="B64" s="12">
        <v>11.140422821044922</v>
      </c>
      <c r="C64" s="5">
        <f t="shared" si="21"/>
        <v>2.3887980885399087E-2</v>
      </c>
      <c r="D64" s="3">
        <f t="shared" si="22"/>
        <v>11073328.754954338</v>
      </c>
    </row>
    <row r="65" spans="1:11">
      <c r="A65" t="s">
        <v>148</v>
      </c>
      <c r="B65" s="12">
        <v>10.417141914367676</v>
      </c>
      <c r="C65" s="5">
        <f t="shared" si="21"/>
        <v>3.8528327986780436E-2</v>
      </c>
      <c r="D65" s="3">
        <f t="shared" si="22"/>
        <v>17859895.494018022</v>
      </c>
      <c r="E65" s="3">
        <f t="shared" si="23"/>
        <v>14963572.12923982</v>
      </c>
      <c r="F65" s="2">
        <v>1</v>
      </c>
      <c r="G65" s="2">
        <v>50</v>
      </c>
      <c r="H65" s="2">
        <v>0.25</v>
      </c>
      <c r="I65" s="2">
        <v>1</v>
      </c>
      <c r="J65" s="3">
        <f t="shared" ref="J65" si="43">E65*F65*G65/H65</f>
        <v>2992714425.8479638</v>
      </c>
      <c r="K65" s="3">
        <f t="shared" ref="K65" si="44">(STDEV(D65:D67)*F65*G65)/H65</f>
        <v>618162647.12364733</v>
      </c>
    </row>
    <row r="66" spans="1:11">
      <c r="A66" t="s">
        <v>148</v>
      </c>
      <c r="B66" s="12">
        <v>10.649107933044434</v>
      </c>
      <c r="C66" s="5">
        <f t="shared" si="21"/>
        <v>3.30521556741811E-2</v>
      </c>
      <c r="D66" s="3">
        <f t="shared" si="22"/>
        <v>15321403.160693387</v>
      </c>
    </row>
    <row r="67" spans="1:11">
      <c r="A67" t="s">
        <v>148</v>
      </c>
      <c r="B67" s="12">
        <v>11.055911064147949</v>
      </c>
      <c r="C67" s="5">
        <f t="shared" si="21"/>
        <v>2.5260186270555898E-2</v>
      </c>
      <c r="D67" s="3">
        <f t="shared" si="22"/>
        <v>11709417.733008051</v>
      </c>
    </row>
    <row r="68" spans="1:11">
      <c r="A68" t="s">
        <v>149</v>
      </c>
      <c r="B68" s="12">
        <v>10.816426277160645</v>
      </c>
      <c r="C68" s="5">
        <f t="shared" si="21"/>
        <v>2.9592046895957812E-2</v>
      </c>
      <c r="D68" s="3">
        <f t="shared" si="22"/>
        <v>13717461.738729639</v>
      </c>
      <c r="E68" s="3">
        <f t="shared" si="23"/>
        <v>24163471.92434654</v>
      </c>
      <c r="F68" s="2">
        <v>1</v>
      </c>
      <c r="G68" s="2">
        <v>50</v>
      </c>
      <c r="H68" s="2">
        <v>0.25</v>
      </c>
      <c r="I68" s="2">
        <v>1</v>
      </c>
      <c r="J68" s="3">
        <f t="shared" ref="J68" si="45">E68*F68*G68/H68</f>
        <v>4832694384.8693085</v>
      </c>
      <c r="K68" s="3">
        <f t="shared" ref="K68" si="46">(STDEV(D68:D70)*F68*G68)/H68</f>
        <v>2639259914.3452311</v>
      </c>
    </row>
    <row r="69" spans="1:11">
      <c r="A69" t="s">
        <v>149</v>
      </c>
      <c r="B69" s="12">
        <v>9.2356548309326172</v>
      </c>
      <c r="C69" s="5">
        <f t="shared" si="21"/>
        <v>8.4119785027311947E-2</v>
      </c>
      <c r="D69" s="3">
        <f t="shared" si="22"/>
        <v>38993920.786869757</v>
      </c>
    </row>
    <row r="70" spans="1:11">
      <c r="A70" t="s">
        <v>149</v>
      </c>
      <c r="B70" s="12">
        <v>10.262709617614746</v>
      </c>
      <c r="C70" s="5">
        <f t="shared" si="21"/>
        <v>4.2668395258754641E-2</v>
      </c>
      <c r="D70" s="3">
        <f t="shared" si="22"/>
        <v>19779033.247440226</v>
      </c>
    </row>
    <row r="71" spans="1:11">
      <c r="A71" t="s">
        <v>150</v>
      </c>
      <c r="B71" s="12">
        <v>11.241576194763184</v>
      </c>
      <c r="C71" s="5">
        <f t="shared" si="21"/>
        <v>2.2343219575040589E-2</v>
      </c>
      <c r="D71" s="3">
        <f t="shared" si="22"/>
        <v>10357251.078921489</v>
      </c>
      <c r="E71" s="3">
        <f t="shared" si="23"/>
        <v>9939423.4977312703</v>
      </c>
      <c r="F71" s="2">
        <v>1</v>
      </c>
      <c r="G71" s="2">
        <v>50</v>
      </c>
      <c r="H71" s="2">
        <v>0.25</v>
      </c>
      <c r="I71" s="2">
        <v>1</v>
      </c>
      <c r="J71" s="3">
        <f t="shared" ref="J71" si="47">E71*F71*G71/H71</f>
        <v>1987884699.5462542</v>
      </c>
      <c r="K71" s="3">
        <f t="shared" ref="K71" si="48">(STDEV(D71:D73)*F71*G71)/H71</f>
        <v>430465890.24435198</v>
      </c>
    </row>
    <row r="72" spans="1:11">
      <c r="A72" t="s">
        <v>150</v>
      </c>
      <c r="B72" s="12">
        <v>11.708179473876953</v>
      </c>
      <c r="C72" s="5">
        <f t="shared" si="21"/>
        <v>1.641414596324706E-2</v>
      </c>
      <c r="D72" s="3">
        <f t="shared" si="22"/>
        <v>7608815.3015032345</v>
      </c>
    </row>
    <row r="73" spans="1:11">
      <c r="A73" t="s">
        <v>150</v>
      </c>
      <c r="B73" s="12">
        <v>11.037571907043457</v>
      </c>
      <c r="C73" s="5">
        <f t="shared" si="21"/>
        <v>2.5568212735398371E-2</v>
      </c>
      <c r="D73" s="3">
        <f t="shared" si="22"/>
        <v>11852204.112769092</v>
      </c>
    </row>
    <row r="74" spans="1:11">
      <c r="A74" t="s">
        <v>151</v>
      </c>
      <c r="B74" s="12">
        <v>10.160637855529785</v>
      </c>
      <c r="C74" s="5">
        <f t="shared" si="21"/>
        <v>4.564609193146426E-2</v>
      </c>
      <c r="D74" s="3">
        <f t="shared" si="22"/>
        <v>21159351.422828637</v>
      </c>
      <c r="E74" s="3">
        <f t="shared" si="23"/>
        <v>23326283.153621513</v>
      </c>
      <c r="F74" s="2">
        <v>1</v>
      </c>
      <c r="G74" s="2">
        <v>50</v>
      </c>
      <c r="H74" s="2">
        <v>0.25</v>
      </c>
      <c r="I74" s="2">
        <v>1</v>
      </c>
      <c r="J74" s="3">
        <f t="shared" ref="J74" si="49">E74*F74*G74/H74</f>
        <v>4665256630.7243023</v>
      </c>
      <c r="K74" s="3">
        <f t="shared" ref="K74" si="50">(STDEV(D74:D76)*F74*G74)/H74</f>
        <v>1237638563.6203911</v>
      </c>
    </row>
    <row r="75" spans="1:11">
      <c r="A75" t="s">
        <v>151</v>
      </c>
      <c r="B75" s="12">
        <v>10.362801551818848</v>
      </c>
      <c r="C75" s="5">
        <f t="shared" si="21"/>
        <v>3.993716948381619E-2</v>
      </c>
      <c r="D75" s="3">
        <f t="shared" si="22"/>
        <v>18512967.226415228</v>
      </c>
    </row>
    <row r="76" spans="1:11">
      <c r="A76" t="s">
        <v>151</v>
      </c>
      <c r="B76" s="12">
        <v>9.6170158386230469</v>
      </c>
      <c r="C76" s="5">
        <f t="shared" si="21"/>
        <v>6.5378879716439742E-2</v>
      </c>
      <c r="D76" s="3">
        <f t="shared" si="22"/>
        <v>30306530.811620675</v>
      </c>
    </row>
    <row r="77" spans="1:11">
      <c r="A77" t="s">
        <v>152</v>
      </c>
      <c r="B77" s="12">
        <v>11.687904357910156</v>
      </c>
      <c r="C77" s="5">
        <f t="shared" si="21"/>
        <v>1.6635573779177661E-2</v>
      </c>
      <c r="D77" s="3">
        <f t="shared" si="22"/>
        <v>7711458.677393984</v>
      </c>
      <c r="E77" s="3">
        <f>AVERAGE(D77:D79)</f>
        <v>8497360.2571417633</v>
      </c>
      <c r="F77" s="2">
        <v>1</v>
      </c>
      <c r="G77" s="2">
        <v>50</v>
      </c>
      <c r="H77" s="2">
        <v>0.25</v>
      </c>
      <c r="I77" s="2">
        <v>1</v>
      </c>
      <c r="J77" s="3">
        <f t="shared" ref="J77" si="51">E77*F77*G77/H77</f>
        <v>1699472051.4283526</v>
      </c>
      <c r="K77" s="3">
        <f>(STDEV(D77:D79)*F77*G77)/H77</f>
        <v>156848644.13341746</v>
      </c>
    </row>
    <row r="78" spans="1:11">
      <c r="A78" t="s">
        <v>152</v>
      </c>
      <c r="B78" s="12">
        <v>11.407761573791504</v>
      </c>
      <c r="C78" s="5">
        <f t="shared" si="21"/>
        <v>2.0019174324454853E-2</v>
      </c>
      <c r="D78" s="3">
        <f t="shared" si="22"/>
        <v>9279934.531131722</v>
      </c>
    </row>
    <row r="79" spans="1:11">
      <c r="A79" t="s">
        <v>152</v>
      </c>
      <c r="B79" s="12">
        <v>11.540470123291016</v>
      </c>
      <c r="C79" s="5">
        <f t="shared" si="21"/>
        <v>1.8338140816458803E-2</v>
      </c>
      <c r="D79" s="3">
        <f t="shared" si="22"/>
        <v>8500687.5628995877</v>
      </c>
    </row>
    <row r="80" spans="1:11">
      <c r="A80" t="s">
        <v>153</v>
      </c>
      <c r="B80" s="12">
        <v>11.676837921142578</v>
      </c>
      <c r="C80" s="5">
        <f t="shared" si="21"/>
        <v>1.675768969805962E-2</v>
      </c>
      <c r="D80" s="3">
        <f t="shared" si="22"/>
        <v>7768065.7938547889</v>
      </c>
      <c r="E80" s="3">
        <f t="shared" si="23"/>
        <v>7280279.8894776227</v>
      </c>
      <c r="F80" s="2">
        <v>1</v>
      </c>
      <c r="G80" s="2">
        <v>50</v>
      </c>
      <c r="H80" s="2">
        <v>0.25</v>
      </c>
      <c r="I80" s="2">
        <v>1</v>
      </c>
      <c r="J80" s="3">
        <f t="shared" ref="J80" si="52">E80*F80*G80/H80</f>
        <v>1456055977.8955245</v>
      </c>
      <c r="K80" s="3">
        <f t="shared" ref="K80" si="53">(STDEV(D80:D82)*F80*G80)/H80</f>
        <v>107789091.06877801</v>
      </c>
    </row>
    <row r="81" spans="1:11">
      <c r="A81" t="s">
        <v>153</v>
      </c>
      <c r="B81" s="12">
        <v>11.75621223449707</v>
      </c>
      <c r="C81" s="5">
        <f t="shared" si="21"/>
        <v>1.5901262989988015E-2</v>
      </c>
      <c r="D81" s="3">
        <f t="shared" si="22"/>
        <v>7371067.21375308</v>
      </c>
    </row>
    <row r="82" spans="1:11">
      <c r="A82" t="s">
        <v>153</v>
      </c>
      <c r="B82" s="12">
        <v>11.90025806427002</v>
      </c>
      <c r="C82" s="5">
        <f t="shared" si="21"/>
        <v>1.4457282372449485E-2</v>
      </c>
      <c r="D82" s="3">
        <f t="shared" si="22"/>
        <v>6701706.6608250011</v>
      </c>
    </row>
    <row r="83" spans="1:11">
      <c r="A83" t="s">
        <v>154</v>
      </c>
      <c r="B83" s="12">
        <v>11.53924560546875</v>
      </c>
      <c r="C83" s="5">
        <f t="shared" si="21"/>
        <v>1.8352987645319407E-2</v>
      </c>
      <c r="D83" s="3">
        <f t="shared" si="22"/>
        <v>8507569.8447354082</v>
      </c>
      <c r="E83" s="3">
        <f t="shared" si="23"/>
        <v>7942395.5758881038</v>
      </c>
      <c r="F83" s="2">
        <v>1</v>
      </c>
      <c r="G83" s="2">
        <v>50</v>
      </c>
      <c r="H83" s="2">
        <v>0.25</v>
      </c>
      <c r="I83" s="2">
        <v>1</v>
      </c>
      <c r="J83" s="3">
        <f t="shared" ref="J83" si="54">E83*F83*G83/H83</f>
        <v>1588479115.1776206</v>
      </c>
      <c r="K83" s="3">
        <f t="shared" ref="K83" si="55">(STDEV(D83:D85)*F83*G83)/H83</f>
        <v>107268412.83552013</v>
      </c>
    </row>
    <row r="84" spans="1:11">
      <c r="A84" t="s">
        <v>154</v>
      </c>
      <c r="B84" s="12">
        <v>11.742026329040527</v>
      </c>
      <c r="C84" s="5">
        <f t="shared" si="21"/>
        <v>1.6051046388133698E-2</v>
      </c>
      <c r="D84" s="3">
        <f t="shared" si="22"/>
        <v>7440499.6541781789</v>
      </c>
    </row>
    <row r="85" spans="1:11">
      <c r="A85" t="s">
        <v>154</v>
      </c>
      <c r="B85" s="12">
        <v>11.655360221862793</v>
      </c>
      <c r="C85" s="5">
        <f t="shared" si="21"/>
        <v>1.6997255831495632E-2</v>
      </c>
      <c r="D85" s="3">
        <f t="shared" si="22"/>
        <v>7879117.2287507234</v>
      </c>
    </row>
    <row r="86" spans="1:11">
      <c r="A86" t="s">
        <v>164</v>
      </c>
      <c r="B86" s="12">
        <v>11.633393287658691</v>
      </c>
      <c r="C86" s="5">
        <f t="shared" si="21"/>
        <v>1.7245822082371631E-2</v>
      </c>
      <c r="D86" s="3">
        <f t="shared" si="22"/>
        <v>7994340.6888891552</v>
      </c>
      <c r="E86" s="3">
        <f t="shared" si="23"/>
        <v>7092204.8831988173</v>
      </c>
      <c r="F86" s="2">
        <v>1</v>
      </c>
      <c r="G86" s="2">
        <v>50</v>
      </c>
      <c r="H86" s="2">
        <v>0.25</v>
      </c>
      <c r="I86" s="2">
        <v>1</v>
      </c>
      <c r="J86" s="3">
        <f t="shared" ref="J86" si="56">E86*F86*G86/H86</f>
        <v>1418440976.6397634</v>
      </c>
      <c r="K86" s="3">
        <f t="shared" ref="K86" si="57">(STDEV(D86:D88)*F86*G86)/H86</f>
        <v>177823993.1943996</v>
      </c>
    </row>
    <row r="87" spans="1:11">
      <c r="A87" t="s">
        <v>164</v>
      </c>
      <c r="B87" s="12">
        <v>11.820258140563965</v>
      </c>
      <c r="C87" s="5">
        <f t="shared" si="21"/>
        <v>1.5242238544228941E-2</v>
      </c>
      <c r="D87" s="3">
        <f t="shared" si="22"/>
        <v>7065574.9086289471</v>
      </c>
    </row>
    <row r="88" spans="1:11">
      <c r="A88" t="s">
        <v>164</v>
      </c>
      <c r="B88" s="12">
        <v>12.013925552368164</v>
      </c>
      <c r="C88" s="5">
        <f t="shared" si="21"/>
        <v>1.3410997850116539E-2</v>
      </c>
      <c r="D88" s="3">
        <f t="shared" si="22"/>
        <v>6216699.0520783514</v>
      </c>
    </row>
    <row r="89" spans="1:11">
      <c r="A89" t="s">
        <v>155</v>
      </c>
      <c r="B89" s="12">
        <v>18.739492416381836</v>
      </c>
      <c r="C89" s="5">
        <f t="shared" si="21"/>
        <v>1.57414888001002E-4</v>
      </c>
      <c r="D89" s="3">
        <f>C89*$B$9</f>
        <v>72970.035187228452</v>
      </c>
      <c r="E89" s="3">
        <f>AVERAGE(D89:D91)</f>
        <v>65035.150866179065</v>
      </c>
      <c r="F89" s="2">
        <v>1</v>
      </c>
      <c r="G89" s="2">
        <v>50</v>
      </c>
      <c r="H89" s="2">
        <v>0.25</v>
      </c>
      <c r="I89" s="2">
        <v>1</v>
      </c>
      <c r="J89" s="3">
        <f t="shared" ref="J89" si="58">E89*F89*G89/H89</f>
        <v>13007030.173235813</v>
      </c>
      <c r="K89" s="3">
        <f t="shared" ref="K89" si="59">(STDEV(D89:D91)*F89*G89)/H89</f>
        <v>1752572.0663246564</v>
      </c>
    </row>
    <row r="90" spans="1:11">
      <c r="A90" t="s">
        <v>155</v>
      </c>
      <c r="B90" s="12">
        <v>19.1500244140625</v>
      </c>
      <c r="C90" s="5">
        <f t="shared" si="21"/>
        <v>1.2000857549606009E-4</v>
      </c>
      <c r="D90" s="3">
        <f>C90*$B$9</f>
        <v>55630.252563283124</v>
      </c>
    </row>
    <row r="91" spans="1:11">
      <c r="A91" t="s">
        <v>155</v>
      </c>
      <c r="B91" s="12">
        <v>18.879859924316406</v>
      </c>
      <c r="C91" s="5">
        <f t="shared" si="21"/>
        <v>1.434685216908384E-4</v>
      </c>
      <c r="D91" s="3">
        <f>C91*$B$9</f>
        <v>66505.164848025612</v>
      </c>
    </row>
    <row r="92" spans="1:11">
      <c r="A92" t="s">
        <v>156</v>
      </c>
      <c r="B92" s="12">
        <v>11.060503005981445</v>
      </c>
      <c r="C92" s="5">
        <f t="shared" si="21"/>
        <v>2.5183642186301283E-2</v>
      </c>
      <c r="D92" s="3">
        <f>C92*$B$9</f>
        <v>11673935.545825109</v>
      </c>
      <c r="E92" s="3">
        <f>AVERAGE(D92:D94)</f>
        <v>12082322.482317686</v>
      </c>
      <c r="F92" s="2">
        <v>1</v>
      </c>
      <c r="G92" s="2">
        <v>50</v>
      </c>
      <c r="H92" s="2">
        <v>0.25</v>
      </c>
      <c r="I92" s="2">
        <v>1</v>
      </c>
      <c r="J92" s="3">
        <f t="shared" ref="J92" si="60">E92*F92*G92/H92</f>
        <v>2416464496.4635372</v>
      </c>
      <c r="K92" s="3">
        <f t="shared" ref="K92" si="61">(STDEV(D92:D94)*F92*G92)/H92</f>
        <v>300324248.07942164</v>
      </c>
    </row>
    <row r="93" spans="1:11">
      <c r="A93" t="s">
        <v>156</v>
      </c>
      <c r="B93" s="12">
        <v>10.81329345703125</v>
      </c>
      <c r="C93" s="5">
        <f t="shared" si="21"/>
        <v>2.9653380387445517E-2</v>
      </c>
      <c r="D93" s="3">
        <f>C93*$B$9</f>
        <v>13745893.020477176</v>
      </c>
    </row>
    <row r="94" spans="1:11">
      <c r="A94" t="s">
        <v>156</v>
      </c>
      <c r="B94" s="12">
        <v>11.174442291259766</v>
      </c>
      <c r="C94" s="5">
        <f t="shared" si="21"/>
        <v>2.3356886835751982E-2</v>
      </c>
      <c r="D94" s="3">
        <f>C94*$B$9</f>
        <v>10827138.88065077</v>
      </c>
    </row>
    <row r="95" spans="1:11">
      <c r="A95" t="s">
        <v>157</v>
      </c>
      <c r="B95" s="12">
        <v>11.186772346496582</v>
      </c>
      <c r="C95" s="5">
        <f t="shared" si="21"/>
        <v>2.3167325745853239E-2</v>
      </c>
      <c r="D95" s="3">
        <f>C95*$B$9</f>
        <v>10739267.399269972</v>
      </c>
      <c r="E95" s="3">
        <f>AVERAGE(D95:D97)</f>
        <v>10878930.405774811</v>
      </c>
      <c r="F95" s="2">
        <v>1</v>
      </c>
      <c r="G95" s="2">
        <v>50</v>
      </c>
      <c r="H95" s="2">
        <v>0.25</v>
      </c>
      <c r="I95" s="2">
        <v>1</v>
      </c>
      <c r="J95" s="3">
        <f t="shared" ref="J95" si="62">E95*F95*G95/H95</f>
        <v>2175786081.1549621</v>
      </c>
      <c r="K95" s="3">
        <f t="shared" ref="K95" si="63">(STDEV(D95:D97)*F95*G95)/H95</f>
        <v>47751219.778480992</v>
      </c>
    </row>
    <row r="96" spans="1:11">
      <c r="A96" t="s">
        <v>157</v>
      </c>
      <c r="B96" s="12">
        <v>11.129356384277344</v>
      </c>
      <c r="C96" s="5">
        <f t="shared" si="21"/>
        <v>2.4063334183985437E-2</v>
      </c>
      <c r="D96" s="3">
        <f>C96*$B$9</f>
        <v>11154614.181831885</v>
      </c>
    </row>
    <row r="97" spans="1:11">
      <c r="A97" t="s">
        <v>157</v>
      </c>
      <c r="B97" s="12">
        <v>11.186259269714355</v>
      </c>
      <c r="C97" s="5">
        <f t="shared" si="21"/>
        <v>2.3175182975474912E-2</v>
      </c>
      <c r="D97" s="3">
        <f>C97*$B$9</f>
        <v>10742909.636222577</v>
      </c>
    </row>
    <row r="98" spans="1:11">
      <c r="A98" t="s">
        <v>158</v>
      </c>
      <c r="B98" s="12">
        <v>16.233257293701172</v>
      </c>
      <c r="C98" s="5">
        <f t="shared" si="21"/>
        <v>8.249003077768106E-4</v>
      </c>
      <c r="D98" s="3">
        <f>C98*$B$9</f>
        <v>382384.44437381491</v>
      </c>
      <c r="E98" s="3">
        <f>AVERAGE(D98:D99)</f>
        <v>335329.51210528973</v>
      </c>
      <c r="F98" s="2">
        <v>1</v>
      </c>
      <c r="G98" s="2">
        <v>50</v>
      </c>
      <c r="H98" s="2">
        <v>0.25</v>
      </c>
      <c r="I98" s="2">
        <v>1</v>
      </c>
      <c r="J98" s="3">
        <f t="shared" ref="J98" si="64">E98*F98*G98/H98</f>
        <v>67065902.421057947</v>
      </c>
      <c r="K98" s="3">
        <f>(STDEV(D98:D99)*F98*G98)/H98</f>
        <v>13309144.678139169</v>
      </c>
    </row>
    <row r="99" spans="1:11">
      <c r="A99" t="s">
        <v>158</v>
      </c>
      <c r="B99" s="12">
        <v>16.660722732543945</v>
      </c>
      <c r="C99" s="5">
        <f t="shared" ref="C99:C106" si="65">10^((B99-5.49)/(-3.484))</f>
        <v>6.2188144191113943E-4</v>
      </c>
      <c r="D99" s="3">
        <f t="shared" ref="D99:D106" si="66">C99*$B$9</f>
        <v>288274.57983676461</v>
      </c>
    </row>
    <row r="100" spans="1:11">
      <c r="A100" t="s">
        <v>158</v>
      </c>
      <c r="B100" s="12">
        <v>16.497026443481445</v>
      </c>
      <c r="C100" s="5">
        <f t="shared" si="65"/>
        <v>6.9293540916815085E-4</v>
      </c>
      <c r="D100" s="3">
        <f t="shared" si="66"/>
        <v>321211.81059541623</v>
      </c>
    </row>
    <row r="101" spans="1:11">
      <c r="A101" t="s">
        <v>159</v>
      </c>
      <c r="B101" s="12">
        <v>12</v>
      </c>
      <c r="C101" s="5">
        <f t="shared" si="65"/>
        <v>1.3534994827718293E-2</v>
      </c>
      <c r="D101" s="3">
        <f t="shared" si="66"/>
        <v>6274178.1376566635</v>
      </c>
      <c r="E101" s="3" t="e">
        <f t="shared" ref="E101:E104" si="67">AVERAGE(D101:D103)</f>
        <v>#VALUE!</v>
      </c>
      <c r="F101" s="2">
        <v>1</v>
      </c>
      <c r="G101" s="2">
        <v>50</v>
      </c>
      <c r="H101" s="2">
        <v>0.25</v>
      </c>
      <c r="I101" s="2">
        <v>1</v>
      </c>
      <c r="J101" s="3" t="e">
        <f t="shared" ref="J101" si="68">E101*F101*G101/H101</f>
        <v>#VALUE!</v>
      </c>
      <c r="K101" s="3" t="e">
        <f t="shared" ref="K101" si="69">(STDEV(D101:D103)*F101*G101)/H101</f>
        <v>#VALUE!</v>
      </c>
    </row>
    <row r="102" spans="1:11">
      <c r="A102" t="s">
        <v>159</v>
      </c>
      <c r="B102" s="12" t="s">
        <v>28</v>
      </c>
      <c r="C102" s="5" t="e">
        <f t="shared" si="65"/>
        <v>#VALUE!</v>
      </c>
      <c r="D102" s="3" t="e">
        <f t="shared" si="66"/>
        <v>#VALUE!</v>
      </c>
    </row>
    <row r="103" spans="1:11">
      <c r="A103" t="s">
        <v>159</v>
      </c>
      <c r="B103" s="12">
        <v>10.168991088867188</v>
      </c>
      <c r="C103" s="5">
        <f t="shared" si="65"/>
        <v>4.5394789026867596E-2</v>
      </c>
      <c r="D103" s="3">
        <f t="shared" si="66"/>
        <v>21042859.380532391</v>
      </c>
    </row>
    <row r="104" spans="1:11">
      <c r="A104" t="s">
        <v>160</v>
      </c>
      <c r="B104" s="12">
        <v>11.434171676635742</v>
      </c>
      <c r="C104" s="5">
        <f t="shared" si="65"/>
        <v>1.9672781321602849E-2</v>
      </c>
      <c r="D104" s="3">
        <f t="shared" si="66"/>
        <v>9119363.2539945841</v>
      </c>
      <c r="E104" s="3">
        <f t="shared" si="67"/>
        <v>8076064.8997045746</v>
      </c>
      <c r="F104" s="2">
        <v>1</v>
      </c>
      <c r="G104" s="2">
        <v>50</v>
      </c>
      <c r="H104" s="2">
        <v>0.25</v>
      </c>
      <c r="I104" s="2">
        <v>1</v>
      </c>
      <c r="J104" s="3">
        <f t="shared" ref="J104" si="70">E104*F104*G104/H104</f>
        <v>1615212979.9409149</v>
      </c>
      <c r="K104" s="3">
        <f t="shared" ref="K104" si="71">(STDEV(D104:D106)*F104*G104)/H104</f>
        <v>206827913.90123698</v>
      </c>
    </row>
    <row r="105" spans="1:11">
      <c r="A105" t="s">
        <v>160</v>
      </c>
      <c r="B105" s="12">
        <v>11.621486663818359</v>
      </c>
      <c r="C105" s="5">
        <f t="shared" si="65"/>
        <v>1.7382066888542387E-2</v>
      </c>
      <c r="D105" s="3">
        <f t="shared" si="66"/>
        <v>8057497.283710693</v>
      </c>
    </row>
    <row r="106" spans="1:11">
      <c r="A106" t="s">
        <v>160</v>
      </c>
      <c r="B106" s="12">
        <v>11.823310852050781</v>
      </c>
      <c r="C106" s="5">
        <f t="shared" si="65"/>
        <v>1.52115176377224E-2</v>
      </c>
      <c r="D106" s="3">
        <f t="shared" si="66"/>
        <v>7051334.1614084458</v>
      </c>
    </row>
  </sheetData>
  <mergeCells count="11">
    <mergeCell ref="H13:H14"/>
    <mergeCell ref="I13:I14"/>
    <mergeCell ref="J13:J14"/>
    <mergeCell ref="K13:K14"/>
    <mergeCell ref="L13:L14"/>
    <mergeCell ref="G13:G14"/>
    <mergeCell ref="B13:B14"/>
    <mergeCell ref="C13:C14"/>
    <mergeCell ref="D13:D14"/>
    <mergeCell ref="E13:E14"/>
    <mergeCell ref="F13:F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20230426_qPCR_IV</vt:lpstr>
      <vt:lpstr>20230427_qPCR_V</vt:lpstr>
      <vt:lpstr>20230427_qPCR_VI</vt:lpstr>
      <vt:lpstr>20230502_qPCR_VII</vt:lpstr>
      <vt:lpstr>20230502_qPCR_VIII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Debjyoti Ghosh</dc:creator>
  <cp:lastModifiedBy>Debjyoti Ghosh</cp:lastModifiedBy>
  <dcterms:created xsi:type="dcterms:W3CDTF">2023-02-24T12:03:24Z</dcterms:created>
  <dcterms:modified xsi:type="dcterms:W3CDTF">2023-11-07T11:31:56Z</dcterms:modified>
</cp:coreProperties>
</file>