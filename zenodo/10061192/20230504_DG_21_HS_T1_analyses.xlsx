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oshd/qPCR/21_HS_T1/"/>
    </mc:Choice>
  </mc:AlternateContent>
  <xr:revisionPtr revIDLastSave="0" documentId="13_ncr:1_{C30A803F-5812-7840-B256-E5CCB0945F09}" xr6:coauthVersionLast="47" xr6:coauthVersionMax="47" xr10:uidLastSave="{00000000-0000-0000-0000-000000000000}"/>
  <bookViews>
    <workbookView xWindow="19660" yWindow="5220" windowWidth="27760" windowHeight="16940" xr2:uid="{E932C655-4139-6341-B87E-5B5D7307D458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 l="1"/>
  <c r="C72" i="1"/>
  <c r="C71" i="1"/>
  <c r="C70" i="1"/>
  <c r="C69" i="1"/>
  <c r="C68" i="1"/>
  <c r="C66" i="1"/>
  <c r="C67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9" i="1"/>
  <c r="C8" i="1"/>
  <c r="C7" i="1"/>
  <c r="C6" i="1"/>
  <c r="C5" i="1"/>
  <c r="C4" i="1"/>
  <c r="C3" i="1"/>
  <c r="C2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2" i="1"/>
  <c r="B53" i="1"/>
  <c r="B54" i="1"/>
  <c r="B55" i="1"/>
  <c r="B51" i="1"/>
  <c r="B50" i="1"/>
  <c r="B49" i="1"/>
  <c r="B48" i="1"/>
  <c r="B47" i="1"/>
  <c r="B46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1" i="1"/>
  <c r="B12" i="1"/>
  <c r="B9" i="1"/>
  <c r="B8" i="1"/>
  <c r="B6" i="1"/>
  <c r="B5" i="1"/>
  <c r="B4" i="1"/>
  <c r="B3" i="1"/>
  <c r="B2" i="1"/>
  <c r="B7" i="1"/>
  <c r="C45" i="1" l="1"/>
  <c r="B10" i="1" l="1"/>
  <c r="B45" i="1"/>
  <c r="C10" i="1"/>
</calcChain>
</file>

<file path=xl/sharedStrings.xml><?xml version="1.0" encoding="utf-8"?>
<sst xmlns="http://schemas.openxmlformats.org/spreadsheetml/2006/main" count="75" uniqueCount="75">
  <si>
    <t>Sample</t>
  </si>
  <si>
    <t>Std Dev</t>
  </si>
  <si>
    <t>Copies / mg of soil</t>
  </si>
  <si>
    <t>T1_BS-30_35</t>
  </si>
  <si>
    <t>T1_BS-60_35</t>
  </si>
  <si>
    <t>T1_BS-90_35</t>
  </si>
  <si>
    <t>T1_RC-30_35</t>
  </si>
  <si>
    <t>T1_RC-60_35</t>
  </si>
  <si>
    <t>T1_RC-90_35</t>
  </si>
  <si>
    <t>T1_BS-30_28</t>
  </si>
  <si>
    <t>T1_BS-60_28</t>
  </si>
  <si>
    <t>T1_BS-90_28</t>
  </si>
  <si>
    <t>T1_RC-30_28</t>
  </si>
  <si>
    <t>T1_RC-60_28</t>
  </si>
  <si>
    <t>T1_RC-90_28</t>
  </si>
  <si>
    <t>T1_BS-30_39</t>
  </si>
  <si>
    <t>T1_BS-60_39</t>
  </si>
  <si>
    <t>T1_BS-90_39</t>
  </si>
  <si>
    <t>T1_RC-30_39</t>
  </si>
  <si>
    <t>T1_RC-60_39</t>
  </si>
  <si>
    <t>T1_RC-90_39</t>
  </si>
  <si>
    <t>T1_BS-30_21</t>
  </si>
  <si>
    <t>T1_BS-60_21</t>
  </si>
  <si>
    <t>T1_BS-90_21</t>
  </si>
  <si>
    <t>T1_RC-30_21</t>
  </si>
  <si>
    <t>T1_RC-60_21</t>
  </si>
  <si>
    <t>T1_RC-90_21</t>
  </si>
  <si>
    <t>T1_BS-30_16</t>
  </si>
  <si>
    <t>T1_BS-60_16</t>
  </si>
  <si>
    <t>T1_BS-90_16</t>
  </si>
  <si>
    <t>T1_RC-30_16</t>
  </si>
  <si>
    <t>T1_RC-60_16</t>
  </si>
  <si>
    <t>T1_RC-90_16</t>
  </si>
  <si>
    <t>T1_BS-30_24</t>
  </si>
  <si>
    <t>T1_BS-60_24</t>
  </si>
  <si>
    <t>T1_BS-90_24</t>
  </si>
  <si>
    <t>T1_RC-30_24</t>
  </si>
  <si>
    <t>T1_RC-60_24</t>
  </si>
  <si>
    <t>T1_RC-90_24</t>
  </si>
  <si>
    <t>T1_BS-30_32</t>
  </si>
  <si>
    <t>T1_BS-60_32</t>
  </si>
  <si>
    <t>T1_BS-120_32</t>
  </si>
  <si>
    <t>T1_RC-30_32</t>
  </si>
  <si>
    <t>T1_RC-60_32</t>
  </si>
  <si>
    <t>T1_RC-90_32</t>
  </si>
  <si>
    <t>T1_BS-30_14</t>
  </si>
  <si>
    <t>T1_BS-60_14</t>
  </si>
  <si>
    <t>T1_BS-90_14</t>
  </si>
  <si>
    <t>T1_RC-30_14</t>
  </si>
  <si>
    <t>T1_RC-60_14</t>
  </si>
  <si>
    <t>T1_RC-90_14</t>
  </si>
  <si>
    <t>T1_BS-30_36</t>
  </si>
  <si>
    <t>T1_BS-90_36</t>
  </si>
  <si>
    <t>T1_BS-120_36</t>
  </si>
  <si>
    <t>T1_RC-30_36</t>
  </si>
  <si>
    <t>T1_RC-60_36</t>
  </si>
  <si>
    <t>T1_RC-90_36</t>
  </si>
  <si>
    <t>T1_BS-30_19</t>
  </si>
  <si>
    <t>T1_BS-60_19</t>
  </si>
  <si>
    <t>T1_BS-90_19</t>
  </si>
  <si>
    <t>T1_RC-30_19</t>
  </si>
  <si>
    <t>T1_RC-60_19</t>
  </si>
  <si>
    <t>T1_RC-90_19</t>
  </si>
  <si>
    <t>T1_BS-30_25</t>
  </si>
  <si>
    <t>T1_BS-60_25</t>
  </si>
  <si>
    <t>T1_BS-90_25</t>
  </si>
  <si>
    <t>T1_RC-30_25</t>
  </si>
  <si>
    <t>T1_RC-60_25</t>
  </si>
  <si>
    <t>T1_RC-90_25</t>
  </si>
  <si>
    <t>T1_BS-30_29</t>
  </si>
  <si>
    <t>T1_BS-60_29</t>
  </si>
  <si>
    <t>T1_BS-90_29</t>
  </si>
  <si>
    <t>T1_RC-30_29</t>
  </si>
  <si>
    <t>T1_RC-60_29</t>
  </si>
  <si>
    <t>T1_RC-90_29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</si>
</sst>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SF Pro"/>
      <family val="2"/>
    </font>
    <font>
      <sz val="11"/>
      <color theme="1"/>
      <name val="SF Pro Display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1" fontId="0" fillId="0" borderId="0" xfId="0" applyNumberFormat="1"/>
    <xf numFmtId="0" fontId="0" fillId="2" borderId="0" xfId="0" applyFill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hoshd/qPCR/21_HS_T1/20230503_DG_21_HS_T1_copy_number_qPCR.xlsx" TargetMode="External"/><Relationship Id="rId1" Type="http://schemas.openxmlformats.org/officeDocument/2006/relationships/externalLinkPath" Target="20230503_DG_21_HS_T1_copy_number_qPC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hoshd/qPCR/21_HS_T2/20230503_DG_21_HS_T2_copy_number_qPCR.xlsx" TargetMode="External"/><Relationship Id="rId1" Type="http://schemas.openxmlformats.org/officeDocument/2006/relationships/externalLinkPath" Target="/Users/ghoshd/qPCR/21_HS_T2/20230503_DG_21_HS_T2_copy_number_qP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0425_qPCR_I"/>
      <sheetName val="20230425_qPCR_II"/>
      <sheetName val="20230426_qPCR_III"/>
    </sheetNames>
    <sheetDataSet>
      <sheetData sheetId="0">
        <row r="32">
          <cell r="J32">
            <v>24055227.409128182</v>
          </cell>
          <cell r="K32">
            <v>1700266.3337651677</v>
          </cell>
        </row>
        <row r="35">
          <cell r="J35">
            <v>95090024.418237299</v>
          </cell>
          <cell r="K35">
            <v>2814378.8536390024</v>
          </cell>
        </row>
        <row r="38">
          <cell r="J38">
            <v>1486984532.2048852</v>
          </cell>
          <cell r="K38">
            <v>83174571.926068664</v>
          </cell>
        </row>
        <row r="41">
          <cell r="J41">
            <v>3395543763.0455046</v>
          </cell>
          <cell r="K41">
            <v>499785506.63554406</v>
          </cell>
        </row>
        <row r="44">
          <cell r="J44">
            <v>126000866.8048166</v>
          </cell>
          <cell r="K44">
            <v>10438490.639593579</v>
          </cell>
        </row>
        <row r="47">
          <cell r="J47">
            <v>2176106856.9617281</v>
          </cell>
          <cell r="K47">
            <v>247309696.50748494</v>
          </cell>
        </row>
        <row r="50">
          <cell r="J50">
            <v>856947045.42874753</v>
          </cell>
          <cell r="K50">
            <v>130185814.8406076</v>
          </cell>
        </row>
        <row r="53">
          <cell r="J53">
            <v>2662981930.6342168</v>
          </cell>
          <cell r="K53">
            <v>277672940.98855138</v>
          </cell>
        </row>
        <row r="56">
          <cell r="J56">
            <v>13897045.416565973</v>
          </cell>
          <cell r="K56">
            <v>782188.30550736329</v>
          </cell>
        </row>
        <row r="59">
          <cell r="J59">
            <v>2736948365.4614015</v>
          </cell>
          <cell r="K59">
            <v>662877741.01871252</v>
          </cell>
        </row>
        <row r="62">
          <cell r="J62">
            <v>4149070901.1194839</v>
          </cell>
          <cell r="K62">
            <v>823339572.33332348</v>
          </cell>
        </row>
        <row r="65">
          <cell r="J65">
            <v>13540225.620316325</v>
          </cell>
          <cell r="K65">
            <v>957293.82280649466</v>
          </cell>
        </row>
        <row r="68">
          <cell r="J68">
            <v>1450084980.5672193</v>
          </cell>
          <cell r="K68">
            <v>122161787.71699928</v>
          </cell>
        </row>
        <row r="71">
          <cell r="J71">
            <v>1955310134.3903818</v>
          </cell>
          <cell r="K71">
            <v>139800409.21922806</v>
          </cell>
        </row>
        <row r="74">
          <cell r="J74">
            <v>2360509109.5341606</v>
          </cell>
          <cell r="K74">
            <v>350113165.66210419</v>
          </cell>
        </row>
        <row r="77">
          <cell r="J77">
            <v>563454920.75786138</v>
          </cell>
          <cell r="K77">
            <v>178814464.02394843</v>
          </cell>
        </row>
        <row r="80">
          <cell r="J80">
            <v>90721350.608575493</v>
          </cell>
          <cell r="K80">
            <v>34383789.69755616</v>
          </cell>
        </row>
        <row r="83">
          <cell r="J83">
            <v>280822727.88001853</v>
          </cell>
          <cell r="K83">
            <v>35784471.402663566</v>
          </cell>
        </row>
        <row r="86">
          <cell r="J86">
            <v>2222018467.9368734</v>
          </cell>
          <cell r="K86">
            <v>114284719.811047</v>
          </cell>
        </row>
        <row r="89">
          <cell r="J89">
            <v>9850161.0827664211</v>
          </cell>
          <cell r="K89">
            <v>392382.12226817152</v>
          </cell>
        </row>
        <row r="92">
          <cell r="J92">
            <v>3377370994.4470139</v>
          </cell>
          <cell r="K92">
            <v>685801135.4838351</v>
          </cell>
        </row>
        <row r="95">
          <cell r="J95">
            <v>7444035.4432328651</v>
          </cell>
          <cell r="K95">
            <v>229977.01627277621</v>
          </cell>
        </row>
        <row r="98">
          <cell r="J98">
            <v>16536555.703627659</v>
          </cell>
          <cell r="K98">
            <v>2840882.6264309767</v>
          </cell>
        </row>
        <row r="101">
          <cell r="J101">
            <v>1610854353.6331446</v>
          </cell>
          <cell r="K101">
            <v>162986093.21440017</v>
          </cell>
        </row>
        <row r="104">
          <cell r="J104">
            <v>1892888028.7072871</v>
          </cell>
          <cell r="K104">
            <v>192297175.04810262</v>
          </cell>
        </row>
        <row r="107">
          <cell r="J107">
            <v>17599698.218910079</v>
          </cell>
          <cell r="K107">
            <v>545172.6693817242</v>
          </cell>
        </row>
      </sheetData>
      <sheetData sheetId="1">
        <row r="32">
          <cell r="J32">
            <v>4044477.8971005762</v>
          </cell>
          <cell r="K32">
            <v>775112.57875053585</v>
          </cell>
        </row>
        <row r="35">
          <cell r="J35">
            <v>10559815.81415287</v>
          </cell>
          <cell r="K35">
            <v>727940.17912114772</v>
          </cell>
        </row>
        <row r="38">
          <cell r="J38">
            <v>1031772266.5436069</v>
          </cell>
          <cell r="K38">
            <v>61049004.732158735</v>
          </cell>
        </row>
        <row r="41">
          <cell r="J41">
            <v>2231247758.6341405</v>
          </cell>
          <cell r="K41">
            <v>357753932.9794817</v>
          </cell>
        </row>
        <row r="44">
          <cell r="J44">
            <v>1094488708.4168804</v>
          </cell>
          <cell r="K44">
            <v>59462027.525541246</v>
          </cell>
        </row>
        <row r="47">
          <cell r="J47">
            <v>1486535480.3967676</v>
          </cell>
          <cell r="K47">
            <v>123339677.89075023</v>
          </cell>
        </row>
        <row r="50">
          <cell r="J50">
            <v>1043569547.5574368</v>
          </cell>
          <cell r="K50">
            <v>78041377.273043081</v>
          </cell>
        </row>
        <row r="53">
          <cell r="J53">
            <v>3331620127.7757931</v>
          </cell>
          <cell r="K53">
            <v>38581750.260567144</v>
          </cell>
        </row>
        <row r="56">
          <cell r="J56">
            <v>1010567422.4860957</v>
          </cell>
          <cell r="K56">
            <v>127318383.58060278</v>
          </cell>
        </row>
        <row r="59">
          <cell r="J59">
            <v>1438920122.9562042</v>
          </cell>
          <cell r="K59">
            <v>263101473.51964912</v>
          </cell>
        </row>
        <row r="62">
          <cell r="J62">
            <v>3383810629.0415621</v>
          </cell>
          <cell r="K62">
            <v>530029309.16647667</v>
          </cell>
        </row>
        <row r="65">
          <cell r="J65">
            <v>646813573.09628022</v>
          </cell>
          <cell r="K65">
            <v>128703456.14773715</v>
          </cell>
        </row>
        <row r="68">
          <cell r="J68">
            <v>1514144715.9522831</v>
          </cell>
          <cell r="K68">
            <v>94003799.375499859</v>
          </cell>
        </row>
        <row r="71">
          <cell r="J71">
            <v>15392595.571675846</v>
          </cell>
          <cell r="K71">
            <v>672659.5071061051</v>
          </cell>
        </row>
        <row r="74">
          <cell r="J74">
            <v>1231256622.248559</v>
          </cell>
          <cell r="K74">
            <v>116892422.65995052</v>
          </cell>
        </row>
        <row r="77">
          <cell r="J77">
            <v>22528286.957637873</v>
          </cell>
          <cell r="K77">
            <v>1397634.3203942585</v>
          </cell>
        </row>
        <row r="83">
          <cell r="J83">
            <v>11846373.036451243</v>
          </cell>
          <cell r="K83">
            <v>1185218.8459485052</v>
          </cell>
        </row>
        <row r="86">
          <cell r="J86">
            <v>3088997296.5305181</v>
          </cell>
          <cell r="K86">
            <v>604870720.3044734</v>
          </cell>
        </row>
        <row r="89">
          <cell r="J89">
            <v>27267905.154449873</v>
          </cell>
          <cell r="K89">
            <v>702122.87985774234</v>
          </cell>
        </row>
        <row r="92">
          <cell r="J92">
            <v>2407868337.1562424</v>
          </cell>
          <cell r="K92">
            <v>410017637.98816937</v>
          </cell>
        </row>
        <row r="95">
          <cell r="J95">
            <v>3841808.0986424736</v>
          </cell>
          <cell r="K95">
            <v>174955.83521552235</v>
          </cell>
        </row>
        <row r="98">
          <cell r="J98">
            <v>117887130.03338327</v>
          </cell>
          <cell r="K98">
            <v>15755362.610783832</v>
          </cell>
        </row>
        <row r="101">
          <cell r="J101">
            <v>4745244.1861242782</v>
          </cell>
          <cell r="K101">
            <v>620369.94252936787</v>
          </cell>
        </row>
        <row r="104">
          <cell r="J104">
            <v>938017172.55815411</v>
          </cell>
          <cell r="K104">
            <v>85225546.037658542</v>
          </cell>
        </row>
        <row r="107">
          <cell r="J107">
            <v>1775476913.5514722</v>
          </cell>
          <cell r="K107">
            <v>247750153.73296946</v>
          </cell>
        </row>
      </sheetData>
      <sheetData sheetId="2">
        <row r="32">
          <cell r="J32">
            <v>2776744220.4810963</v>
          </cell>
          <cell r="K32">
            <v>37565792.447755694</v>
          </cell>
        </row>
        <row r="35">
          <cell r="J35">
            <v>15085633.798911791</v>
          </cell>
          <cell r="K35">
            <v>1726602.7800717514</v>
          </cell>
        </row>
        <row r="38">
          <cell r="J38">
            <v>53414836.370626219</v>
          </cell>
          <cell r="K38">
            <v>3467117.2909892369</v>
          </cell>
        </row>
        <row r="41">
          <cell r="J41">
            <v>465746656.27895987</v>
          </cell>
          <cell r="K41">
            <v>79285700.482229039</v>
          </cell>
        </row>
        <row r="44">
          <cell r="J44">
            <v>2479441582.2205205</v>
          </cell>
          <cell r="K44">
            <v>25054282.164470129</v>
          </cell>
        </row>
        <row r="47">
          <cell r="J47">
            <v>400565430.1884864</v>
          </cell>
          <cell r="K47">
            <v>46865286.802750997</v>
          </cell>
        </row>
        <row r="50">
          <cell r="J50">
            <v>329974833.48747754</v>
          </cell>
          <cell r="K50">
            <v>24530537.1863245</v>
          </cell>
        </row>
        <row r="53">
          <cell r="J53">
            <v>300600427.95063782</v>
          </cell>
          <cell r="K53">
            <v>27502371.324149884</v>
          </cell>
        </row>
        <row r="59">
          <cell r="J59">
            <v>4036766933.2165217</v>
          </cell>
          <cell r="K59">
            <v>790307472.11145926</v>
          </cell>
        </row>
        <row r="62">
          <cell r="J62">
            <v>75361602.602594867</v>
          </cell>
          <cell r="K62">
            <v>6621706.2923149848</v>
          </cell>
        </row>
        <row r="68">
          <cell r="J68">
            <v>2089991660.5400424</v>
          </cell>
          <cell r="K68">
            <v>256427621.90497863</v>
          </cell>
        </row>
        <row r="71">
          <cell r="J71">
            <v>2029318719.9277215</v>
          </cell>
          <cell r="K71">
            <v>340829901.74987948</v>
          </cell>
        </row>
        <row r="77">
          <cell r="J77">
            <v>875292220.0592103</v>
          </cell>
          <cell r="K77">
            <v>68077253.70612292</v>
          </cell>
        </row>
        <row r="86">
          <cell r="J86">
            <v>159171058.58042437</v>
          </cell>
          <cell r="K86">
            <v>7675892.5586100379</v>
          </cell>
        </row>
        <row r="89">
          <cell r="J89">
            <v>2776039613.9715981</v>
          </cell>
          <cell r="K89">
            <v>219718859.1352973</v>
          </cell>
        </row>
        <row r="92">
          <cell r="J92">
            <v>7243231.1718667494</v>
          </cell>
          <cell r="K92">
            <v>1213885.3729329933</v>
          </cell>
        </row>
        <row r="98">
          <cell r="J98">
            <v>36941964.044952258</v>
          </cell>
          <cell r="K98">
            <v>2121425.5149627062</v>
          </cell>
        </row>
        <row r="101">
          <cell r="J101">
            <v>41115812.537832774</v>
          </cell>
          <cell r="K101">
            <v>10123154.229764491</v>
          </cell>
        </row>
        <row r="104">
          <cell r="J104">
            <v>1428631506.4655607</v>
          </cell>
          <cell r="K104">
            <v>154227262.39708197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0426_qPCR_IV"/>
      <sheetName val="20230427_qPCR_V"/>
      <sheetName val="20230427_qPCR_VI"/>
      <sheetName val="20230502_qPCR_VII"/>
      <sheetName val="20230502_qPCR_VIII"/>
    </sheetNames>
    <sheetDataSet>
      <sheetData sheetId="0">
        <row r="32">
          <cell r="J32">
            <v>2953614466.0169649</v>
          </cell>
        </row>
      </sheetData>
      <sheetData sheetId="1">
        <row r="32">
          <cell r="J32">
            <v>2746877826.8765388</v>
          </cell>
        </row>
      </sheetData>
      <sheetData sheetId="2">
        <row r="32">
          <cell r="J32">
            <v>1998750636.8166928</v>
          </cell>
        </row>
      </sheetData>
      <sheetData sheetId="3">
        <row r="35">
          <cell r="J35">
            <v>3174038399.93609</v>
          </cell>
        </row>
      </sheetData>
      <sheetData sheetId="4">
        <row r="35">
          <cell r="J35">
            <v>1712268864.530015</v>
          </cell>
        </row>
        <row r="89">
          <cell r="J89">
            <v>13007030.173235813</v>
          </cell>
          <cell r="K89">
            <v>1752572.0663246564</v>
          </cell>
        </row>
        <row r="98">
          <cell r="J98">
            <v>67065902.421057947</v>
          </cell>
          <cell r="K98">
            <v>13309144.678139169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E7A-1CD8-6041-9A0C-FA8236030E0F}">
  <dimension ref="A1:C99"/>
  <sheetViews>
    <sheetView tabSelected="1" workbookViewId="0">
      <selection activeCell="B7" sqref="B7"/>
    </sheetView>
  </sheetViews>
  <sheetFormatPr baseColWidth="10" defaultRowHeight="15"/>
  <cols>
    <col min="1" max="1" width="20" customWidth="1"/>
    <col min="2" max="2" width="13.85546875" customWidth="1"/>
  </cols>
  <sheetData>
    <row r="1" spans="1:3" ht="15" customHeight="1">
      <c r="A1" t="s">
        <v>0</v>
      </c>
      <c r="B1" s="1" t="s">
        <v>2</v>
      </c>
      <c r="C1" s="2" t="s">
        <v>1</v>
      </c>
    </row>
    <row r="2" spans="1:3">
      <c r="A2" s="4" t="s">
        <v>3</v>
      </c>
      <c r="B2" s="3">
        <f>'[1]20230425_qPCR_I'!$J$62</f>
        <v>4149070901.1194839</v>
      </c>
      <c r="C2" s="3">
        <f>'[1]20230425_qPCR_I'!$K$62</f>
        <v>823339572.33332348</v>
      </c>
    </row>
    <row r="3" spans="1:3">
      <c r="A3" s="4" t="s">
        <v>4</v>
      </c>
      <c r="B3" s="3">
        <f>'[1]20230425_qPCR_I'!$J$71</f>
        <v>1955310134.3903818</v>
      </c>
      <c r="C3" s="3">
        <f>'[1]20230425_qPCR_I'!$K$71</f>
        <v>139800409.21922806</v>
      </c>
    </row>
    <row r="4" spans="1:3">
      <c r="A4" s="4" t="s">
        <v>5</v>
      </c>
      <c r="B4" s="3">
        <f>'[1]20230425_qPCR_I'!$J$80</f>
        <v>90721350.608575493</v>
      </c>
      <c r="C4" s="3">
        <f>'[1]20230425_qPCR_I'!$K$80</f>
        <v>34383789.69755616</v>
      </c>
    </row>
    <row r="5" spans="1:3">
      <c r="A5" s="4" t="s">
        <v>6</v>
      </c>
      <c r="B5" s="3">
        <f>'[1]20230425_qPCR_I'!$J$92</f>
        <v>3377370994.4470139</v>
      </c>
      <c r="C5" s="3">
        <f>'[1]20230425_qPCR_I'!$K$92</f>
        <v>685801135.4838351</v>
      </c>
    </row>
    <row r="6" spans="1:3">
      <c r="A6" s="4" t="s">
        <v>7</v>
      </c>
      <c r="B6" s="3">
        <f>'[1]20230425_qPCR_I'!$J$104</f>
        <v>1892888028.7072871</v>
      </c>
      <c r="C6" s="3">
        <f>'[1]20230425_qPCR_I'!$K$104</f>
        <v>192297175.04810262</v>
      </c>
    </row>
    <row r="7" spans="1:3">
      <c r="A7" s="4" t="s">
        <v>8</v>
      </c>
      <c r="B7" s="5">
        <f>'[1]20230425_qPCR_I'!$J$38</f>
        <v>1486984532.2048852</v>
      </c>
      <c r="C7" s="5">
        <f>'[1]20230425_qPCR_I'!$K$38</f>
        <v>83174571.926068664</v>
      </c>
    </row>
    <row r="8" spans="1:3">
      <c r="A8" s="4" t="s">
        <v>9</v>
      </c>
      <c r="B8" s="3">
        <f>'[1]20230425_qPCR_I'!$J$53</f>
        <v>2662981930.6342168</v>
      </c>
      <c r="C8" s="3">
        <f>'[1]20230425_qPCR_I'!$K$53</f>
        <v>277672940.98855138</v>
      </c>
    </row>
    <row r="9" spans="1:3">
      <c r="A9" s="4" t="s">
        <v>10</v>
      </c>
      <c r="B9" s="3">
        <f>'[1]20230425_qPCR_I'!$J$107</f>
        <v>17599698.218910079</v>
      </c>
      <c r="C9" s="3">
        <f>'[1]20230425_qPCR_I'!$K$107</f>
        <v>545172.6693817242</v>
      </c>
    </row>
    <row r="10" spans="1:3">
      <c r="A10" s="4" t="s">
        <v>11</v>
      </c>
      <c r="B10" s="3">
        <f>'[2]20230502_qPCR_VIII'!$J$89</f>
        <v>13007030.173235813</v>
      </c>
      <c r="C10" s="3">
        <f>'[2]20230502_qPCR_VIII'!$K$89</f>
        <v>1752572.0663246564</v>
      </c>
    </row>
    <row r="11" spans="1:3">
      <c r="A11" s="4" t="s">
        <v>12</v>
      </c>
      <c r="B11" s="3">
        <f>'[1]20230425_qPCR_II'!$J$62</f>
        <v>3383810629.0415621</v>
      </c>
      <c r="C11" s="3">
        <f>'[1]20230425_qPCR_II'!$K$62</f>
        <v>530029309.16647667</v>
      </c>
    </row>
    <row r="12" spans="1:3">
      <c r="A12" s="4" t="s">
        <v>13</v>
      </c>
      <c r="B12" s="3">
        <f>'[1]20230425_qPCR_II'!$J$53</f>
        <v>3331620127.7757931</v>
      </c>
      <c r="C12" s="3">
        <f>'[1]20230425_qPCR_II'!$K$53</f>
        <v>38581750.260567144</v>
      </c>
    </row>
    <row r="13" spans="1:3">
      <c r="A13" s="4" t="s">
        <v>14</v>
      </c>
      <c r="B13" s="3">
        <f>'[1]20230425_qPCR_II'!$J$71</f>
        <v>15392595.571675846</v>
      </c>
      <c r="C13" s="3">
        <f>'[1]20230425_qPCR_II'!$K$71</f>
        <v>672659.5071061051</v>
      </c>
    </row>
    <row r="14" spans="1:3">
      <c r="A14" s="4" t="s">
        <v>15</v>
      </c>
      <c r="B14" s="3">
        <f>'[1]20230426_qPCR_III'!$J$32</f>
        <v>2776744220.4810963</v>
      </c>
      <c r="C14" s="3">
        <f>'[1]20230426_qPCR_III'!$K$32</f>
        <v>37565792.447755694</v>
      </c>
    </row>
    <row r="15" spans="1:3">
      <c r="A15" s="4" t="s">
        <v>16</v>
      </c>
      <c r="B15" s="3">
        <f>'[1]20230426_qPCR_III'!$J$41</f>
        <v>465746656.27895987</v>
      </c>
      <c r="C15" s="3">
        <f>'[1]20230426_qPCR_III'!$K$41</f>
        <v>79285700.482229039</v>
      </c>
    </row>
    <row r="16" spans="1:3">
      <c r="A16" s="4" t="s">
        <v>17</v>
      </c>
      <c r="B16" s="3">
        <f>'[1]20230426_qPCR_III'!$J$50</f>
        <v>329974833.48747754</v>
      </c>
      <c r="C16" s="3">
        <f>'[1]20230426_qPCR_III'!$K$50</f>
        <v>24530537.1863245</v>
      </c>
    </row>
    <row r="17" spans="1:3">
      <c r="A17" s="4" t="s">
        <v>18</v>
      </c>
      <c r="B17" s="3">
        <f>'[1]20230426_qPCR_III'!$J$59</f>
        <v>4036766933.2165217</v>
      </c>
      <c r="C17" s="3">
        <f>'[1]20230426_qPCR_III'!$K$59</f>
        <v>790307472.11145926</v>
      </c>
    </row>
    <row r="18" spans="1:3">
      <c r="A18" s="4" t="s">
        <v>19</v>
      </c>
      <c r="B18" s="3">
        <f>'[1]20230426_qPCR_III'!$J$68</f>
        <v>2089991660.5400424</v>
      </c>
      <c r="C18" s="3">
        <f>'[1]20230426_qPCR_III'!$K$68</f>
        <v>256427621.90497863</v>
      </c>
    </row>
    <row r="19" spans="1:3">
      <c r="A19" s="4" t="s">
        <v>20</v>
      </c>
      <c r="B19" s="3">
        <f>'[1]20230426_qPCR_III'!$J$77</f>
        <v>875292220.0592103</v>
      </c>
      <c r="C19" s="3">
        <f>'[1]20230426_qPCR_III'!$K$77</f>
        <v>68077253.70612292</v>
      </c>
    </row>
    <row r="20" spans="1:3">
      <c r="A20" s="4" t="s">
        <v>21</v>
      </c>
      <c r="B20" s="3">
        <f>'[1]20230425_qPCR_II'!$J$44</f>
        <v>1094488708.4168804</v>
      </c>
      <c r="C20" s="3">
        <f>'[1]20230425_qPCR_II'!$K$44</f>
        <v>59462027.525541246</v>
      </c>
    </row>
    <row r="21" spans="1:3">
      <c r="A21" s="4" t="s">
        <v>22</v>
      </c>
      <c r="B21" s="3">
        <f>'[1]20230425_qPCR_II'!$J$35</f>
        <v>10559815.81415287</v>
      </c>
      <c r="C21" s="3">
        <f>'[1]20230425_qPCR_II'!$K$35</f>
        <v>727940.17912114772</v>
      </c>
    </row>
    <row r="22" spans="1:3">
      <c r="A22" s="4" t="s">
        <v>23</v>
      </c>
      <c r="B22" s="3">
        <f>'[1]20230425_qPCR_II'!$J$101</f>
        <v>4745244.1861242782</v>
      </c>
      <c r="C22" s="3">
        <f>'[1]20230425_qPCR_II'!$K$101</f>
        <v>620369.94252936787</v>
      </c>
    </row>
    <row r="23" spans="1:3">
      <c r="A23" s="4" t="s">
        <v>24</v>
      </c>
      <c r="B23" s="3">
        <f>'[1]20230425_qPCR_II'!$J$68</f>
        <v>1514144715.9522831</v>
      </c>
      <c r="C23" s="3">
        <f>'[1]20230425_qPCR_II'!$K$68</f>
        <v>94003799.375499859</v>
      </c>
    </row>
    <row r="24" spans="1:3">
      <c r="A24" s="4" t="s">
        <v>25</v>
      </c>
      <c r="B24" s="3">
        <f>'[1]20230425_qPCR_II'!$J$89</f>
        <v>27267905.154449873</v>
      </c>
      <c r="C24" s="3">
        <f>'[1]20230425_qPCR_II'!$K$89</f>
        <v>702122.87985774234</v>
      </c>
    </row>
    <row r="25" spans="1:3">
      <c r="A25" s="4" t="s">
        <v>26</v>
      </c>
      <c r="B25" s="3">
        <f>'[1]20230425_qPCR_II'!$J$77</f>
        <v>22528286.957637873</v>
      </c>
      <c r="C25" s="3">
        <f>'[1]20230425_qPCR_II'!$K$77</f>
        <v>1397634.3203942585</v>
      </c>
    </row>
    <row r="26" spans="1:3">
      <c r="A26" s="4" t="s">
        <v>27</v>
      </c>
      <c r="B26" s="3">
        <f>'[1]20230425_qPCR_I'!$J$86</f>
        <v>2222018467.9368734</v>
      </c>
      <c r="C26" s="3">
        <f>'[1]20230425_qPCR_I'!$K$86</f>
        <v>114284719.811047</v>
      </c>
    </row>
    <row r="27" spans="1:3">
      <c r="A27" s="4" t="s">
        <v>28</v>
      </c>
      <c r="B27" s="3">
        <f>'[1]20230425_qPCR_I'!$J$98</f>
        <v>16536555.703627659</v>
      </c>
      <c r="C27" s="3">
        <f>'[1]20230425_qPCR_I'!$K$98</f>
        <v>2840882.6264309767</v>
      </c>
    </row>
    <row r="28" spans="1:3">
      <c r="A28" s="4" t="s">
        <v>29</v>
      </c>
      <c r="B28" s="3">
        <f>'[1]20230425_qPCR_I'!$J$32</f>
        <v>24055227.409128182</v>
      </c>
      <c r="C28" s="3">
        <f>'[1]20230425_qPCR_I'!$K$32</f>
        <v>1700266.3337651677</v>
      </c>
    </row>
    <row r="29" spans="1:3">
      <c r="A29" s="4" t="s">
        <v>30</v>
      </c>
      <c r="B29" s="3">
        <f>'[1]20230425_qPCR_I'!$J$41</f>
        <v>3395543763.0455046</v>
      </c>
      <c r="C29" s="3">
        <f>'[1]20230425_qPCR_I'!$K$41</f>
        <v>499785506.63554406</v>
      </c>
    </row>
    <row r="30" spans="1:3">
      <c r="A30" s="4" t="s">
        <v>31</v>
      </c>
      <c r="B30" s="3">
        <f>'[1]20230425_qPCR_I'!$J$50</f>
        <v>856947045.42874753</v>
      </c>
      <c r="C30" s="3">
        <f>'[1]20230425_qPCR_I'!$K$50</f>
        <v>130185814.8406076</v>
      </c>
    </row>
    <row r="31" spans="1:3">
      <c r="A31" s="4" t="s">
        <v>32</v>
      </c>
      <c r="B31" s="3">
        <f>'[1]20230425_qPCR_I'!$J$59</f>
        <v>2736948365.4614015</v>
      </c>
      <c r="C31" s="3">
        <f>'[1]20230425_qPCR_I'!$K$59</f>
        <v>662877741.01871252</v>
      </c>
    </row>
    <row r="32" spans="1:3">
      <c r="A32" s="4" t="s">
        <v>33</v>
      </c>
      <c r="B32" s="3">
        <f>'[1]20230425_qPCR_I'!$J$68</f>
        <v>1450084980.5672193</v>
      </c>
      <c r="C32" s="3">
        <f>'[1]20230425_qPCR_I'!$K$68</f>
        <v>122161787.71699928</v>
      </c>
    </row>
    <row r="33" spans="1:3">
      <c r="A33" s="4" t="s">
        <v>34</v>
      </c>
      <c r="B33" s="3">
        <f>'[1]20230425_qPCR_I'!$J$77</f>
        <v>563454920.75786138</v>
      </c>
      <c r="C33" s="3">
        <f>'[1]20230425_qPCR_I'!$K$77</f>
        <v>178814464.02394843</v>
      </c>
    </row>
    <row r="34" spans="1:3">
      <c r="A34" s="4" t="s">
        <v>35</v>
      </c>
      <c r="B34" s="3">
        <f>'[1]20230425_qPCR_I'!$J$89</f>
        <v>9850161.0827664211</v>
      </c>
      <c r="C34" s="3">
        <f>'[1]20230425_qPCR_I'!$K$89</f>
        <v>392382.12226817152</v>
      </c>
    </row>
    <row r="35" spans="1:3">
      <c r="A35" s="4" t="s">
        <v>36</v>
      </c>
      <c r="B35" s="3">
        <f>'[1]20230425_qPCR_I'!$J$101</f>
        <v>1610854353.6331446</v>
      </c>
      <c r="C35" s="3">
        <f>'[1]20230425_qPCR_I'!$K$101</f>
        <v>162986093.21440017</v>
      </c>
    </row>
    <row r="36" spans="1:3">
      <c r="A36" s="4" t="s">
        <v>37</v>
      </c>
      <c r="B36" s="3">
        <f>'[1]20230425_qPCR_I'!$J$35</f>
        <v>95090024.418237299</v>
      </c>
      <c r="C36" s="3">
        <f>'[1]20230425_qPCR_I'!$K$35</f>
        <v>2814378.8536390024</v>
      </c>
    </row>
    <row r="37" spans="1:3">
      <c r="A37" s="4" t="s">
        <v>38</v>
      </c>
      <c r="B37" s="3">
        <f>'[1]20230425_qPCR_I'!$J$44</f>
        <v>126000866.8048166</v>
      </c>
      <c r="C37" s="3">
        <f>'[1]20230425_qPCR_I'!$K$44</f>
        <v>10438490.639593579</v>
      </c>
    </row>
    <row r="38" spans="1:3">
      <c r="A38" s="4" t="s">
        <v>39</v>
      </c>
      <c r="B38" s="3">
        <f>'[1]20230425_qPCR_I'!$J$47</f>
        <v>2176106856.9617281</v>
      </c>
      <c r="C38" s="3">
        <f>'[1]20230425_qPCR_I'!$K$47</f>
        <v>247309696.50748494</v>
      </c>
    </row>
    <row r="39" spans="1:3">
      <c r="A39" s="4" t="s">
        <v>40</v>
      </c>
      <c r="B39" s="3">
        <f>'[1]20230425_qPCR_I'!$J$56</f>
        <v>13897045.416565973</v>
      </c>
      <c r="C39" s="3">
        <f>'[1]20230425_qPCR_I'!$K$56</f>
        <v>782188.30550736329</v>
      </c>
    </row>
    <row r="40" spans="1:3">
      <c r="A40" s="4" t="s">
        <v>41</v>
      </c>
      <c r="B40" s="3">
        <f>'[1]20230425_qPCR_I'!$J$65</f>
        <v>13540225.620316325</v>
      </c>
      <c r="C40" s="3">
        <f>'[1]20230425_qPCR_I'!$K$65</f>
        <v>957293.82280649466</v>
      </c>
    </row>
    <row r="41" spans="1:3">
      <c r="A41" s="4" t="s">
        <v>42</v>
      </c>
      <c r="B41" s="3">
        <f>'[1]20230425_qPCR_I'!$J$74</f>
        <v>2360509109.5341606</v>
      </c>
      <c r="C41" s="3">
        <f>'[1]20230425_qPCR_I'!$K$74</f>
        <v>350113165.66210419</v>
      </c>
    </row>
    <row r="42" spans="1:3">
      <c r="A42" s="4" t="s">
        <v>43</v>
      </c>
      <c r="B42" s="3">
        <f>'[1]20230425_qPCR_I'!$J$83</f>
        <v>280822727.88001853</v>
      </c>
      <c r="C42" s="3">
        <f>'[1]20230425_qPCR_I'!$K$83</f>
        <v>35784471.402663566</v>
      </c>
    </row>
    <row r="43" spans="1:3">
      <c r="A43" s="4" t="s">
        <v>44</v>
      </c>
      <c r="B43" s="3">
        <f>'[1]20230425_qPCR_I'!$J$95</f>
        <v>7444035.4432328651</v>
      </c>
      <c r="C43" s="3">
        <f>'[1]20230425_qPCR_I'!$K$95</f>
        <v>229977.01627277621</v>
      </c>
    </row>
    <row r="44" spans="1:3">
      <c r="A44" s="4" t="s">
        <v>45</v>
      </c>
      <c r="B44" s="3">
        <f>'[1]20230426_qPCR_III'!$J$71</f>
        <v>2029318719.9277215</v>
      </c>
      <c r="C44" s="3">
        <f>'[1]20230426_qPCR_III'!$K$71</f>
        <v>340829901.74987948</v>
      </c>
    </row>
    <row r="45" spans="1:3">
      <c r="A45" s="4" t="s">
        <v>46</v>
      </c>
      <c r="B45" s="3">
        <f>'[2]20230502_qPCR_VIII'!$J$98</f>
        <v>67065902.421057947</v>
      </c>
      <c r="C45" s="3">
        <f>'[2]20230502_qPCR_VIII'!$K$98</f>
        <v>13309144.678139169</v>
      </c>
    </row>
    <row r="46" spans="1:3">
      <c r="A46" s="4" t="s">
        <v>47</v>
      </c>
      <c r="B46" s="3">
        <f>'[1]20230426_qPCR_III'!$J$92</f>
        <v>7243231.1718667494</v>
      </c>
      <c r="C46" s="3">
        <f>'[1]20230426_qPCR_III'!$K$92</f>
        <v>1213885.3729329933</v>
      </c>
    </row>
    <row r="47" spans="1:3">
      <c r="A47" s="4" t="s">
        <v>48</v>
      </c>
      <c r="B47" s="3">
        <f>'[1]20230426_qPCR_III'!$J$104</f>
        <v>1428631506.4655607</v>
      </c>
      <c r="C47" s="3">
        <f>'[1]20230426_qPCR_III'!$K$104</f>
        <v>154227262.39708197</v>
      </c>
    </row>
    <row r="48" spans="1:3">
      <c r="A48" s="4" t="s">
        <v>49</v>
      </c>
      <c r="B48" s="3">
        <f>'[1]20230426_qPCR_III'!$J$38</f>
        <v>53414836.370626219</v>
      </c>
      <c r="C48" s="3">
        <f>'[1]20230426_qPCR_III'!$K$38</f>
        <v>3467117.2909892369</v>
      </c>
    </row>
    <row r="49" spans="1:3">
      <c r="A49" s="4" t="s">
        <v>50</v>
      </c>
      <c r="B49" s="3">
        <f>'[1]20230426_qPCR_III'!$J$47</f>
        <v>400565430.1884864</v>
      </c>
      <c r="C49" s="3">
        <f>'[1]20230426_qPCR_III'!$K$47</f>
        <v>46865286.802750997</v>
      </c>
    </row>
    <row r="50" spans="1:3">
      <c r="A50" s="4" t="s">
        <v>51</v>
      </c>
      <c r="B50" s="3">
        <f>'[1]20230425_qPCR_II'!$J$92</f>
        <v>2407868337.1562424</v>
      </c>
      <c r="C50" s="3">
        <f>'[1]20230425_qPCR_II'!$K$92</f>
        <v>410017637.98816937</v>
      </c>
    </row>
    <row r="51" spans="1:3">
      <c r="A51" s="4" t="s">
        <v>52</v>
      </c>
      <c r="B51" s="3">
        <f>'[1]20230425_qPCR_II'!$J$104</f>
        <v>938017172.55815411</v>
      </c>
      <c r="C51" s="3">
        <f>'[1]20230425_qPCR_II'!$K$104</f>
        <v>85225546.037658542</v>
      </c>
    </row>
    <row r="52" spans="1:3">
      <c r="A52" s="4" t="s">
        <v>53</v>
      </c>
      <c r="B52" s="3">
        <f>'[1]20230425_qPCR_II'!$J$38</f>
        <v>1031772266.5436069</v>
      </c>
      <c r="C52" s="3">
        <f>'[1]20230425_qPCR_II'!$K$38</f>
        <v>61049004.732158735</v>
      </c>
    </row>
    <row r="53" spans="1:3">
      <c r="A53" s="4" t="s">
        <v>54</v>
      </c>
      <c r="B53" s="3">
        <f>'[1]20230425_qPCR_II'!$J$47</f>
        <v>1486535480.3967676</v>
      </c>
      <c r="C53" s="3">
        <f>'[1]20230425_qPCR_II'!$K$47</f>
        <v>123339677.89075023</v>
      </c>
    </row>
    <row r="54" spans="1:3">
      <c r="A54" s="4" t="s">
        <v>55</v>
      </c>
      <c r="B54" s="3">
        <f>'[1]20230425_qPCR_II'!$J$56</f>
        <v>1010567422.4860957</v>
      </c>
      <c r="C54" s="3">
        <f>'[1]20230425_qPCR_II'!$K$56</f>
        <v>127318383.58060278</v>
      </c>
    </row>
    <row r="55" spans="1:3">
      <c r="A55" s="4" t="s">
        <v>56</v>
      </c>
      <c r="B55" s="3">
        <f>'[1]20230425_qPCR_II'!$J$65</f>
        <v>646813573.09628022</v>
      </c>
      <c r="C55" s="3">
        <f>'[1]20230425_qPCR_II'!$K$65</f>
        <v>128703456.14773715</v>
      </c>
    </row>
    <row r="56" spans="1:3">
      <c r="A56" s="4" t="s">
        <v>57</v>
      </c>
      <c r="B56" s="3">
        <f>'[1]20230425_qPCR_II'!$J$74</f>
        <v>1231256622.248559</v>
      </c>
      <c r="C56" s="3">
        <f>'[1]20230425_qPCR_II'!$K$74</f>
        <v>116892422.65995052</v>
      </c>
    </row>
    <row r="57" spans="1:3">
      <c r="A57" s="4" t="s">
        <v>58</v>
      </c>
      <c r="B57" s="3">
        <f>'[1]20230425_qPCR_II'!$J$83</f>
        <v>11846373.036451243</v>
      </c>
      <c r="C57" s="3">
        <f>'[1]20230425_qPCR_II'!$K$83</f>
        <v>1185218.8459485052</v>
      </c>
    </row>
    <row r="58" spans="1:3">
      <c r="A58" s="4" t="s">
        <v>59</v>
      </c>
      <c r="B58" s="3">
        <f>'[1]20230425_qPCR_II'!$J$95</f>
        <v>3841808.0986424736</v>
      </c>
      <c r="C58" s="3">
        <f>'[1]20230425_qPCR_II'!$K$95</f>
        <v>174955.83521552235</v>
      </c>
    </row>
    <row r="59" spans="1:3">
      <c r="A59" s="4" t="s">
        <v>60</v>
      </c>
      <c r="B59" s="3">
        <f>'[1]20230425_qPCR_II'!$J$107</f>
        <v>1775476913.5514722</v>
      </c>
      <c r="C59" s="3">
        <f>'[1]20230425_qPCR_II'!$K$107</f>
        <v>247750153.73296946</v>
      </c>
    </row>
    <row r="60" spans="1:3">
      <c r="A60" s="4" t="s">
        <v>61</v>
      </c>
      <c r="B60" s="3">
        <f>'[1]20230426_qPCR_III'!$J$86</f>
        <v>159171058.58042437</v>
      </c>
      <c r="C60" s="3">
        <f>'[1]20230426_qPCR_III'!$K$86</f>
        <v>7675892.5586100379</v>
      </c>
    </row>
    <row r="61" spans="1:3">
      <c r="A61" s="4" t="s">
        <v>62</v>
      </c>
      <c r="B61" s="3">
        <f>'[1]20230426_qPCR_III'!$J$98</f>
        <v>36941964.044952258</v>
      </c>
      <c r="C61" s="3">
        <f>'[1]20230426_qPCR_III'!$K$98</f>
        <v>2121425.5149627062</v>
      </c>
    </row>
    <row r="62" spans="1:3">
      <c r="A62" s="4" t="s">
        <v>63</v>
      </c>
      <c r="B62" s="3">
        <f>'[1]20230425_qPCR_II'!$J$86</f>
        <v>3088997296.5305181</v>
      </c>
      <c r="C62" s="3">
        <f>'[1]20230425_qPCR_II'!$K$86</f>
        <v>604870720.3044734</v>
      </c>
    </row>
    <row r="63" spans="1:3">
      <c r="A63" s="4" t="s">
        <v>64</v>
      </c>
      <c r="B63" s="3">
        <f>'[1]20230425_qPCR_II'!$J$98</f>
        <v>117887130.03338327</v>
      </c>
      <c r="C63" s="3">
        <f>'[1]20230425_qPCR_II'!$K$98</f>
        <v>15755362.610783832</v>
      </c>
    </row>
    <row r="64" spans="1:3">
      <c r="A64" s="4" t="s">
        <v>65</v>
      </c>
      <c r="B64" s="3">
        <f>'[1]20230425_qPCR_II'!$J$32</f>
        <v>4044477.8971005762</v>
      </c>
      <c r="C64" s="3">
        <f>'[1]20230425_qPCR_II'!$K$32</f>
        <v>775112.57875053585</v>
      </c>
    </row>
    <row r="65" spans="1:3">
      <c r="A65" s="4" t="s">
        <v>66</v>
      </c>
      <c r="B65" s="3">
        <f>'[1]20230425_qPCR_II'!$J$41</f>
        <v>2231247758.6341405</v>
      </c>
      <c r="C65" s="3">
        <f>'[1]20230425_qPCR_II'!$K$41</f>
        <v>357753932.9794817</v>
      </c>
    </row>
    <row r="66" spans="1:3">
      <c r="A66" s="4" t="s">
        <v>67</v>
      </c>
      <c r="B66" s="3">
        <f>'[1]20230425_qPCR_II'!$J$50</f>
        <v>1043569547.5574368</v>
      </c>
      <c r="C66" s="3">
        <f>'[1]20230425_qPCR_II'!$K$50</f>
        <v>78041377.273043081</v>
      </c>
    </row>
    <row r="67" spans="1:3">
      <c r="A67" s="4" t="s">
        <v>68</v>
      </c>
      <c r="B67" s="3">
        <f>'[1]20230425_qPCR_II'!$J$59</f>
        <v>1438920122.9562042</v>
      </c>
      <c r="C67" s="3">
        <f>'[1]20230425_qPCR_II'!$K$59</f>
        <v>263101473.51964912</v>
      </c>
    </row>
    <row r="68" spans="1:3">
      <c r="A68" s="4" t="s">
        <v>69</v>
      </c>
      <c r="B68" s="3">
        <f>'[1]20230426_qPCR_III'!$J$89</f>
        <v>2776039613.9715981</v>
      </c>
      <c r="C68" s="3">
        <f>'[1]20230426_qPCR_III'!$K$89</f>
        <v>219718859.1352973</v>
      </c>
    </row>
    <row r="69" spans="1:3">
      <c r="A69" s="4" t="s">
        <v>70</v>
      </c>
      <c r="B69" s="3">
        <f>'[1]20230426_qPCR_III'!$J$101</f>
        <v>41115812.537832774</v>
      </c>
      <c r="C69" s="3">
        <f>'[1]20230426_qPCR_III'!$K$101</f>
        <v>10123154.229764491</v>
      </c>
    </row>
    <row r="70" spans="1:3">
      <c r="A70" s="4" t="s">
        <v>71</v>
      </c>
      <c r="B70" s="3">
        <f>'[1]20230426_qPCR_III'!$J$35</f>
        <v>15085633.798911791</v>
      </c>
      <c r="C70" s="3">
        <f>'[1]20230426_qPCR_III'!$K$35</f>
        <v>1726602.7800717514</v>
      </c>
    </row>
    <row r="71" spans="1:3">
      <c r="A71" s="4" t="s">
        <v>72</v>
      </c>
      <c r="B71" s="3">
        <f>'[1]20230426_qPCR_III'!$J$44</f>
        <v>2479441582.2205205</v>
      </c>
      <c r="C71" s="3">
        <f>'[1]20230426_qPCR_III'!$K$44</f>
        <v>25054282.164470129</v>
      </c>
    </row>
    <row r="72" spans="1:3">
      <c r="A72" s="4" t="s">
        <v>73</v>
      </c>
      <c r="B72" s="3">
        <f>'[1]20230426_qPCR_III'!$J$53</f>
        <v>300600427.95063782</v>
      </c>
      <c r="C72" s="3">
        <f>'[1]20230426_qPCR_III'!$K$53</f>
        <v>27502371.324149884</v>
      </c>
    </row>
    <row r="73" spans="1:3">
      <c r="A73" s="4" t="s">
        <v>74</v>
      </c>
      <c r="B73" s="3">
        <f>'[1]20230426_qPCR_III'!$J$62</f>
        <v>75361602.602594867</v>
      </c>
      <c r="C73" s="3">
        <f>'[1]20230426_qPCR_III'!$K$62</f>
        <v>6621706.2923149848</v>
      </c>
    </row>
    <row r="74" spans="1:3">
      <c r="B74" s="3"/>
      <c r="C74" s="3"/>
    </row>
    <row r="75" spans="1:3">
      <c r="B75" s="3"/>
      <c r="C75" s="3"/>
    </row>
    <row r="76" spans="1:3">
      <c r="B76" s="3"/>
      <c r="C76" s="3"/>
    </row>
    <row r="77" spans="1:3">
      <c r="B77" s="3"/>
      <c r="C77" s="3"/>
    </row>
    <row r="78" spans="1:3">
      <c r="B78" s="3"/>
      <c r="C78" s="3"/>
    </row>
    <row r="79" spans="1:3">
      <c r="B79" s="3"/>
      <c r="C79" s="3"/>
    </row>
    <row r="80" spans="1:3">
      <c r="B80" s="3"/>
      <c r="C80" s="3"/>
    </row>
    <row r="81" spans="2:3">
      <c r="B81" s="3"/>
      <c r="C81" s="3"/>
    </row>
    <row r="82" spans="2:3">
      <c r="B82" s="3"/>
      <c r="C82" s="3"/>
    </row>
    <row r="83" spans="2:3">
      <c r="B83" s="3"/>
      <c r="C83" s="3"/>
    </row>
    <row r="84" spans="2:3">
      <c r="B84" s="3"/>
      <c r="C84" s="3"/>
    </row>
    <row r="85" spans="2:3">
      <c r="B85" s="3"/>
      <c r="C85" s="3"/>
    </row>
    <row r="86" spans="2:3">
      <c r="B86" s="3"/>
      <c r="C86" s="3"/>
    </row>
    <row r="87" spans="2:3">
      <c r="B87" s="3"/>
      <c r="C87" s="3"/>
    </row>
    <row r="88" spans="2:3">
      <c r="B88" s="3"/>
      <c r="C88" s="3"/>
    </row>
    <row r="89" spans="2:3">
      <c r="B89" s="3"/>
      <c r="C89" s="3"/>
    </row>
    <row r="90" spans="2:3">
      <c r="B90" s="3"/>
      <c r="C90" s="3"/>
    </row>
    <row r="91" spans="2:3">
      <c r="B91" s="3"/>
      <c r="C91" s="3"/>
    </row>
    <row r="92" spans="2:3">
      <c r="B92" s="3"/>
      <c r="C92" s="3"/>
    </row>
    <row r="93" spans="2:3">
      <c r="B93" s="3"/>
      <c r="C93" s="3"/>
    </row>
    <row r="94" spans="2:3">
      <c r="B94" s="3"/>
      <c r="C94" s="3"/>
    </row>
    <row r="95" spans="2:3">
      <c r="B95" s="3"/>
      <c r="C95" s="3"/>
    </row>
    <row r="96" spans="2:3">
      <c r="B96" s="3"/>
      <c r="C96" s="3"/>
    </row>
    <row r="97" spans="2:3">
      <c r="B97" s="3"/>
      <c r="C97" s="3"/>
    </row>
    <row r="98" spans="2:3">
      <c r="B98" s="3"/>
      <c r="C98" s="3"/>
    </row>
    <row r="99" spans="2:3">
      <c r="B99" s="3"/>
      <c r="C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Debjyoti Ghosh</dc:creator>
  <cp:lastModifiedBy>Debjyoti Ghosh</cp:lastModifiedBy>
  <dcterms:created xsi:type="dcterms:W3CDTF">2023-04-14T12:17:19Z</dcterms:created>
  <dcterms:modified xsi:type="dcterms:W3CDTF">2023-11-07T11:39:59Z</dcterms:modified>
</cp:coreProperties>
</file>