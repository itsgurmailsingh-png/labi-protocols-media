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d4945c29bc59a3/Tick eDNA/"/>
    </mc:Choice>
  </mc:AlternateContent>
  <xr:revisionPtr revIDLastSave="77" documentId="8_{A9431698-DE8B-9044-BD70-DB64E13E2CA5}" xr6:coauthVersionLast="47" xr6:coauthVersionMax="47" xr10:uidLastSave="{E58DCC51-3404-3444-ACF7-5C80681EDFBE}"/>
  <bookViews>
    <workbookView xWindow="28800" yWindow="500" windowWidth="38400" windowHeight="21100" xr2:uid="{477F00D4-8729-9C4D-A961-E94628C9AF67}"/>
  </bookViews>
  <sheets>
    <sheet name="LOD-LOQ qPCR Results" sheetId="3" r:id="rId1"/>
    <sheet name="Field Samples and qPCR Results" sheetId="1" r:id="rId2"/>
  </sheets>
  <definedNames>
    <definedName name="_xlnm._FilterDatabase" localSheetId="1" hidden="1">'Field Samples and qPCR Results'!$A$2:$P$131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5" i="1" l="1"/>
  <c r="K144" i="1"/>
  <c r="K143" i="1"/>
  <c r="K142" i="1"/>
  <c r="K141" i="1"/>
  <c r="K140" i="1"/>
  <c r="K139" i="1"/>
  <c r="K129" i="1"/>
  <c r="K128" i="1"/>
  <c r="K127" i="1"/>
  <c r="K126" i="1"/>
  <c r="K125" i="1"/>
  <c r="K124" i="1"/>
  <c r="K123" i="1"/>
  <c r="K97" i="1"/>
  <c r="K96" i="1"/>
  <c r="K95" i="1"/>
  <c r="K94" i="1"/>
  <c r="K93" i="1"/>
  <c r="K92" i="1"/>
  <c r="K91" i="1"/>
  <c r="K65" i="1"/>
  <c r="K64" i="1"/>
  <c r="K63" i="1"/>
  <c r="K62" i="1"/>
  <c r="K61" i="1"/>
  <c r="K60" i="1"/>
  <c r="K59" i="1"/>
  <c r="K32" i="1"/>
  <c r="K31" i="1"/>
  <c r="K30" i="1"/>
  <c r="K29" i="1"/>
  <c r="K28" i="1"/>
  <c r="K27" i="1"/>
  <c r="K26" i="1"/>
  <c r="I144" i="1"/>
  <c r="I143" i="1"/>
  <c r="I142" i="1"/>
  <c r="I141" i="1"/>
  <c r="I140" i="1"/>
  <c r="I139" i="1"/>
  <c r="I96" i="1"/>
  <c r="I95" i="1"/>
  <c r="I94" i="1"/>
  <c r="I93" i="1"/>
  <c r="I92" i="1"/>
  <c r="I91" i="1"/>
  <c r="I128" i="1"/>
  <c r="I127" i="1"/>
  <c r="I126" i="1"/>
  <c r="I125" i="1"/>
  <c r="I124" i="1"/>
  <c r="I123" i="1"/>
  <c r="I64" i="1"/>
  <c r="I63" i="1"/>
  <c r="I62" i="1"/>
  <c r="I61" i="1"/>
  <c r="I60" i="1"/>
  <c r="I59" i="1"/>
  <c r="I31" i="1"/>
  <c r="I30" i="1"/>
  <c r="I29" i="1"/>
  <c r="I28" i="1"/>
  <c r="I27" i="1"/>
  <c r="I26" i="1"/>
  <c r="J145" i="1"/>
  <c r="J144" i="1"/>
  <c r="J143" i="1"/>
  <c r="J142" i="1"/>
  <c r="J141" i="1"/>
  <c r="J140" i="1"/>
  <c r="J139" i="1"/>
  <c r="J128" i="1"/>
  <c r="J127" i="1"/>
  <c r="J126" i="1"/>
  <c r="J125" i="1"/>
  <c r="J124" i="1"/>
  <c r="J123" i="1"/>
  <c r="J97" i="1"/>
  <c r="J96" i="1"/>
  <c r="J95" i="1"/>
  <c r="J94" i="1"/>
  <c r="J93" i="1"/>
  <c r="J92" i="1"/>
  <c r="J91" i="1"/>
  <c r="J64" i="1"/>
  <c r="J63" i="1"/>
  <c r="J62" i="1"/>
  <c r="J61" i="1"/>
  <c r="J60" i="1"/>
  <c r="J59" i="1"/>
  <c r="J32" i="1"/>
  <c r="J31" i="1"/>
  <c r="J30" i="1"/>
  <c r="J29" i="1"/>
  <c r="J28" i="1"/>
  <c r="J27" i="1"/>
  <c r="J26" i="1"/>
</calcChain>
</file>

<file path=xl/sharedStrings.xml><?xml version="1.0" encoding="utf-8"?>
<sst xmlns="http://schemas.openxmlformats.org/spreadsheetml/2006/main" count="1615" uniqueCount="343">
  <si>
    <t>Date</t>
  </si>
  <si>
    <t>Control</t>
  </si>
  <si>
    <t>Sample</t>
  </si>
  <si>
    <t>Sample Location</t>
  </si>
  <si>
    <t>Sample Information</t>
  </si>
  <si>
    <t>JX4</t>
  </si>
  <si>
    <t>NL1</t>
  </si>
  <si>
    <t>PQ7</t>
  </si>
  <si>
    <t>FR6</t>
  </si>
  <si>
    <t>VP3</t>
  </si>
  <si>
    <t>YU1</t>
  </si>
  <si>
    <t>XN1</t>
  </si>
  <si>
    <t>DP6</t>
  </si>
  <si>
    <t>FF8</t>
  </si>
  <si>
    <t>IE9</t>
  </si>
  <si>
    <t>LA1</t>
  </si>
  <si>
    <t>ZW8</t>
  </si>
  <si>
    <t>KH0</t>
  </si>
  <si>
    <t>QM1</t>
  </si>
  <si>
    <t>TG4</t>
  </si>
  <si>
    <t>YQ9</t>
  </si>
  <si>
    <t>YA5</t>
  </si>
  <si>
    <t>MX8</t>
  </si>
  <si>
    <t>NI8</t>
  </si>
  <si>
    <t>XW4</t>
  </si>
  <si>
    <t>FH8</t>
  </si>
  <si>
    <t>MP2</t>
  </si>
  <si>
    <t>GF8</t>
  </si>
  <si>
    <t>AA9</t>
  </si>
  <si>
    <t>LA4</t>
  </si>
  <si>
    <t>QW2</t>
  </si>
  <si>
    <t>MM8</t>
  </si>
  <si>
    <t>CC4</t>
  </si>
  <si>
    <t>AW4</t>
  </si>
  <si>
    <t>WC8</t>
  </si>
  <si>
    <t>PZ3</t>
  </si>
  <si>
    <t>IG8</t>
  </si>
  <si>
    <t>KM9</t>
  </si>
  <si>
    <t>BM2</t>
  </si>
  <si>
    <t>JD3</t>
  </si>
  <si>
    <t>RQ2</t>
  </si>
  <si>
    <t>EZ9</t>
  </si>
  <si>
    <t>JP7</t>
  </si>
  <si>
    <t>GV2</t>
  </si>
  <si>
    <t>NL0</t>
  </si>
  <si>
    <t>MP4</t>
  </si>
  <si>
    <t>YI5</t>
  </si>
  <si>
    <t>KB4</t>
  </si>
  <si>
    <t>XB7</t>
  </si>
  <si>
    <t>QB5</t>
  </si>
  <si>
    <t>FO1</t>
  </si>
  <si>
    <t>SM5</t>
  </si>
  <si>
    <t>TE5</t>
  </si>
  <si>
    <t>UB9</t>
  </si>
  <si>
    <t>ID5</t>
  </si>
  <si>
    <t>GX8</t>
  </si>
  <si>
    <t>PC1</t>
  </si>
  <si>
    <t>Amblyoma americanum</t>
  </si>
  <si>
    <t>Dermacentor variabilis</t>
  </si>
  <si>
    <t>Ixodes Scapularis</t>
  </si>
  <si>
    <t>Notes</t>
  </si>
  <si>
    <t>QPCR Cq Value</t>
  </si>
  <si>
    <t>Not Analyzed Sample Missing</t>
  </si>
  <si>
    <t>G-block Stand ard 1</t>
  </si>
  <si>
    <t>G-block Stand ard 2</t>
  </si>
  <si>
    <t>G-block Stand ard 3</t>
  </si>
  <si>
    <t>G-block Stand ard 4</t>
  </si>
  <si>
    <t>G-block Stand ard 5</t>
  </si>
  <si>
    <t>G-block Stand ard 6</t>
  </si>
  <si>
    <t>G-block Stand ard 7</t>
  </si>
  <si>
    <t>No Template Control</t>
  </si>
  <si>
    <t>NA</t>
  </si>
  <si>
    <t>eDNA Sample Name</t>
  </si>
  <si>
    <t>Treatment</t>
  </si>
  <si>
    <t>Sequence within block</t>
  </si>
  <si>
    <t>Block Size</t>
  </si>
  <si>
    <t>Block Identifier</t>
  </si>
  <si>
    <t>N/A</t>
  </si>
  <si>
    <t>eDNA Type</t>
  </si>
  <si>
    <t>Cq</t>
  </si>
  <si>
    <t>DVS3-1</t>
  </si>
  <si>
    <t>DVS3-2</t>
  </si>
  <si>
    <t>DVS3-3</t>
  </si>
  <si>
    <t>DVS3-4</t>
  </si>
  <si>
    <t>DVS3-5</t>
  </si>
  <si>
    <t>DVS3-6</t>
  </si>
  <si>
    <t>DVS3-7</t>
  </si>
  <si>
    <t>DVS3-8</t>
  </si>
  <si>
    <t>DVS3-9</t>
  </si>
  <si>
    <t>DVS3-10</t>
  </si>
  <si>
    <t>DVS3-11</t>
  </si>
  <si>
    <t>DVS3-12</t>
  </si>
  <si>
    <t>DVS4-1</t>
  </si>
  <si>
    <t>DVS4-2</t>
  </si>
  <si>
    <t>DVS4-3</t>
  </si>
  <si>
    <t>DVS4-4</t>
  </si>
  <si>
    <t>DVS4-5</t>
  </si>
  <si>
    <t>DVS4-6</t>
  </si>
  <si>
    <t>DVS4-7</t>
  </si>
  <si>
    <t>DVS4-8</t>
  </si>
  <si>
    <t>DVS4-9</t>
  </si>
  <si>
    <t>DVS4-10</t>
  </si>
  <si>
    <t>DVS4-11</t>
  </si>
  <si>
    <t>DVS4-12</t>
  </si>
  <si>
    <t>DVS5-1</t>
  </si>
  <si>
    <t>DVS5-2</t>
  </si>
  <si>
    <t>DVS5-3</t>
  </si>
  <si>
    <t>DVS5-4</t>
  </si>
  <si>
    <t>DVS5-5</t>
  </si>
  <si>
    <t>DVS5-6</t>
  </si>
  <si>
    <t>DVS5-7</t>
  </si>
  <si>
    <t>DVS5-8</t>
  </si>
  <si>
    <t>DVS5-9</t>
  </si>
  <si>
    <t>DVS5-10</t>
  </si>
  <si>
    <t>DVS5-11</t>
  </si>
  <si>
    <t>DVS5-12</t>
  </si>
  <si>
    <t>DVS6-1</t>
  </si>
  <si>
    <t>DVS6-2</t>
  </si>
  <si>
    <t>DVS6-3</t>
  </si>
  <si>
    <t>DVS6-4</t>
  </si>
  <si>
    <t>DVS6-5</t>
  </si>
  <si>
    <t>DVS6-6</t>
  </si>
  <si>
    <t>DVS6-7</t>
  </si>
  <si>
    <t>DVS6-8</t>
  </si>
  <si>
    <t>DVS6-9</t>
  </si>
  <si>
    <t>DVS6-10</t>
  </si>
  <si>
    <t>DVS6-11</t>
  </si>
  <si>
    <t>DVS6-12</t>
  </si>
  <si>
    <t>DVS7-1</t>
  </si>
  <si>
    <t>DVS7-2</t>
  </si>
  <si>
    <t>Undetermined</t>
  </si>
  <si>
    <t>DVS7-3</t>
  </si>
  <si>
    <t>DVS7-4</t>
  </si>
  <si>
    <t>DVS7-5</t>
  </si>
  <si>
    <t>DVS7-6</t>
  </si>
  <si>
    <t>DVS7-7</t>
  </si>
  <si>
    <t>DVS7-8</t>
  </si>
  <si>
    <t>DVS7-9</t>
  </si>
  <si>
    <t>DVS7-10</t>
  </si>
  <si>
    <t>DVS7-11</t>
  </si>
  <si>
    <t>DVS7-12</t>
  </si>
  <si>
    <t>DVS8-1</t>
  </si>
  <si>
    <t>DVS8-2</t>
  </si>
  <si>
    <t>DVS8-3</t>
  </si>
  <si>
    <t>DVS8-4</t>
  </si>
  <si>
    <t>DVS8-5</t>
  </si>
  <si>
    <t>DVS8-6</t>
  </si>
  <si>
    <t>DVS8-7</t>
  </si>
  <si>
    <t>DVS8-8</t>
  </si>
  <si>
    <t>DVS8-9</t>
  </si>
  <si>
    <t>DVS8-10</t>
  </si>
  <si>
    <t>DVS8-11</t>
  </si>
  <si>
    <t>DVS8-12</t>
  </si>
  <si>
    <t>AAS2-1</t>
  </si>
  <si>
    <t>AAS2-2</t>
  </si>
  <si>
    <t>AAS2-3</t>
  </si>
  <si>
    <t>AAS2-4</t>
  </si>
  <si>
    <t>AAS2-5</t>
  </si>
  <si>
    <t>AAS2-6</t>
  </si>
  <si>
    <t>AAS2-7</t>
  </si>
  <si>
    <t>AAS2-8</t>
  </si>
  <si>
    <t>AAS2-9</t>
  </si>
  <si>
    <t>AAS2-10</t>
  </si>
  <si>
    <t>AAS2-11</t>
  </si>
  <si>
    <t>AAS2-12</t>
  </si>
  <si>
    <t>AAS3-1</t>
  </si>
  <si>
    <t>AAS3-2</t>
  </si>
  <si>
    <t>AAS3-3</t>
  </si>
  <si>
    <t>AAS3-4</t>
  </si>
  <si>
    <t>AAS3-5</t>
  </si>
  <si>
    <t>AAS3-6</t>
  </si>
  <si>
    <t>AAS3-7</t>
  </si>
  <si>
    <t>AAS3-8</t>
  </si>
  <si>
    <t>AAS3-9</t>
  </si>
  <si>
    <t>AAS3-10</t>
  </si>
  <si>
    <t>AAS3-11</t>
  </si>
  <si>
    <t>AAS3-12</t>
  </si>
  <si>
    <t>AAS4-1</t>
  </si>
  <si>
    <t>AAS4-2</t>
  </si>
  <si>
    <t>AAS4-3</t>
  </si>
  <si>
    <t>AAS4-4</t>
  </si>
  <si>
    <t>AAS4-5</t>
  </si>
  <si>
    <t>AAS4-6</t>
  </si>
  <si>
    <t>AAS4-7</t>
  </si>
  <si>
    <t>AAS4-8</t>
  </si>
  <si>
    <t>AAS4-9</t>
  </si>
  <si>
    <t>AAS4-10</t>
  </si>
  <si>
    <t>AAS4-11</t>
  </si>
  <si>
    <t>AAS4-12</t>
  </si>
  <si>
    <t>AAS5-1</t>
  </si>
  <si>
    <t>AAS5-2</t>
  </si>
  <si>
    <t>AAS5-3</t>
  </si>
  <si>
    <t>AAS5-4</t>
  </si>
  <si>
    <t>AAS5-5</t>
  </si>
  <si>
    <t>AAS5-6</t>
  </si>
  <si>
    <t>AAS5-7</t>
  </si>
  <si>
    <t>AAS5-8</t>
  </si>
  <si>
    <t>AAS5-9</t>
  </si>
  <si>
    <t>AAS5-10</t>
  </si>
  <si>
    <t>AAS5-11</t>
  </si>
  <si>
    <t>AAS5-12</t>
  </si>
  <si>
    <t>AAS6-1</t>
  </si>
  <si>
    <t>AAS6-2</t>
  </si>
  <si>
    <t>AAS6-3</t>
  </si>
  <si>
    <t>AAS6-4</t>
  </si>
  <si>
    <t>AAS6-5</t>
  </si>
  <si>
    <t>AAS6-6</t>
  </si>
  <si>
    <t>AAS6-7</t>
  </si>
  <si>
    <t>AAS6-8</t>
  </si>
  <si>
    <t>AAS6-9</t>
  </si>
  <si>
    <t>AAS6-10</t>
  </si>
  <si>
    <t>AAS6-11</t>
  </si>
  <si>
    <t>AAS6-12</t>
  </si>
  <si>
    <t>AAS7-1</t>
  </si>
  <si>
    <t>AAS7-2</t>
  </si>
  <si>
    <t>AAS7-3</t>
  </si>
  <si>
    <t>AAS7-4</t>
  </si>
  <si>
    <t>AAS7-5</t>
  </si>
  <si>
    <t>AAS7-6</t>
  </si>
  <si>
    <t>AAS7-7</t>
  </si>
  <si>
    <t>AAS7-8</t>
  </si>
  <si>
    <t>AAS7-9</t>
  </si>
  <si>
    <t>AAS7-10</t>
  </si>
  <si>
    <t>AAS7-11</t>
  </si>
  <si>
    <t>AAS7-12</t>
  </si>
  <si>
    <t>ISS2-1</t>
  </si>
  <si>
    <t>Ixodes scapularis</t>
  </si>
  <si>
    <t>ISS2-2</t>
  </si>
  <si>
    <t>ISS2-3</t>
  </si>
  <si>
    <t>ISS2-4</t>
  </si>
  <si>
    <t>ISS2-5</t>
  </si>
  <si>
    <t>ISS2-6</t>
  </si>
  <si>
    <t>ISS2-7</t>
  </si>
  <si>
    <t>ISS2-8</t>
  </si>
  <si>
    <t>ISS2-9</t>
  </si>
  <si>
    <t>ISS2-10</t>
  </si>
  <si>
    <t>ISS2-11</t>
  </si>
  <si>
    <t>ISS2-12</t>
  </si>
  <si>
    <t>ISS3-1</t>
  </si>
  <si>
    <t>ISS3-2</t>
  </si>
  <si>
    <t>ISS3-3</t>
  </si>
  <si>
    <t>ISS3-4</t>
  </si>
  <si>
    <t>ISS3-5</t>
  </si>
  <si>
    <t>ISS3-6</t>
  </si>
  <si>
    <t>ISS3-7</t>
  </si>
  <si>
    <t>ISS3-8</t>
  </si>
  <si>
    <t>ISS3-9</t>
  </si>
  <si>
    <t>ISS3-10</t>
  </si>
  <si>
    <t>ISS3-11</t>
  </si>
  <si>
    <t>ISS3-12</t>
  </si>
  <si>
    <t>ISS4-1</t>
  </si>
  <si>
    <t>ISS4-2</t>
  </si>
  <si>
    <t>ISS4-3</t>
  </si>
  <si>
    <t>ISS4-4</t>
  </si>
  <si>
    <t>ISS4-5</t>
  </si>
  <si>
    <t>ISS4-6</t>
  </si>
  <si>
    <t>ISS4-7</t>
  </si>
  <si>
    <t>ISS4-8</t>
  </si>
  <si>
    <t>ISS4-9</t>
  </si>
  <si>
    <t>ISS4-10</t>
  </si>
  <si>
    <t>ISS4-11</t>
  </si>
  <si>
    <t>ISS4-12</t>
  </si>
  <si>
    <t>ISS5-1</t>
  </si>
  <si>
    <t>ISS5-2</t>
  </si>
  <si>
    <t>ISS5-3</t>
  </si>
  <si>
    <t>ISS5-4</t>
  </si>
  <si>
    <t>ISS5-5</t>
  </si>
  <si>
    <t>ISS5-6</t>
  </si>
  <si>
    <t>ISS5-7</t>
  </si>
  <si>
    <t>ISS5-8</t>
  </si>
  <si>
    <t>ISS5-9</t>
  </si>
  <si>
    <t>ISS5-10</t>
  </si>
  <si>
    <t>ISS5-11</t>
  </si>
  <si>
    <t>ISS5-12</t>
  </si>
  <si>
    <t>ISS6-1</t>
  </si>
  <si>
    <t>ISS6-2</t>
  </si>
  <si>
    <t>ISS6-3</t>
  </si>
  <si>
    <t>ISS6-4</t>
  </si>
  <si>
    <t>ISS6-5</t>
  </si>
  <si>
    <t>ISS6-6</t>
  </si>
  <si>
    <t>ISS6-7</t>
  </si>
  <si>
    <t>ISS6-8</t>
  </si>
  <si>
    <t>ISS6-9</t>
  </si>
  <si>
    <t>ISS6-10</t>
  </si>
  <si>
    <t>ISS6-11</t>
  </si>
  <si>
    <t>ISS6-12</t>
  </si>
  <si>
    <t>ISS7-1</t>
  </si>
  <si>
    <t>ISS7-2</t>
  </si>
  <si>
    <t>ISS7-3</t>
  </si>
  <si>
    <t>ISS7-4</t>
  </si>
  <si>
    <t>ISS7-5</t>
  </si>
  <si>
    <t>ISS7-6</t>
  </si>
  <si>
    <t>ISS7-7</t>
  </si>
  <si>
    <t>ISS7-8</t>
  </si>
  <si>
    <t>ISS7-9</t>
  </si>
  <si>
    <t>ISS7-10</t>
  </si>
  <si>
    <t>ISS7-11</t>
  </si>
  <si>
    <t>ISS7-12</t>
  </si>
  <si>
    <t>IS8-1</t>
  </si>
  <si>
    <t>IS8-2</t>
  </si>
  <si>
    <t>IS8-3</t>
  </si>
  <si>
    <t>IS8-4</t>
  </si>
  <si>
    <t>IS8-5</t>
  </si>
  <si>
    <t>IS8-6</t>
  </si>
  <si>
    <t>IS8-7</t>
  </si>
  <si>
    <t>IS8-8</t>
  </si>
  <si>
    <t>IS8-9</t>
  </si>
  <si>
    <t>IS8-10</t>
  </si>
  <si>
    <t>IS8-11</t>
  </si>
  <si>
    <t>IS8-12</t>
  </si>
  <si>
    <t>Target Species</t>
  </si>
  <si>
    <t>Standard Name</t>
  </si>
  <si>
    <t>Copy Number of Standard (copies/reaction)</t>
  </si>
  <si>
    <t>AAS8-1</t>
  </si>
  <si>
    <t>AAS8-2</t>
  </si>
  <si>
    <t>AAS8-3</t>
  </si>
  <si>
    <t>AAS8-4</t>
  </si>
  <si>
    <t>AAS8-5</t>
  </si>
  <si>
    <t>AAS8-6</t>
  </si>
  <si>
    <t>AAS8-7</t>
  </si>
  <si>
    <t>AAS8-8</t>
  </si>
  <si>
    <t>AAS8-9</t>
  </si>
  <si>
    <t>AAS8-10</t>
  </si>
  <si>
    <t>AAS8-11</t>
  </si>
  <si>
    <t>AAS8-12</t>
  </si>
  <si>
    <t>1 replicate amplified due to suspected laboratory contamination.  Follow up assay yielded no amplification</t>
  </si>
  <si>
    <t>Removed from calculation due to suspected outlier</t>
  </si>
  <si>
    <t>Forest</t>
  </si>
  <si>
    <t>Lamcyzk Property</t>
  </si>
  <si>
    <t>Roger DeWitt</t>
  </si>
  <si>
    <t>Transitional Ecotone</t>
  </si>
  <si>
    <t>Arrowhead Campground</t>
  </si>
  <si>
    <t>Grassland</t>
  </si>
  <si>
    <t>Dixon Springs</t>
  </si>
  <si>
    <t>Crab Orchard</t>
  </si>
  <si>
    <t>Chautaqua</t>
  </si>
  <si>
    <t>Lake of the Woods</t>
  </si>
  <si>
    <t>Phillips Tract</t>
  </si>
  <si>
    <t>Trelease Woods</t>
  </si>
  <si>
    <t>Sibley PHA</t>
  </si>
  <si>
    <t>Wayne Fitzgerrell</t>
  </si>
  <si>
    <t>Pyramid Lake</t>
  </si>
  <si>
    <t>Frye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</si>
</sst>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0" fillId="2" borderId="0" xfId="0" applyFill="1"/>
    <xf numFmtId="0" fontId="0" fillId="0" borderId="1" xfId="0" applyBorder="1"/>
    <xf numFmtId="0" fontId="2" fillId="0" borderId="1" xfId="0" applyFont="1" applyBorder="1"/>
    <xf numFmtId="0" fontId="6" fillId="0" borderId="1" xfId="0" applyFont="1" applyBorder="1"/>
    <xf numFmtId="0" fontId="0" fillId="0" borderId="2" xfId="0" applyBorder="1"/>
    <xf numFmtId="49" fontId="2" fillId="0" borderId="0" xfId="0" applyNumberFormat="1" applyFont="1" applyAlignment="1">
      <alignment vertical="top"/>
    </xf>
    <xf numFmtId="0" fontId="5" fillId="0" borderId="0" xfId="0" applyFont="1"/>
    <xf numFmtId="0" fontId="4" fillId="0" borderId="0" xfId="0" applyFont="1"/>
    <xf numFmtId="14" fontId="2" fillId="0" borderId="0" xfId="0" applyNumberFormat="1" applyFont="1"/>
    <xf numFmtId="0" fontId="2" fillId="0" borderId="0" xfId="0" applyFont="1"/>
    <xf numFmtId="0" fontId="0" fillId="0" borderId="4" xfId="0" applyBorder="1"/>
    <xf numFmtId="164" fontId="0" fillId="0" borderId="0" xfId="0" applyNumberFormat="1" applyAlignment="1">
      <alignment vertical="top" wrapText="1"/>
    </xf>
    <xf numFmtId="1" fontId="4" fillId="0" borderId="5" xfId="0" applyNumberFormat="1" applyFont="1" applyBorder="1"/>
    <xf numFmtId="1" fontId="4" fillId="0" borderId="3" xfId="0" applyNumberFormat="1" applyFont="1" applyBorder="1"/>
    <xf numFmtId="2" fontId="4" fillId="0" borderId="3" xfId="0" applyNumberFormat="1" applyFont="1" applyBorder="1"/>
    <xf numFmtId="0" fontId="6" fillId="0" borderId="0" xfId="0" applyFont="1"/>
    <xf numFmtId="0" fontId="0" fillId="0" borderId="0" xfId="0" applyAlignment="1">
      <alignment wrapText="1"/>
    </xf>
    <xf numFmtId="1" fontId="4" fillId="0" borderId="2" xfId="0" applyNumberFormat="1" applyFont="1" applyBorder="1"/>
    <xf numFmtId="1" fontId="4" fillId="0" borderId="0" xfId="0" applyNumberFormat="1" applyFont="1"/>
    <xf numFmtId="1" fontId="4" fillId="2" borderId="2" xfId="0" applyNumberFormat="1" applyFont="1" applyFill="1" applyBorder="1"/>
    <xf numFmtId="2" fontId="4" fillId="0" borderId="2" xfId="0" applyNumberFormat="1" applyFont="1" applyBorder="1"/>
    <xf numFmtId="2" fontId="4" fillId="0" borderId="0" xfId="0" applyNumberFormat="1" applyFont="1"/>
    <xf numFmtId="1" fontId="4" fillId="0" borderId="6" xfId="0" applyNumberFormat="1" applyFont="1" applyBorder="1"/>
    <xf numFmtId="2" fontId="4" fillId="0" borderId="7" xfId="0" applyNumberFormat="1" applyFont="1" applyBorder="1"/>
    <xf numFmtId="1" fontId="4" fillId="0" borderId="8" xfId="0" applyNumberFormat="1" applyFont="1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DEF3-3C33-014F-8125-91D92BD13452}">
  <dimension ref="A1:E241"/>
  <sheetViews>
    <sheetView tabSelected="1" zoomScale="125" workbookViewId="0">
      <selection activeCell="E2" sqref="E2"/>
    </sheetView>
  </sheetViews>
  <sheetFormatPr baseColWidth="10" defaultRowHeight="16" x14ac:dyDescent="0.2"/>
  <cols>
    <col min="1" max="1" width="12.83203125" bestFit="1" customWidth="1"/>
    <col min="2" max="2" width="19.83203125" style="18" bestFit="1" customWidth="1"/>
    <col min="3" max="3" width="23.5" bestFit="1" customWidth="1"/>
    <col min="4" max="4" width="13" bestFit="1" customWidth="1"/>
  </cols>
  <sheetData>
    <row r="1" spans="1:5" ht="34" x14ac:dyDescent="0.2">
      <c r="A1" t="s">
        <v>311</v>
      </c>
      <c r="B1" t="s">
        <v>310</v>
      </c>
      <c r="C1" s="19" t="s">
        <v>312</v>
      </c>
      <c r="D1" t="s">
        <v>79</v>
      </c>
      <c r="E1" t="s">
        <v>60</v>
      </c>
    </row>
    <row r="2" spans="1:5" x14ac:dyDescent="0.2">
      <c r="A2" t="s">
        <v>80</v>
      </c>
      <c r="B2" s="18" t="s">
        <v>58</v>
      </c>
      <c r="C2">
        <v>30000</v>
      </c>
      <c r="D2">
        <v>30.00968482</v>
      </c>
    </row>
    <row r="3" spans="1:5" x14ac:dyDescent="0.2">
      <c r="A3" t="s">
        <v>81</v>
      </c>
      <c r="B3" s="18" t="s">
        <v>58</v>
      </c>
      <c r="C3">
        <v>30000</v>
      </c>
      <c r="D3">
        <v>29.14154697</v>
      </c>
    </row>
    <row r="4" spans="1:5" x14ac:dyDescent="0.2">
      <c r="A4" t="s">
        <v>82</v>
      </c>
      <c r="B4" s="18" t="s">
        <v>58</v>
      </c>
      <c r="C4">
        <v>30000</v>
      </c>
      <c r="D4">
        <v>29.734023520000001</v>
      </c>
    </row>
    <row r="5" spans="1:5" x14ac:dyDescent="0.2">
      <c r="A5" t="s">
        <v>83</v>
      </c>
      <c r="B5" s="18" t="s">
        <v>58</v>
      </c>
      <c r="C5">
        <v>30000</v>
      </c>
      <c r="D5">
        <v>29.242149479999998</v>
      </c>
    </row>
    <row r="6" spans="1:5" x14ac:dyDescent="0.2">
      <c r="A6" t="s">
        <v>84</v>
      </c>
      <c r="B6" s="18" t="s">
        <v>58</v>
      </c>
      <c r="C6">
        <v>30000</v>
      </c>
      <c r="D6">
        <v>29.59057511</v>
      </c>
    </row>
    <row r="7" spans="1:5" x14ac:dyDescent="0.2">
      <c r="A7" t="s">
        <v>85</v>
      </c>
      <c r="B7" s="18" t="s">
        <v>58</v>
      </c>
      <c r="C7">
        <v>30000</v>
      </c>
      <c r="D7">
        <v>29.33219867</v>
      </c>
    </row>
    <row r="8" spans="1:5" x14ac:dyDescent="0.2">
      <c r="A8" t="s">
        <v>86</v>
      </c>
      <c r="B8" s="18" t="s">
        <v>58</v>
      </c>
      <c r="C8">
        <v>30000</v>
      </c>
      <c r="D8">
        <v>30.01708567</v>
      </c>
    </row>
    <row r="9" spans="1:5" x14ac:dyDescent="0.2">
      <c r="A9" t="s">
        <v>87</v>
      </c>
      <c r="B9" s="18" t="s">
        <v>58</v>
      </c>
      <c r="C9">
        <v>30000</v>
      </c>
      <c r="D9">
        <v>30.070063059999999</v>
      </c>
    </row>
    <row r="10" spans="1:5" x14ac:dyDescent="0.2">
      <c r="A10" t="s">
        <v>88</v>
      </c>
      <c r="B10" s="18" t="s">
        <v>58</v>
      </c>
      <c r="C10">
        <v>30000</v>
      </c>
      <c r="D10">
        <v>29.67819575</v>
      </c>
    </row>
    <row r="11" spans="1:5" x14ac:dyDescent="0.2">
      <c r="A11" t="s">
        <v>89</v>
      </c>
      <c r="B11" s="18" t="s">
        <v>58</v>
      </c>
      <c r="C11">
        <v>30000</v>
      </c>
      <c r="D11">
        <v>29.73738908</v>
      </c>
    </row>
    <row r="12" spans="1:5" x14ac:dyDescent="0.2">
      <c r="A12" t="s">
        <v>90</v>
      </c>
      <c r="B12" s="18" t="s">
        <v>58</v>
      </c>
      <c r="C12">
        <v>30000</v>
      </c>
      <c r="D12">
        <v>29.53285357</v>
      </c>
    </row>
    <row r="13" spans="1:5" x14ac:dyDescent="0.2">
      <c r="A13" t="s">
        <v>91</v>
      </c>
      <c r="B13" s="18" t="s">
        <v>58</v>
      </c>
      <c r="C13">
        <v>30000</v>
      </c>
      <c r="D13">
        <v>29.798377500000001</v>
      </c>
    </row>
    <row r="14" spans="1:5" x14ac:dyDescent="0.2">
      <c r="A14" t="s">
        <v>92</v>
      </c>
      <c r="B14" s="18" t="s">
        <v>58</v>
      </c>
      <c r="C14">
        <v>3000</v>
      </c>
      <c r="D14">
        <v>32.620355930000002</v>
      </c>
    </row>
    <row r="15" spans="1:5" x14ac:dyDescent="0.2">
      <c r="A15" t="s">
        <v>93</v>
      </c>
      <c r="B15" s="18" t="s">
        <v>58</v>
      </c>
      <c r="C15">
        <v>3000</v>
      </c>
      <c r="D15">
        <v>32.702651469999999</v>
      </c>
    </row>
    <row r="16" spans="1:5" x14ac:dyDescent="0.2">
      <c r="A16" t="s">
        <v>94</v>
      </c>
      <c r="B16" s="18" t="s">
        <v>58</v>
      </c>
      <c r="C16">
        <v>3000</v>
      </c>
      <c r="D16">
        <v>33.281165469999998</v>
      </c>
    </row>
    <row r="17" spans="1:4" x14ac:dyDescent="0.2">
      <c r="A17" t="s">
        <v>95</v>
      </c>
      <c r="B17" s="18" t="s">
        <v>58</v>
      </c>
      <c r="C17">
        <v>3000</v>
      </c>
      <c r="D17">
        <v>32.012770750000001</v>
      </c>
    </row>
    <row r="18" spans="1:4" x14ac:dyDescent="0.2">
      <c r="A18" t="s">
        <v>96</v>
      </c>
      <c r="B18" s="18" t="s">
        <v>58</v>
      </c>
      <c r="C18">
        <v>3000</v>
      </c>
      <c r="D18">
        <v>31.983809170000001</v>
      </c>
    </row>
    <row r="19" spans="1:4" x14ac:dyDescent="0.2">
      <c r="A19" t="s">
        <v>97</v>
      </c>
      <c r="B19" s="18" t="s">
        <v>58</v>
      </c>
      <c r="C19">
        <v>3000</v>
      </c>
      <c r="D19">
        <v>32.298187079999998</v>
      </c>
    </row>
    <row r="20" spans="1:4" x14ac:dyDescent="0.2">
      <c r="A20" t="s">
        <v>98</v>
      </c>
      <c r="B20" s="18" t="s">
        <v>58</v>
      </c>
      <c r="C20">
        <v>3000</v>
      </c>
      <c r="D20">
        <v>32.517832319999997</v>
      </c>
    </row>
    <row r="21" spans="1:4" x14ac:dyDescent="0.2">
      <c r="A21" t="s">
        <v>99</v>
      </c>
      <c r="B21" s="18" t="s">
        <v>58</v>
      </c>
      <c r="C21">
        <v>3000</v>
      </c>
      <c r="D21">
        <v>32.67084929</v>
      </c>
    </row>
    <row r="22" spans="1:4" x14ac:dyDescent="0.2">
      <c r="A22" t="s">
        <v>100</v>
      </c>
      <c r="B22" s="18" t="s">
        <v>58</v>
      </c>
      <c r="C22">
        <v>3000</v>
      </c>
      <c r="D22">
        <v>32.696460180000003</v>
      </c>
    </row>
    <row r="23" spans="1:4" x14ac:dyDescent="0.2">
      <c r="A23" t="s">
        <v>101</v>
      </c>
      <c r="B23" s="18" t="s">
        <v>58</v>
      </c>
      <c r="C23">
        <v>3000</v>
      </c>
      <c r="D23">
        <v>32.756396180000003</v>
      </c>
    </row>
    <row r="24" spans="1:4" x14ac:dyDescent="0.2">
      <c r="A24" t="s">
        <v>102</v>
      </c>
      <c r="B24" s="18" t="s">
        <v>58</v>
      </c>
      <c r="C24">
        <v>3000</v>
      </c>
      <c r="D24">
        <v>32.740461529999997</v>
      </c>
    </row>
    <row r="25" spans="1:4" x14ac:dyDescent="0.2">
      <c r="A25" t="s">
        <v>103</v>
      </c>
      <c r="B25" s="18" t="s">
        <v>58</v>
      </c>
      <c r="C25">
        <v>3000</v>
      </c>
      <c r="D25">
        <v>33.28977484</v>
      </c>
    </row>
    <row r="26" spans="1:4" x14ac:dyDescent="0.2">
      <c r="A26" t="s">
        <v>104</v>
      </c>
      <c r="B26" s="18" t="s">
        <v>58</v>
      </c>
      <c r="C26">
        <v>300</v>
      </c>
      <c r="D26">
        <v>36.30040949</v>
      </c>
    </row>
    <row r="27" spans="1:4" x14ac:dyDescent="0.2">
      <c r="A27" t="s">
        <v>105</v>
      </c>
      <c r="B27" s="18" t="s">
        <v>58</v>
      </c>
      <c r="C27">
        <v>300</v>
      </c>
      <c r="D27">
        <v>36.754001539999997</v>
      </c>
    </row>
    <row r="28" spans="1:4" x14ac:dyDescent="0.2">
      <c r="A28" t="s">
        <v>106</v>
      </c>
      <c r="B28" s="18" t="s">
        <v>58</v>
      </c>
      <c r="C28">
        <v>300</v>
      </c>
      <c r="D28">
        <v>35.613454930000003</v>
      </c>
    </row>
    <row r="29" spans="1:4" x14ac:dyDescent="0.2">
      <c r="A29" t="s">
        <v>107</v>
      </c>
      <c r="B29" s="18" t="s">
        <v>58</v>
      </c>
      <c r="C29">
        <v>300</v>
      </c>
      <c r="D29">
        <v>37.196461640000003</v>
      </c>
    </row>
    <row r="30" spans="1:4" x14ac:dyDescent="0.2">
      <c r="A30" t="s">
        <v>108</v>
      </c>
      <c r="B30" s="18" t="s">
        <v>58</v>
      </c>
      <c r="C30">
        <v>300</v>
      </c>
      <c r="D30">
        <v>36.578260569999998</v>
      </c>
    </row>
    <row r="31" spans="1:4" x14ac:dyDescent="0.2">
      <c r="A31" t="s">
        <v>109</v>
      </c>
      <c r="B31" s="18" t="s">
        <v>58</v>
      </c>
      <c r="C31">
        <v>300</v>
      </c>
      <c r="D31">
        <v>35.735667720000002</v>
      </c>
    </row>
    <row r="32" spans="1:4" x14ac:dyDescent="0.2">
      <c r="A32" t="s">
        <v>110</v>
      </c>
      <c r="B32" s="18" t="s">
        <v>58</v>
      </c>
      <c r="C32">
        <v>300</v>
      </c>
      <c r="D32">
        <v>36.508441550000001</v>
      </c>
    </row>
    <row r="33" spans="1:5" x14ac:dyDescent="0.2">
      <c r="A33" t="s">
        <v>111</v>
      </c>
      <c r="B33" s="18" t="s">
        <v>58</v>
      </c>
      <c r="C33">
        <v>300</v>
      </c>
      <c r="D33">
        <v>36.073524919999997</v>
      </c>
    </row>
    <row r="34" spans="1:5" x14ac:dyDescent="0.2">
      <c r="A34" t="s">
        <v>112</v>
      </c>
      <c r="B34" s="18" t="s">
        <v>58</v>
      </c>
      <c r="C34">
        <v>300</v>
      </c>
      <c r="D34">
        <v>36.333789459999998</v>
      </c>
    </row>
    <row r="35" spans="1:5" x14ac:dyDescent="0.2">
      <c r="A35" t="s">
        <v>113</v>
      </c>
      <c r="B35" s="18" t="s">
        <v>58</v>
      </c>
      <c r="C35">
        <v>300</v>
      </c>
      <c r="D35">
        <v>36.129720880000001</v>
      </c>
    </row>
    <row r="36" spans="1:5" x14ac:dyDescent="0.2">
      <c r="A36" t="s">
        <v>114</v>
      </c>
      <c r="B36" s="18" t="s">
        <v>58</v>
      </c>
      <c r="C36">
        <v>300</v>
      </c>
      <c r="D36">
        <v>36.504075360000002</v>
      </c>
    </row>
    <row r="37" spans="1:5" x14ac:dyDescent="0.2">
      <c r="A37" t="s">
        <v>115</v>
      </c>
      <c r="B37" s="18" t="s">
        <v>58</v>
      </c>
      <c r="C37">
        <v>300</v>
      </c>
      <c r="D37">
        <v>37.159038129999999</v>
      </c>
    </row>
    <row r="38" spans="1:5" x14ac:dyDescent="0.2">
      <c r="A38" t="s">
        <v>116</v>
      </c>
      <c r="B38" s="18" t="s">
        <v>58</v>
      </c>
      <c r="C38">
        <v>30</v>
      </c>
      <c r="D38" s="3">
        <v>42.951731760000001</v>
      </c>
      <c r="E38" s="3" t="s">
        <v>326</v>
      </c>
    </row>
    <row r="39" spans="1:5" x14ac:dyDescent="0.2">
      <c r="A39" t="s">
        <v>117</v>
      </c>
      <c r="B39" s="18" t="s">
        <v>58</v>
      </c>
      <c r="C39">
        <v>30</v>
      </c>
      <c r="D39">
        <v>38.699381369999998</v>
      </c>
    </row>
    <row r="40" spans="1:5" x14ac:dyDescent="0.2">
      <c r="A40" t="s">
        <v>118</v>
      </c>
      <c r="B40" s="18" t="s">
        <v>58</v>
      </c>
      <c r="C40">
        <v>30</v>
      </c>
      <c r="D40">
        <v>39.2681562</v>
      </c>
    </row>
    <row r="41" spans="1:5" x14ac:dyDescent="0.2">
      <c r="A41" t="s">
        <v>119</v>
      </c>
      <c r="B41" s="18" t="s">
        <v>58</v>
      </c>
      <c r="C41">
        <v>30</v>
      </c>
      <c r="D41">
        <v>39.078506079999997</v>
      </c>
    </row>
    <row r="42" spans="1:5" x14ac:dyDescent="0.2">
      <c r="A42" t="s">
        <v>120</v>
      </c>
      <c r="B42" s="18" t="s">
        <v>58</v>
      </c>
      <c r="C42">
        <v>30</v>
      </c>
      <c r="D42">
        <v>39.950847000000003</v>
      </c>
    </row>
    <row r="43" spans="1:5" x14ac:dyDescent="0.2">
      <c r="A43" t="s">
        <v>121</v>
      </c>
      <c r="B43" s="18" t="s">
        <v>58</v>
      </c>
      <c r="C43">
        <v>30</v>
      </c>
      <c r="D43">
        <v>39.250220130000002</v>
      </c>
    </row>
    <row r="44" spans="1:5" x14ac:dyDescent="0.2">
      <c r="A44" t="s">
        <v>122</v>
      </c>
      <c r="B44" s="18" t="s">
        <v>58</v>
      </c>
      <c r="C44">
        <v>30</v>
      </c>
      <c r="D44">
        <v>40.517716380000003</v>
      </c>
    </row>
    <row r="45" spans="1:5" x14ac:dyDescent="0.2">
      <c r="A45" t="s">
        <v>123</v>
      </c>
      <c r="B45" s="18" t="s">
        <v>58</v>
      </c>
      <c r="C45">
        <v>30</v>
      </c>
      <c r="D45">
        <v>39.92202546</v>
      </c>
    </row>
    <row r="46" spans="1:5" x14ac:dyDescent="0.2">
      <c r="A46" t="s">
        <v>124</v>
      </c>
      <c r="B46" s="18" t="s">
        <v>58</v>
      </c>
      <c r="C46">
        <v>30</v>
      </c>
      <c r="D46">
        <v>39.134939899999999</v>
      </c>
    </row>
    <row r="47" spans="1:5" x14ac:dyDescent="0.2">
      <c r="A47" t="s">
        <v>125</v>
      </c>
      <c r="B47" s="18" t="s">
        <v>58</v>
      </c>
      <c r="C47">
        <v>30</v>
      </c>
      <c r="D47">
        <v>40.047225089999998</v>
      </c>
    </row>
    <row r="48" spans="1:5" x14ac:dyDescent="0.2">
      <c r="A48" t="s">
        <v>126</v>
      </c>
      <c r="B48" s="18" t="s">
        <v>58</v>
      </c>
      <c r="C48">
        <v>30</v>
      </c>
      <c r="D48">
        <v>38.960856749999998</v>
      </c>
    </row>
    <row r="49" spans="1:4" x14ac:dyDescent="0.2">
      <c r="A49" t="s">
        <v>127</v>
      </c>
      <c r="B49" s="18" t="s">
        <v>58</v>
      </c>
      <c r="C49">
        <v>30</v>
      </c>
      <c r="D49">
        <v>39.800787620000001</v>
      </c>
    </row>
    <row r="50" spans="1:4" x14ac:dyDescent="0.2">
      <c r="A50" t="s">
        <v>128</v>
      </c>
      <c r="B50" s="18" t="s">
        <v>58</v>
      </c>
      <c r="C50">
        <v>3</v>
      </c>
      <c r="D50">
        <v>43.369479400000003</v>
      </c>
    </row>
    <row r="51" spans="1:4" x14ac:dyDescent="0.2">
      <c r="A51" t="s">
        <v>129</v>
      </c>
      <c r="B51" s="18" t="s">
        <v>58</v>
      </c>
      <c r="C51">
        <v>3</v>
      </c>
      <c r="D51" t="s">
        <v>130</v>
      </c>
    </row>
    <row r="52" spans="1:4" x14ac:dyDescent="0.2">
      <c r="A52" t="s">
        <v>131</v>
      </c>
      <c r="B52" s="18" t="s">
        <v>58</v>
      </c>
      <c r="C52">
        <v>3</v>
      </c>
      <c r="D52">
        <v>41.388449559999998</v>
      </c>
    </row>
    <row r="53" spans="1:4" x14ac:dyDescent="0.2">
      <c r="A53" t="s">
        <v>132</v>
      </c>
      <c r="B53" s="18" t="s">
        <v>58</v>
      </c>
      <c r="C53">
        <v>3</v>
      </c>
      <c r="D53">
        <v>42.317172079999999</v>
      </c>
    </row>
    <row r="54" spans="1:4" x14ac:dyDescent="0.2">
      <c r="A54" t="s">
        <v>133</v>
      </c>
      <c r="B54" s="18" t="s">
        <v>58</v>
      </c>
      <c r="C54">
        <v>3</v>
      </c>
      <c r="D54" t="s">
        <v>130</v>
      </c>
    </row>
    <row r="55" spans="1:4" x14ac:dyDescent="0.2">
      <c r="A55" t="s">
        <v>134</v>
      </c>
      <c r="B55" s="18" t="s">
        <v>58</v>
      </c>
      <c r="C55">
        <v>3</v>
      </c>
      <c r="D55">
        <v>41.636277530000001</v>
      </c>
    </row>
    <row r="56" spans="1:4" x14ac:dyDescent="0.2">
      <c r="A56" t="s">
        <v>135</v>
      </c>
      <c r="B56" s="18" t="s">
        <v>58</v>
      </c>
      <c r="C56">
        <v>3</v>
      </c>
      <c r="D56">
        <v>41.268864669999999</v>
      </c>
    </row>
    <row r="57" spans="1:4" x14ac:dyDescent="0.2">
      <c r="A57" t="s">
        <v>136</v>
      </c>
      <c r="B57" s="18" t="s">
        <v>58</v>
      </c>
      <c r="C57">
        <v>3</v>
      </c>
      <c r="D57">
        <v>43.349095249999998</v>
      </c>
    </row>
    <row r="58" spans="1:4" x14ac:dyDescent="0.2">
      <c r="A58" t="s">
        <v>137</v>
      </c>
      <c r="B58" s="18" t="s">
        <v>58</v>
      </c>
      <c r="C58">
        <v>3</v>
      </c>
      <c r="D58">
        <v>42.322150129999997</v>
      </c>
    </row>
    <row r="59" spans="1:4" x14ac:dyDescent="0.2">
      <c r="A59" t="s">
        <v>138</v>
      </c>
      <c r="B59" s="18" t="s">
        <v>58</v>
      </c>
      <c r="C59">
        <v>3</v>
      </c>
      <c r="D59">
        <v>43.606221679999997</v>
      </c>
    </row>
    <row r="60" spans="1:4" x14ac:dyDescent="0.2">
      <c r="A60" t="s">
        <v>139</v>
      </c>
      <c r="B60" s="18" t="s">
        <v>58</v>
      </c>
      <c r="C60">
        <v>3</v>
      </c>
      <c r="D60">
        <v>42.569841910000001</v>
      </c>
    </row>
    <row r="61" spans="1:4" x14ac:dyDescent="0.2">
      <c r="A61" t="s">
        <v>140</v>
      </c>
      <c r="B61" s="18" t="s">
        <v>58</v>
      </c>
      <c r="C61">
        <v>3</v>
      </c>
      <c r="D61" t="s">
        <v>130</v>
      </c>
    </row>
    <row r="62" spans="1:4" x14ac:dyDescent="0.2">
      <c r="A62" t="s">
        <v>141</v>
      </c>
      <c r="B62" s="18" t="s">
        <v>58</v>
      </c>
      <c r="C62">
        <v>1</v>
      </c>
      <c r="D62" t="s">
        <v>130</v>
      </c>
    </row>
    <row r="63" spans="1:4" x14ac:dyDescent="0.2">
      <c r="A63" t="s">
        <v>142</v>
      </c>
      <c r="B63" s="18" t="s">
        <v>58</v>
      </c>
      <c r="C63">
        <v>1</v>
      </c>
      <c r="D63" t="s">
        <v>130</v>
      </c>
    </row>
    <row r="64" spans="1:4" x14ac:dyDescent="0.2">
      <c r="A64" t="s">
        <v>143</v>
      </c>
      <c r="B64" s="18" t="s">
        <v>58</v>
      </c>
      <c r="C64">
        <v>1</v>
      </c>
      <c r="D64" t="s">
        <v>130</v>
      </c>
    </row>
    <row r="65" spans="1:5" x14ac:dyDescent="0.2">
      <c r="A65" t="s">
        <v>144</v>
      </c>
      <c r="B65" s="18" t="s">
        <v>58</v>
      </c>
      <c r="C65">
        <v>1</v>
      </c>
      <c r="D65" t="s">
        <v>130</v>
      </c>
    </row>
    <row r="66" spans="1:5" x14ac:dyDescent="0.2">
      <c r="A66" t="s">
        <v>145</v>
      </c>
      <c r="B66" s="18" t="s">
        <v>58</v>
      </c>
      <c r="C66">
        <v>1</v>
      </c>
      <c r="D66">
        <v>43.306970010000001</v>
      </c>
    </row>
    <row r="67" spans="1:5" x14ac:dyDescent="0.2">
      <c r="A67" t="s">
        <v>146</v>
      </c>
      <c r="B67" s="18" t="s">
        <v>58</v>
      </c>
      <c r="C67">
        <v>1</v>
      </c>
      <c r="D67" t="s">
        <v>130</v>
      </c>
    </row>
    <row r="68" spans="1:5" x14ac:dyDescent="0.2">
      <c r="A68" t="s">
        <v>147</v>
      </c>
      <c r="B68" s="18" t="s">
        <v>58</v>
      </c>
      <c r="C68">
        <v>1</v>
      </c>
      <c r="D68">
        <v>41.949304859999998</v>
      </c>
    </row>
    <row r="69" spans="1:5" x14ac:dyDescent="0.2">
      <c r="A69" t="s">
        <v>148</v>
      </c>
      <c r="B69" s="18" t="s">
        <v>58</v>
      </c>
      <c r="C69">
        <v>1</v>
      </c>
      <c r="D69" t="s">
        <v>130</v>
      </c>
    </row>
    <row r="70" spans="1:5" x14ac:dyDescent="0.2">
      <c r="A70" t="s">
        <v>149</v>
      </c>
      <c r="B70" s="18" t="s">
        <v>58</v>
      </c>
      <c r="C70">
        <v>1</v>
      </c>
      <c r="D70" t="s">
        <v>130</v>
      </c>
    </row>
    <row r="71" spans="1:5" x14ac:dyDescent="0.2">
      <c r="A71" t="s">
        <v>150</v>
      </c>
      <c r="B71" s="18" t="s">
        <v>58</v>
      </c>
      <c r="C71">
        <v>1</v>
      </c>
      <c r="D71">
        <v>43.391375650000001</v>
      </c>
    </row>
    <row r="72" spans="1:5" x14ac:dyDescent="0.2">
      <c r="A72" t="s">
        <v>151</v>
      </c>
      <c r="B72" s="18" t="s">
        <v>58</v>
      </c>
      <c r="C72">
        <v>1</v>
      </c>
      <c r="D72" t="s">
        <v>130</v>
      </c>
    </row>
    <row r="73" spans="1:5" x14ac:dyDescent="0.2">
      <c r="A73" t="s">
        <v>152</v>
      </c>
      <c r="B73" s="18" t="s">
        <v>58</v>
      </c>
      <c r="C73">
        <v>1</v>
      </c>
      <c r="D73" t="s">
        <v>130</v>
      </c>
    </row>
    <row r="74" spans="1:5" x14ac:dyDescent="0.2">
      <c r="A74" t="s">
        <v>153</v>
      </c>
      <c r="B74" s="18" t="s">
        <v>57</v>
      </c>
      <c r="C74">
        <v>300000</v>
      </c>
      <c r="D74">
        <v>27.828388239999999</v>
      </c>
    </row>
    <row r="75" spans="1:5" x14ac:dyDescent="0.2">
      <c r="A75" t="s">
        <v>154</v>
      </c>
      <c r="B75" s="18" t="s">
        <v>57</v>
      </c>
      <c r="C75">
        <v>300000</v>
      </c>
      <c r="D75">
        <v>27.160092089999999</v>
      </c>
    </row>
    <row r="76" spans="1:5" x14ac:dyDescent="0.2">
      <c r="A76" t="s">
        <v>155</v>
      </c>
      <c r="B76" s="18" t="s">
        <v>57</v>
      </c>
      <c r="C76">
        <v>300000</v>
      </c>
      <c r="D76">
        <v>27.87866094</v>
      </c>
    </row>
    <row r="77" spans="1:5" x14ac:dyDescent="0.2">
      <c r="A77" t="s">
        <v>156</v>
      </c>
      <c r="B77" s="18" t="s">
        <v>57</v>
      </c>
      <c r="C77">
        <v>300000</v>
      </c>
      <c r="D77">
        <v>27.533190900000001</v>
      </c>
    </row>
    <row r="78" spans="1:5" x14ac:dyDescent="0.2">
      <c r="A78" t="s">
        <v>157</v>
      </c>
      <c r="B78" s="18" t="s">
        <v>57</v>
      </c>
      <c r="C78">
        <v>300000</v>
      </c>
      <c r="D78">
        <v>28.440685240000001</v>
      </c>
    </row>
    <row r="79" spans="1:5" x14ac:dyDescent="0.2">
      <c r="A79" t="s">
        <v>158</v>
      </c>
      <c r="B79" s="18" t="s">
        <v>57</v>
      </c>
      <c r="C79">
        <v>300000</v>
      </c>
      <c r="D79">
        <v>27.921694080000002</v>
      </c>
    </row>
    <row r="80" spans="1:5" x14ac:dyDescent="0.2">
      <c r="A80" t="s">
        <v>159</v>
      </c>
      <c r="B80" s="18" t="s">
        <v>57</v>
      </c>
      <c r="C80">
        <v>300000</v>
      </c>
      <c r="D80" s="3">
        <v>30.331034819999999</v>
      </c>
      <c r="E80" s="3" t="s">
        <v>326</v>
      </c>
    </row>
    <row r="81" spans="1:5" x14ac:dyDescent="0.2">
      <c r="A81" t="s">
        <v>160</v>
      </c>
      <c r="B81" s="18" t="s">
        <v>57</v>
      </c>
      <c r="C81">
        <v>300000</v>
      </c>
      <c r="D81">
        <v>27.35076359</v>
      </c>
    </row>
    <row r="82" spans="1:5" x14ac:dyDescent="0.2">
      <c r="A82" t="s">
        <v>161</v>
      </c>
      <c r="B82" s="18" t="s">
        <v>57</v>
      </c>
      <c r="C82">
        <v>300000</v>
      </c>
      <c r="D82">
        <v>28.078693640000001</v>
      </c>
    </row>
    <row r="83" spans="1:5" x14ac:dyDescent="0.2">
      <c r="A83" t="s">
        <v>162</v>
      </c>
      <c r="B83" s="18" t="s">
        <v>57</v>
      </c>
      <c r="C83">
        <v>300000</v>
      </c>
      <c r="D83">
        <v>27.28795384</v>
      </c>
    </row>
    <row r="84" spans="1:5" x14ac:dyDescent="0.2">
      <c r="A84" t="s">
        <v>163</v>
      </c>
      <c r="B84" s="18" t="s">
        <v>57</v>
      </c>
      <c r="C84">
        <v>300000</v>
      </c>
      <c r="D84">
        <v>27.31895944</v>
      </c>
    </row>
    <row r="85" spans="1:5" x14ac:dyDescent="0.2">
      <c r="A85" t="s">
        <v>164</v>
      </c>
      <c r="B85" s="18" t="s">
        <v>57</v>
      </c>
      <c r="C85">
        <v>300000</v>
      </c>
      <c r="D85">
        <v>27.838589809999998</v>
      </c>
    </row>
    <row r="86" spans="1:5" x14ac:dyDescent="0.2">
      <c r="A86" t="s">
        <v>165</v>
      </c>
      <c r="B86" s="18" t="s">
        <v>57</v>
      </c>
      <c r="C86">
        <v>30000</v>
      </c>
      <c r="D86">
        <v>32.547047730000003</v>
      </c>
    </row>
    <row r="87" spans="1:5" x14ac:dyDescent="0.2">
      <c r="A87" t="s">
        <v>166</v>
      </c>
      <c r="B87" s="18" t="s">
        <v>57</v>
      </c>
      <c r="C87">
        <v>30000</v>
      </c>
      <c r="D87">
        <v>32.115680769999997</v>
      </c>
    </row>
    <row r="88" spans="1:5" x14ac:dyDescent="0.2">
      <c r="A88" t="s">
        <v>167</v>
      </c>
      <c r="B88" s="18" t="s">
        <v>57</v>
      </c>
      <c r="C88">
        <v>30000</v>
      </c>
      <c r="D88">
        <v>31.973053279999998</v>
      </c>
    </row>
    <row r="89" spans="1:5" x14ac:dyDescent="0.2">
      <c r="A89" t="s">
        <v>168</v>
      </c>
      <c r="B89" s="18" t="s">
        <v>57</v>
      </c>
      <c r="C89">
        <v>30000</v>
      </c>
      <c r="D89">
        <v>31.980674400000002</v>
      </c>
    </row>
    <row r="90" spans="1:5" x14ac:dyDescent="0.2">
      <c r="A90" t="s">
        <v>169</v>
      </c>
      <c r="B90" s="18" t="s">
        <v>57</v>
      </c>
      <c r="C90">
        <v>30000</v>
      </c>
      <c r="D90">
        <v>32.043299330000004</v>
      </c>
    </row>
    <row r="91" spans="1:5" x14ac:dyDescent="0.2">
      <c r="A91" t="s">
        <v>170</v>
      </c>
      <c r="B91" s="18" t="s">
        <v>57</v>
      </c>
      <c r="C91">
        <v>30000</v>
      </c>
      <c r="D91" s="3">
        <v>41.844761339999998</v>
      </c>
      <c r="E91" s="3" t="s">
        <v>326</v>
      </c>
    </row>
    <row r="92" spans="1:5" x14ac:dyDescent="0.2">
      <c r="A92" t="s">
        <v>171</v>
      </c>
      <c r="B92" s="18" t="s">
        <v>57</v>
      </c>
      <c r="C92">
        <v>30000</v>
      </c>
      <c r="D92">
        <v>32.361971709999999</v>
      </c>
    </row>
    <row r="93" spans="1:5" x14ac:dyDescent="0.2">
      <c r="A93" t="s">
        <v>172</v>
      </c>
      <c r="B93" s="18" t="s">
        <v>57</v>
      </c>
      <c r="C93">
        <v>30000</v>
      </c>
      <c r="D93" s="3">
        <v>35.86524601</v>
      </c>
      <c r="E93" s="3" t="s">
        <v>326</v>
      </c>
    </row>
    <row r="94" spans="1:5" x14ac:dyDescent="0.2">
      <c r="A94" t="s">
        <v>173</v>
      </c>
      <c r="B94" s="18" t="s">
        <v>57</v>
      </c>
      <c r="C94">
        <v>30000</v>
      </c>
      <c r="D94">
        <v>32.471673539999998</v>
      </c>
    </row>
    <row r="95" spans="1:5" x14ac:dyDescent="0.2">
      <c r="A95" t="s">
        <v>174</v>
      </c>
      <c r="B95" s="18" t="s">
        <v>57</v>
      </c>
      <c r="C95">
        <v>30000</v>
      </c>
      <c r="D95">
        <v>31.91277565</v>
      </c>
    </row>
    <row r="96" spans="1:5" x14ac:dyDescent="0.2">
      <c r="A96" t="s">
        <v>175</v>
      </c>
      <c r="B96" s="18" t="s">
        <v>57</v>
      </c>
      <c r="C96">
        <v>30000</v>
      </c>
      <c r="D96">
        <v>31.932988340000001</v>
      </c>
    </row>
    <row r="97" spans="1:4" x14ac:dyDescent="0.2">
      <c r="A97" t="s">
        <v>176</v>
      </c>
      <c r="B97" s="18" t="s">
        <v>57</v>
      </c>
      <c r="C97">
        <v>30000</v>
      </c>
      <c r="D97">
        <v>32.271791299999997</v>
      </c>
    </row>
    <row r="98" spans="1:4" x14ac:dyDescent="0.2">
      <c r="A98" t="s">
        <v>177</v>
      </c>
      <c r="B98" s="18" t="s">
        <v>57</v>
      </c>
      <c r="C98">
        <v>3000</v>
      </c>
      <c r="D98">
        <v>36.076381329999997</v>
      </c>
    </row>
    <row r="99" spans="1:4" x14ac:dyDescent="0.2">
      <c r="A99" t="s">
        <v>178</v>
      </c>
      <c r="B99" s="18" t="s">
        <v>57</v>
      </c>
      <c r="C99">
        <v>3000</v>
      </c>
      <c r="D99">
        <v>35.479148330000001</v>
      </c>
    </row>
    <row r="100" spans="1:4" x14ac:dyDescent="0.2">
      <c r="A100" t="s">
        <v>179</v>
      </c>
      <c r="B100" s="18" t="s">
        <v>57</v>
      </c>
      <c r="C100">
        <v>3000</v>
      </c>
      <c r="D100">
        <v>35.742174679999998</v>
      </c>
    </row>
    <row r="101" spans="1:4" x14ac:dyDescent="0.2">
      <c r="A101" t="s">
        <v>180</v>
      </c>
      <c r="B101" s="18" t="s">
        <v>57</v>
      </c>
      <c r="C101">
        <v>3000</v>
      </c>
      <c r="D101">
        <v>35.828614000000002</v>
      </c>
    </row>
    <row r="102" spans="1:4" x14ac:dyDescent="0.2">
      <c r="A102" t="s">
        <v>181</v>
      </c>
      <c r="B102" s="18" t="s">
        <v>57</v>
      </c>
      <c r="C102">
        <v>3000</v>
      </c>
      <c r="D102">
        <v>35.821542549999997</v>
      </c>
    </row>
    <row r="103" spans="1:4" x14ac:dyDescent="0.2">
      <c r="A103" t="s">
        <v>182</v>
      </c>
      <c r="B103" s="18" t="s">
        <v>57</v>
      </c>
      <c r="C103">
        <v>3000</v>
      </c>
      <c r="D103">
        <v>35.89489803</v>
      </c>
    </row>
    <row r="104" spans="1:4" x14ac:dyDescent="0.2">
      <c r="A104" t="s">
        <v>183</v>
      </c>
      <c r="B104" s="18" t="s">
        <v>57</v>
      </c>
      <c r="C104">
        <v>3000</v>
      </c>
      <c r="D104">
        <v>35.843625780000004</v>
      </c>
    </row>
    <row r="105" spans="1:4" x14ac:dyDescent="0.2">
      <c r="A105" t="s">
        <v>184</v>
      </c>
      <c r="B105" s="18" t="s">
        <v>57</v>
      </c>
      <c r="C105">
        <v>3000</v>
      </c>
      <c r="D105">
        <v>35.172707000000003</v>
      </c>
    </row>
    <row r="106" spans="1:4" x14ac:dyDescent="0.2">
      <c r="A106" t="s">
        <v>185</v>
      </c>
      <c r="B106" s="18" t="s">
        <v>57</v>
      </c>
      <c r="C106">
        <v>3000</v>
      </c>
      <c r="D106">
        <v>36.157573069999998</v>
      </c>
    </row>
    <row r="107" spans="1:4" x14ac:dyDescent="0.2">
      <c r="A107" t="s">
        <v>186</v>
      </c>
      <c r="B107" s="18" t="s">
        <v>57</v>
      </c>
      <c r="C107">
        <v>3000</v>
      </c>
      <c r="D107">
        <v>35.300311899999997</v>
      </c>
    </row>
    <row r="108" spans="1:4" x14ac:dyDescent="0.2">
      <c r="A108" t="s">
        <v>187</v>
      </c>
      <c r="B108" s="18" t="s">
        <v>57</v>
      </c>
      <c r="C108">
        <v>3000</v>
      </c>
      <c r="D108">
        <v>35.216373189999999</v>
      </c>
    </row>
    <row r="109" spans="1:4" x14ac:dyDescent="0.2">
      <c r="A109" t="s">
        <v>188</v>
      </c>
      <c r="B109" s="18" t="s">
        <v>57</v>
      </c>
      <c r="C109">
        <v>3000</v>
      </c>
      <c r="D109">
        <v>35.786991710000002</v>
      </c>
    </row>
    <row r="110" spans="1:4" x14ac:dyDescent="0.2">
      <c r="A110" t="s">
        <v>189</v>
      </c>
      <c r="B110" s="18" t="s">
        <v>57</v>
      </c>
      <c r="C110">
        <v>300</v>
      </c>
      <c r="D110">
        <v>38.138955449999997</v>
      </c>
    </row>
    <row r="111" spans="1:4" x14ac:dyDescent="0.2">
      <c r="A111" t="s">
        <v>190</v>
      </c>
      <c r="B111" s="18" t="s">
        <v>57</v>
      </c>
      <c r="C111">
        <v>300</v>
      </c>
      <c r="D111">
        <v>39.853893650000003</v>
      </c>
    </row>
    <row r="112" spans="1:4" x14ac:dyDescent="0.2">
      <c r="A112" t="s">
        <v>191</v>
      </c>
      <c r="B112" s="18" t="s">
        <v>57</v>
      </c>
      <c r="C112">
        <v>300</v>
      </c>
      <c r="D112">
        <v>38.332220900000003</v>
      </c>
    </row>
    <row r="113" spans="1:4" x14ac:dyDescent="0.2">
      <c r="A113" t="s">
        <v>192</v>
      </c>
      <c r="B113" s="18" t="s">
        <v>57</v>
      </c>
      <c r="C113">
        <v>300</v>
      </c>
      <c r="D113">
        <v>38.188019509999997</v>
      </c>
    </row>
    <row r="114" spans="1:4" x14ac:dyDescent="0.2">
      <c r="A114" t="s">
        <v>193</v>
      </c>
      <c r="B114" s="18" t="s">
        <v>57</v>
      </c>
      <c r="C114">
        <v>300</v>
      </c>
      <c r="D114">
        <v>38.525048409999997</v>
      </c>
    </row>
    <row r="115" spans="1:4" x14ac:dyDescent="0.2">
      <c r="A115" t="s">
        <v>194</v>
      </c>
      <c r="B115" s="18" t="s">
        <v>57</v>
      </c>
      <c r="C115">
        <v>300</v>
      </c>
      <c r="D115">
        <v>37.80752287</v>
      </c>
    </row>
    <row r="116" spans="1:4" x14ac:dyDescent="0.2">
      <c r="A116" t="s">
        <v>195</v>
      </c>
      <c r="B116" s="18" t="s">
        <v>57</v>
      </c>
      <c r="C116">
        <v>300</v>
      </c>
      <c r="D116">
        <v>38.271419420000001</v>
      </c>
    </row>
    <row r="117" spans="1:4" x14ac:dyDescent="0.2">
      <c r="A117" t="s">
        <v>196</v>
      </c>
      <c r="B117" s="18" t="s">
        <v>57</v>
      </c>
      <c r="C117">
        <v>300</v>
      </c>
      <c r="D117">
        <v>38.243484100000003</v>
      </c>
    </row>
    <row r="118" spans="1:4" x14ac:dyDescent="0.2">
      <c r="A118" t="s">
        <v>197</v>
      </c>
      <c r="B118" s="18" t="s">
        <v>57</v>
      </c>
      <c r="C118">
        <v>300</v>
      </c>
      <c r="D118">
        <v>38.418020800000001</v>
      </c>
    </row>
    <row r="119" spans="1:4" x14ac:dyDescent="0.2">
      <c r="A119" t="s">
        <v>198</v>
      </c>
      <c r="B119" s="18" t="s">
        <v>57</v>
      </c>
      <c r="C119">
        <v>300</v>
      </c>
      <c r="D119">
        <v>38.445294689999997</v>
      </c>
    </row>
    <row r="120" spans="1:4" x14ac:dyDescent="0.2">
      <c r="A120" t="s">
        <v>199</v>
      </c>
      <c r="B120" s="18" t="s">
        <v>57</v>
      </c>
      <c r="C120">
        <v>300</v>
      </c>
      <c r="D120">
        <v>38.183503969999997</v>
      </c>
    </row>
    <row r="121" spans="1:4" x14ac:dyDescent="0.2">
      <c r="A121" t="s">
        <v>200</v>
      </c>
      <c r="B121" s="18" t="s">
        <v>57</v>
      </c>
      <c r="C121">
        <v>300</v>
      </c>
      <c r="D121">
        <v>38.484716919999997</v>
      </c>
    </row>
    <row r="122" spans="1:4" x14ac:dyDescent="0.2">
      <c r="A122" t="s">
        <v>201</v>
      </c>
      <c r="B122" s="18" t="s">
        <v>57</v>
      </c>
      <c r="C122">
        <v>75</v>
      </c>
      <c r="D122">
        <v>41.618370110000001</v>
      </c>
    </row>
    <row r="123" spans="1:4" x14ac:dyDescent="0.2">
      <c r="A123" t="s">
        <v>202</v>
      </c>
      <c r="B123" s="18" t="s">
        <v>57</v>
      </c>
      <c r="C123">
        <v>75</v>
      </c>
      <c r="D123">
        <v>40.69063302</v>
      </c>
    </row>
    <row r="124" spans="1:4" x14ac:dyDescent="0.2">
      <c r="A124" t="s">
        <v>203</v>
      </c>
      <c r="B124" s="18" t="s">
        <v>57</v>
      </c>
      <c r="C124">
        <v>75</v>
      </c>
      <c r="D124">
        <v>41.891588460000001</v>
      </c>
    </row>
    <row r="125" spans="1:4" x14ac:dyDescent="0.2">
      <c r="A125" t="s">
        <v>204</v>
      </c>
      <c r="B125" s="18" t="s">
        <v>57</v>
      </c>
      <c r="C125">
        <v>75</v>
      </c>
      <c r="D125">
        <v>43</v>
      </c>
    </row>
    <row r="126" spans="1:4" x14ac:dyDescent="0.2">
      <c r="A126" t="s">
        <v>205</v>
      </c>
      <c r="B126" s="18" t="s">
        <v>57</v>
      </c>
      <c r="C126">
        <v>75</v>
      </c>
      <c r="D126">
        <v>41.259695979999996</v>
      </c>
    </row>
    <row r="127" spans="1:4" x14ac:dyDescent="0.2">
      <c r="A127" t="s">
        <v>206</v>
      </c>
      <c r="B127" s="18" t="s">
        <v>57</v>
      </c>
      <c r="C127">
        <v>75</v>
      </c>
      <c r="D127">
        <v>41.17921544</v>
      </c>
    </row>
    <row r="128" spans="1:4" x14ac:dyDescent="0.2">
      <c r="A128" t="s">
        <v>207</v>
      </c>
      <c r="B128" s="18" t="s">
        <v>57</v>
      </c>
      <c r="C128">
        <v>75</v>
      </c>
      <c r="D128">
        <v>40.716564910000002</v>
      </c>
    </row>
    <row r="129" spans="1:4" x14ac:dyDescent="0.2">
      <c r="A129" t="s">
        <v>208</v>
      </c>
      <c r="B129" s="18" t="s">
        <v>57</v>
      </c>
      <c r="C129">
        <v>75</v>
      </c>
      <c r="D129">
        <v>39.846144580000001</v>
      </c>
    </row>
    <row r="130" spans="1:4" x14ac:dyDescent="0.2">
      <c r="A130" t="s">
        <v>209</v>
      </c>
      <c r="B130" s="18" t="s">
        <v>57</v>
      </c>
      <c r="C130">
        <v>75</v>
      </c>
      <c r="D130">
        <v>40.720388649999997</v>
      </c>
    </row>
    <row r="131" spans="1:4" x14ac:dyDescent="0.2">
      <c r="A131" t="s">
        <v>210</v>
      </c>
      <c r="B131" s="18" t="s">
        <v>57</v>
      </c>
      <c r="C131">
        <v>75</v>
      </c>
      <c r="D131">
        <v>40.575911720000001</v>
      </c>
    </row>
    <row r="132" spans="1:4" x14ac:dyDescent="0.2">
      <c r="A132" t="s">
        <v>211</v>
      </c>
      <c r="B132" s="18" t="s">
        <v>57</v>
      </c>
      <c r="C132">
        <v>75</v>
      </c>
      <c r="D132">
        <v>42.88457193</v>
      </c>
    </row>
    <row r="133" spans="1:4" x14ac:dyDescent="0.2">
      <c r="A133" t="s">
        <v>212</v>
      </c>
      <c r="B133" s="18" t="s">
        <v>57</v>
      </c>
      <c r="C133">
        <v>75</v>
      </c>
      <c r="D133">
        <v>41.891740630000001</v>
      </c>
    </row>
    <row r="134" spans="1:4" x14ac:dyDescent="0.2">
      <c r="A134" t="s">
        <v>213</v>
      </c>
      <c r="B134" s="18" t="s">
        <v>57</v>
      </c>
      <c r="C134">
        <v>30</v>
      </c>
      <c r="D134">
        <v>41.832118379999997</v>
      </c>
    </row>
    <row r="135" spans="1:4" x14ac:dyDescent="0.2">
      <c r="A135" t="s">
        <v>214</v>
      </c>
      <c r="B135" s="18" t="s">
        <v>57</v>
      </c>
      <c r="C135">
        <v>30</v>
      </c>
      <c r="D135">
        <v>41.574975389999999</v>
      </c>
    </row>
    <row r="136" spans="1:4" x14ac:dyDescent="0.2">
      <c r="A136" t="s">
        <v>215</v>
      </c>
      <c r="B136" s="18" t="s">
        <v>57</v>
      </c>
      <c r="C136">
        <v>30</v>
      </c>
      <c r="D136">
        <v>42.333331350000002</v>
      </c>
    </row>
    <row r="137" spans="1:4" x14ac:dyDescent="0.2">
      <c r="A137" t="s">
        <v>216</v>
      </c>
      <c r="B137" s="18" t="s">
        <v>57</v>
      </c>
      <c r="C137">
        <v>30</v>
      </c>
      <c r="D137" t="s">
        <v>130</v>
      </c>
    </row>
    <row r="138" spans="1:4" x14ac:dyDescent="0.2">
      <c r="A138" t="s">
        <v>217</v>
      </c>
      <c r="B138" s="18" t="s">
        <v>57</v>
      </c>
      <c r="C138">
        <v>30</v>
      </c>
      <c r="D138">
        <v>42.698248820000003</v>
      </c>
    </row>
    <row r="139" spans="1:4" x14ac:dyDescent="0.2">
      <c r="A139" t="s">
        <v>218</v>
      </c>
      <c r="B139" s="18" t="s">
        <v>57</v>
      </c>
      <c r="C139">
        <v>30</v>
      </c>
      <c r="D139">
        <v>42.54775909</v>
      </c>
    </row>
    <row r="140" spans="1:4" x14ac:dyDescent="0.2">
      <c r="A140" t="s">
        <v>219</v>
      </c>
      <c r="B140" s="18" t="s">
        <v>57</v>
      </c>
      <c r="C140">
        <v>30</v>
      </c>
      <c r="D140">
        <v>43.797849470000003</v>
      </c>
    </row>
    <row r="141" spans="1:4" x14ac:dyDescent="0.2">
      <c r="A141" t="s">
        <v>220</v>
      </c>
      <c r="B141" s="18" t="s">
        <v>57</v>
      </c>
      <c r="C141">
        <v>30</v>
      </c>
      <c r="D141" t="s">
        <v>130</v>
      </c>
    </row>
    <row r="142" spans="1:4" x14ac:dyDescent="0.2">
      <c r="A142" t="s">
        <v>221</v>
      </c>
      <c r="B142" s="18" t="s">
        <v>57</v>
      </c>
      <c r="C142">
        <v>30</v>
      </c>
      <c r="D142">
        <v>43.798692209999999</v>
      </c>
    </row>
    <row r="143" spans="1:4" x14ac:dyDescent="0.2">
      <c r="A143" t="s">
        <v>222</v>
      </c>
      <c r="B143" s="18" t="s">
        <v>57</v>
      </c>
      <c r="C143">
        <v>30</v>
      </c>
      <c r="D143">
        <v>41.986726429999997</v>
      </c>
    </row>
    <row r="144" spans="1:4" x14ac:dyDescent="0.2">
      <c r="A144" t="s">
        <v>223</v>
      </c>
      <c r="B144" s="18" t="s">
        <v>57</v>
      </c>
      <c r="C144">
        <v>30</v>
      </c>
      <c r="D144" t="s">
        <v>130</v>
      </c>
    </row>
    <row r="145" spans="1:5" x14ac:dyDescent="0.2">
      <c r="A145" t="s">
        <v>224</v>
      </c>
      <c r="B145" s="18" t="s">
        <v>57</v>
      </c>
      <c r="C145">
        <v>30</v>
      </c>
      <c r="D145">
        <v>41.720966840000003</v>
      </c>
    </row>
    <row r="146" spans="1:5" x14ac:dyDescent="0.2">
      <c r="A146" t="s">
        <v>313</v>
      </c>
      <c r="B146" s="18" t="s">
        <v>57</v>
      </c>
      <c r="C146">
        <v>3</v>
      </c>
      <c r="D146" t="s">
        <v>130</v>
      </c>
    </row>
    <row r="147" spans="1:5" x14ac:dyDescent="0.2">
      <c r="A147" t="s">
        <v>314</v>
      </c>
      <c r="B147" s="18" t="s">
        <v>57</v>
      </c>
      <c r="C147">
        <v>3</v>
      </c>
      <c r="D147" t="s">
        <v>130</v>
      </c>
    </row>
    <row r="148" spans="1:5" x14ac:dyDescent="0.2">
      <c r="A148" t="s">
        <v>315</v>
      </c>
      <c r="B148" s="18" t="s">
        <v>57</v>
      </c>
      <c r="C148">
        <v>3</v>
      </c>
      <c r="D148" t="s">
        <v>130</v>
      </c>
    </row>
    <row r="149" spans="1:5" x14ac:dyDescent="0.2">
      <c r="A149" t="s">
        <v>316</v>
      </c>
      <c r="B149" s="18" t="s">
        <v>57</v>
      </c>
      <c r="C149">
        <v>3</v>
      </c>
      <c r="D149" t="s">
        <v>130</v>
      </c>
    </row>
    <row r="150" spans="1:5" x14ac:dyDescent="0.2">
      <c r="A150" t="s">
        <v>317</v>
      </c>
      <c r="B150" s="18" t="s">
        <v>57</v>
      </c>
      <c r="C150">
        <v>3</v>
      </c>
      <c r="D150" t="s">
        <v>130</v>
      </c>
    </row>
    <row r="151" spans="1:5" x14ac:dyDescent="0.2">
      <c r="A151" t="s">
        <v>318</v>
      </c>
      <c r="B151" s="18" t="s">
        <v>57</v>
      </c>
      <c r="C151">
        <v>3</v>
      </c>
      <c r="D151" t="s">
        <v>130</v>
      </c>
    </row>
    <row r="152" spans="1:5" x14ac:dyDescent="0.2">
      <c r="A152" t="s">
        <v>319</v>
      </c>
      <c r="B152" s="18" t="s">
        <v>57</v>
      </c>
      <c r="C152">
        <v>3</v>
      </c>
      <c r="D152" t="s">
        <v>130</v>
      </c>
    </row>
    <row r="153" spans="1:5" x14ac:dyDescent="0.2">
      <c r="A153" t="s">
        <v>320</v>
      </c>
      <c r="B153" s="18" t="s">
        <v>57</v>
      </c>
      <c r="C153">
        <v>3</v>
      </c>
      <c r="D153">
        <v>43.458256830000003</v>
      </c>
    </row>
    <row r="154" spans="1:5" x14ac:dyDescent="0.2">
      <c r="A154" t="s">
        <v>321</v>
      </c>
      <c r="B154" s="18" t="s">
        <v>57</v>
      </c>
      <c r="C154">
        <v>3</v>
      </c>
      <c r="D154" t="s">
        <v>130</v>
      </c>
    </row>
    <row r="155" spans="1:5" x14ac:dyDescent="0.2">
      <c r="A155" t="s">
        <v>322</v>
      </c>
      <c r="B155" s="18" t="s">
        <v>57</v>
      </c>
      <c r="C155">
        <v>3</v>
      </c>
      <c r="D155" t="s">
        <v>130</v>
      </c>
    </row>
    <row r="156" spans="1:5" x14ac:dyDescent="0.2">
      <c r="A156" t="s">
        <v>323</v>
      </c>
      <c r="B156" s="18" t="s">
        <v>57</v>
      </c>
      <c r="C156">
        <v>3</v>
      </c>
      <c r="D156" t="s">
        <v>130</v>
      </c>
    </row>
    <row r="157" spans="1:5" x14ac:dyDescent="0.2">
      <c r="A157" t="s">
        <v>324</v>
      </c>
      <c r="B157" s="18" t="s">
        <v>57</v>
      </c>
      <c r="C157">
        <v>3</v>
      </c>
      <c r="D157" t="s">
        <v>130</v>
      </c>
    </row>
    <row r="158" spans="1:5" x14ac:dyDescent="0.2">
      <c r="A158" t="s">
        <v>225</v>
      </c>
      <c r="B158" s="18" t="s">
        <v>226</v>
      </c>
      <c r="C158">
        <v>300000</v>
      </c>
      <c r="D158">
        <v>26.415138559999999</v>
      </c>
    </row>
    <row r="159" spans="1:5" x14ac:dyDescent="0.2">
      <c r="A159" t="s">
        <v>227</v>
      </c>
      <c r="B159" s="18" t="s">
        <v>226</v>
      </c>
      <c r="C159">
        <v>300000</v>
      </c>
      <c r="D159" s="3">
        <v>27.826960060000001</v>
      </c>
      <c r="E159" s="3" t="s">
        <v>326</v>
      </c>
    </row>
    <row r="160" spans="1:5" x14ac:dyDescent="0.2">
      <c r="A160" t="s">
        <v>228</v>
      </c>
      <c r="B160" s="18" t="s">
        <v>226</v>
      </c>
      <c r="C160">
        <v>300000</v>
      </c>
      <c r="D160">
        <v>26.90673147</v>
      </c>
    </row>
    <row r="161" spans="1:4" x14ac:dyDescent="0.2">
      <c r="A161" t="s">
        <v>229</v>
      </c>
      <c r="B161" s="18" t="s">
        <v>226</v>
      </c>
      <c r="C161">
        <v>300000</v>
      </c>
      <c r="D161">
        <v>25.719460000000002</v>
      </c>
    </row>
    <row r="162" spans="1:4" x14ac:dyDescent="0.2">
      <c r="A162" t="s">
        <v>230</v>
      </c>
      <c r="B162" s="18" t="s">
        <v>226</v>
      </c>
      <c r="C162">
        <v>300000</v>
      </c>
      <c r="D162">
        <v>26.09729265</v>
      </c>
    </row>
    <row r="163" spans="1:4" x14ac:dyDescent="0.2">
      <c r="A163" t="s">
        <v>231</v>
      </c>
      <c r="B163" s="18" t="s">
        <v>226</v>
      </c>
      <c r="C163">
        <v>300000</v>
      </c>
      <c r="D163">
        <v>26.109410069999999</v>
      </c>
    </row>
    <row r="164" spans="1:4" x14ac:dyDescent="0.2">
      <c r="A164" t="s">
        <v>232</v>
      </c>
      <c r="B164" s="18" t="s">
        <v>226</v>
      </c>
      <c r="C164">
        <v>300000</v>
      </c>
      <c r="D164">
        <v>26.05179163</v>
      </c>
    </row>
    <row r="165" spans="1:4" x14ac:dyDescent="0.2">
      <c r="A165" t="s">
        <v>233</v>
      </c>
      <c r="B165" s="18" t="s">
        <v>226</v>
      </c>
      <c r="C165">
        <v>300000</v>
      </c>
      <c r="D165">
        <v>25.793129789999998</v>
      </c>
    </row>
    <row r="166" spans="1:4" x14ac:dyDescent="0.2">
      <c r="A166" t="s">
        <v>234</v>
      </c>
      <c r="B166" s="18" t="s">
        <v>226</v>
      </c>
      <c r="C166">
        <v>300000</v>
      </c>
      <c r="D166">
        <v>26.112723469999999</v>
      </c>
    </row>
    <row r="167" spans="1:4" x14ac:dyDescent="0.2">
      <c r="A167" t="s">
        <v>235</v>
      </c>
      <c r="B167" s="18" t="s">
        <v>226</v>
      </c>
      <c r="C167">
        <v>300000</v>
      </c>
      <c r="D167">
        <v>25.77806095</v>
      </c>
    </row>
    <row r="168" spans="1:4" x14ac:dyDescent="0.2">
      <c r="A168" t="s">
        <v>236</v>
      </c>
      <c r="B168" s="18" t="s">
        <v>226</v>
      </c>
      <c r="C168">
        <v>300000</v>
      </c>
      <c r="D168">
        <v>25.62502125</v>
      </c>
    </row>
    <row r="169" spans="1:4" x14ac:dyDescent="0.2">
      <c r="A169" t="s">
        <v>237</v>
      </c>
      <c r="B169" s="18" t="s">
        <v>226</v>
      </c>
      <c r="C169">
        <v>300000</v>
      </c>
      <c r="D169">
        <v>26.221008250000001</v>
      </c>
    </row>
    <row r="170" spans="1:4" x14ac:dyDescent="0.2">
      <c r="A170" t="s">
        <v>238</v>
      </c>
      <c r="B170" s="18" t="s">
        <v>226</v>
      </c>
      <c r="C170">
        <v>30000</v>
      </c>
      <c r="D170">
        <v>30.48833557</v>
      </c>
    </row>
    <row r="171" spans="1:4" x14ac:dyDescent="0.2">
      <c r="A171" t="s">
        <v>239</v>
      </c>
      <c r="B171" s="18" t="s">
        <v>226</v>
      </c>
      <c r="C171">
        <v>30000</v>
      </c>
      <c r="D171">
        <v>29.695459700000001</v>
      </c>
    </row>
    <row r="172" spans="1:4" x14ac:dyDescent="0.2">
      <c r="A172" t="s">
        <v>240</v>
      </c>
      <c r="B172" s="18" t="s">
        <v>226</v>
      </c>
      <c r="C172">
        <v>30000</v>
      </c>
      <c r="D172">
        <v>29.878919400000001</v>
      </c>
    </row>
    <row r="173" spans="1:4" x14ac:dyDescent="0.2">
      <c r="A173" t="s">
        <v>241</v>
      </c>
      <c r="B173" s="18" t="s">
        <v>226</v>
      </c>
      <c r="C173">
        <v>30000</v>
      </c>
      <c r="D173">
        <v>30.249305339999999</v>
      </c>
    </row>
    <row r="174" spans="1:4" x14ac:dyDescent="0.2">
      <c r="A174" t="s">
        <v>242</v>
      </c>
      <c r="B174" s="18" t="s">
        <v>226</v>
      </c>
      <c r="C174">
        <v>30000</v>
      </c>
      <c r="D174">
        <v>30.024740449999999</v>
      </c>
    </row>
    <row r="175" spans="1:4" x14ac:dyDescent="0.2">
      <c r="A175" t="s">
        <v>243</v>
      </c>
      <c r="B175" s="18" t="s">
        <v>226</v>
      </c>
      <c r="C175">
        <v>30000</v>
      </c>
      <c r="D175">
        <v>30.45625939</v>
      </c>
    </row>
    <row r="176" spans="1:4" x14ac:dyDescent="0.2">
      <c r="A176" t="s">
        <v>244</v>
      </c>
      <c r="B176" s="18" t="s">
        <v>226</v>
      </c>
      <c r="C176">
        <v>30000</v>
      </c>
      <c r="D176">
        <v>29.987663909999998</v>
      </c>
    </row>
    <row r="177" spans="1:4" x14ac:dyDescent="0.2">
      <c r="A177" t="s">
        <v>245</v>
      </c>
      <c r="B177" s="18" t="s">
        <v>226</v>
      </c>
      <c r="C177">
        <v>30000</v>
      </c>
      <c r="D177">
        <v>29.778907279999999</v>
      </c>
    </row>
    <row r="178" spans="1:4" x14ac:dyDescent="0.2">
      <c r="A178" t="s">
        <v>246</v>
      </c>
      <c r="B178" s="18" t="s">
        <v>226</v>
      </c>
      <c r="C178">
        <v>30000</v>
      </c>
      <c r="D178">
        <v>30.182736850000001</v>
      </c>
    </row>
    <row r="179" spans="1:4" x14ac:dyDescent="0.2">
      <c r="A179" t="s">
        <v>247</v>
      </c>
      <c r="B179" s="18" t="s">
        <v>226</v>
      </c>
      <c r="C179">
        <v>30000</v>
      </c>
      <c r="D179">
        <v>30.039801619999999</v>
      </c>
    </row>
    <row r="180" spans="1:4" x14ac:dyDescent="0.2">
      <c r="A180" t="s">
        <v>248</v>
      </c>
      <c r="B180" s="18" t="s">
        <v>226</v>
      </c>
      <c r="C180">
        <v>30000</v>
      </c>
      <c r="D180">
        <v>29.833643500000001</v>
      </c>
    </row>
    <row r="181" spans="1:4" x14ac:dyDescent="0.2">
      <c r="A181" t="s">
        <v>249</v>
      </c>
      <c r="B181" s="18" t="s">
        <v>226</v>
      </c>
      <c r="C181">
        <v>30000</v>
      </c>
      <c r="D181">
        <v>30.240877279999999</v>
      </c>
    </row>
    <row r="182" spans="1:4" x14ac:dyDescent="0.2">
      <c r="A182" t="s">
        <v>250</v>
      </c>
      <c r="B182" s="18" t="s">
        <v>226</v>
      </c>
      <c r="C182">
        <v>3000</v>
      </c>
      <c r="D182">
        <v>33.425948730000002</v>
      </c>
    </row>
    <row r="183" spans="1:4" x14ac:dyDescent="0.2">
      <c r="A183" t="s">
        <v>251</v>
      </c>
      <c r="B183" s="18" t="s">
        <v>226</v>
      </c>
      <c r="C183">
        <v>3000</v>
      </c>
      <c r="D183">
        <v>33.735862109999999</v>
      </c>
    </row>
    <row r="184" spans="1:4" x14ac:dyDescent="0.2">
      <c r="A184" t="s">
        <v>252</v>
      </c>
      <c r="B184" s="18" t="s">
        <v>226</v>
      </c>
      <c r="C184">
        <v>3000</v>
      </c>
      <c r="D184">
        <v>33.23646497</v>
      </c>
    </row>
    <row r="185" spans="1:4" x14ac:dyDescent="0.2">
      <c r="A185" t="s">
        <v>253</v>
      </c>
      <c r="B185" s="18" t="s">
        <v>226</v>
      </c>
      <c r="C185">
        <v>3000</v>
      </c>
      <c r="D185">
        <v>32.884660529999998</v>
      </c>
    </row>
    <row r="186" spans="1:4" x14ac:dyDescent="0.2">
      <c r="A186" t="s">
        <v>254</v>
      </c>
      <c r="B186" s="18" t="s">
        <v>226</v>
      </c>
      <c r="C186">
        <v>3000</v>
      </c>
      <c r="D186">
        <v>33.413616589999997</v>
      </c>
    </row>
    <row r="187" spans="1:4" x14ac:dyDescent="0.2">
      <c r="A187" t="s">
        <v>255</v>
      </c>
      <c r="B187" s="18" t="s">
        <v>226</v>
      </c>
      <c r="C187">
        <v>3000</v>
      </c>
      <c r="D187">
        <v>33.573357389999998</v>
      </c>
    </row>
    <row r="188" spans="1:4" x14ac:dyDescent="0.2">
      <c r="A188" t="s">
        <v>256</v>
      </c>
      <c r="B188" s="18" t="s">
        <v>226</v>
      </c>
      <c r="C188">
        <v>3000</v>
      </c>
      <c r="D188">
        <v>33.028383920000003</v>
      </c>
    </row>
    <row r="189" spans="1:4" x14ac:dyDescent="0.2">
      <c r="A189" t="s">
        <v>257</v>
      </c>
      <c r="B189" s="18" t="s">
        <v>226</v>
      </c>
      <c r="C189">
        <v>3000</v>
      </c>
      <c r="D189">
        <v>32.832970109999998</v>
      </c>
    </row>
    <row r="190" spans="1:4" x14ac:dyDescent="0.2">
      <c r="A190" t="s">
        <v>258</v>
      </c>
      <c r="B190" s="18" t="s">
        <v>226</v>
      </c>
      <c r="C190">
        <v>3000</v>
      </c>
      <c r="D190">
        <v>32.723804020000003</v>
      </c>
    </row>
    <row r="191" spans="1:4" x14ac:dyDescent="0.2">
      <c r="A191" t="s">
        <v>259</v>
      </c>
      <c r="B191" s="18" t="s">
        <v>226</v>
      </c>
      <c r="C191">
        <v>3000</v>
      </c>
      <c r="D191">
        <v>32.654834039999997</v>
      </c>
    </row>
    <row r="192" spans="1:4" x14ac:dyDescent="0.2">
      <c r="A192" t="s">
        <v>260</v>
      </c>
      <c r="B192" s="18" t="s">
        <v>226</v>
      </c>
      <c r="C192">
        <v>3000</v>
      </c>
      <c r="D192">
        <v>32.803104560000001</v>
      </c>
    </row>
    <row r="193" spans="1:4" x14ac:dyDescent="0.2">
      <c r="A193" t="s">
        <v>261</v>
      </c>
      <c r="B193" s="18" t="s">
        <v>226</v>
      </c>
      <c r="C193">
        <v>3000</v>
      </c>
      <c r="D193">
        <v>32.97333038</v>
      </c>
    </row>
    <row r="194" spans="1:4" x14ac:dyDescent="0.2">
      <c r="A194" t="s">
        <v>262</v>
      </c>
      <c r="B194" s="18" t="s">
        <v>226</v>
      </c>
      <c r="C194">
        <v>300</v>
      </c>
      <c r="D194">
        <v>37.13604728</v>
      </c>
    </row>
    <row r="195" spans="1:4" x14ac:dyDescent="0.2">
      <c r="A195" t="s">
        <v>263</v>
      </c>
      <c r="B195" s="18" t="s">
        <v>226</v>
      </c>
      <c r="C195">
        <v>300</v>
      </c>
      <c r="D195">
        <v>37.952443070000001</v>
      </c>
    </row>
    <row r="196" spans="1:4" x14ac:dyDescent="0.2">
      <c r="A196" t="s">
        <v>264</v>
      </c>
      <c r="B196" s="18" t="s">
        <v>226</v>
      </c>
      <c r="C196">
        <v>300</v>
      </c>
      <c r="D196">
        <v>36.996919220000002</v>
      </c>
    </row>
    <row r="197" spans="1:4" x14ac:dyDescent="0.2">
      <c r="A197" t="s">
        <v>265</v>
      </c>
      <c r="B197" s="18" t="s">
        <v>226</v>
      </c>
      <c r="C197">
        <v>300</v>
      </c>
      <c r="D197">
        <v>36.91779262</v>
      </c>
    </row>
    <row r="198" spans="1:4" x14ac:dyDescent="0.2">
      <c r="A198" t="s">
        <v>266</v>
      </c>
      <c r="B198" s="18" t="s">
        <v>226</v>
      </c>
      <c r="C198">
        <v>300</v>
      </c>
      <c r="D198">
        <v>35.946141470000001</v>
      </c>
    </row>
    <row r="199" spans="1:4" x14ac:dyDescent="0.2">
      <c r="A199" t="s">
        <v>267</v>
      </c>
      <c r="B199" s="18" t="s">
        <v>226</v>
      </c>
      <c r="C199">
        <v>300</v>
      </c>
      <c r="D199">
        <v>36.673276399999999</v>
      </c>
    </row>
    <row r="200" spans="1:4" x14ac:dyDescent="0.2">
      <c r="A200" t="s">
        <v>268</v>
      </c>
      <c r="B200" s="18" t="s">
        <v>226</v>
      </c>
      <c r="C200">
        <v>300</v>
      </c>
      <c r="D200">
        <v>37.081863650000003</v>
      </c>
    </row>
    <row r="201" spans="1:4" x14ac:dyDescent="0.2">
      <c r="A201" t="s">
        <v>269</v>
      </c>
      <c r="B201" s="18" t="s">
        <v>226</v>
      </c>
      <c r="C201">
        <v>300</v>
      </c>
      <c r="D201">
        <v>37.232439970000001</v>
      </c>
    </row>
    <row r="202" spans="1:4" x14ac:dyDescent="0.2">
      <c r="A202" t="s">
        <v>270</v>
      </c>
      <c r="B202" s="18" t="s">
        <v>226</v>
      </c>
      <c r="C202">
        <v>300</v>
      </c>
      <c r="D202">
        <v>36.177703180000002</v>
      </c>
    </row>
    <row r="203" spans="1:4" x14ac:dyDescent="0.2">
      <c r="A203" t="s">
        <v>271</v>
      </c>
      <c r="B203" s="18" t="s">
        <v>226</v>
      </c>
      <c r="C203">
        <v>300</v>
      </c>
      <c r="D203">
        <v>36.4700202</v>
      </c>
    </row>
    <row r="204" spans="1:4" x14ac:dyDescent="0.2">
      <c r="A204" t="s">
        <v>272</v>
      </c>
      <c r="B204" s="18" t="s">
        <v>226</v>
      </c>
      <c r="C204">
        <v>300</v>
      </c>
      <c r="D204">
        <v>35.921978119999999</v>
      </c>
    </row>
    <row r="205" spans="1:4" x14ac:dyDescent="0.2">
      <c r="A205" t="s">
        <v>273</v>
      </c>
      <c r="B205" s="18" t="s">
        <v>226</v>
      </c>
      <c r="C205">
        <v>300</v>
      </c>
      <c r="D205">
        <v>36.365525609999999</v>
      </c>
    </row>
    <row r="206" spans="1:4" x14ac:dyDescent="0.2">
      <c r="A206" t="s">
        <v>274</v>
      </c>
      <c r="B206" s="18" t="s">
        <v>226</v>
      </c>
      <c r="C206">
        <v>30</v>
      </c>
      <c r="D206">
        <v>38.278134889999997</v>
      </c>
    </row>
    <row r="207" spans="1:4" x14ac:dyDescent="0.2">
      <c r="A207" t="s">
        <v>275</v>
      </c>
      <c r="B207" s="18" t="s">
        <v>226</v>
      </c>
      <c r="C207">
        <v>30</v>
      </c>
      <c r="D207">
        <v>37.591570470000001</v>
      </c>
    </row>
    <row r="208" spans="1:4" x14ac:dyDescent="0.2">
      <c r="A208" t="s">
        <v>276</v>
      </c>
      <c r="B208" s="18" t="s">
        <v>226</v>
      </c>
      <c r="C208">
        <v>30</v>
      </c>
      <c r="D208">
        <v>37.715973210000001</v>
      </c>
    </row>
    <row r="209" spans="1:4" x14ac:dyDescent="0.2">
      <c r="A209" t="s">
        <v>277</v>
      </c>
      <c r="B209" s="18" t="s">
        <v>226</v>
      </c>
      <c r="C209">
        <v>30</v>
      </c>
      <c r="D209">
        <v>37.471250419999997</v>
      </c>
    </row>
    <row r="210" spans="1:4" x14ac:dyDescent="0.2">
      <c r="A210" t="s">
        <v>278</v>
      </c>
      <c r="B210" s="18" t="s">
        <v>226</v>
      </c>
      <c r="C210">
        <v>30</v>
      </c>
      <c r="D210">
        <v>38.11310125</v>
      </c>
    </row>
    <row r="211" spans="1:4" x14ac:dyDescent="0.2">
      <c r="A211" t="s">
        <v>279</v>
      </c>
      <c r="B211" s="18" t="s">
        <v>226</v>
      </c>
      <c r="C211">
        <v>30</v>
      </c>
      <c r="D211">
        <v>38.405445710000002</v>
      </c>
    </row>
    <row r="212" spans="1:4" x14ac:dyDescent="0.2">
      <c r="A212" t="s">
        <v>280</v>
      </c>
      <c r="B212" s="18" t="s">
        <v>226</v>
      </c>
      <c r="C212">
        <v>30</v>
      </c>
      <c r="D212">
        <v>36.922927819999998</v>
      </c>
    </row>
    <row r="213" spans="1:4" x14ac:dyDescent="0.2">
      <c r="A213" t="s">
        <v>281</v>
      </c>
      <c r="B213" s="18" t="s">
        <v>226</v>
      </c>
      <c r="C213">
        <v>30</v>
      </c>
      <c r="D213">
        <v>37.363604690000003</v>
      </c>
    </row>
    <row r="214" spans="1:4" x14ac:dyDescent="0.2">
      <c r="A214" t="s">
        <v>282</v>
      </c>
      <c r="B214" s="18" t="s">
        <v>226</v>
      </c>
      <c r="C214">
        <v>30</v>
      </c>
      <c r="D214">
        <v>38.395598219999997</v>
      </c>
    </row>
    <row r="215" spans="1:4" x14ac:dyDescent="0.2">
      <c r="A215" t="s">
        <v>283</v>
      </c>
      <c r="B215" s="18" t="s">
        <v>226</v>
      </c>
      <c r="C215">
        <v>30</v>
      </c>
      <c r="D215">
        <v>37.231070080000002</v>
      </c>
    </row>
    <row r="216" spans="1:4" x14ac:dyDescent="0.2">
      <c r="A216" t="s">
        <v>284</v>
      </c>
      <c r="B216" s="18" t="s">
        <v>226</v>
      </c>
      <c r="C216">
        <v>30</v>
      </c>
      <c r="D216">
        <v>38.363945719999997</v>
      </c>
    </row>
    <row r="217" spans="1:4" x14ac:dyDescent="0.2">
      <c r="A217" t="s">
        <v>285</v>
      </c>
      <c r="B217" s="18" t="s">
        <v>226</v>
      </c>
      <c r="C217">
        <v>30</v>
      </c>
      <c r="D217">
        <v>37.444180959999997</v>
      </c>
    </row>
    <row r="218" spans="1:4" x14ac:dyDescent="0.2">
      <c r="A218" t="s">
        <v>286</v>
      </c>
      <c r="B218" s="18" t="s">
        <v>226</v>
      </c>
      <c r="C218">
        <v>3</v>
      </c>
      <c r="D218">
        <v>40.085254880000001</v>
      </c>
    </row>
    <row r="219" spans="1:4" x14ac:dyDescent="0.2">
      <c r="A219" t="s">
        <v>287</v>
      </c>
      <c r="B219" s="18" t="s">
        <v>226</v>
      </c>
      <c r="C219">
        <v>3</v>
      </c>
      <c r="D219" t="s">
        <v>130</v>
      </c>
    </row>
    <row r="220" spans="1:4" x14ac:dyDescent="0.2">
      <c r="A220" t="s">
        <v>288</v>
      </c>
      <c r="B220" s="18" t="s">
        <v>226</v>
      </c>
      <c r="C220">
        <v>3</v>
      </c>
      <c r="D220">
        <v>41.267965019999998</v>
      </c>
    </row>
    <row r="221" spans="1:4" x14ac:dyDescent="0.2">
      <c r="A221" t="s">
        <v>289</v>
      </c>
      <c r="B221" s="18" t="s">
        <v>226</v>
      </c>
      <c r="C221">
        <v>3</v>
      </c>
      <c r="D221">
        <v>40.358967</v>
      </c>
    </row>
    <row r="222" spans="1:4" x14ac:dyDescent="0.2">
      <c r="A222" t="s">
        <v>290</v>
      </c>
      <c r="B222" s="18" t="s">
        <v>226</v>
      </c>
      <c r="C222">
        <v>3</v>
      </c>
      <c r="D222">
        <v>39.245428330000003</v>
      </c>
    </row>
    <row r="223" spans="1:4" x14ac:dyDescent="0.2">
      <c r="A223" t="s">
        <v>291</v>
      </c>
      <c r="B223" s="18" t="s">
        <v>226</v>
      </c>
      <c r="C223">
        <v>3</v>
      </c>
      <c r="D223" t="s">
        <v>130</v>
      </c>
    </row>
    <row r="224" spans="1:4" x14ac:dyDescent="0.2">
      <c r="A224" t="s">
        <v>292</v>
      </c>
      <c r="B224" s="18" t="s">
        <v>226</v>
      </c>
      <c r="C224">
        <v>3</v>
      </c>
      <c r="D224">
        <v>38.751520169999999</v>
      </c>
    </row>
    <row r="225" spans="1:4" x14ac:dyDescent="0.2">
      <c r="A225" t="s">
        <v>293</v>
      </c>
      <c r="B225" s="18" t="s">
        <v>226</v>
      </c>
      <c r="C225">
        <v>3</v>
      </c>
      <c r="D225">
        <v>40.108120079999999</v>
      </c>
    </row>
    <row r="226" spans="1:4" x14ac:dyDescent="0.2">
      <c r="A226" t="s">
        <v>294</v>
      </c>
      <c r="B226" s="18" t="s">
        <v>226</v>
      </c>
      <c r="C226">
        <v>3</v>
      </c>
      <c r="D226">
        <v>41.209835259999998</v>
      </c>
    </row>
    <row r="227" spans="1:4" x14ac:dyDescent="0.2">
      <c r="A227" t="s">
        <v>295</v>
      </c>
      <c r="B227" s="18" t="s">
        <v>226</v>
      </c>
      <c r="C227">
        <v>3</v>
      </c>
      <c r="D227" t="s">
        <v>130</v>
      </c>
    </row>
    <row r="228" spans="1:4" x14ac:dyDescent="0.2">
      <c r="A228" t="s">
        <v>296</v>
      </c>
      <c r="B228" s="18" t="s">
        <v>226</v>
      </c>
      <c r="C228">
        <v>3</v>
      </c>
      <c r="D228" t="s">
        <v>130</v>
      </c>
    </row>
    <row r="229" spans="1:4" x14ac:dyDescent="0.2">
      <c r="A229" t="s">
        <v>297</v>
      </c>
      <c r="B229" s="18" t="s">
        <v>226</v>
      </c>
      <c r="C229">
        <v>3</v>
      </c>
      <c r="D229">
        <v>41.361846730000003</v>
      </c>
    </row>
    <row r="230" spans="1:4" x14ac:dyDescent="0.2">
      <c r="A230" t="s">
        <v>298</v>
      </c>
      <c r="B230" s="18" t="s">
        <v>226</v>
      </c>
      <c r="C230">
        <v>1</v>
      </c>
      <c r="D230" t="s">
        <v>130</v>
      </c>
    </row>
    <row r="231" spans="1:4" x14ac:dyDescent="0.2">
      <c r="A231" t="s">
        <v>299</v>
      </c>
      <c r="B231" s="18" t="s">
        <v>226</v>
      </c>
      <c r="C231">
        <v>1</v>
      </c>
      <c r="D231">
        <v>40.869001599999997</v>
      </c>
    </row>
    <row r="232" spans="1:4" x14ac:dyDescent="0.2">
      <c r="A232" t="s">
        <v>300</v>
      </c>
      <c r="B232" s="18" t="s">
        <v>226</v>
      </c>
      <c r="C232">
        <v>1</v>
      </c>
      <c r="D232">
        <v>39.380119899999997</v>
      </c>
    </row>
    <row r="233" spans="1:4" x14ac:dyDescent="0.2">
      <c r="A233" t="s">
        <v>301</v>
      </c>
      <c r="B233" s="18" t="s">
        <v>226</v>
      </c>
      <c r="C233">
        <v>1</v>
      </c>
      <c r="D233">
        <v>41.3143356</v>
      </c>
    </row>
    <row r="234" spans="1:4" x14ac:dyDescent="0.2">
      <c r="A234" t="s">
        <v>302</v>
      </c>
      <c r="B234" s="18" t="s">
        <v>226</v>
      </c>
      <c r="C234">
        <v>1</v>
      </c>
      <c r="D234" t="s">
        <v>130</v>
      </c>
    </row>
    <row r="235" spans="1:4" x14ac:dyDescent="0.2">
      <c r="A235" t="s">
        <v>303</v>
      </c>
      <c r="B235" s="18" t="s">
        <v>226</v>
      </c>
      <c r="C235">
        <v>1</v>
      </c>
      <c r="D235" t="s">
        <v>130</v>
      </c>
    </row>
    <row r="236" spans="1:4" x14ac:dyDescent="0.2">
      <c r="A236" t="s">
        <v>304</v>
      </c>
      <c r="B236" s="18" t="s">
        <v>226</v>
      </c>
      <c r="C236">
        <v>1</v>
      </c>
      <c r="D236" t="s">
        <v>130</v>
      </c>
    </row>
    <row r="237" spans="1:4" x14ac:dyDescent="0.2">
      <c r="A237" t="s">
        <v>305</v>
      </c>
      <c r="B237" s="18" t="s">
        <v>226</v>
      </c>
      <c r="C237">
        <v>1</v>
      </c>
      <c r="D237">
        <v>40.783121800000004</v>
      </c>
    </row>
    <row r="238" spans="1:4" x14ac:dyDescent="0.2">
      <c r="A238" t="s">
        <v>306</v>
      </c>
      <c r="B238" s="18" t="s">
        <v>226</v>
      </c>
      <c r="C238">
        <v>1</v>
      </c>
      <c r="D238">
        <v>39.936628929999998</v>
      </c>
    </row>
    <row r="239" spans="1:4" x14ac:dyDescent="0.2">
      <c r="A239" t="s">
        <v>307</v>
      </c>
      <c r="B239" s="18" t="s">
        <v>226</v>
      </c>
      <c r="C239">
        <v>1</v>
      </c>
      <c r="D239" t="s">
        <v>130</v>
      </c>
    </row>
    <row r="240" spans="1:4" x14ac:dyDescent="0.2">
      <c r="A240" t="s">
        <v>308</v>
      </c>
      <c r="B240" s="18" t="s">
        <v>226</v>
      </c>
      <c r="C240">
        <v>1</v>
      </c>
      <c r="D240">
        <v>39.539035599999998</v>
      </c>
    </row>
    <row r="241" spans="1:4" x14ac:dyDescent="0.2">
      <c r="A241" t="s">
        <v>309</v>
      </c>
      <c r="B241" s="18" t="s">
        <v>226</v>
      </c>
      <c r="C241">
        <v>1</v>
      </c>
      <c r="D241" t="s">
        <v>130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A5D9-E2C6-A74E-AE81-50F690012298}">
  <dimension ref="A1:P146"/>
  <sheetViews>
    <sheetView workbookViewId="0">
      <selection activeCell="J14" sqref="J14"/>
    </sheetView>
  </sheetViews>
  <sheetFormatPr baseColWidth="10" defaultColWidth="10.6640625" defaultRowHeight="16" x14ac:dyDescent="0.2"/>
  <cols>
    <col min="1" max="1" width="13.5" style="7" bestFit="1" customWidth="1"/>
    <col min="2" max="2" width="12.1640625" customWidth="1"/>
    <col min="3" max="3" width="19.5" bestFit="1" customWidth="1"/>
    <col min="4" max="4" width="12.1640625" customWidth="1"/>
    <col min="5" max="5" width="14.6640625" bestFit="1" customWidth="1"/>
    <col min="6" max="6" width="18.33203125" style="12" bestFit="1" customWidth="1"/>
    <col min="7" max="7" width="10.1640625" bestFit="1" customWidth="1"/>
    <col min="8" max="8" width="9.6640625" bestFit="1" customWidth="1"/>
    <col min="9" max="9" width="21" bestFit="1" customWidth="1"/>
    <col min="10" max="10" width="19.83203125" bestFit="1" customWidth="1"/>
    <col min="11" max="11" width="15.1640625" bestFit="1" customWidth="1"/>
  </cols>
  <sheetData>
    <row r="1" spans="1:16" ht="17" thickBot="1" x14ac:dyDescent="0.25">
      <c r="A1" s="30" t="s">
        <v>4</v>
      </c>
      <c r="B1" s="30"/>
      <c r="C1" s="30"/>
      <c r="D1" s="30"/>
      <c r="E1" s="30"/>
      <c r="F1" s="30"/>
      <c r="G1" s="30"/>
      <c r="H1" s="31"/>
      <c r="I1" s="29" t="s">
        <v>61</v>
      </c>
      <c r="J1" s="29"/>
      <c r="K1" s="29"/>
      <c r="L1" s="1" t="s">
        <v>60</v>
      </c>
      <c r="M1" s="1"/>
      <c r="N1" s="28"/>
      <c r="O1" s="28"/>
      <c r="P1" s="28"/>
    </row>
    <row r="2" spans="1:16" ht="17" thickBot="1" x14ac:dyDescent="0.25">
      <c r="A2" s="4" t="s">
        <v>76</v>
      </c>
      <c r="B2" s="4" t="s">
        <v>75</v>
      </c>
      <c r="C2" s="4" t="s">
        <v>74</v>
      </c>
      <c r="D2" s="4" t="s">
        <v>73</v>
      </c>
      <c r="E2" s="4" t="s">
        <v>3</v>
      </c>
      <c r="F2" s="5" t="s">
        <v>72</v>
      </c>
      <c r="G2" s="4" t="s">
        <v>78</v>
      </c>
      <c r="H2" s="13" t="s">
        <v>0</v>
      </c>
      <c r="I2" s="6" t="s">
        <v>57</v>
      </c>
      <c r="J2" s="6" t="s">
        <v>58</v>
      </c>
      <c r="K2" s="6" t="s">
        <v>59</v>
      </c>
    </row>
    <row r="3" spans="1:16" x14ac:dyDescent="0.2">
      <c r="A3" s="7">
        <v>1</v>
      </c>
      <c r="B3">
        <v>6</v>
      </c>
      <c r="C3">
        <v>1</v>
      </c>
      <c r="D3" t="s">
        <v>327</v>
      </c>
      <c r="E3" t="s">
        <v>328</v>
      </c>
      <c r="F3" s="8" t="s">
        <v>5</v>
      </c>
      <c r="G3" t="s">
        <v>2</v>
      </c>
      <c r="H3" s="14">
        <v>44349</v>
      </c>
      <c r="I3" s="20" t="s">
        <v>71</v>
      </c>
      <c r="J3" s="21" t="s">
        <v>71</v>
      </c>
      <c r="K3" s="15" t="s">
        <v>71</v>
      </c>
    </row>
    <row r="4" spans="1:16" x14ac:dyDescent="0.2">
      <c r="A4" s="7">
        <v>1</v>
      </c>
      <c r="B4">
        <v>6</v>
      </c>
      <c r="C4">
        <v>2</v>
      </c>
      <c r="D4" t="s">
        <v>327</v>
      </c>
      <c r="E4" t="s">
        <v>329</v>
      </c>
      <c r="F4" s="8" t="s">
        <v>6</v>
      </c>
      <c r="G4" t="s">
        <v>2</v>
      </c>
      <c r="H4" s="14">
        <v>44349</v>
      </c>
      <c r="I4" s="20" t="s">
        <v>71</v>
      </c>
      <c r="J4" s="21" t="s">
        <v>71</v>
      </c>
      <c r="K4" s="16" t="s">
        <v>71</v>
      </c>
    </row>
    <row r="5" spans="1:16" x14ac:dyDescent="0.2">
      <c r="A5" s="7">
        <v>1</v>
      </c>
      <c r="B5">
        <v>6</v>
      </c>
      <c r="C5">
        <v>3</v>
      </c>
      <c r="D5" t="s">
        <v>330</v>
      </c>
      <c r="E5" t="s">
        <v>331</v>
      </c>
      <c r="F5" s="8" t="s">
        <v>7</v>
      </c>
      <c r="G5" t="s">
        <v>2</v>
      </c>
      <c r="H5" s="14">
        <v>44349</v>
      </c>
      <c r="I5" s="20" t="s">
        <v>71</v>
      </c>
      <c r="J5" s="21" t="s">
        <v>71</v>
      </c>
      <c r="K5" s="16" t="s">
        <v>71</v>
      </c>
    </row>
    <row r="6" spans="1:16" x14ac:dyDescent="0.2">
      <c r="A6" s="7">
        <v>1</v>
      </c>
      <c r="B6">
        <v>6</v>
      </c>
      <c r="C6">
        <v>4</v>
      </c>
      <c r="D6" t="s">
        <v>332</v>
      </c>
      <c r="E6" t="s">
        <v>333</v>
      </c>
      <c r="F6" s="8" t="s">
        <v>8</v>
      </c>
      <c r="G6" t="s">
        <v>2</v>
      </c>
      <c r="H6" s="14">
        <v>44350</v>
      </c>
      <c r="I6" s="20" t="s">
        <v>71</v>
      </c>
      <c r="J6" s="21" t="s">
        <v>71</v>
      </c>
      <c r="K6" s="16" t="s">
        <v>71</v>
      </c>
    </row>
    <row r="7" spans="1:16" x14ac:dyDescent="0.2">
      <c r="A7" s="7">
        <v>1</v>
      </c>
      <c r="B7">
        <v>6</v>
      </c>
      <c r="C7">
        <v>5</v>
      </c>
      <c r="D7" t="s">
        <v>332</v>
      </c>
      <c r="E7" t="s">
        <v>334</v>
      </c>
      <c r="F7" s="8" t="s">
        <v>9</v>
      </c>
      <c r="G7" t="s">
        <v>2</v>
      </c>
      <c r="H7" s="14">
        <v>44350</v>
      </c>
      <c r="I7" s="20" t="s">
        <v>71</v>
      </c>
      <c r="J7" s="21" t="s">
        <v>71</v>
      </c>
      <c r="K7" s="16" t="s">
        <v>71</v>
      </c>
    </row>
    <row r="8" spans="1:16" x14ac:dyDescent="0.2">
      <c r="A8" s="7">
        <v>1</v>
      </c>
      <c r="B8">
        <v>6</v>
      </c>
      <c r="C8">
        <v>6</v>
      </c>
      <c r="D8" t="s">
        <v>330</v>
      </c>
      <c r="E8" t="s">
        <v>335</v>
      </c>
      <c r="F8" s="8" t="s">
        <v>10</v>
      </c>
      <c r="G8" t="s">
        <v>2</v>
      </c>
      <c r="H8" s="14">
        <v>44350</v>
      </c>
      <c r="I8" s="20" t="s">
        <v>71</v>
      </c>
      <c r="J8" s="21" t="s">
        <v>71</v>
      </c>
      <c r="K8" s="16" t="s">
        <v>71</v>
      </c>
    </row>
    <row r="9" spans="1:16" x14ac:dyDescent="0.2">
      <c r="A9" s="7">
        <v>2</v>
      </c>
      <c r="B9">
        <v>9</v>
      </c>
      <c r="C9">
        <v>2</v>
      </c>
      <c r="D9" t="s">
        <v>332</v>
      </c>
      <c r="E9" t="s">
        <v>336</v>
      </c>
      <c r="F9" s="8" t="s">
        <v>12</v>
      </c>
      <c r="G9" t="s">
        <v>2</v>
      </c>
      <c r="H9" s="14">
        <v>44355</v>
      </c>
      <c r="I9" s="20" t="s">
        <v>71</v>
      </c>
      <c r="J9" s="21" t="s">
        <v>71</v>
      </c>
      <c r="K9" s="16" t="s">
        <v>71</v>
      </c>
    </row>
    <row r="10" spans="1:16" x14ac:dyDescent="0.2">
      <c r="A10" s="7">
        <v>2</v>
      </c>
      <c r="B10">
        <v>9</v>
      </c>
      <c r="C10">
        <v>3</v>
      </c>
      <c r="D10" t="s">
        <v>327</v>
      </c>
      <c r="E10" t="s">
        <v>337</v>
      </c>
      <c r="F10" s="8" t="s">
        <v>13</v>
      </c>
      <c r="G10" t="s">
        <v>2</v>
      </c>
      <c r="H10" s="14">
        <v>44355</v>
      </c>
      <c r="I10" s="20" t="s">
        <v>71</v>
      </c>
      <c r="J10" s="21" t="s">
        <v>71</v>
      </c>
      <c r="K10" s="16" t="s">
        <v>71</v>
      </c>
    </row>
    <row r="11" spans="1:16" x14ac:dyDescent="0.2">
      <c r="A11" s="7">
        <v>2</v>
      </c>
      <c r="B11">
        <v>9</v>
      </c>
      <c r="C11">
        <v>4</v>
      </c>
      <c r="D11" t="s">
        <v>327</v>
      </c>
      <c r="E11" t="s">
        <v>338</v>
      </c>
      <c r="F11" s="8" t="s">
        <v>14</v>
      </c>
      <c r="G11" t="s">
        <v>2</v>
      </c>
      <c r="H11" s="14">
        <v>44355</v>
      </c>
      <c r="I11" s="20" t="s">
        <v>71</v>
      </c>
      <c r="J11" s="21" t="s">
        <v>71</v>
      </c>
      <c r="K11" s="16" t="s">
        <v>71</v>
      </c>
    </row>
    <row r="12" spans="1:16" x14ac:dyDescent="0.2">
      <c r="A12" s="7">
        <v>2</v>
      </c>
      <c r="B12">
        <v>9</v>
      </c>
      <c r="C12">
        <v>1</v>
      </c>
      <c r="D12" t="s">
        <v>330</v>
      </c>
      <c r="E12" t="s">
        <v>339</v>
      </c>
      <c r="F12" s="8" t="s">
        <v>11</v>
      </c>
      <c r="G12" t="s">
        <v>2</v>
      </c>
      <c r="H12" s="14">
        <v>44355</v>
      </c>
      <c r="I12" s="20" t="s">
        <v>71</v>
      </c>
      <c r="J12" s="21" t="s">
        <v>71</v>
      </c>
      <c r="K12" s="16" t="s">
        <v>71</v>
      </c>
    </row>
    <row r="13" spans="1:16" x14ac:dyDescent="0.2">
      <c r="A13" s="7">
        <v>2</v>
      </c>
      <c r="B13">
        <v>9</v>
      </c>
      <c r="C13">
        <v>7</v>
      </c>
      <c r="D13" t="s">
        <v>327</v>
      </c>
      <c r="E13" t="s">
        <v>337</v>
      </c>
      <c r="F13" s="8" t="s">
        <v>17</v>
      </c>
      <c r="G13" t="s">
        <v>2</v>
      </c>
      <c r="H13" s="14">
        <v>44368</v>
      </c>
      <c r="I13" s="20" t="s">
        <v>71</v>
      </c>
      <c r="J13" s="21" t="s">
        <v>71</v>
      </c>
      <c r="K13" s="16" t="s">
        <v>71</v>
      </c>
    </row>
    <row r="14" spans="1:16" x14ac:dyDescent="0.2">
      <c r="A14" s="7">
        <v>2</v>
      </c>
      <c r="B14">
        <v>9</v>
      </c>
      <c r="C14">
        <v>5</v>
      </c>
      <c r="D14" t="s">
        <v>330</v>
      </c>
      <c r="E14" t="s">
        <v>339</v>
      </c>
      <c r="F14" s="8" t="s">
        <v>15</v>
      </c>
      <c r="G14" t="s">
        <v>2</v>
      </c>
      <c r="H14" s="14">
        <v>44368</v>
      </c>
      <c r="I14" s="20" t="s">
        <v>71</v>
      </c>
      <c r="J14" s="21" t="s">
        <v>71</v>
      </c>
      <c r="K14" s="16" t="s">
        <v>71</v>
      </c>
    </row>
    <row r="15" spans="1:16" x14ac:dyDescent="0.2">
      <c r="A15" s="7">
        <v>2</v>
      </c>
      <c r="B15">
        <v>9</v>
      </c>
      <c r="C15">
        <v>8</v>
      </c>
      <c r="D15" t="s">
        <v>332</v>
      </c>
      <c r="E15" t="s">
        <v>338</v>
      </c>
      <c r="F15" s="8" t="s">
        <v>18</v>
      </c>
      <c r="G15" t="s">
        <v>2</v>
      </c>
      <c r="H15" s="14">
        <v>44368</v>
      </c>
      <c r="I15" s="20" t="s">
        <v>71</v>
      </c>
      <c r="J15" s="21" t="s">
        <v>71</v>
      </c>
      <c r="K15" s="16" t="s">
        <v>71</v>
      </c>
    </row>
    <row r="16" spans="1:16" x14ac:dyDescent="0.2">
      <c r="A16" s="7">
        <v>2</v>
      </c>
      <c r="B16">
        <v>9</v>
      </c>
      <c r="C16">
        <v>6</v>
      </c>
      <c r="D16" t="s">
        <v>332</v>
      </c>
      <c r="E16" t="s">
        <v>336</v>
      </c>
      <c r="F16" s="8" t="s">
        <v>16</v>
      </c>
      <c r="G16" t="s">
        <v>2</v>
      </c>
      <c r="H16" s="14">
        <v>44368</v>
      </c>
      <c r="I16" s="20" t="s">
        <v>71</v>
      </c>
      <c r="J16" s="21" t="s">
        <v>71</v>
      </c>
      <c r="K16" s="16" t="s">
        <v>71</v>
      </c>
      <c r="L16" s="2" t="s">
        <v>62</v>
      </c>
    </row>
    <row r="17" spans="1:12" x14ac:dyDescent="0.2">
      <c r="A17" s="7">
        <v>4</v>
      </c>
      <c r="B17">
        <v>3</v>
      </c>
      <c r="C17">
        <v>1</v>
      </c>
      <c r="D17" t="s">
        <v>332</v>
      </c>
      <c r="E17" t="s">
        <v>333</v>
      </c>
      <c r="F17" s="8" t="s">
        <v>26</v>
      </c>
      <c r="G17" t="s">
        <v>2</v>
      </c>
      <c r="H17" s="14">
        <v>44375</v>
      </c>
      <c r="I17" s="20" t="s">
        <v>71</v>
      </c>
      <c r="J17" s="21" t="s">
        <v>71</v>
      </c>
      <c r="K17" s="16" t="s">
        <v>71</v>
      </c>
    </row>
    <row r="18" spans="1:12" x14ac:dyDescent="0.2">
      <c r="A18" s="7">
        <v>2</v>
      </c>
      <c r="B18">
        <v>9</v>
      </c>
      <c r="C18">
        <v>9</v>
      </c>
      <c r="D18" t="s">
        <v>330</v>
      </c>
      <c r="E18" t="s">
        <v>331</v>
      </c>
      <c r="F18" s="8" t="s">
        <v>19</v>
      </c>
      <c r="G18" t="s">
        <v>2</v>
      </c>
      <c r="H18" s="14">
        <v>44375</v>
      </c>
      <c r="I18" s="20" t="s">
        <v>71</v>
      </c>
      <c r="J18" s="21" t="s">
        <v>71</v>
      </c>
      <c r="K18" s="16" t="s">
        <v>71</v>
      </c>
    </row>
    <row r="19" spans="1:12" x14ac:dyDescent="0.2">
      <c r="A19" s="7">
        <v>3</v>
      </c>
      <c r="B19">
        <v>6</v>
      </c>
      <c r="C19">
        <v>2</v>
      </c>
      <c r="D19" t="s">
        <v>327</v>
      </c>
      <c r="E19" t="s">
        <v>328</v>
      </c>
      <c r="F19" s="8" t="s">
        <v>21</v>
      </c>
      <c r="G19" t="s">
        <v>2</v>
      </c>
      <c r="H19" s="14">
        <v>44375</v>
      </c>
      <c r="I19" s="20" t="s">
        <v>71</v>
      </c>
      <c r="J19" s="21" t="s">
        <v>71</v>
      </c>
      <c r="K19" s="16" t="s">
        <v>71</v>
      </c>
    </row>
    <row r="20" spans="1:12" x14ac:dyDescent="0.2">
      <c r="A20" s="7">
        <v>3</v>
      </c>
      <c r="B20">
        <v>6</v>
      </c>
      <c r="C20">
        <v>1</v>
      </c>
      <c r="D20" t="s">
        <v>327</v>
      </c>
      <c r="E20" t="s">
        <v>329</v>
      </c>
      <c r="F20" s="8" t="s">
        <v>20</v>
      </c>
      <c r="G20" t="s">
        <v>2</v>
      </c>
      <c r="H20" s="14">
        <v>44375</v>
      </c>
      <c r="I20" s="20" t="s">
        <v>71</v>
      </c>
      <c r="J20" s="21" t="s">
        <v>71</v>
      </c>
      <c r="K20" s="16" t="s">
        <v>71</v>
      </c>
    </row>
    <row r="21" spans="1:12" x14ac:dyDescent="0.2">
      <c r="A21" s="7">
        <v>3</v>
      </c>
      <c r="B21">
        <v>6</v>
      </c>
      <c r="C21">
        <v>6</v>
      </c>
      <c r="D21" t="s">
        <v>330</v>
      </c>
      <c r="E21" t="s">
        <v>340</v>
      </c>
      <c r="F21" s="8" t="s">
        <v>25</v>
      </c>
      <c r="G21" t="s">
        <v>2</v>
      </c>
      <c r="H21" s="14">
        <v>44376</v>
      </c>
      <c r="I21" s="20" t="s">
        <v>71</v>
      </c>
      <c r="J21" s="21" t="s">
        <v>71</v>
      </c>
      <c r="K21" s="16" t="s">
        <v>71</v>
      </c>
    </row>
    <row r="22" spans="1:12" x14ac:dyDescent="0.2">
      <c r="A22" s="7">
        <v>3</v>
      </c>
      <c r="B22">
        <v>6</v>
      </c>
      <c r="C22">
        <v>3</v>
      </c>
      <c r="D22" t="s">
        <v>330</v>
      </c>
      <c r="E22" t="s">
        <v>334</v>
      </c>
      <c r="F22" s="8" t="s">
        <v>22</v>
      </c>
      <c r="G22" t="s">
        <v>2</v>
      </c>
      <c r="H22" s="14">
        <v>44376</v>
      </c>
      <c r="I22" s="22" t="s">
        <v>71</v>
      </c>
      <c r="J22" s="21" t="s">
        <v>71</v>
      </c>
      <c r="K22" s="16" t="s">
        <v>71</v>
      </c>
      <c r="L22" s="3" t="s">
        <v>325</v>
      </c>
    </row>
    <row r="23" spans="1:12" x14ac:dyDescent="0.2">
      <c r="A23" s="7">
        <v>3</v>
      </c>
      <c r="B23">
        <v>6</v>
      </c>
      <c r="C23">
        <v>4</v>
      </c>
      <c r="D23" t="s">
        <v>332</v>
      </c>
      <c r="E23" t="s">
        <v>335</v>
      </c>
      <c r="F23" s="8" t="s">
        <v>23</v>
      </c>
      <c r="G23" t="s">
        <v>2</v>
      </c>
      <c r="H23" s="14">
        <v>44376</v>
      </c>
      <c r="I23" s="20" t="s">
        <v>71</v>
      </c>
      <c r="J23" s="21" t="s">
        <v>71</v>
      </c>
      <c r="K23" s="16" t="s">
        <v>71</v>
      </c>
    </row>
    <row r="24" spans="1:12" x14ac:dyDescent="0.2">
      <c r="A24" s="7">
        <v>3</v>
      </c>
      <c r="B24">
        <v>6</v>
      </c>
      <c r="C24">
        <v>5</v>
      </c>
      <c r="D24" t="s">
        <v>332</v>
      </c>
      <c r="E24" t="s">
        <v>341</v>
      </c>
      <c r="F24" s="8" t="s">
        <v>24</v>
      </c>
      <c r="G24" t="s">
        <v>2</v>
      </c>
      <c r="H24" s="14">
        <v>44376</v>
      </c>
      <c r="I24" s="20" t="s">
        <v>71</v>
      </c>
      <c r="J24" s="21" t="s">
        <v>71</v>
      </c>
      <c r="K24" s="16" t="s">
        <v>71</v>
      </c>
    </row>
    <row r="25" spans="1:12" x14ac:dyDescent="0.2">
      <c r="A25" s="7">
        <v>4</v>
      </c>
      <c r="B25">
        <v>3</v>
      </c>
      <c r="C25">
        <v>3</v>
      </c>
      <c r="D25" t="s">
        <v>330</v>
      </c>
      <c r="E25" t="s">
        <v>338</v>
      </c>
      <c r="F25" s="8" t="s">
        <v>28</v>
      </c>
      <c r="G25" t="s">
        <v>2</v>
      </c>
      <c r="H25" s="14">
        <v>44383</v>
      </c>
      <c r="I25" s="20" t="s">
        <v>71</v>
      </c>
      <c r="J25" s="21" t="s">
        <v>71</v>
      </c>
      <c r="K25" s="16" t="s">
        <v>71</v>
      </c>
    </row>
    <row r="26" spans="1:12" ht="17" x14ac:dyDescent="0.2">
      <c r="A26" s="7" t="s">
        <v>77</v>
      </c>
      <c r="B26" t="s">
        <v>77</v>
      </c>
      <c r="C26" t="s">
        <v>77</v>
      </c>
      <c r="D26" t="s">
        <v>77</v>
      </c>
      <c r="E26" t="s">
        <v>77</v>
      </c>
      <c r="F26" s="8" t="s">
        <v>63</v>
      </c>
      <c r="G26" t="s">
        <v>77</v>
      </c>
      <c r="H26" s="14" t="s">
        <v>77</v>
      </c>
      <c r="I26" s="23">
        <f>AVERAGE(23.673,25.064,25.733)</f>
        <v>24.823333333333334</v>
      </c>
      <c r="J26" s="24">
        <f>AVERAGE(21.89,22.765,22.907)</f>
        <v>22.520666666666667</v>
      </c>
      <c r="K26" s="17">
        <f>AVERAGE(20.911,21.315,21.069)</f>
        <v>21.098333333333333</v>
      </c>
    </row>
    <row r="27" spans="1:12" ht="17" x14ac:dyDescent="0.2">
      <c r="A27" s="7" t="s">
        <v>77</v>
      </c>
      <c r="B27" t="s">
        <v>77</v>
      </c>
      <c r="C27" t="s">
        <v>77</v>
      </c>
      <c r="D27" t="s">
        <v>77</v>
      </c>
      <c r="E27" t="s">
        <v>77</v>
      </c>
      <c r="F27" s="8" t="s">
        <v>64</v>
      </c>
      <c r="G27" t="s">
        <v>77</v>
      </c>
      <c r="H27" s="14" t="s">
        <v>77</v>
      </c>
      <c r="I27" s="23">
        <f>AVERAGE(27.472,27.751,28.273)</f>
        <v>27.831999999999997</v>
      </c>
      <c r="J27" s="24">
        <f>AVERAGE(26.045,25.778,26.284)</f>
        <v>26.035666666666668</v>
      </c>
      <c r="K27" s="17">
        <f>AVERAGE(24.52,24.546,25.099)</f>
        <v>24.721666666666668</v>
      </c>
    </row>
    <row r="28" spans="1:12" ht="17" x14ac:dyDescent="0.2">
      <c r="A28" s="7" t="s">
        <v>77</v>
      </c>
      <c r="B28" t="s">
        <v>77</v>
      </c>
      <c r="C28" t="s">
        <v>77</v>
      </c>
      <c r="D28" t="s">
        <v>77</v>
      </c>
      <c r="E28" t="s">
        <v>77</v>
      </c>
      <c r="F28" s="8" t="s">
        <v>65</v>
      </c>
      <c r="G28" t="s">
        <v>77</v>
      </c>
      <c r="H28" s="14" t="s">
        <v>77</v>
      </c>
      <c r="I28" s="23">
        <f>AVERAGE(31.829,31.738,33.167)</f>
        <v>32.244666666666667</v>
      </c>
      <c r="J28" s="24">
        <f>AVERAGE(29.747,29.402,30.666)</f>
        <v>29.938333333333333</v>
      </c>
      <c r="K28" s="17">
        <f>AVERAGE(28.536,27.574,28.807)</f>
        <v>28.305666666666667</v>
      </c>
    </row>
    <row r="29" spans="1:12" ht="17" x14ac:dyDescent="0.2">
      <c r="A29" s="7" t="s">
        <v>77</v>
      </c>
      <c r="B29" t="s">
        <v>77</v>
      </c>
      <c r="C29" t="s">
        <v>77</v>
      </c>
      <c r="D29" t="s">
        <v>77</v>
      </c>
      <c r="E29" t="s">
        <v>77</v>
      </c>
      <c r="F29" s="8" t="s">
        <v>66</v>
      </c>
      <c r="G29" t="s">
        <v>77</v>
      </c>
      <c r="H29" s="14" t="s">
        <v>77</v>
      </c>
      <c r="I29" s="23">
        <f>AVERAGE(36.263,35.453,36.688)</f>
        <v>36.134666666666668</v>
      </c>
      <c r="J29" s="24">
        <f>AVERAGE(33.047,33.045,34.401)</f>
        <v>33.497666666666667</v>
      </c>
      <c r="K29" s="17">
        <f>AVERAGE(32.401,31.985,32.473)</f>
        <v>32.286333333333332</v>
      </c>
    </row>
    <row r="30" spans="1:12" ht="17" x14ac:dyDescent="0.2">
      <c r="A30" s="7" t="s">
        <v>77</v>
      </c>
      <c r="B30" t="s">
        <v>77</v>
      </c>
      <c r="C30" t="s">
        <v>77</v>
      </c>
      <c r="D30" t="s">
        <v>77</v>
      </c>
      <c r="E30" t="s">
        <v>77</v>
      </c>
      <c r="F30" s="8" t="s">
        <v>67</v>
      </c>
      <c r="G30" t="s">
        <v>77</v>
      </c>
      <c r="H30" s="14" t="s">
        <v>77</v>
      </c>
      <c r="I30" s="23">
        <f>AVERAGE(39.012,39.181,40.111)</f>
        <v>39.434666666666665</v>
      </c>
      <c r="J30" s="24">
        <f>AVERAGE(36.858,36.363,37.111)</f>
        <v>36.777333333333331</v>
      </c>
      <c r="K30" s="17">
        <f>AVERAGE(36.287,33.363)</f>
        <v>34.825000000000003</v>
      </c>
    </row>
    <row r="31" spans="1:12" ht="17" x14ac:dyDescent="0.2">
      <c r="A31" s="7" t="s">
        <v>77</v>
      </c>
      <c r="B31" t="s">
        <v>77</v>
      </c>
      <c r="C31" t="s">
        <v>77</v>
      </c>
      <c r="D31" t="s">
        <v>77</v>
      </c>
      <c r="E31" t="s">
        <v>77</v>
      </c>
      <c r="F31" s="8" t="s">
        <v>68</v>
      </c>
      <c r="G31" t="s">
        <v>77</v>
      </c>
      <c r="H31" s="14" t="s">
        <v>77</v>
      </c>
      <c r="I31" s="23">
        <f>AVERAGE(42.69)</f>
        <v>42.69</v>
      </c>
      <c r="J31" s="24">
        <f>AVERAGE(41.515,39.982,41.128)</f>
        <v>40.875</v>
      </c>
      <c r="K31" s="17">
        <f>AVERAGE(40.03,39.24)</f>
        <v>39.635000000000005</v>
      </c>
    </row>
    <row r="32" spans="1:12" ht="17" x14ac:dyDescent="0.2">
      <c r="A32" s="7" t="s">
        <v>77</v>
      </c>
      <c r="B32" t="s">
        <v>77</v>
      </c>
      <c r="C32" t="s">
        <v>77</v>
      </c>
      <c r="D32" t="s">
        <v>77</v>
      </c>
      <c r="E32" t="s">
        <v>77</v>
      </c>
      <c r="F32" s="8" t="s">
        <v>69</v>
      </c>
      <c r="G32" t="s">
        <v>77</v>
      </c>
      <c r="H32" s="14" t="s">
        <v>77</v>
      </c>
      <c r="I32" s="23" t="s">
        <v>71</v>
      </c>
      <c r="J32" s="24">
        <f>AVERAGE(42.518,42.918,43)</f>
        <v>42.812000000000005</v>
      </c>
      <c r="K32" s="17">
        <f>AVERAGE(40.362,40.044,38.66)</f>
        <v>39.68866666666667</v>
      </c>
    </row>
    <row r="33" spans="1:12" ht="17" x14ac:dyDescent="0.2">
      <c r="A33" s="7" t="s">
        <v>77</v>
      </c>
      <c r="B33" t="s">
        <v>77</v>
      </c>
      <c r="C33" t="s">
        <v>77</v>
      </c>
      <c r="D33" t="s">
        <v>77</v>
      </c>
      <c r="E33" t="s">
        <v>77</v>
      </c>
      <c r="F33" s="8" t="s">
        <v>70</v>
      </c>
      <c r="G33" t="s">
        <v>77</v>
      </c>
      <c r="H33" s="14" t="s">
        <v>77</v>
      </c>
      <c r="I33" s="20" t="s">
        <v>71</v>
      </c>
      <c r="J33" s="24" t="s">
        <v>71</v>
      </c>
      <c r="K33" s="16" t="s">
        <v>71</v>
      </c>
    </row>
    <row r="34" spans="1:12" x14ac:dyDescent="0.2">
      <c r="A34" s="7">
        <v>4</v>
      </c>
      <c r="B34">
        <v>3</v>
      </c>
      <c r="C34">
        <v>2</v>
      </c>
      <c r="D34" t="s">
        <v>327</v>
      </c>
      <c r="E34" t="s">
        <v>336</v>
      </c>
      <c r="F34" s="8" t="s">
        <v>27</v>
      </c>
      <c r="G34" t="s">
        <v>2</v>
      </c>
      <c r="H34" s="14">
        <v>44383</v>
      </c>
      <c r="I34" s="20" t="s">
        <v>71</v>
      </c>
      <c r="J34" s="21" t="s">
        <v>71</v>
      </c>
      <c r="K34" s="16" t="s">
        <v>71</v>
      </c>
    </row>
    <row r="35" spans="1:12" x14ac:dyDescent="0.2">
      <c r="A35" s="7">
        <v>5</v>
      </c>
      <c r="B35">
        <v>9</v>
      </c>
      <c r="C35">
        <v>1</v>
      </c>
      <c r="D35" t="s">
        <v>332</v>
      </c>
      <c r="E35" t="s">
        <v>339</v>
      </c>
      <c r="F35" s="8" t="s">
        <v>29</v>
      </c>
      <c r="G35" t="s">
        <v>2</v>
      </c>
      <c r="H35" s="14">
        <v>44383</v>
      </c>
      <c r="I35" s="20" t="s">
        <v>71</v>
      </c>
      <c r="J35" s="21" t="s">
        <v>71</v>
      </c>
      <c r="K35" s="16" t="s">
        <v>71</v>
      </c>
    </row>
    <row r="36" spans="1:12" x14ac:dyDescent="0.2">
      <c r="A36" s="7">
        <v>5</v>
      </c>
      <c r="B36">
        <v>9</v>
      </c>
      <c r="C36">
        <v>2</v>
      </c>
      <c r="D36" t="s">
        <v>330</v>
      </c>
      <c r="E36" t="s">
        <v>337</v>
      </c>
      <c r="F36" s="8" t="s">
        <v>30</v>
      </c>
      <c r="G36" t="s">
        <v>2</v>
      </c>
      <c r="H36" s="14">
        <v>44383</v>
      </c>
      <c r="I36" s="20" t="s">
        <v>71</v>
      </c>
      <c r="J36" s="21" t="s">
        <v>71</v>
      </c>
      <c r="K36" s="16" t="s">
        <v>71</v>
      </c>
    </row>
    <row r="37" spans="1:12" x14ac:dyDescent="0.2">
      <c r="A37" s="7">
        <v>5</v>
      </c>
      <c r="B37">
        <v>9</v>
      </c>
      <c r="C37">
        <v>6</v>
      </c>
      <c r="D37" t="s">
        <v>327</v>
      </c>
      <c r="E37" t="s">
        <v>336</v>
      </c>
      <c r="F37" s="8" t="s">
        <v>33</v>
      </c>
      <c r="G37" t="s">
        <v>2</v>
      </c>
      <c r="H37" s="14">
        <v>44396</v>
      </c>
      <c r="I37" s="20" t="s">
        <v>71</v>
      </c>
      <c r="J37" s="21" t="s">
        <v>71</v>
      </c>
      <c r="K37" s="16" t="s">
        <v>71</v>
      </c>
    </row>
    <row r="38" spans="1:12" x14ac:dyDescent="0.2">
      <c r="A38" s="7">
        <v>5</v>
      </c>
      <c r="B38">
        <v>9</v>
      </c>
      <c r="C38">
        <v>3</v>
      </c>
      <c r="D38" t="s">
        <v>332</v>
      </c>
      <c r="E38" t="s">
        <v>337</v>
      </c>
      <c r="F38" s="8" t="s">
        <v>32</v>
      </c>
      <c r="G38" t="s">
        <v>2</v>
      </c>
      <c r="H38" s="14">
        <v>44396</v>
      </c>
      <c r="I38" s="20" t="s">
        <v>71</v>
      </c>
      <c r="J38" s="21" t="s">
        <v>71</v>
      </c>
      <c r="K38" s="16" t="s">
        <v>71</v>
      </c>
    </row>
    <row r="39" spans="1:12" x14ac:dyDescent="0.2">
      <c r="A39" s="7">
        <v>5</v>
      </c>
      <c r="B39">
        <v>9</v>
      </c>
      <c r="C39">
        <v>4</v>
      </c>
      <c r="D39" t="s">
        <v>330</v>
      </c>
      <c r="E39" t="s">
        <v>338</v>
      </c>
      <c r="F39" s="8" t="s">
        <v>31</v>
      </c>
      <c r="G39" t="s">
        <v>2</v>
      </c>
      <c r="H39" s="14">
        <v>44396</v>
      </c>
      <c r="I39" s="20" t="s">
        <v>71</v>
      </c>
      <c r="J39" s="21" t="s">
        <v>71</v>
      </c>
      <c r="K39" s="16" t="s">
        <v>71</v>
      </c>
    </row>
    <row r="40" spans="1:12" x14ac:dyDescent="0.2">
      <c r="A40" s="7">
        <v>5</v>
      </c>
      <c r="B40">
        <v>9</v>
      </c>
      <c r="C40">
        <v>5</v>
      </c>
      <c r="D40" t="s">
        <v>332</v>
      </c>
      <c r="E40" t="s">
        <v>339</v>
      </c>
      <c r="F40" s="8" t="s">
        <v>34</v>
      </c>
      <c r="G40" t="s">
        <v>2</v>
      </c>
      <c r="H40" s="14">
        <v>44396</v>
      </c>
      <c r="I40" s="20" t="s">
        <v>71</v>
      </c>
      <c r="J40" s="21" t="s">
        <v>71</v>
      </c>
      <c r="K40" s="16" t="s">
        <v>71</v>
      </c>
    </row>
    <row r="41" spans="1:12" x14ac:dyDescent="0.2">
      <c r="A41" s="7">
        <v>5</v>
      </c>
      <c r="B41">
        <v>9</v>
      </c>
      <c r="C41">
        <v>7</v>
      </c>
      <c r="D41" t="s">
        <v>330</v>
      </c>
      <c r="E41" t="s">
        <v>328</v>
      </c>
      <c r="F41" s="9" t="s">
        <v>36</v>
      </c>
      <c r="G41" s="10" t="s">
        <v>2</v>
      </c>
      <c r="H41" s="14">
        <v>44405</v>
      </c>
      <c r="I41" s="20" t="s">
        <v>71</v>
      </c>
      <c r="J41" s="21" t="s">
        <v>71</v>
      </c>
      <c r="K41" s="16" t="s">
        <v>71</v>
      </c>
      <c r="L41" s="2"/>
    </row>
    <row r="42" spans="1:12" x14ac:dyDescent="0.2">
      <c r="A42" s="7">
        <v>6</v>
      </c>
      <c r="B42">
        <v>9</v>
      </c>
      <c r="C42">
        <v>1</v>
      </c>
      <c r="D42" t="s">
        <v>332</v>
      </c>
      <c r="E42" t="s">
        <v>329</v>
      </c>
      <c r="F42" s="9" t="s">
        <v>37</v>
      </c>
      <c r="G42" s="10" t="s">
        <v>2</v>
      </c>
      <c r="H42" s="14">
        <v>44406</v>
      </c>
      <c r="I42" s="20" t="s">
        <v>71</v>
      </c>
      <c r="J42" s="21" t="s">
        <v>71</v>
      </c>
      <c r="K42" s="16" t="s">
        <v>71</v>
      </c>
      <c r="L42" s="2"/>
    </row>
    <row r="43" spans="1:12" x14ac:dyDescent="0.2">
      <c r="A43" s="7">
        <v>6</v>
      </c>
      <c r="B43">
        <v>9</v>
      </c>
      <c r="C43">
        <v>4</v>
      </c>
      <c r="D43" t="s">
        <v>330</v>
      </c>
      <c r="E43" t="s">
        <v>341</v>
      </c>
      <c r="F43" s="8" t="s">
        <v>35</v>
      </c>
      <c r="G43" t="s">
        <v>2</v>
      </c>
      <c r="H43" s="14">
        <v>44407</v>
      </c>
      <c r="I43" s="20" t="s">
        <v>71</v>
      </c>
      <c r="J43" s="21" t="s">
        <v>71</v>
      </c>
      <c r="K43" s="16" t="s">
        <v>71</v>
      </c>
    </row>
    <row r="44" spans="1:12" x14ac:dyDescent="0.2">
      <c r="A44" s="7">
        <v>6</v>
      </c>
      <c r="B44">
        <v>9</v>
      </c>
      <c r="C44">
        <v>5</v>
      </c>
      <c r="D44" t="s">
        <v>330</v>
      </c>
      <c r="E44" t="s">
        <v>340</v>
      </c>
      <c r="F44" s="9" t="s">
        <v>38</v>
      </c>
      <c r="G44" t="s">
        <v>2</v>
      </c>
      <c r="H44" s="14">
        <v>44407</v>
      </c>
      <c r="I44" s="20" t="s">
        <v>71</v>
      </c>
      <c r="J44" s="21" t="s">
        <v>71</v>
      </c>
      <c r="K44" s="16" t="s">
        <v>71</v>
      </c>
      <c r="L44" s="2"/>
    </row>
    <row r="45" spans="1:12" x14ac:dyDescent="0.2">
      <c r="A45" s="7">
        <v>6</v>
      </c>
      <c r="B45">
        <v>9</v>
      </c>
      <c r="C45">
        <v>2</v>
      </c>
      <c r="D45" t="s">
        <v>327</v>
      </c>
      <c r="E45" t="s">
        <v>333</v>
      </c>
      <c r="F45" s="9" t="s">
        <v>39</v>
      </c>
      <c r="G45" s="10" t="s">
        <v>2</v>
      </c>
      <c r="H45" s="14">
        <v>44406</v>
      </c>
      <c r="I45" s="20" t="s">
        <v>71</v>
      </c>
      <c r="J45" s="21" t="s">
        <v>71</v>
      </c>
      <c r="K45" s="16" t="s">
        <v>71</v>
      </c>
      <c r="L45" s="2"/>
    </row>
    <row r="46" spans="1:12" x14ac:dyDescent="0.2">
      <c r="A46" s="7">
        <v>6</v>
      </c>
      <c r="B46">
        <v>9</v>
      </c>
      <c r="C46">
        <v>6</v>
      </c>
      <c r="D46" t="s">
        <v>330</v>
      </c>
      <c r="E46" t="s">
        <v>342</v>
      </c>
      <c r="F46" s="9" t="s">
        <v>40</v>
      </c>
      <c r="G46" s="10" t="s">
        <v>2</v>
      </c>
      <c r="H46" s="14">
        <v>44407</v>
      </c>
      <c r="I46" s="20" t="s">
        <v>71</v>
      </c>
      <c r="J46" s="21" t="s">
        <v>71</v>
      </c>
      <c r="K46" s="16" t="s">
        <v>71</v>
      </c>
      <c r="L46" s="2"/>
    </row>
    <row r="47" spans="1:12" x14ac:dyDescent="0.2">
      <c r="A47" s="7">
        <v>7</v>
      </c>
      <c r="B47">
        <v>6</v>
      </c>
      <c r="C47">
        <v>1</v>
      </c>
      <c r="D47" t="s">
        <v>327</v>
      </c>
      <c r="E47" t="s">
        <v>337</v>
      </c>
      <c r="F47" s="9" t="s">
        <v>41</v>
      </c>
      <c r="G47" s="10" t="s">
        <v>2</v>
      </c>
      <c r="H47" s="14">
        <v>44411</v>
      </c>
      <c r="I47" s="20" t="s">
        <v>71</v>
      </c>
      <c r="J47" s="21" t="s">
        <v>71</v>
      </c>
      <c r="K47" s="16" t="s">
        <v>71</v>
      </c>
      <c r="L47" s="2"/>
    </row>
    <row r="48" spans="1:12" x14ac:dyDescent="0.2">
      <c r="A48" s="7">
        <v>6</v>
      </c>
      <c r="B48">
        <v>9</v>
      </c>
      <c r="C48">
        <v>8</v>
      </c>
      <c r="D48" t="s">
        <v>327</v>
      </c>
      <c r="E48" t="s">
        <v>336</v>
      </c>
      <c r="F48" s="9" t="s">
        <v>54</v>
      </c>
      <c r="G48" s="10" t="s">
        <v>2</v>
      </c>
      <c r="H48" s="14">
        <v>44411</v>
      </c>
      <c r="I48" s="20" t="s">
        <v>71</v>
      </c>
      <c r="J48" s="21" t="s">
        <v>71</v>
      </c>
      <c r="K48" s="16" t="s">
        <v>71</v>
      </c>
      <c r="L48" s="2"/>
    </row>
    <row r="49" spans="1:12" x14ac:dyDescent="0.2">
      <c r="A49" s="7">
        <v>6</v>
      </c>
      <c r="B49">
        <v>9</v>
      </c>
      <c r="C49">
        <v>9</v>
      </c>
      <c r="D49" t="s">
        <v>332</v>
      </c>
      <c r="E49" t="s">
        <v>338</v>
      </c>
      <c r="F49" s="9" t="s">
        <v>42</v>
      </c>
      <c r="G49" s="10" t="s">
        <v>2</v>
      </c>
      <c r="H49" s="14">
        <v>44411</v>
      </c>
      <c r="I49" s="20" t="s">
        <v>71</v>
      </c>
      <c r="J49" s="21" t="s">
        <v>71</v>
      </c>
      <c r="K49" s="16" t="s">
        <v>71</v>
      </c>
      <c r="L49" s="2"/>
    </row>
    <row r="50" spans="1:12" x14ac:dyDescent="0.2">
      <c r="A50" s="7">
        <v>6</v>
      </c>
      <c r="B50">
        <v>9</v>
      </c>
      <c r="C50">
        <v>7</v>
      </c>
      <c r="D50" t="s">
        <v>332</v>
      </c>
      <c r="E50" t="s">
        <v>339</v>
      </c>
      <c r="F50" s="9" t="s">
        <v>53</v>
      </c>
      <c r="G50" s="10" t="s">
        <v>2</v>
      </c>
      <c r="H50" s="14">
        <v>44411</v>
      </c>
      <c r="I50" s="20" t="s">
        <v>71</v>
      </c>
      <c r="J50" s="21" t="s">
        <v>71</v>
      </c>
      <c r="K50" s="16" t="s">
        <v>71</v>
      </c>
      <c r="L50" s="2"/>
    </row>
    <row r="51" spans="1:12" x14ac:dyDescent="0.2">
      <c r="A51" s="7">
        <v>7</v>
      </c>
      <c r="B51">
        <v>6</v>
      </c>
      <c r="C51">
        <v>2</v>
      </c>
      <c r="D51" t="s">
        <v>332</v>
      </c>
      <c r="E51" t="s">
        <v>337</v>
      </c>
      <c r="F51" s="11" t="s">
        <v>43</v>
      </c>
      <c r="G51" s="10" t="s">
        <v>2</v>
      </c>
      <c r="H51" s="14">
        <v>44441</v>
      </c>
      <c r="I51" s="20" t="s">
        <v>71</v>
      </c>
      <c r="J51" s="21" t="s">
        <v>71</v>
      </c>
      <c r="K51" s="16" t="s">
        <v>71</v>
      </c>
      <c r="L51" s="2"/>
    </row>
    <row r="52" spans="1:12" x14ac:dyDescent="0.2">
      <c r="A52" s="7">
        <v>7</v>
      </c>
      <c r="B52">
        <v>6</v>
      </c>
      <c r="C52">
        <v>3</v>
      </c>
      <c r="D52" t="s">
        <v>330</v>
      </c>
      <c r="E52" t="s">
        <v>338</v>
      </c>
      <c r="F52" s="11" t="s">
        <v>44</v>
      </c>
      <c r="G52" s="10" t="s">
        <v>2</v>
      </c>
      <c r="H52" s="14">
        <v>44441</v>
      </c>
      <c r="I52" s="20" t="s">
        <v>71</v>
      </c>
      <c r="J52" s="21" t="s">
        <v>71</v>
      </c>
      <c r="K52" s="16" t="s">
        <v>71</v>
      </c>
      <c r="L52" s="2"/>
    </row>
    <row r="53" spans="1:12" x14ac:dyDescent="0.2">
      <c r="A53" s="7">
        <v>7</v>
      </c>
      <c r="B53">
        <v>6</v>
      </c>
      <c r="C53">
        <v>4</v>
      </c>
      <c r="D53" t="s">
        <v>332</v>
      </c>
      <c r="E53" t="s">
        <v>339</v>
      </c>
      <c r="F53" s="12" t="s">
        <v>45</v>
      </c>
      <c r="G53" s="10" t="s">
        <v>2</v>
      </c>
      <c r="H53" s="14">
        <v>44442</v>
      </c>
      <c r="I53" s="20" t="s">
        <v>71</v>
      </c>
      <c r="J53" s="21" t="s">
        <v>71</v>
      </c>
      <c r="K53" s="16" t="s">
        <v>71</v>
      </c>
      <c r="L53" s="2"/>
    </row>
    <row r="54" spans="1:12" x14ac:dyDescent="0.2">
      <c r="A54" s="7">
        <v>7</v>
      </c>
      <c r="B54">
        <v>6</v>
      </c>
      <c r="C54">
        <v>5</v>
      </c>
      <c r="D54" t="s">
        <v>330</v>
      </c>
      <c r="E54" t="s">
        <v>336</v>
      </c>
      <c r="F54" s="12" t="s">
        <v>46</v>
      </c>
      <c r="G54" s="10" t="s">
        <v>2</v>
      </c>
      <c r="H54" s="14">
        <v>44442</v>
      </c>
      <c r="I54" s="20" t="s">
        <v>71</v>
      </c>
      <c r="J54" s="21" t="s">
        <v>71</v>
      </c>
      <c r="K54" s="16" t="s">
        <v>71</v>
      </c>
      <c r="L54" s="2" t="s">
        <v>62</v>
      </c>
    </row>
    <row r="55" spans="1:12" x14ac:dyDescent="0.2">
      <c r="A55" s="7">
        <v>8</v>
      </c>
      <c r="B55">
        <v>9</v>
      </c>
      <c r="C55">
        <v>3</v>
      </c>
      <c r="D55" t="s">
        <v>332</v>
      </c>
      <c r="E55" t="s">
        <v>337</v>
      </c>
      <c r="F55" s="12" t="s">
        <v>50</v>
      </c>
      <c r="G55" s="10" t="s">
        <v>2</v>
      </c>
      <c r="H55" s="14">
        <v>44455</v>
      </c>
      <c r="I55" s="20" t="s">
        <v>71</v>
      </c>
      <c r="J55" s="21" t="s">
        <v>71</v>
      </c>
      <c r="K55" s="16" t="s">
        <v>71</v>
      </c>
    </row>
    <row r="56" spans="1:12" x14ac:dyDescent="0.2">
      <c r="A56" s="7">
        <v>7</v>
      </c>
      <c r="B56">
        <v>6</v>
      </c>
      <c r="C56">
        <v>6</v>
      </c>
      <c r="D56" t="s">
        <v>327</v>
      </c>
      <c r="E56" t="s">
        <v>338</v>
      </c>
      <c r="F56" s="12" t="s">
        <v>47</v>
      </c>
      <c r="G56" s="10" t="s">
        <v>2</v>
      </c>
      <c r="H56" s="14">
        <v>44455</v>
      </c>
      <c r="I56" s="20" t="s">
        <v>71</v>
      </c>
      <c r="J56" s="21" t="s">
        <v>71</v>
      </c>
      <c r="K56" s="16" t="s">
        <v>71</v>
      </c>
    </row>
    <row r="57" spans="1:12" x14ac:dyDescent="0.2">
      <c r="A57" s="7">
        <v>8</v>
      </c>
      <c r="B57">
        <v>9</v>
      </c>
      <c r="C57">
        <v>2</v>
      </c>
      <c r="D57" t="s">
        <v>327</v>
      </c>
      <c r="E57" t="s">
        <v>336</v>
      </c>
      <c r="F57" s="12" t="s">
        <v>49</v>
      </c>
      <c r="G57" s="10" t="s">
        <v>2</v>
      </c>
      <c r="H57" s="14">
        <v>44455</v>
      </c>
      <c r="I57" s="20" t="s">
        <v>71</v>
      </c>
      <c r="J57" s="21" t="s">
        <v>71</v>
      </c>
      <c r="K57" s="16" t="s">
        <v>71</v>
      </c>
    </row>
    <row r="58" spans="1:12" x14ac:dyDescent="0.2">
      <c r="A58" s="7">
        <v>8</v>
      </c>
      <c r="B58">
        <v>9</v>
      </c>
      <c r="C58">
        <v>1</v>
      </c>
      <c r="D58" t="s">
        <v>330</v>
      </c>
      <c r="E58" t="s">
        <v>339</v>
      </c>
      <c r="F58" s="12" t="s">
        <v>48</v>
      </c>
      <c r="G58" s="10" t="s">
        <v>2</v>
      </c>
      <c r="H58" s="14">
        <v>44455</v>
      </c>
      <c r="I58" s="20" t="s">
        <v>71</v>
      </c>
      <c r="J58" s="21" t="s">
        <v>71</v>
      </c>
      <c r="K58" s="16" t="s">
        <v>71</v>
      </c>
    </row>
    <row r="59" spans="1:12" ht="17" x14ac:dyDescent="0.2">
      <c r="A59" s="7" t="s">
        <v>77</v>
      </c>
      <c r="B59" t="s">
        <v>77</v>
      </c>
      <c r="C59" t="s">
        <v>77</v>
      </c>
      <c r="D59" t="s">
        <v>77</v>
      </c>
      <c r="E59" t="s">
        <v>77</v>
      </c>
      <c r="F59" s="8" t="s">
        <v>63</v>
      </c>
      <c r="G59" t="s">
        <v>77</v>
      </c>
      <c r="H59" s="14" t="s">
        <v>77</v>
      </c>
      <c r="I59" s="23">
        <f>AVERAGE(25.418,24.922,25.65)</f>
        <v>25.330000000000002</v>
      </c>
      <c r="J59" s="24">
        <f>AVERAGE(22.149,22.684,23.261)</f>
        <v>22.697999999999997</v>
      </c>
      <c r="K59" s="17">
        <f>AVERAGE(20.701,20.61,22.406)</f>
        <v>21.239000000000001</v>
      </c>
    </row>
    <row r="60" spans="1:12" ht="17" x14ac:dyDescent="0.2">
      <c r="A60" s="7" t="s">
        <v>77</v>
      </c>
      <c r="B60" t="s">
        <v>77</v>
      </c>
      <c r="C60" t="s">
        <v>77</v>
      </c>
      <c r="D60" t="s">
        <v>77</v>
      </c>
      <c r="E60" t="s">
        <v>77</v>
      </c>
      <c r="F60" s="8" t="s">
        <v>64</v>
      </c>
      <c r="G60" t="s">
        <v>77</v>
      </c>
      <c r="H60" s="14" t="s">
        <v>77</v>
      </c>
      <c r="I60" s="23">
        <f>AVERAGE(32.738,28.221,28.315)</f>
        <v>29.757999999999999</v>
      </c>
      <c r="J60" s="24">
        <f>AVERAGE(25.516,25.228,25.807)</f>
        <v>25.516999999999999</v>
      </c>
      <c r="K60" s="17">
        <f>AVERAGE(24.594,24.573,23.84)</f>
        <v>24.335666666666668</v>
      </c>
    </row>
    <row r="61" spans="1:12" ht="17" x14ac:dyDescent="0.2">
      <c r="A61" s="7" t="s">
        <v>77</v>
      </c>
      <c r="B61" t="s">
        <v>77</v>
      </c>
      <c r="C61" t="s">
        <v>77</v>
      </c>
      <c r="D61" t="s">
        <v>77</v>
      </c>
      <c r="E61" t="s">
        <v>77</v>
      </c>
      <c r="F61" s="8" t="s">
        <v>65</v>
      </c>
      <c r="G61" t="s">
        <v>77</v>
      </c>
      <c r="H61" s="14" t="s">
        <v>77</v>
      </c>
      <c r="I61" s="23">
        <f>AVERAGE(38.04,32.022)</f>
        <v>35.030999999999999</v>
      </c>
      <c r="J61" s="24">
        <f>AVERAGE(29.34,29.71,30.151)</f>
        <v>29.733666666666664</v>
      </c>
      <c r="K61" s="17">
        <f>AVERAGE(28.332,27.953,28.611)</f>
        <v>28.298666666666666</v>
      </c>
    </row>
    <row r="62" spans="1:12" ht="17" x14ac:dyDescent="0.2">
      <c r="A62" s="7" t="s">
        <v>77</v>
      </c>
      <c r="B62" t="s">
        <v>77</v>
      </c>
      <c r="C62" t="s">
        <v>77</v>
      </c>
      <c r="D62" t="s">
        <v>77</v>
      </c>
      <c r="E62" t="s">
        <v>77</v>
      </c>
      <c r="F62" s="8" t="s">
        <v>66</v>
      </c>
      <c r="G62" t="s">
        <v>77</v>
      </c>
      <c r="H62" s="14" t="s">
        <v>77</v>
      </c>
      <c r="I62" s="23">
        <f>AVERAGE(37.909,36.266,36.386)</f>
        <v>36.853666666666669</v>
      </c>
      <c r="J62" s="24">
        <f>AVERAGE(33.403,31.259,33.074)</f>
        <v>32.57866666666667</v>
      </c>
      <c r="K62" s="17">
        <f>AVERAGE(31.742,31.912,32.158)</f>
        <v>31.937333333333331</v>
      </c>
    </row>
    <row r="63" spans="1:12" ht="17" x14ac:dyDescent="0.2">
      <c r="A63" s="7" t="s">
        <v>77</v>
      </c>
      <c r="B63" t="s">
        <v>77</v>
      </c>
      <c r="C63" t="s">
        <v>77</v>
      </c>
      <c r="D63" t="s">
        <v>77</v>
      </c>
      <c r="E63" t="s">
        <v>77</v>
      </c>
      <c r="F63" s="8" t="s">
        <v>67</v>
      </c>
      <c r="G63" t="s">
        <v>77</v>
      </c>
      <c r="H63" s="14" t="s">
        <v>77</v>
      </c>
      <c r="I63" s="23">
        <f>AVERAGE(39.966,39.119,40.972)</f>
        <v>40.019000000000005</v>
      </c>
      <c r="J63" s="24">
        <f>AVERAGE(36.816,36.733,36.672)</f>
        <v>36.740333333333332</v>
      </c>
      <c r="K63" s="17">
        <f>AVERAGE(35.599,38.769,35.946)</f>
        <v>36.771333333333331</v>
      </c>
    </row>
    <row r="64" spans="1:12" ht="17" x14ac:dyDescent="0.2">
      <c r="A64" s="7" t="s">
        <v>77</v>
      </c>
      <c r="B64" t="s">
        <v>77</v>
      </c>
      <c r="C64" t="s">
        <v>77</v>
      </c>
      <c r="D64" t="s">
        <v>77</v>
      </c>
      <c r="E64" t="s">
        <v>77</v>
      </c>
      <c r="F64" s="8" t="s">
        <v>68</v>
      </c>
      <c r="G64" t="s">
        <v>77</v>
      </c>
      <c r="H64" s="14" t="s">
        <v>77</v>
      </c>
      <c r="I64" s="23">
        <f>AVERAGE(41.95,42.334)</f>
        <v>42.142000000000003</v>
      </c>
      <c r="J64" s="24">
        <f>AVERAGE(43,39.891,41.839)</f>
        <v>41.576666666666661</v>
      </c>
      <c r="K64" s="17">
        <f>AVERAGE(40.535,37.998,42.596)</f>
        <v>40.376333333333328</v>
      </c>
    </row>
    <row r="65" spans="1:12" ht="17" x14ac:dyDescent="0.2">
      <c r="A65" s="7" t="s">
        <v>77</v>
      </c>
      <c r="B65" t="s">
        <v>77</v>
      </c>
      <c r="C65" t="s">
        <v>77</v>
      </c>
      <c r="D65" t="s">
        <v>77</v>
      </c>
      <c r="E65" t="s">
        <v>77</v>
      </c>
      <c r="F65" s="8" t="s">
        <v>69</v>
      </c>
      <c r="G65" t="s">
        <v>77</v>
      </c>
      <c r="H65" s="14" t="s">
        <v>77</v>
      </c>
      <c r="I65" s="23" t="s">
        <v>71</v>
      </c>
      <c r="J65" s="24" t="s">
        <v>71</v>
      </c>
      <c r="K65" s="17">
        <f>AVERAGE(40.046,39.512,41.679)</f>
        <v>40.412333333333329</v>
      </c>
    </row>
    <row r="66" spans="1:12" ht="17" x14ac:dyDescent="0.2">
      <c r="A66" s="7" t="s">
        <v>77</v>
      </c>
      <c r="B66" t="s">
        <v>77</v>
      </c>
      <c r="C66" t="s">
        <v>77</v>
      </c>
      <c r="D66" t="s">
        <v>77</v>
      </c>
      <c r="E66" t="s">
        <v>77</v>
      </c>
      <c r="F66" s="8" t="s">
        <v>70</v>
      </c>
      <c r="G66" t="s">
        <v>77</v>
      </c>
      <c r="H66" s="14" t="s">
        <v>77</v>
      </c>
      <c r="I66" s="20" t="s">
        <v>71</v>
      </c>
      <c r="J66" s="24" t="s">
        <v>71</v>
      </c>
      <c r="K66" s="16" t="s">
        <v>71</v>
      </c>
    </row>
    <row r="67" spans="1:12" x14ac:dyDescent="0.2">
      <c r="A67" s="7">
        <v>1</v>
      </c>
      <c r="B67">
        <v>6</v>
      </c>
      <c r="C67">
        <v>1</v>
      </c>
      <c r="D67" t="s">
        <v>327</v>
      </c>
      <c r="E67" t="s">
        <v>328</v>
      </c>
      <c r="F67" s="8" t="s">
        <v>5</v>
      </c>
      <c r="G67" t="s">
        <v>1</v>
      </c>
      <c r="H67" s="14">
        <v>44349</v>
      </c>
      <c r="I67" s="20" t="s">
        <v>71</v>
      </c>
      <c r="J67" s="21" t="s">
        <v>71</v>
      </c>
      <c r="K67" s="16" t="s">
        <v>71</v>
      </c>
    </row>
    <row r="68" spans="1:12" x14ac:dyDescent="0.2">
      <c r="A68" s="7">
        <v>1</v>
      </c>
      <c r="B68">
        <v>6</v>
      </c>
      <c r="C68">
        <v>2</v>
      </c>
      <c r="D68" t="s">
        <v>327</v>
      </c>
      <c r="E68" t="s">
        <v>329</v>
      </c>
      <c r="F68" s="8" t="s">
        <v>6</v>
      </c>
      <c r="G68" t="s">
        <v>1</v>
      </c>
      <c r="H68" s="14">
        <v>44349</v>
      </c>
      <c r="I68" s="20" t="s">
        <v>71</v>
      </c>
      <c r="J68" s="21" t="s">
        <v>71</v>
      </c>
      <c r="K68" s="16" t="s">
        <v>71</v>
      </c>
    </row>
    <row r="69" spans="1:12" x14ac:dyDescent="0.2">
      <c r="A69" s="7">
        <v>1</v>
      </c>
      <c r="B69">
        <v>6</v>
      </c>
      <c r="C69">
        <v>3</v>
      </c>
      <c r="D69" t="s">
        <v>330</v>
      </c>
      <c r="E69" t="s">
        <v>331</v>
      </c>
      <c r="F69" s="8" t="s">
        <v>7</v>
      </c>
      <c r="G69" t="s">
        <v>1</v>
      </c>
      <c r="H69" s="14">
        <v>44349</v>
      </c>
      <c r="I69" s="20" t="s">
        <v>71</v>
      </c>
      <c r="J69" s="21" t="s">
        <v>71</v>
      </c>
      <c r="K69" s="16" t="s">
        <v>71</v>
      </c>
    </row>
    <row r="70" spans="1:12" x14ac:dyDescent="0.2">
      <c r="A70" s="7">
        <v>1</v>
      </c>
      <c r="B70">
        <v>6</v>
      </c>
      <c r="C70">
        <v>4</v>
      </c>
      <c r="D70" t="s">
        <v>332</v>
      </c>
      <c r="E70" t="s">
        <v>333</v>
      </c>
      <c r="F70" s="8" t="s">
        <v>8</v>
      </c>
      <c r="G70" t="s">
        <v>1</v>
      </c>
      <c r="H70" s="14">
        <v>44350</v>
      </c>
      <c r="I70" s="20" t="s">
        <v>71</v>
      </c>
      <c r="J70" s="21" t="s">
        <v>71</v>
      </c>
      <c r="K70" s="16" t="s">
        <v>71</v>
      </c>
    </row>
    <row r="71" spans="1:12" x14ac:dyDescent="0.2">
      <c r="A71" s="7">
        <v>1</v>
      </c>
      <c r="B71">
        <v>6</v>
      </c>
      <c r="C71">
        <v>5</v>
      </c>
      <c r="D71" t="s">
        <v>332</v>
      </c>
      <c r="E71" t="s">
        <v>334</v>
      </c>
      <c r="F71" s="8" t="s">
        <v>9</v>
      </c>
      <c r="G71" t="s">
        <v>1</v>
      </c>
      <c r="H71" s="14">
        <v>44350</v>
      </c>
      <c r="I71" s="20" t="s">
        <v>71</v>
      </c>
      <c r="J71" s="21" t="s">
        <v>71</v>
      </c>
      <c r="K71" s="16" t="s">
        <v>71</v>
      </c>
    </row>
    <row r="72" spans="1:12" x14ac:dyDescent="0.2">
      <c r="A72" s="7">
        <v>1</v>
      </c>
      <c r="B72">
        <v>6</v>
      </c>
      <c r="C72">
        <v>6</v>
      </c>
      <c r="D72" t="s">
        <v>330</v>
      </c>
      <c r="E72" t="s">
        <v>335</v>
      </c>
      <c r="F72" s="8" t="s">
        <v>10</v>
      </c>
      <c r="G72" t="s">
        <v>1</v>
      </c>
      <c r="H72" s="14">
        <v>44350</v>
      </c>
      <c r="I72" s="20" t="s">
        <v>71</v>
      </c>
      <c r="J72" s="21" t="s">
        <v>71</v>
      </c>
      <c r="K72" s="16" t="s">
        <v>71</v>
      </c>
    </row>
    <row r="73" spans="1:12" x14ac:dyDescent="0.2">
      <c r="A73" s="7">
        <v>2</v>
      </c>
      <c r="B73">
        <v>9</v>
      </c>
      <c r="C73">
        <v>2</v>
      </c>
      <c r="D73" t="s">
        <v>332</v>
      </c>
      <c r="E73" t="s">
        <v>336</v>
      </c>
      <c r="F73" s="8" t="s">
        <v>12</v>
      </c>
      <c r="G73" t="s">
        <v>1</v>
      </c>
      <c r="H73" s="14">
        <v>44355</v>
      </c>
      <c r="I73" s="20" t="s">
        <v>71</v>
      </c>
      <c r="J73" s="21" t="s">
        <v>71</v>
      </c>
      <c r="K73" s="16" t="s">
        <v>71</v>
      </c>
    </row>
    <row r="74" spans="1:12" x14ac:dyDescent="0.2">
      <c r="A74" s="7">
        <v>2</v>
      </c>
      <c r="B74">
        <v>9</v>
      </c>
      <c r="C74">
        <v>3</v>
      </c>
      <c r="D74" t="s">
        <v>327</v>
      </c>
      <c r="E74" t="s">
        <v>337</v>
      </c>
      <c r="F74" s="8" t="s">
        <v>13</v>
      </c>
      <c r="G74" t="s">
        <v>1</v>
      </c>
      <c r="H74" s="14">
        <v>44355</v>
      </c>
      <c r="I74" s="20" t="s">
        <v>71</v>
      </c>
      <c r="J74" s="21" t="s">
        <v>71</v>
      </c>
      <c r="K74" s="16" t="s">
        <v>71</v>
      </c>
    </row>
    <row r="75" spans="1:12" x14ac:dyDescent="0.2">
      <c r="A75" s="7">
        <v>2</v>
      </c>
      <c r="B75">
        <v>9</v>
      </c>
      <c r="C75">
        <v>4</v>
      </c>
      <c r="D75" t="s">
        <v>327</v>
      </c>
      <c r="E75" t="s">
        <v>338</v>
      </c>
      <c r="F75" s="8" t="s">
        <v>14</v>
      </c>
      <c r="G75" t="s">
        <v>1</v>
      </c>
      <c r="H75" s="14">
        <v>44355</v>
      </c>
      <c r="I75" s="20" t="s">
        <v>71</v>
      </c>
      <c r="J75" s="21" t="s">
        <v>71</v>
      </c>
      <c r="K75" s="16" t="s">
        <v>71</v>
      </c>
    </row>
    <row r="76" spans="1:12" x14ac:dyDescent="0.2">
      <c r="A76" s="7">
        <v>2</v>
      </c>
      <c r="B76">
        <v>9</v>
      </c>
      <c r="C76">
        <v>1</v>
      </c>
      <c r="D76" t="s">
        <v>330</v>
      </c>
      <c r="E76" t="s">
        <v>339</v>
      </c>
      <c r="F76" s="8" t="s">
        <v>11</v>
      </c>
      <c r="G76" t="s">
        <v>1</v>
      </c>
      <c r="H76" s="14">
        <v>44355</v>
      </c>
      <c r="I76" s="20" t="s">
        <v>71</v>
      </c>
      <c r="J76" s="21" t="s">
        <v>71</v>
      </c>
      <c r="K76" s="16" t="s">
        <v>71</v>
      </c>
    </row>
    <row r="77" spans="1:12" x14ac:dyDescent="0.2">
      <c r="A77" s="7">
        <v>2</v>
      </c>
      <c r="B77">
        <v>9</v>
      </c>
      <c r="C77">
        <v>7</v>
      </c>
      <c r="D77" t="s">
        <v>327</v>
      </c>
      <c r="E77" t="s">
        <v>337</v>
      </c>
      <c r="F77" s="8" t="s">
        <v>17</v>
      </c>
      <c r="G77" t="s">
        <v>1</v>
      </c>
      <c r="H77" s="14">
        <v>44368</v>
      </c>
      <c r="I77" s="20" t="s">
        <v>71</v>
      </c>
      <c r="J77" s="21" t="s">
        <v>71</v>
      </c>
      <c r="K77" s="16" t="s">
        <v>71</v>
      </c>
    </row>
    <row r="78" spans="1:12" x14ac:dyDescent="0.2">
      <c r="A78" s="7">
        <v>2</v>
      </c>
      <c r="B78">
        <v>9</v>
      </c>
      <c r="C78">
        <v>5</v>
      </c>
      <c r="D78" t="s">
        <v>330</v>
      </c>
      <c r="E78" t="s">
        <v>339</v>
      </c>
      <c r="F78" s="8" t="s">
        <v>15</v>
      </c>
      <c r="G78" t="s">
        <v>1</v>
      </c>
      <c r="H78" s="14">
        <v>44368</v>
      </c>
      <c r="I78" s="20" t="s">
        <v>71</v>
      </c>
      <c r="J78" s="21" t="s">
        <v>71</v>
      </c>
      <c r="K78" s="16" t="s">
        <v>71</v>
      </c>
    </row>
    <row r="79" spans="1:12" x14ac:dyDescent="0.2">
      <c r="A79" s="7">
        <v>2</v>
      </c>
      <c r="B79">
        <v>9</v>
      </c>
      <c r="C79">
        <v>8</v>
      </c>
      <c r="D79" t="s">
        <v>332</v>
      </c>
      <c r="E79" t="s">
        <v>338</v>
      </c>
      <c r="F79" s="8" t="s">
        <v>18</v>
      </c>
      <c r="G79" t="s">
        <v>1</v>
      </c>
      <c r="H79" s="14">
        <v>44368</v>
      </c>
      <c r="I79" s="20" t="s">
        <v>71</v>
      </c>
      <c r="J79" s="21" t="s">
        <v>71</v>
      </c>
      <c r="K79" s="16" t="s">
        <v>71</v>
      </c>
    </row>
    <row r="80" spans="1:12" x14ac:dyDescent="0.2">
      <c r="A80" s="7">
        <v>2</v>
      </c>
      <c r="B80">
        <v>9</v>
      </c>
      <c r="C80">
        <v>6</v>
      </c>
      <c r="D80" t="s">
        <v>332</v>
      </c>
      <c r="E80" t="s">
        <v>336</v>
      </c>
      <c r="F80" s="8" t="s">
        <v>16</v>
      </c>
      <c r="G80" t="s">
        <v>1</v>
      </c>
      <c r="H80" s="14">
        <v>44368</v>
      </c>
      <c r="I80" s="20" t="s">
        <v>71</v>
      </c>
      <c r="J80" s="21" t="s">
        <v>71</v>
      </c>
      <c r="K80" s="16" t="s">
        <v>71</v>
      </c>
      <c r="L80" s="2" t="s">
        <v>62</v>
      </c>
    </row>
    <row r="81" spans="1:13" x14ac:dyDescent="0.2">
      <c r="A81" s="7">
        <v>4</v>
      </c>
      <c r="B81">
        <v>3</v>
      </c>
      <c r="C81">
        <v>1</v>
      </c>
      <c r="D81" t="s">
        <v>332</v>
      </c>
      <c r="E81" t="s">
        <v>333</v>
      </c>
      <c r="F81" s="8" t="s">
        <v>26</v>
      </c>
      <c r="G81" t="s">
        <v>1</v>
      </c>
      <c r="H81" s="14">
        <v>44375</v>
      </c>
      <c r="I81" s="20" t="s">
        <v>71</v>
      </c>
      <c r="J81" s="21" t="s">
        <v>71</v>
      </c>
      <c r="K81" s="16" t="s">
        <v>71</v>
      </c>
    </row>
    <row r="82" spans="1:13" x14ac:dyDescent="0.2">
      <c r="A82" s="7">
        <v>2</v>
      </c>
      <c r="B82">
        <v>9</v>
      </c>
      <c r="C82">
        <v>9</v>
      </c>
      <c r="D82" t="s">
        <v>330</v>
      </c>
      <c r="E82" t="s">
        <v>331</v>
      </c>
      <c r="F82" s="8" t="s">
        <v>19</v>
      </c>
      <c r="G82" t="s">
        <v>1</v>
      </c>
      <c r="H82" s="14">
        <v>44375</v>
      </c>
      <c r="I82" s="20" t="s">
        <v>71</v>
      </c>
      <c r="J82" s="21" t="s">
        <v>71</v>
      </c>
      <c r="K82" s="16" t="s">
        <v>71</v>
      </c>
    </row>
    <row r="83" spans="1:13" x14ac:dyDescent="0.2">
      <c r="A83" s="7">
        <v>3</v>
      </c>
      <c r="B83">
        <v>6</v>
      </c>
      <c r="C83">
        <v>2</v>
      </c>
      <c r="D83" t="s">
        <v>327</v>
      </c>
      <c r="E83" t="s">
        <v>328</v>
      </c>
      <c r="F83" s="8" t="s">
        <v>21</v>
      </c>
      <c r="G83" t="s">
        <v>1</v>
      </c>
      <c r="H83" s="14">
        <v>44375</v>
      </c>
      <c r="I83" s="20" t="s">
        <v>71</v>
      </c>
      <c r="J83" s="21" t="s">
        <v>71</v>
      </c>
      <c r="K83" s="16" t="s">
        <v>71</v>
      </c>
    </row>
    <row r="84" spans="1:13" x14ac:dyDescent="0.2">
      <c r="A84" s="7">
        <v>3</v>
      </c>
      <c r="B84">
        <v>6</v>
      </c>
      <c r="C84">
        <v>1</v>
      </c>
      <c r="D84" t="s">
        <v>327</v>
      </c>
      <c r="E84" t="s">
        <v>329</v>
      </c>
      <c r="F84" s="8" t="s">
        <v>20</v>
      </c>
      <c r="G84" t="s">
        <v>1</v>
      </c>
      <c r="H84" s="14">
        <v>44375</v>
      </c>
      <c r="I84" s="20" t="s">
        <v>71</v>
      </c>
      <c r="J84" s="21" t="s">
        <v>71</v>
      </c>
      <c r="K84" s="16" t="s">
        <v>71</v>
      </c>
    </row>
    <row r="85" spans="1:13" x14ac:dyDescent="0.2">
      <c r="A85" s="7">
        <v>3</v>
      </c>
      <c r="B85">
        <v>6</v>
      </c>
      <c r="C85">
        <v>6</v>
      </c>
      <c r="D85" t="s">
        <v>330</v>
      </c>
      <c r="E85" t="s">
        <v>340</v>
      </c>
      <c r="F85" s="8" t="s">
        <v>25</v>
      </c>
      <c r="G85" t="s">
        <v>1</v>
      </c>
      <c r="H85" s="14">
        <v>44376</v>
      </c>
      <c r="I85" s="20" t="s">
        <v>71</v>
      </c>
      <c r="J85" s="21" t="s">
        <v>71</v>
      </c>
      <c r="K85" s="16" t="s">
        <v>71</v>
      </c>
    </row>
    <row r="86" spans="1:13" x14ac:dyDescent="0.2">
      <c r="A86" s="7">
        <v>3</v>
      </c>
      <c r="B86">
        <v>6</v>
      </c>
      <c r="C86">
        <v>3</v>
      </c>
      <c r="D86" t="s">
        <v>330</v>
      </c>
      <c r="E86" t="s">
        <v>334</v>
      </c>
      <c r="F86" s="8" t="s">
        <v>22</v>
      </c>
      <c r="G86" t="s">
        <v>1</v>
      </c>
      <c r="H86" s="14">
        <v>44376</v>
      </c>
      <c r="I86" s="20" t="s">
        <v>71</v>
      </c>
      <c r="J86" s="21" t="s">
        <v>71</v>
      </c>
      <c r="K86" s="16" t="s">
        <v>71</v>
      </c>
    </row>
    <row r="87" spans="1:13" x14ac:dyDescent="0.2">
      <c r="A87" s="7">
        <v>3</v>
      </c>
      <c r="B87">
        <v>6</v>
      </c>
      <c r="C87">
        <v>4</v>
      </c>
      <c r="D87" t="s">
        <v>332</v>
      </c>
      <c r="E87" t="s">
        <v>335</v>
      </c>
      <c r="F87" s="8" t="s">
        <v>23</v>
      </c>
      <c r="G87" t="s">
        <v>1</v>
      </c>
      <c r="H87" s="14">
        <v>44376</v>
      </c>
      <c r="I87" s="20" t="s">
        <v>71</v>
      </c>
      <c r="J87" s="21" t="s">
        <v>71</v>
      </c>
      <c r="K87" s="16" t="s">
        <v>71</v>
      </c>
    </row>
    <row r="88" spans="1:13" x14ac:dyDescent="0.2">
      <c r="A88" s="7">
        <v>3</v>
      </c>
      <c r="B88">
        <v>6</v>
      </c>
      <c r="C88">
        <v>5</v>
      </c>
      <c r="D88" t="s">
        <v>332</v>
      </c>
      <c r="E88" t="s">
        <v>341</v>
      </c>
      <c r="F88" s="8" t="s">
        <v>24</v>
      </c>
      <c r="G88" t="s">
        <v>1</v>
      </c>
      <c r="H88" s="14">
        <v>44376</v>
      </c>
      <c r="I88" s="20" t="s">
        <v>71</v>
      </c>
      <c r="J88" s="21" t="s">
        <v>71</v>
      </c>
      <c r="K88" s="16" t="s">
        <v>71</v>
      </c>
      <c r="M88" s="2"/>
    </row>
    <row r="89" spans="1:13" x14ac:dyDescent="0.2">
      <c r="A89" s="7">
        <v>4</v>
      </c>
      <c r="B89">
        <v>3</v>
      </c>
      <c r="C89">
        <v>3</v>
      </c>
      <c r="D89" t="s">
        <v>330</v>
      </c>
      <c r="E89" t="s">
        <v>338</v>
      </c>
      <c r="F89" s="8" t="s">
        <v>28</v>
      </c>
      <c r="G89" t="s">
        <v>1</v>
      </c>
      <c r="H89" s="14">
        <v>44383</v>
      </c>
      <c r="I89" s="20" t="s">
        <v>71</v>
      </c>
      <c r="J89" s="21" t="s">
        <v>71</v>
      </c>
      <c r="K89" s="16" t="s">
        <v>71</v>
      </c>
    </row>
    <row r="90" spans="1:13" x14ac:dyDescent="0.2">
      <c r="A90" s="7">
        <v>4</v>
      </c>
      <c r="B90">
        <v>3</v>
      </c>
      <c r="C90">
        <v>2</v>
      </c>
      <c r="D90" t="s">
        <v>327</v>
      </c>
      <c r="E90" t="s">
        <v>336</v>
      </c>
      <c r="F90" s="8" t="s">
        <v>27</v>
      </c>
      <c r="G90" t="s">
        <v>1</v>
      </c>
      <c r="H90" s="14">
        <v>44383</v>
      </c>
      <c r="I90" s="20" t="s">
        <v>71</v>
      </c>
      <c r="J90" s="21" t="s">
        <v>71</v>
      </c>
      <c r="K90" s="16" t="s">
        <v>71</v>
      </c>
    </row>
    <row r="91" spans="1:13" ht="17" x14ac:dyDescent="0.2">
      <c r="A91" s="7" t="s">
        <v>77</v>
      </c>
      <c r="B91" t="s">
        <v>77</v>
      </c>
      <c r="C91" t="s">
        <v>77</v>
      </c>
      <c r="D91" t="s">
        <v>77</v>
      </c>
      <c r="E91" t="s">
        <v>77</v>
      </c>
      <c r="F91" s="8" t="s">
        <v>63</v>
      </c>
      <c r="G91" t="s">
        <v>77</v>
      </c>
      <c r="H91" s="14" t="s">
        <v>77</v>
      </c>
      <c r="I91" s="23">
        <f>AVERAGE(34.977,35.832,30.074)</f>
        <v>33.627666666666663</v>
      </c>
      <c r="J91" s="24">
        <f>AVERAGE(21.679,21.785,22.543)</f>
        <v>22.002333333333336</v>
      </c>
      <c r="K91" s="17">
        <f>AVERAGE(24.23,22.056,22.53)</f>
        <v>22.938666666666666</v>
      </c>
    </row>
    <row r="92" spans="1:13" ht="17" x14ac:dyDescent="0.2">
      <c r="A92" s="7" t="s">
        <v>77</v>
      </c>
      <c r="B92" t="s">
        <v>77</v>
      </c>
      <c r="C92" t="s">
        <v>77</v>
      </c>
      <c r="D92" t="s">
        <v>77</v>
      </c>
      <c r="E92" t="s">
        <v>77</v>
      </c>
      <c r="F92" s="8" t="s">
        <v>64</v>
      </c>
      <c r="G92" t="s">
        <v>77</v>
      </c>
      <c r="H92" s="14" t="s">
        <v>77</v>
      </c>
      <c r="I92" s="23">
        <f>AVERAGE(28.586,27.911,28.606)</f>
        <v>28.367666666666668</v>
      </c>
      <c r="J92" s="24">
        <f>AVERAGE(24.287,23.579,25.123)</f>
        <v>24.329666666666668</v>
      </c>
      <c r="K92" s="17">
        <f>AVERAGE(25.233,25.207,26.01)</f>
        <v>25.483333333333334</v>
      </c>
    </row>
    <row r="93" spans="1:13" ht="17" x14ac:dyDescent="0.2">
      <c r="A93" s="7" t="s">
        <v>77</v>
      </c>
      <c r="B93" t="s">
        <v>77</v>
      </c>
      <c r="C93" t="s">
        <v>77</v>
      </c>
      <c r="D93" t="s">
        <v>77</v>
      </c>
      <c r="E93" t="s">
        <v>77</v>
      </c>
      <c r="F93" s="8" t="s">
        <v>65</v>
      </c>
      <c r="G93" t="s">
        <v>77</v>
      </c>
      <c r="H93" s="14" t="s">
        <v>77</v>
      </c>
      <c r="I93" s="23">
        <f>AVERAGE(32.452,32.559,32.986)</f>
        <v>32.66566666666666</v>
      </c>
      <c r="J93" s="24">
        <f>AVERAGE(28.945,28.509,29.157)</f>
        <v>28.870333333333335</v>
      </c>
      <c r="K93" s="17">
        <f>AVERAGE(29.361,31.696,29.937)</f>
        <v>30.331333333333333</v>
      </c>
    </row>
    <row r="94" spans="1:13" ht="17" x14ac:dyDescent="0.2">
      <c r="A94" s="7" t="s">
        <v>77</v>
      </c>
      <c r="B94" t="s">
        <v>77</v>
      </c>
      <c r="C94" t="s">
        <v>77</v>
      </c>
      <c r="D94" t="s">
        <v>77</v>
      </c>
      <c r="E94" t="s">
        <v>77</v>
      </c>
      <c r="F94" s="8" t="s">
        <v>66</v>
      </c>
      <c r="G94" t="s">
        <v>77</v>
      </c>
      <c r="H94" s="14" t="s">
        <v>77</v>
      </c>
      <c r="I94" s="23">
        <f>AVERAGE(36.368,35.413,36.069)</f>
        <v>35.950000000000003</v>
      </c>
      <c r="J94" s="24">
        <f>AVERAGE(31.359,31.578,32.448)</f>
        <v>31.794999999999998</v>
      </c>
      <c r="K94" s="17">
        <f>AVERAGE(33.789,33.251,34.317)</f>
        <v>33.785666666666664</v>
      </c>
    </row>
    <row r="95" spans="1:13" ht="17" x14ac:dyDescent="0.2">
      <c r="A95" s="7" t="s">
        <v>77</v>
      </c>
      <c r="B95" t="s">
        <v>77</v>
      </c>
      <c r="C95" t="s">
        <v>77</v>
      </c>
      <c r="D95" t="s">
        <v>77</v>
      </c>
      <c r="E95" t="s">
        <v>77</v>
      </c>
      <c r="F95" s="8" t="s">
        <v>67</v>
      </c>
      <c r="G95" t="s">
        <v>77</v>
      </c>
      <c r="H95" s="14" t="s">
        <v>77</v>
      </c>
      <c r="I95" s="23">
        <f>AVERAGE(39.428,38.264,39.816)</f>
        <v>39.169333333333334</v>
      </c>
      <c r="J95" s="24">
        <f>AVERAGE(35.518,35.601,36.262)</f>
        <v>35.793666666666667</v>
      </c>
      <c r="K95" s="17">
        <f>AVERAGE(35.966,35.486,37.105)</f>
        <v>36.185666666666663</v>
      </c>
    </row>
    <row r="96" spans="1:13" ht="17" x14ac:dyDescent="0.2">
      <c r="A96" s="7" t="s">
        <v>77</v>
      </c>
      <c r="B96" t="s">
        <v>77</v>
      </c>
      <c r="C96" t="s">
        <v>77</v>
      </c>
      <c r="D96" t="s">
        <v>77</v>
      </c>
      <c r="E96" t="s">
        <v>77</v>
      </c>
      <c r="F96" s="8" t="s">
        <v>68</v>
      </c>
      <c r="G96" t="s">
        <v>77</v>
      </c>
      <c r="H96" s="14" t="s">
        <v>77</v>
      </c>
      <c r="I96" s="23">
        <f>AVERAGE(43)</f>
        <v>43</v>
      </c>
      <c r="J96" s="24">
        <f>AVERAGE(40.081,38.836,39.872)</f>
        <v>39.596333333333334</v>
      </c>
      <c r="K96" s="17">
        <f>AVERAGE(41.219,40.526)</f>
        <v>40.872500000000002</v>
      </c>
    </row>
    <row r="97" spans="1:12" ht="17" x14ac:dyDescent="0.2">
      <c r="A97" s="7" t="s">
        <v>77</v>
      </c>
      <c r="B97" t="s">
        <v>77</v>
      </c>
      <c r="C97" t="s">
        <v>77</v>
      </c>
      <c r="D97" t="s">
        <v>77</v>
      </c>
      <c r="E97" t="s">
        <v>77</v>
      </c>
      <c r="F97" s="8" t="s">
        <v>69</v>
      </c>
      <c r="G97" t="s">
        <v>77</v>
      </c>
      <c r="H97" s="14" t="s">
        <v>77</v>
      </c>
      <c r="I97" s="23" t="s">
        <v>71</v>
      </c>
      <c r="J97" s="24">
        <f>AVERAGE(41.791,43)</f>
        <v>42.395499999999998</v>
      </c>
      <c r="K97" s="17">
        <f>AVERAGE(39.113)</f>
        <v>39.113</v>
      </c>
    </row>
    <row r="98" spans="1:12" ht="17" x14ac:dyDescent="0.2">
      <c r="A98" s="7" t="s">
        <v>77</v>
      </c>
      <c r="B98" t="s">
        <v>77</v>
      </c>
      <c r="C98" t="s">
        <v>77</v>
      </c>
      <c r="D98" t="s">
        <v>77</v>
      </c>
      <c r="E98" t="s">
        <v>77</v>
      </c>
      <c r="F98" s="8" t="s">
        <v>70</v>
      </c>
      <c r="G98" t="s">
        <v>77</v>
      </c>
      <c r="H98" s="14" t="s">
        <v>77</v>
      </c>
      <c r="I98" s="20" t="s">
        <v>71</v>
      </c>
      <c r="J98" s="24" t="s">
        <v>71</v>
      </c>
      <c r="K98" s="16" t="s">
        <v>71</v>
      </c>
    </row>
    <row r="99" spans="1:12" x14ac:dyDescent="0.2">
      <c r="A99" s="7">
        <v>5</v>
      </c>
      <c r="B99">
        <v>9</v>
      </c>
      <c r="C99">
        <v>1</v>
      </c>
      <c r="D99" t="s">
        <v>332</v>
      </c>
      <c r="E99" t="s">
        <v>339</v>
      </c>
      <c r="F99" s="8" t="s">
        <v>29</v>
      </c>
      <c r="G99" t="s">
        <v>1</v>
      </c>
      <c r="H99" s="14">
        <v>44383</v>
      </c>
      <c r="I99" s="20" t="s">
        <v>71</v>
      </c>
      <c r="J99" s="21" t="s">
        <v>71</v>
      </c>
      <c r="K99" s="16" t="s">
        <v>71</v>
      </c>
    </row>
    <row r="100" spans="1:12" x14ac:dyDescent="0.2">
      <c r="A100" s="7">
        <v>5</v>
      </c>
      <c r="B100">
        <v>9</v>
      </c>
      <c r="C100">
        <v>2</v>
      </c>
      <c r="D100" t="s">
        <v>330</v>
      </c>
      <c r="E100" t="s">
        <v>337</v>
      </c>
      <c r="F100" s="8" t="s">
        <v>30</v>
      </c>
      <c r="G100" t="s">
        <v>1</v>
      </c>
      <c r="H100" s="14">
        <v>44383</v>
      </c>
      <c r="I100" s="20" t="s">
        <v>71</v>
      </c>
      <c r="J100" s="21" t="s">
        <v>71</v>
      </c>
      <c r="K100" s="16" t="s">
        <v>71</v>
      </c>
    </row>
    <row r="101" spans="1:12" x14ac:dyDescent="0.2">
      <c r="A101" s="7">
        <v>5</v>
      </c>
      <c r="B101">
        <v>9</v>
      </c>
      <c r="C101">
        <v>6</v>
      </c>
      <c r="D101" t="s">
        <v>327</v>
      </c>
      <c r="E101" t="s">
        <v>336</v>
      </c>
      <c r="F101" s="8" t="s">
        <v>33</v>
      </c>
      <c r="G101" t="s">
        <v>1</v>
      </c>
      <c r="H101" s="14">
        <v>44396</v>
      </c>
      <c r="I101" s="20" t="s">
        <v>71</v>
      </c>
      <c r="J101" s="21" t="s">
        <v>71</v>
      </c>
      <c r="K101" s="16" t="s">
        <v>71</v>
      </c>
    </row>
    <row r="102" spans="1:12" x14ac:dyDescent="0.2">
      <c r="A102" s="7">
        <v>5</v>
      </c>
      <c r="B102">
        <v>9</v>
      </c>
      <c r="C102">
        <v>3</v>
      </c>
      <c r="D102" t="s">
        <v>332</v>
      </c>
      <c r="E102" t="s">
        <v>337</v>
      </c>
      <c r="F102" s="8" t="s">
        <v>32</v>
      </c>
      <c r="G102" t="s">
        <v>1</v>
      </c>
      <c r="H102" s="14">
        <v>44396</v>
      </c>
      <c r="I102" s="20" t="s">
        <v>71</v>
      </c>
      <c r="J102" s="21" t="s">
        <v>71</v>
      </c>
      <c r="K102" s="16" t="s">
        <v>71</v>
      </c>
    </row>
    <row r="103" spans="1:12" x14ac:dyDescent="0.2">
      <c r="A103" s="7">
        <v>5</v>
      </c>
      <c r="B103">
        <v>9</v>
      </c>
      <c r="C103">
        <v>4</v>
      </c>
      <c r="D103" t="s">
        <v>330</v>
      </c>
      <c r="E103" t="s">
        <v>338</v>
      </c>
      <c r="F103" s="8" t="s">
        <v>31</v>
      </c>
      <c r="G103" t="s">
        <v>1</v>
      </c>
      <c r="H103" s="14">
        <v>44396</v>
      </c>
      <c r="I103" s="20" t="s">
        <v>71</v>
      </c>
      <c r="J103" s="21" t="s">
        <v>71</v>
      </c>
      <c r="K103" s="16" t="s">
        <v>71</v>
      </c>
    </row>
    <row r="104" spans="1:12" x14ac:dyDescent="0.2">
      <c r="A104" s="7">
        <v>5</v>
      </c>
      <c r="B104">
        <v>9</v>
      </c>
      <c r="C104">
        <v>5</v>
      </c>
      <c r="D104" t="s">
        <v>332</v>
      </c>
      <c r="E104" t="s">
        <v>339</v>
      </c>
      <c r="F104" s="8" t="s">
        <v>34</v>
      </c>
      <c r="G104" t="s">
        <v>1</v>
      </c>
      <c r="H104" s="14">
        <v>44396</v>
      </c>
      <c r="I104" s="20" t="s">
        <v>71</v>
      </c>
      <c r="J104" s="21" t="s">
        <v>71</v>
      </c>
      <c r="K104" s="16" t="s">
        <v>71</v>
      </c>
    </row>
    <row r="105" spans="1:12" x14ac:dyDescent="0.2">
      <c r="A105" s="7">
        <v>5</v>
      </c>
      <c r="B105">
        <v>9</v>
      </c>
      <c r="C105">
        <v>7</v>
      </c>
      <c r="D105" t="s">
        <v>330</v>
      </c>
      <c r="E105" t="s">
        <v>328</v>
      </c>
      <c r="F105" s="8" t="s">
        <v>36</v>
      </c>
      <c r="G105" t="s">
        <v>1</v>
      </c>
      <c r="H105" s="14">
        <v>44405</v>
      </c>
      <c r="I105" s="20" t="s">
        <v>71</v>
      </c>
      <c r="J105" s="21" t="s">
        <v>71</v>
      </c>
      <c r="K105" s="16" t="s">
        <v>71</v>
      </c>
    </row>
    <row r="106" spans="1:12" x14ac:dyDescent="0.2">
      <c r="A106" s="7">
        <v>6</v>
      </c>
      <c r="B106">
        <v>9</v>
      </c>
      <c r="C106">
        <v>1</v>
      </c>
      <c r="D106" t="s">
        <v>332</v>
      </c>
      <c r="E106" t="s">
        <v>329</v>
      </c>
      <c r="F106" s="8" t="s">
        <v>37</v>
      </c>
      <c r="G106" t="s">
        <v>1</v>
      </c>
      <c r="H106" s="14">
        <v>44406</v>
      </c>
      <c r="I106" s="20" t="s">
        <v>71</v>
      </c>
      <c r="J106" s="21" t="s">
        <v>71</v>
      </c>
      <c r="K106" s="16" t="s">
        <v>71</v>
      </c>
    </row>
    <row r="107" spans="1:12" x14ac:dyDescent="0.2">
      <c r="A107" s="7">
        <v>6</v>
      </c>
      <c r="B107">
        <v>9</v>
      </c>
      <c r="C107">
        <v>4</v>
      </c>
      <c r="D107" t="s">
        <v>330</v>
      </c>
      <c r="E107" t="s">
        <v>341</v>
      </c>
      <c r="F107" s="8" t="s">
        <v>35</v>
      </c>
      <c r="G107" t="s">
        <v>1</v>
      </c>
      <c r="H107" s="14">
        <v>44407</v>
      </c>
      <c r="I107" s="20" t="s">
        <v>71</v>
      </c>
      <c r="J107" s="21" t="s">
        <v>71</v>
      </c>
      <c r="K107" s="16" t="s">
        <v>71</v>
      </c>
    </row>
    <row r="108" spans="1:12" x14ac:dyDescent="0.2">
      <c r="A108" s="7">
        <v>6</v>
      </c>
      <c r="B108">
        <v>9</v>
      </c>
      <c r="C108">
        <v>5</v>
      </c>
      <c r="D108" t="s">
        <v>330</v>
      </c>
      <c r="E108" t="s">
        <v>340</v>
      </c>
      <c r="F108" s="9" t="s">
        <v>38</v>
      </c>
      <c r="G108" t="s">
        <v>1</v>
      </c>
      <c r="H108" s="14">
        <v>44407</v>
      </c>
      <c r="I108" s="20" t="s">
        <v>71</v>
      </c>
      <c r="J108" s="21" t="s">
        <v>71</v>
      </c>
      <c r="K108" s="16" t="s">
        <v>71</v>
      </c>
      <c r="L108" s="2"/>
    </row>
    <row r="109" spans="1:12" x14ac:dyDescent="0.2">
      <c r="A109" s="7">
        <v>6</v>
      </c>
      <c r="B109">
        <v>9</v>
      </c>
      <c r="C109">
        <v>2</v>
      </c>
      <c r="D109" t="s">
        <v>327</v>
      </c>
      <c r="E109" t="s">
        <v>333</v>
      </c>
      <c r="F109" s="9" t="s">
        <v>39</v>
      </c>
      <c r="G109" t="s">
        <v>1</v>
      </c>
      <c r="H109" s="14">
        <v>44406</v>
      </c>
      <c r="I109" s="20" t="s">
        <v>71</v>
      </c>
      <c r="J109" s="21" t="s">
        <v>71</v>
      </c>
      <c r="K109" s="16" t="s">
        <v>71</v>
      </c>
      <c r="L109" s="2"/>
    </row>
    <row r="110" spans="1:12" x14ac:dyDescent="0.2">
      <c r="A110" s="7">
        <v>6</v>
      </c>
      <c r="B110">
        <v>9</v>
      </c>
      <c r="C110">
        <v>6</v>
      </c>
      <c r="D110" t="s">
        <v>330</v>
      </c>
      <c r="E110" t="s">
        <v>342</v>
      </c>
      <c r="F110" s="9" t="s">
        <v>40</v>
      </c>
      <c r="G110" t="s">
        <v>1</v>
      </c>
      <c r="H110" s="14">
        <v>44407</v>
      </c>
      <c r="I110" s="20" t="s">
        <v>71</v>
      </c>
      <c r="J110" s="21" t="s">
        <v>71</v>
      </c>
      <c r="K110" s="16" t="s">
        <v>71</v>
      </c>
      <c r="L110" s="2"/>
    </row>
    <row r="111" spans="1:12" x14ac:dyDescent="0.2">
      <c r="A111" s="7">
        <v>7</v>
      </c>
      <c r="B111">
        <v>6</v>
      </c>
      <c r="C111">
        <v>1</v>
      </c>
      <c r="D111" t="s">
        <v>327</v>
      </c>
      <c r="E111" t="s">
        <v>337</v>
      </c>
      <c r="F111" s="9" t="s">
        <v>41</v>
      </c>
      <c r="G111" s="10" t="s">
        <v>1</v>
      </c>
      <c r="H111" s="14">
        <v>44411</v>
      </c>
      <c r="I111" s="20" t="s">
        <v>71</v>
      </c>
      <c r="J111" s="21" t="s">
        <v>71</v>
      </c>
      <c r="K111" s="16" t="s">
        <v>71</v>
      </c>
      <c r="L111" s="2"/>
    </row>
    <row r="112" spans="1:12" x14ac:dyDescent="0.2">
      <c r="A112" s="7">
        <v>6</v>
      </c>
      <c r="B112">
        <v>9</v>
      </c>
      <c r="C112">
        <v>8</v>
      </c>
      <c r="D112" t="s">
        <v>327</v>
      </c>
      <c r="E112" t="s">
        <v>336</v>
      </c>
      <c r="F112" s="9" t="s">
        <v>54</v>
      </c>
      <c r="G112" s="10" t="s">
        <v>1</v>
      </c>
      <c r="H112" s="14">
        <v>44411</v>
      </c>
      <c r="I112" s="20" t="s">
        <v>71</v>
      </c>
      <c r="J112" s="21" t="s">
        <v>71</v>
      </c>
      <c r="K112" s="16" t="s">
        <v>71</v>
      </c>
      <c r="L112" s="2"/>
    </row>
    <row r="113" spans="1:12" x14ac:dyDescent="0.2">
      <c r="A113" s="7">
        <v>6</v>
      </c>
      <c r="B113">
        <v>9</v>
      </c>
      <c r="C113">
        <v>9</v>
      </c>
      <c r="D113" t="s">
        <v>332</v>
      </c>
      <c r="E113" t="s">
        <v>338</v>
      </c>
      <c r="F113" s="9" t="s">
        <v>42</v>
      </c>
      <c r="G113" s="10" t="s">
        <v>1</v>
      </c>
      <c r="H113" s="14">
        <v>44411</v>
      </c>
      <c r="I113" s="20" t="s">
        <v>71</v>
      </c>
      <c r="J113" s="21" t="s">
        <v>71</v>
      </c>
      <c r="K113" s="16" t="s">
        <v>71</v>
      </c>
      <c r="L113" s="2"/>
    </row>
    <row r="114" spans="1:12" x14ac:dyDescent="0.2">
      <c r="A114" s="7">
        <v>6</v>
      </c>
      <c r="B114">
        <v>9</v>
      </c>
      <c r="C114">
        <v>7</v>
      </c>
      <c r="D114" t="s">
        <v>332</v>
      </c>
      <c r="E114" t="s">
        <v>339</v>
      </c>
      <c r="F114" s="9" t="s">
        <v>53</v>
      </c>
      <c r="G114" s="10" t="s">
        <v>1</v>
      </c>
      <c r="H114" s="14">
        <v>44411</v>
      </c>
      <c r="I114" s="20" t="s">
        <v>71</v>
      </c>
      <c r="J114" s="21" t="s">
        <v>71</v>
      </c>
      <c r="K114" s="16" t="s">
        <v>71</v>
      </c>
      <c r="L114" s="2"/>
    </row>
    <row r="115" spans="1:12" x14ac:dyDescent="0.2">
      <c r="A115" s="7">
        <v>7</v>
      </c>
      <c r="B115">
        <v>6</v>
      </c>
      <c r="C115">
        <v>2</v>
      </c>
      <c r="D115" t="s">
        <v>332</v>
      </c>
      <c r="E115" t="s">
        <v>337</v>
      </c>
      <c r="F115" s="11" t="s">
        <v>43</v>
      </c>
      <c r="G115" s="10" t="s">
        <v>1</v>
      </c>
      <c r="H115" s="14">
        <v>44441</v>
      </c>
      <c r="I115" s="20" t="s">
        <v>71</v>
      </c>
      <c r="J115" s="21" t="s">
        <v>71</v>
      </c>
      <c r="K115" s="16" t="s">
        <v>71</v>
      </c>
      <c r="L115" s="2"/>
    </row>
    <row r="116" spans="1:12" x14ac:dyDescent="0.2">
      <c r="A116" s="7">
        <v>7</v>
      </c>
      <c r="B116">
        <v>6</v>
      </c>
      <c r="C116">
        <v>3</v>
      </c>
      <c r="D116" t="s">
        <v>330</v>
      </c>
      <c r="E116" t="s">
        <v>338</v>
      </c>
      <c r="F116" s="11" t="s">
        <v>44</v>
      </c>
      <c r="G116" s="10" t="s">
        <v>1</v>
      </c>
      <c r="H116" s="14">
        <v>44441</v>
      </c>
      <c r="I116" s="20" t="s">
        <v>71</v>
      </c>
      <c r="J116" s="21" t="s">
        <v>71</v>
      </c>
      <c r="K116" s="16" t="s">
        <v>71</v>
      </c>
      <c r="L116" s="2"/>
    </row>
    <row r="117" spans="1:12" x14ac:dyDescent="0.2">
      <c r="A117" s="7">
        <v>7</v>
      </c>
      <c r="B117">
        <v>6</v>
      </c>
      <c r="C117">
        <v>4</v>
      </c>
      <c r="D117" t="s">
        <v>332</v>
      </c>
      <c r="E117" t="s">
        <v>339</v>
      </c>
      <c r="F117" s="12" t="s">
        <v>45</v>
      </c>
      <c r="G117" s="10" t="s">
        <v>1</v>
      </c>
      <c r="H117" s="14">
        <v>44442</v>
      </c>
      <c r="I117" s="20" t="s">
        <v>71</v>
      </c>
      <c r="J117" s="21" t="s">
        <v>71</v>
      </c>
      <c r="K117" s="16" t="s">
        <v>71</v>
      </c>
      <c r="L117" s="2"/>
    </row>
    <row r="118" spans="1:12" x14ac:dyDescent="0.2">
      <c r="A118" s="7">
        <v>7</v>
      </c>
      <c r="B118">
        <v>6</v>
      </c>
      <c r="C118">
        <v>5</v>
      </c>
      <c r="D118" t="s">
        <v>330</v>
      </c>
      <c r="E118" t="s">
        <v>336</v>
      </c>
      <c r="F118" s="12" t="s">
        <v>46</v>
      </c>
      <c r="G118" s="10" t="s">
        <v>1</v>
      </c>
      <c r="H118" s="14">
        <v>44442</v>
      </c>
      <c r="I118" s="20" t="s">
        <v>71</v>
      </c>
      <c r="J118" s="21" t="s">
        <v>71</v>
      </c>
      <c r="K118" s="16" t="s">
        <v>71</v>
      </c>
      <c r="L118" s="2" t="s">
        <v>62</v>
      </c>
    </row>
    <row r="119" spans="1:12" x14ac:dyDescent="0.2">
      <c r="A119" s="7">
        <v>8</v>
      </c>
      <c r="B119">
        <v>9</v>
      </c>
      <c r="C119">
        <v>3</v>
      </c>
      <c r="D119" t="s">
        <v>332</v>
      </c>
      <c r="E119" t="s">
        <v>337</v>
      </c>
      <c r="F119" s="12" t="s">
        <v>50</v>
      </c>
      <c r="G119" s="10" t="s">
        <v>1</v>
      </c>
      <c r="H119" s="14">
        <v>44455</v>
      </c>
      <c r="I119" s="20" t="s">
        <v>71</v>
      </c>
      <c r="J119" s="21" t="s">
        <v>71</v>
      </c>
      <c r="K119" s="16" t="s">
        <v>71</v>
      </c>
      <c r="L119" s="2"/>
    </row>
    <row r="120" spans="1:12" x14ac:dyDescent="0.2">
      <c r="A120" s="7">
        <v>7</v>
      </c>
      <c r="B120">
        <v>6</v>
      </c>
      <c r="C120">
        <v>6</v>
      </c>
      <c r="D120" t="s">
        <v>327</v>
      </c>
      <c r="E120" t="s">
        <v>338</v>
      </c>
      <c r="F120" s="12" t="s">
        <v>47</v>
      </c>
      <c r="G120" s="10" t="s">
        <v>1</v>
      </c>
      <c r="H120" s="14">
        <v>44455</v>
      </c>
      <c r="I120" s="20" t="s">
        <v>71</v>
      </c>
      <c r="J120" s="21" t="s">
        <v>71</v>
      </c>
      <c r="K120" s="16" t="s">
        <v>71</v>
      </c>
      <c r="L120" s="2"/>
    </row>
    <row r="121" spans="1:12" x14ac:dyDescent="0.2">
      <c r="A121" s="7">
        <v>8</v>
      </c>
      <c r="B121">
        <v>9</v>
      </c>
      <c r="C121">
        <v>2</v>
      </c>
      <c r="D121" t="s">
        <v>327</v>
      </c>
      <c r="E121" t="s">
        <v>336</v>
      </c>
      <c r="F121" s="12" t="s">
        <v>49</v>
      </c>
      <c r="G121" s="10" t="s">
        <v>1</v>
      </c>
      <c r="H121" s="14">
        <v>44455</v>
      </c>
      <c r="I121" s="20" t="s">
        <v>71</v>
      </c>
      <c r="J121" s="21" t="s">
        <v>71</v>
      </c>
      <c r="K121" s="16" t="s">
        <v>71</v>
      </c>
      <c r="L121" s="2"/>
    </row>
    <row r="122" spans="1:12" x14ac:dyDescent="0.2">
      <c r="A122" s="7">
        <v>8</v>
      </c>
      <c r="B122">
        <v>9</v>
      </c>
      <c r="C122">
        <v>1</v>
      </c>
      <c r="D122" t="s">
        <v>330</v>
      </c>
      <c r="E122" t="s">
        <v>339</v>
      </c>
      <c r="F122" s="12" t="s">
        <v>48</v>
      </c>
      <c r="G122" s="10" t="s">
        <v>1</v>
      </c>
      <c r="H122" s="14">
        <v>44455</v>
      </c>
      <c r="I122" s="20" t="s">
        <v>71</v>
      </c>
      <c r="J122" s="21" t="s">
        <v>71</v>
      </c>
      <c r="K122" s="16" t="s">
        <v>71</v>
      </c>
      <c r="L122" s="2"/>
    </row>
    <row r="123" spans="1:12" ht="17" x14ac:dyDescent="0.2">
      <c r="A123" s="7" t="s">
        <v>77</v>
      </c>
      <c r="B123" t="s">
        <v>77</v>
      </c>
      <c r="C123" t="s">
        <v>77</v>
      </c>
      <c r="D123" t="s">
        <v>77</v>
      </c>
      <c r="E123" t="s">
        <v>77</v>
      </c>
      <c r="F123" s="8" t="s">
        <v>63</v>
      </c>
      <c r="G123" t="s">
        <v>77</v>
      </c>
      <c r="H123" s="14" t="s">
        <v>77</v>
      </c>
      <c r="I123" s="23">
        <f>AVERAGE(24.661,23.815,24.771)</f>
        <v>24.415666666666667</v>
      </c>
      <c r="J123" s="24">
        <f>AVERAGE(23.747,23.584,25.411)</f>
        <v>24.247333333333334</v>
      </c>
      <c r="K123" s="17">
        <f>AVERAGE(21.218,21.131,21.694)</f>
        <v>21.347666666666669</v>
      </c>
      <c r="L123" s="2"/>
    </row>
    <row r="124" spans="1:12" ht="17" x14ac:dyDescent="0.2">
      <c r="A124" s="7" t="s">
        <v>77</v>
      </c>
      <c r="B124" t="s">
        <v>77</v>
      </c>
      <c r="C124" t="s">
        <v>77</v>
      </c>
      <c r="D124" t="s">
        <v>77</v>
      </c>
      <c r="E124" t="s">
        <v>77</v>
      </c>
      <c r="F124" s="8" t="s">
        <v>64</v>
      </c>
      <c r="G124" t="s">
        <v>77</v>
      </c>
      <c r="H124" s="14" t="s">
        <v>77</v>
      </c>
      <c r="I124" s="23">
        <f>AVERAGE(27.964,27.816,28.023)</f>
        <v>27.934333333333331</v>
      </c>
      <c r="J124" s="24">
        <f>AVERAGE(29.62,28.135,26.353)</f>
        <v>28.036000000000001</v>
      </c>
      <c r="K124" s="17">
        <f>AVERAGE(25.223,25.166,25.496)</f>
        <v>25.294999999999998</v>
      </c>
      <c r="L124" s="2"/>
    </row>
    <row r="125" spans="1:12" ht="17" x14ac:dyDescent="0.2">
      <c r="A125" s="7" t="s">
        <v>77</v>
      </c>
      <c r="B125" t="s">
        <v>77</v>
      </c>
      <c r="C125" t="s">
        <v>77</v>
      </c>
      <c r="D125" t="s">
        <v>77</v>
      </c>
      <c r="E125" t="s">
        <v>77</v>
      </c>
      <c r="F125" s="8" t="s">
        <v>65</v>
      </c>
      <c r="G125" t="s">
        <v>77</v>
      </c>
      <c r="H125" s="14" t="s">
        <v>77</v>
      </c>
      <c r="I125" s="23">
        <f>AVERAGE(33.233,32.337,33.42)</f>
        <v>32.996666666666663</v>
      </c>
      <c r="J125" s="24">
        <f>AVERAGE(31.709,31.482,30.414)</f>
        <v>31.201666666666668</v>
      </c>
      <c r="K125" s="17">
        <f>AVERAGE(28.709,28.778,29.34)</f>
        <v>28.942333333333334</v>
      </c>
      <c r="L125" s="2"/>
    </row>
    <row r="126" spans="1:12" ht="17" x14ac:dyDescent="0.2">
      <c r="A126" s="7" t="s">
        <v>77</v>
      </c>
      <c r="B126" t="s">
        <v>77</v>
      </c>
      <c r="C126" t="s">
        <v>77</v>
      </c>
      <c r="D126" t="s">
        <v>77</v>
      </c>
      <c r="E126" t="s">
        <v>77</v>
      </c>
      <c r="F126" s="8" t="s">
        <v>66</v>
      </c>
      <c r="G126" t="s">
        <v>77</v>
      </c>
      <c r="H126" s="14" t="s">
        <v>77</v>
      </c>
      <c r="I126" s="23">
        <f>AVERAGE(34.852,36.684,36.584)</f>
        <v>36.04</v>
      </c>
      <c r="J126" s="24">
        <f>AVERAGE(33.993,33.117,33.846)</f>
        <v>33.651999999999994</v>
      </c>
      <c r="K126" s="17">
        <f>AVERAGE(32.784,32.439,33.214)</f>
        <v>32.812333333333335</v>
      </c>
      <c r="L126" s="2"/>
    </row>
    <row r="127" spans="1:12" ht="17" x14ac:dyDescent="0.2">
      <c r="A127" s="7" t="s">
        <v>77</v>
      </c>
      <c r="B127" t="s">
        <v>77</v>
      </c>
      <c r="C127" t="s">
        <v>77</v>
      </c>
      <c r="D127" t="s">
        <v>77</v>
      </c>
      <c r="E127" t="s">
        <v>77</v>
      </c>
      <c r="F127" s="8" t="s">
        <v>67</v>
      </c>
      <c r="G127" t="s">
        <v>77</v>
      </c>
      <c r="H127" s="14" t="s">
        <v>77</v>
      </c>
      <c r="I127" s="23">
        <f>AVERAGE(39.725,39.058,39.081)</f>
        <v>39.288000000000004</v>
      </c>
      <c r="J127" s="24">
        <f>AVERAGE(38.359,37.274)</f>
        <v>37.816500000000005</v>
      </c>
      <c r="K127" s="17">
        <f>AVERAGE(36.584,36.578,36.421)</f>
        <v>36.527666666666669</v>
      </c>
      <c r="L127" s="2"/>
    </row>
    <row r="128" spans="1:12" ht="17" x14ac:dyDescent="0.2">
      <c r="A128" s="7" t="s">
        <v>77</v>
      </c>
      <c r="B128" t="s">
        <v>77</v>
      </c>
      <c r="C128" t="s">
        <v>77</v>
      </c>
      <c r="D128" t="s">
        <v>77</v>
      </c>
      <c r="E128" t="s">
        <v>77</v>
      </c>
      <c r="F128" s="8" t="s">
        <v>68</v>
      </c>
      <c r="G128" t="s">
        <v>77</v>
      </c>
      <c r="H128" s="14" t="s">
        <v>77</v>
      </c>
      <c r="I128" s="23">
        <f>AVERAGE(41.398,41.198)</f>
        <v>41.298000000000002</v>
      </c>
      <c r="J128" s="24">
        <f>AVERAGE(41.435,41.167,40.694)</f>
        <v>41.098666666666666</v>
      </c>
      <c r="K128" s="17">
        <f>AVERAGE(40.878,39.27,41.35)</f>
        <v>40.499333333333333</v>
      </c>
      <c r="L128" s="2"/>
    </row>
    <row r="129" spans="1:12" ht="17" x14ac:dyDescent="0.2">
      <c r="A129" s="7" t="s">
        <v>77</v>
      </c>
      <c r="B129" t="s">
        <v>77</v>
      </c>
      <c r="C129" t="s">
        <v>77</v>
      </c>
      <c r="D129" t="s">
        <v>77</v>
      </c>
      <c r="E129" t="s">
        <v>77</v>
      </c>
      <c r="F129" s="8" t="s">
        <v>69</v>
      </c>
      <c r="G129" t="s">
        <v>77</v>
      </c>
      <c r="H129" s="14" t="s">
        <v>77</v>
      </c>
      <c r="I129" s="20" t="s">
        <v>71</v>
      </c>
      <c r="J129" s="24" t="s">
        <v>71</v>
      </c>
      <c r="K129" s="17">
        <f>AVERAGE(42.779,40.293)</f>
        <v>41.536000000000001</v>
      </c>
      <c r="L129" s="2"/>
    </row>
    <row r="130" spans="1:12" ht="17" x14ac:dyDescent="0.2">
      <c r="A130" s="7" t="s">
        <v>77</v>
      </c>
      <c r="B130" t="s">
        <v>77</v>
      </c>
      <c r="C130" t="s">
        <v>77</v>
      </c>
      <c r="D130" t="s">
        <v>77</v>
      </c>
      <c r="E130" t="s">
        <v>77</v>
      </c>
      <c r="F130" s="8" t="s">
        <v>70</v>
      </c>
      <c r="G130" t="s">
        <v>77</v>
      </c>
      <c r="H130" s="14" t="s">
        <v>77</v>
      </c>
      <c r="I130" s="20" t="s">
        <v>71</v>
      </c>
      <c r="J130" s="24" t="s">
        <v>71</v>
      </c>
      <c r="K130" s="16" t="s">
        <v>71</v>
      </c>
      <c r="L130" s="2"/>
    </row>
    <row r="131" spans="1:12" x14ac:dyDescent="0.2">
      <c r="A131" s="7">
        <v>8</v>
      </c>
      <c r="B131">
        <v>9</v>
      </c>
      <c r="C131">
        <v>4</v>
      </c>
      <c r="D131" t="s">
        <v>330</v>
      </c>
      <c r="E131" t="s">
        <v>337</v>
      </c>
      <c r="F131" s="12" t="s">
        <v>51</v>
      </c>
      <c r="G131" s="10" t="s">
        <v>1</v>
      </c>
      <c r="H131" s="14">
        <v>44470</v>
      </c>
      <c r="I131" s="20" t="s">
        <v>71</v>
      </c>
      <c r="J131" s="21" t="s">
        <v>71</v>
      </c>
      <c r="K131" s="16" t="s">
        <v>71</v>
      </c>
    </row>
    <row r="132" spans="1:12" x14ac:dyDescent="0.2">
      <c r="A132" s="7">
        <v>8</v>
      </c>
      <c r="B132">
        <v>9</v>
      </c>
      <c r="C132">
        <v>4</v>
      </c>
      <c r="D132" t="s">
        <v>330</v>
      </c>
      <c r="E132" t="s">
        <v>337</v>
      </c>
      <c r="F132" s="12" t="s">
        <v>51</v>
      </c>
      <c r="G132" s="10" t="s">
        <v>2</v>
      </c>
      <c r="H132" s="14">
        <v>44470</v>
      </c>
      <c r="I132" s="20" t="s">
        <v>71</v>
      </c>
      <c r="J132" s="21" t="s">
        <v>71</v>
      </c>
      <c r="K132" s="16" t="s">
        <v>71</v>
      </c>
    </row>
    <row r="133" spans="1:12" x14ac:dyDescent="0.2">
      <c r="A133" s="7">
        <v>8</v>
      </c>
      <c r="B133">
        <v>9</v>
      </c>
      <c r="C133">
        <v>5</v>
      </c>
      <c r="D133" t="s">
        <v>327</v>
      </c>
      <c r="E133" t="s">
        <v>338</v>
      </c>
      <c r="F133" s="12" t="s">
        <v>52</v>
      </c>
      <c r="G133" s="10" t="s">
        <v>1</v>
      </c>
      <c r="H133" s="14">
        <v>44470</v>
      </c>
      <c r="I133" s="20" t="s">
        <v>71</v>
      </c>
      <c r="J133" s="21" t="s">
        <v>71</v>
      </c>
      <c r="K133" s="16" t="s">
        <v>71</v>
      </c>
    </row>
    <row r="134" spans="1:12" x14ac:dyDescent="0.2">
      <c r="A134" s="7">
        <v>8</v>
      </c>
      <c r="B134">
        <v>9</v>
      </c>
      <c r="C134">
        <v>5</v>
      </c>
      <c r="D134" t="s">
        <v>327</v>
      </c>
      <c r="E134" t="s">
        <v>338</v>
      </c>
      <c r="F134" s="12" t="s">
        <v>52</v>
      </c>
      <c r="G134" s="10" t="s">
        <v>2</v>
      </c>
      <c r="H134" s="14">
        <v>44470</v>
      </c>
      <c r="I134" s="20" t="s">
        <v>71</v>
      </c>
      <c r="J134" s="21" t="s">
        <v>71</v>
      </c>
      <c r="K134" s="16" t="s">
        <v>71</v>
      </c>
    </row>
    <row r="135" spans="1:12" x14ac:dyDescent="0.2">
      <c r="A135" s="7">
        <v>8</v>
      </c>
      <c r="B135">
        <v>9</v>
      </c>
      <c r="C135">
        <v>9</v>
      </c>
      <c r="D135" t="s">
        <v>327</v>
      </c>
      <c r="E135" t="s">
        <v>337</v>
      </c>
      <c r="F135" s="9" t="s">
        <v>55</v>
      </c>
      <c r="G135" s="10" t="s">
        <v>1</v>
      </c>
      <c r="H135" s="14">
        <v>44504</v>
      </c>
      <c r="I135" s="20" t="s">
        <v>71</v>
      </c>
      <c r="J135" s="21" t="s">
        <v>71</v>
      </c>
      <c r="K135" s="16" t="s">
        <v>71</v>
      </c>
    </row>
    <row r="136" spans="1:12" x14ac:dyDescent="0.2">
      <c r="A136" s="7">
        <v>8</v>
      </c>
      <c r="B136">
        <v>9</v>
      </c>
      <c r="C136">
        <v>9</v>
      </c>
      <c r="D136" t="s">
        <v>327</v>
      </c>
      <c r="E136" t="s">
        <v>337</v>
      </c>
      <c r="F136" s="9" t="s">
        <v>55</v>
      </c>
      <c r="G136" s="10" t="s">
        <v>2</v>
      </c>
      <c r="H136" s="14">
        <v>44504</v>
      </c>
      <c r="I136" s="20" t="s">
        <v>71</v>
      </c>
      <c r="J136" s="21" t="s">
        <v>71</v>
      </c>
      <c r="K136" s="16" t="s">
        <v>71</v>
      </c>
    </row>
    <row r="137" spans="1:12" x14ac:dyDescent="0.2">
      <c r="A137" s="7">
        <v>8</v>
      </c>
      <c r="B137">
        <v>9</v>
      </c>
      <c r="C137">
        <v>8</v>
      </c>
      <c r="D137" t="s">
        <v>330</v>
      </c>
      <c r="E137" t="s">
        <v>338</v>
      </c>
      <c r="F137" s="9" t="s">
        <v>56</v>
      </c>
      <c r="G137" s="10" t="s">
        <v>1</v>
      </c>
      <c r="H137" s="14">
        <v>44504</v>
      </c>
      <c r="I137" s="20" t="s">
        <v>71</v>
      </c>
      <c r="J137" s="21" t="s">
        <v>71</v>
      </c>
      <c r="K137" s="16" t="s">
        <v>71</v>
      </c>
    </row>
    <row r="138" spans="1:12" x14ac:dyDescent="0.2">
      <c r="A138" s="7">
        <v>8</v>
      </c>
      <c r="B138">
        <v>9</v>
      </c>
      <c r="C138">
        <v>8</v>
      </c>
      <c r="D138" t="s">
        <v>330</v>
      </c>
      <c r="E138" t="s">
        <v>338</v>
      </c>
      <c r="F138" s="9" t="s">
        <v>56</v>
      </c>
      <c r="G138" s="10" t="s">
        <v>2</v>
      </c>
      <c r="H138" s="14">
        <v>44504</v>
      </c>
      <c r="I138" s="20" t="s">
        <v>71</v>
      </c>
      <c r="J138" s="21" t="s">
        <v>71</v>
      </c>
      <c r="K138" s="16" t="s">
        <v>71</v>
      </c>
    </row>
    <row r="139" spans="1:12" ht="17" x14ac:dyDescent="0.2">
      <c r="A139" s="7" t="s">
        <v>77</v>
      </c>
      <c r="B139" t="s">
        <v>77</v>
      </c>
      <c r="C139" t="s">
        <v>77</v>
      </c>
      <c r="D139" t="s">
        <v>77</v>
      </c>
      <c r="E139" t="s">
        <v>77</v>
      </c>
      <c r="F139" s="8" t="s">
        <v>63</v>
      </c>
      <c r="G139" t="s">
        <v>77</v>
      </c>
      <c r="H139" s="14" t="s">
        <v>77</v>
      </c>
      <c r="I139" s="23">
        <f>AVERAGE(24.275,23.408,24.753)</f>
        <v>24.145333333333337</v>
      </c>
      <c r="J139" s="24">
        <f>AVERAGE(22.147,23.203,23.105)</f>
        <v>22.818333333333332</v>
      </c>
      <c r="K139" s="17">
        <f>AVERAGE(21.847,22.013,22.053)</f>
        <v>21.971</v>
      </c>
    </row>
    <row r="140" spans="1:12" ht="17" x14ac:dyDescent="0.2">
      <c r="A140" s="7" t="s">
        <v>77</v>
      </c>
      <c r="B140" t="s">
        <v>77</v>
      </c>
      <c r="C140" t="s">
        <v>77</v>
      </c>
      <c r="D140" t="s">
        <v>77</v>
      </c>
      <c r="E140" t="s">
        <v>77</v>
      </c>
      <c r="F140" s="8" t="s">
        <v>64</v>
      </c>
      <c r="G140" t="s">
        <v>77</v>
      </c>
      <c r="H140" s="14" t="s">
        <v>77</v>
      </c>
      <c r="I140" s="23">
        <f>AVERAGE(27.974,28.231,28.348)</f>
        <v>28.184333333333331</v>
      </c>
      <c r="J140" s="24">
        <f>AVERAGE(26.687,26.694,24.243)</f>
        <v>25.874666666666666</v>
      </c>
      <c r="K140" s="17">
        <f>AVERAGE(26.081,25.777,26.313)</f>
        <v>26.057000000000002</v>
      </c>
    </row>
    <row r="141" spans="1:12" ht="17" x14ac:dyDescent="0.2">
      <c r="A141" s="7" t="s">
        <v>77</v>
      </c>
      <c r="B141" t="s">
        <v>77</v>
      </c>
      <c r="C141" t="s">
        <v>77</v>
      </c>
      <c r="D141" t="s">
        <v>77</v>
      </c>
      <c r="E141" t="s">
        <v>77</v>
      </c>
      <c r="F141" s="8" t="s">
        <v>65</v>
      </c>
      <c r="G141" t="s">
        <v>77</v>
      </c>
      <c r="H141" s="14" t="s">
        <v>77</v>
      </c>
      <c r="I141" s="23">
        <f>AVERAGE(32.546,32.162,32.628)</f>
        <v>32.44533333333333</v>
      </c>
      <c r="J141" s="24">
        <f>AVERAGE(34.32,30.123,28.834)</f>
        <v>31.092333333333332</v>
      </c>
      <c r="K141" s="17">
        <f>AVERAGE(29.56,29.536,30.976)</f>
        <v>30.024000000000001</v>
      </c>
    </row>
    <row r="142" spans="1:12" ht="17" x14ac:dyDescent="0.2">
      <c r="A142" s="7" t="s">
        <v>77</v>
      </c>
      <c r="B142" t="s">
        <v>77</v>
      </c>
      <c r="C142" t="s">
        <v>77</v>
      </c>
      <c r="D142" t="s">
        <v>77</v>
      </c>
      <c r="E142" t="s">
        <v>77</v>
      </c>
      <c r="F142" s="8" t="s">
        <v>66</v>
      </c>
      <c r="G142" t="s">
        <v>77</v>
      </c>
      <c r="H142" s="14" t="s">
        <v>77</v>
      </c>
      <c r="I142" s="23">
        <f>AVERAGE(35.223,35.731,37.033)</f>
        <v>35.995666666666672</v>
      </c>
      <c r="J142" s="24">
        <f>AVERAGE(35.421,32.876,33.278)</f>
        <v>33.858333333333327</v>
      </c>
      <c r="K142" s="17">
        <f>AVERAGE(33.518,33.109,34.316)</f>
        <v>33.647666666666673</v>
      </c>
    </row>
    <row r="143" spans="1:12" ht="17" x14ac:dyDescent="0.2">
      <c r="A143" s="7" t="s">
        <v>77</v>
      </c>
      <c r="B143" t="s">
        <v>77</v>
      </c>
      <c r="C143" t="s">
        <v>77</v>
      </c>
      <c r="D143" t="s">
        <v>77</v>
      </c>
      <c r="E143" t="s">
        <v>77</v>
      </c>
      <c r="F143" s="8" t="s">
        <v>67</v>
      </c>
      <c r="G143" t="s">
        <v>77</v>
      </c>
      <c r="H143" s="14" t="s">
        <v>77</v>
      </c>
      <c r="I143" s="23">
        <f>AVERAGE(38.596,39.694,38.999)</f>
        <v>39.096333333333327</v>
      </c>
      <c r="J143" s="24">
        <f>AVERAGE(40.136,37.361,36.073)</f>
        <v>37.856666666666662</v>
      </c>
      <c r="K143" s="17">
        <f>AVERAGE(38.079,36.891,38.136)</f>
        <v>37.701999999999998</v>
      </c>
    </row>
    <row r="144" spans="1:12" ht="17" x14ac:dyDescent="0.2">
      <c r="A144" s="7" t="s">
        <v>77</v>
      </c>
      <c r="B144" t="s">
        <v>77</v>
      </c>
      <c r="C144" t="s">
        <v>77</v>
      </c>
      <c r="D144" t="s">
        <v>77</v>
      </c>
      <c r="E144" t="s">
        <v>77</v>
      </c>
      <c r="F144" s="8" t="s">
        <v>68</v>
      </c>
      <c r="G144" t="s">
        <v>77</v>
      </c>
      <c r="H144" s="14" t="s">
        <v>77</v>
      </c>
      <c r="I144" s="23">
        <f>AVERAGE(43)</f>
        <v>43</v>
      </c>
      <c r="J144" s="24">
        <f>AVERAGE(41.217,39.846,38.387)</f>
        <v>39.816666666666663</v>
      </c>
      <c r="K144" s="17">
        <f>AVERAGE(39.713,42.521,43)</f>
        <v>41.744666666666667</v>
      </c>
    </row>
    <row r="145" spans="1:11" ht="17" x14ac:dyDescent="0.2">
      <c r="A145" s="7" t="s">
        <v>77</v>
      </c>
      <c r="B145" t="s">
        <v>77</v>
      </c>
      <c r="C145" t="s">
        <v>77</v>
      </c>
      <c r="D145" t="s">
        <v>77</v>
      </c>
      <c r="E145" t="s">
        <v>77</v>
      </c>
      <c r="F145" s="8" t="s">
        <v>69</v>
      </c>
      <c r="G145" t="s">
        <v>77</v>
      </c>
      <c r="H145" s="14" t="s">
        <v>77</v>
      </c>
      <c r="I145" s="23" t="s">
        <v>71</v>
      </c>
      <c r="J145" s="24">
        <f>AVERAGE(42.936)</f>
        <v>42.936</v>
      </c>
      <c r="K145" s="17">
        <f>AVERAGE(42.164,42.026)</f>
        <v>42.094999999999999</v>
      </c>
    </row>
    <row r="146" spans="1:11" ht="18" thickBot="1" x14ac:dyDescent="0.25">
      <c r="A146" s="7" t="s">
        <v>77</v>
      </c>
      <c r="B146" t="s">
        <v>77</v>
      </c>
      <c r="C146" t="s">
        <v>77</v>
      </c>
      <c r="D146" t="s">
        <v>77</v>
      </c>
      <c r="E146" t="s">
        <v>77</v>
      </c>
      <c r="F146" s="8" t="s">
        <v>70</v>
      </c>
      <c r="G146" t="s">
        <v>77</v>
      </c>
      <c r="H146" s="14" t="s">
        <v>77</v>
      </c>
      <c r="I146" s="25" t="s">
        <v>71</v>
      </c>
      <c r="J146" s="26" t="s">
        <v>71</v>
      </c>
      <c r="K146" s="27" t="s">
        <v>71</v>
      </c>
    </row>
  </sheetData>
  <sortState xmlns:xlrd2="http://schemas.microsoft.com/office/spreadsheetml/2017/richdata2" ref="A131:K138">
    <sortCondition ref="H131:H138"/>
    <sortCondition ref="F131:F138"/>
  </sortState>
  <mergeCells count="3">
    <mergeCell ref="N1:P1"/>
    <mergeCell ref="I1:K1"/>
    <mergeCell ref="A1:H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LOD-LOQ qPCR Results</vt:lpstr>
      <vt:lpstr>Field Samples and qPCR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Mark Allen</dc:creator>
  <cp:lastModifiedBy>Nick Iacaruso</cp:lastModifiedBy>
  <dcterms:created xsi:type="dcterms:W3CDTF">2019-03-28T14:09:34Z</dcterms:created>
  <dcterms:modified xsi:type="dcterms:W3CDTF">2024-01-05T22:02:48Z</dcterms:modified>
</cp:coreProperties>
</file>